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30" windowWidth="20460" windowHeight="10890" tabRatio="915" activeTab="12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5"/>
  <c r="E58"/>
  <c r="E54"/>
  <c r="E42" i="4"/>
  <c r="O86" i="3"/>
  <c r="E158"/>
  <c r="E31" i="2"/>
  <c r="E30"/>
  <c r="E28"/>
  <c r="E27"/>
  <c r="E55" i="31" l="1"/>
  <c r="G157" i="43" l="1"/>
  <c r="G158"/>
  <c r="G112" i="30" l="1"/>
  <c r="E66" i="28" l="1"/>
  <c r="E67"/>
  <c r="E68"/>
  <c r="E69"/>
  <c r="E70"/>
  <c r="E8" i="27" l="1"/>
  <c r="E9"/>
  <c r="E10"/>
  <c r="E11"/>
  <c r="E12"/>
  <c r="E156" i="40"/>
  <c r="E157"/>
  <c r="E158"/>
  <c r="E129" i="25"/>
  <c r="E130"/>
  <c r="E131"/>
  <c r="E132"/>
  <c r="E133"/>
  <c r="E134"/>
  <c r="E36" i="40"/>
  <c r="E37"/>
  <c r="E38"/>
  <c r="E39"/>
  <c r="E40"/>
  <c r="E41"/>
  <c r="E42"/>
  <c r="E43"/>
  <c r="E44"/>
  <c r="E45"/>
  <c r="E46"/>
  <c r="E8"/>
  <c r="E9"/>
  <c r="E10"/>
  <c r="E11"/>
  <c r="E12"/>
  <c r="E156" i="25"/>
  <c r="E157"/>
  <c r="E158"/>
  <c r="E157" i="23"/>
  <c r="G157" s="1"/>
  <c r="E158"/>
  <c r="G158" s="1"/>
  <c r="E157" i="24"/>
  <c r="E158"/>
  <c r="E132" i="22"/>
  <c r="E75" i="21" l="1"/>
  <c r="E40"/>
  <c r="E149" i="20" l="1"/>
  <c r="G9" i="50"/>
  <c r="E12" i="19"/>
  <c r="E11"/>
  <c r="G11" l="1"/>
  <c r="E132" i="18"/>
  <c r="E158" i="19"/>
  <c r="G158" s="1"/>
  <c r="E15" i="17"/>
  <c r="E157" i="16" l="1"/>
  <c r="E158"/>
  <c r="E150"/>
  <c r="G157" i="15" l="1"/>
  <c r="G158"/>
  <c r="G157" i="14" l="1"/>
  <c r="G158"/>
  <c r="G158" i="13" l="1"/>
  <c r="H158" s="1"/>
  <c r="G157"/>
  <c r="H157" s="1"/>
  <c r="J157" l="1"/>
  <c r="H157" i="14"/>
  <c r="J158" i="13"/>
  <c r="H158" i="14"/>
  <c r="E50" i="12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50" i="10"/>
  <c r="J159" i="33"/>
  <c r="E156"/>
  <c r="E157"/>
  <c r="G157" s="1"/>
  <c r="E158"/>
  <c r="G158" s="1"/>
  <c r="E157" i="5"/>
  <c r="G157" s="1"/>
  <c r="H157" s="1"/>
  <c r="J157" s="1"/>
  <c r="E158"/>
  <c r="G158" s="1"/>
  <c r="H158" s="1"/>
  <c r="J158" s="1"/>
  <c r="E156" i="4"/>
  <c r="G156" s="1"/>
  <c r="E157"/>
  <c r="G157" s="1"/>
  <c r="E158"/>
  <c r="G158" s="1"/>
  <c r="G158" i="3"/>
  <c r="E156"/>
  <c r="E157"/>
  <c r="G157" s="1"/>
  <c r="E161"/>
  <c r="G164" i="2"/>
  <c r="G158"/>
  <c r="G157"/>
  <c r="J158" i="14" l="1"/>
  <c r="H158" i="15"/>
  <c r="J158" s="1"/>
  <c r="J157" i="14"/>
  <c r="H157" i="15"/>
  <c r="J157" s="1"/>
  <c r="H157" i="33"/>
  <c r="J157" s="1"/>
  <c r="H158"/>
  <c r="J158" s="1"/>
  <c r="E156" i="31"/>
  <c r="G156" s="1"/>
  <c r="E157"/>
  <c r="G157" s="1"/>
  <c r="E158"/>
  <c r="G158" s="1"/>
  <c r="K8" i="48"/>
  <c r="L8"/>
  <c r="E139" i="43"/>
  <c r="E140"/>
  <c r="E141"/>
  <c r="E142"/>
  <c r="E143"/>
  <c r="E144"/>
  <c r="E145"/>
  <c r="E146"/>
  <c r="E147"/>
  <c r="E148"/>
  <c r="E149"/>
  <c r="E150"/>
  <c r="E151"/>
  <c r="E152"/>
  <c r="E36"/>
  <c r="E37"/>
  <c r="E38"/>
  <c r="E39"/>
  <c r="E40"/>
  <c r="E41"/>
  <c r="E42"/>
  <c r="E43"/>
  <c r="E44"/>
  <c r="E45"/>
  <c r="E46"/>
  <c r="E157" i="30" l="1"/>
  <c r="G157" s="1"/>
  <c r="H157" s="1"/>
  <c r="E158"/>
  <c r="G158" s="1"/>
  <c r="H158" s="1"/>
  <c r="G157" i="29"/>
  <c r="G158"/>
  <c r="G157" i="24"/>
  <c r="G158"/>
  <c r="E156" i="28"/>
  <c r="G156" s="1"/>
  <c r="E157"/>
  <c r="G157" s="1"/>
  <c r="E158"/>
  <c r="G158" s="1"/>
  <c r="E36"/>
  <c r="E37"/>
  <c r="E38"/>
  <c r="E39"/>
  <c r="E40"/>
  <c r="E41"/>
  <c r="E42"/>
  <c r="E43"/>
  <c r="E44"/>
  <c r="E45"/>
  <c r="E46"/>
  <c r="G157" i="40"/>
  <c r="G158"/>
  <c r="E156" i="27"/>
  <c r="G156" s="1"/>
  <c r="E157"/>
  <c r="G157" s="1"/>
  <c r="E158"/>
  <c r="G158" s="1"/>
  <c r="E139" i="40"/>
  <c r="E140"/>
  <c r="E141"/>
  <c r="E142"/>
  <c r="E143"/>
  <c r="E144"/>
  <c r="E145"/>
  <c r="E146"/>
  <c r="E147"/>
  <c r="E148"/>
  <c r="E149"/>
  <c r="E150"/>
  <c r="E151"/>
  <c r="E152"/>
  <c r="G158" i="25"/>
  <c r="G157"/>
  <c r="G156"/>
  <c r="E75"/>
  <c r="E76"/>
  <c r="E77"/>
  <c r="E78"/>
  <c r="E134" i="23"/>
  <c r="E134" i="22"/>
  <c r="E157"/>
  <c r="G157" s="1"/>
  <c r="E158"/>
  <c r="G158" s="1"/>
  <c r="E157" i="21"/>
  <c r="G157" s="1"/>
  <c r="H157" s="1"/>
  <c r="J157" s="1"/>
  <c r="E158"/>
  <c r="G158" s="1"/>
  <c r="H158" s="1"/>
  <c r="J158" s="1"/>
  <c r="E180"/>
  <c r="E156" i="20"/>
  <c r="G156" s="1"/>
  <c r="E157"/>
  <c r="G157" s="1"/>
  <c r="E158"/>
  <c r="G158" s="1"/>
  <c r="E156" i="19"/>
  <c r="G156" s="1"/>
  <c r="E157"/>
  <c r="G157" s="1"/>
  <c r="F191" i="18"/>
  <c r="E157"/>
  <c r="G157" s="1"/>
  <c r="E158"/>
  <c r="G158" s="1"/>
  <c r="E156" i="17"/>
  <c r="E157"/>
  <c r="G157" s="1"/>
  <c r="E158"/>
  <c r="G158" s="1"/>
  <c r="H158" i="43" l="1"/>
  <c r="J158" i="30"/>
  <c r="H157" i="43"/>
  <c r="J157" i="30"/>
  <c r="H158" i="22"/>
  <c r="H157"/>
  <c r="G158" i="16"/>
  <c r="H158" s="1"/>
  <c r="J158" s="1"/>
  <c r="G157"/>
  <c r="H157" s="1"/>
  <c r="J157" s="1"/>
  <c r="G15" i="15"/>
  <c r="J157" i="43" l="1"/>
  <c r="H157" i="31"/>
  <c r="J158" i="43"/>
  <c r="H158" i="31"/>
  <c r="J157" i="22"/>
  <c r="H157" i="23"/>
  <c r="J158" i="22"/>
  <c r="H158" i="23"/>
  <c r="H157" i="17"/>
  <c r="H158"/>
  <c r="E139" i="13"/>
  <c r="E140"/>
  <c r="E141"/>
  <c r="E142"/>
  <c r="E143"/>
  <c r="E144"/>
  <c r="E145"/>
  <c r="E146"/>
  <c r="E147"/>
  <c r="E148"/>
  <c r="E149"/>
  <c r="E150"/>
  <c r="E151"/>
  <c r="E152"/>
  <c r="E129"/>
  <c r="E130"/>
  <c r="E131"/>
  <c r="E132"/>
  <c r="E133"/>
  <c r="E51"/>
  <c r="E52"/>
  <c r="E53"/>
  <c r="E54"/>
  <c r="E55"/>
  <c r="E56"/>
  <c r="E57"/>
  <c r="E58"/>
  <c r="E36"/>
  <c r="E37"/>
  <c r="E38"/>
  <c r="E39"/>
  <c r="E40"/>
  <c r="E41"/>
  <c r="E42"/>
  <c r="E44"/>
  <c r="E45"/>
  <c r="E46"/>
  <c r="E11"/>
  <c r="E12"/>
  <c r="E129" i="12"/>
  <c r="E130"/>
  <c r="E131"/>
  <c r="E132"/>
  <c r="E133"/>
  <c r="E134"/>
  <c r="J158" i="23" l="1"/>
  <c r="H158" i="24"/>
  <c r="J157" i="23"/>
  <c r="H157" i="24"/>
  <c r="J158" i="17"/>
  <c r="H158" i="18"/>
  <c r="J157" i="17"/>
  <c r="H157" i="18"/>
  <c r="E50" i="11"/>
  <c r="E51"/>
  <c r="E52"/>
  <c r="E53"/>
  <c r="E54"/>
  <c r="E55"/>
  <c r="E56"/>
  <c r="E57"/>
  <c r="E58"/>
  <c r="E121" i="33"/>
  <c r="E49"/>
  <c r="E134" i="4"/>
  <c r="G190" i="2"/>
  <c r="G190" i="43"/>
  <c r="I7" i="30"/>
  <c r="E180" i="24"/>
  <c r="E129"/>
  <c r="E56"/>
  <c r="E40"/>
  <c r="E39"/>
  <c r="E37"/>
  <c r="E35"/>
  <c r="E130"/>
  <c r="E130" i="23"/>
  <c r="G130" s="1"/>
  <c r="E120"/>
  <c r="E113"/>
  <c r="E63"/>
  <c r="E55"/>
  <c r="E56"/>
  <c r="E57"/>
  <c r="E58"/>
  <c r="E49"/>
  <c r="E178" i="21"/>
  <c r="F190" i="20"/>
  <c r="F190" i="19"/>
  <c r="H191" i="18"/>
  <c r="I191" s="1"/>
  <c r="K191" s="1"/>
  <c r="E145"/>
  <c r="E146"/>
  <c r="E114"/>
  <c r="H191" i="17"/>
  <c r="I191" s="1"/>
  <c r="K191" s="1"/>
  <c r="P15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s="1"/>
  <c r="J158" i="18"/>
  <c r="H158" i="19"/>
  <c r="J158" s="1"/>
  <c r="H190" i="20"/>
  <c r="I190" s="1"/>
  <c r="K190" s="1"/>
  <c r="H190" i="19"/>
  <c r="I190" s="1"/>
  <c r="K190" s="1"/>
  <c r="E134" i="10" l="1"/>
  <c r="E146" i="33" l="1"/>
  <c r="E155" i="5"/>
  <c r="E149" i="4"/>
  <c r="E150"/>
  <c r="E151"/>
  <c r="E152"/>
  <c r="E69" i="3"/>
  <c r="E155"/>
  <c r="G134" i="2"/>
  <c r="G37"/>
  <c r="G18"/>
  <c r="E90" i="31" l="1"/>
  <c r="G90" s="1"/>
  <c r="B30" i="48"/>
  <c r="H30"/>
  <c r="B22"/>
  <c r="G56" i="23"/>
  <c r="E155"/>
  <c r="E39" i="22" l="1"/>
  <c r="E139"/>
  <c r="E140"/>
  <c r="E141"/>
  <c r="E142"/>
  <c r="E143"/>
  <c r="E144"/>
  <c r="E145"/>
  <c r="E146"/>
  <c r="E147"/>
  <c r="E148"/>
  <c r="E149"/>
  <c r="E150"/>
  <c r="E151"/>
  <c r="E152"/>
  <c r="E113"/>
  <c r="E114"/>
  <c r="E115"/>
  <c r="E116"/>
  <c r="E117"/>
  <c r="E118"/>
  <c r="E119"/>
  <c r="E120"/>
  <c r="E121"/>
  <c r="E122"/>
  <c r="E123"/>
  <c r="E36" i="21"/>
  <c r="E37"/>
  <c r="E38"/>
  <c r="E39"/>
  <c r="E41"/>
  <c r="E42"/>
  <c r="E43"/>
  <c r="E44"/>
  <c r="E45"/>
  <c r="E46"/>
  <c r="E184" i="20"/>
  <c r="E185"/>
  <c r="E183"/>
  <c r="E179"/>
  <c r="E180"/>
  <c r="E178"/>
  <c r="E174"/>
  <c r="E175"/>
  <c r="E173"/>
  <c r="E162"/>
  <c r="E163"/>
  <c r="E164"/>
  <c r="E165"/>
  <c r="E161"/>
  <c r="E155"/>
  <c r="E152"/>
  <c r="E139"/>
  <c r="E140"/>
  <c r="E141"/>
  <c r="E142"/>
  <c r="E143"/>
  <c r="E144"/>
  <c r="E145"/>
  <c r="E146"/>
  <c r="E147"/>
  <c r="E148"/>
  <c r="E150"/>
  <c r="E151"/>
  <c r="E138"/>
  <c r="E134"/>
  <c r="E129"/>
  <c r="E130"/>
  <c r="E131"/>
  <c r="E132"/>
  <c r="E133"/>
  <c r="E128"/>
  <c r="E124"/>
  <c r="E113"/>
  <c r="E114"/>
  <c r="E115"/>
  <c r="E116"/>
  <c r="E117"/>
  <c r="E118"/>
  <c r="E119"/>
  <c r="E120"/>
  <c r="E121"/>
  <c r="E122"/>
  <c r="E123"/>
  <c r="E112"/>
  <c r="E83"/>
  <c r="E84"/>
  <c r="E85"/>
  <c r="E86"/>
  <c r="E87"/>
  <c r="E88"/>
  <c r="E89"/>
  <c r="E90"/>
  <c r="E91"/>
  <c r="E92"/>
  <c r="E82"/>
  <c r="E75"/>
  <c r="E76"/>
  <c r="E77"/>
  <c r="E78"/>
  <c r="E79"/>
  <c r="E74"/>
  <c r="E63"/>
  <c r="E64"/>
  <c r="E65"/>
  <c r="E66"/>
  <c r="E67"/>
  <c r="E68"/>
  <c r="E69"/>
  <c r="E70"/>
  <c r="E71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3"/>
  <c r="E24"/>
  <c r="E22"/>
  <c r="E11"/>
  <c r="E12"/>
  <c r="E57" i="19"/>
  <c r="E84" i="17" l="1"/>
  <c r="E134" i="16"/>
  <c r="J188" i="15"/>
  <c r="AH4" i="4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L4"/>
  <c r="I4"/>
  <c r="G4"/>
  <c r="F4"/>
  <c r="Q4" i="48"/>
  <c r="E92" i="9" l="1"/>
  <c r="G2" i="48"/>
  <c r="E155" i="4"/>
  <c r="O11" i="3" l="1"/>
  <c r="O11" i="2" l="1"/>
  <c r="E79" i="25" l="1"/>
  <c r="E155" i="31"/>
  <c r="G155" s="1"/>
  <c r="G156" i="43"/>
  <c r="E155"/>
  <c r="G155" s="1"/>
  <c r="E156" i="30"/>
  <c r="G156" s="1"/>
  <c r="E155"/>
  <c r="G155" s="1"/>
  <c r="E156" i="29"/>
  <c r="G156" s="1"/>
  <c r="E155"/>
  <c r="G155" s="1"/>
  <c r="E155" i="28"/>
  <c r="G155" s="1"/>
  <c r="E155" i="27"/>
  <c r="G155" s="1"/>
  <c r="G156" i="40"/>
  <c r="E155"/>
  <c r="G155" s="1"/>
  <c r="E155" i="25"/>
  <c r="G155" s="1"/>
  <c r="E156" i="24"/>
  <c r="G156" s="1"/>
  <c r="E155"/>
  <c r="G155" s="1"/>
  <c r="E156" i="23"/>
  <c r="G156" s="1"/>
  <c r="G155"/>
  <c r="E156" i="22"/>
  <c r="G156" s="1"/>
  <c r="E155"/>
  <c r="G155" s="1"/>
  <c r="E156" i="21"/>
  <c r="G156" s="1"/>
  <c r="E155"/>
  <c r="G155" s="1"/>
  <c r="E155" i="19"/>
  <c r="G155" s="1"/>
  <c r="E156" i="18"/>
  <c r="G156" s="1"/>
  <c r="E155"/>
  <c r="G155" s="1"/>
  <c r="G156" i="17"/>
  <c r="E155"/>
  <c r="G155" s="1"/>
  <c r="E156" i="16"/>
  <c r="G156" s="1"/>
  <c r="E155"/>
  <c r="G155" s="1"/>
  <c r="E156" i="15"/>
  <c r="G156" s="1"/>
  <c r="E155"/>
  <c r="G155" s="1"/>
  <c r="G156" i="14"/>
  <c r="G155"/>
  <c r="E156" i="13"/>
  <c r="G156" s="1"/>
  <c r="E155"/>
  <c r="G155" s="1"/>
  <c r="E156" i="12"/>
  <c r="G156" s="1"/>
  <c r="E155"/>
  <c r="G155" s="1"/>
  <c r="E156" i="11"/>
  <c r="G156" s="1"/>
  <c r="E155"/>
  <c r="G155" s="1"/>
  <c r="E156" i="10"/>
  <c r="G156" s="1"/>
  <c r="E155"/>
  <c r="G155" s="1"/>
  <c r="E156" i="9"/>
  <c r="G156" s="1"/>
  <c r="E155"/>
  <c r="G155" s="1"/>
  <c r="E156" i="8"/>
  <c r="G156" s="1"/>
  <c r="E155"/>
  <c r="G155" s="1"/>
  <c r="E156" i="7"/>
  <c r="G156" s="1"/>
  <c r="E155"/>
  <c r="G155" s="1"/>
  <c r="G156" i="33"/>
  <c r="E155"/>
  <c r="G155" s="1"/>
  <c r="E156" i="5"/>
  <c r="G156" s="1"/>
  <c r="G155"/>
  <c r="G155" i="4"/>
  <c r="G156" i="3"/>
  <c r="H156" s="1"/>
  <c r="J156" s="1"/>
  <c r="G155"/>
  <c r="H155" s="1"/>
  <c r="J155" s="1"/>
  <c r="G156" i="2"/>
  <c r="G155"/>
  <c r="J156"/>
  <c r="J155"/>
  <c r="G159" i="14" l="1"/>
  <c r="G159" i="13"/>
  <c r="G159" i="16"/>
  <c r="G159" i="15"/>
  <c r="G159" i="17"/>
  <c r="H159" s="1"/>
  <c r="J159" s="1"/>
  <c r="H156" i="4"/>
  <c r="H156" i="5" s="1"/>
  <c r="H156" i="33" s="1"/>
  <c r="J156" s="1"/>
  <c r="H155" i="4"/>
  <c r="H155" i="5" s="1"/>
  <c r="H155" i="33" s="1"/>
  <c r="G155" i="20"/>
  <c r="V5" i="1"/>
  <c r="E152" i="31"/>
  <c r="G152" s="1"/>
  <c r="E151"/>
  <c r="G151" s="1"/>
  <c r="Z35" i="44" s="1"/>
  <c r="E150" i="31"/>
  <c r="G150" s="1"/>
  <c r="E149"/>
  <c r="G149" s="1"/>
  <c r="E148"/>
  <c r="G148" s="1"/>
  <c r="W35" i="44" s="1"/>
  <c r="E147" i="31"/>
  <c r="G147" s="1"/>
  <c r="V35" i="44" s="1"/>
  <c r="E146" i="31"/>
  <c r="G146" s="1"/>
  <c r="T35" i="44" s="1"/>
  <c r="E145" i="31"/>
  <c r="G145" s="1"/>
  <c r="S35" i="44" s="1"/>
  <c r="E144" i="31"/>
  <c r="G144" s="1"/>
  <c r="U35" i="44" s="1"/>
  <c r="E143" i="31"/>
  <c r="G143" s="1"/>
  <c r="X35" i="44" s="1"/>
  <c r="E134" i="43"/>
  <c r="G134" s="1"/>
  <c r="E134" i="31"/>
  <c r="G134" s="1"/>
  <c r="G152" i="43"/>
  <c r="G151"/>
  <c r="Z34" i="44" s="1"/>
  <c r="G150" i="43"/>
  <c r="G149"/>
  <c r="G148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s="1"/>
  <c r="E151"/>
  <c r="G151" s="1"/>
  <c r="Z33" i="44" s="1"/>
  <c r="E150" i="30"/>
  <c r="G150" s="1"/>
  <c r="E149"/>
  <c r="G149" s="1"/>
  <c r="E148"/>
  <c r="G148" s="1"/>
  <c r="W33" i="44" s="1"/>
  <c r="E147" i="30"/>
  <c r="G147" s="1"/>
  <c r="V33" i="44" s="1"/>
  <c r="E146" i="30"/>
  <c r="G146" s="1"/>
  <c r="T33" i="44" s="1"/>
  <c r="E145" i="30"/>
  <c r="G145" s="1"/>
  <c r="S33" i="44" s="1"/>
  <c r="E144" i="30"/>
  <c r="G144" s="1"/>
  <c r="U33" i="44" s="1"/>
  <c r="E143" i="30"/>
  <c r="G143" s="1"/>
  <c r="X33" i="44" s="1"/>
  <c r="E134" i="30"/>
  <c r="G134" s="1"/>
  <c r="E152" i="29"/>
  <c r="G152" s="1"/>
  <c r="E151"/>
  <c r="G151" s="1"/>
  <c r="Z32" i="44" s="1"/>
  <c r="E150" i="29"/>
  <c r="G150" s="1"/>
  <c r="E149"/>
  <c r="G149" s="1"/>
  <c r="E148"/>
  <c r="G148" s="1"/>
  <c r="W32" i="44" s="1"/>
  <c r="E147" i="29"/>
  <c r="G147" s="1"/>
  <c r="V32" i="44" s="1"/>
  <c r="E146" i="29"/>
  <c r="G146" s="1"/>
  <c r="T32" i="44" s="1"/>
  <c r="E145" i="29"/>
  <c r="G145" s="1"/>
  <c r="S32" i="44" s="1"/>
  <c r="E144" i="29"/>
  <c r="G144" s="1"/>
  <c r="U32" i="44" s="1"/>
  <c r="E143" i="29"/>
  <c r="G143" s="1"/>
  <c r="X32" i="44" s="1"/>
  <c r="E134" i="29"/>
  <c r="G134" s="1"/>
  <c r="E152" i="28"/>
  <c r="G152" s="1"/>
  <c r="E151"/>
  <c r="G151" s="1"/>
  <c r="Z31" i="44" s="1"/>
  <c r="E150" i="28"/>
  <c r="G150" s="1"/>
  <c r="E149"/>
  <c r="G149" s="1"/>
  <c r="E148"/>
  <c r="G148" s="1"/>
  <c r="W31" i="44" s="1"/>
  <c r="E147" i="28"/>
  <c r="G147" s="1"/>
  <c r="V31" i="44" s="1"/>
  <c r="E146" i="28"/>
  <c r="G146" s="1"/>
  <c r="T31" i="44" s="1"/>
  <c r="E145" i="28"/>
  <c r="G145" s="1"/>
  <c r="S31" i="44" s="1"/>
  <c r="E144" i="28"/>
  <c r="G144" s="1"/>
  <c r="U31" i="44" s="1"/>
  <c r="E143" i="28"/>
  <c r="G143" s="1"/>
  <c r="X31" i="44" s="1"/>
  <c r="E134" i="28"/>
  <c r="G134" s="1"/>
  <c r="E152" i="27"/>
  <c r="G152" s="1"/>
  <c r="E151"/>
  <c r="G151" s="1"/>
  <c r="Z30" i="44" s="1"/>
  <c r="E150" i="27"/>
  <c r="G150" s="1"/>
  <c r="E149"/>
  <c r="G149" s="1"/>
  <c r="E148"/>
  <c r="G148" s="1"/>
  <c r="W30" i="44" s="1"/>
  <c r="E147" i="27"/>
  <c r="G147" s="1"/>
  <c r="V30" i="44" s="1"/>
  <c r="E146" i="27"/>
  <c r="G146" s="1"/>
  <c r="T30" i="44" s="1"/>
  <c r="E145" i="27"/>
  <c r="G145" s="1"/>
  <c r="S30" i="44" s="1"/>
  <c r="E144" i="27"/>
  <c r="G144" s="1"/>
  <c r="U30" i="44" s="1"/>
  <c r="E143" i="27"/>
  <c r="G143" s="1"/>
  <c r="X30" i="44" s="1"/>
  <c r="E134" i="27"/>
  <c r="G134" s="1"/>
  <c r="G152" i="40"/>
  <c r="G151"/>
  <c r="Z29" i="44" s="1"/>
  <c r="G150" i="40"/>
  <c r="G149"/>
  <c r="G148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s="1"/>
  <c r="E152" i="25"/>
  <c r="G152" s="1"/>
  <c r="E151"/>
  <c r="G151" s="1"/>
  <c r="Z28" i="44" s="1"/>
  <c r="E150" i="25"/>
  <c r="G150" s="1"/>
  <c r="E149"/>
  <c r="G149" s="1"/>
  <c r="E148"/>
  <c r="G148" s="1"/>
  <c r="W28" i="44" s="1"/>
  <c r="E147" i="25"/>
  <c r="G147" s="1"/>
  <c r="V28" i="44" s="1"/>
  <c r="E146" i="25"/>
  <c r="G146" s="1"/>
  <c r="T28" i="44" s="1"/>
  <c r="E145" i="25"/>
  <c r="G145" s="1"/>
  <c r="S28" i="44" s="1"/>
  <c r="E144" i="25"/>
  <c r="G144" s="1"/>
  <c r="U28" i="44" s="1"/>
  <c r="E143" i="25"/>
  <c r="G143" s="1"/>
  <c r="X28" i="44" s="1"/>
  <c r="G134" i="25"/>
  <c r="E152" i="24"/>
  <c r="G152" s="1"/>
  <c r="E151"/>
  <c r="G151" s="1"/>
  <c r="Z27" i="44" s="1"/>
  <c r="E150" i="24"/>
  <c r="G150" s="1"/>
  <c r="E149"/>
  <c r="G149" s="1"/>
  <c r="E148"/>
  <c r="G148" s="1"/>
  <c r="W27" i="44" s="1"/>
  <c r="E147" i="24"/>
  <c r="G147" s="1"/>
  <c r="V27" i="44" s="1"/>
  <c r="E146" i="24"/>
  <c r="G146" s="1"/>
  <c r="T27" i="44" s="1"/>
  <c r="E145" i="24"/>
  <c r="G145" s="1"/>
  <c r="S27" i="44" s="1"/>
  <c r="E144" i="24"/>
  <c r="G144" s="1"/>
  <c r="U27" i="44" s="1"/>
  <c r="E143" i="24"/>
  <c r="G143" s="1"/>
  <c r="X27" i="44" s="1"/>
  <c r="E141" i="24"/>
  <c r="G141" s="1"/>
  <c r="Q27" i="44" s="1"/>
  <c r="E142" i="24"/>
  <c r="G142" s="1"/>
  <c r="R27" i="44" s="1"/>
  <c r="E134" i="24"/>
  <c r="G134" s="1"/>
  <c r="J156" i="4" l="1"/>
  <c r="J156" i="5"/>
  <c r="J155" i="4"/>
  <c r="J155" i="33"/>
  <c r="H155" i="7"/>
  <c r="J155" i="5"/>
  <c r="E152" i="23"/>
  <c r="G152" s="1"/>
  <c r="E151"/>
  <c r="G151" s="1"/>
  <c r="Z26" i="44" s="1"/>
  <c r="E150" i="23"/>
  <c r="G150" s="1"/>
  <c r="E149"/>
  <c r="G149" s="1"/>
  <c r="E148"/>
  <c r="G148" s="1"/>
  <c r="W26" i="44" s="1"/>
  <c r="E147" i="23"/>
  <c r="G147" s="1"/>
  <c r="V26" i="44" s="1"/>
  <c r="E146" i="23"/>
  <c r="G146" s="1"/>
  <c r="T26" i="44" s="1"/>
  <c r="E145" i="23"/>
  <c r="G145" s="1"/>
  <c r="S26" i="44" s="1"/>
  <c r="E144" i="23"/>
  <c r="G144" s="1"/>
  <c r="U26" i="44" s="1"/>
  <c r="E143" i="23"/>
  <c r="G143" s="1"/>
  <c r="X26" i="44" s="1"/>
  <c r="G134" i="22"/>
  <c r="G134" i="23"/>
  <c r="G152" i="22"/>
  <c r="G151"/>
  <c r="Z25" i="44" s="1"/>
  <c r="G149" i="22"/>
  <c r="G148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s="1"/>
  <c r="E151"/>
  <c r="G151" s="1"/>
  <c r="Z24" i="44" s="1"/>
  <c r="E150" i="21"/>
  <c r="G150" s="1"/>
  <c r="E149"/>
  <c r="G149" s="1"/>
  <c r="E148"/>
  <c r="G148" s="1"/>
  <c r="W24" i="44" s="1"/>
  <c r="E147" i="21"/>
  <c r="G147" s="1"/>
  <c r="V24" i="44" s="1"/>
  <c r="E146" i="21"/>
  <c r="G146" s="1"/>
  <c r="T24" i="44" s="1"/>
  <c r="E145" i="21"/>
  <c r="G145" s="1"/>
  <c r="S24" i="44" s="1"/>
  <c r="E144" i="21"/>
  <c r="G144" s="1"/>
  <c r="U24" i="44" s="1"/>
  <c r="E143" i="21"/>
  <c r="G143" s="1"/>
  <c r="X24" i="44" s="1"/>
  <c r="E134" i="21"/>
  <c r="G134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s="1"/>
  <c r="E152" i="18"/>
  <c r="G152" s="1"/>
  <c r="E151"/>
  <c r="G151" s="1"/>
  <c r="Z21" i="44" s="1"/>
  <c r="E150" i="18"/>
  <c r="G150" s="1"/>
  <c r="E149"/>
  <c r="G149" s="1"/>
  <c r="E148"/>
  <c r="G148" s="1"/>
  <c r="W21" i="44" s="1"/>
  <c r="E147" i="18"/>
  <c r="G147" s="1"/>
  <c r="V21" i="44" s="1"/>
  <c r="G146" i="18"/>
  <c r="T21" i="44" s="1"/>
  <c r="G145" i="18"/>
  <c r="S21" i="44" s="1"/>
  <c r="E144" i="18"/>
  <c r="G144" s="1"/>
  <c r="U21" i="44" s="1"/>
  <c r="E143" i="18"/>
  <c r="G143" s="1"/>
  <c r="X21" i="44" s="1"/>
  <c r="E134" i="18"/>
  <c r="G134" s="1"/>
  <c r="E152" i="17"/>
  <c r="G152" s="1"/>
  <c r="E151"/>
  <c r="G151" s="1"/>
  <c r="Z20" i="44" s="1"/>
  <c r="E150" i="17"/>
  <c r="G150" s="1"/>
  <c r="E149"/>
  <c r="G149" s="1"/>
  <c r="E148"/>
  <c r="G148" s="1"/>
  <c r="W20" i="44" s="1"/>
  <c r="E147" i="17"/>
  <c r="G147" s="1"/>
  <c r="V20" i="44" s="1"/>
  <c r="E146" i="17"/>
  <c r="G146" s="1"/>
  <c r="T20" i="44" s="1"/>
  <c r="E145" i="17"/>
  <c r="G145" s="1"/>
  <c r="S20" i="44" s="1"/>
  <c r="E144" i="17"/>
  <c r="G144" s="1"/>
  <c r="U20" i="44" s="1"/>
  <c r="E143" i="17"/>
  <c r="G143" s="1"/>
  <c r="X20" i="44" s="1"/>
  <c r="E134" i="17"/>
  <c r="G134" s="1"/>
  <c r="E152" i="16"/>
  <c r="G152" s="1"/>
  <c r="E151"/>
  <c r="G151" s="1"/>
  <c r="Z19" i="44" s="1"/>
  <c r="G150" i="16"/>
  <c r="E149"/>
  <c r="G149" s="1"/>
  <c r="E148"/>
  <c r="G148" s="1"/>
  <c r="W19" i="44" s="1"/>
  <c r="E147" i="16"/>
  <c r="G147" s="1"/>
  <c r="V19" i="44" s="1"/>
  <c r="E146" i="16"/>
  <c r="G146" s="1"/>
  <c r="T19" i="44" s="1"/>
  <c r="E145" i="16"/>
  <c r="G145" s="1"/>
  <c r="S19" i="44" s="1"/>
  <c r="E144" i="16"/>
  <c r="G144" s="1"/>
  <c r="U19" i="44" s="1"/>
  <c r="E143" i="16"/>
  <c r="G143" s="1"/>
  <c r="X19" i="44" s="1"/>
  <c r="G134" i="16"/>
  <c r="E152" i="15"/>
  <c r="G152" s="1"/>
  <c r="E151"/>
  <c r="G151" s="1"/>
  <c r="Z18" i="44" s="1"/>
  <c r="E150" i="15"/>
  <c r="G150" s="1"/>
  <c r="E149"/>
  <c r="G149" s="1"/>
  <c r="E148"/>
  <c r="G148" s="1"/>
  <c r="W18" i="44" s="1"/>
  <c r="E147" i="15"/>
  <c r="G147" s="1"/>
  <c r="V18" i="44" s="1"/>
  <c r="E146" i="15"/>
  <c r="G146" s="1"/>
  <c r="T18" i="44" s="1"/>
  <c r="E145" i="15"/>
  <c r="G145" s="1"/>
  <c r="S18" i="44" s="1"/>
  <c r="E144" i="15"/>
  <c r="G144" s="1"/>
  <c r="U18" i="44" s="1"/>
  <c r="E143" i="15"/>
  <c r="G143" s="1"/>
  <c r="X18" i="44" s="1"/>
  <c r="E134" i="15"/>
  <c r="G134" s="1"/>
  <c r="E152" i="14"/>
  <c r="G152" s="1"/>
  <c r="E151"/>
  <c r="G151" s="1"/>
  <c r="Z17" i="44" s="1"/>
  <c r="E150" i="14"/>
  <c r="G150" s="1"/>
  <c r="G149"/>
  <c r="E148"/>
  <c r="G148" s="1"/>
  <c r="W17" i="44" s="1"/>
  <c r="E147" i="14"/>
  <c r="G147" s="1"/>
  <c r="V17" i="44" s="1"/>
  <c r="E146" i="14"/>
  <c r="G146" s="1"/>
  <c r="T17" i="44" s="1"/>
  <c r="E145" i="14"/>
  <c r="G145" s="1"/>
  <c r="S17" i="44" s="1"/>
  <c r="E144" i="14"/>
  <c r="G144" s="1"/>
  <c r="U17" i="44" s="1"/>
  <c r="E143" i="14"/>
  <c r="G143" s="1"/>
  <c r="X17" i="44" s="1"/>
  <c r="G134" i="14"/>
  <c r="G152" i="13"/>
  <c r="G151"/>
  <c r="Z16" i="44" s="1"/>
  <c r="G150" i="13"/>
  <c r="G149"/>
  <c r="G148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s="1"/>
  <c r="E151"/>
  <c r="G151" s="1"/>
  <c r="Z15" i="44" s="1"/>
  <c r="E150" i="12"/>
  <c r="G150" s="1"/>
  <c r="E149"/>
  <c r="G149" s="1"/>
  <c r="E148"/>
  <c r="G148" s="1"/>
  <c r="W15" i="44" s="1"/>
  <c r="E147" i="12"/>
  <c r="G147" s="1"/>
  <c r="V15" i="44" s="1"/>
  <c r="E146" i="12"/>
  <c r="G146" s="1"/>
  <c r="T15" i="44" s="1"/>
  <c r="E145" i="12"/>
  <c r="G145" s="1"/>
  <c r="S15" i="44" s="1"/>
  <c r="E144" i="12"/>
  <c r="G144" s="1"/>
  <c r="U15" i="44" s="1"/>
  <c r="E143" i="12"/>
  <c r="G143" s="1"/>
  <c r="X15" i="44" s="1"/>
  <c r="G134" i="12"/>
  <c r="E152" i="11"/>
  <c r="G152" s="1"/>
  <c r="E151"/>
  <c r="G151" s="1"/>
  <c r="Z14" i="44" s="1"/>
  <c r="E150" i="11"/>
  <c r="G150" s="1"/>
  <c r="E149"/>
  <c r="G149" s="1"/>
  <c r="E148"/>
  <c r="G148" s="1"/>
  <c r="W14" i="44" s="1"/>
  <c r="E147" i="11"/>
  <c r="G147" s="1"/>
  <c r="V14" i="44" s="1"/>
  <c r="E146" i="11"/>
  <c r="G146" s="1"/>
  <c r="T14" i="44" s="1"/>
  <c r="E145" i="11"/>
  <c r="G145" s="1"/>
  <c r="S14" i="44" s="1"/>
  <c r="E144" i="11"/>
  <c r="G144" s="1"/>
  <c r="U14" i="44" s="1"/>
  <c r="E143" i="11"/>
  <c r="G143" s="1"/>
  <c r="X14" i="44" s="1"/>
  <c r="G134" i="11"/>
  <c r="E152" i="10"/>
  <c r="G152" s="1"/>
  <c r="E151"/>
  <c r="G151" s="1"/>
  <c r="Z13" i="44" s="1"/>
  <c r="E150" i="10"/>
  <c r="G150" s="1"/>
  <c r="E149"/>
  <c r="G149" s="1"/>
  <c r="E148"/>
  <c r="G148" s="1"/>
  <c r="W13" i="44" s="1"/>
  <c r="E147" i="10"/>
  <c r="G147" s="1"/>
  <c r="V13" i="44" s="1"/>
  <c r="E146" i="10"/>
  <c r="G146" s="1"/>
  <c r="T13" i="44" s="1"/>
  <c r="E145" i="10"/>
  <c r="G145" s="1"/>
  <c r="S13" i="44" s="1"/>
  <c r="E144" i="10"/>
  <c r="G144" s="1"/>
  <c r="U13" i="44" s="1"/>
  <c r="E143" i="10"/>
  <c r="G143" s="1"/>
  <c r="X13" i="44" s="1"/>
  <c r="G134" i="10"/>
  <c r="E152" i="9"/>
  <c r="G152" s="1"/>
  <c r="E151"/>
  <c r="G151" s="1"/>
  <c r="Z12" i="44" s="1"/>
  <c r="E150" i="9"/>
  <c r="G150" s="1"/>
  <c r="E149"/>
  <c r="G149" s="1"/>
  <c r="E148"/>
  <c r="G148" s="1"/>
  <c r="W12" i="44" s="1"/>
  <c r="E147" i="9"/>
  <c r="G147" s="1"/>
  <c r="V12" i="44" s="1"/>
  <c r="E146" i="9"/>
  <c r="G146" s="1"/>
  <c r="T12" i="44" s="1"/>
  <c r="E145" i="9"/>
  <c r="G145" s="1"/>
  <c r="S12" i="44" s="1"/>
  <c r="E144" i="9"/>
  <c r="G144" s="1"/>
  <c r="U12" i="44" s="1"/>
  <c r="E143" i="9"/>
  <c r="G143" s="1"/>
  <c r="X12" i="44" s="1"/>
  <c r="E134" i="9"/>
  <c r="G134" s="1"/>
  <c r="E152" i="8"/>
  <c r="G152" s="1"/>
  <c r="E151"/>
  <c r="G151" s="1"/>
  <c r="Z11" i="44" s="1"/>
  <c r="E150" i="8"/>
  <c r="G150" s="1"/>
  <c r="E149"/>
  <c r="G149" s="1"/>
  <c r="E148"/>
  <c r="G148" s="1"/>
  <c r="W11" i="44" s="1"/>
  <c r="E147" i="8"/>
  <c r="G147" s="1"/>
  <c r="V11" i="44" s="1"/>
  <c r="E146" i="8"/>
  <c r="G146" s="1"/>
  <c r="T11" i="44" s="1"/>
  <c r="E145" i="8"/>
  <c r="G145" s="1"/>
  <c r="S11" i="44" s="1"/>
  <c r="E144" i="8"/>
  <c r="G144" s="1"/>
  <c r="U11" i="44" s="1"/>
  <c r="E143" i="8"/>
  <c r="G143" s="1"/>
  <c r="X11" i="44" s="1"/>
  <c r="E152" i="7"/>
  <c r="G152" s="1"/>
  <c r="E151"/>
  <c r="G151" s="1"/>
  <c r="Z10" i="44" s="1"/>
  <c r="E150" i="7"/>
  <c r="G150" s="1"/>
  <c r="E149"/>
  <c r="G149" s="1"/>
  <c r="E148"/>
  <c r="G148" s="1"/>
  <c r="W10" i="44" s="1"/>
  <c r="E147" i="7"/>
  <c r="G147" s="1"/>
  <c r="V10" i="44" s="1"/>
  <c r="E146" i="7"/>
  <c r="G146" s="1"/>
  <c r="T10" i="44" s="1"/>
  <c r="E145" i="7"/>
  <c r="G145" s="1"/>
  <c r="S10" i="44" s="1"/>
  <c r="E144" i="7"/>
  <c r="G144" s="1"/>
  <c r="U10" i="44" s="1"/>
  <c r="E143" i="7"/>
  <c r="G143" s="1"/>
  <c r="X10" i="44" s="1"/>
  <c r="E134" i="8"/>
  <c r="G134" s="1"/>
  <c r="E134" i="7"/>
  <c r="G134" s="1"/>
  <c r="E152" i="33"/>
  <c r="G152" s="1"/>
  <c r="E151"/>
  <c r="G151" s="1"/>
  <c r="Z9" i="44" s="1"/>
  <c r="E150" i="33"/>
  <c r="G150" s="1"/>
  <c r="E149"/>
  <c r="G149" s="1"/>
  <c r="E148"/>
  <c r="G148" s="1"/>
  <c r="W9" i="44" s="1"/>
  <c r="E147" i="33"/>
  <c r="G147" s="1"/>
  <c r="V9" i="44" s="1"/>
  <c r="G146" i="33"/>
  <c r="T9" i="44" s="1"/>
  <c r="E145" i="33"/>
  <c r="G145" s="1"/>
  <c r="S9" i="44" s="1"/>
  <c r="E144" i="33"/>
  <c r="G144" s="1"/>
  <c r="U9" i="44" s="1"/>
  <c r="E143" i="33"/>
  <c r="G143" s="1"/>
  <c r="X9" i="44" s="1"/>
  <c r="E134" i="33"/>
  <c r="G134" s="1"/>
  <c r="G168" i="2"/>
  <c r="H168" s="1"/>
  <c r="H168" i="3" s="1"/>
  <c r="H168" i="4" s="1"/>
  <c r="G167" i="2"/>
  <c r="H167" s="1"/>
  <c r="H167" i="3" s="1"/>
  <c r="H167" i="4" s="1"/>
  <c r="G166" i="2"/>
  <c r="H166" s="1"/>
  <c r="H166" i="3" s="1"/>
  <c r="H166" i="4" s="1"/>
  <c r="E152" i="5"/>
  <c r="G152" s="1"/>
  <c r="E151"/>
  <c r="G151" s="1"/>
  <c r="Z8" i="44" s="1"/>
  <c r="E150" i="5"/>
  <c r="G150" s="1"/>
  <c r="E149"/>
  <c r="G149" s="1"/>
  <c r="E148"/>
  <c r="G148" s="1"/>
  <c r="W8" i="44" s="1"/>
  <c r="E147" i="5"/>
  <c r="G147" s="1"/>
  <c r="V8" i="44" s="1"/>
  <c r="E146" i="5"/>
  <c r="G146" s="1"/>
  <c r="T8" i="44" s="1"/>
  <c r="E145" i="5"/>
  <c r="G145" s="1"/>
  <c r="S8" i="44" s="1"/>
  <c r="E144" i="5"/>
  <c r="G144" s="1"/>
  <c r="U8" i="44" s="1"/>
  <c r="E143" i="5"/>
  <c r="G143" s="1"/>
  <c r="X8" i="44" s="1"/>
  <c r="E134" i="5"/>
  <c r="G134" s="1"/>
  <c r="G134" i="4"/>
  <c r="G152"/>
  <c r="G151"/>
  <c r="Z7" i="44" s="1"/>
  <c r="E148" i="4"/>
  <c r="G148" s="1"/>
  <c r="W7" i="44" s="1"/>
  <c r="E147" i="4"/>
  <c r="G147" s="1"/>
  <c r="V7" i="44" s="1"/>
  <c r="E146" i="4"/>
  <c r="G146" s="1"/>
  <c r="T7" i="44" s="1"/>
  <c r="E145" i="4"/>
  <c r="G145" s="1"/>
  <c r="S7" i="44" s="1"/>
  <c r="E144" i="4"/>
  <c r="G144" s="1"/>
  <c r="U7" i="44" s="1"/>
  <c r="E143" i="4"/>
  <c r="G143" s="1"/>
  <c r="X7" i="44" s="1"/>
  <c r="G150" i="4"/>
  <c r="G149"/>
  <c r="E139" i="3"/>
  <c r="E152"/>
  <c r="G152" s="1"/>
  <c r="E151"/>
  <c r="G151" s="1"/>
  <c r="Z6" i="44" s="1"/>
  <c r="E150" i="3"/>
  <c r="G150" s="1"/>
  <c r="E149"/>
  <c r="G149" s="1"/>
  <c r="E148"/>
  <c r="G148" s="1"/>
  <c r="W6" i="44" s="1"/>
  <c r="E147" i="3"/>
  <c r="G147" s="1"/>
  <c r="V6" i="44" s="1"/>
  <c r="E146" i="3"/>
  <c r="G146" s="1"/>
  <c r="T6" i="44" s="1"/>
  <c r="E145" i="3"/>
  <c r="G145" s="1"/>
  <c r="S6" i="44" s="1"/>
  <c r="E144" i="3"/>
  <c r="G144" s="1"/>
  <c r="U6" i="44" s="1"/>
  <c r="E143" i="3"/>
  <c r="G143" s="1"/>
  <c r="X6" i="44" s="1"/>
  <c r="E142" i="3"/>
  <c r="E141"/>
  <c r="E134"/>
  <c r="G134" s="1"/>
  <c r="J172" i="2"/>
  <c r="G152"/>
  <c r="H152" s="1"/>
  <c r="J152" s="1"/>
  <c r="G151"/>
  <c r="H134"/>
  <c r="J134" s="1"/>
  <c r="E189" i="31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43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35"/>
  <c r="E24"/>
  <c r="E23"/>
  <c r="E22"/>
  <c r="E12"/>
  <c r="E11"/>
  <c r="E189" i="3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G113" s="1"/>
  <c r="E92"/>
  <c r="E91"/>
  <c r="E90"/>
  <c r="E89"/>
  <c r="E88"/>
  <c r="E87"/>
  <c r="E86"/>
  <c r="E85"/>
  <c r="E84"/>
  <c r="E83"/>
  <c r="E82"/>
  <c r="E79"/>
  <c r="E78"/>
  <c r="E77"/>
  <c r="E76"/>
  <c r="E75"/>
  <c r="E74"/>
  <c r="E71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26" i="29"/>
  <c r="E189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H124" i="28"/>
  <c r="H124" i="29" s="1"/>
  <c r="H124" i="30" s="1"/>
  <c r="H124" i="43" s="1"/>
  <c r="H124" i="31" s="1"/>
  <c r="E189" i="28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2"/>
  <c r="E11"/>
  <c r="E189" i="27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89" i="40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35"/>
  <c r="E24"/>
  <c r="E23"/>
  <c r="E22"/>
  <c r="E189" i="25"/>
  <c r="E188"/>
  <c r="E187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75" i="24"/>
  <c r="E185"/>
  <c r="E184"/>
  <c r="E183"/>
  <c r="E179"/>
  <c r="E178"/>
  <c r="E174"/>
  <c r="E173"/>
  <c r="E168"/>
  <c r="E167"/>
  <c r="E166"/>
  <c r="E165"/>
  <c r="E164"/>
  <c r="E163"/>
  <c r="E162"/>
  <c r="E161"/>
  <c r="E140"/>
  <c r="E139"/>
  <c r="E138"/>
  <c r="E133"/>
  <c r="E132"/>
  <c r="E131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5"/>
  <c r="E54"/>
  <c r="E53"/>
  <c r="E52"/>
  <c r="E51"/>
  <c r="E50"/>
  <c r="E49"/>
  <c r="E46"/>
  <c r="E45"/>
  <c r="E44"/>
  <c r="E43"/>
  <c r="E42"/>
  <c r="E41"/>
  <c r="E38"/>
  <c r="E36"/>
  <c r="E24"/>
  <c r="E23"/>
  <c r="E22"/>
  <c r="E12"/>
  <c r="E11"/>
  <c r="E185" i="23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29"/>
  <c r="E128"/>
  <c r="E124"/>
  <c r="E123"/>
  <c r="E122"/>
  <c r="E121"/>
  <c r="E119"/>
  <c r="E118"/>
  <c r="E117"/>
  <c r="E116"/>
  <c r="E115"/>
  <c r="E114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E185" i="22"/>
  <c r="E184"/>
  <c r="E183"/>
  <c r="E180"/>
  <c r="E179"/>
  <c r="E178"/>
  <c r="E175"/>
  <c r="E174"/>
  <c r="E173"/>
  <c r="E168"/>
  <c r="E167"/>
  <c r="E166"/>
  <c r="E165"/>
  <c r="E164"/>
  <c r="E163"/>
  <c r="E162"/>
  <c r="E161"/>
  <c r="E138"/>
  <c r="E133"/>
  <c r="E131"/>
  <c r="E130"/>
  <c r="E129"/>
  <c r="E128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8"/>
  <c r="E37"/>
  <c r="E36"/>
  <c r="E35"/>
  <c r="E24"/>
  <c r="E23"/>
  <c r="E22"/>
  <c r="E12"/>
  <c r="E11"/>
  <c r="H124" i="21"/>
  <c r="H124" i="22" s="1"/>
  <c r="H124" i="23" s="1"/>
  <c r="H124" i="24" s="1"/>
  <c r="E185" i="21"/>
  <c r="E184"/>
  <c r="E183"/>
  <c r="E179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4"/>
  <c r="E70"/>
  <c r="E69"/>
  <c r="E68"/>
  <c r="E67"/>
  <c r="E66"/>
  <c r="E65"/>
  <c r="E64"/>
  <c r="E63"/>
  <c r="E62"/>
  <c r="E58"/>
  <c r="E57"/>
  <c r="E56"/>
  <c r="E55"/>
  <c r="G55" s="1"/>
  <c r="E54"/>
  <c r="E53"/>
  <c r="E52"/>
  <c r="E51"/>
  <c r="E50"/>
  <c r="E49"/>
  <c r="E35"/>
  <c r="E24"/>
  <c r="E23"/>
  <c r="E22"/>
  <c r="E12"/>
  <c r="E11"/>
  <c r="E185" i="1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G84" s="1"/>
  <c r="E83"/>
  <c r="E82"/>
  <c r="E79"/>
  <c r="E78"/>
  <c r="E77"/>
  <c r="E76"/>
  <c r="G76" s="1"/>
  <c r="E75"/>
  <c r="E74"/>
  <c r="G74" s="1"/>
  <c r="E70"/>
  <c r="E69"/>
  <c r="E68"/>
  <c r="E67"/>
  <c r="G67" s="1"/>
  <c r="E66"/>
  <c r="E65"/>
  <c r="E64"/>
  <c r="E63"/>
  <c r="E62"/>
  <c r="E58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3"/>
  <c r="G23" s="1"/>
  <c r="E22"/>
  <c r="H124" i="18"/>
  <c r="H124" i="19" s="1"/>
  <c r="E174" i="18"/>
  <c r="E185"/>
  <c r="E184"/>
  <c r="E183"/>
  <c r="E180"/>
  <c r="E179"/>
  <c r="E178"/>
  <c r="E175"/>
  <c r="E173"/>
  <c r="E165"/>
  <c r="E164"/>
  <c r="E163"/>
  <c r="E162"/>
  <c r="E161"/>
  <c r="E142"/>
  <c r="E141"/>
  <c r="E140"/>
  <c r="E139"/>
  <c r="E138"/>
  <c r="E133"/>
  <c r="E131"/>
  <c r="E130"/>
  <c r="E129"/>
  <c r="E128"/>
  <c r="E124"/>
  <c r="E123"/>
  <c r="E122"/>
  <c r="E121"/>
  <c r="E120"/>
  <c r="E119"/>
  <c r="E118"/>
  <c r="E117"/>
  <c r="E116"/>
  <c r="E115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9" i="17"/>
  <c r="E188"/>
  <c r="E187"/>
  <c r="E186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G92" s="1"/>
  <c r="E91"/>
  <c r="G91" s="1"/>
  <c r="E90"/>
  <c r="E89"/>
  <c r="E88"/>
  <c r="E87"/>
  <c r="E86"/>
  <c r="E85"/>
  <c r="E83"/>
  <c r="E82"/>
  <c r="E79"/>
  <c r="E78"/>
  <c r="E77"/>
  <c r="E76"/>
  <c r="E75"/>
  <c r="E74"/>
  <c r="E70"/>
  <c r="E69"/>
  <c r="E68"/>
  <c r="E67"/>
  <c r="E66"/>
  <c r="E65"/>
  <c r="E63"/>
  <c r="E62"/>
  <c r="E58"/>
  <c r="E57"/>
  <c r="E56"/>
  <c r="E55"/>
  <c r="E54"/>
  <c r="E53"/>
  <c r="E52"/>
  <c r="E51"/>
  <c r="E50"/>
  <c r="E49"/>
  <c r="E46"/>
  <c r="E45"/>
  <c r="E44"/>
  <c r="E42"/>
  <c r="E41"/>
  <c r="E40"/>
  <c r="E39"/>
  <c r="E38"/>
  <c r="E37"/>
  <c r="E36"/>
  <c r="E35"/>
  <c r="E24"/>
  <c r="E23"/>
  <c r="E22"/>
  <c r="E12"/>
  <c r="E11"/>
  <c r="E185" i="16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5"/>
  <c r="E184"/>
  <c r="E183"/>
  <c r="E180"/>
  <c r="E179"/>
  <c r="E178"/>
  <c r="E175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2"/>
  <c r="E58"/>
  <c r="E57"/>
  <c r="E56"/>
  <c r="E55"/>
  <c r="E54"/>
  <c r="E53"/>
  <c r="E52"/>
  <c r="E51"/>
  <c r="E50"/>
  <c r="E49"/>
  <c r="E46"/>
  <c r="E45"/>
  <c r="E44"/>
  <c r="E41"/>
  <c r="E40"/>
  <c r="E39"/>
  <c r="E38"/>
  <c r="E37"/>
  <c r="E36"/>
  <c r="E35"/>
  <c r="E24"/>
  <c r="E23"/>
  <c r="E22"/>
  <c r="E12"/>
  <c r="E11"/>
  <c r="E10"/>
  <c r="E185" i="1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3"/>
  <c r="E184"/>
  <c r="E183"/>
  <c r="E180"/>
  <c r="E179"/>
  <c r="E178"/>
  <c r="E175"/>
  <c r="E173"/>
  <c r="E168"/>
  <c r="E167"/>
  <c r="E166"/>
  <c r="E165"/>
  <c r="E164"/>
  <c r="E163"/>
  <c r="E162"/>
  <c r="E161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85" i="12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35"/>
  <c r="E24"/>
  <c r="E23"/>
  <c r="E22"/>
  <c r="E12"/>
  <c r="E11"/>
  <c r="H124" i="11"/>
  <c r="H26"/>
  <c r="E185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10"/>
  <c r="E184"/>
  <c r="E183"/>
  <c r="E180"/>
  <c r="E179"/>
  <c r="E178"/>
  <c r="E175"/>
  <c r="E174"/>
  <c r="E173"/>
  <c r="E168"/>
  <c r="E167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3"/>
  <c r="E52"/>
  <c r="E51"/>
  <c r="E46"/>
  <c r="E45"/>
  <c r="E44"/>
  <c r="E43"/>
  <c r="E42"/>
  <c r="E41"/>
  <c r="E40"/>
  <c r="E36"/>
  <c r="E24"/>
  <c r="E23"/>
  <c r="E22"/>
  <c r="E12"/>
  <c r="E11"/>
  <c r="E185" i="9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185" i="8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24"/>
  <c r="E23"/>
  <c r="E22"/>
  <c r="E12"/>
  <c r="E11"/>
  <c r="E46" i="7"/>
  <c r="E185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4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5"/>
  <c r="E44"/>
  <c r="E43"/>
  <c r="E42"/>
  <c r="E41"/>
  <c r="E40"/>
  <c r="E39"/>
  <c r="E38"/>
  <c r="E37"/>
  <c r="E36"/>
  <c r="E35"/>
  <c r="E24"/>
  <c r="E23"/>
  <c r="E22"/>
  <c r="E12"/>
  <c r="E11"/>
  <c r="E185" i="33"/>
  <c r="E184"/>
  <c r="E183"/>
  <c r="E182"/>
  <c r="E181"/>
  <c r="E180"/>
  <c r="E179"/>
  <c r="E178"/>
  <c r="E177"/>
  <c r="E176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0"/>
  <c r="E119"/>
  <c r="E118"/>
  <c r="E117"/>
  <c r="E116"/>
  <c r="E115"/>
  <c r="E114"/>
  <c r="E113"/>
  <c r="E112"/>
  <c r="G112" s="1"/>
  <c r="E92"/>
  <c r="E91"/>
  <c r="E90"/>
  <c r="E89"/>
  <c r="E88"/>
  <c r="E87"/>
  <c r="E86"/>
  <c r="E84"/>
  <c r="E83"/>
  <c r="E82"/>
  <c r="E78"/>
  <c r="E77"/>
  <c r="E76"/>
  <c r="E75"/>
  <c r="E74"/>
  <c r="E70"/>
  <c r="E69"/>
  <c r="E68"/>
  <c r="E67"/>
  <c r="E66"/>
  <c r="E65"/>
  <c r="E64"/>
  <c r="E63"/>
  <c r="E62"/>
  <c r="G62" s="1"/>
  <c r="E58"/>
  <c r="E57"/>
  <c r="E56"/>
  <c r="E55"/>
  <c r="E54"/>
  <c r="E53"/>
  <c r="E52"/>
  <c r="E51"/>
  <c r="E50"/>
  <c r="E46"/>
  <c r="E45"/>
  <c r="E44"/>
  <c r="E43"/>
  <c r="E42"/>
  <c r="E41"/>
  <c r="E40"/>
  <c r="E39"/>
  <c r="E38"/>
  <c r="E37"/>
  <c r="E36"/>
  <c r="E35"/>
  <c r="E24"/>
  <c r="E23"/>
  <c r="E22"/>
  <c r="E12"/>
  <c r="E11"/>
  <c r="H124" i="5"/>
  <c r="E185"/>
  <c r="E184"/>
  <c r="E183"/>
  <c r="E180"/>
  <c r="E179"/>
  <c r="E178"/>
  <c r="E175"/>
  <c r="E174"/>
  <c r="E173"/>
  <c r="E168"/>
  <c r="G168" s="1"/>
  <c r="E167"/>
  <c r="G167" s="1"/>
  <c r="E166"/>
  <c r="G166" s="1"/>
  <c r="E165"/>
  <c r="E164"/>
  <c r="E163"/>
  <c r="E162"/>
  <c r="E161"/>
  <c r="E142"/>
  <c r="E141"/>
  <c r="E140"/>
  <c r="E139"/>
  <c r="E138"/>
  <c r="E133"/>
  <c r="E132"/>
  <c r="E131"/>
  <c r="E130"/>
  <c r="E129"/>
  <c r="E12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4"/>
  <c r="E83"/>
  <c r="E82"/>
  <c r="E79"/>
  <c r="E78"/>
  <c r="E77"/>
  <c r="E76"/>
  <c r="E75"/>
  <c r="E74"/>
  <c r="E70"/>
  <c r="E69"/>
  <c r="E68"/>
  <c r="E67"/>
  <c r="E66"/>
  <c r="E65"/>
  <c r="E63"/>
  <c r="E62"/>
  <c r="E57"/>
  <c r="E56"/>
  <c r="E55"/>
  <c r="E53"/>
  <c r="E52"/>
  <c r="E51"/>
  <c r="E50"/>
  <c r="E49"/>
  <c r="E46"/>
  <c r="E45"/>
  <c r="E44"/>
  <c r="E43"/>
  <c r="E42"/>
  <c r="E39"/>
  <c r="E38"/>
  <c r="E37"/>
  <c r="E36"/>
  <c r="E35"/>
  <c r="E24"/>
  <c r="E23"/>
  <c r="E22"/>
  <c r="E12"/>
  <c r="E11"/>
  <c r="E185" i="4"/>
  <c r="E184"/>
  <c r="E183"/>
  <c r="E180"/>
  <c r="E179"/>
  <c r="E178"/>
  <c r="E175"/>
  <c r="E174"/>
  <c r="E173"/>
  <c r="E168"/>
  <c r="E167"/>
  <c r="E166"/>
  <c r="E165"/>
  <c r="E164"/>
  <c r="E163"/>
  <c r="E162"/>
  <c r="E161"/>
  <c r="E142"/>
  <c r="E141"/>
  <c r="E140"/>
  <c r="E139"/>
  <c r="E138"/>
  <c r="E133"/>
  <c r="E132"/>
  <c r="E131"/>
  <c r="E130"/>
  <c r="E129"/>
  <c r="E128"/>
  <c r="G128" s="1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9"/>
  <c r="E78"/>
  <c r="E77"/>
  <c r="E76"/>
  <c r="E75"/>
  <c r="E74"/>
  <c r="E70"/>
  <c r="E69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1"/>
  <c r="E40"/>
  <c r="E39"/>
  <c r="E38"/>
  <c r="E37"/>
  <c r="E36"/>
  <c r="E35"/>
  <c r="E24"/>
  <c r="E23"/>
  <c r="E22"/>
  <c r="E12"/>
  <c r="E11"/>
  <c r="E133" i="3"/>
  <c r="E132"/>
  <c r="E131"/>
  <c r="E130"/>
  <c r="E129"/>
  <c r="E128"/>
  <c r="E74"/>
  <c r="E79"/>
  <c r="E78"/>
  <c r="E77"/>
  <c r="E76"/>
  <c r="E75"/>
  <c r="E24"/>
  <c r="E19"/>
  <c r="E18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/>
  <c r="E183"/>
  <c r="E180"/>
  <c r="E179"/>
  <c r="E178"/>
  <c r="E175"/>
  <c r="E174"/>
  <c r="E173"/>
  <c r="E168"/>
  <c r="E167"/>
  <c r="E166"/>
  <c r="E165"/>
  <c r="E164"/>
  <c r="E163"/>
  <c r="E162"/>
  <c r="E140"/>
  <c r="E138"/>
  <c r="E123"/>
  <c r="E122"/>
  <c r="E121"/>
  <c r="E120"/>
  <c r="E119"/>
  <c r="E118"/>
  <c r="E117"/>
  <c r="E116"/>
  <c r="E115"/>
  <c r="E114"/>
  <c r="E113"/>
  <c r="E112"/>
  <c r="E92"/>
  <c r="E91"/>
  <c r="E90"/>
  <c r="E89"/>
  <c r="E88"/>
  <c r="E87"/>
  <c r="E86"/>
  <c r="E85"/>
  <c r="E84"/>
  <c r="E83"/>
  <c r="E82"/>
  <c r="E70"/>
  <c r="E68"/>
  <c r="E67"/>
  <c r="E66"/>
  <c r="E65"/>
  <c r="E64"/>
  <c r="E63"/>
  <c r="E62"/>
  <c r="E58"/>
  <c r="E57"/>
  <c r="E56"/>
  <c r="E55"/>
  <c r="E54"/>
  <c r="E53"/>
  <c r="E52"/>
  <c r="E51"/>
  <c r="E50"/>
  <c r="E49"/>
  <c r="E46"/>
  <c r="E45"/>
  <c r="E44"/>
  <c r="E43"/>
  <c r="E42"/>
  <c r="E41"/>
  <c r="E39"/>
  <c r="E38"/>
  <c r="E37"/>
  <c r="E36"/>
  <c r="E35"/>
  <c r="E23"/>
  <c r="E22"/>
  <c r="G22" s="1"/>
  <c r="E15"/>
  <c r="E12"/>
  <c r="E11"/>
  <c r="G11" s="1"/>
  <c r="E10"/>
  <c r="E8"/>
  <c r="E7"/>
  <c r="E9"/>
  <c r="H182" i="2"/>
  <c r="J182" s="1"/>
  <c r="H177"/>
  <c r="J177" s="1"/>
  <c r="H127"/>
  <c r="J127" s="1"/>
  <c r="G23"/>
  <c r="H23" s="1"/>
  <c r="J23" s="1"/>
  <c r="G22"/>
  <c r="G19"/>
  <c r="G15"/>
  <c r="G13"/>
  <c r="H13" s="1"/>
  <c r="J13" s="1"/>
  <c r="G12"/>
  <c r="H12" s="1"/>
  <c r="J12" s="1"/>
  <c r="G11"/>
  <c r="H11" s="1"/>
  <c r="J11" s="1"/>
  <c r="G10"/>
  <c r="H10" s="1"/>
  <c r="J10" s="1"/>
  <c r="G9"/>
  <c r="H9" s="1"/>
  <c r="J9" s="1"/>
  <c r="G8"/>
  <c r="G27" s="1"/>
  <c r="G7"/>
  <c r="I18" i="3"/>
  <c r="I7"/>
  <c r="G22" i="19" l="1"/>
  <c r="G24" s="1"/>
  <c r="E29" s="1"/>
  <c r="E24"/>
  <c r="G8" i="3"/>
  <c r="E27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s="1"/>
  <c r="E9" i="4"/>
  <c r="E9" i="5" s="1"/>
  <c r="E9" i="33" s="1"/>
  <c r="G19" i="3"/>
  <c r="E19" i="4"/>
  <c r="E19" i="5" s="1"/>
  <c r="G18" i="3"/>
  <c r="E10" i="16"/>
  <c r="G10" s="1"/>
  <c r="E15"/>
  <c r="G15" i="17" s="1"/>
  <c r="G149" i="19"/>
  <c r="G151"/>
  <c r="Z22" i="44" s="1"/>
  <c r="G146" i="19"/>
  <c r="T22" i="44" s="1"/>
  <c r="G147" i="19"/>
  <c r="V22" i="44" s="1"/>
  <c r="H156" i="7"/>
  <c r="J156" s="1"/>
  <c r="G145" i="19"/>
  <c r="S22" i="44" s="1"/>
  <c r="G150" i="19"/>
  <c r="G143"/>
  <c r="X22" i="44" s="1"/>
  <c r="J155" i="7"/>
  <c r="H155" i="8"/>
  <c r="H18" i="2"/>
  <c r="J18" s="1"/>
  <c r="H19"/>
  <c r="J19" s="1"/>
  <c r="H8"/>
  <c r="J8" s="1"/>
  <c r="I9" s="1"/>
  <c r="H15"/>
  <c r="J15" s="1"/>
  <c r="I16" s="1"/>
  <c r="G24"/>
  <c r="E29" s="1"/>
  <c r="I13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s="1"/>
  <c r="H182" i="3"/>
  <c r="H182" i="4" s="1"/>
  <c r="J182" s="1"/>
  <c r="H152" i="3"/>
  <c r="H152" i="4" s="1"/>
  <c r="H127" i="3"/>
  <c r="H127" i="4" s="1"/>
  <c r="J127" s="1"/>
  <c r="H177" i="3"/>
  <c r="H177" i="4" s="1"/>
  <c r="H177" i="5" s="1"/>
  <c r="H151" i="2"/>
  <c r="J151" s="1"/>
  <c r="Z5" i="44"/>
  <c r="H134" i="3"/>
  <c r="H134" i="4" s="1"/>
  <c r="G134" i="20"/>
  <c r="H22" i="2"/>
  <c r="J22" s="1"/>
  <c r="H23" i="3"/>
  <c r="H11"/>
  <c r="J11" s="1"/>
  <c r="H12"/>
  <c r="H7" i="2"/>
  <c r="J7" s="1"/>
  <c r="G20"/>
  <c r="H20" s="1"/>
  <c r="J20" s="1"/>
  <c r="I20" s="1"/>
  <c r="G20" i="3" l="1"/>
  <c r="H20" s="1"/>
  <c r="H9"/>
  <c r="J9" s="1"/>
  <c r="G7"/>
  <c r="H7" s="1"/>
  <c r="J7" s="1"/>
  <c r="P16"/>
  <c r="G10"/>
  <c r="H10" s="1"/>
  <c r="J10" s="1"/>
  <c r="G15"/>
  <c r="H15" s="1"/>
  <c r="J15" s="1"/>
  <c r="I16" s="1"/>
  <c r="E19" i="33"/>
  <c r="E15" i="7"/>
  <c r="E9"/>
  <c r="E8"/>
  <c r="E10" i="17"/>
  <c r="E7" i="7"/>
  <c r="E15" i="18"/>
  <c r="O15" i="16"/>
  <c r="Z37" i="44"/>
  <c r="Z36"/>
  <c r="H19" i="3"/>
  <c r="J19" s="1"/>
  <c r="H18"/>
  <c r="J18" s="1"/>
  <c r="H156" i="8"/>
  <c r="J156" s="1"/>
  <c r="H155" i="9"/>
  <c r="J155" i="8"/>
  <c r="H8" i="3"/>
  <c r="J8" s="1"/>
  <c r="I9" s="1"/>
  <c r="H24" i="2"/>
  <c r="H166" i="8"/>
  <c r="J166" s="1"/>
  <c r="J168" i="7"/>
  <c r="J167"/>
  <c r="J177" i="4"/>
  <c r="J134" i="3"/>
  <c r="H182" i="5"/>
  <c r="H182" i="33" s="1"/>
  <c r="J127" i="3"/>
  <c r="J182"/>
  <c r="H127" i="5"/>
  <c r="J127" s="1"/>
  <c r="J152" i="3"/>
  <c r="J152" i="4"/>
  <c r="H152" i="5"/>
  <c r="J134" i="4"/>
  <c r="H134" i="5"/>
  <c r="H151" i="3"/>
  <c r="H22"/>
  <c r="J22" s="1"/>
  <c r="H177" i="33"/>
  <c r="J177" i="5"/>
  <c r="J168" i="8"/>
  <c r="H168" i="9"/>
  <c r="H167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/>
  <c r="G185" i="31"/>
  <c r="G184"/>
  <c r="G183"/>
  <c r="G180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/>
  <c r="G163"/>
  <c r="G162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/>
  <c r="G132"/>
  <c r="G131"/>
  <c r="G130"/>
  <c r="G129"/>
  <c r="G128"/>
  <c r="G123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/>
  <c r="G113"/>
  <c r="G112"/>
  <c r="G92"/>
  <c r="G91"/>
  <c r="AK34" i="1" s="1"/>
  <c r="AI34"/>
  <c r="G89" i="31"/>
  <c r="G88"/>
  <c r="G87"/>
  <c r="AC34" i="1" s="1"/>
  <c r="G86" i="31"/>
  <c r="AB34" i="1" s="1"/>
  <c r="G85" i="31"/>
  <c r="AA34" i="1" s="1"/>
  <c r="G84" i="31"/>
  <c r="Z34" i="1" s="1"/>
  <c r="G83" i="31"/>
  <c r="G82"/>
  <c r="G78"/>
  <c r="AS35" i="44" s="1"/>
  <c r="G77" i="31"/>
  <c r="AR35" i="44" s="1"/>
  <c r="G76" i="31"/>
  <c r="AQ35" i="44" s="1"/>
  <c r="G75" i="31"/>
  <c r="AP35" i="44" s="1"/>
  <c r="G74" i="31"/>
  <c r="G70"/>
  <c r="AH15" i="45" s="1"/>
  <c r="G69" i="31"/>
  <c r="AH14" i="45" s="1"/>
  <c r="G68" i="31"/>
  <c r="AH13" i="45" s="1"/>
  <c r="G67" i="31"/>
  <c r="G66"/>
  <c r="G65"/>
  <c r="G63"/>
  <c r="AH8" i="45" s="1"/>
  <c r="G62" i="31"/>
  <c r="AH7" i="45" s="1"/>
  <c r="G58" i="3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K9"/>
  <c r="M8"/>
  <c r="G185" i="43"/>
  <c r="G184"/>
  <c r="G183"/>
  <c r="G180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/>
  <c r="G163"/>
  <c r="G162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/>
  <c r="G132"/>
  <c r="G131"/>
  <c r="G130"/>
  <c r="G129"/>
  <c r="G128"/>
  <c r="G12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/>
  <c r="G113"/>
  <c r="G112"/>
  <c r="G92"/>
  <c r="AL33" i="1" s="1"/>
  <c r="G91" i="43"/>
  <c r="G90"/>
  <c r="G89"/>
  <c r="G88"/>
  <c r="G87"/>
  <c r="AC33" i="1" s="1"/>
  <c r="G86" i="43"/>
  <c r="AB33" i="1" s="1"/>
  <c r="G85" i="43"/>
  <c r="AA33" i="1" s="1"/>
  <c r="G84" i="43"/>
  <c r="Z33" i="1" s="1"/>
  <c r="G83" i="43"/>
  <c r="G82"/>
  <c r="G78"/>
  <c r="AS34" i="44" s="1"/>
  <c r="G77" i="43"/>
  <c r="AR34" i="44" s="1"/>
  <c r="G76" i="43"/>
  <c r="AQ34" i="44" s="1"/>
  <c r="G75" i="43"/>
  <c r="AP34" i="44" s="1"/>
  <c r="G74" i="43"/>
  <c r="G70"/>
  <c r="AG15" i="45" s="1"/>
  <c r="G69" i="43"/>
  <c r="AG14" i="45" s="1"/>
  <c r="G68" i="43"/>
  <c r="AG13" i="45" s="1"/>
  <c r="G67" i="43"/>
  <c r="G66"/>
  <c r="G65"/>
  <c r="G63"/>
  <c r="AG8" i="45" s="1"/>
  <c r="G62" i="43"/>
  <c r="AG7" i="45" s="1"/>
  <c r="G58" i="4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30"/>
  <c r="G184"/>
  <c r="G183"/>
  <c r="G180"/>
  <c r="AF23" i="45" s="1"/>
  <c r="G179" i="30"/>
  <c r="AF22" i="45" s="1"/>
  <c r="G178" i="30"/>
  <c r="G175"/>
  <c r="AF19" i="45" s="1"/>
  <c r="G174" i="30"/>
  <c r="AF18" i="45" s="1"/>
  <c r="G173" i="30"/>
  <c r="AF17" i="45" s="1"/>
  <c r="G165" i="30"/>
  <c r="G164"/>
  <c r="G163"/>
  <c r="G162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/>
  <c r="G132"/>
  <c r="G131"/>
  <c r="G130"/>
  <c r="G129"/>
  <c r="G128"/>
  <c r="G123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/>
  <c r="G92"/>
  <c r="AL32" i="1" s="1"/>
  <c r="G91" i="30"/>
  <c r="G90"/>
  <c r="G89"/>
  <c r="G88"/>
  <c r="G87"/>
  <c r="AC32" i="1" s="1"/>
  <c r="G86" i="30"/>
  <c r="AB32" i="1" s="1"/>
  <c r="G85" i="30"/>
  <c r="AA32" i="1" s="1"/>
  <c r="G84" i="30"/>
  <c r="Z32" i="1" s="1"/>
  <c r="G83" i="30"/>
  <c r="G82"/>
  <c r="G78"/>
  <c r="AS33" i="44" s="1"/>
  <c r="G77" i="30"/>
  <c r="AR33" i="44" s="1"/>
  <c r="G76" i="30"/>
  <c r="AQ33" i="44" s="1"/>
  <c r="G75" i="30"/>
  <c r="AP33" i="44" s="1"/>
  <c r="G74" i="30"/>
  <c r="G70"/>
  <c r="AF15" i="45" s="1"/>
  <c r="G69" i="30"/>
  <c r="AF14" i="45" s="1"/>
  <c r="G68" i="30"/>
  <c r="AF13" i="45" s="1"/>
  <c r="G67" i="30"/>
  <c r="G66"/>
  <c r="G65"/>
  <c r="G63"/>
  <c r="AF8" i="45" s="1"/>
  <c r="G62" i="30"/>
  <c r="AF7" i="45" s="1"/>
  <c r="G58" i="3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9"/>
  <c r="G184"/>
  <c r="G183"/>
  <c r="G180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/>
  <c r="G163"/>
  <c r="G162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/>
  <c r="G132"/>
  <c r="G131"/>
  <c r="G130"/>
  <c r="G129"/>
  <c r="G128"/>
  <c r="G123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/>
  <c r="G113"/>
  <c r="G112"/>
  <c r="G92"/>
  <c r="AL31" i="1" s="1"/>
  <c r="G90" i="29"/>
  <c r="G89"/>
  <c r="G88"/>
  <c r="G87"/>
  <c r="AC31" i="1" s="1"/>
  <c r="G86" i="29"/>
  <c r="AB31" i="1" s="1"/>
  <c r="G85" i="29"/>
  <c r="AA31" i="1" s="1"/>
  <c r="G84" i="29"/>
  <c r="Z31" i="1" s="1"/>
  <c r="G83" i="29"/>
  <c r="G82"/>
  <c r="G78"/>
  <c r="AS32" i="44" s="1"/>
  <c r="G77" i="29"/>
  <c r="AR32" i="44" s="1"/>
  <c r="G76" i="29"/>
  <c r="AQ32" i="44" s="1"/>
  <c r="G75" i="29"/>
  <c r="AP32" i="44" s="1"/>
  <c r="G74" i="29"/>
  <c r="G70"/>
  <c r="AE15" i="45" s="1"/>
  <c r="G69" i="29"/>
  <c r="AE14" i="45" s="1"/>
  <c r="G68" i="29"/>
  <c r="AE13" i="45" s="1"/>
  <c r="G67" i="29"/>
  <c r="G66"/>
  <c r="G65"/>
  <c r="G63"/>
  <c r="AE8" i="45" s="1"/>
  <c r="G62" i="29"/>
  <c r="AE7" i="45" s="1"/>
  <c r="G58" i="2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8"/>
  <c r="G184"/>
  <c r="G183"/>
  <c r="G180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/>
  <c r="G163"/>
  <c r="G162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/>
  <c r="G132"/>
  <c r="G131"/>
  <c r="G130"/>
  <c r="G129"/>
  <c r="G128"/>
  <c r="G123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/>
  <c r="G113"/>
  <c r="G112"/>
  <c r="G92"/>
  <c r="AL30" i="1" s="1"/>
  <c r="G91" i="28"/>
  <c r="G90"/>
  <c r="G89"/>
  <c r="G88"/>
  <c r="G87"/>
  <c r="AC30" i="1" s="1"/>
  <c r="G86" i="28"/>
  <c r="AB30" i="1" s="1"/>
  <c r="G85" i="28"/>
  <c r="AA30" i="1" s="1"/>
  <c r="Z30"/>
  <c r="G83" i="28"/>
  <c r="G82"/>
  <c r="G78"/>
  <c r="AS31" i="44" s="1"/>
  <c r="G77" i="28"/>
  <c r="AR31" i="44" s="1"/>
  <c r="G76" i="28"/>
  <c r="AQ31" i="44" s="1"/>
  <c r="G75" i="28"/>
  <c r="AP31" i="44" s="1"/>
  <c r="G74" i="28"/>
  <c r="G70"/>
  <c r="G69"/>
  <c r="G68"/>
  <c r="G67"/>
  <c r="G66"/>
  <c r="G65"/>
  <c r="G63"/>
  <c r="G62"/>
  <c r="AD7" i="45" s="1"/>
  <c r="G58" i="2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7"/>
  <c r="G184"/>
  <c r="G183"/>
  <c r="G180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/>
  <c r="G163"/>
  <c r="G162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/>
  <c r="G132"/>
  <c r="G131"/>
  <c r="G130"/>
  <c r="G129"/>
  <c r="G128"/>
  <c r="G123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/>
  <c r="G113"/>
  <c r="G112"/>
  <c r="G92"/>
  <c r="AL29" i="1" s="1"/>
  <c r="G91" i="27"/>
  <c r="G90"/>
  <c r="G89"/>
  <c r="G88"/>
  <c r="G87"/>
  <c r="AC29" i="1" s="1"/>
  <c r="G86" i="27"/>
  <c r="AB29" i="1" s="1"/>
  <c r="G85" i="27"/>
  <c r="AA29" i="1" s="1"/>
  <c r="G84" i="27"/>
  <c r="Z29" i="1" s="1"/>
  <c r="G83" i="27"/>
  <c r="G82"/>
  <c r="G78"/>
  <c r="AS30" i="44" s="1"/>
  <c r="G77" i="27"/>
  <c r="AR30" i="44" s="1"/>
  <c r="G76" i="27"/>
  <c r="AQ30" i="44" s="1"/>
  <c r="G75" i="27"/>
  <c r="AP30" i="44" s="1"/>
  <c r="G74" i="27"/>
  <c r="G70"/>
  <c r="AC15" i="45" s="1"/>
  <c r="G69" i="27"/>
  <c r="AC14" i="45" s="1"/>
  <c r="G68" i="27"/>
  <c r="AC13" i="45" s="1"/>
  <c r="G67" i="27"/>
  <c r="G66"/>
  <c r="G65"/>
  <c r="G63"/>
  <c r="AC8" i="45" s="1"/>
  <c r="G62" i="27"/>
  <c r="AC7" i="45" s="1"/>
  <c r="G58" i="2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40"/>
  <c r="G184"/>
  <c r="G183"/>
  <c r="G18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/>
  <c r="G163"/>
  <c r="G162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/>
  <c r="G132"/>
  <c r="G131"/>
  <c r="G130"/>
  <c r="G129"/>
  <c r="G128"/>
  <c r="G123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/>
  <c r="G113"/>
  <c r="G112"/>
  <c r="G92"/>
  <c r="AL28" i="1" s="1"/>
  <c r="G91" i="40"/>
  <c r="G90"/>
  <c r="G89"/>
  <c r="G88"/>
  <c r="G87"/>
  <c r="AC28" i="1" s="1"/>
  <c r="G86" i="40"/>
  <c r="AB28" i="1" s="1"/>
  <c r="G85" i="40"/>
  <c r="AA28" i="1" s="1"/>
  <c r="Z28"/>
  <c r="G83" i="40"/>
  <c r="G82"/>
  <c r="G78"/>
  <c r="AS29" i="44" s="1"/>
  <c r="G77" i="40"/>
  <c r="AR29" i="44" s="1"/>
  <c r="G76" i="40"/>
  <c r="AQ29" i="44" s="1"/>
  <c r="G75" i="40"/>
  <c r="AP29" i="44" s="1"/>
  <c r="G74" i="40"/>
  <c r="G70"/>
  <c r="AB15" i="45" s="1"/>
  <c r="G69" i="40"/>
  <c r="AB14" i="45" s="1"/>
  <c r="AB13"/>
  <c r="G67" i="40"/>
  <c r="G66"/>
  <c r="G65"/>
  <c r="G63"/>
  <c r="AB8" i="45" s="1"/>
  <c r="G62" i="40"/>
  <c r="AB7" i="45" s="1"/>
  <c r="G58" i="4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5"/>
  <c r="G184"/>
  <c r="G183"/>
  <c r="G180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/>
  <c r="G163"/>
  <c r="G162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/>
  <c r="G132"/>
  <c r="G131"/>
  <c r="G130"/>
  <c r="G129"/>
  <c r="G128"/>
  <c r="G123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/>
  <c r="G113"/>
  <c r="G112"/>
  <c r="G92"/>
  <c r="AL27" i="1" s="1"/>
  <c r="G91" i="25"/>
  <c r="G90"/>
  <c r="G89"/>
  <c r="G88"/>
  <c r="G87"/>
  <c r="AC27" i="1" s="1"/>
  <c r="G86" i="25"/>
  <c r="AB27" i="1" s="1"/>
  <c r="G85" i="25"/>
  <c r="AA27" i="1" s="1"/>
  <c r="G84" i="25"/>
  <c r="Z27" i="1" s="1"/>
  <c r="G83" i="25"/>
  <c r="G82"/>
  <c r="G78"/>
  <c r="AS28" i="44" s="1"/>
  <c r="G77" i="25"/>
  <c r="AR28" i="44" s="1"/>
  <c r="G76" i="25"/>
  <c r="AQ28" i="44" s="1"/>
  <c r="G75" i="25"/>
  <c r="AP28" i="44" s="1"/>
  <c r="G74" i="25"/>
  <c r="G70"/>
  <c r="AA15" i="45" s="1"/>
  <c r="G69" i="25"/>
  <c r="AA14" i="45" s="1"/>
  <c r="G68" i="25"/>
  <c r="AA13" i="45" s="1"/>
  <c r="G67" i="25"/>
  <c r="G66"/>
  <c r="G65"/>
  <c r="G63"/>
  <c r="AA8" i="45" s="1"/>
  <c r="G62" i="25"/>
  <c r="AA7" i="45" s="1"/>
  <c r="G58" i="25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4"/>
  <c r="G184"/>
  <c r="G183"/>
  <c r="G180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/>
  <c r="G163"/>
  <c r="G162"/>
  <c r="AB27" i="44" s="1"/>
  <c r="G161" i="24"/>
  <c r="AA27" i="44" s="1"/>
  <c r="G140" i="24"/>
  <c r="P27" i="44" s="1"/>
  <c r="G139" i="24"/>
  <c r="O27" i="44" s="1"/>
  <c r="G138" i="24"/>
  <c r="G133"/>
  <c r="G132"/>
  <c r="G131"/>
  <c r="G130"/>
  <c r="G129"/>
  <c r="G128"/>
  <c r="G123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/>
  <c r="G113"/>
  <c r="G112"/>
  <c r="G92"/>
  <c r="AL26" i="1" s="1"/>
  <c r="G91" i="24"/>
  <c r="G90"/>
  <c r="G89"/>
  <c r="G88"/>
  <c r="G87"/>
  <c r="AC26" i="1" s="1"/>
  <c r="G86" i="24"/>
  <c r="AB26" i="1" s="1"/>
  <c r="G85" i="24"/>
  <c r="AA26" i="1" s="1"/>
  <c r="G84" i="24"/>
  <c r="Z26" i="1" s="1"/>
  <c r="G83" i="24"/>
  <c r="G82"/>
  <c r="G78"/>
  <c r="AS27" i="44" s="1"/>
  <c r="G77" i="24"/>
  <c r="AR27" i="44" s="1"/>
  <c r="G76" i="24"/>
  <c r="AQ27" i="44" s="1"/>
  <c r="G75" i="24"/>
  <c r="AP27" i="44" s="1"/>
  <c r="G74" i="24"/>
  <c r="G70"/>
  <c r="Z15" i="45" s="1"/>
  <c r="G69" i="24"/>
  <c r="Z14" i="45" s="1"/>
  <c r="G68" i="24"/>
  <c r="Z13" i="45" s="1"/>
  <c r="G67" i="24"/>
  <c r="G66"/>
  <c r="G65"/>
  <c r="G63"/>
  <c r="Z8" i="45" s="1"/>
  <c r="G62" i="24"/>
  <c r="Z7" i="45" s="1"/>
  <c r="G58" i="2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3"/>
  <c r="G184"/>
  <c r="G183"/>
  <c r="G180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/>
  <c r="G163"/>
  <c r="G162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/>
  <c r="G132"/>
  <c r="G131"/>
  <c r="G129"/>
  <c r="G128"/>
  <c r="G1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/>
  <c r="G113"/>
  <c r="G112"/>
  <c r="G92"/>
  <c r="AL25" i="1" s="1"/>
  <c r="G91" i="23"/>
  <c r="G90"/>
  <c r="G89"/>
  <c r="G88"/>
  <c r="G87"/>
  <c r="AC25" i="1" s="1"/>
  <c r="G86" i="23"/>
  <c r="AB25" i="1" s="1"/>
  <c r="G85" i="23"/>
  <c r="AA25" i="1" s="1"/>
  <c r="G84" i="23"/>
  <c r="Z25" i="1" s="1"/>
  <c r="G83" i="23"/>
  <c r="G82"/>
  <c r="G78"/>
  <c r="AS26" i="44" s="1"/>
  <c r="G77" i="23"/>
  <c r="AR26" i="44" s="1"/>
  <c r="G76" i="23"/>
  <c r="AQ26" i="44" s="1"/>
  <c r="G75" i="23"/>
  <c r="AP26" i="44" s="1"/>
  <c r="G74" i="23"/>
  <c r="G70"/>
  <c r="Y15" i="45" s="1"/>
  <c r="G69" i="23"/>
  <c r="Y14" i="45" s="1"/>
  <c r="G68" i="23"/>
  <c r="Y13" i="45" s="1"/>
  <c r="G67" i="23"/>
  <c r="G66"/>
  <c r="G65"/>
  <c r="G63"/>
  <c r="Y8" i="45" s="1"/>
  <c r="G62" i="23"/>
  <c r="Y7" i="45" s="1"/>
  <c r="G58" i="23"/>
  <c r="G57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2"/>
  <c r="G184"/>
  <c r="G183"/>
  <c r="G180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/>
  <c r="G163"/>
  <c r="G16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/>
  <c r="G132"/>
  <c r="G131"/>
  <c r="G130"/>
  <c r="G129"/>
  <c r="G128"/>
  <c r="G123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/>
  <c r="G113"/>
  <c r="G112"/>
  <c r="G92"/>
  <c r="AL24" i="1" s="1"/>
  <c r="G91" i="22"/>
  <c r="G90"/>
  <c r="G89"/>
  <c r="G88"/>
  <c r="G87"/>
  <c r="AC24" i="1" s="1"/>
  <c r="G86" i="22"/>
  <c r="AB24" i="1" s="1"/>
  <c r="G85" i="22"/>
  <c r="AA24" i="1" s="1"/>
  <c r="G84" i="22"/>
  <c r="Z24" i="1" s="1"/>
  <c r="G83" i="22"/>
  <c r="G82"/>
  <c r="G78"/>
  <c r="AS25" i="44" s="1"/>
  <c r="G77" i="22"/>
  <c r="AR25" i="44" s="1"/>
  <c r="G76" i="22"/>
  <c r="AQ25" i="44" s="1"/>
  <c r="G75" i="22"/>
  <c r="AP25" i="44" s="1"/>
  <c r="G74" i="22"/>
  <c r="G70"/>
  <c r="X15" i="45" s="1"/>
  <c r="G69" i="22"/>
  <c r="X14" i="45" s="1"/>
  <c r="G68" i="22"/>
  <c r="X13" i="45" s="1"/>
  <c r="G67" i="22"/>
  <c r="G66"/>
  <c r="G65"/>
  <c r="G63"/>
  <c r="X8" i="45" s="1"/>
  <c r="G62" i="22"/>
  <c r="X7" i="45" s="1"/>
  <c r="G58" i="22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1"/>
  <c r="G184"/>
  <c r="G183"/>
  <c r="G180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/>
  <c r="G163"/>
  <c r="G162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/>
  <c r="G132"/>
  <c r="G131"/>
  <c r="G130"/>
  <c r="G129"/>
  <c r="G128"/>
  <c r="G123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/>
  <c r="G113"/>
  <c r="G112"/>
  <c r="G92"/>
  <c r="AL23" i="1" s="1"/>
  <c r="G91" i="21"/>
  <c r="G90"/>
  <c r="G89"/>
  <c r="G88"/>
  <c r="G87"/>
  <c r="AC23" i="1" s="1"/>
  <c r="G86" i="21"/>
  <c r="AB23" i="1" s="1"/>
  <c r="G85" i="21"/>
  <c r="AA23" i="1" s="1"/>
  <c r="G84" i="21"/>
  <c r="Z23" i="1" s="1"/>
  <c r="G83" i="21"/>
  <c r="G82"/>
  <c r="G78"/>
  <c r="AS24" i="44" s="1"/>
  <c r="G77" i="21"/>
  <c r="AR24" i="44" s="1"/>
  <c r="G76" i="21"/>
  <c r="AQ24" i="44" s="1"/>
  <c r="G75" i="21"/>
  <c r="AP24" i="44" s="1"/>
  <c r="G74" i="21"/>
  <c r="G70"/>
  <c r="W15" i="45" s="1"/>
  <c r="G69" i="21"/>
  <c r="W14" i="45" s="1"/>
  <c r="G68" i="21"/>
  <c r="W13" i="45" s="1"/>
  <c r="G67" i="21"/>
  <c r="G66"/>
  <c r="G65"/>
  <c r="G63"/>
  <c r="W8" i="45" s="1"/>
  <c r="G62" i="21"/>
  <c r="G58"/>
  <c r="G57"/>
  <c r="G56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20"/>
  <c r="G184"/>
  <c r="G183"/>
  <c r="G18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/>
  <c r="G163"/>
  <c r="G162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/>
  <c r="G132"/>
  <c r="G131"/>
  <c r="G130"/>
  <c r="G129"/>
  <c r="G128"/>
  <c r="G123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/>
  <c r="G113"/>
  <c r="G112"/>
  <c r="G92"/>
  <c r="AL22" i="1" s="1"/>
  <c r="G91" i="20"/>
  <c r="G90"/>
  <c r="G89"/>
  <c r="G88"/>
  <c r="G87"/>
  <c r="AC22" i="1" s="1"/>
  <c r="G86" i="20"/>
  <c r="AB22" i="1" s="1"/>
  <c r="G85" i="20"/>
  <c r="AA22" i="1" s="1"/>
  <c r="G84" i="20"/>
  <c r="Z22" i="1" s="1"/>
  <c r="G83" i="20"/>
  <c r="G82"/>
  <c r="G78"/>
  <c r="AS23" i="44" s="1"/>
  <c r="G77" i="20"/>
  <c r="AR23" i="44" s="1"/>
  <c r="G76" i="20"/>
  <c r="AQ23" i="44" s="1"/>
  <c r="G75" i="20"/>
  <c r="AP23" i="44" s="1"/>
  <c r="G74" i="20"/>
  <c r="G70"/>
  <c r="V15" i="45" s="1"/>
  <c r="G69" i="20"/>
  <c r="V14" i="45" s="1"/>
  <c r="G68" i="20"/>
  <c r="V13" i="45" s="1"/>
  <c r="G67" i="20"/>
  <c r="G66"/>
  <c r="G65"/>
  <c r="G63"/>
  <c r="V8" i="45" s="1"/>
  <c r="G62" i="20"/>
  <c r="V7" i="45" s="1"/>
  <c r="G58" i="20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9"/>
  <c r="G184"/>
  <c r="G183"/>
  <c r="G180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/>
  <c r="G163"/>
  <c r="G162"/>
  <c r="AB22" i="44" s="1"/>
  <c r="G161" i="19"/>
  <c r="G142"/>
  <c r="R22" i="44" s="1"/>
  <c r="G141" i="19"/>
  <c r="Q22" i="44" s="1"/>
  <c r="G140" i="19"/>
  <c r="P22" i="44" s="1"/>
  <c r="G139" i="19"/>
  <c r="O22" i="44" s="1"/>
  <c r="G138" i="19"/>
  <c r="G133"/>
  <c r="G132"/>
  <c r="G131"/>
  <c r="G130"/>
  <c r="G129"/>
  <c r="G128"/>
  <c r="G123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/>
  <c r="G113"/>
  <c r="G112"/>
  <c r="G92"/>
  <c r="AL21" i="1" s="1"/>
  <c r="G91" i="19"/>
  <c r="G90"/>
  <c r="G89"/>
  <c r="G88"/>
  <c r="G87"/>
  <c r="AC21" i="1" s="1"/>
  <c r="G86" i="19"/>
  <c r="AB21" i="1" s="1"/>
  <c r="G85" i="19"/>
  <c r="AA21" i="1" s="1"/>
  <c r="Z21"/>
  <c r="G83" i="19"/>
  <c r="G82"/>
  <c r="G78"/>
  <c r="AS22" i="44" s="1"/>
  <c r="G77" i="19"/>
  <c r="AR22" i="44" s="1"/>
  <c r="AQ22"/>
  <c r="G75" i="19"/>
  <c r="AP22" i="44" s="1"/>
  <c r="G70" i="19"/>
  <c r="U15" i="45" s="1"/>
  <c r="G69" i="19"/>
  <c r="U14" i="45" s="1"/>
  <c r="G68" i="19"/>
  <c r="U13" i="45" s="1"/>
  <c r="G66" i="19"/>
  <c r="G65"/>
  <c r="G63"/>
  <c r="U8" i="45" s="1"/>
  <c r="G62" i="19"/>
  <c r="U7" i="45" s="1"/>
  <c r="G58" i="19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18"/>
  <c r="E31" s="1"/>
  <c r="G31" s="1"/>
  <c r="K9"/>
  <c r="M8"/>
  <c r="G185" i="18"/>
  <c r="G184"/>
  <c r="G183"/>
  <c r="G180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/>
  <c r="G163"/>
  <c r="G162"/>
  <c r="AB21" i="44" s="1"/>
  <c r="G161" i="18"/>
  <c r="G142"/>
  <c r="R21" i="44" s="1"/>
  <c r="G141" i="18"/>
  <c r="Q21" i="44" s="1"/>
  <c r="G140" i="18"/>
  <c r="P21" i="44" s="1"/>
  <c r="G139" i="18"/>
  <c r="O21" i="44" s="1"/>
  <c r="G138" i="18"/>
  <c r="G133"/>
  <c r="G132"/>
  <c r="G131"/>
  <c r="G130"/>
  <c r="G129"/>
  <c r="G128"/>
  <c r="G123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/>
  <c r="G113"/>
  <c r="G112"/>
  <c r="G92"/>
  <c r="AL20" i="1" s="1"/>
  <c r="G91" i="18"/>
  <c r="G90"/>
  <c r="G89"/>
  <c r="G88"/>
  <c r="G87"/>
  <c r="AC20" i="1" s="1"/>
  <c r="G86" i="18"/>
  <c r="AB20" i="1" s="1"/>
  <c r="G85" i="18"/>
  <c r="AA20" i="1" s="1"/>
  <c r="G84" i="18"/>
  <c r="Z20" i="1" s="1"/>
  <c r="G83" i="18"/>
  <c r="G82"/>
  <c r="G78"/>
  <c r="AS21" i="44" s="1"/>
  <c r="G77" i="18"/>
  <c r="AR21" i="44" s="1"/>
  <c r="G76" i="18"/>
  <c r="AQ21" i="44" s="1"/>
  <c r="G75" i="18"/>
  <c r="AP21" i="44" s="1"/>
  <c r="G74" i="18"/>
  <c r="G70"/>
  <c r="T15" i="45" s="1"/>
  <c r="G69" i="18"/>
  <c r="T14" i="45" s="1"/>
  <c r="G68" i="18"/>
  <c r="T13" i="45" s="1"/>
  <c r="G67" i="18"/>
  <c r="G66"/>
  <c r="G65"/>
  <c r="G63"/>
  <c r="T8" i="45" s="1"/>
  <c r="G62" i="18"/>
  <c r="T7" i="45" s="1"/>
  <c r="G58" i="1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7"/>
  <c r="G184"/>
  <c r="G183"/>
  <c r="G180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/>
  <c r="G163"/>
  <c r="G162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/>
  <c r="G132"/>
  <c r="G131"/>
  <c r="G130"/>
  <c r="G129"/>
  <c r="G128"/>
  <c r="G123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/>
  <c r="G112"/>
  <c r="AL19" i="1"/>
  <c r="G90" i="17"/>
  <c r="G89"/>
  <c r="G88"/>
  <c r="G87"/>
  <c r="AC19" i="1" s="1"/>
  <c r="G86" i="17"/>
  <c r="AB19" i="1" s="1"/>
  <c r="G85" i="17"/>
  <c r="AA19" i="1" s="1"/>
  <c r="G84" i="17"/>
  <c r="Z19" i="1" s="1"/>
  <c r="G83" i="17"/>
  <c r="G82"/>
  <c r="G78"/>
  <c r="AS20" i="44" s="1"/>
  <c r="G77" i="17"/>
  <c r="AR20" i="44" s="1"/>
  <c r="G76" i="17"/>
  <c r="AQ20" i="44" s="1"/>
  <c r="G75" i="17"/>
  <c r="AP20" i="44" s="1"/>
  <c r="G74" i="17"/>
  <c r="G70"/>
  <c r="S15" i="45" s="1"/>
  <c r="G69" i="17"/>
  <c r="S14" i="45" s="1"/>
  <c r="G68" i="17"/>
  <c r="S13" i="45" s="1"/>
  <c r="G67" i="17"/>
  <c r="G66"/>
  <c r="G65"/>
  <c r="G63"/>
  <c r="S8" i="45" s="1"/>
  <c r="G62" i="17"/>
  <c r="S7" i="45" s="1"/>
  <c r="G58" i="17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K9"/>
  <c r="M8"/>
  <c r="G185" i="16"/>
  <c r="G184"/>
  <c r="G183"/>
  <c r="G180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/>
  <c r="G163"/>
  <c r="G162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/>
  <c r="G132"/>
  <c r="G131"/>
  <c r="G130"/>
  <c r="G129"/>
  <c r="G128"/>
  <c r="G123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/>
  <c r="G113"/>
  <c r="G112"/>
  <c r="G92"/>
  <c r="AL18" i="1" s="1"/>
  <c r="G91" i="16"/>
  <c r="G90"/>
  <c r="G89"/>
  <c r="G88"/>
  <c r="G87"/>
  <c r="AC18" i="1" s="1"/>
  <c r="G86" i="16"/>
  <c r="AB18" i="1" s="1"/>
  <c r="G85" i="16"/>
  <c r="AA18" i="1" s="1"/>
  <c r="G84" i="16"/>
  <c r="Z18" i="1" s="1"/>
  <c r="G83" i="16"/>
  <c r="G82"/>
  <c r="G78"/>
  <c r="AS19" i="44" s="1"/>
  <c r="G77" i="16"/>
  <c r="AR19" i="44" s="1"/>
  <c r="G76" i="16"/>
  <c r="AQ19" i="44" s="1"/>
  <c r="G75" i="16"/>
  <c r="AP19" i="44" s="1"/>
  <c r="G74" i="16"/>
  <c r="G70"/>
  <c r="R15" i="45" s="1"/>
  <c r="G69" i="16"/>
  <c r="R14" i="45" s="1"/>
  <c r="G68" i="16"/>
  <c r="R13" i="45" s="1"/>
  <c r="G67" i="16"/>
  <c r="G66"/>
  <c r="G65"/>
  <c r="G63"/>
  <c r="R8" i="45" s="1"/>
  <c r="G62" i="16"/>
  <c r="R7" i="45" s="1"/>
  <c r="G58" i="16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K9"/>
  <c r="M8"/>
  <c r="G185" i="15"/>
  <c r="G184"/>
  <c r="G183"/>
  <c r="G180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/>
  <c r="G163"/>
  <c r="G162"/>
  <c r="AB18" i="44" s="1"/>
  <c r="G161" i="15"/>
  <c r="G142"/>
  <c r="R18" i="44" s="1"/>
  <c r="G141" i="15"/>
  <c r="Q18" i="44" s="1"/>
  <c r="G140" i="15"/>
  <c r="P18" i="44" s="1"/>
  <c r="G139" i="15"/>
  <c r="O18" i="44" s="1"/>
  <c r="G138" i="15"/>
  <c r="G133"/>
  <c r="G132"/>
  <c r="G131"/>
  <c r="G130"/>
  <c r="G129"/>
  <c r="G128"/>
  <c r="G123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/>
  <c r="G113"/>
  <c r="G112"/>
  <c r="G92"/>
  <c r="AL17" i="1" s="1"/>
  <c r="G91" i="15"/>
  <c r="G90"/>
  <c r="G89"/>
  <c r="G88"/>
  <c r="G87"/>
  <c r="AC17" i="1" s="1"/>
  <c r="G86" i="15"/>
  <c r="AB17" i="1" s="1"/>
  <c r="G85" i="15"/>
  <c r="AA17" i="1" s="1"/>
  <c r="G84" i="15"/>
  <c r="Z17" i="1" s="1"/>
  <c r="G83" i="15"/>
  <c r="G82"/>
  <c r="G78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/>
  <c r="G65"/>
  <c r="G63"/>
  <c r="Q8" i="45" s="1"/>
  <c r="G62" i="15"/>
  <c r="Q7" i="45" s="1"/>
  <c r="G58" i="15"/>
  <c r="G57"/>
  <c r="G56"/>
  <c r="G55"/>
  <c r="G54"/>
  <c r="G53"/>
  <c r="G52"/>
  <c r="G51"/>
  <c r="G50"/>
  <c r="G49"/>
  <c r="G46"/>
  <c r="G45"/>
  <c r="G44"/>
  <c r="AO17" i="1" s="1"/>
  <c r="G43" i="15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4"/>
  <c r="G184"/>
  <c r="G183"/>
  <c r="G180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/>
  <c r="G163"/>
  <c r="G162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/>
  <c r="G132"/>
  <c r="G131"/>
  <c r="G130"/>
  <c r="G129"/>
  <c r="G128"/>
  <c r="G123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/>
  <c r="G113"/>
  <c r="G112"/>
  <c r="G92"/>
  <c r="AL16" i="1" s="1"/>
  <c r="G91" i="14"/>
  <c r="G90"/>
  <c r="G89"/>
  <c r="G88"/>
  <c r="G87"/>
  <c r="AC16" i="1" s="1"/>
  <c r="G86" i="14"/>
  <c r="AB16" i="1" s="1"/>
  <c r="G85" i="14"/>
  <c r="AA16" i="1" s="1"/>
  <c r="G84" i="14"/>
  <c r="Z16" i="1" s="1"/>
  <c r="G83" i="14"/>
  <c r="G82"/>
  <c r="G78"/>
  <c r="AS17" i="44" s="1"/>
  <c r="G77" i="14"/>
  <c r="AR17" i="44" s="1"/>
  <c r="G76" i="14"/>
  <c r="AQ17" i="44" s="1"/>
  <c r="G75" i="14"/>
  <c r="AP17" i="44" s="1"/>
  <c r="G74" i="14"/>
  <c r="G70"/>
  <c r="P15" i="45" s="1"/>
  <c r="G69" i="14"/>
  <c r="P14" i="45" s="1"/>
  <c r="G68" i="14"/>
  <c r="P13" i="45" s="1"/>
  <c r="G67" i="14"/>
  <c r="G66"/>
  <c r="G65"/>
  <c r="G63"/>
  <c r="P8" i="45" s="1"/>
  <c r="G62" i="14"/>
  <c r="P7" i="45" s="1"/>
  <c r="G58" i="14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3"/>
  <c r="G184"/>
  <c r="G183"/>
  <c r="G180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/>
  <c r="G163"/>
  <c r="G162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/>
  <c r="G132"/>
  <c r="G131"/>
  <c r="G130"/>
  <c r="G129"/>
  <c r="G128"/>
  <c r="G12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/>
  <c r="G113"/>
  <c r="G112"/>
  <c r="G92"/>
  <c r="AL15" i="1" s="1"/>
  <c r="G91" i="13"/>
  <c r="G90"/>
  <c r="G89"/>
  <c r="G88"/>
  <c r="G87"/>
  <c r="AC15" i="1" s="1"/>
  <c r="G86" i="13"/>
  <c r="AB15" i="1" s="1"/>
  <c r="G85" i="13"/>
  <c r="AA15" i="1" s="1"/>
  <c r="G84" i="13"/>
  <c r="Z15" i="1" s="1"/>
  <c r="G83" i="13"/>
  <c r="G82"/>
  <c r="G78"/>
  <c r="AS16" i="44" s="1"/>
  <c r="G77" i="13"/>
  <c r="AR16" i="44" s="1"/>
  <c r="G76" i="13"/>
  <c r="AQ16" i="44" s="1"/>
  <c r="G75" i="13"/>
  <c r="AP16" i="44" s="1"/>
  <c r="G74" i="13"/>
  <c r="G70"/>
  <c r="G69"/>
  <c r="O14" i="45" s="1"/>
  <c r="G68" i="13"/>
  <c r="O13" i="45" s="1"/>
  <c r="G67" i="13"/>
  <c r="G66"/>
  <c r="G65"/>
  <c r="G63"/>
  <c r="O8" i="45" s="1"/>
  <c r="G62" i="1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2"/>
  <c r="G184"/>
  <c r="G183"/>
  <c r="G180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/>
  <c r="G163"/>
  <c r="G16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/>
  <c r="G132"/>
  <c r="G131"/>
  <c r="G130"/>
  <c r="G129"/>
  <c r="G128"/>
  <c r="G123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/>
  <c r="G113"/>
  <c r="G112"/>
  <c r="G92"/>
  <c r="AL14" i="1" s="1"/>
  <c r="G91" i="12"/>
  <c r="G90"/>
  <c r="G89"/>
  <c r="G88"/>
  <c r="G87"/>
  <c r="AC14" i="1" s="1"/>
  <c r="G86" i="12"/>
  <c r="AB14" i="1" s="1"/>
  <c r="G85" i="12"/>
  <c r="AA14" i="1" s="1"/>
  <c r="G84" i="12"/>
  <c r="Z14" i="1" s="1"/>
  <c r="G83" i="12"/>
  <c r="G82"/>
  <c r="G78"/>
  <c r="AS15" i="44" s="1"/>
  <c r="G77" i="12"/>
  <c r="AR15" i="44" s="1"/>
  <c r="G76" i="12"/>
  <c r="AQ15" i="44" s="1"/>
  <c r="G75" i="12"/>
  <c r="AP15" i="44" s="1"/>
  <c r="G74" i="12"/>
  <c r="G70"/>
  <c r="N15" i="45" s="1"/>
  <c r="G69" i="12"/>
  <c r="N14" i="45" s="1"/>
  <c r="G68" i="12"/>
  <c r="N13" i="45" s="1"/>
  <c r="G67" i="12"/>
  <c r="G66"/>
  <c r="G65"/>
  <c r="G63"/>
  <c r="N8" i="45" s="1"/>
  <c r="G62" i="1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1"/>
  <c r="G184"/>
  <c r="G183"/>
  <c r="G180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/>
  <c r="G163"/>
  <c r="G162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/>
  <c r="AM14" i="44" s="1"/>
  <c r="G132" i="11"/>
  <c r="G131"/>
  <c r="G130"/>
  <c r="G129"/>
  <c r="G128"/>
  <c r="G123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/>
  <c r="G113"/>
  <c r="G112"/>
  <c r="G92"/>
  <c r="AL13" i="1" s="1"/>
  <c r="G91" i="11"/>
  <c r="G90"/>
  <c r="G89"/>
  <c r="G88"/>
  <c r="G87"/>
  <c r="AC13" i="1" s="1"/>
  <c r="G86" i="11"/>
  <c r="AB13" i="1" s="1"/>
  <c r="G85" i="11"/>
  <c r="AA13" i="1" s="1"/>
  <c r="G84" i="11"/>
  <c r="Z13" i="1" s="1"/>
  <c r="G83" i="11"/>
  <c r="G82"/>
  <c r="G78"/>
  <c r="AS14" i="44" s="1"/>
  <c r="G77" i="11"/>
  <c r="AR14" i="44" s="1"/>
  <c r="G76" i="11"/>
  <c r="AQ14" i="44" s="1"/>
  <c r="G75" i="11"/>
  <c r="AP14" i="44" s="1"/>
  <c r="G74" i="11"/>
  <c r="G70"/>
  <c r="M15" i="45" s="1"/>
  <c r="G69" i="11"/>
  <c r="M14" i="45" s="1"/>
  <c r="G68" i="11"/>
  <c r="M13" i="45" s="1"/>
  <c r="G67" i="11"/>
  <c r="G66"/>
  <c r="G65"/>
  <c r="G63"/>
  <c r="M8" i="45" s="1"/>
  <c r="G62" i="11"/>
  <c r="M7" i="45" s="1"/>
  <c r="G58" i="11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10"/>
  <c r="G184"/>
  <c r="G183"/>
  <c r="G18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/>
  <c r="G163"/>
  <c r="G162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/>
  <c r="AM13" i="44" s="1"/>
  <c r="G132" i="10"/>
  <c r="G131"/>
  <c r="G130"/>
  <c r="G129"/>
  <c r="G128"/>
  <c r="G123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/>
  <c r="G113"/>
  <c r="G112"/>
  <c r="G92"/>
  <c r="AL12" i="1" s="1"/>
  <c r="G91" i="10"/>
  <c r="G90"/>
  <c r="G89"/>
  <c r="G88"/>
  <c r="G87"/>
  <c r="AC12" i="1" s="1"/>
  <c r="G86" i="10"/>
  <c r="AB12" i="1" s="1"/>
  <c r="G85" i="10"/>
  <c r="AA12" i="1" s="1"/>
  <c r="G84" i="10"/>
  <c r="Z12" i="1" s="1"/>
  <c r="G83" i="10"/>
  <c r="G82"/>
  <c r="G78"/>
  <c r="AS13" i="44" s="1"/>
  <c r="G77" i="10"/>
  <c r="AR13" i="44" s="1"/>
  <c r="G76" i="10"/>
  <c r="AQ13" i="44" s="1"/>
  <c r="G75" i="10"/>
  <c r="AP13" i="44" s="1"/>
  <c r="G74" i="10"/>
  <c r="G70"/>
  <c r="L15" i="45" s="1"/>
  <c r="G69" i="10"/>
  <c r="L14" i="45" s="1"/>
  <c r="G68" i="10"/>
  <c r="L13" i="45" s="1"/>
  <c r="G67" i="10"/>
  <c r="G66"/>
  <c r="G65"/>
  <c r="G63"/>
  <c r="L8" i="45" s="1"/>
  <c r="G62" i="10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9"/>
  <c r="G184"/>
  <c r="G183"/>
  <c r="G180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/>
  <c r="G163"/>
  <c r="G162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/>
  <c r="AM12" i="44" s="1"/>
  <c r="G132" i="9"/>
  <c r="G131"/>
  <c r="G130"/>
  <c r="G129"/>
  <c r="G128"/>
  <c r="G123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/>
  <c r="G113"/>
  <c r="G112"/>
  <c r="G92"/>
  <c r="AL11" i="1" s="1"/>
  <c r="G91" i="9"/>
  <c r="G90"/>
  <c r="G89"/>
  <c r="G88"/>
  <c r="G87"/>
  <c r="AC11" i="1" s="1"/>
  <c r="G86" i="9"/>
  <c r="AB11" i="1" s="1"/>
  <c r="G85" i="9"/>
  <c r="AA11" i="1" s="1"/>
  <c r="G84" i="9"/>
  <c r="Z11" i="1" s="1"/>
  <c r="G83" i="9"/>
  <c r="G82"/>
  <c r="G78"/>
  <c r="AS12" i="44" s="1"/>
  <c r="G77" i="9"/>
  <c r="AR12" i="44" s="1"/>
  <c r="G76" i="9"/>
  <c r="AQ12" i="44" s="1"/>
  <c r="G75" i="9"/>
  <c r="AP12" i="44" s="1"/>
  <c r="G74" i="9"/>
  <c r="G70"/>
  <c r="K15" i="45" s="1"/>
  <c r="G69" i="9"/>
  <c r="K14" i="45" s="1"/>
  <c r="G68" i="9"/>
  <c r="K13" i="45" s="1"/>
  <c r="G67" i="9"/>
  <c r="G66"/>
  <c r="G65"/>
  <c r="G63"/>
  <c r="K8" i="45" s="1"/>
  <c r="G62" i="9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G10"/>
  <c r="K9"/>
  <c r="M8"/>
  <c r="G188" i="29" l="1"/>
  <c r="AD8" i="45"/>
  <c r="AD13"/>
  <c r="AD15"/>
  <c r="AD14"/>
  <c r="G47" i="17"/>
  <c r="N7" i="45"/>
  <c r="O15"/>
  <c r="G188" i="13"/>
  <c r="G13" i="3"/>
  <c r="H13" s="1"/>
  <c r="J13" s="1"/>
  <c r="E19" i="7"/>
  <c r="E15" i="8"/>
  <c r="G15" i="18"/>
  <c r="G79" s="1"/>
  <c r="G80" s="1"/>
  <c r="E7" i="8"/>
  <c r="G10" i="17"/>
  <c r="E8" i="8"/>
  <c r="E9"/>
  <c r="AD13" i="44"/>
  <c r="G47" i="29"/>
  <c r="AD29" i="44"/>
  <c r="G153" i="19"/>
  <c r="I153" s="1"/>
  <c r="G47"/>
  <c r="AD24" i="44"/>
  <c r="AD22"/>
  <c r="AD21"/>
  <c r="AD32"/>
  <c r="AD26"/>
  <c r="AD27"/>
  <c r="AD31"/>
  <c r="AD35"/>
  <c r="AD33"/>
  <c r="AD34"/>
  <c r="G153" i="29"/>
  <c r="I153" s="1"/>
  <c r="AD30" i="44"/>
  <c r="AD28"/>
  <c r="AD25"/>
  <c r="AD23"/>
  <c r="AD20"/>
  <c r="AD19"/>
  <c r="AD18"/>
  <c r="AD17"/>
  <c r="AD16"/>
  <c r="AD15"/>
  <c r="AD14"/>
  <c r="AD12"/>
  <c r="AF21" i="45"/>
  <c r="G181" i="30"/>
  <c r="G189" s="1"/>
  <c r="G135" i="12"/>
  <c r="I135" s="1"/>
  <c r="G135" i="19"/>
  <c r="I135" s="1"/>
  <c r="G135" i="9"/>
  <c r="I135" s="1"/>
  <c r="G125" i="23"/>
  <c r="I125" s="1"/>
  <c r="G135" i="22"/>
  <c r="I135" s="1"/>
  <c r="G125" i="11"/>
  <c r="I125" s="1"/>
  <c r="G135" i="13"/>
  <c r="I135" s="1"/>
  <c r="G135" i="28"/>
  <c r="I135" s="1"/>
  <c r="G125" i="31"/>
  <c r="I125" s="1"/>
  <c r="G135" i="40"/>
  <c r="I135" s="1"/>
  <c r="N25" i="44"/>
  <c r="G153" i="22"/>
  <c r="I153" s="1"/>
  <c r="N18" i="44"/>
  <c r="G153" i="15"/>
  <c r="I153" s="1"/>
  <c r="G135" i="18"/>
  <c r="I135" s="1"/>
  <c r="G125" i="20"/>
  <c r="I125" s="1"/>
  <c r="N26" i="44"/>
  <c r="G153" i="23"/>
  <c r="I153" s="1"/>
  <c r="G125" i="27"/>
  <c r="I125" s="1"/>
  <c r="N32" i="44"/>
  <c r="G135" i="43"/>
  <c r="I135" s="1"/>
  <c r="N29" i="44"/>
  <c r="G153" i="40"/>
  <c r="I153" s="1"/>
  <c r="G125" i="10"/>
  <c r="I125" s="1"/>
  <c r="N14" i="44"/>
  <c r="G153" i="11"/>
  <c r="I153" s="1"/>
  <c r="G125" i="14"/>
  <c r="I125" s="1"/>
  <c r="G125" i="16"/>
  <c r="I125" s="1"/>
  <c r="G125" i="30"/>
  <c r="I125" s="1"/>
  <c r="N35" i="44"/>
  <c r="G153" i="31"/>
  <c r="I153" s="1"/>
  <c r="G135" i="15"/>
  <c r="I135" s="1"/>
  <c r="G125" i="17"/>
  <c r="I125" s="1"/>
  <c r="N23" i="44"/>
  <c r="G153" i="20"/>
  <c r="I153" s="1"/>
  <c r="G125" i="21"/>
  <c r="I125" s="1"/>
  <c r="G125" i="25"/>
  <c r="I125" s="1"/>
  <c r="N30" i="44"/>
  <c r="G153" i="27"/>
  <c r="I153" s="1"/>
  <c r="G135" i="29"/>
  <c r="I135" s="1"/>
  <c r="N15" i="44"/>
  <c r="G153" i="12"/>
  <c r="I153" s="1"/>
  <c r="G125" i="9"/>
  <c r="I125" s="1"/>
  <c r="N13" i="44"/>
  <c r="G153" i="10"/>
  <c r="I153" s="1"/>
  <c r="G135" i="11"/>
  <c r="I135" s="1"/>
  <c r="G125" i="13"/>
  <c r="N17" i="44"/>
  <c r="G153" i="14"/>
  <c r="I153" s="1"/>
  <c r="N19" i="44"/>
  <c r="G153" i="16"/>
  <c r="I153" s="1"/>
  <c r="N20" i="44"/>
  <c r="G153" i="17"/>
  <c r="I153" s="1"/>
  <c r="G135" i="23"/>
  <c r="I135" s="1"/>
  <c r="G125" i="28"/>
  <c r="I125" s="1"/>
  <c r="N33" i="44"/>
  <c r="G153" i="30"/>
  <c r="I153" s="1"/>
  <c r="G135" i="31"/>
  <c r="I135" s="1"/>
  <c r="G125" i="18"/>
  <c r="I125" s="1"/>
  <c r="G135" i="20"/>
  <c r="I135" s="1"/>
  <c r="N24" i="44"/>
  <c r="G153" i="21"/>
  <c r="I153" s="1"/>
  <c r="G135" i="27"/>
  <c r="I135" s="1"/>
  <c r="G125" i="43"/>
  <c r="I125" s="1"/>
  <c r="N12" i="44"/>
  <c r="G153" i="9"/>
  <c r="I153" s="1"/>
  <c r="G135" i="10"/>
  <c r="I135" s="1"/>
  <c r="G125" i="12"/>
  <c r="I125" s="1"/>
  <c r="N16" i="44"/>
  <c r="G153" i="13"/>
  <c r="I153" s="1"/>
  <c r="G135" i="14"/>
  <c r="I135" s="1"/>
  <c r="G135" i="16"/>
  <c r="I135" s="1"/>
  <c r="G135" i="17"/>
  <c r="I135" s="1"/>
  <c r="G125" i="19"/>
  <c r="I125" s="1"/>
  <c r="G125" i="22"/>
  <c r="I125" s="1"/>
  <c r="G125" i="40"/>
  <c r="I125" s="1"/>
  <c r="N31" i="44"/>
  <c r="G153" i="28"/>
  <c r="I153" s="1"/>
  <c r="G135" i="30"/>
  <c r="I135" s="1"/>
  <c r="G125" i="15"/>
  <c r="I125" s="1"/>
  <c r="G153" i="18"/>
  <c r="I153" s="1"/>
  <c r="G135" i="21"/>
  <c r="I135" s="1"/>
  <c r="G135" i="25"/>
  <c r="I135" s="1"/>
  <c r="G125" i="29"/>
  <c r="I125" s="1"/>
  <c r="N34" i="44"/>
  <c r="G153" i="43"/>
  <c r="I153" s="1"/>
  <c r="N28" i="44"/>
  <c r="G153" i="25"/>
  <c r="I153" s="1"/>
  <c r="N27" i="44"/>
  <c r="G153" i="24"/>
  <c r="I153" s="1"/>
  <c r="G135"/>
  <c r="I135" s="1"/>
  <c r="G125"/>
  <c r="I125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/>
  <c r="AW34" i="44"/>
  <c r="AK33" i="1"/>
  <c r="AU34" i="44"/>
  <c r="AO33" i="1"/>
  <c r="AO34" i="44"/>
  <c r="AG33" i="1"/>
  <c r="AV34" i="44"/>
  <c r="AI33" i="1"/>
  <c r="AX34" i="44"/>
  <c r="AX35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/>
  <c r="N22"/>
  <c r="AO22" i="1"/>
  <c r="AO23" i="44"/>
  <c r="AG21" i="1"/>
  <c r="AV22" i="44"/>
  <c r="AA22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s="1"/>
  <c r="AG17" i="1"/>
  <c r="AV18" i="44"/>
  <c r="AA18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/>
  <c r="BJ11"/>
  <c r="G96" i="11"/>
  <c r="G102" i="12"/>
  <c r="G98" i="13"/>
  <c r="G100"/>
  <c r="G102" i="27"/>
  <c r="G100" i="28"/>
  <c r="G102" i="43"/>
  <c r="J152" i="5"/>
  <c r="H152" i="33"/>
  <c r="G100" i="9"/>
  <c r="G102" i="16"/>
  <c r="G104" i="15"/>
  <c r="G102" i="19"/>
  <c r="G47" i="43"/>
  <c r="G186"/>
  <c r="G186" i="30"/>
  <c r="I88" i="28"/>
  <c r="I90" i="27"/>
  <c r="G186"/>
  <c r="G186" i="40"/>
  <c r="G47"/>
  <c r="I90" i="25"/>
  <c r="I90" i="23"/>
  <c r="G186" i="22"/>
  <c r="G186" i="21"/>
  <c r="I90" i="18"/>
  <c r="I90" i="16"/>
  <c r="I88" i="14"/>
  <c r="G186" i="11"/>
  <c r="G186" i="9"/>
  <c r="I90"/>
  <c r="H168" i="10"/>
  <c r="J168" i="9"/>
  <c r="H167" i="10"/>
  <c r="J167" i="9"/>
  <c r="H182" i="7"/>
  <c r="J182" i="33"/>
  <c r="H177" i="7"/>
  <c r="J177" i="33"/>
  <c r="J20" i="3"/>
  <c r="I20" s="1"/>
  <c r="G104" i="31"/>
  <c r="G186"/>
  <c r="G102"/>
  <c r="E31"/>
  <c r="G31" s="1"/>
  <c r="G94"/>
  <c r="G98"/>
  <c r="G100"/>
  <c r="I90"/>
  <c r="G71"/>
  <c r="I90" i="43"/>
  <c r="G71"/>
  <c r="G96"/>
  <c r="I90" i="30"/>
  <c r="G71"/>
  <c r="G100"/>
  <c r="G47"/>
  <c r="G100" i="29"/>
  <c r="G181" i="28"/>
  <c r="G189" s="1"/>
  <c r="G47" i="27"/>
  <c r="I90" i="40"/>
  <c r="G71"/>
  <c r="G96"/>
  <c r="G186" i="25"/>
  <c r="G176" i="24"/>
  <c r="G181"/>
  <c r="G189" s="1"/>
  <c r="G186" i="23"/>
  <c r="G71"/>
  <c r="G47"/>
  <c r="G47" i="22"/>
  <c r="G96" i="21"/>
  <c r="G186" i="20"/>
  <c r="I90"/>
  <c r="G71"/>
  <c r="I85" i="19"/>
  <c r="G104"/>
  <c r="G181" i="18"/>
  <c r="G189" s="1"/>
  <c r="I88"/>
  <c r="G186" i="16"/>
  <c r="G71"/>
  <c r="G47"/>
  <c r="G186" i="15"/>
  <c r="G79"/>
  <c r="G181" i="14"/>
  <c r="G189" s="1"/>
  <c r="I90"/>
  <c r="G176" i="13"/>
  <c r="G181"/>
  <c r="G189" s="1"/>
  <c r="I85"/>
  <c r="G186" i="12"/>
  <c r="G47"/>
  <c r="I90" i="11"/>
  <c r="G71"/>
  <c r="G47"/>
  <c r="G186" i="10"/>
  <c r="G47"/>
  <c r="G71" i="9"/>
  <c r="G96"/>
  <c r="G47"/>
  <c r="I88" i="31"/>
  <c r="G59"/>
  <c r="G176"/>
  <c r="G181"/>
  <c r="G189" s="1"/>
  <c r="G64"/>
  <c r="G96"/>
  <c r="G47"/>
  <c r="I85"/>
  <c r="G71" i="10"/>
  <c r="I90" i="12"/>
  <c r="G176" i="14"/>
  <c r="G181" i="15"/>
  <c r="G189" s="1"/>
  <c r="I90" i="10"/>
  <c r="G71" i="12"/>
  <c r="I88" i="17"/>
  <c r="G176" i="15"/>
  <c r="G181" i="17"/>
  <c r="G189" s="1"/>
  <c r="G186" i="18"/>
  <c r="G176" i="19"/>
  <c r="G176" i="21"/>
  <c r="G186" i="24"/>
  <c r="G176" i="28"/>
  <c r="G94" i="43"/>
  <c r="G59"/>
  <c r="G98"/>
  <c r="G100" i="14"/>
  <c r="G96" i="15"/>
  <c r="G79" i="16"/>
  <c r="G80" s="1"/>
  <c r="G102" i="17"/>
  <c r="G71" i="29"/>
  <c r="G176" i="18"/>
  <c r="G186" i="28"/>
  <c r="G104" i="14"/>
  <c r="G96"/>
  <c r="G104" i="43"/>
  <c r="G64"/>
  <c r="G176"/>
  <c r="G181"/>
  <c r="G189" s="1"/>
  <c r="G96" i="12"/>
  <c r="G102" i="14"/>
  <c r="G79" i="17"/>
  <c r="G80" s="1"/>
  <c r="G100"/>
  <c r="G104" i="18"/>
  <c r="G96"/>
  <c r="G186" i="19"/>
  <c r="I90" i="29"/>
  <c r="G186"/>
  <c r="G181" i="19"/>
  <c r="G189" s="1"/>
  <c r="I88" i="43"/>
  <c r="G100" i="15"/>
  <c r="G104" i="17"/>
  <c r="G96"/>
  <c r="G102" i="18"/>
  <c r="G71" i="25"/>
  <c r="G71" i="27"/>
  <c r="G102" i="24"/>
  <c r="G96" i="25"/>
  <c r="G71" i="22"/>
  <c r="I90"/>
  <c r="I85" i="43"/>
  <c r="G100" i="24"/>
  <c r="G104" i="28"/>
  <c r="G96"/>
  <c r="G96" i="29"/>
  <c r="G181" i="21"/>
  <c r="G189" s="1"/>
  <c r="G96" i="24"/>
  <c r="I88" i="30"/>
  <c r="G94"/>
  <c r="G59"/>
  <c r="G98"/>
  <c r="G176"/>
  <c r="G96"/>
  <c r="G104"/>
  <c r="G64"/>
  <c r="I85"/>
  <c r="I88" i="29"/>
  <c r="G59"/>
  <c r="G176"/>
  <c r="G181"/>
  <c r="G189" s="1"/>
  <c r="G64"/>
  <c r="I85"/>
  <c r="I90" i="28"/>
  <c r="G71"/>
  <c r="I85"/>
  <c r="G47"/>
  <c r="G59"/>
  <c r="G64"/>
  <c r="G94"/>
  <c r="G98"/>
  <c r="I88" i="27"/>
  <c r="G94"/>
  <c r="G59"/>
  <c r="G98"/>
  <c r="G176"/>
  <c r="G181"/>
  <c r="G189" s="1"/>
  <c r="G96"/>
  <c r="G104"/>
  <c r="G64"/>
  <c r="I85"/>
  <c r="I88" i="40"/>
  <c r="G94"/>
  <c r="G59"/>
  <c r="G98"/>
  <c r="G176"/>
  <c r="G181"/>
  <c r="G189" s="1"/>
  <c r="G104"/>
  <c r="G64"/>
  <c r="I85"/>
  <c r="I88" i="25"/>
  <c r="G59"/>
  <c r="G176"/>
  <c r="G181"/>
  <c r="G189" s="1"/>
  <c r="G64"/>
  <c r="G47"/>
  <c r="I85"/>
  <c r="I90" i="24"/>
  <c r="G71"/>
  <c r="I85"/>
  <c r="G47"/>
  <c r="I88"/>
  <c r="G59"/>
  <c r="G64"/>
  <c r="G94"/>
  <c r="G98"/>
  <c r="I88" i="23"/>
  <c r="G94"/>
  <c r="G59"/>
  <c r="G98"/>
  <c r="G176"/>
  <c r="G181"/>
  <c r="G189" s="1"/>
  <c r="G96"/>
  <c r="G104"/>
  <c r="G64"/>
  <c r="I85"/>
  <c r="I88" i="22"/>
  <c r="G94"/>
  <c r="G59"/>
  <c r="G98"/>
  <c r="G176"/>
  <c r="G181"/>
  <c r="G189" s="1"/>
  <c r="G96"/>
  <c r="G104"/>
  <c r="G64"/>
  <c r="I85"/>
  <c r="G64" i="21"/>
  <c r="G59"/>
  <c r="G71"/>
  <c r="I85"/>
  <c r="I90"/>
  <c r="G47"/>
  <c r="I88"/>
  <c r="G94"/>
  <c r="G98"/>
  <c r="I88" i="20"/>
  <c r="G59"/>
  <c r="G176"/>
  <c r="G181"/>
  <c r="G189" s="1"/>
  <c r="G96"/>
  <c r="G64"/>
  <c r="G47"/>
  <c r="I85"/>
  <c r="G64" i="19"/>
  <c r="I90"/>
  <c r="G96"/>
  <c r="G59"/>
  <c r="G71"/>
  <c r="I88"/>
  <c r="G94"/>
  <c r="G98"/>
  <c r="I85" i="18"/>
  <c r="G71"/>
  <c r="G47"/>
  <c r="G59"/>
  <c r="G64"/>
  <c r="G94"/>
  <c r="G98"/>
  <c r="G71" i="17"/>
  <c r="I85"/>
  <c r="I90"/>
  <c r="G186"/>
  <c r="G59"/>
  <c r="G64"/>
  <c r="G94"/>
  <c r="G98"/>
  <c r="E28"/>
  <c r="G28" s="1"/>
  <c r="I88" i="16"/>
  <c r="G94"/>
  <c r="G59"/>
  <c r="G98"/>
  <c r="G176"/>
  <c r="G181"/>
  <c r="G189" s="1"/>
  <c r="G96"/>
  <c r="G104"/>
  <c r="G64"/>
  <c r="I85"/>
  <c r="E28"/>
  <c r="G28" s="1"/>
  <c r="I90" i="15"/>
  <c r="G64"/>
  <c r="G59"/>
  <c r="G71"/>
  <c r="I85"/>
  <c r="G47"/>
  <c r="I88"/>
  <c r="G94"/>
  <c r="G98"/>
  <c r="E28"/>
  <c r="G28" s="1"/>
  <c r="I85" i="14"/>
  <c r="G186"/>
  <c r="G71"/>
  <c r="G47"/>
  <c r="G59"/>
  <c r="G64"/>
  <c r="G94"/>
  <c r="G98"/>
  <c r="G59" i="13"/>
  <c r="G71"/>
  <c r="G64"/>
  <c r="I90"/>
  <c r="G96"/>
  <c r="G186"/>
  <c r="G47"/>
  <c r="I88"/>
  <c r="G64" i="12"/>
  <c r="I88"/>
  <c r="G94"/>
  <c r="G59"/>
  <c r="G98"/>
  <c r="G176"/>
  <c r="G181"/>
  <c r="G189" s="1"/>
  <c r="G104"/>
  <c r="I85"/>
  <c r="G64" i="11"/>
  <c r="I88"/>
  <c r="G94"/>
  <c r="G59"/>
  <c r="G98"/>
  <c r="G176"/>
  <c r="G181"/>
  <c r="G189" s="1"/>
  <c r="G104"/>
  <c r="I85"/>
  <c r="G104" i="10"/>
  <c r="G64"/>
  <c r="I88"/>
  <c r="G94"/>
  <c r="G59"/>
  <c r="G98"/>
  <c r="G100"/>
  <c r="G102"/>
  <c r="G176"/>
  <c r="G181"/>
  <c r="G189" s="1"/>
  <c r="G96"/>
  <c r="I85"/>
  <c r="G64" i="9"/>
  <c r="I88"/>
  <c r="G59"/>
  <c r="G94"/>
  <c r="G98"/>
  <c r="G176"/>
  <c r="G181"/>
  <c r="G189" s="1"/>
  <c r="G104"/>
  <c r="E31"/>
  <c r="G31" s="1"/>
  <c r="I85"/>
  <c r="G185" i="8"/>
  <c r="G184"/>
  <c r="G183"/>
  <c r="G180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/>
  <c r="G163"/>
  <c r="G162"/>
  <c r="AB11" i="44" s="1"/>
  <c r="G161" i="8"/>
  <c r="G142"/>
  <c r="R11" i="44" s="1"/>
  <c r="G141" i="8"/>
  <c r="Q11" i="44" s="1"/>
  <c r="G140" i="8"/>
  <c r="P11" i="44" s="1"/>
  <c r="G139" i="8"/>
  <c r="O11" i="44" s="1"/>
  <c r="G138" i="8"/>
  <c r="G133"/>
  <c r="G132"/>
  <c r="G131"/>
  <c r="G130"/>
  <c r="G129"/>
  <c r="G128"/>
  <c r="G123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/>
  <c r="G113"/>
  <c r="G112"/>
  <c r="G92"/>
  <c r="AL10" i="1" s="1"/>
  <c r="G91" i="8"/>
  <c r="G90"/>
  <c r="G89"/>
  <c r="G88"/>
  <c r="G87"/>
  <c r="AC10" i="1" s="1"/>
  <c r="G86" i="8"/>
  <c r="AB10" i="1" s="1"/>
  <c r="G85" i="8"/>
  <c r="AA10" i="1" s="1"/>
  <c r="G84" i="8"/>
  <c r="Z10" i="1" s="1"/>
  <c r="G83" i="8"/>
  <c r="G82"/>
  <c r="G78"/>
  <c r="AS11" i="44" s="1"/>
  <c r="G77" i="8"/>
  <c r="AR11" i="44" s="1"/>
  <c r="G76" i="8"/>
  <c r="AQ11" i="44" s="1"/>
  <c r="G75" i="8"/>
  <c r="AP11" i="44" s="1"/>
  <c r="G74" i="8"/>
  <c r="G70"/>
  <c r="J15" i="45" s="1"/>
  <c r="G69" i="8"/>
  <c r="J14" i="45" s="1"/>
  <c r="G68" i="8"/>
  <c r="J13" i="45" s="1"/>
  <c r="G67" i="8"/>
  <c r="G66"/>
  <c r="G65"/>
  <c r="G63"/>
  <c r="J8" i="45" s="1"/>
  <c r="G62" i="8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0"/>
  <c r="K9"/>
  <c r="M8"/>
  <c r="G185" i="7"/>
  <c r="G184"/>
  <c r="G183"/>
  <c r="G180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/>
  <c r="G163"/>
  <c r="G162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/>
  <c r="G132"/>
  <c r="G131"/>
  <c r="G130"/>
  <c r="G129"/>
  <c r="G128"/>
  <c r="G123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/>
  <c r="G113"/>
  <c r="G112"/>
  <c r="G92"/>
  <c r="AL9" i="1" s="1"/>
  <c r="G91" i="7"/>
  <c r="G90"/>
  <c r="G89"/>
  <c r="AW10" i="44" s="1"/>
  <c r="G88" i="7"/>
  <c r="G87"/>
  <c r="AC9" i="1" s="1"/>
  <c r="G86" i="7"/>
  <c r="AB9" i="1" s="1"/>
  <c r="G85" i="7"/>
  <c r="AA9" i="1" s="1"/>
  <c r="G84" i="7"/>
  <c r="Z9" i="1" s="1"/>
  <c r="G83" i="7"/>
  <c r="G82"/>
  <c r="G78"/>
  <c r="AS10" i="44" s="1"/>
  <c r="G77" i="7"/>
  <c r="AR10" i="44" s="1"/>
  <c r="G76" i="7"/>
  <c r="AQ10" i="44" s="1"/>
  <c r="G75" i="7"/>
  <c r="AP10" i="44" s="1"/>
  <c r="G74" i="7"/>
  <c r="G70"/>
  <c r="I15" i="45" s="1"/>
  <c r="G69" i="7"/>
  <c r="I14" i="45" s="1"/>
  <c r="G68" i="7"/>
  <c r="I13" i="45" s="1"/>
  <c r="G67" i="7"/>
  <c r="G66"/>
  <c r="G65"/>
  <c r="G63"/>
  <c r="I8" i="45" s="1"/>
  <c r="G62" i="7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8"/>
  <c r="E31" s="1"/>
  <c r="G31" s="1"/>
  <c r="G15"/>
  <c r="G10"/>
  <c r="K9"/>
  <c r="M8"/>
  <c r="G8"/>
  <c r="G7"/>
  <c r="G185" i="33"/>
  <c r="G184"/>
  <c r="G183"/>
  <c r="G180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/>
  <c r="G163"/>
  <c r="G162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/>
  <c r="G132"/>
  <c r="G131"/>
  <c r="G130"/>
  <c r="G129"/>
  <c r="G128"/>
  <c r="G12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/>
  <c r="G113"/>
  <c r="G92"/>
  <c r="AL8" i="1" s="1"/>
  <c r="G91" i="33"/>
  <c r="G90"/>
  <c r="G89"/>
  <c r="G88"/>
  <c r="G87"/>
  <c r="AC8" i="1" s="1"/>
  <c r="G86" i="33"/>
  <c r="AB8" i="1" s="1"/>
  <c r="G85" i="33"/>
  <c r="AA8" i="1" s="1"/>
  <c r="G84" i="33"/>
  <c r="Z8" i="1" s="1"/>
  <c r="G83" i="33"/>
  <c r="G82"/>
  <c r="G78"/>
  <c r="AS9" i="44" s="1"/>
  <c r="G77" i="33"/>
  <c r="AR9" i="44" s="1"/>
  <c r="G76" i="33"/>
  <c r="AQ9" i="44" s="1"/>
  <c r="G75" i="33"/>
  <c r="AP9" i="44" s="1"/>
  <c r="G74" i="33"/>
  <c r="G70"/>
  <c r="H15" i="45" s="1"/>
  <c r="G69" i="33"/>
  <c r="H14" i="45" s="1"/>
  <c r="G68" i="33"/>
  <c r="H13" i="45" s="1"/>
  <c r="G67" i="33"/>
  <c r="G66"/>
  <c r="G65"/>
  <c r="G63"/>
  <c r="H8" i="45" s="1"/>
  <c r="H7"/>
  <c r="G58" i="33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7" s="1"/>
  <c r="G18"/>
  <c r="E31" s="1"/>
  <c r="G31" s="1"/>
  <c r="G15"/>
  <c r="G10"/>
  <c r="K9"/>
  <c r="G9"/>
  <c r="M8"/>
  <c r="G8"/>
  <c r="G7"/>
  <c r="G185" i="5"/>
  <c r="G184"/>
  <c r="G183"/>
  <c r="G180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/>
  <c r="G163"/>
  <c r="G162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/>
  <c r="AM8" i="44" s="1"/>
  <c r="G132" i="5"/>
  <c r="G131"/>
  <c r="G130"/>
  <c r="G129"/>
  <c r="G128"/>
  <c r="G123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/>
  <c r="G113"/>
  <c r="G112"/>
  <c r="G92"/>
  <c r="AL7" i="1" s="1"/>
  <c r="G91" i="5"/>
  <c r="G90"/>
  <c r="G89"/>
  <c r="G88"/>
  <c r="G87"/>
  <c r="AC7" i="1" s="1"/>
  <c r="G86" i="5"/>
  <c r="AB7" i="1" s="1"/>
  <c r="G85" i="5"/>
  <c r="AA7" i="1" s="1"/>
  <c r="G84" i="5"/>
  <c r="Z7" i="1" s="1"/>
  <c r="G83" i="5"/>
  <c r="G82"/>
  <c r="G78"/>
  <c r="AS8" i="44" s="1"/>
  <c r="G77" i="5"/>
  <c r="AR8" i="44" s="1"/>
  <c r="G76" i="5"/>
  <c r="AQ8" i="44" s="1"/>
  <c r="G75" i="5"/>
  <c r="AP8" i="44" s="1"/>
  <c r="G74" i="5"/>
  <c r="G70"/>
  <c r="G15" i="45" s="1"/>
  <c r="G69" i="5"/>
  <c r="G14" i="45" s="1"/>
  <c r="G68" i="5"/>
  <c r="G13" i="45" s="1"/>
  <c r="G67" i="5"/>
  <c r="G66"/>
  <c r="G65"/>
  <c r="G63"/>
  <c r="G8" i="45" s="1"/>
  <c r="G62" i="5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G18"/>
  <c r="E31" s="1"/>
  <c r="G31" s="1"/>
  <c r="G15"/>
  <c r="G10"/>
  <c r="K9"/>
  <c r="G9"/>
  <c r="M8"/>
  <c r="G8"/>
  <c r="G7"/>
  <c r="G185" i="4"/>
  <c r="G184"/>
  <c r="G183"/>
  <c r="G180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/>
  <c r="G163"/>
  <c r="G162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/>
  <c r="AM7" i="44" s="1"/>
  <c r="G132" i="4"/>
  <c r="G131"/>
  <c r="G130"/>
  <c r="G129"/>
  <c r="G123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/>
  <c r="G113"/>
  <c r="G112"/>
  <c r="G92"/>
  <c r="AL6" i="1" s="1"/>
  <c r="G91" i="4"/>
  <c r="G90"/>
  <c r="G89"/>
  <c r="G88"/>
  <c r="G87"/>
  <c r="AC6" i="1" s="1"/>
  <c r="G86" i="4"/>
  <c r="AB6" i="1" s="1"/>
  <c r="G85" i="4"/>
  <c r="AA6" i="1" s="1"/>
  <c r="G84" i="4"/>
  <c r="Z6" i="1" s="1"/>
  <c r="G83" i="4"/>
  <c r="G82"/>
  <c r="G78"/>
  <c r="AS7" i="44" s="1"/>
  <c r="G77" i="4"/>
  <c r="AR7" i="44" s="1"/>
  <c r="G76" i="4"/>
  <c r="AQ7" i="44" s="1"/>
  <c r="G75" i="4"/>
  <c r="AP7" i="44" s="1"/>
  <c r="G74" i="4"/>
  <c r="G70"/>
  <c r="F15" i="45" s="1"/>
  <c r="G69" i="4"/>
  <c r="F14" i="45" s="1"/>
  <c r="G68" i="4"/>
  <c r="F13" i="45" s="1"/>
  <c r="G67" i="4"/>
  <c r="G66"/>
  <c r="G65"/>
  <c r="G63"/>
  <c r="F8" i="45" s="1"/>
  <c r="G62" i="4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H22" s="1"/>
  <c r="G19"/>
  <c r="H19" s="1"/>
  <c r="G18"/>
  <c r="G15"/>
  <c r="H15" s="1"/>
  <c r="G10"/>
  <c r="H10" s="1"/>
  <c r="K9"/>
  <c r="G9"/>
  <c r="H9" s="1"/>
  <c r="M8"/>
  <c r="G8"/>
  <c r="H8" s="1"/>
  <c r="G7"/>
  <c r="H7" s="1"/>
  <c r="G185" i="3"/>
  <c r="G184"/>
  <c r="G183"/>
  <c r="G180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/>
  <c r="G163"/>
  <c r="G162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/>
  <c r="G132"/>
  <c r="G131"/>
  <c r="G130"/>
  <c r="G129"/>
  <c r="G128"/>
  <c r="G12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/>
  <c r="G113"/>
  <c r="G112"/>
  <c r="G92"/>
  <c r="AL5" i="1" s="1"/>
  <c r="G91" i="3"/>
  <c r="G90"/>
  <c r="G89"/>
  <c r="G88"/>
  <c r="G87"/>
  <c r="AC5" i="1" s="1"/>
  <c r="G86" i="3"/>
  <c r="AB5" i="1" s="1"/>
  <c r="G85" i="3"/>
  <c r="AA5" i="1" s="1"/>
  <c r="G84" i="3"/>
  <c r="Z5" i="1" s="1"/>
  <c r="G83" i="3"/>
  <c r="G82"/>
  <c r="G78"/>
  <c r="AS6" i="44" s="1"/>
  <c r="G77" i="3"/>
  <c r="AR6" i="44" s="1"/>
  <c r="G76" i="3"/>
  <c r="AQ6" i="44" s="1"/>
  <c r="G75" i="3"/>
  <c r="AP6" i="44" s="1"/>
  <c r="G74" i="3"/>
  <c r="G70"/>
  <c r="E15" i="45" s="1"/>
  <c r="G69" i="3"/>
  <c r="E14" i="45" s="1"/>
  <c r="G68" i="3"/>
  <c r="E13" i="45" s="1"/>
  <c r="G67" i="3"/>
  <c r="G66"/>
  <c r="G65"/>
  <c r="G63"/>
  <c r="E8" i="45" s="1"/>
  <c r="G62" i="3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K9"/>
  <c r="M8"/>
  <c r="G185" i="2"/>
  <c r="H185" s="1"/>
  <c r="J185" s="1"/>
  <c r="G184"/>
  <c r="G183"/>
  <c r="G180"/>
  <c r="D23" i="45" s="1"/>
  <c r="G179" i="2"/>
  <c r="D22" i="45" s="1"/>
  <c r="G178" i="2"/>
  <c r="G175"/>
  <c r="D19" i="45" s="1"/>
  <c r="G174" i="2"/>
  <c r="D18" i="45" s="1"/>
  <c r="G173" i="2"/>
  <c r="D17" i="45" s="1"/>
  <c r="G165" i="2"/>
  <c r="G163"/>
  <c r="G162"/>
  <c r="AB5" i="44" s="1"/>
  <c r="G161" i="2"/>
  <c r="G150"/>
  <c r="G149"/>
  <c r="G148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/>
  <c r="G132"/>
  <c r="H132" s="1"/>
  <c r="J132" s="1"/>
  <c r="G131"/>
  <c r="G130"/>
  <c r="G129"/>
  <c r="G128"/>
  <c r="G123"/>
  <c r="AL5" i="44" s="1"/>
  <c r="G122" i="2"/>
  <c r="G121"/>
  <c r="AJ5" i="44" s="1"/>
  <c r="G120" i="2"/>
  <c r="G119"/>
  <c r="AH5" i="44" s="1"/>
  <c r="G118" i="2"/>
  <c r="G117"/>
  <c r="AF5" i="44" s="1"/>
  <c r="G116" i="2"/>
  <c r="G115"/>
  <c r="G114"/>
  <c r="H114" s="1"/>
  <c r="J114" s="1"/>
  <c r="G113"/>
  <c r="G112"/>
  <c r="G92"/>
  <c r="G91"/>
  <c r="G90"/>
  <c r="G89"/>
  <c r="G88"/>
  <c r="G87"/>
  <c r="G86"/>
  <c r="G85"/>
  <c r="G84"/>
  <c r="G83"/>
  <c r="H83" s="1"/>
  <c r="G82"/>
  <c r="H82" s="1"/>
  <c r="G78"/>
  <c r="G77"/>
  <c r="G76"/>
  <c r="G75"/>
  <c r="G74"/>
  <c r="G70"/>
  <c r="G69"/>
  <c r="G68"/>
  <c r="G67"/>
  <c r="G188" s="1"/>
  <c r="G66"/>
  <c r="G65"/>
  <c r="G63"/>
  <c r="G62"/>
  <c r="G187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7"/>
  <c r="G36"/>
  <c r="G35"/>
  <c r="H35" s="1"/>
  <c r="G29"/>
  <c r="H29" s="1"/>
  <c r="G30"/>
  <c r="H30" s="1"/>
  <c r="G31"/>
  <c r="H31" s="1"/>
  <c r="K9"/>
  <c r="M8"/>
  <c r="H27"/>
  <c r="AZ12" i="44" l="1"/>
  <c r="G60" i="19"/>
  <c r="AZ14" i="44"/>
  <c r="AZ28"/>
  <c r="AZ15"/>
  <c r="AZ20"/>
  <c r="AZ24"/>
  <c r="AZ23"/>
  <c r="AZ26"/>
  <c r="AZ27"/>
  <c r="AZ13"/>
  <c r="AZ25"/>
  <c r="AZ16"/>
  <c r="AZ19"/>
  <c r="AZ17"/>
  <c r="AZ22"/>
  <c r="AZ21"/>
  <c r="N49" i="4"/>
  <c r="G188"/>
  <c r="H49" i="2"/>
  <c r="G59"/>
  <c r="H59" s="1"/>
  <c r="I13" i="3"/>
  <c r="G19" i="7"/>
  <c r="E30" s="1"/>
  <c r="G30" s="1"/>
  <c r="G15" i="8"/>
  <c r="G79" s="1"/>
  <c r="G9"/>
  <c r="G8"/>
  <c r="E27" s="1"/>
  <c r="G27" s="1"/>
  <c r="G9" i="7"/>
  <c r="E10" i="18"/>
  <c r="G7" i="8"/>
  <c r="G60" i="18"/>
  <c r="G60" i="29"/>
  <c r="G60" i="17"/>
  <c r="E28" i="18"/>
  <c r="G28" s="1"/>
  <c r="AD11" i="44"/>
  <c r="AD10"/>
  <c r="AD9"/>
  <c r="AD8"/>
  <c r="AD7"/>
  <c r="AD6"/>
  <c r="E15" i="19"/>
  <c r="AL37" i="44"/>
  <c r="O36"/>
  <c r="AB36"/>
  <c r="AJ37"/>
  <c r="R36"/>
  <c r="P37"/>
  <c r="AF36"/>
  <c r="Q36"/>
  <c r="AH37"/>
  <c r="Q37"/>
  <c r="U37"/>
  <c r="U36"/>
  <c r="S37"/>
  <c r="S36"/>
  <c r="AH36"/>
  <c r="AL36"/>
  <c r="R37"/>
  <c r="T37"/>
  <c r="T36"/>
  <c r="V36"/>
  <c r="V37"/>
  <c r="O37"/>
  <c r="W36"/>
  <c r="W37"/>
  <c r="G125" i="7"/>
  <c r="I125" s="1"/>
  <c r="AF37" i="44"/>
  <c r="AJ36"/>
  <c r="P36"/>
  <c r="AB37"/>
  <c r="X36"/>
  <c r="X37"/>
  <c r="G135" i="8"/>
  <c r="I135" s="1"/>
  <c r="N8" i="44"/>
  <c r="G153" i="5"/>
  <c r="I153" s="1"/>
  <c r="G125" i="8"/>
  <c r="I125" s="1"/>
  <c r="G135" i="2"/>
  <c r="G125" i="4"/>
  <c r="I125" s="1"/>
  <c r="N7" i="44"/>
  <c r="G153" i="4"/>
  <c r="I153" s="1"/>
  <c r="G135" i="5"/>
  <c r="I135" s="1"/>
  <c r="N11" i="44"/>
  <c r="G153" i="8"/>
  <c r="N10" i="44"/>
  <c r="G153" i="7"/>
  <c r="I153" s="1"/>
  <c r="H112" i="2"/>
  <c r="J112" s="1"/>
  <c r="G125"/>
  <c r="I125" s="1"/>
  <c r="N6" i="44"/>
  <c r="G153" i="3"/>
  <c r="I153" s="1"/>
  <c r="G135" i="4"/>
  <c r="I135" s="1"/>
  <c r="G125" i="5"/>
  <c r="I125" s="1"/>
  <c r="N9" i="44"/>
  <c r="G153" i="33"/>
  <c r="I15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s="1"/>
  <c r="E9" i="45"/>
  <c r="G188" i="3"/>
  <c r="G188" i="7"/>
  <c r="G7" i="45"/>
  <c r="G187" i="5"/>
  <c r="F7" i="45"/>
  <c r="G187" i="4"/>
  <c r="G188" i="5"/>
  <c r="G135" i="33"/>
  <c r="J7" i="45"/>
  <c r="H183" i="2"/>
  <c r="J183" s="1"/>
  <c r="G186"/>
  <c r="G102" i="5"/>
  <c r="G103" s="1"/>
  <c r="H127" i="7"/>
  <c r="H127" i="8" s="1"/>
  <c r="E7" i="45"/>
  <c r="G187" i="3"/>
  <c r="I7" i="45"/>
  <c r="G188" i="8"/>
  <c r="AA11" i="44"/>
  <c r="J156" i="9"/>
  <c r="G125" i="33"/>
  <c r="I125" s="1"/>
  <c r="G98"/>
  <c r="G99" s="1"/>
  <c r="G125" i="3"/>
  <c r="I125" s="1"/>
  <c r="G104" i="4"/>
  <c r="G105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s="1"/>
  <c r="D21" i="45"/>
  <c r="G102" i="4"/>
  <c r="G103" s="1"/>
  <c r="G100" i="5"/>
  <c r="G101" s="1"/>
  <c r="G94" i="8"/>
  <c r="J152" i="33"/>
  <c r="H152" i="7"/>
  <c r="H120" i="2"/>
  <c r="J120" s="1"/>
  <c r="AI5" i="44"/>
  <c r="H118" i="2"/>
  <c r="J118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/>
  <c r="AM5" i="44"/>
  <c r="AD5"/>
  <c r="G100" i="4"/>
  <c r="G101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s="1"/>
  <c r="AK5" i="44"/>
  <c r="G94" i="33"/>
  <c r="G95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s="1"/>
  <c r="H9"/>
  <c r="H9" i="33" s="1"/>
  <c r="G47" i="5"/>
  <c r="G71"/>
  <c r="H7"/>
  <c r="H7" i="33" s="1"/>
  <c r="H7" i="7" s="1"/>
  <c r="H19" i="5"/>
  <c r="H19" i="33" s="1"/>
  <c r="E31" i="4"/>
  <c r="G31" s="1"/>
  <c r="H18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/>
  <c r="J131" s="1"/>
  <c r="H129"/>
  <c r="H128"/>
  <c r="J128" s="1"/>
  <c r="H130"/>
  <c r="H182" i="8"/>
  <c r="J182" i="7"/>
  <c r="J166" i="10"/>
  <c r="H166" i="11"/>
  <c r="H132" i="3"/>
  <c r="H29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s="1"/>
  <c r="G176" i="2"/>
  <c r="H173"/>
  <c r="H175"/>
  <c r="G186" i="3"/>
  <c r="H180" i="2"/>
  <c r="J180" s="1"/>
  <c r="H174"/>
  <c r="H179"/>
  <c r="J179" s="1"/>
  <c r="H184"/>
  <c r="H185" i="3"/>
  <c r="H161" i="2"/>
  <c r="J161" s="1"/>
  <c r="H163"/>
  <c r="J163" s="1"/>
  <c r="H165"/>
  <c r="J165" s="1"/>
  <c r="H162"/>
  <c r="H164"/>
  <c r="H139"/>
  <c r="H143"/>
  <c r="H147"/>
  <c r="H149"/>
  <c r="H141"/>
  <c r="J141" s="1"/>
  <c r="H145"/>
  <c r="H140"/>
  <c r="H142"/>
  <c r="J142" s="1"/>
  <c r="H144"/>
  <c r="H148"/>
  <c r="H150"/>
  <c r="H138"/>
  <c r="H146"/>
  <c r="H117"/>
  <c r="J117" s="1"/>
  <c r="H112" i="3"/>
  <c r="H119" i="2"/>
  <c r="J119" s="1"/>
  <c r="H113"/>
  <c r="J113" s="1"/>
  <c r="H121"/>
  <c r="J121" s="1"/>
  <c r="H114" i="3"/>
  <c r="H115" i="2"/>
  <c r="H123"/>
  <c r="J12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s="1"/>
  <c r="H36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s="1"/>
  <c r="H42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s="1"/>
  <c r="H38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s="1"/>
  <c r="H40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/>
  <c r="G71" i="7"/>
  <c r="G102"/>
  <c r="G103" s="1"/>
  <c r="G79" i="33"/>
  <c r="G80" s="1"/>
  <c r="G71"/>
  <c r="G186" i="5"/>
  <c r="I90"/>
  <c r="G96" i="4"/>
  <c r="G97" s="1"/>
  <c r="G60" i="31"/>
  <c r="G71" i="3"/>
  <c r="G186" i="33"/>
  <c r="G176" i="4"/>
  <c r="G71" i="8"/>
  <c r="G181" i="2"/>
  <c r="I90" i="3"/>
  <c r="H80" i="17"/>
  <c r="G104" i="2"/>
  <c r="H104" s="1"/>
  <c r="G96"/>
  <c r="H96" s="1"/>
  <c r="G79" i="4"/>
  <c r="G181"/>
  <c r="G189" s="1"/>
  <c r="G60" i="28"/>
  <c r="G60" i="40"/>
  <c r="G60" i="24"/>
  <c r="G60" i="21"/>
  <c r="H189" i="20"/>
  <c r="G60"/>
  <c r="G60" i="15"/>
  <c r="G60" i="14"/>
  <c r="G60" i="13"/>
  <c r="G60" i="9"/>
  <c r="I88" i="8"/>
  <c r="G104"/>
  <c r="G59"/>
  <c r="G102"/>
  <c r="G176"/>
  <c r="G181"/>
  <c r="G189" s="1"/>
  <c r="G64"/>
  <c r="G47"/>
  <c r="I85"/>
  <c r="E27" i="7"/>
  <c r="G27" s="1"/>
  <c r="I88"/>
  <c r="G104"/>
  <c r="G96"/>
  <c r="G59"/>
  <c r="G176"/>
  <c r="G181"/>
  <c r="G189" s="1"/>
  <c r="G79"/>
  <c r="G94"/>
  <c r="G98"/>
  <c r="G64"/>
  <c r="G47"/>
  <c r="I85"/>
  <c r="E28"/>
  <c r="G28" s="1"/>
  <c r="E27" i="33"/>
  <c r="G27" s="1"/>
  <c r="I88"/>
  <c r="G100"/>
  <c r="G104"/>
  <c r="G96"/>
  <c r="G64"/>
  <c r="G59"/>
  <c r="G102"/>
  <c r="G176"/>
  <c r="G181"/>
  <c r="G189" s="1"/>
  <c r="E30"/>
  <c r="G30" s="1"/>
  <c r="G47"/>
  <c r="G20"/>
  <c r="I85"/>
  <c r="E28"/>
  <c r="G28" s="1"/>
  <c r="G64" i="5"/>
  <c r="I88"/>
  <c r="G98"/>
  <c r="G94"/>
  <c r="G59"/>
  <c r="G176"/>
  <c r="G181"/>
  <c r="G189" s="1"/>
  <c r="G79"/>
  <c r="E27"/>
  <c r="G27" s="1"/>
  <c r="E30"/>
  <c r="G30" s="1"/>
  <c r="G104"/>
  <c r="G20"/>
  <c r="I85"/>
  <c r="E28"/>
  <c r="G28" s="1"/>
  <c r="G64" i="4"/>
  <c r="E30"/>
  <c r="G30" s="1"/>
  <c r="E27"/>
  <c r="G27" s="1"/>
  <c r="G59"/>
  <c r="G71"/>
  <c r="I85"/>
  <c r="I90"/>
  <c r="G186"/>
  <c r="G47"/>
  <c r="I88"/>
  <c r="G20"/>
  <c r="H20" s="1"/>
  <c r="G94"/>
  <c r="G98"/>
  <c r="E28"/>
  <c r="G28" s="1"/>
  <c r="E30" i="3"/>
  <c r="G64"/>
  <c r="I88"/>
  <c r="G104"/>
  <c r="G96"/>
  <c r="G59"/>
  <c r="G176"/>
  <c r="G181"/>
  <c r="G189" s="1"/>
  <c r="G79"/>
  <c r="G94"/>
  <c r="G98"/>
  <c r="E31"/>
  <c r="G47"/>
  <c r="I85"/>
  <c r="E28"/>
  <c r="G28" s="1"/>
  <c r="G71" i="2"/>
  <c r="H71" s="1"/>
  <c r="I85"/>
  <c r="I90"/>
  <c r="G47"/>
  <c r="I88"/>
  <c r="G64"/>
  <c r="H64" s="1"/>
  <c r="G94"/>
  <c r="H94" s="1"/>
  <c r="G98"/>
  <c r="H98" s="1"/>
  <c r="G28"/>
  <c r="H28" s="1"/>
  <c r="G178" i="50"/>
  <c r="H178" s="1"/>
  <c r="J178" s="1"/>
  <c r="E177"/>
  <c r="G177" s="1"/>
  <c r="H177" s="1"/>
  <c r="J177" s="1"/>
  <c r="E176"/>
  <c r="G176" s="1"/>
  <c r="H176" s="1"/>
  <c r="J176" s="1"/>
  <c r="H175"/>
  <c r="J175" s="1"/>
  <c r="E173"/>
  <c r="G173" s="1"/>
  <c r="H173" s="1"/>
  <c r="J173" s="1"/>
  <c r="E172"/>
  <c r="G172" s="1"/>
  <c r="H172" s="1"/>
  <c r="J172" s="1"/>
  <c r="E171"/>
  <c r="G171" s="1"/>
  <c r="H170"/>
  <c r="E168"/>
  <c r="G168" s="1"/>
  <c r="H168" s="1"/>
  <c r="J168" s="1"/>
  <c r="E167"/>
  <c r="G167" s="1"/>
  <c r="H167" s="1"/>
  <c r="J167" s="1"/>
  <c r="E166"/>
  <c r="G166" s="1"/>
  <c r="E158"/>
  <c r="G158" s="1"/>
  <c r="H158" s="1"/>
  <c r="J158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H136"/>
  <c r="J136" s="1"/>
  <c r="H135"/>
  <c r="J135" s="1"/>
  <c r="E151"/>
  <c r="G151" s="1"/>
  <c r="H151" s="1"/>
  <c r="J151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4"/>
  <c r="G134" s="1"/>
  <c r="H134" s="1"/>
  <c r="J134" s="1"/>
  <c r="E133"/>
  <c r="G133" s="1"/>
  <c r="E132"/>
  <c r="G132" s="1"/>
  <c r="E131"/>
  <c r="G131" s="1"/>
  <c r="E130"/>
  <c r="G130" s="1"/>
  <c r="E129"/>
  <c r="G129" s="1"/>
  <c r="G118"/>
  <c r="G116"/>
  <c r="H116" s="1"/>
  <c r="J116" s="1"/>
  <c r="G115"/>
  <c r="H115" s="1"/>
  <c r="J115" s="1"/>
  <c r="G114"/>
  <c r="H114" s="1"/>
  <c r="J114" s="1"/>
  <c r="G113"/>
  <c r="H113" s="1"/>
  <c r="J113" s="1"/>
  <c r="E93"/>
  <c r="G93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79"/>
  <c r="G79" s="1"/>
  <c r="E78"/>
  <c r="G78" s="1"/>
  <c r="E77"/>
  <c r="G77" s="1"/>
  <c r="E76"/>
  <c r="G76" s="1"/>
  <c r="E75"/>
  <c r="G75" s="1"/>
  <c r="E71"/>
  <c r="G71" s="1"/>
  <c r="E70"/>
  <c r="G70" s="1"/>
  <c r="E69"/>
  <c r="G69" s="1"/>
  <c r="E68"/>
  <c r="G68" s="1"/>
  <c r="E67"/>
  <c r="G67" s="1"/>
  <c r="E66"/>
  <c r="G66" s="1"/>
  <c r="E64"/>
  <c r="G64" s="1"/>
  <c r="E63"/>
  <c r="G63" s="1"/>
  <c r="G123"/>
  <c r="G121"/>
  <c r="G119"/>
  <c r="E59"/>
  <c r="G59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G47"/>
  <c r="G46"/>
  <c r="G45"/>
  <c r="G44"/>
  <c r="G43"/>
  <c r="G42"/>
  <c r="G41"/>
  <c r="G40"/>
  <c r="G39"/>
  <c r="G38"/>
  <c r="G37"/>
  <c r="G36"/>
  <c r="E30"/>
  <c r="G30" s="1"/>
  <c r="E25"/>
  <c r="E24"/>
  <c r="E23"/>
  <c r="G23" s="1"/>
  <c r="G19"/>
  <c r="E19"/>
  <c r="G16"/>
  <c r="K9"/>
  <c r="M8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s="1"/>
  <c r="AZ5" i="44"/>
  <c r="H19" i="7"/>
  <c r="AZ11" i="44"/>
  <c r="E28" i="8"/>
  <c r="G28" s="1"/>
  <c r="H15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s="1"/>
  <c r="G60" i="4"/>
  <c r="H9" i="7"/>
  <c r="H9" i="8" s="1"/>
  <c r="E15" i="9"/>
  <c r="G15" s="1"/>
  <c r="H8" i="8"/>
  <c r="G187" i="7"/>
  <c r="G20"/>
  <c r="E19" i="8"/>
  <c r="E15" i="20"/>
  <c r="G99" i="8"/>
  <c r="G97"/>
  <c r="G101"/>
  <c r="E7" i="9"/>
  <c r="H7" i="8"/>
  <c r="G95"/>
  <c r="E8" i="9"/>
  <c r="G10" i="18"/>
  <c r="H10" s="1"/>
  <c r="E9" i="9"/>
  <c r="AM37" i="44"/>
  <c r="H183" i="3"/>
  <c r="J183" s="1"/>
  <c r="N37" i="44"/>
  <c r="AW37"/>
  <c r="AX36"/>
  <c r="H74" i="30"/>
  <c r="H74" i="43" s="1"/>
  <c r="AO36" i="44"/>
  <c r="AV36"/>
  <c r="AV37"/>
  <c r="AO37"/>
  <c r="AM36"/>
  <c r="N36"/>
  <c r="AE36"/>
  <c r="AE37"/>
  <c r="AP37"/>
  <c r="AP36"/>
  <c r="AI37"/>
  <c r="AI36"/>
  <c r="AW36"/>
  <c r="AK36"/>
  <c r="AK37"/>
  <c r="AA36"/>
  <c r="AA37"/>
  <c r="AX37"/>
  <c r="AS37"/>
  <c r="AS36"/>
  <c r="AR37"/>
  <c r="AR36"/>
  <c r="AQ36"/>
  <c r="AQ37"/>
  <c r="AG36"/>
  <c r="AG37"/>
  <c r="I135" i="33"/>
  <c r="H153" i="2"/>
  <c r="I153"/>
  <c r="I135"/>
  <c r="H135"/>
  <c r="J135" s="1"/>
  <c r="I135" i="3"/>
  <c r="H178"/>
  <c r="H178" i="4" s="1"/>
  <c r="H122" i="3"/>
  <c r="J122" s="1"/>
  <c r="J127" i="7"/>
  <c r="H181" i="2"/>
  <c r="J181" s="1"/>
  <c r="G189"/>
  <c r="H189" s="1"/>
  <c r="J189" s="1"/>
  <c r="G60" i="5"/>
  <c r="I59" s="1"/>
  <c r="G30" i="3"/>
  <c r="H30" s="1"/>
  <c r="H30" i="4" s="1"/>
  <c r="H30" i="5" s="1"/>
  <c r="H30" i="33" s="1"/>
  <c r="H30" i="7" s="1"/>
  <c r="H118" i="3"/>
  <c r="J118" s="1"/>
  <c r="G31"/>
  <c r="H31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/>
  <c r="H120" i="4" s="1"/>
  <c r="J155" i="11"/>
  <c r="H155" i="12"/>
  <c r="J156" i="11"/>
  <c r="H156" i="12"/>
  <c r="H131" i="3"/>
  <c r="J131" s="1"/>
  <c r="H117"/>
  <c r="H117" i="4" s="1"/>
  <c r="H121" i="3"/>
  <c r="J121" s="1"/>
  <c r="G97" i="2"/>
  <c r="H97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s="1"/>
  <c r="H119" i="3"/>
  <c r="H119" i="4" s="1"/>
  <c r="H28" i="3"/>
  <c r="H28" i="4" s="1"/>
  <c r="H28" i="5" s="1"/>
  <c r="H28" i="33" s="1"/>
  <c r="H28" i="7" s="1"/>
  <c r="H28" i="8" s="1"/>
  <c r="G105" i="2"/>
  <c r="H105" s="1"/>
  <c r="H161" i="3"/>
  <c r="J161" s="1"/>
  <c r="J148" i="2"/>
  <c r="H148" i="3"/>
  <c r="H148" i="4" s="1"/>
  <c r="J143" i="2"/>
  <c r="H143" i="3"/>
  <c r="H143" i="4" s="1"/>
  <c r="J147" i="2"/>
  <c r="H147" i="3"/>
  <c r="H147" i="4" s="1"/>
  <c r="H129" i="3"/>
  <c r="J129" s="1"/>
  <c r="J129" i="2"/>
  <c r="H116" i="3"/>
  <c r="J116" s="1"/>
  <c r="J144" i="2"/>
  <c r="H144" i="3"/>
  <c r="H144" i="4" s="1"/>
  <c r="H139" i="3"/>
  <c r="H139" i="4" s="1"/>
  <c r="J139" i="2"/>
  <c r="H128" i="3"/>
  <c r="J128" s="1"/>
  <c r="H133"/>
  <c r="H133" i="4" s="1"/>
  <c r="J133" i="2"/>
  <c r="J152" i="7"/>
  <c r="H152" i="8"/>
  <c r="H115" i="3"/>
  <c r="J115" s="1"/>
  <c r="J115" i="2"/>
  <c r="J150"/>
  <c r="H150" i="3"/>
  <c r="H150" i="4" s="1"/>
  <c r="H173" i="3"/>
  <c r="H173" i="4" s="1"/>
  <c r="J173" i="2"/>
  <c r="H140" i="3"/>
  <c r="J140" s="1"/>
  <c r="J140" i="2"/>
  <c r="H164" i="3"/>
  <c r="H164" i="4" s="1"/>
  <c r="J164" i="2"/>
  <c r="H184" i="3"/>
  <c r="J184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s="1"/>
  <c r="J138" i="2"/>
  <c r="H162" i="3"/>
  <c r="J162" s="1"/>
  <c r="J162" i="2"/>
  <c r="H174" i="3"/>
  <c r="H174" i="4" s="1"/>
  <c r="J174" i="2"/>
  <c r="H130" i="3"/>
  <c r="H130" i="4" s="1"/>
  <c r="J130" i="2"/>
  <c r="H123" i="3"/>
  <c r="H123" i="4" s="1"/>
  <c r="H142" i="3"/>
  <c r="J142" s="1"/>
  <c r="J149" i="2"/>
  <c r="H149" i="3"/>
  <c r="H149" i="4" s="1"/>
  <c r="G101" i="2"/>
  <c r="H101" s="1"/>
  <c r="H101" i="3" s="1"/>
  <c r="H101" i="4" s="1"/>
  <c r="H101" i="5" s="1"/>
  <c r="G103" i="2"/>
  <c r="H103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/>
  <c r="H141" i="3"/>
  <c r="J141" s="1"/>
  <c r="H179"/>
  <c r="H179" i="4" s="1"/>
  <c r="H180" i="3"/>
  <c r="J180" s="1"/>
  <c r="H168" i="12"/>
  <c r="J168" i="11"/>
  <c r="J166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s="1"/>
  <c r="H176" i="2"/>
  <c r="J176" s="1"/>
  <c r="H186"/>
  <c r="H185" i="4"/>
  <c r="J185" i="3"/>
  <c r="H175"/>
  <c r="H188" i="2"/>
  <c r="H187"/>
  <c r="J187" s="1"/>
  <c r="H163" i="3"/>
  <c r="H113"/>
  <c r="J114"/>
  <c r="H114" i="4"/>
  <c r="J112" i="3"/>
  <c r="H112" i="4"/>
  <c r="H86" i="31"/>
  <c r="J86" s="1"/>
  <c r="J86" i="43"/>
  <c r="H92" i="31"/>
  <c r="J92" s="1"/>
  <c r="J92" i="43"/>
  <c r="J85"/>
  <c r="H85" i="31"/>
  <c r="J85" s="1"/>
  <c r="H90"/>
  <c r="J90" s="1"/>
  <c r="J90" i="43"/>
  <c r="J89"/>
  <c r="H89" i="31"/>
  <c r="J89" s="1"/>
  <c r="J87" i="43"/>
  <c r="H87" i="31"/>
  <c r="J87" s="1"/>
  <c r="H84"/>
  <c r="J84" s="1"/>
  <c r="J84" i="43"/>
  <c r="H91" i="31"/>
  <c r="J91" s="1"/>
  <c r="J91" i="43"/>
  <c r="J88"/>
  <c r="H88" i="31"/>
  <c r="J88" s="1"/>
  <c r="H75"/>
  <c r="J75" s="1"/>
  <c r="J75" i="43"/>
  <c r="H76" i="31"/>
  <c r="J76" s="1"/>
  <c r="J76" i="43"/>
  <c r="J62"/>
  <c r="H62" i="31"/>
  <c r="J62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s="1"/>
  <c r="G80" i="4"/>
  <c r="G80" i="3"/>
  <c r="H80" s="1"/>
  <c r="G80" i="7"/>
  <c r="G60" i="8"/>
  <c r="G105"/>
  <c r="G103"/>
  <c r="G95" i="7"/>
  <c r="G99"/>
  <c r="G32"/>
  <c r="G60"/>
  <c r="G105"/>
  <c r="G97"/>
  <c r="G105" i="33"/>
  <c r="G101"/>
  <c r="G32"/>
  <c r="G60"/>
  <c r="G97"/>
  <c r="G103"/>
  <c r="G105" i="5"/>
  <c r="G95"/>
  <c r="G99"/>
  <c r="G32"/>
  <c r="G80"/>
  <c r="G99" i="4"/>
  <c r="G32"/>
  <c r="G95"/>
  <c r="G97" i="3"/>
  <c r="G95"/>
  <c r="G99"/>
  <c r="G60"/>
  <c r="G105"/>
  <c r="G95" i="2"/>
  <c r="H95" s="1"/>
  <c r="G99"/>
  <c r="H99" s="1"/>
  <c r="G32"/>
  <c r="H32" s="1"/>
  <c r="G181" i="50"/>
  <c r="H181" s="1"/>
  <c r="J181" s="1"/>
  <c r="G180"/>
  <c r="H180" s="1"/>
  <c r="J180" s="1"/>
  <c r="H166"/>
  <c r="J166" s="1"/>
  <c r="G169"/>
  <c r="H169" s="1"/>
  <c r="J169" s="1"/>
  <c r="H171"/>
  <c r="J171" s="1"/>
  <c r="G174"/>
  <c r="G179"/>
  <c r="H179" s="1"/>
  <c r="J179" s="1"/>
  <c r="G95"/>
  <c r="I86"/>
  <c r="G99"/>
  <c r="G80"/>
  <c r="G97"/>
  <c r="E32"/>
  <c r="G32" s="1"/>
  <c r="G103"/>
  <c r="G101"/>
  <c r="G117"/>
  <c r="G72"/>
  <c r="G122"/>
  <c r="I89"/>
  <c r="G120"/>
  <c r="G124"/>
  <c r="G60"/>
  <c r="G65"/>
  <c r="E29"/>
  <c r="G29" s="1"/>
  <c r="I91"/>
  <c r="G48"/>
  <c r="H69" i="31" l="1"/>
  <c r="J69" s="1"/>
  <c r="J69" i="43"/>
  <c r="H66" i="31"/>
  <c r="J66" s="1"/>
  <c r="J66" i="43"/>
  <c r="H67" i="31"/>
  <c r="J67" s="1"/>
  <c r="J67" i="43"/>
  <c r="H70" i="31"/>
  <c r="J70" s="1"/>
  <c r="J70" i="43"/>
  <c r="H65" i="31"/>
  <c r="J65" s="1"/>
  <c r="J65" i="43"/>
  <c r="H63" i="31"/>
  <c r="J63" s="1"/>
  <c r="J63" i="43"/>
  <c r="H64" i="28"/>
  <c r="H64" i="29" s="1"/>
  <c r="H64" i="30" s="1"/>
  <c r="H64" i="43" s="1"/>
  <c r="H64" i="31" s="1"/>
  <c r="J64" s="1"/>
  <c r="H71" i="28"/>
  <c r="H71" i="29" s="1"/>
  <c r="H71" i="30" s="1"/>
  <c r="H71" i="43" s="1"/>
  <c r="J71" s="1"/>
  <c r="J68"/>
  <c r="H15" i="9"/>
  <c r="E10" i="19"/>
  <c r="E10" i="20" s="1"/>
  <c r="G15" i="19"/>
  <c r="H20" i="7"/>
  <c r="G19" i="8"/>
  <c r="E15" i="21"/>
  <c r="G79" i="9"/>
  <c r="G80" s="1"/>
  <c r="E28"/>
  <c r="G28" s="1"/>
  <c r="H28" s="1"/>
  <c r="E15" i="10"/>
  <c r="G7" i="9"/>
  <c r="G9"/>
  <c r="H9" s="1"/>
  <c r="G8"/>
  <c r="H122" i="4"/>
  <c r="J122" s="1"/>
  <c r="H183"/>
  <c r="J183" s="1"/>
  <c r="J74" i="43"/>
  <c r="H74" i="31"/>
  <c r="J74" s="1"/>
  <c r="H104" i="30"/>
  <c r="H104" i="43" s="1"/>
  <c r="H135" i="3"/>
  <c r="H135" i="4" s="1"/>
  <c r="J178" i="3"/>
  <c r="H181"/>
  <c r="H181" i="4" s="1"/>
  <c r="J117" i="3"/>
  <c r="H118" i="4"/>
  <c r="J118" s="1"/>
  <c r="H138"/>
  <c r="H138" i="5" s="1"/>
  <c r="G32" i="3"/>
  <c r="H32" s="1"/>
  <c r="H32" i="4" s="1"/>
  <c r="H32" i="5" s="1"/>
  <c r="H32" i="33" s="1"/>
  <c r="H32" i="7" s="1"/>
  <c r="H115" i="4"/>
  <c r="H115" i="5" s="1"/>
  <c r="H121" i="4"/>
  <c r="J121" s="1"/>
  <c r="H27" i="3"/>
  <c r="H27" i="4" s="1"/>
  <c r="H27" i="5" s="1"/>
  <c r="H27" i="33" s="1"/>
  <c r="H27" i="7" s="1"/>
  <c r="H27" i="8" s="1"/>
  <c r="J164" i="3"/>
  <c r="H161" i="4"/>
  <c r="H161" i="5" s="1"/>
  <c r="J150" i="3"/>
  <c r="J149"/>
  <c r="J120"/>
  <c r="J143"/>
  <c r="H97"/>
  <c r="H97" i="4" s="1"/>
  <c r="H97" i="5" s="1"/>
  <c r="H97" i="33" s="1"/>
  <c r="H97" i="7" s="1"/>
  <c r="H97" i="8" s="1"/>
  <c r="H80" i="4"/>
  <c r="H80" i="5" s="1"/>
  <c r="J139" i="3"/>
  <c r="J174"/>
  <c r="J156" i="12"/>
  <c r="H156" i="13"/>
  <c r="H155"/>
  <c r="J155" i="12"/>
  <c r="J146" i="3"/>
  <c r="J144"/>
  <c r="H131" i="4"/>
  <c r="J131" s="1"/>
  <c r="J123" i="3"/>
  <c r="J119"/>
  <c r="H116" i="4"/>
  <c r="J116" s="1"/>
  <c r="H140"/>
  <c r="H140" i="5" s="1"/>
  <c r="H184" i="4"/>
  <c r="H184" i="5" s="1"/>
  <c r="H142" i="4"/>
  <c r="H142" i="5" s="1"/>
  <c r="J147" i="3"/>
  <c r="J148"/>
  <c r="H105"/>
  <c r="H105" i="4" s="1"/>
  <c r="H105" i="5" s="1"/>
  <c r="H105" i="33" s="1"/>
  <c r="H105" i="7" s="1"/>
  <c r="H105" i="8" s="1"/>
  <c r="H162" i="4"/>
  <c r="J162" s="1"/>
  <c r="H129"/>
  <c r="J129" s="1"/>
  <c r="J130" i="3"/>
  <c r="H141" i="4"/>
  <c r="J141" s="1"/>
  <c r="H165"/>
  <c r="J165" s="1"/>
  <c r="H128"/>
  <c r="J128" s="1"/>
  <c r="H134" i="9"/>
  <c r="J134" i="8"/>
  <c r="H103" i="33"/>
  <c r="H103" i="7" s="1"/>
  <c r="H103" i="8" s="1"/>
  <c r="H150" i="5"/>
  <c r="J150" i="4"/>
  <c r="H189" i="3"/>
  <c r="H189" i="4" s="1"/>
  <c r="J145"/>
  <c r="H145" i="5"/>
  <c r="H147"/>
  <c r="J147" i="4"/>
  <c r="J173" i="3"/>
  <c r="J179"/>
  <c r="J133"/>
  <c r="H149" i="5"/>
  <c r="J149" i="4"/>
  <c r="J146"/>
  <c r="H146" i="5"/>
  <c r="J144" i="4"/>
  <c r="H144" i="5"/>
  <c r="H143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s="1"/>
  <c r="J94" i="43"/>
  <c r="H101" i="33"/>
  <c r="H101" i="7" s="1"/>
  <c r="H101" i="8" s="1"/>
  <c r="H102" i="31"/>
  <c r="J102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/>
  <c r="J174" i="4"/>
  <c r="H175"/>
  <c r="J175" i="3"/>
  <c r="J179" i="4"/>
  <c r="H179" i="5"/>
  <c r="H176" i="3"/>
  <c r="H173" i="5"/>
  <c r="J173" i="4"/>
  <c r="H178" i="5"/>
  <c r="J178" i="4"/>
  <c r="H163"/>
  <c r="J163" i="3"/>
  <c r="H164" i="5"/>
  <c r="J164" i="4"/>
  <c r="H188" i="3"/>
  <c r="H187"/>
  <c r="J145"/>
  <c r="J139" i="4"/>
  <c r="H139" i="5"/>
  <c r="H114"/>
  <c r="J114" i="4"/>
  <c r="H117" i="5"/>
  <c r="J117" i="4"/>
  <c r="H123" i="5"/>
  <c r="J123" i="4"/>
  <c r="H119" i="5"/>
  <c r="J119" i="4"/>
  <c r="H120" i="5"/>
  <c r="J120" i="4"/>
  <c r="H113"/>
  <c r="J113" i="3"/>
  <c r="H112" i="5"/>
  <c r="J112" i="4"/>
  <c r="J100" i="43"/>
  <c r="H100" i="31"/>
  <c r="J100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/>
  <c r="H182" s="1"/>
  <c r="J182" s="1"/>
  <c r="H174"/>
  <c r="J174" s="1"/>
  <c r="G61"/>
  <c r="B26" i="48"/>
  <c r="J64" i="43" l="1"/>
  <c r="H71" i="31"/>
  <c r="J71" s="1"/>
  <c r="G10" i="19"/>
  <c r="H10" s="1"/>
  <c r="G79"/>
  <c r="G80" s="1"/>
  <c r="H80" s="1"/>
  <c r="E28"/>
  <c r="G28" s="1"/>
  <c r="E19" i="9"/>
  <c r="G19" s="1"/>
  <c r="E8" i="10"/>
  <c r="G8" s="1"/>
  <c r="E27" s="1"/>
  <c r="G27" s="1"/>
  <c r="G187" i="8"/>
  <c r="E30"/>
  <c r="G30" s="1"/>
  <c r="G20"/>
  <c r="H20" s="1"/>
  <c r="H19"/>
  <c r="G15" i="10"/>
  <c r="E15" i="22"/>
  <c r="G15" i="21"/>
  <c r="G15" i="20"/>
  <c r="H79" i="9"/>
  <c r="G10" i="20"/>
  <c r="G95" i="9"/>
  <c r="H95" s="1"/>
  <c r="G97"/>
  <c r="H97" s="1"/>
  <c r="G105"/>
  <c r="H105" s="1"/>
  <c r="G103"/>
  <c r="H103" s="1"/>
  <c r="G101"/>
  <c r="H101" s="1"/>
  <c r="G99"/>
  <c r="H99" s="1"/>
  <c r="I59"/>
  <c r="E27"/>
  <c r="G27" s="1"/>
  <c r="H8"/>
  <c r="E7" i="10"/>
  <c r="H7" i="9"/>
  <c r="H183" i="5"/>
  <c r="H183" i="33" s="1"/>
  <c r="H122" i="5"/>
  <c r="J122" s="1"/>
  <c r="H104" i="31"/>
  <c r="J104" s="1"/>
  <c r="J104" i="43"/>
  <c r="J135" i="3"/>
  <c r="H135" i="5"/>
  <c r="J135" i="4"/>
  <c r="J161"/>
  <c r="H121" i="5"/>
  <c r="J121" s="1"/>
  <c r="J181" i="3"/>
  <c r="J115" i="4"/>
  <c r="J138"/>
  <c r="J140"/>
  <c r="H118" i="5"/>
  <c r="H118" i="33" s="1"/>
  <c r="J184" i="4"/>
  <c r="H155" i="14"/>
  <c r="J155" i="13"/>
  <c r="H156" i="14"/>
  <c r="J156" i="13"/>
  <c r="H131" i="5"/>
  <c r="J131" s="1"/>
  <c r="J186" i="3"/>
  <c r="H116" i="5"/>
  <c r="J116" s="1"/>
  <c r="H129"/>
  <c r="J129" s="1"/>
  <c r="H165"/>
  <c r="H165" i="33" s="1"/>
  <c r="J142" i="4"/>
  <c r="H162" i="5"/>
  <c r="J162" s="1"/>
  <c r="H141"/>
  <c r="J141" s="1"/>
  <c r="H128"/>
  <c r="J128" s="1"/>
  <c r="J189" i="3"/>
  <c r="H152" i="10"/>
  <c r="J152" i="9"/>
  <c r="H145" i="33"/>
  <c r="J145" i="5"/>
  <c r="H149" i="33"/>
  <c r="J149" i="5"/>
  <c r="H151" i="8"/>
  <c r="J151" i="7"/>
  <c r="H143" i="33"/>
  <c r="J143" i="5"/>
  <c r="J150"/>
  <c r="H150" i="33"/>
  <c r="J144" i="5"/>
  <c r="H144" i="33"/>
  <c r="H146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/>
  <c r="J186" i="4"/>
  <c r="J181"/>
  <c r="H181" i="5"/>
  <c r="H184" i="33"/>
  <c r="J184" i="5"/>
  <c r="H180" i="33"/>
  <c r="J180" i="5"/>
  <c r="H176" i="4"/>
  <c r="J176" i="3"/>
  <c r="H175" i="5"/>
  <c r="J175" i="4"/>
  <c r="J189"/>
  <c r="H189" i="5"/>
  <c r="H164" i="33"/>
  <c r="J164" i="5"/>
  <c r="H161" i="33"/>
  <c r="J161" i="5"/>
  <c r="H188" i="4"/>
  <c r="J188" i="3"/>
  <c r="H163" i="5"/>
  <c r="J163" i="4"/>
  <c r="H187"/>
  <c r="J187" i="3"/>
  <c r="H139" i="33"/>
  <c r="J139" i="5"/>
  <c r="J142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s="1"/>
  <c r="G187"/>
  <c r="E30"/>
  <c r="G30" s="1"/>
  <c r="G32" s="1"/>
  <c r="E19" i="10"/>
  <c r="G32" i="8"/>
  <c r="H32" s="1"/>
  <c r="H30"/>
  <c r="H19" i="9"/>
  <c r="G79" i="20"/>
  <c r="G80" s="1"/>
  <c r="E28"/>
  <c r="G28" s="1"/>
  <c r="E28" i="21"/>
  <c r="G28" s="1"/>
  <c r="G79"/>
  <c r="G80" s="1"/>
  <c r="E15" i="23"/>
  <c r="G15" i="22"/>
  <c r="E28" i="10"/>
  <c r="G28" s="1"/>
  <c r="H28" s="1"/>
  <c r="G79"/>
  <c r="G80" s="1"/>
  <c r="H15"/>
  <c r="E15" i="11"/>
  <c r="E8"/>
  <c r="G9" i="10"/>
  <c r="H9" s="1"/>
  <c r="G7"/>
  <c r="H7" s="1"/>
  <c r="E10" i="21"/>
  <c r="H27" i="9"/>
  <c r="H27" i="10" s="1"/>
  <c r="J183" i="5"/>
  <c r="H122" i="33"/>
  <c r="J122" s="1"/>
  <c r="H162"/>
  <c r="H162" i="7" s="1"/>
  <c r="J135" i="5"/>
  <c r="H135" i="33"/>
  <c r="H121"/>
  <c r="H121" i="7" s="1"/>
  <c r="J118" i="5"/>
  <c r="J156" i="14"/>
  <c r="H156" i="15"/>
  <c r="H129" i="33"/>
  <c r="J129" s="1"/>
  <c r="H155" i="15"/>
  <c r="J155" i="14"/>
  <c r="H131" i="33"/>
  <c r="J131" s="1"/>
  <c r="J165" i="5"/>
  <c r="H116" i="33"/>
  <c r="H116" i="7" s="1"/>
  <c r="H141" i="33"/>
  <c r="H141" i="7" s="1"/>
  <c r="H128" i="33"/>
  <c r="J128" s="1"/>
  <c r="H151" i="9"/>
  <c r="J151" i="8"/>
  <c r="H144" i="7"/>
  <c r="J144" i="33"/>
  <c r="J134" i="10"/>
  <c r="H134" i="11"/>
  <c r="J149" i="33"/>
  <c r="H149" i="7"/>
  <c r="H150"/>
  <c r="J150" i="33"/>
  <c r="J146"/>
  <c r="H146" i="7"/>
  <c r="J147" i="33"/>
  <c r="H147" i="7"/>
  <c r="H145"/>
  <c r="J145" i="33"/>
  <c r="J148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/>
  <c r="J177" i="11"/>
  <c r="H130" i="7"/>
  <c r="J130" i="33"/>
  <c r="H167" i="15"/>
  <c r="J167" i="14"/>
  <c r="J166"/>
  <c r="H166" i="15"/>
  <c r="H133" i="7"/>
  <c r="J133" i="33"/>
  <c r="H168" i="15"/>
  <c r="J168" i="14"/>
  <c r="H176" i="5"/>
  <c r="J176" i="4"/>
  <c r="H183" i="7"/>
  <c r="J183" i="33"/>
  <c r="J174"/>
  <c r="H174" i="7"/>
  <c r="H179"/>
  <c r="J179" i="33"/>
  <c r="J178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/>
  <c r="J164" i="33"/>
  <c r="J165"/>
  <c r="H165" i="7"/>
  <c r="H188" i="5"/>
  <c r="J188" i="4"/>
  <c r="J138" i="33"/>
  <c r="H138" i="7"/>
  <c r="J142" i="33"/>
  <c r="H142" i="7"/>
  <c r="H139"/>
  <c r="J139" i="33"/>
  <c r="H140" i="7"/>
  <c r="J140" i="33"/>
  <c r="H122" i="7"/>
  <c r="J119" i="33"/>
  <c r="H119" i="7"/>
  <c r="J112" i="33"/>
  <c r="H112" i="7"/>
  <c r="H114"/>
  <c r="J114" i="33"/>
  <c r="J123"/>
  <c r="H123" i="7"/>
  <c r="H113" i="33"/>
  <c r="J113" i="5"/>
  <c r="H118" i="7"/>
  <c r="J118" i="33"/>
  <c r="J117"/>
  <c r="H117" i="7"/>
  <c r="J115" i="33"/>
  <c r="H115" i="7"/>
  <c r="J120" i="33"/>
  <c r="H120" i="7"/>
  <c r="B20" i="48"/>
  <c r="H30" i="9" l="1"/>
  <c r="E7" i="11"/>
  <c r="G7" s="1"/>
  <c r="H7" s="1"/>
  <c r="H32" i="9"/>
  <c r="G19" i="10"/>
  <c r="H19" s="1"/>
  <c r="E15" i="24"/>
  <c r="G15" i="23"/>
  <c r="E15" i="12"/>
  <c r="G15" i="11"/>
  <c r="H15" s="1"/>
  <c r="H79" i="10"/>
  <c r="E28" i="22"/>
  <c r="G28" s="1"/>
  <c r="G79"/>
  <c r="G80" s="1"/>
  <c r="E9" i="11"/>
  <c r="E8" i="12"/>
  <c r="G8" i="11"/>
  <c r="G10" i="21"/>
  <c r="H10" s="1"/>
  <c r="G99" i="10"/>
  <c r="H99" s="1"/>
  <c r="G103"/>
  <c r="H103" s="1"/>
  <c r="G97"/>
  <c r="H97" s="1"/>
  <c r="G95"/>
  <c r="H95" s="1"/>
  <c r="G105"/>
  <c r="H105" s="1"/>
  <c r="G101"/>
  <c r="H101" s="1"/>
  <c r="I59"/>
  <c r="J162" i="33"/>
  <c r="J135"/>
  <c r="H135" i="7"/>
  <c r="H129"/>
  <c r="J129" s="1"/>
  <c r="J121" i="33"/>
  <c r="J141"/>
  <c r="J155" i="15"/>
  <c r="H155" i="16"/>
  <c r="H156"/>
  <c r="J156" i="15"/>
  <c r="H131" i="7"/>
  <c r="H131" i="8" s="1"/>
  <c r="J116" i="33"/>
  <c r="H128" i="7"/>
  <c r="J128" s="1"/>
  <c r="J149"/>
  <c r="H149" i="8"/>
  <c r="H145"/>
  <c r="J145" i="7"/>
  <c r="J147"/>
  <c r="H147" i="8"/>
  <c r="J134" i="11"/>
  <c r="H134" i="12"/>
  <c r="H152"/>
  <c r="J152" i="11"/>
  <c r="H143" i="8"/>
  <c r="J143" i="7"/>
  <c r="H146" i="8"/>
  <c r="J146" i="7"/>
  <c r="J144"/>
  <c r="H144" i="8"/>
  <c r="J148" i="7"/>
  <c r="H148" i="8"/>
  <c r="H150"/>
  <c r="J150" i="7"/>
  <c r="H151" i="10"/>
  <c r="J151" i="9"/>
  <c r="H189" i="25"/>
  <c r="J189" i="24"/>
  <c r="J166" i="15"/>
  <c r="H166" i="16"/>
  <c r="J127" i="12"/>
  <c r="H127" i="13"/>
  <c r="H182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/>
  <c r="J162" i="7"/>
  <c r="J165"/>
  <c r="H165" i="8"/>
  <c r="H188" i="33"/>
  <c r="J188" i="5"/>
  <c r="J164" i="7"/>
  <c r="H164" i="8"/>
  <c r="J163" i="33"/>
  <c r="H163" i="7"/>
  <c r="J141"/>
  <c r="H141" i="8"/>
  <c r="J142" i="7"/>
  <c r="H142" i="8"/>
  <c r="H140"/>
  <c r="J140" i="7"/>
  <c r="H139" i="8"/>
  <c r="J139" i="7"/>
  <c r="J138"/>
  <c r="H138" i="8"/>
  <c r="H118"/>
  <c r="J118" i="7"/>
  <c r="H122" i="8"/>
  <c r="J122" i="7"/>
  <c r="J121"/>
  <c r="H121" i="8"/>
  <c r="J115" i="7"/>
  <c r="H115" i="8"/>
  <c r="J112" i="7"/>
  <c r="H112" i="8"/>
  <c r="J123" i="7"/>
  <c r="H123" i="8"/>
  <c r="J113" i="33"/>
  <c r="H113" i="7"/>
  <c r="H114" i="8"/>
  <c r="J114" i="7"/>
  <c r="J120"/>
  <c r="H120" i="8"/>
  <c r="J116" i="7"/>
  <c r="H116" i="8"/>
  <c r="J117" i="7"/>
  <c r="H117" i="8"/>
  <c r="J119" i="7"/>
  <c r="H119" i="8"/>
  <c r="C33" i="48"/>
  <c r="D33"/>
  <c r="F33"/>
  <c r="B3"/>
  <c r="E4" i="45" s="1"/>
  <c r="B4" i="48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1"/>
  <c r="B32"/>
  <c r="B2"/>
  <c r="D4" i="45" s="1"/>
  <c r="K2" i="48"/>
  <c r="E7" i="12" l="1"/>
  <c r="G7" s="1"/>
  <c r="E30" i="10"/>
  <c r="G30" s="1"/>
  <c r="G187"/>
  <c r="G20"/>
  <c r="H20" s="1"/>
  <c r="E19" i="11"/>
  <c r="E28"/>
  <c r="G28" s="1"/>
  <c r="H28" s="1"/>
  <c r="G79"/>
  <c r="G80" s="1"/>
  <c r="E15" i="13"/>
  <c r="G15" i="12"/>
  <c r="G79" i="23"/>
  <c r="G80" s="1"/>
  <c r="E28"/>
  <c r="G28" s="1"/>
  <c r="G15" i="24"/>
  <c r="E15" i="25"/>
  <c r="G99" i="11"/>
  <c r="H99" s="1"/>
  <c r="G97"/>
  <c r="H97" s="1"/>
  <c r="G103"/>
  <c r="H103" s="1"/>
  <c r="G105"/>
  <c r="H105" s="1"/>
  <c r="G101"/>
  <c r="H101" s="1"/>
  <c r="G95"/>
  <c r="H95" s="1"/>
  <c r="I59"/>
  <c r="E27"/>
  <c r="G27" s="1"/>
  <c r="H8"/>
  <c r="E9" i="12"/>
  <c r="G9" i="11"/>
  <c r="H9" s="1"/>
  <c r="E10" i="22"/>
  <c r="H135" i="8"/>
  <c r="J135" i="7"/>
  <c r="H129" i="8"/>
  <c r="H129" i="9" s="1"/>
  <c r="H156" i="17"/>
  <c r="J156" i="16"/>
  <c r="J155"/>
  <c r="H155" i="17"/>
  <c r="J131" i="7"/>
  <c r="H128" i="8"/>
  <c r="J12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/>
  <c r="J145" i="8"/>
  <c r="H148" i="9"/>
  <c r="J148" i="8"/>
  <c r="J149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/>
  <c r="J173" i="8"/>
  <c r="J181" i="7"/>
  <c r="H181" i="8"/>
  <c r="H184" i="9"/>
  <c r="J184" i="8"/>
  <c r="H183" i="9"/>
  <c r="J183" i="8"/>
  <c r="H189"/>
  <c r="J189" i="7"/>
  <c r="J176" i="33"/>
  <c r="H176" i="7"/>
  <c r="J174" i="8"/>
  <c r="H174" i="9"/>
  <c r="H180"/>
  <c r="J180" i="8"/>
  <c r="J186" i="7"/>
  <c r="H186" i="8"/>
  <c r="H185" i="9"/>
  <c r="J185" i="8"/>
  <c r="H179" i="9"/>
  <c r="J179" i="8"/>
  <c r="H175"/>
  <c r="J175" i="7"/>
  <c r="H188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/>
  <c r="H138" i="9"/>
  <c r="J142" i="8"/>
  <c r="H142" i="9"/>
  <c r="J141" i="8"/>
  <c r="H141" i="9"/>
  <c r="H139"/>
  <c r="J139" i="8"/>
  <c r="H140" i="9"/>
  <c r="J140" i="8"/>
  <c r="J116"/>
  <c r="H116" i="9"/>
  <c r="J123" i="8"/>
  <c r="H123" i="9"/>
  <c r="H118"/>
  <c r="J118" i="8"/>
  <c r="J120"/>
  <c r="H120" i="9"/>
  <c r="J113" i="7"/>
  <c r="H113" i="8"/>
  <c r="J112"/>
  <c r="H112" i="9"/>
  <c r="J121" i="8"/>
  <c r="H121" i="9"/>
  <c r="J119" i="8"/>
  <c r="H119" i="9"/>
  <c r="J115" i="8"/>
  <c r="H115" i="9"/>
  <c r="J117" i="8"/>
  <c r="H117" i="9"/>
  <c r="H114"/>
  <c r="J114" i="8"/>
  <c r="H122" i="9"/>
  <c r="J122" i="8"/>
  <c r="B33" i="48"/>
  <c r="G19" i="11" l="1"/>
  <c r="G32" i="10"/>
  <c r="H32" s="1"/>
  <c r="H30"/>
  <c r="G79" i="12"/>
  <c r="G80" s="1"/>
  <c r="E28"/>
  <c r="G28" s="1"/>
  <c r="H28" s="1"/>
  <c r="G15" i="13"/>
  <c r="E15" i="14"/>
  <c r="G15" i="25"/>
  <c r="E15" i="40"/>
  <c r="H15" i="12"/>
  <c r="G79" i="24"/>
  <c r="G80" s="1"/>
  <c r="E28"/>
  <c r="G28" s="1"/>
  <c r="H79" i="11"/>
  <c r="H27"/>
  <c r="E9" i="13"/>
  <c r="G9" i="12"/>
  <c r="H9" s="1"/>
  <c r="G10" i="22"/>
  <c r="H10" s="1"/>
  <c r="G105" i="12"/>
  <c r="H105" s="1"/>
  <c r="G97"/>
  <c r="H97" s="1"/>
  <c r="G99"/>
  <c r="H99" s="1"/>
  <c r="G95"/>
  <c r="H95" s="1"/>
  <c r="G101"/>
  <c r="H101" s="1"/>
  <c r="G103"/>
  <c r="H103" s="1"/>
  <c r="I59"/>
  <c r="E7" i="13"/>
  <c r="E8"/>
  <c r="G8" i="12"/>
  <c r="E27" s="1"/>
  <c r="G27" s="1"/>
  <c r="H7"/>
  <c r="H135" i="9"/>
  <c r="J135" i="8"/>
  <c r="J129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/>
  <c r="J129" i="9"/>
  <c r="J131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/>
  <c r="J186" i="8"/>
  <c r="H186" i="9"/>
  <c r="H174" i="10"/>
  <c r="J174" i="9"/>
  <c r="H175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/>
  <c r="H115" i="10"/>
  <c r="H121"/>
  <c r="J121" i="9"/>
  <c r="J113" i="8"/>
  <c r="H113" i="9"/>
  <c r="H122" i="10"/>
  <c r="J122" i="9"/>
  <c r="H117" i="10"/>
  <c r="J117" i="9"/>
  <c r="J119"/>
  <c r="H119" i="10"/>
  <c r="H112"/>
  <c r="J112" i="9"/>
  <c r="H120" i="10"/>
  <c r="J120" i="9"/>
  <c r="J123"/>
  <c r="H123" i="10"/>
  <c r="H3" i="48"/>
  <c r="K4" i="45" s="1"/>
  <c r="H4" i="48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1"/>
  <c r="H32"/>
  <c r="H2"/>
  <c r="H79" i="12" l="1"/>
  <c r="H8"/>
  <c r="H15" i="13"/>
  <c r="G187" i="11"/>
  <c r="E30"/>
  <c r="G30" s="1"/>
  <c r="G32" s="1"/>
  <c r="H32" s="1"/>
  <c r="G20"/>
  <c r="H20" s="1"/>
  <c r="H19"/>
  <c r="E19" i="12"/>
  <c r="G15" i="40"/>
  <c r="E15" i="27"/>
  <c r="G79" i="25"/>
  <c r="E28"/>
  <c r="G28" s="1"/>
  <c r="G15" i="14"/>
  <c r="E28" i="13"/>
  <c r="G28" s="1"/>
  <c r="H28" s="1"/>
  <c r="G79"/>
  <c r="G80" s="1"/>
  <c r="H80" s="1"/>
  <c r="J80" s="1"/>
  <c r="H27" i="12"/>
  <c r="G8" i="13"/>
  <c r="E27" s="1"/>
  <c r="G27" s="1"/>
  <c r="E8" i="14"/>
  <c r="G7" i="13"/>
  <c r="H7" s="1"/>
  <c r="G9"/>
  <c r="H9" s="1"/>
  <c r="E9" i="14"/>
  <c r="E10" i="23"/>
  <c r="H135" i="10"/>
  <c r="J135" i="9"/>
  <c r="J156" i="18"/>
  <c r="H156" i="19"/>
  <c r="H155"/>
  <c r="J155" i="18"/>
  <c r="J128" i="9"/>
  <c r="J134" i="14"/>
  <c r="H134" i="15"/>
  <c r="H147" i="11"/>
  <c r="J147" i="10"/>
  <c r="J144"/>
  <c r="H144" i="11"/>
  <c r="H150"/>
  <c r="J150" i="10"/>
  <c r="H152" i="15"/>
  <c r="J152" i="14"/>
  <c r="J151" i="12"/>
  <c r="H151" i="13"/>
  <c r="H148" i="11"/>
  <c r="J148" i="10"/>
  <c r="J149"/>
  <c r="H149" i="11"/>
  <c r="J145" i="10"/>
  <c r="H145" i="11"/>
  <c r="J146" i="10"/>
  <c r="H146" i="11"/>
  <c r="H143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/>
  <c r="H129" i="11"/>
  <c r="J129" i="10"/>
  <c r="J132"/>
  <c r="H132" i="11"/>
  <c r="H133"/>
  <c r="J133" i="10"/>
  <c r="H177" i="16"/>
  <c r="J177" i="15"/>
  <c r="H127" i="16"/>
  <c r="J127" i="15"/>
  <c r="H173" i="11"/>
  <c r="J173" i="10"/>
  <c r="H189"/>
  <c r="J189" i="9"/>
  <c r="H178" i="11"/>
  <c r="J178" i="10"/>
  <c r="H180" i="11"/>
  <c r="J180" i="10"/>
  <c r="H175"/>
  <c r="J175" i="9"/>
  <c r="H186" i="10"/>
  <c r="J186" i="9"/>
  <c r="H176"/>
  <c r="J176" i="8"/>
  <c r="H184" i="11"/>
  <c r="J184" i="10"/>
  <c r="J179"/>
  <c r="H179" i="11"/>
  <c r="H181" i="10"/>
  <c r="J181" i="9"/>
  <c r="J183" i="10"/>
  <c r="H183" i="11"/>
  <c r="H185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/>
  <c r="J162" i="10"/>
  <c r="H138" i="11"/>
  <c r="J138" i="10"/>
  <c r="H141" i="11"/>
  <c r="J141" i="10"/>
  <c r="J139"/>
  <c r="H139" i="11"/>
  <c r="H140"/>
  <c r="J140" i="10"/>
  <c r="H142" i="11"/>
  <c r="J142" i="10"/>
  <c r="J123"/>
  <c r="H123" i="11"/>
  <c r="J122" i="10"/>
  <c r="H122" i="11"/>
  <c r="J121" i="10"/>
  <c r="H121" i="11"/>
  <c r="H116"/>
  <c r="J116" i="10"/>
  <c r="J114"/>
  <c r="H114" i="11"/>
  <c r="J119" i="10"/>
  <c r="H119" i="11"/>
  <c r="H120"/>
  <c r="J120" i="10"/>
  <c r="H112" i="11"/>
  <c r="J112" i="10"/>
  <c r="J117"/>
  <c r="H117" i="11"/>
  <c r="J118" i="10"/>
  <c r="H118" i="11"/>
  <c r="H113" i="10"/>
  <c r="J113" i="9"/>
  <c r="J115" i="10"/>
  <c r="H115" i="11"/>
  <c r="H33" i="48"/>
  <c r="E7" i="14" l="1"/>
  <c r="G7" s="1"/>
  <c r="H30" i="11"/>
  <c r="G19" i="12"/>
  <c r="G79" i="14"/>
  <c r="E28"/>
  <c r="G28" s="1"/>
  <c r="H28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s="1"/>
  <c r="G79" i="40"/>
  <c r="E28"/>
  <c r="G28" s="1"/>
  <c r="H27" i="13"/>
  <c r="E9" i="15"/>
  <c r="G9" i="14"/>
  <c r="H9" s="1"/>
  <c r="E8" i="15"/>
  <c r="G8" i="14"/>
  <c r="E27" s="1"/>
  <c r="G27" s="1"/>
  <c r="G99" i="13"/>
  <c r="H99" s="1"/>
  <c r="G105"/>
  <c r="H105" s="1"/>
  <c r="G97"/>
  <c r="H97" s="1"/>
  <c r="G103"/>
  <c r="H103" s="1"/>
  <c r="G101"/>
  <c r="H101" s="1"/>
  <c r="G95"/>
  <c r="H95" s="1"/>
  <c r="I59"/>
  <c r="G10" i="23"/>
  <c r="H10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/>
  <c r="H146" i="12"/>
  <c r="J151" i="13"/>
  <c r="H151" i="14"/>
  <c r="H147" i="12"/>
  <c r="J147" i="11"/>
  <c r="H145" i="12"/>
  <c r="J145" i="11"/>
  <c r="H134" i="16"/>
  <c r="J134" i="15"/>
  <c r="J152"/>
  <c r="H152" i="16"/>
  <c r="H189" i="29"/>
  <c r="J189" i="28"/>
  <c r="H133" i="12"/>
  <c r="J133" i="11"/>
  <c r="J128"/>
  <c r="H128" i="12"/>
  <c r="H130"/>
  <c r="J130" i="11"/>
  <c r="H182" i="17"/>
  <c r="J182" i="16"/>
  <c r="J127"/>
  <c r="H127" i="17"/>
  <c r="H129" i="12"/>
  <c r="J129" i="11"/>
  <c r="J168" i="19"/>
  <c r="H177" i="17"/>
  <c r="J177" i="16"/>
  <c r="J166" i="19"/>
  <c r="J167"/>
  <c r="J132" i="11"/>
  <c r="H132" i="12"/>
  <c r="J131" i="11"/>
  <c r="H131" i="12"/>
  <c r="H174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/>
  <c r="J181" i="10"/>
  <c r="H184" i="12"/>
  <c r="J184" i="11"/>
  <c r="H186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/>
  <c r="H120" i="12"/>
  <c r="H123"/>
  <c r="J123" i="11"/>
  <c r="H117" i="12"/>
  <c r="J117" i="11"/>
  <c r="H114" i="12"/>
  <c r="J114" i="11"/>
  <c r="H121" i="12"/>
  <c r="J121" i="11"/>
  <c r="J112"/>
  <c r="H112" i="12"/>
  <c r="J116" i="11"/>
  <c r="H116" i="12"/>
  <c r="H118"/>
  <c r="J118" i="11"/>
  <c r="H119" i="12"/>
  <c r="J119" i="11"/>
  <c r="H122" i="12"/>
  <c r="J122" i="11"/>
  <c r="E34" i="1"/>
  <c r="F34"/>
  <c r="S34"/>
  <c r="U34" s="1"/>
  <c r="H19" i="12" l="1"/>
  <c r="G187"/>
  <c r="E10" i="24"/>
  <c r="G10" s="1"/>
  <c r="H10" s="1"/>
  <c r="E7" i="15"/>
  <c r="E7" i="16" s="1"/>
  <c r="E30" i="12"/>
  <c r="G30" s="1"/>
  <c r="G20"/>
  <c r="H20" s="1"/>
  <c r="E19" i="13"/>
  <c r="G15" i="28"/>
  <c r="E15" i="29"/>
  <c r="G15" s="1"/>
  <c r="G79" s="1"/>
  <c r="G80" s="1"/>
  <c r="E28" i="27"/>
  <c r="G28" s="1"/>
  <c r="H15"/>
  <c r="G79"/>
  <c r="H28" i="40"/>
  <c r="G80"/>
  <c r="G80" i="14"/>
  <c r="H79"/>
  <c r="H79" i="15" s="1"/>
  <c r="G105" i="14"/>
  <c r="H105" s="1"/>
  <c r="G95"/>
  <c r="H95" s="1"/>
  <c r="G103"/>
  <c r="H103" s="1"/>
  <c r="G97"/>
  <c r="H97" s="1"/>
  <c r="G101"/>
  <c r="H101" s="1"/>
  <c r="G99"/>
  <c r="H99" s="1"/>
  <c r="I59"/>
  <c r="H7"/>
  <c r="G8" i="15"/>
  <c r="E27" s="1"/>
  <c r="G27" s="1"/>
  <c r="E8" i="16"/>
  <c r="E9"/>
  <c r="G9" s="1"/>
  <c r="G9" i="15"/>
  <c r="H9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s="1"/>
  <c r="H135" i="12"/>
  <c r="J135" s="1"/>
  <c r="H135" i="17"/>
  <c r="J135" i="11"/>
  <c r="J156" i="20"/>
  <c r="H156" i="21"/>
  <c r="J155" i="20"/>
  <c r="H155" i="21"/>
  <c r="J147" i="12"/>
  <c r="H147" i="13"/>
  <c r="H14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/>
  <c r="J149" i="12"/>
  <c r="H189" i="30"/>
  <c r="J189" i="29"/>
  <c r="H131" i="13"/>
  <c r="J131" i="12"/>
  <c r="H127" i="18"/>
  <c r="J127" i="17"/>
  <c r="H167" i="21"/>
  <c r="H168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/>
  <c r="J186" i="11"/>
  <c r="H181" i="12"/>
  <c r="J181" i="11"/>
  <c r="H179" i="13"/>
  <c r="J179" i="12"/>
  <c r="H173" i="13"/>
  <c r="J173" i="12"/>
  <c r="H174" i="13"/>
  <c r="J174" i="12"/>
  <c r="H189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s="1"/>
  <c r="J79" i="15"/>
  <c r="E28" i="29"/>
  <c r="G28" s="1"/>
  <c r="E15" i="30"/>
  <c r="G15" s="1"/>
  <c r="G7" i="15"/>
  <c r="G105" s="1"/>
  <c r="H105" s="1"/>
  <c r="H27"/>
  <c r="G19" i="13"/>
  <c r="G187" s="1"/>
  <c r="G32" i="12"/>
  <c r="H32" s="1"/>
  <c r="H30"/>
  <c r="G80" i="27"/>
  <c r="H28"/>
  <c r="H15" i="28"/>
  <c r="H15" i="29" s="1"/>
  <c r="E28" i="28"/>
  <c r="G28" s="1"/>
  <c r="G79"/>
  <c r="E9" i="17"/>
  <c r="H9" i="16"/>
  <c r="N7"/>
  <c r="N8"/>
  <c r="E10" i="25"/>
  <c r="H135" i="43"/>
  <c r="J135" s="1"/>
  <c r="H135" i="40"/>
  <c r="H135" i="27"/>
  <c r="H135" i="29"/>
  <c r="H135" i="25"/>
  <c r="H135" i="31"/>
  <c r="H135" i="28"/>
  <c r="J155" i="21"/>
  <c r="H155" i="22"/>
  <c r="H156"/>
  <c r="J156" i="21"/>
  <c r="H151" i="16"/>
  <c r="J151" i="15"/>
  <c r="J152" i="17"/>
  <c r="H152" i="18"/>
  <c r="J149" i="13"/>
  <c r="H149" i="14"/>
  <c r="H144"/>
  <c r="J144" i="13"/>
  <c r="J148"/>
  <c r="H148" i="14"/>
  <c r="J134" i="17"/>
  <c r="H134" i="18"/>
  <c r="J143" i="13"/>
  <c r="H143" i="14"/>
  <c r="H150"/>
  <c r="J150" i="13"/>
  <c r="J145"/>
  <c r="H145" i="14"/>
  <c r="H147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/>
  <c r="J175" i="12"/>
  <c r="H174" i="14"/>
  <c r="J174" i="13"/>
  <c r="H179" i="14"/>
  <c r="J179" i="13"/>
  <c r="H186"/>
  <c r="J186" i="12"/>
  <c r="H178" i="14"/>
  <c r="J178" i="13"/>
  <c r="H185" i="14"/>
  <c r="J185" i="13"/>
  <c r="H180" i="14"/>
  <c r="J180" i="13"/>
  <c r="H189"/>
  <c r="J189" i="12"/>
  <c r="H173" i="14"/>
  <c r="J173" i="13"/>
  <c r="H181"/>
  <c r="J181" i="12"/>
  <c r="H187"/>
  <c r="J187" i="11"/>
  <c r="H162" i="14"/>
  <c r="J162" i="13"/>
  <c r="H16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/>
  <c r="J113" i="12"/>
  <c r="K32" i="47"/>
  <c r="L32"/>
  <c r="E31" i="48"/>
  <c r="G31"/>
  <c r="H79" i="40" l="1"/>
  <c r="H79" i="27" s="1"/>
  <c r="H79" i="28" s="1"/>
  <c r="H79" i="29" s="1"/>
  <c r="G103" i="15"/>
  <c r="H103" s="1"/>
  <c r="G99"/>
  <c r="H99" s="1"/>
  <c r="G95"/>
  <c r="H95" s="1"/>
  <c r="G97"/>
  <c r="H97" s="1"/>
  <c r="I59"/>
  <c r="G101"/>
  <c r="H101" s="1"/>
  <c r="H7"/>
  <c r="H28" i="28"/>
  <c r="H28" i="29" s="1"/>
  <c r="G20" i="13"/>
  <c r="H20" s="1"/>
  <c r="E30"/>
  <c r="G30" s="1"/>
  <c r="G32" s="1"/>
  <c r="H32" s="1"/>
  <c r="H19"/>
  <c r="E19" i="14"/>
  <c r="G80" i="28"/>
  <c r="G9" i="17"/>
  <c r="H9" s="1"/>
  <c r="E9" i="18"/>
  <c r="E7" i="17"/>
  <c r="G7" i="16"/>
  <c r="G10" i="25"/>
  <c r="H10" s="1"/>
  <c r="E8" i="17"/>
  <c r="G8" i="16"/>
  <c r="E27" s="1"/>
  <c r="G27" s="1"/>
  <c r="G79" i="30"/>
  <c r="G80" s="1"/>
  <c r="E28"/>
  <c r="G28" s="1"/>
  <c r="E15" i="43"/>
  <c r="H15" i="30"/>
  <c r="J156" i="22"/>
  <c r="H156" i="23"/>
  <c r="H156" i="24" s="1"/>
  <c r="J156" s="1"/>
  <c r="H155" i="23"/>
  <c r="J155" i="22"/>
  <c r="H150" i="15"/>
  <c r="J150" i="14"/>
  <c r="H144" i="15"/>
  <c r="J144" i="14"/>
  <c r="H143" i="15"/>
  <c r="J143" i="14"/>
  <c r="J149"/>
  <c r="H149" i="15"/>
  <c r="H146"/>
  <c r="J146" i="14"/>
  <c r="H134" i="19"/>
  <c r="J134" i="18"/>
  <c r="J152"/>
  <c r="H152" i="19"/>
  <c r="J147" i="14"/>
  <c r="H147" i="15"/>
  <c r="H145"/>
  <c r="J145" i="14"/>
  <c r="H148" i="15"/>
  <c r="J148" i="14"/>
  <c r="H151" i="17"/>
  <c r="J151" i="16"/>
  <c r="J189" i="43"/>
  <c r="H189" i="31"/>
  <c r="J189" s="1"/>
  <c r="H133" i="50"/>
  <c r="J133" s="1"/>
  <c r="H131" i="15"/>
  <c r="J131" i="14"/>
  <c r="J177" i="19"/>
  <c r="H177" i="20"/>
  <c r="H130" i="15"/>
  <c r="J130" i="14"/>
  <c r="H168" i="23"/>
  <c r="J168" i="22"/>
  <c r="J166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s="1"/>
  <c r="J135" s="1"/>
  <c r="J128" i="14"/>
  <c r="H181"/>
  <c r="J181" i="13"/>
  <c r="H189" i="14"/>
  <c r="J189" i="13"/>
  <c r="H185" i="15"/>
  <c r="J185" i="14"/>
  <c r="H186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/>
  <c r="J175" i="13"/>
  <c r="H183" i="15"/>
  <c r="J183" i="14"/>
  <c r="H165" i="15"/>
  <c r="J165" i="14"/>
  <c r="H163"/>
  <c r="J163" i="13"/>
  <c r="H187"/>
  <c r="J187" i="12"/>
  <c r="H188" i="13"/>
  <c r="H188" i="14" s="1"/>
  <c r="J188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/>
  <c r="D33"/>
  <c r="S33"/>
  <c r="U33" s="1"/>
  <c r="H30" i="13" l="1"/>
  <c r="H28" i="30"/>
  <c r="G19" i="14"/>
  <c r="H19" s="1"/>
  <c r="H27" i="16"/>
  <c r="G8" i="17"/>
  <c r="E27" s="1"/>
  <c r="G27" s="1"/>
  <c r="E8" i="18"/>
  <c r="E9" i="19"/>
  <c r="G103" i="16"/>
  <c r="H103" s="1"/>
  <c r="H7"/>
  <c r="G97"/>
  <c r="H97" s="1"/>
  <c r="G95"/>
  <c r="H95" s="1"/>
  <c r="G101"/>
  <c r="H101" s="1"/>
  <c r="G105"/>
  <c r="H105" s="1"/>
  <c r="I59"/>
  <c r="G99"/>
  <c r="H99" s="1"/>
  <c r="G7" i="17"/>
  <c r="E7" i="18"/>
  <c r="G15" i="43"/>
  <c r="H79" i="30"/>
  <c r="H155" i="24"/>
  <c r="J155" i="23"/>
  <c r="H156" i="25"/>
  <c r="J156" i="23"/>
  <c r="J147" i="15"/>
  <c r="H147" i="16"/>
  <c r="H149"/>
  <c r="J149" i="15"/>
  <c r="J152" i="19"/>
  <c r="H152" i="20"/>
  <c r="H151" i="18"/>
  <c r="J151" i="17"/>
  <c r="J143" i="15"/>
  <c r="H143" i="16"/>
  <c r="H148"/>
  <c r="J148" i="15"/>
  <c r="J134" i="19"/>
  <c r="H134" i="20"/>
  <c r="J144" i="15"/>
  <c r="H144" i="16"/>
  <c r="J145" i="15"/>
  <c r="H145" i="16"/>
  <c r="H146"/>
  <c r="J146" i="15"/>
  <c r="J150"/>
  <c r="H150" i="16"/>
  <c r="H128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/>
  <c r="J181" i="14"/>
  <c r="H175" i="15"/>
  <c r="J175" i="14"/>
  <c r="H178" i="16"/>
  <c r="J178" i="15"/>
  <c r="H173" i="16"/>
  <c r="J173" i="15"/>
  <c r="H184" i="16"/>
  <c r="J184" i="15"/>
  <c r="H186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H7" i="1"/>
  <c r="J7" s="1"/>
  <c r="G7"/>
  <c r="H6"/>
  <c r="J6" s="1"/>
  <c r="G6"/>
  <c r="H5"/>
  <c r="J5" s="1"/>
  <c r="G5"/>
  <c r="AN2" i="49"/>
  <c r="G4" i="1"/>
  <c r="E30" i="14" l="1"/>
  <c r="G30" s="1"/>
  <c r="G20"/>
  <c r="H20" s="1"/>
  <c r="G187"/>
  <c r="H187" s="1"/>
  <c r="J187" s="1"/>
  <c r="E19" i="15"/>
  <c r="G10" i="40"/>
  <c r="H10" s="1"/>
  <c r="G9" i="19"/>
  <c r="G9" i="18"/>
  <c r="H9" s="1"/>
  <c r="G8"/>
  <c r="E8" i="19"/>
  <c r="G7" i="18"/>
  <c r="E7" i="19"/>
  <c r="H27" i="17"/>
  <c r="G101"/>
  <c r="H101" s="1"/>
  <c r="G103"/>
  <c r="H103" s="1"/>
  <c r="I59"/>
  <c r="G105"/>
  <c r="H105" s="1"/>
  <c r="H7"/>
  <c r="G97"/>
  <c r="H97" s="1"/>
  <c r="G99"/>
  <c r="H99" s="1"/>
  <c r="G95"/>
  <c r="H95" s="1"/>
  <c r="H156" i="40"/>
  <c r="H156" i="27" s="1"/>
  <c r="H156" i="28" s="1"/>
  <c r="J156" i="25"/>
  <c r="E28" i="43"/>
  <c r="G28" s="1"/>
  <c r="H28" s="1"/>
  <c r="G79"/>
  <c r="G80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/>
  <c r="H145" i="17"/>
  <c r="H143"/>
  <c r="J143" i="16"/>
  <c r="H147" i="17"/>
  <c r="J147" i="16"/>
  <c r="H177" i="22"/>
  <c r="J177" i="21"/>
  <c r="H131" i="17"/>
  <c r="J131" i="16"/>
  <c r="J167" i="24"/>
  <c r="H167" i="25"/>
  <c r="H168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/>
  <c r="J181" i="15"/>
  <c r="H174" i="17"/>
  <c r="J174" i="16"/>
  <c r="H180" i="17"/>
  <c r="J180" i="16"/>
  <c r="H183" i="17"/>
  <c r="J183" i="16"/>
  <c r="H186"/>
  <c r="J186" i="15"/>
  <c r="H173" i="17"/>
  <c r="J173" i="16"/>
  <c r="H175"/>
  <c r="J175" i="15"/>
  <c r="H185" i="17"/>
  <c r="J185" i="16"/>
  <c r="H176" i="15"/>
  <c r="J176" i="14"/>
  <c r="H179" i="17"/>
  <c r="J179" i="16"/>
  <c r="H163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/>
  <c r="J113" i="15"/>
  <c r="H122" i="17"/>
  <c r="J122" i="16"/>
  <c r="H118" i="17"/>
  <c r="J118" i="16"/>
  <c r="H121" i="17"/>
  <c r="J121" i="16"/>
  <c r="H117" i="17"/>
  <c r="J117" i="16"/>
  <c r="J114"/>
  <c r="H112" i="17"/>
  <c r="J112" i="16"/>
  <c r="H123" i="17"/>
  <c r="J123" i="16"/>
  <c r="D5" i="44"/>
  <c r="H4" i="1"/>
  <c r="J4" s="1"/>
  <c r="B5" i="44"/>
  <c r="C5"/>
  <c r="J2" i="48" s="1"/>
  <c r="D6" i="44"/>
  <c r="D7"/>
  <c r="D8"/>
  <c r="B8"/>
  <c r="B6"/>
  <c r="B7"/>
  <c r="C6"/>
  <c r="C7"/>
  <c r="C8"/>
  <c r="AN4" i="49"/>
  <c r="AN3"/>
  <c r="E27" i="18" l="1"/>
  <c r="G27" s="1"/>
  <c r="H27" s="1"/>
  <c r="G19" i="15"/>
  <c r="G32" i="14"/>
  <c r="H32" s="1"/>
  <c r="H30"/>
  <c r="G15" i="31"/>
  <c r="E8" i="20"/>
  <c r="G8" i="19"/>
  <c r="E27" s="1"/>
  <c r="G27" s="1"/>
  <c r="H9"/>
  <c r="E9" i="20"/>
  <c r="E7"/>
  <c r="G7" i="19"/>
  <c r="G95" i="18"/>
  <c r="H95" s="1"/>
  <c r="G97"/>
  <c r="H97" s="1"/>
  <c r="I59"/>
  <c r="G99"/>
  <c r="H99" s="1"/>
  <c r="H7"/>
  <c r="G105"/>
  <c r="H105" s="1"/>
  <c r="G103"/>
  <c r="H103" s="1"/>
  <c r="G101"/>
  <c r="H101" s="1"/>
  <c r="H79" i="43"/>
  <c r="G8" i="40"/>
  <c r="E27" s="1"/>
  <c r="G27" s="1"/>
  <c r="H155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/>
  <c r="J189" i="16"/>
  <c r="H176"/>
  <c r="J176" i="15"/>
  <c r="H175" i="17"/>
  <c r="J175" i="16"/>
  <c r="J186"/>
  <c r="H186" i="17"/>
  <c r="H180" i="18"/>
  <c r="J180" i="17"/>
  <c r="H181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/>
  <c r="E6"/>
  <c r="E8"/>
  <c r="AN5" i="49"/>
  <c r="E19" i="16" l="1"/>
  <c r="F19" s="1"/>
  <c r="G19" s="1"/>
  <c r="E30" i="15"/>
  <c r="G30" s="1"/>
  <c r="G32" s="1"/>
  <c r="H32" s="1"/>
  <c r="G187"/>
  <c r="H187" s="1"/>
  <c r="J187" s="1"/>
  <c r="G20"/>
  <c r="H20" s="1"/>
  <c r="H19"/>
  <c r="H15" i="31"/>
  <c r="G79"/>
  <c r="G80" s="1"/>
  <c r="E28"/>
  <c r="G28" s="1"/>
  <c r="H28" s="1"/>
  <c r="G7" i="20"/>
  <c r="E7" i="21"/>
  <c r="G9" i="20"/>
  <c r="H9" s="1"/>
  <c r="E9" i="21"/>
  <c r="G105" i="19"/>
  <c r="H105" s="1"/>
  <c r="G95"/>
  <c r="H95" s="1"/>
  <c r="G97"/>
  <c r="H97" s="1"/>
  <c r="I59"/>
  <c r="G99"/>
  <c r="H99" s="1"/>
  <c r="G101"/>
  <c r="H101" s="1"/>
  <c r="G103"/>
  <c r="H103" s="1"/>
  <c r="H7"/>
  <c r="G10" i="27"/>
  <c r="H10" s="1"/>
  <c r="H27" i="19"/>
  <c r="E8" i="21"/>
  <c r="G8" i="20"/>
  <c r="E27" s="1"/>
  <c r="G27" s="1"/>
  <c r="J156" i="40"/>
  <c r="H155" i="27"/>
  <c r="J155" i="40"/>
  <c r="H148" i="19"/>
  <c r="J148" i="18"/>
  <c r="J149"/>
  <c r="H149" i="19"/>
  <c r="J143" i="18"/>
  <c r="H143" i="19"/>
  <c r="H147"/>
  <c r="J147" i="18"/>
  <c r="J144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/>
  <c r="J175" i="17"/>
  <c r="H189" i="18"/>
  <c r="J189" i="17"/>
  <c r="H174" i="19"/>
  <c r="J174" i="18"/>
  <c r="H173" i="19"/>
  <c r="J173" i="18"/>
  <c r="H179" i="19"/>
  <c r="J179" i="18"/>
  <c r="H181"/>
  <c r="J181" i="17"/>
  <c r="H176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/>
  <c r="J163" i="17"/>
  <c r="H188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/>
  <c r="J113" i="17"/>
  <c r="H117" i="19"/>
  <c r="J117" i="18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79" i="31" l="1"/>
  <c r="E10" i="28"/>
  <c r="G10" s="1"/>
  <c r="H10" s="1"/>
  <c r="H30" i="15"/>
  <c r="H27" i="20"/>
  <c r="E19" i="17"/>
  <c r="H19" i="16"/>
  <c r="G20"/>
  <c r="H20" s="1"/>
  <c r="G187"/>
  <c r="H187" s="1"/>
  <c r="J187" s="1"/>
  <c r="E30"/>
  <c r="G30" s="1"/>
  <c r="G32" s="1"/>
  <c r="H32" s="1"/>
  <c r="G9" i="21"/>
  <c r="H9" s="1"/>
  <c r="E9" i="22"/>
  <c r="E8"/>
  <c r="G7" i="21"/>
  <c r="E7" i="22"/>
  <c r="G103" i="20"/>
  <c r="H103" s="1"/>
  <c r="G99"/>
  <c r="H99" s="1"/>
  <c r="G101"/>
  <c r="H101" s="1"/>
  <c r="G97"/>
  <c r="H97" s="1"/>
  <c r="G95"/>
  <c r="H95" s="1"/>
  <c r="G105"/>
  <c r="H105" s="1"/>
  <c r="H7"/>
  <c r="I59"/>
  <c r="G8" i="27"/>
  <c r="E27" s="1"/>
  <c r="G27" s="1"/>
  <c r="E8" i="28"/>
  <c r="J156" i="27"/>
  <c r="J155"/>
  <c r="H155" i="28"/>
  <c r="H148" i="20"/>
  <c r="J148" i="19"/>
  <c r="H146" i="20"/>
  <c r="J146" i="19"/>
  <c r="J152" i="23"/>
  <c r="J147" i="19"/>
  <c r="H147" i="20"/>
  <c r="H150"/>
  <c r="J150" i="19"/>
  <c r="J134" i="23"/>
  <c r="H134" i="24"/>
  <c r="H143" i="20"/>
  <c r="J143" i="19"/>
  <c r="J145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/>
  <c r="J181" i="18"/>
  <c r="H173" i="20"/>
  <c r="J173" i="19"/>
  <c r="H189"/>
  <c r="J189" s="1"/>
  <c r="J189" i="18"/>
  <c r="H180" i="20"/>
  <c r="J180" i="19"/>
  <c r="H186"/>
  <c r="J186" i="18"/>
  <c r="H183" i="20"/>
  <c r="J183" i="19"/>
  <c r="H176" i="18"/>
  <c r="J176" i="17"/>
  <c r="H179" i="20"/>
  <c r="J179" i="19"/>
  <c r="H174" i="20"/>
  <c r="J174" i="19"/>
  <c r="H175"/>
  <c r="J175" i="18"/>
  <c r="H184" i="20"/>
  <c r="J184" i="19"/>
  <c r="H188" i="18"/>
  <c r="J188" i="17"/>
  <c r="H162" i="20"/>
  <c r="J162" i="19"/>
  <c r="H164" i="20"/>
  <c r="J164" i="19"/>
  <c r="H163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8" i="21" l="1"/>
  <c r="E27" s="1"/>
  <c r="G27" s="1"/>
  <c r="H27" s="1"/>
  <c r="H30" i="16"/>
  <c r="F19" i="17"/>
  <c r="G19" s="1"/>
  <c r="E9" i="23"/>
  <c r="G7" i="22"/>
  <c r="E7" i="23"/>
  <c r="I59" i="21"/>
  <c r="G101"/>
  <c r="H101" s="1"/>
  <c r="H7"/>
  <c r="G103"/>
  <c r="H103" s="1"/>
  <c r="G97"/>
  <c r="H97" s="1"/>
  <c r="G99"/>
  <c r="H99" s="1"/>
  <c r="G95"/>
  <c r="H95" s="1"/>
  <c r="G105"/>
  <c r="H105" s="1"/>
  <c r="E10" i="29"/>
  <c r="G8" i="22"/>
  <c r="E27" s="1"/>
  <c r="G27" s="1"/>
  <c r="E8" i="23"/>
  <c r="G8" i="28"/>
  <c r="E8" i="29"/>
  <c r="J155" i="28"/>
  <c r="H155" i="29"/>
  <c r="J156" i="28"/>
  <c r="H156" i="29"/>
  <c r="J145" i="20"/>
  <c r="H145" i="21"/>
  <c r="H147"/>
  <c r="J147" i="20"/>
  <c r="H144" i="21"/>
  <c r="J144" i="20"/>
  <c r="J143"/>
  <c r="H143" i="21"/>
  <c r="H152" i="25"/>
  <c r="J152" i="24"/>
  <c r="H134" i="25"/>
  <c r="J134" i="24"/>
  <c r="H151" i="23"/>
  <c r="J151" i="22"/>
  <c r="J146" i="20"/>
  <c r="H146" i="21"/>
  <c r="J149" i="20"/>
  <c r="H149" i="21"/>
  <c r="H150"/>
  <c r="J150" i="20"/>
  <c r="J148"/>
  <c r="H148" i="21"/>
  <c r="H132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/>
  <c r="J163" i="19"/>
  <c r="H188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/>
  <c r="G5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K2" i="47"/>
  <c r="E14" i="48"/>
  <c r="E15"/>
  <c r="E21"/>
  <c r="E22"/>
  <c r="E23"/>
  <c r="E24"/>
  <c r="E25"/>
  <c r="E26"/>
  <c r="E27"/>
  <c r="E28"/>
  <c r="E29"/>
  <c r="E30"/>
  <c r="H4" i="45"/>
  <c r="AM35" i="1"/>
  <c r="T35"/>
  <c r="P35"/>
  <c r="M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0" i="17" l="1"/>
  <c r="G30" s="1"/>
  <c r="G20"/>
  <c r="H20" s="1"/>
  <c r="G187"/>
  <c r="H187" s="1"/>
  <c r="J187" s="1"/>
  <c r="E19" i="18"/>
  <c r="H19" i="17"/>
  <c r="G7" i="23"/>
  <c r="E7" i="24"/>
  <c r="H7" i="22"/>
  <c r="I59"/>
  <c r="G99"/>
  <c r="H99" s="1"/>
  <c r="G97"/>
  <c r="H97" s="1"/>
  <c r="G95"/>
  <c r="H95" s="1"/>
  <c r="G105"/>
  <c r="H105" s="1"/>
  <c r="G103"/>
  <c r="H103" s="1"/>
  <c r="G101"/>
  <c r="H101" s="1"/>
  <c r="G8" i="29"/>
  <c r="G9" i="23"/>
  <c r="E9" i="24"/>
  <c r="G10" i="29"/>
  <c r="H10" s="1"/>
  <c r="G8" i="23"/>
  <c r="E27" s="1"/>
  <c r="G27" s="1"/>
  <c r="E8" i="24"/>
  <c r="G9" i="22"/>
  <c r="H9" s="1"/>
  <c r="H27"/>
  <c r="E27" i="28"/>
  <c r="G27" s="1"/>
  <c r="J3" i="48"/>
  <c r="M4" i="45" s="1"/>
  <c r="J4"/>
  <c r="K5" i="47"/>
  <c r="J5" i="48"/>
  <c r="K4" i="47"/>
  <c r="J4" i="48"/>
  <c r="H156" i="30"/>
  <c r="J156" i="29"/>
  <c r="J155"/>
  <c r="H155" i="30"/>
  <c r="H146" i="22"/>
  <c r="J146" i="21"/>
  <c r="H143" i="22"/>
  <c r="J143" i="21"/>
  <c r="J152" i="25"/>
  <c r="H152" i="40"/>
  <c r="H151" i="24"/>
  <c r="J151" i="23"/>
  <c r="J144" i="21"/>
  <c r="H144" i="22"/>
  <c r="H150"/>
  <c r="J150" i="21"/>
  <c r="H134" i="40"/>
  <c r="J134" i="25"/>
  <c r="J147" i="21"/>
  <c r="H147" i="22"/>
  <c r="J148" i="21"/>
  <c r="H148" i="22"/>
  <c r="H149"/>
  <c r="J149" i="21"/>
  <c r="J145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/>
  <c r="J175" i="20"/>
  <c r="H181" i="21"/>
  <c r="J181" i="20"/>
  <c r="H176"/>
  <c r="J176" i="19"/>
  <c r="H184" i="22"/>
  <c r="J184" i="21"/>
  <c r="H178" i="22"/>
  <c r="J178" i="21"/>
  <c r="H180" i="22"/>
  <c r="J180" i="21"/>
  <c r="H179" i="22"/>
  <c r="J179" i="21"/>
  <c r="H185" i="22"/>
  <c r="J185" i="21"/>
  <c r="H186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/>
  <c r="J113" i="20"/>
  <c r="H123" i="22"/>
  <c r="J123" i="21"/>
  <c r="H122" i="22"/>
  <c r="J122" i="21"/>
  <c r="K3" i="47"/>
  <c r="G33" i="48"/>
  <c r="E33"/>
  <c r="H9" i="23" l="1"/>
  <c r="G19" i="18"/>
  <c r="G32" i="17"/>
  <c r="H32" s="1"/>
  <c r="H30"/>
  <c r="E27" i="29"/>
  <c r="G27" s="1"/>
  <c r="O8"/>
  <c r="O15"/>
  <c r="E10" i="30"/>
  <c r="G9" i="24"/>
  <c r="E9" i="25"/>
  <c r="G8" i="24"/>
  <c r="E27" s="1"/>
  <c r="G27" s="1"/>
  <c r="E8" i="25"/>
  <c r="G8" s="1"/>
  <c r="E27" s="1"/>
  <c r="G27" s="1"/>
  <c r="G7" i="24"/>
  <c r="E7" i="25"/>
  <c r="H27" i="23"/>
  <c r="G105"/>
  <c r="H105" s="1"/>
  <c r="G95"/>
  <c r="H95" s="1"/>
  <c r="I59"/>
  <c r="G101"/>
  <c r="H101" s="1"/>
  <c r="H7"/>
  <c r="G103"/>
  <c r="H103" s="1"/>
  <c r="G99"/>
  <c r="H99" s="1"/>
  <c r="G97"/>
  <c r="H97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/>
  <c r="J150" i="22"/>
  <c r="H143" i="23"/>
  <c r="J143" i="22"/>
  <c r="H148" i="23"/>
  <c r="J148" i="22"/>
  <c r="J144"/>
  <c r="H144" i="23"/>
  <c r="J146" i="22"/>
  <c r="H146" i="23"/>
  <c r="H129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/>
  <c r="J181" i="21"/>
  <c r="H183" i="23"/>
  <c r="J183" i="22"/>
  <c r="H163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s="1"/>
  <c r="J142" i="22"/>
  <c r="H140" i="23"/>
  <c r="J140" i="22"/>
  <c r="H141" i="23"/>
  <c r="H141" i="24" s="1"/>
  <c r="J141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/>
  <c r="J113" i="21"/>
  <c r="H119" i="23"/>
  <c r="J119" i="22"/>
  <c r="H120" i="23"/>
  <c r="J120" i="22"/>
  <c r="H115" i="23"/>
  <c r="J115" i="22"/>
  <c r="H116" i="23"/>
  <c r="J116" i="22"/>
  <c r="AP45" i="44"/>
  <c r="AP41"/>
  <c r="H9" i="24" l="1"/>
  <c r="G20" i="18"/>
  <c r="H20" s="1"/>
  <c r="G187"/>
  <c r="H187" s="1"/>
  <c r="J187" s="1"/>
  <c r="E30"/>
  <c r="G30" s="1"/>
  <c r="G32" s="1"/>
  <c r="H32" s="1"/>
  <c r="E19" i="19"/>
  <c r="H19" i="18"/>
  <c r="G9" i="25"/>
  <c r="G7"/>
  <c r="E7" i="40"/>
  <c r="G10" i="30"/>
  <c r="H10" s="1"/>
  <c r="H7" i="24"/>
  <c r="G99"/>
  <c r="H99" s="1"/>
  <c r="G95"/>
  <c r="H95" s="1"/>
  <c r="I59"/>
  <c r="G101"/>
  <c r="H101" s="1"/>
  <c r="G105"/>
  <c r="H105" s="1"/>
  <c r="G97"/>
  <c r="H97" s="1"/>
  <c r="G103"/>
  <c r="H103" s="1"/>
  <c r="G8" i="30"/>
  <c r="E27" s="1"/>
  <c r="G27" s="1"/>
  <c r="H27" i="24"/>
  <c r="H27" i="25" s="1"/>
  <c r="H27" i="40" s="1"/>
  <c r="H27" i="27" s="1"/>
  <c r="H27" i="28" s="1"/>
  <c r="H27" i="29" s="1"/>
  <c r="G7" i="28"/>
  <c r="O9" s="1"/>
  <c r="H155" i="31"/>
  <c r="J155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s="1"/>
  <c r="J166" i="43"/>
  <c r="J177" i="28"/>
  <c r="H177" i="29"/>
  <c r="J127" i="28"/>
  <c r="H127" i="29"/>
  <c r="H132" i="24"/>
  <c r="J132" i="23"/>
  <c r="H168" i="31"/>
  <c r="J168" s="1"/>
  <c r="J168" i="43"/>
  <c r="H128" i="24"/>
  <c r="J128" i="23"/>
  <c r="H131" i="24"/>
  <c r="J131" i="23"/>
  <c r="H130" i="24"/>
  <c r="J130" i="23"/>
  <c r="H133" i="24"/>
  <c r="J133" i="23"/>
  <c r="H167" i="31"/>
  <c r="J167" s="1"/>
  <c r="J167" i="43"/>
  <c r="H181" i="23"/>
  <c r="J181" i="22"/>
  <c r="H180" i="24"/>
  <c r="J180" i="23"/>
  <c r="H174" i="24"/>
  <c r="J174" i="23"/>
  <c r="H175"/>
  <c r="J175" i="22"/>
  <c r="H178" i="24"/>
  <c r="J178" i="23"/>
  <c r="H186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/>
  <c r="J142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/>
  <c r="J113" i="22"/>
  <c r="H118" i="24"/>
  <c r="J118" i="23"/>
  <c r="H117" i="24"/>
  <c r="J117" i="23"/>
  <c r="H112" i="24"/>
  <c r="J112" i="23"/>
  <c r="AC35" i="44"/>
  <c r="H9" i="25" l="1"/>
  <c r="E8" i="43"/>
  <c r="E8" i="31" s="1"/>
  <c r="E19" i="20"/>
  <c r="G19" i="19"/>
  <c r="H30" i="18"/>
  <c r="E10" i="43"/>
  <c r="G7" i="40"/>
  <c r="E7" i="27"/>
  <c r="G7" s="1"/>
  <c r="G95" i="25"/>
  <c r="H95" s="1"/>
  <c r="G99"/>
  <c r="H99" s="1"/>
  <c r="G103"/>
  <c r="H103" s="1"/>
  <c r="G97"/>
  <c r="H97" s="1"/>
  <c r="G101"/>
  <c r="H101" s="1"/>
  <c r="I59"/>
  <c r="H7"/>
  <c r="G105"/>
  <c r="H105" s="1"/>
  <c r="G9" i="40"/>
  <c r="H27" i="30"/>
  <c r="G105" i="28"/>
  <c r="G103"/>
  <c r="G101"/>
  <c r="G97"/>
  <c r="G95"/>
  <c r="G99"/>
  <c r="I59"/>
  <c r="E7" i="29"/>
  <c r="H144" i="25"/>
  <c r="J144" i="24"/>
  <c r="J147"/>
  <c r="H147" i="25"/>
  <c r="J150" i="24"/>
  <c r="H150" i="25"/>
  <c r="H143"/>
  <c r="J143" i="24"/>
  <c r="H145" i="25"/>
  <c r="J145" i="24"/>
  <c r="H152" i="29"/>
  <c r="J152" i="28"/>
  <c r="H151" i="27"/>
  <c r="J151" i="40"/>
  <c r="J148" i="24"/>
  <c r="H148" i="25"/>
  <c r="H149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/>
  <c r="J181" i="23"/>
  <c r="H179" i="25"/>
  <c r="J179" i="24"/>
  <c r="H173" i="25"/>
  <c r="J173" i="24"/>
  <c r="H184" i="25"/>
  <c r="J184" i="24"/>
  <c r="H186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/>
  <c r="J163" i="23"/>
  <c r="H188"/>
  <c r="J188" i="22"/>
  <c r="H139" i="25"/>
  <c r="J139" i="24"/>
  <c r="H142" i="25"/>
  <c r="H141"/>
  <c r="H140"/>
  <c r="J140" i="24"/>
  <c r="H138" i="25"/>
  <c r="J138" i="24"/>
  <c r="H117" i="25"/>
  <c r="J117" i="24"/>
  <c r="H113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s="1"/>
  <c r="G32" s="1"/>
  <c r="H32" s="1"/>
  <c r="G20"/>
  <c r="H20" s="1"/>
  <c r="G187"/>
  <c r="H187" s="1"/>
  <c r="J187" s="1"/>
  <c r="E19" i="21"/>
  <c r="G19" i="20"/>
  <c r="H19" i="19"/>
  <c r="G9" i="27"/>
  <c r="E9" i="28"/>
  <c r="G95" i="27"/>
  <c r="I59"/>
  <c r="G97"/>
  <c r="G101"/>
  <c r="G105"/>
  <c r="G103"/>
  <c r="G99"/>
  <c r="O10" i="29"/>
  <c r="H7" i="40"/>
  <c r="H7" i="27" s="1"/>
  <c r="H7" i="28" s="1"/>
  <c r="G105" i="40"/>
  <c r="H105" s="1"/>
  <c r="G103"/>
  <c r="H103" s="1"/>
  <c r="G99"/>
  <c r="H99" s="1"/>
  <c r="I59"/>
  <c r="G101"/>
  <c r="H101" s="1"/>
  <c r="G97"/>
  <c r="H97" s="1"/>
  <c r="G95"/>
  <c r="H95" s="1"/>
  <c r="G8" i="43"/>
  <c r="E27" s="1"/>
  <c r="G27" s="1"/>
  <c r="G8" i="50"/>
  <c r="E28" s="1"/>
  <c r="G28" s="1"/>
  <c r="G8" i="31"/>
  <c r="E27" s="1"/>
  <c r="G27" s="1"/>
  <c r="J143" i="25"/>
  <c r="H143" i="40"/>
  <c r="J150" i="25"/>
  <c r="H150" i="40"/>
  <c r="H134" i="30"/>
  <c r="J134" i="29"/>
  <c r="H151" i="28"/>
  <c r="J151" i="27"/>
  <c r="J147" i="25"/>
  <c r="H147" i="40"/>
  <c r="H146"/>
  <c r="J146" i="25"/>
  <c r="H152" i="30"/>
  <c r="J152" i="29"/>
  <c r="J148" i="25"/>
  <c r="H148" i="40"/>
  <c r="H149"/>
  <c r="J149" i="25"/>
  <c r="J145"/>
  <c r="H145" i="40"/>
  <c r="J144" i="25"/>
  <c r="H144" i="40"/>
  <c r="H129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/>
  <c r="J186" i="24"/>
  <c r="H173" i="40"/>
  <c r="J173" i="25"/>
  <c r="H181"/>
  <c r="J181" i="24"/>
  <c r="H178" i="40"/>
  <c r="J178" i="25"/>
  <c r="H185" i="40"/>
  <c r="J185" i="25"/>
  <c r="H188" i="24"/>
  <c r="J188" i="23"/>
  <c r="H162" i="40"/>
  <c r="J162" i="25"/>
  <c r="H164" i="40"/>
  <c r="J164" i="25"/>
  <c r="H163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/>
  <c r="J113" i="24"/>
  <c r="H9" i="27" l="1"/>
  <c r="H30" i="19"/>
  <c r="H99" i="27"/>
  <c r="H99" i="28" s="1"/>
  <c r="H105" i="27"/>
  <c r="H105" i="28" s="1"/>
  <c r="H19" i="20"/>
  <c r="G20"/>
  <c r="H20" s="1"/>
  <c r="G187"/>
  <c r="H187" s="1"/>
  <c r="J187" s="1"/>
  <c r="E30"/>
  <c r="G30" s="1"/>
  <c r="G19" i="21"/>
  <c r="G7" i="29"/>
  <c r="I59" s="1"/>
  <c r="H95" i="27"/>
  <c r="H95" i="28" s="1"/>
  <c r="H103" i="27"/>
  <c r="H103" i="28" s="1"/>
  <c r="E9" i="29"/>
  <c r="G9" i="28"/>
  <c r="G10" i="43"/>
  <c r="H10" s="1"/>
  <c r="H10" i="50" s="1"/>
  <c r="E10" i="31"/>
  <c r="G10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/>
  <c r="J150" i="40"/>
  <c r="H148" i="27"/>
  <c r="J148" i="40"/>
  <c r="H146" i="27"/>
  <c r="J146" i="40"/>
  <c r="H147" i="27"/>
  <c r="J147" i="40"/>
  <c r="H143" i="27"/>
  <c r="J143" i="40"/>
  <c r="J149"/>
  <c r="H149" i="27"/>
  <c r="H133"/>
  <c r="J133" i="40"/>
  <c r="H129" i="27"/>
  <c r="J129" i="40"/>
  <c r="J182" i="43"/>
  <c r="H182" i="31"/>
  <c r="J182" s="1"/>
  <c r="H131" i="27"/>
  <c r="J131" i="40"/>
  <c r="J177" i="43"/>
  <c r="H177" i="31"/>
  <c r="J177" s="1"/>
  <c r="H121" i="50"/>
  <c r="J121" s="1"/>
  <c r="H130" i="27"/>
  <c r="J130" i="40"/>
  <c r="H132" i="27"/>
  <c r="J132" i="40"/>
  <c r="H128" i="27"/>
  <c r="J128" i="40"/>
  <c r="H127" i="31"/>
  <c r="J127" s="1"/>
  <c r="J127" i="43"/>
  <c r="H178" i="27"/>
  <c r="J178" i="40"/>
  <c r="H173" i="27"/>
  <c r="J173" i="40"/>
  <c r="H180" i="27"/>
  <c r="J180" i="40"/>
  <c r="H183" i="27"/>
  <c r="J183" i="40"/>
  <c r="H179" i="27"/>
  <c r="J179" i="40"/>
  <c r="H175"/>
  <c r="J175" i="25"/>
  <c r="H185" i="27"/>
  <c r="J185" i="40"/>
  <c r="H181"/>
  <c r="J181" i="25"/>
  <c r="H186" i="40"/>
  <c r="J186" i="25"/>
  <c r="H176"/>
  <c r="J176" i="24"/>
  <c r="H174" i="27"/>
  <c r="J174" i="40"/>
  <c r="H184" i="27"/>
  <c r="J184" i="40"/>
  <c r="H165" i="27"/>
  <c r="J165" i="40"/>
  <c r="H163"/>
  <c r="J163" i="25"/>
  <c r="H188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/>
  <c r="AC7"/>
  <c r="AC8"/>
  <c r="AC6"/>
  <c r="G32" i="20" l="1"/>
  <c r="H32" s="1"/>
  <c r="H9" i="28"/>
  <c r="G103" i="29"/>
  <c r="H103" s="1"/>
  <c r="G101"/>
  <c r="H101" s="1"/>
  <c r="G97"/>
  <c r="H97" s="1"/>
  <c r="G105"/>
  <c r="H105" s="1"/>
  <c r="G95"/>
  <c r="H95" s="1"/>
  <c r="G99"/>
  <c r="H99" s="1"/>
  <c r="E19" i="22"/>
  <c r="G19" s="1"/>
  <c r="H30" i="20"/>
  <c r="G187" i="21"/>
  <c r="H187" s="1"/>
  <c r="J187" s="1"/>
  <c r="E30"/>
  <c r="G30" s="1"/>
  <c r="G32" s="1"/>
  <c r="G20"/>
  <c r="H20" s="1"/>
  <c r="H19"/>
  <c r="H10" i="31"/>
  <c r="G9" i="29"/>
  <c r="E9" i="30"/>
  <c r="G9" s="1"/>
  <c r="O12" i="29"/>
  <c r="H7"/>
  <c r="G7" i="30"/>
  <c r="H146" i="28"/>
  <c r="J146" i="27"/>
  <c r="J134" i="43"/>
  <c r="H134" i="31"/>
  <c r="J134" s="1"/>
  <c r="J149" i="27"/>
  <c r="H149" i="28"/>
  <c r="H148"/>
  <c r="J148" i="27"/>
  <c r="H152" i="31"/>
  <c r="J152" s="1"/>
  <c r="J152" i="43"/>
  <c r="H143" i="28"/>
  <c r="J143" i="27"/>
  <c r="J150"/>
  <c r="H150" i="28"/>
  <c r="J144" i="27"/>
  <c r="H144" i="28"/>
  <c r="H145"/>
  <c r="J145" i="27"/>
  <c r="J14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/>
  <c r="H32" i="21" l="1"/>
  <c r="H9" i="29"/>
  <c r="H9" i="30" s="1"/>
  <c r="E19" i="23"/>
  <c r="G19" s="1"/>
  <c r="H19" i="22"/>
  <c r="E9" i="43"/>
  <c r="G9" s="1"/>
  <c r="H30" i="21"/>
  <c r="E30" i="22"/>
  <c r="G30" s="1"/>
  <c r="G32" s="1"/>
  <c r="G20"/>
  <c r="H20" s="1"/>
  <c r="G187"/>
  <c r="H187" s="1"/>
  <c r="J187" s="1"/>
  <c r="G105" i="30"/>
  <c r="H105" s="1"/>
  <c r="G99"/>
  <c r="H99" s="1"/>
  <c r="G97"/>
  <c r="H97" s="1"/>
  <c r="G95"/>
  <c r="H95" s="1"/>
  <c r="G103"/>
  <c r="H103" s="1"/>
  <c r="G101"/>
  <c r="H101" s="1"/>
  <c r="I59"/>
  <c r="H7"/>
  <c r="E7" i="43"/>
  <c r="H144" i="29"/>
  <c r="J144" i="28"/>
  <c r="H148" i="29"/>
  <c r="J148" i="28"/>
  <c r="J146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/>
  <c r="J181" i="27"/>
  <c r="H184" i="29"/>
  <c r="J184" i="28"/>
  <c r="H180" i="29"/>
  <c r="J180" i="28"/>
  <c r="H185" i="29"/>
  <c r="J185" i="28"/>
  <c r="H174" i="29"/>
  <c r="J174" i="28"/>
  <c r="H173" i="29"/>
  <c r="J173" i="28"/>
  <c r="H175"/>
  <c r="J175" i="27"/>
  <c r="H176"/>
  <c r="J176" i="40"/>
  <c r="H178" i="29"/>
  <c r="J178" i="28"/>
  <c r="H179" i="29"/>
  <c r="J179" i="28"/>
  <c r="H186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s="1"/>
  <c r="E19" i="24"/>
  <c r="H30" i="22"/>
  <c r="G20" i="23"/>
  <c r="H20" s="1"/>
  <c r="G187"/>
  <c r="H187" s="1"/>
  <c r="J187" s="1"/>
  <c r="E30"/>
  <c r="G30" s="1"/>
  <c r="G32" s="1"/>
  <c r="H19"/>
  <c r="E9" i="31"/>
  <c r="G9" s="1"/>
  <c r="E7"/>
  <c r="J144" i="29"/>
  <c r="H144" i="30"/>
  <c r="H143"/>
  <c r="J143" i="29"/>
  <c r="J151" i="43"/>
  <c r="H151" i="31"/>
  <c r="J151" s="1"/>
  <c r="H147" i="30"/>
  <c r="J147" i="29"/>
  <c r="H146" i="30"/>
  <c r="J146" i="29"/>
  <c r="J148"/>
  <c r="H148" i="30"/>
  <c r="H150"/>
  <c r="J150" i="29"/>
  <c r="J149"/>
  <c r="H149" i="30"/>
  <c r="H145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/>
  <c r="J186" i="28"/>
  <c r="H178" i="30"/>
  <c r="J178" i="29"/>
  <c r="H175"/>
  <c r="J175" i="28"/>
  <c r="H174" i="30"/>
  <c r="J174" i="29"/>
  <c r="H180" i="30"/>
  <c r="J180" i="29"/>
  <c r="H181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/>
  <c r="AC28" i="44"/>
  <c r="Z25" i="49"/>
  <c r="AB7"/>
  <c r="AB9"/>
  <c r="Z30"/>
  <c r="H32" i="23" l="1"/>
  <c r="H9" i="31"/>
  <c r="H30" i="23"/>
  <c r="G19" i="24"/>
  <c r="AB25" i="49"/>
  <c r="N7" i="31"/>
  <c r="G7"/>
  <c r="G7" i="43"/>
  <c r="G7" i="50"/>
  <c r="G11" s="1"/>
  <c r="H147" i="43"/>
  <c r="J147" i="30"/>
  <c r="J150"/>
  <c r="H150" i="43"/>
  <c r="H148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/>
  <c r="J175" i="29"/>
  <c r="H186" i="30"/>
  <c r="J186" i="29"/>
  <c r="H184" i="43"/>
  <c r="J184" i="30"/>
  <c r="H173" i="43"/>
  <c r="J173" i="30"/>
  <c r="H179" i="43"/>
  <c r="J179" i="30"/>
  <c r="H181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/>
  <c r="J163" i="29"/>
  <c r="H188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/>
  <c r="J113" i="29"/>
  <c r="H117" i="43"/>
  <c r="J117" i="30"/>
  <c r="AC27" i="44"/>
  <c r="AB24" i="49" s="1"/>
  <c r="Z24"/>
  <c r="AB8"/>
  <c r="AA32"/>
  <c r="AB10"/>
  <c r="AB5"/>
  <c r="AA24"/>
  <c r="AA25"/>
  <c r="Z11"/>
  <c r="Z10"/>
  <c r="Z9"/>
  <c r="Z8"/>
  <c r="Z7"/>
  <c r="AA6"/>
  <c r="AB6"/>
  <c r="Z6"/>
  <c r="AA5"/>
  <c r="Z5"/>
  <c r="Z4"/>
  <c r="AB4"/>
  <c r="AA4"/>
  <c r="Z31"/>
  <c r="Z29"/>
  <c r="Z27"/>
  <c r="Z26"/>
  <c r="Z23"/>
  <c r="Z22"/>
  <c r="Z21"/>
  <c r="Z20"/>
  <c r="Z19"/>
  <c r="Z18"/>
  <c r="Z17"/>
  <c r="Z16"/>
  <c r="Z15"/>
  <c r="Z14"/>
  <c r="Z13"/>
  <c r="Z12"/>
  <c r="AA7"/>
  <c r="AC25" i="44"/>
  <c r="AB22" i="49" s="1"/>
  <c r="AA13"/>
  <c r="AA23"/>
  <c r="AA12"/>
  <c r="AA22"/>
  <c r="AC21" i="44"/>
  <c r="AB18" i="49" s="1"/>
  <c r="AC17" i="44"/>
  <c r="AB14" i="49" s="1"/>
  <c r="AA31"/>
  <c r="AA11"/>
  <c r="AA20"/>
  <c r="AB11"/>
  <c r="AC20" i="44"/>
  <c r="AB17" i="49" s="1"/>
  <c r="AA26"/>
  <c r="AC31" i="44"/>
  <c r="AB28" i="49" s="1"/>
  <c r="AA29"/>
  <c r="Z32"/>
  <c r="AA18"/>
  <c r="AC15" i="44"/>
  <c r="AC16"/>
  <c r="AB13" i="49" s="1"/>
  <c r="AA16"/>
  <c r="AC22" i="44"/>
  <c r="AB19" i="49" s="1"/>
  <c r="AC24" i="44"/>
  <c r="AB21" i="49" s="1"/>
  <c r="AC32" i="44"/>
  <c r="AB29" i="49" s="1"/>
  <c r="AC34" i="44"/>
  <c r="AB31" i="49" s="1"/>
  <c r="AC29" i="44"/>
  <c r="AB26" i="49" s="1"/>
  <c r="AA14"/>
  <c r="AA10"/>
  <c r="AA27"/>
  <c r="AA15"/>
  <c r="AA30"/>
  <c r="AA21"/>
  <c r="AA17"/>
  <c r="AC19" i="44"/>
  <c r="AB16" i="49" s="1"/>
  <c r="AC18" i="44"/>
  <c r="AB15" i="49" s="1"/>
  <c r="AA19"/>
  <c r="AA8"/>
  <c r="AA9"/>
  <c r="AC30" i="44"/>
  <c r="AB27" i="49" s="1"/>
  <c r="AC26" i="44"/>
  <c r="AB23" i="49" s="1"/>
  <c r="AC23" i="44"/>
  <c r="AB20" i="49" s="1"/>
  <c r="AA28"/>
  <c r="E19" i="25" l="1"/>
  <c r="G19" s="1"/>
  <c r="E30" i="24"/>
  <c r="G30" s="1"/>
  <c r="G32" s="1"/>
  <c r="H32" s="1"/>
  <c r="G187"/>
  <c r="H187" s="1"/>
  <c r="J187" s="1"/>
  <c r="G20"/>
  <c r="H20" s="1"/>
  <c r="H19"/>
  <c r="AC36" i="44"/>
  <c r="AC37"/>
  <c r="G104" i="50"/>
  <c r="G98"/>
  <c r="G100"/>
  <c r="G106"/>
  <c r="G96"/>
  <c r="G102"/>
  <c r="I60"/>
  <c r="G97" i="43"/>
  <c r="H97" s="1"/>
  <c r="J97" s="1"/>
  <c r="G99"/>
  <c r="H99" s="1"/>
  <c r="J99" s="1"/>
  <c r="G103"/>
  <c r="H103" s="1"/>
  <c r="J103" s="1"/>
  <c r="G101"/>
  <c r="H101" s="1"/>
  <c r="J101" s="1"/>
  <c r="G95"/>
  <c r="H95" s="1"/>
  <c r="G105"/>
  <c r="H105" s="1"/>
  <c r="I59"/>
  <c r="H7"/>
  <c r="G103" i="31"/>
  <c r="G95"/>
  <c r="G97"/>
  <c r="G101"/>
  <c r="G105"/>
  <c r="G99"/>
  <c r="I59"/>
  <c r="AB12" i="49"/>
  <c r="J146" i="43"/>
  <c r="H146" i="31"/>
  <c r="J146" s="1"/>
  <c r="H149"/>
  <c r="J149" s="1"/>
  <c r="J149" i="43"/>
  <c r="J145"/>
  <c r="H145" i="31"/>
  <c r="J145" s="1"/>
  <c r="H148"/>
  <c r="J148" s="1"/>
  <c r="J148" i="43"/>
  <c r="J150"/>
  <c r="H150" i="31"/>
  <c r="J150" s="1"/>
  <c r="J144" i="43"/>
  <c r="H144" i="31"/>
  <c r="J144" s="1"/>
  <c r="J143" i="43"/>
  <c r="H143" i="31"/>
  <c r="J143" s="1"/>
  <c r="H147"/>
  <c r="J147" s="1"/>
  <c r="J147" i="43"/>
  <c r="H130" i="31"/>
  <c r="J130" s="1"/>
  <c r="J130" i="43"/>
  <c r="H132" i="31"/>
  <c r="J132" s="1"/>
  <c r="J132" i="43"/>
  <c r="H128" i="31"/>
  <c r="J128" s="1"/>
  <c r="J128" i="43"/>
  <c r="J129"/>
  <c r="H129" i="31"/>
  <c r="J129" s="1"/>
  <c r="H80" i="50"/>
  <c r="H131" i="31"/>
  <c r="J131" s="1"/>
  <c r="J131" i="43"/>
  <c r="H82" i="31"/>
  <c r="J82" s="1"/>
  <c r="H133"/>
  <c r="J133" s="1"/>
  <c r="J133" i="43"/>
  <c r="J185"/>
  <c r="H185" i="31"/>
  <c r="J185" s="1"/>
  <c r="H129" i="50"/>
  <c r="J129" s="1"/>
  <c r="H178" i="31"/>
  <c r="J178" s="1"/>
  <c r="J178" i="43"/>
  <c r="H122" i="50"/>
  <c r="J122" s="1"/>
  <c r="H181" i="43"/>
  <c r="J181" i="30"/>
  <c r="H173" i="31"/>
  <c r="J173" s="1"/>
  <c r="J173" i="43"/>
  <c r="H117" i="50"/>
  <c r="J117" s="1"/>
  <c r="H186" i="43"/>
  <c r="J186" i="30"/>
  <c r="J180" i="43"/>
  <c r="H180" i="31"/>
  <c r="J180" s="1"/>
  <c r="H124" i="50"/>
  <c r="J124" s="1"/>
  <c r="H176" i="30"/>
  <c r="J176" i="29"/>
  <c r="J183" i="43"/>
  <c r="H183" i="31"/>
  <c r="J183" s="1"/>
  <c r="J174" i="43"/>
  <c r="H174" i="31"/>
  <c r="J174" s="1"/>
  <c r="H118" i="50"/>
  <c r="J118" s="1"/>
  <c r="J179" i="43"/>
  <c r="H179" i="31"/>
  <c r="J179" s="1"/>
  <c r="H123" i="50"/>
  <c r="J123" s="1"/>
  <c r="J184" i="43"/>
  <c r="H184" i="31"/>
  <c r="J184" s="1"/>
  <c r="H128" i="50"/>
  <c r="J128" s="1"/>
  <c r="H175" i="43"/>
  <c r="J175" i="30"/>
  <c r="H188"/>
  <c r="J188" i="29"/>
  <c r="J162" i="43"/>
  <c r="H162" i="31"/>
  <c r="J162" s="1"/>
  <c r="J164" i="43"/>
  <c r="H164" i="31"/>
  <c r="H163" i="43"/>
  <c r="J163" i="30"/>
  <c r="H161" i="31"/>
  <c r="J161" s="1"/>
  <c r="J161" i="43"/>
  <c r="J165" i="31"/>
  <c r="J165" i="43"/>
  <c r="J142"/>
  <c r="H142" i="31"/>
  <c r="J142" s="1"/>
  <c r="J140" i="43"/>
  <c r="H140" i="31"/>
  <c r="J140" s="1"/>
  <c r="H139"/>
  <c r="J139" s="1"/>
  <c r="J139" i="43"/>
  <c r="H141" i="31"/>
  <c r="J141" s="1"/>
  <c r="J141" i="43"/>
  <c r="H138" i="31"/>
  <c r="J138" s="1"/>
  <c r="J138" i="43"/>
  <c r="H113"/>
  <c r="J113" i="30"/>
  <c r="J114" i="43"/>
  <c r="H114" i="31"/>
  <c r="J114" s="1"/>
  <c r="H115"/>
  <c r="J115" s="1"/>
  <c r="J115" i="43"/>
  <c r="J118"/>
  <c r="H118" i="31"/>
  <c r="J118" s="1"/>
  <c r="H123"/>
  <c r="J123" s="1"/>
  <c r="J123" i="43"/>
  <c r="H119" i="31"/>
  <c r="J119" s="1"/>
  <c r="J119" i="43"/>
  <c r="H117" i="31"/>
  <c r="J117" s="1"/>
  <c r="J117" i="43"/>
  <c r="H116" i="31"/>
  <c r="J116" s="1"/>
  <c r="J116" i="43"/>
  <c r="H122" i="31"/>
  <c r="J122" s="1"/>
  <c r="J122" i="43"/>
  <c r="J112"/>
  <c r="H112" i="31"/>
  <c r="J112" s="1"/>
  <c r="J120" i="43"/>
  <c r="H120" i="31"/>
  <c r="J120" s="1"/>
  <c r="H121"/>
  <c r="J121" s="1"/>
  <c r="J121" i="43"/>
  <c r="Z3" i="49"/>
  <c r="AB3"/>
  <c r="AA3"/>
  <c r="Z2"/>
  <c r="AB2"/>
  <c r="AA2"/>
  <c r="H30" i="24" l="1"/>
  <c r="H19" i="25"/>
  <c r="E30"/>
  <c r="G30" s="1"/>
  <c r="G32" s="1"/>
  <c r="H32" s="1"/>
  <c r="G187"/>
  <c r="H187" s="1"/>
  <c r="J187" s="1"/>
  <c r="G20"/>
  <c r="H20" s="1"/>
  <c r="E19" i="40"/>
  <c r="H101" i="31"/>
  <c r="J101" s="1"/>
  <c r="H99"/>
  <c r="J99" s="1"/>
  <c r="H103"/>
  <c r="J103" s="1"/>
  <c r="H105"/>
  <c r="J105" s="1"/>
  <c r="J105" i="43"/>
  <c r="H95" i="31"/>
  <c r="J95" s="1"/>
  <c r="J95" i="43"/>
  <c r="AU35" i="44"/>
  <c r="H97" i="31"/>
  <c r="J97" s="1"/>
  <c r="J164"/>
  <c r="H176" i="43"/>
  <c r="J176" i="30"/>
  <c r="J175" i="43"/>
  <c r="H175" i="31"/>
  <c r="J175" s="1"/>
  <c r="H119" i="50"/>
  <c r="J119" s="1"/>
  <c r="H181" i="31"/>
  <c r="J181" s="1"/>
  <c r="J181" i="43"/>
  <c r="J186"/>
  <c r="H186" i="31"/>
  <c r="J186" s="1"/>
  <c r="H130" i="50"/>
  <c r="J130" s="1"/>
  <c r="H163" i="31"/>
  <c r="J163" s="1"/>
  <c r="J163" i="43"/>
  <c r="H188"/>
  <c r="J188" i="30"/>
  <c r="J113" i="43"/>
  <c r="H113" i="31"/>
  <c r="J113" s="1"/>
  <c r="AN10" i="49"/>
  <c r="AE10"/>
  <c r="Y13" i="44"/>
  <c r="X10" i="49" s="1"/>
  <c r="AD10"/>
  <c r="G19" i="40" l="1"/>
  <c r="H30" i="25"/>
  <c r="AD36" i="44"/>
  <c r="AD37"/>
  <c r="AU36"/>
  <c r="AU37"/>
  <c r="AC32" i="49"/>
  <c r="H176" i="31"/>
  <c r="J176" s="1"/>
  <c r="J176" i="43"/>
  <c r="H120" i="50"/>
  <c r="J120" s="1"/>
  <c r="H188" i="31"/>
  <c r="J188" s="1"/>
  <c r="J188" i="43"/>
  <c r="H132" i="50"/>
  <c r="J132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s="1"/>
  <c r="J187" s="1"/>
  <c r="G20"/>
  <c r="H20" s="1"/>
  <c r="E30"/>
  <c r="G30" s="1"/>
  <c r="G32" s="1"/>
  <c r="H32" s="1"/>
  <c r="H19"/>
  <c r="E19" i="27"/>
  <c r="AT10" i="49"/>
  <c r="BB10"/>
  <c r="AS10"/>
  <c r="BA10"/>
  <c r="H30" i="40" l="1"/>
  <c r="G19" i="27"/>
  <c r="H19" s="1"/>
  <c r="C9" i="44"/>
  <c r="J6" i="48" s="1"/>
  <c r="H8" i="1"/>
  <c r="J8" s="1"/>
  <c r="C10" i="44"/>
  <c r="H9" i="1"/>
  <c r="J9" s="1"/>
  <c r="AN32" i="49"/>
  <c r="BA34" i="1"/>
  <c r="BC34"/>
  <c r="BD34"/>
  <c r="BE34"/>
  <c r="BG34"/>
  <c r="Y35" i="44"/>
  <c r="AZ34" i="1"/>
  <c r="AR34"/>
  <c r="AU34"/>
  <c r="AV34"/>
  <c r="AW34"/>
  <c r="D35" i="44"/>
  <c r="BF34" i="1"/>
  <c r="AX34"/>
  <c r="AT34"/>
  <c r="G20" i="27" l="1"/>
  <c r="H20" s="1"/>
  <c r="E30"/>
  <c r="G30" s="1"/>
  <c r="G187"/>
  <c r="H187" s="1"/>
  <c r="J18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/>
  <c r="AE32"/>
  <c r="X32"/>
  <c r="G19" i="28" l="1"/>
  <c r="G32" i="27"/>
  <c r="H32" s="1"/>
  <c r="H30"/>
  <c r="N34" i="1"/>
  <c r="G32" i="47"/>
  <c r="AT35" i="44"/>
  <c r="AT32" i="49"/>
  <c r="BB32"/>
  <c r="AS32"/>
  <c r="BA32"/>
  <c r="E19" i="29" l="1"/>
  <c r="E30" i="28"/>
  <c r="G30" s="1"/>
  <c r="G32" s="1"/>
  <c r="H32" s="1"/>
  <c r="G187"/>
  <c r="H187" s="1"/>
  <c r="J187" s="1"/>
  <c r="G20"/>
  <c r="H20" s="1"/>
  <c r="H19"/>
  <c r="AI25" i="45"/>
  <c r="AI27"/>
  <c r="H30" i="28" l="1"/>
  <c r="E19" i="30"/>
  <c r="G19" i="29"/>
  <c r="AD20" i="49"/>
  <c r="G187" i="29" l="1"/>
  <c r="H187" s="1"/>
  <c r="J187" s="1"/>
  <c r="E30"/>
  <c r="G30" s="1"/>
  <c r="G32" s="1"/>
  <c r="H32" s="1"/>
  <c r="G20"/>
  <c r="H20" s="1"/>
  <c r="H19"/>
  <c r="G19" i="30"/>
  <c r="E19" i="43"/>
  <c r="L15" i="44"/>
  <c r="K12" i="49" s="1"/>
  <c r="Y15" i="44"/>
  <c r="X12" i="49" s="1"/>
  <c r="H19" i="30" l="1"/>
  <c r="G20"/>
  <c r="H20" s="1"/>
  <c r="E30"/>
  <c r="G30" s="1"/>
  <c r="G32" s="1"/>
  <c r="H32" s="1"/>
  <c r="G187"/>
  <c r="H187" s="1"/>
  <c r="J187" s="1"/>
  <c r="H30" i="29"/>
  <c r="AX7" i="49"/>
  <c r="AW7"/>
  <c r="AV9"/>
  <c r="AZ10"/>
  <c r="AY10"/>
  <c r="AX10"/>
  <c r="AW10"/>
  <c r="AV10"/>
  <c r="AU10"/>
  <c r="AZ14"/>
  <c r="AY14"/>
  <c r="AX14"/>
  <c r="AW14"/>
  <c r="AV14"/>
  <c r="AU14"/>
  <c r="AZ15"/>
  <c r="AY15"/>
  <c r="AX15"/>
  <c r="AW15"/>
  <c r="AV15"/>
  <c r="AU15"/>
  <c r="AZ16"/>
  <c r="AY16"/>
  <c r="AX16"/>
  <c r="AW16"/>
  <c r="AV16"/>
  <c r="AU16"/>
  <c r="AZ18"/>
  <c r="AY18"/>
  <c r="AX18"/>
  <c r="AW18"/>
  <c r="AV18"/>
  <c r="AU18"/>
  <c r="AZ19"/>
  <c r="AY19"/>
  <c r="AX19"/>
  <c r="AW19"/>
  <c r="AV19"/>
  <c r="AU19"/>
  <c r="AZ24"/>
  <c r="AY24"/>
  <c r="AX24"/>
  <c r="AW24"/>
  <c r="AV24"/>
  <c r="AU24"/>
  <c r="AZ25"/>
  <c r="AY25"/>
  <c r="AX25"/>
  <c r="AW25"/>
  <c r="AV25"/>
  <c r="AU25"/>
  <c r="AZ26"/>
  <c r="AY26"/>
  <c r="AX26"/>
  <c r="AW26"/>
  <c r="AV26"/>
  <c r="AU26"/>
  <c r="AZ27"/>
  <c r="AY27"/>
  <c r="AX27"/>
  <c r="AW27"/>
  <c r="AV27"/>
  <c r="AU27"/>
  <c r="AZ28"/>
  <c r="AY28"/>
  <c r="AX28"/>
  <c r="AW28"/>
  <c r="AV28"/>
  <c r="AU28"/>
  <c r="AZ29"/>
  <c r="AY29"/>
  <c r="AX29"/>
  <c r="AW29"/>
  <c r="AV29"/>
  <c r="AU29"/>
  <c r="AZ32"/>
  <c r="AY32"/>
  <c r="AX32"/>
  <c r="AW32"/>
  <c r="AV32"/>
  <c r="AU32"/>
  <c r="H30" i="30" l="1"/>
  <c r="G19" i="43"/>
  <c r="E20" i="50"/>
  <c r="G20" s="1"/>
  <c r="E19" i="31"/>
  <c r="G19" s="1"/>
  <c r="AT26" i="49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U31"/>
  <c r="BB31"/>
  <c r="BA31"/>
  <c r="AZ31"/>
  <c r="AY31"/>
  <c r="AX31"/>
  <c r="AW31"/>
  <c r="AV31"/>
  <c r="AT29"/>
  <c r="BB29"/>
  <c r="AT27"/>
  <c r="BB27"/>
  <c r="AT28"/>
  <c r="BB28"/>
  <c r="AS27"/>
  <c r="BA27"/>
  <c r="AX21"/>
  <c r="AY22"/>
  <c r="AW21"/>
  <c r="AU20"/>
  <c r="AX22"/>
  <c r="AV21"/>
  <c r="AW22"/>
  <c r="AU21"/>
  <c r="AY21"/>
  <c r="AV22"/>
  <c r="AZ20"/>
  <c r="AW20"/>
  <c r="AV20"/>
  <c r="AU22"/>
  <c r="AY20"/>
  <c r="AZ22"/>
  <c r="AZ21"/>
  <c r="AX20"/>
  <c r="AT17"/>
  <c r="AY3"/>
  <c r="AW5"/>
  <c r="AU9"/>
  <c r="AY9"/>
  <c r="AW8"/>
  <c r="AU7"/>
  <c r="AZ7"/>
  <c r="AX6"/>
  <c r="AZ5"/>
  <c r="AU3"/>
  <c r="AY4"/>
  <c r="AZ9"/>
  <c r="AX8"/>
  <c r="AU6"/>
  <c r="AX3"/>
  <c r="AX4"/>
  <c r="AW3"/>
  <c r="AW4"/>
  <c r="AX9"/>
  <c r="AV8"/>
  <c r="AZ8"/>
  <c r="AW6"/>
  <c r="AU5"/>
  <c r="AY5"/>
  <c r="AU4"/>
  <c r="AY6"/>
  <c r="AV3"/>
  <c r="AZ3"/>
  <c r="AV4"/>
  <c r="AZ4"/>
  <c r="AU8"/>
  <c r="AY8"/>
  <c r="AV6"/>
  <c r="AZ6"/>
  <c r="AX5"/>
  <c r="AZ11"/>
  <c r="AY11"/>
  <c r="AW11"/>
  <c r="AV11"/>
  <c r="AZ23"/>
  <c r="AU23"/>
  <c r="AY23"/>
  <c r="AW23"/>
  <c r="AV23"/>
  <c r="AV2"/>
  <c r="AZ2"/>
  <c r="AU2"/>
  <c r="AW2"/>
  <c r="AX30"/>
  <c r="AW30"/>
  <c r="AV30"/>
  <c r="AZ30"/>
  <c r="AU30"/>
  <c r="AY30"/>
  <c r="AU13"/>
  <c r="AX13"/>
  <c r="AY13"/>
  <c r="AW13"/>
  <c r="AV13"/>
  <c r="AZ13"/>
  <c r="AX12"/>
  <c r="AW12"/>
  <c r="AV12"/>
  <c r="AZ12"/>
  <c r="AU12"/>
  <c r="AY12"/>
  <c r="AU11"/>
  <c r="AX11"/>
  <c r="AY7"/>
  <c r="AW9"/>
  <c r="AV7"/>
  <c r="AV5"/>
  <c r="AX23"/>
  <c r="G187" i="31" l="1"/>
  <c r="G20"/>
  <c r="E30"/>
  <c r="G30" s="1"/>
  <c r="G32" s="1"/>
  <c r="G21" i="50"/>
  <c r="E31"/>
  <c r="G31" s="1"/>
  <c r="G33" s="1"/>
  <c r="G20" i="43"/>
  <c r="H20" s="1"/>
  <c r="H20" i="31" s="1"/>
  <c r="G187" i="43"/>
  <c r="H187" s="1"/>
  <c r="E30"/>
  <c r="G30" s="1"/>
  <c r="H19"/>
  <c r="H19" i="31" s="1"/>
  <c r="AU17" i="49"/>
  <c r="AS17"/>
  <c r="BB17"/>
  <c r="AZ17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J187" i="43" l="1"/>
  <c r="H131" i="50"/>
  <c r="J131" s="1"/>
  <c r="G32" i="43"/>
  <c r="H32" s="1"/>
  <c r="H32" i="31" s="1"/>
  <c r="H30" i="43"/>
  <c r="H30" i="31" s="1"/>
  <c r="H187"/>
  <c r="J187" s="1"/>
  <c r="H11" i="1"/>
  <c r="J11" s="1"/>
  <c r="C11" i="44" l="1"/>
  <c r="H10" i="1"/>
  <c r="J10" s="1"/>
  <c r="H12"/>
  <c r="J12" s="1"/>
  <c r="C12" i="44"/>
  <c r="J9" i="48" s="1"/>
  <c r="J8" l="1"/>
  <c r="C13" i="44"/>
  <c r="BB13" l="1"/>
  <c r="J10" i="48"/>
  <c r="H14" i="1"/>
  <c r="J14" s="1"/>
  <c r="C15" i="44"/>
  <c r="J12" i="48" s="1"/>
  <c r="H13" i="1"/>
  <c r="J13" s="1"/>
  <c r="C14" i="44"/>
  <c r="J11" i="48" s="1"/>
  <c r="H15" i="1" l="1"/>
  <c r="J15" s="1"/>
  <c r="C16" i="44"/>
  <c r="J13" i="48" s="1"/>
  <c r="C17" i="44" l="1"/>
  <c r="J14" i="48" s="1"/>
  <c r="H16" i="1"/>
  <c r="J16" s="1"/>
  <c r="H17" l="1"/>
  <c r="J17" s="1"/>
  <c r="C18" i="44"/>
  <c r="J15" i="48" s="1"/>
  <c r="W5" i="45"/>
  <c r="H18" i="1" l="1"/>
  <c r="J18" s="1"/>
  <c r="C19" i="44"/>
  <c r="J16" i="48" s="1"/>
  <c r="H19" i="1" l="1"/>
  <c r="J19" s="1"/>
  <c r="C20" i="44"/>
  <c r="J17" i="48" s="1"/>
  <c r="H20" i="1" l="1"/>
  <c r="J20" s="1"/>
  <c r="C21" i="44"/>
  <c r="J18" i="48" s="1"/>
  <c r="H21" i="1" l="1"/>
  <c r="J21" s="1"/>
  <c r="C22" i="44"/>
  <c r="J19" i="48" s="1"/>
  <c r="H22" i="1" l="1"/>
  <c r="J22" s="1"/>
  <c r="C23" i="44"/>
  <c r="J20" i="48" s="1"/>
  <c r="H23" i="1" l="1"/>
  <c r="J23" s="1"/>
  <c r="C24" i="44"/>
  <c r="J21" i="48" s="1"/>
  <c r="C25" i="44" l="1"/>
  <c r="J22" i="48" s="1"/>
  <c r="H24" i="1"/>
  <c r="J24" s="1"/>
  <c r="Y25" i="49"/>
  <c r="H25" i="1" l="1"/>
  <c r="J25" s="1"/>
  <c r="C26" i="44"/>
  <c r="J23" i="48" s="1"/>
  <c r="L28" i="44"/>
  <c r="K25" i="49" l="1"/>
  <c r="C27" i="44"/>
  <c r="J24" i="48" s="1"/>
  <c r="H26" i="1"/>
  <c r="J26" s="1"/>
  <c r="BL25" i="49"/>
  <c r="BK25"/>
  <c r="BJ25"/>
  <c r="BI25"/>
  <c r="BH25"/>
  <c r="BC25"/>
  <c r="AQ25"/>
  <c r="AN25"/>
  <c r="AL25"/>
  <c r="W25"/>
  <c r="V25"/>
  <c r="U25"/>
  <c r="T25"/>
  <c r="S25"/>
  <c r="R25"/>
  <c r="Q25"/>
  <c r="P25"/>
  <c r="O25"/>
  <c r="N25"/>
  <c r="M25"/>
  <c r="AK25"/>
  <c r="AJ25"/>
  <c r="AI25"/>
  <c r="AH25"/>
  <c r="AG25"/>
  <c r="AF25"/>
  <c r="AE25"/>
  <c r="AD25"/>
  <c r="Y28" i="44"/>
  <c r="X25" i="49" l="1"/>
  <c r="H27" i="1"/>
  <c r="J27" s="1"/>
  <c r="C28" i="44"/>
  <c r="AA27" i="45"/>
  <c r="BF25" i="49" s="1"/>
  <c r="AR25"/>
  <c r="AP25"/>
  <c r="AM25"/>
  <c r="AA29" i="45"/>
  <c r="AO25" i="49"/>
  <c r="M28" i="44"/>
  <c r="K28"/>
  <c r="I28"/>
  <c r="J28"/>
  <c r="G28"/>
  <c r="F28"/>
  <c r="H28"/>
  <c r="AA30" i="45"/>
  <c r="AA5"/>
  <c r="AY28" i="44"/>
  <c r="AA25" i="45"/>
  <c r="BE25" i="49" s="1"/>
  <c r="J25" l="1"/>
  <c r="I25"/>
  <c r="H25"/>
  <c r="G25"/>
  <c r="F25"/>
  <c r="L25"/>
  <c r="E25"/>
  <c r="J25" i="48"/>
  <c r="BB28" i="44"/>
  <c r="C29"/>
  <c r="J26" i="48" s="1"/>
  <c r="H28" i="1"/>
  <c r="J28" s="1"/>
  <c r="AA31" i="45"/>
  <c r="C30" i="44" l="1"/>
  <c r="J27" i="48" s="1"/>
  <c r="H29" i="1"/>
  <c r="J29" s="1"/>
  <c r="C31" i="44" l="1"/>
  <c r="H30" i="1"/>
  <c r="J30" s="1"/>
  <c r="J28" i="48" l="1"/>
  <c r="H31" i="1"/>
  <c r="J31" s="1"/>
  <c r="C32" i="44"/>
  <c r="AV9" i="1"/>
  <c r="BI32" i="49"/>
  <c r="BJ32"/>
  <c r="BK32"/>
  <c r="BL32"/>
  <c r="AQ32"/>
  <c r="BC32"/>
  <c r="N32"/>
  <c r="Q32"/>
  <c r="R32"/>
  <c r="S32"/>
  <c r="T32"/>
  <c r="U32"/>
  <c r="V32"/>
  <c r="W32"/>
  <c r="Y32"/>
  <c r="M32"/>
  <c r="AF32"/>
  <c r="AG32"/>
  <c r="AH32"/>
  <c r="AI32"/>
  <c r="AJ32"/>
  <c r="AK32"/>
  <c r="BJ31"/>
  <c r="BK31"/>
  <c r="BL31"/>
  <c r="AN31"/>
  <c r="N31"/>
  <c r="O31"/>
  <c r="P31"/>
  <c r="Q31"/>
  <c r="R31"/>
  <c r="S31"/>
  <c r="T31"/>
  <c r="U31"/>
  <c r="V31"/>
  <c r="W31"/>
  <c r="Y31"/>
  <c r="M31"/>
  <c r="AL10"/>
  <c r="BB20" i="1"/>
  <c r="BD20"/>
  <c r="BG5"/>
  <c r="BF5"/>
  <c r="BE5"/>
  <c r="BD5"/>
  <c r="BC5"/>
  <c r="BA5"/>
  <c r="AZ5"/>
  <c r="AV13"/>
  <c r="BI10" i="49"/>
  <c r="BJ10"/>
  <c r="BK10"/>
  <c r="BL10"/>
  <c r="N10"/>
  <c r="O10"/>
  <c r="P10"/>
  <c r="Q10"/>
  <c r="R10"/>
  <c r="S10"/>
  <c r="T10"/>
  <c r="U10"/>
  <c r="V10"/>
  <c r="W10"/>
  <c r="Y10"/>
  <c r="AY27" i="1"/>
  <c r="AQ27"/>
  <c r="AR27"/>
  <c r="AV27"/>
  <c r="AX27"/>
  <c r="BL20" i="49"/>
  <c r="BK20"/>
  <c r="BJ20"/>
  <c r="BC20"/>
  <c r="BC14" i="1"/>
  <c r="BD14"/>
  <c r="BE14"/>
  <c r="BF14"/>
  <c r="BG14"/>
  <c r="BC11" i="49"/>
  <c r="AN11"/>
  <c r="N11"/>
  <c r="O11"/>
  <c r="P11"/>
  <c r="Q11"/>
  <c r="R11"/>
  <c r="S11"/>
  <c r="T11"/>
  <c r="U11"/>
  <c r="V11"/>
  <c r="W11"/>
  <c r="Y11"/>
  <c r="AL11"/>
  <c r="BB13" i="1"/>
  <c r="BC13"/>
  <c r="BD13"/>
  <c r="BE13"/>
  <c r="BF13"/>
  <c r="BG13"/>
  <c r="Y14" i="44"/>
  <c r="X11" i="49" s="1"/>
  <c r="AV10" i="1"/>
  <c r="AZ10"/>
  <c r="BA10"/>
  <c r="BB10"/>
  <c r="BC10"/>
  <c r="BD10"/>
  <c r="BE10"/>
  <c r="BG10"/>
  <c r="Y11" i="44"/>
  <c r="X8" i="49" s="1"/>
  <c r="AD8"/>
  <c r="AE8"/>
  <c r="AF8"/>
  <c r="AG8"/>
  <c r="AH8"/>
  <c r="AI8"/>
  <c r="AJ8"/>
  <c r="N8"/>
  <c r="O8"/>
  <c r="P8"/>
  <c r="Q8"/>
  <c r="R8"/>
  <c r="S8"/>
  <c r="T8"/>
  <c r="U8"/>
  <c r="V8"/>
  <c r="W8"/>
  <c r="Y8"/>
  <c r="AN8"/>
  <c r="BC8"/>
  <c r="BI8"/>
  <c r="BJ8"/>
  <c r="BK8"/>
  <c r="BL8"/>
  <c r="BC4"/>
  <c r="AT6" i="1"/>
  <c r="BA6"/>
  <c r="BC6"/>
  <c r="BG6"/>
  <c r="Y7" i="44"/>
  <c r="X4" i="49" s="1"/>
  <c r="AH4"/>
  <c r="M4"/>
  <c r="N4"/>
  <c r="O4"/>
  <c r="P4"/>
  <c r="Q4"/>
  <c r="R4"/>
  <c r="S4"/>
  <c r="T4"/>
  <c r="U4"/>
  <c r="V4"/>
  <c r="W4"/>
  <c r="Y4"/>
  <c r="AL4"/>
  <c r="BI4"/>
  <c r="BJ4"/>
  <c r="BK4"/>
  <c r="BL4"/>
  <c r="J16" i="35"/>
  <c r="AF9" i="49"/>
  <c r="N22"/>
  <c r="O22"/>
  <c r="P22"/>
  <c r="Q22"/>
  <c r="R22"/>
  <c r="S22"/>
  <c r="T22"/>
  <c r="U22"/>
  <c r="V22"/>
  <c r="W22"/>
  <c r="Y22"/>
  <c r="BA19" i="1"/>
  <c r="BD19"/>
  <c r="BE19"/>
  <c r="BF19"/>
  <c r="BG19"/>
  <c r="Y20" i="44"/>
  <c r="X17" i="49" s="1"/>
  <c r="AV19" i="1"/>
  <c r="AN13" i="49"/>
  <c r="Y14"/>
  <c r="W14"/>
  <c r="V14"/>
  <c r="U14"/>
  <c r="T14"/>
  <c r="S14"/>
  <c r="R14"/>
  <c r="Q14"/>
  <c r="P14"/>
  <c r="O14"/>
  <c r="N14"/>
  <c r="M10"/>
  <c r="Y9"/>
  <c r="W9"/>
  <c r="V9"/>
  <c r="U9"/>
  <c r="T9"/>
  <c r="S9"/>
  <c r="R9"/>
  <c r="Q9"/>
  <c r="P9"/>
  <c r="O9"/>
  <c r="N9"/>
  <c r="M9"/>
  <c r="Y7"/>
  <c r="W7"/>
  <c r="V7"/>
  <c r="U7"/>
  <c r="T7"/>
  <c r="S7"/>
  <c r="R7"/>
  <c r="Q7"/>
  <c r="P7"/>
  <c r="O7"/>
  <c r="N7"/>
  <c r="M7"/>
  <c r="Y6"/>
  <c r="W6"/>
  <c r="V6"/>
  <c r="U6"/>
  <c r="T6"/>
  <c r="S6"/>
  <c r="R6"/>
  <c r="Q6"/>
  <c r="P6"/>
  <c r="O6"/>
  <c r="N6"/>
  <c r="M6"/>
  <c r="AL5"/>
  <c r="Y5"/>
  <c r="W5"/>
  <c r="V5"/>
  <c r="U5"/>
  <c r="T5"/>
  <c r="S5"/>
  <c r="R5"/>
  <c r="Q5"/>
  <c r="N5"/>
  <c r="M5"/>
  <c r="BI11"/>
  <c r="BJ11"/>
  <c r="BK11"/>
  <c r="BL11"/>
  <c r="BI9"/>
  <c r="BJ9"/>
  <c r="BK9"/>
  <c r="BL9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E30" i="49"/>
  <c r="L33" i="44"/>
  <c r="K30" i="49" s="1"/>
  <c r="M33" i="44"/>
  <c r="L30" i="49" s="1"/>
  <c r="BL29"/>
  <c r="BK29"/>
  <c r="BJ29"/>
  <c r="BI29"/>
  <c r="BH29"/>
  <c r="BC29"/>
  <c r="AN29"/>
  <c r="AL29"/>
  <c r="Y29"/>
  <c r="W29"/>
  <c r="V29"/>
  <c r="U29"/>
  <c r="T29"/>
  <c r="S29"/>
  <c r="R29"/>
  <c r="Q29"/>
  <c r="P29"/>
  <c r="O29"/>
  <c r="N29"/>
  <c r="M29"/>
  <c r="AK29"/>
  <c r="AJ29"/>
  <c r="AI29"/>
  <c r="AH29"/>
  <c r="AG29"/>
  <c r="AF29"/>
  <c r="AE29"/>
  <c r="Y32" i="44"/>
  <c r="X29" i="49" s="1"/>
  <c r="BG31" i="1"/>
  <c r="BF31"/>
  <c r="BD31"/>
  <c r="BA31"/>
  <c r="AZ31"/>
  <c r="AV31"/>
  <c r="BL28" i="49"/>
  <c r="BK28"/>
  <c r="BJ28"/>
  <c r="BI28"/>
  <c r="BC28"/>
  <c r="AN28"/>
  <c r="Y28"/>
  <c r="W28"/>
  <c r="V28"/>
  <c r="U28"/>
  <c r="T28"/>
  <c r="S28"/>
  <c r="R28"/>
  <c r="Q28"/>
  <c r="P28"/>
  <c r="O28"/>
  <c r="N28"/>
  <c r="M28"/>
  <c r="BF30" i="1"/>
  <c r="BD30"/>
  <c r="AP30"/>
  <c r="BL27" i="49"/>
  <c r="BK27"/>
  <c r="BJ27"/>
  <c r="BI27"/>
  <c r="BC27"/>
  <c r="AN27"/>
  <c r="Y27"/>
  <c r="W27"/>
  <c r="V27"/>
  <c r="U27"/>
  <c r="T27"/>
  <c r="S27"/>
  <c r="R27"/>
  <c r="Q27"/>
  <c r="P27"/>
  <c r="O27"/>
  <c r="N27"/>
  <c r="M27"/>
  <c r="BF29" i="1"/>
  <c r="BD29"/>
  <c r="BC29"/>
  <c r="BA29"/>
  <c r="AZ29"/>
  <c r="BL26" i="49"/>
  <c r="BK26"/>
  <c r="BJ26"/>
  <c r="BI26"/>
  <c r="BC26"/>
  <c r="AN26"/>
  <c r="Y26"/>
  <c r="W26"/>
  <c r="V26"/>
  <c r="U26"/>
  <c r="T26"/>
  <c r="S26"/>
  <c r="R26"/>
  <c r="Q26"/>
  <c r="P26"/>
  <c r="O26"/>
  <c r="N26"/>
  <c r="M26"/>
  <c r="BG28" i="1"/>
  <c r="BF28"/>
  <c r="BE28"/>
  <c r="BC28"/>
  <c r="BB28"/>
  <c r="BA28"/>
  <c r="BG27"/>
  <c r="BF27"/>
  <c r="BE27"/>
  <c r="BC27"/>
  <c r="BA27"/>
  <c r="BH27"/>
  <c r="AZ27"/>
  <c r="AP27"/>
  <c r="BL24" i="49"/>
  <c r="BK24"/>
  <c r="BJ24"/>
  <c r="BI24"/>
  <c r="BC24"/>
  <c r="AN24"/>
  <c r="Y24"/>
  <c r="W24"/>
  <c r="V24"/>
  <c r="U24"/>
  <c r="T24"/>
  <c r="S24"/>
  <c r="R24"/>
  <c r="Q24"/>
  <c r="P24"/>
  <c r="O24"/>
  <c r="N24"/>
  <c r="Y27" i="44"/>
  <c r="X24" i="49" s="1"/>
  <c r="BG26" i="1"/>
  <c r="BF26"/>
  <c r="BE26"/>
  <c r="BD26"/>
  <c r="BC26"/>
  <c r="BB26"/>
  <c r="BA26"/>
  <c r="AZ26"/>
  <c r="AV26"/>
  <c r="AN23" i="49"/>
  <c r="BL22"/>
  <c r="BK22"/>
  <c r="BJ22"/>
  <c r="BI22"/>
  <c r="BC22"/>
  <c r="AN22"/>
  <c r="M22"/>
  <c r="BL21"/>
  <c r="BK21"/>
  <c r="BJ21"/>
  <c r="BI21"/>
  <c r="BC21"/>
  <c r="AN21"/>
  <c r="Y21"/>
  <c r="W21"/>
  <c r="V21"/>
  <c r="U21"/>
  <c r="T21"/>
  <c r="S21"/>
  <c r="R21"/>
  <c r="P21"/>
  <c r="O21"/>
  <c r="N21"/>
  <c r="M21"/>
  <c r="BI20"/>
  <c r="AN20"/>
  <c r="Y20"/>
  <c r="W20"/>
  <c r="V20"/>
  <c r="U20"/>
  <c r="T20"/>
  <c r="S20"/>
  <c r="R20"/>
  <c r="P20"/>
  <c r="O20"/>
  <c r="N20"/>
  <c r="M20"/>
  <c r="BG22" i="1"/>
  <c r="BF22"/>
  <c r="BE22"/>
  <c r="BD22"/>
  <c r="BC22"/>
  <c r="BA22"/>
  <c r="AZ22"/>
  <c r="BL19" i="49"/>
  <c r="BK19"/>
  <c r="BJ19"/>
  <c r="BI19"/>
  <c r="BC19"/>
  <c r="AN19"/>
  <c r="Y19"/>
  <c r="W19"/>
  <c r="V19"/>
  <c r="U19"/>
  <c r="T19"/>
  <c r="S19"/>
  <c r="R19"/>
  <c r="Q19"/>
  <c r="P19"/>
  <c r="O19"/>
  <c r="N19"/>
  <c r="BL18"/>
  <c r="BK18"/>
  <c r="BJ18"/>
  <c r="BI18"/>
  <c r="BC18"/>
  <c r="AO18"/>
  <c r="AN18"/>
  <c r="Y18"/>
  <c r="W18"/>
  <c r="V18"/>
  <c r="U18"/>
  <c r="T18"/>
  <c r="S18"/>
  <c r="R18"/>
  <c r="Q18"/>
  <c r="P18"/>
  <c r="O18"/>
  <c r="N18"/>
  <c r="Y21" i="44"/>
  <c r="X18" i="49" s="1"/>
  <c r="BE20" i="1"/>
  <c r="BC20"/>
  <c r="BA20"/>
  <c r="L21" i="44"/>
  <c r="K18" i="49" s="1"/>
  <c r="M21" i="44"/>
  <c r="L18" i="49" s="1"/>
  <c r="BL17"/>
  <c r="BK17"/>
  <c r="BJ17"/>
  <c r="BI17"/>
  <c r="AN17"/>
  <c r="Y17"/>
  <c r="W17"/>
  <c r="V17"/>
  <c r="U17"/>
  <c r="T17"/>
  <c r="S17"/>
  <c r="R17"/>
  <c r="Q17"/>
  <c r="P17"/>
  <c r="O17"/>
  <c r="N17"/>
  <c r="M17"/>
  <c r="AK17"/>
  <c r="AJ17"/>
  <c r="AI17"/>
  <c r="AH17"/>
  <c r="AG17"/>
  <c r="AE17"/>
  <c r="AD17"/>
  <c r="BL16"/>
  <c r="BK16"/>
  <c r="BJ16"/>
  <c r="BI16"/>
  <c r="BC16"/>
  <c r="AN16"/>
  <c r="Y16"/>
  <c r="W16"/>
  <c r="V16"/>
  <c r="U16"/>
  <c r="T16"/>
  <c r="S16"/>
  <c r="R16"/>
  <c r="Q16"/>
  <c r="P16"/>
  <c r="O16"/>
  <c r="M16"/>
  <c r="AJ16"/>
  <c r="AI16"/>
  <c r="AH16"/>
  <c r="AG16"/>
  <c r="AF16"/>
  <c r="AE16"/>
  <c r="AD16"/>
  <c r="Y19" i="44"/>
  <c r="X16" i="49" s="1"/>
  <c r="BG18" i="1"/>
  <c r="BF18"/>
  <c r="BE18"/>
  <c r="BD18"/>
  <c r="BC18"/>
  <c r="BA18"/>
  <c r="BL15" i="49"/>
  <c r="BK15"/>
  <c r="BJ15"/>
  <c r="BC15"/>
  <c r="AN15"/>
  <c r="BG17" i="1"/>
  <c r="BE17"/>
  <c r="BD17"/>
  <c r="BC17"/>
  <c r="BA17"/>
  <c r="BL14" i="49"/>
  <c r="BK14"/>
  <c r="BJ14"/>
  <c r="BI14"/>
  <c r="BC14"/>
  <c r="AQ14"/>
  <c r="AN14"/>
  <c r="BG16" i="1"/>
  <c r="BF16"/>
  <c r="BE16"/>
  <c r="BD16"/>
  <c r="BC16"/>
  <c r="BA16"/>
  <c r="AZ16"/>
  <c r="AZ14"/>
  <c r="BH11" i="49"/>
  <c r="AZ13" i="1"/>
  <c r="BC10" i="49"/>
  <c r="AJ10"/>
  <c r="AI10"/>
  <c r="AH10"/>
  <c r="AG10"/>
  <c r="AF10"/>
  <c r="BG12" i="1"/>
  <c r="BF12"/>
  <c r="BE12"/>
  <c r="BD12"/>
  <c r="BB12"/>
  <c r="BA12"/>
  <c r="AZ12"/>
  <c r="AV12"/>
  <c r="BC9" i="49"/>
  <c r="AJ9"/>
  <c r="AI9"/>
  <c r="AH9"/>
  <c r="AG9"/>
  <c r="AE9"/>
  <c r="AD9"/>
  <c r="Y12" i="44"/>
  <c r="X9" i="49" s="1"/>
  <c r="BG11" i="1"/>
  <c r="BF11"/>
  <c r="BE11"/>
  <c r="BD11"/>
  <c r="BC11"/>
  <c r="BA11"/>
  <c r="AV11"/>
  <c r="BL7" i="49"/>
  <c r="BK7"/>
  <c r="BJ7"/>
  <c r="BI7"/>
  <c r="BC7"/>
  <c r="AN7"/>
  <c r="Y10" i="44"/>
  <c r="BG9" i="1"/>
  <c r="BF9"/>
  <c r="BE9"/>
  <c r="BD9"/>
  <c r="BC9"/>
  <c r="BB9"/>
  <c r="AZ9"/>
  <c r="BI6" i="49"/>
  <c r="BJ6"/>
  <c r="BK6"/>
  <c r="BL6"/>
  <c r="BC6"/>
  <c r="AN6"/>
  <c r="BA8" i="1"/>
  <c r="BB8"/>
  <c r="BC8"/>
  <c r="BD8"/>
  <c r="BE8"/>
  <c r="BF8"/>
  <c r="BG8"/>
  <c r="Y9" i="44"/>
  <c r="X6" i="49" s="1"/>
  <c r="AZ8" i="1"/>
  <c r="AV8"/>
  <c r="BI5" i="49"/>
  <c r="BJ5"/>
  <c r="BK5"/>
  <c r="BL5"/>
  <c r="BC5"/>
  <c r="BB7" i="1"/>
  <c r="BD7"/>
  <c r="BE7"/>
  <c r="BG7"/>
  <c r="Y8" i="44"/>
  <c r="X5" i="49" s="1"/>
  <c r="AV7" i="1"/>
  <c r="AT27"/>
  <c r="AF17" i="49"/>
  <c r="BC3"/>
  <c r="AO3"/>
  <c r="BC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M5" i="44"/>
  <c r="S25" i="1"/>
  <c r="S22"/>
  <c r="S7"/>
  <c r="S9"/>
  <c r="S12"/>
  <c r="S13"/>
  <c r="S14"/>
  <c r="S21"/>
  <c r="S15"/>
  <c r="S16"/>
  <c r="S18"/>
  <c r="S20"/>
  <c r="S24"/>
  <c r="S31"/>
  <c r="S27"/>
  <c r="S19"/>
  <c r="S10"/>
  <c r="S8"/>
  <c r="S17"/>
  <c r="S26"/>
  <c r="S28"/>
  <c r="S29"/>
  <c r="S30"/>
  <c r="S32"/>
  <c r="S23"/>
  <c r="S6"/>
  <c r="S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M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J29" i="48" l="1"/>
  <c r="X7" i="49"/>
  <c r="BK3"/>
  <c r="S3"/>
  <c r="BJ3"/>
  <c r="R3"/>
  <c r="BI3"/>
  <c r="Q3"/>
  <c r="P3"/>
  <c r="Y3"/>
  <c r="O3"/>
  <c r="W3"/>
  <c r="N3"/>
  <c r="V3"/>
  <c r="AD3"/>
  <c r="M3"/>
  <c r="U3"/>
  <c r="BL3"/>
  <c r="T3"/>
  <c r="BC21" i="1"/>
  <c r="AZ17"/>
  <c r="AV21"/>
  <c r="BI15" i="49"/>
  <c r="AT21" i="1"/>
  <c r="BA21"/>
  <c r="Y22" i="44"/>
  <c r="X19" i="49" s="1"/>
  <c r="BG21" i="1"/>
  <c r="BF21"/>
  <c r="J33" i="44"/>
  <c r="I30" i="49" s="1"/>
  <c r="C33" i="44"/>
  <c r="H32" i="1"/>
  <c r="J32" s="1"/>
  <c r="AD29"/>
  <c r="BE33"/>
  <c r="AN34"/>
  <c r="AX33"/>
  <c r="AJ34"/>
  <c r="AT33"/>
  <c r="BF33"/>
  <c r="BC31" i="49"/>
  <c r="BD33" i="1"/>
  <c r="AU33"/>
  <c r="BG33"/>
  <c r="BI31" i="49"/>
  <c r="AV33" i="1"/>
  <c r="AY35" i="44"/>
  <c r="BA35" s="1"/>
  <c r="AS33" i="1"/>
  <c r="I34" i="44"/>
  <c r="H31" i="49" s="1"/>
  <c r="I33" i="44"/>
  <c r="H30" i="49" s="1"/>
  <c r="AN9"/>
  <c r="AR33" i="1"/>
  <c r="H34" i="44"/>
  <c r="G31" i="49" s="1"/>
  <c r="AP33" i="1"/>
  <c r="F34" i="44"/>
  <c r="E31" i="49" s="1"/>
  <c r="L2"/>
  <c r="AQ33" i="1"/>
  <c r="G34" i="44"/>
  <c r="AW33" i="1"/>
  <c r="K34" i="44"/>
  <c r="J31" i="49" s="1"/>
  <c r="BA33" i="1"/>
  <c r="BB33"/>
  <c r="AL31" i="49"/>
  <c r="BC33" i="1"/>
  <c r="L34" i="44"/>
  <c r="K31" i="49" s="1"/>
  <c r="BH33" i="1"/>
  <c r="AZ33"/>
  <c r="M34" i="44"/>
  <c r="L31" i="49" s="1"/>
  <c r="AY33" i="1"/>
  <c r="AZ28"/>
  <c r="AN12" i="49"/>
  <c r="AN30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G33" i="44"/>
  <c r="F30" i="49" s="1"/>
  <c r="Q20"/>
  <c r="AA36" i="1"/>
  <c r="I8" i="44"/>
  <c r="H5" i="49" s="1"/>
  <c r="K10" i="44"/>
  <c r="G25"/>
  <c r="F22" i="49" s="1"/>
  <c r="F8" i="44"/>
  <c r="H8"/>
  <c r="G5" i="49" s="1"/>
  <c r="BC7" i="1"/>
  <c r="K9" i="44"/>
  <c r="J6" i="49" s="1"/>
  <c r="L12" i="44"/>
  <c r="K9" i="49" s="1"/>
  <c r="F18" i="44"/>
  <c r="K18"/>
  <c r="J15" i="49" s="1"/>
  <c r="F19" i="44"/>
  <c r="M2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L10"/>
  <c r="I12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G12" i="49" s="1"/>
  <c r="M14" i="44"/>
  <c r="L11" i="49" s="1"/>
  <c r="L6" i="44"/>
  <c r="F29"/>
  <c r="F30"/>
  <c r="L9"/>
  <c r="K6" i="49" s="1"/>
  <c r="F16" i="44"/>
  <c r="F20"/>
  <c r="G9"/>
  <c r="F6" i="49" s="1"/>
  <c r="H10" i="44"/>
  <c r="H12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/>
  <c r="F9" i="49" s="1"/>
  <c r="L18" i="44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I9"/>
  <c r="H6" i="49" s="1"/>
  <c r="M10" i="44"/>
  <c r="M12"/>
  <c r="L9" i="49" s="1"/>
  <c r="F15" i="44"/>
  <c r="I18"/>
  <c r="H15" i="49" s="1"/>
  <c r="M23" i="44"/>
  <c r="L20" i="49" s="1"/>
  <c r="L24" i="44"/>
  <c r="K21" i="49" s="1"/>
  <c r="L29" i="44"/>
  <c r="L30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F12"/>
  <c r="K12"/>
  <c r="J9" i="49" s="1"/>
  <c r="L16" i="44"/>
  <c r="K13" i="49" s="1"/>
  <c r="L17" i="44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J5"/>
  <c r="H19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/>
  <c r="J13" i="49" s="1"/>
  <c r="K5" i="44"/>
  <c r="F1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I5"/>
  <c r="L5"/>
  <c r="J10"/>
  <c r="J12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/>
  <c r="I31" i="49" s="1"/>
  <c r="G32" i="44"/>
  <c r="F29" i="49" s="1"/>
  <c r="G17" i="44"/>
  <c r="F14" i="49" s="1"/>
  <c r="J14" i="44"/>
  <c r="I11" i="49" s="1"/>
  <c r="F6" i="44"/>
  <c r="K30"/>
  <c r="J27" i="49" s="1"/>
  <c r="G29" i="44"/>
  <c r="AD5" i="49"/>
  <c r="AH5"/>
  <c r="AJ6"/>
  <c r="AF6"/>
  <c r="AD7"/>
  <c r="AH7"/>
  <c r="AG4"/>
  <c r="AI5"/>
  <c r="AE5"/>
  <c r="AK6"/>
  <c r="AG6"/>
  <c r="AG7"/>
  <c r="AK7"/>
  <c r="AD4"/>
  <c r="AJ5"/>
  <c r="AF5"/>
  <c r="AD6"/>
  <c r="AH6"/>
  <c r="AF7"/>
  <c r="AJ7"/>
  <c r="AI4"/>
  <c r="AE4"/>
  <c r="AK5"/>
  <c r="AG5"/>
  <c r="AI6"/>
  <c r="AE6"/>
  <c r="AE7"/>
  <c r="AI7"/>
  <c r="AJ4"/>
  <c r="AF4"/>
  <c r="D35" i="1"/>
  <c r="F35"/>
  <c r="F38" s="1"/>
  <c r="AH30" i="45"/>
  <c r="M24" i="49"/>
  <c r="G8" i="1"/>
  <c r="Y30" i="44"/>
  <c r="X27" i="49" s="1"/>
  <c r="Y31" i="44"/>
  <c r="X28" i="49" s="1"/>
  <c r="AV30" i="1"/>
  <c r="Y29" i="44"/>
  <c r="Y17"/>
  <c r="X14" i="49" s="1"/>
  <c r="Y18" i="44"/>
  <c r="X15" i="49" s="1"/>
  <c r="BB17" i="1"/>
  <c r="BB16"/>
  <c r="AV17"/>
  <c r="AV16"/>
  <c r="Y6" i="44"/>
  <c r="AV5" i="1"/>
  <c r="AE15" i="49"/>
  <c r="F21" i="44"/>
  <c r="AD18" i="49"/>
  <c r="T29" i="45"/>
  <c r="AF19" i="49"/>
  <c r="AV22" i="1"/>
  <c r="BA23"/>
  <c r="AD21" i="49"/>
  <c r="BF25" i="1"/>
  <c r="BK23" i="49"/>
  <c r="BA24" i="1"/>
  <c r="AE22" i="49"/>
  <c r="AE11"/>
  <c r="AD11"/>
  <c r="AV20" i="1"/>
  <c r="AD19" i="49"/>
  <c r="AI19"/>
  <c r="BD23" i="1"/>
  <c r="BA25"/>
  <c r="BE25"/>
  <c r="AD30" i="49"/>
  <c r="BF24" i="1"/>
  <c r="AD31" i="49"/>
  <c r="AH19"/>
  <c r="BG23" i="1"/>
  <c r="BD25"/>
  <c r="BI23" i="49"/>
  <c r="AE14"/>
  <c r="AE19"/>
  <c r="BG24" i="1"/>
  <c r="AV6"/>
  <c r="AE31" i="49"/>
  <c r="AD13"/>
  <c r="AD14"/>
  <c r="AE18"/>
  <c r="AG19"/>
  <c r="BF23" i="1"/>
  <c r="AE21" i="49"/>
  <c r="AD22"/>
  <c r="BG25" i="1"/>
  <c r="BL23" i="49"/>
  <c r="AE13"/>
  <c r="AZ19" i="1"/>
  <c r="BJ23" i="49"/>
  <c r="BC23"/>
  <c r="Y23"/>
  <c r="W23"/>
  <c r="V23"/>
  <c r="U23"/>
  <c r="T23"/>
  <c r="S23"/>
  <c r="R23"/>
  <c r="Q23"/>
  <c r="P23"/>
  <c r="O23"/>
  <c r="N23"/>
  <c r="M23"/>
  <c r="Y26" i="44"/>
  <c r="X23" i="49" s="1"/>
  <c r="BC25" i="1"/>
  <c r="BB25"/>
  <c r="AZ25"/>
  <c r="Y25" i="44"/>
  <c r="X22" i="49" s="1"/>
  <c r="BC24" i="1"/>
  <c r="BB24"/>
  <c r="AZ24"/>
  <c r="AV24"/>
  <c r="Y23" i="44"/>
  <c r="X20" i="49" s="1"/>
  <c r="Y24" i="44"/>
  <c r="X21" i="49" s="1"/>
  <c r="BB23" i="1"/>
  <c r="AZ23"/>
  <c r="AV23"/>
  <c r="AK19" i="49"/>
  <c r="Y16" i="44"/>
  <c r="X13" i="49" s="1"/>
  <c r="AK11"/>
  <c r="AJ11"/>
  <c r="AI11"/>
  <c r="AH11"/>
  <c r="AG11"/>
  <c r="AF11"/>
  <c r="BG4" i="1"/>
  <c r="AX4"/>
  <c r="BH4"/>
  <c r="BF4"/>
  <c r="AW4"/>
  <c r="Y5" i="44"/>
  <c r="AY4" i="1"/>
  <c r="AK31" i="49"/>
  <c r="AJ31"/>
  <c r="AI31"/>
  <c r="AH31"/>
  <c r="AG31"/>
  <c r="AF31"/>
  <c r="Y34" i="44"/>
  <c r="X31" i="49" s="1"/>
  <c r="Y33" i="44"/>
  <c r="X30" i="49" s="1"/>
  <c r="AD29"/>
  <c r="BC31" i="1"/>
  <c r="AV29"/>
  <c r="AD28" i="49"/>
  <c r="AH28"/>
  <c r="AG28"/>
  <c r="AK28"/>
  <c r="AF28"/>
  <c r="AJ28"/>
  <c r="AE28"/>
  <c r="AI28"/>
  <c r="AE27"/>
  <c r="AI27"/>
  <c r="AD27"/>
  <c r="AH27"/>
  <c r="AG27"/>
  <c r="AK27"/>
  <c r="AF27"/>
  <c r="AJ27"/>
  <c r="AE26"/>
  <c r="AI26"/>
  <c r="AD26"/>
  <c r="AH26"/>
  <c r="AG26"/>
  <c r="AK26"/>
  <c r="AF26"/>
  <c r="AJ26"/>
  <c r="AG24"/>
  <c r="AK24"/>
  <c r="AF24"/>
  <c r="AJ24"/>
  <c r="AE24"/>
  <c r="AI24"/>
  <c r="AD24"/>
  <c r="AH24"/>
  <c r="AK22"/>
  <c r="AJ22"/>
  <c r="AI22"/>
  <c r="AH22"/>
  <c r="AG22"/>
  <c r="AF22"/>
  <c r="AK21"/>
  <c r="AJ21"/>
  <c r="AI21"/>
  <c r="AH21"/>
  <c r="AG21"/>
  <c r="AF21"/>
  <c r="AE20"/>
  <c r="AK20"/>
  <c r="AJ20"/>
  <c r="AI20"/>
  <c r="AH20"/>
  <c r="AG20"/>
  <c r="AF20"/>
  <c r="AJ19"/>
  <c r="AK18"/>
  <c r="AJ18"/>
  <c r="AI18"/>
  <c r="AH18"/>
  <c r="AG18"/>
  <c r="AF18"/>
  <c r="I17" i="35"/>
  <c r="AJ15" i="49"/>
  <c r="AI15"/>
  <c r="AH15"/>
  <c r="AG15"/>
  <c r="AF15"/>
  <c r="AD15"/>
  <c r="I16" i="35"/>
  <c r="AJ14" i="49"/>
  <c r="AI14"/>
  <c r="AH14"/>
  <c r="AG14"/>
  <c r="AF14"/>
  <c r="AJ13"/>
  <c r="AH13"/>
  <c r="AG13"/>
  <c r="AF13"/>
  <c r="BG32" i="1"/>
  <c r="AF30" i="49"/>
  <c r="AJ30"/>
  <c r="BC30"/>
  <c r="BI30"/>
  <c r="U30"/>
  <c r="Q30"/>
  <c r="AV32" i="1"/>
  <c r="BF32"/>
  <c r="AI30" i="49"/>
  <c r="AQ30"/>
  <c r="BL30"/>
  <c r="V30"/>
  <c r="R30"/>
  <c r="N30"/>
  <c r="D5" i="45"/>
  <c r="BA32" i="1"/>
  <c r="AH30" i="49"/>
  <c r="M30"/>
  <c r="BK30"/>
  <c r="W30"/>
  <c r="S30"/>
  <c r="O30"/>
  <c r="BG36" i="1"/>
  <c r="AG30" i="49"/>
  <c r="AK30"/>
  <c r="BJ30"/>
  <c r="Y30"/>
  <c r="T30"/>
  <c r="P30"/>
  <c r="U13"/>
  <c r="Q13"/>
  <c r="BJ13"/>
  <c r="AT24" i="1"/>
  <c r="AZ15"/>
  <c r="BC15"/>
  <c r="BG15"/>
  <c r="V13" i="49"/>
  <c r="R13"/>
  <c r="N13"/>
  <c r="BK13"/>
  <c r="BD15" i="1"/>
  <c r="BC13" i="49"/>
  <c r="W13"/>
  <c r="S13"/>
  <c r="O13"/>
  <c r="BL13"/>
  <c r="AV15" i="1"/>
  <c r="BI13" i="49"/>
  <c r="Y13"/>
  <c r="T13"/>
  <c r="P13"/>
  <c r="BE15" i="1"/>
  <c r="N12" i="49"/>
  <c r="V12"/>
  <c r="BC12"/>
  <c r="BI12"/>
  <c r="Q12"/>
  <c r="U12"/>
  <c r="BL12"/>
  <c r="P12"/>
  <c r="T12"/>
  <c r="Y12"/>
  <c r="AV14" i="1"/>
  <c r="BJ12" i="49"/>
  <c r="R12"/>
  <c r="BK12"/>
  <c r="O12"/>
  <c r="S12"/>
  <c r="W12"/>
  <c r="T5" i="45"/>
  <c r="AQ19" i="49"/>
  <c r="G5" i="45"/>
  <c r="M5"/>
  <c r="AD5"/>
  <c r="AQ6" i="49"/>
  <c r="BE21" i="1"/>
  <c r="L5" i="45"/>
  <c r="U5"/>
  <c r="X5"/>
  <c r="AC5"/>
  <c r="AY10" i="44"/>
  <c r="K25" i="45"/>
  <c r="AQ15" i="49"/>
  <c r="AY24" i="44"/>
  <c r="AQ13" i="49"/>
  <c r="AE12"/>
  <c r="P5" i="45"/>
  <c r="AD12" i="49"/>
  <c r="K5" i="45"/>
  <c r="O5"/>
  <c r="R5"/>
  <c r="S5"/>
  <c r="V5"/>
  <c r="AB5"/>
  <c r="AE5"/>
  <c r="AQ10" i="49"/>
  <c r="AQ12"/>
  <c r="AV18" i="1"/>
  <c r="AQ16" i="49"/>
  <c r="AQ18"/>
  <c r="BE24" i="1"/>
  <c r="AQ8" i="49"/>
  <c r="H5" i="45"/>
  <c r="I5"/>
  <c r="N5"/>
  <c r="Q5"/>
  <c r="BE6" i="1"/>
  <c r="J5" i="45"/>
  <c r="BF6" i="1"/>
  <c r="BF7"/>
  <c r="AY8" i="44"/>
  <c r="G6" i="45"/>
  <c r="AQ5" i="49"/>
  <c r="F6" i="45"/>
  <c r="AY7" i="44"/>
  <c r="AQ4" i="49"/>
  <c r="AH5" i="45"/>
  <c r="AG5"/>
  <c r="AH25"/>
  <c r="BE32" i="49" s="1"/>
  <c r="AF5" i="45"/>
  <c r="AQ31" i="49"/>
  <c r="AQ29"/>
  <c r="BE31" i="1"/>
  <c r="BE30"/>
  <c r="BE29"/>
  <c r="BB30"/>
  <c r="AQ27" i="49"/>
  <c r="AY29" i="44"/>
  <c r="AQ26" i="49"/>
  <c r="Y5" i="45"/>
  <c r="Z5"/>
  <c r="AQ24" i="49"/>
  <c r="AQ23"/>
  <c r="AQ22"/>
  <c r="AQ21"/>
  <c r="AQ20"/>
  <c r="AQ2"/>
  <c r="D6" i="45"/>
  <c r="AQ3" i="49"/>
  <c r="E5" i="45"/>
  <c r="E6"/>
  <c r="E11" i="35"/>
  <c r="G11" s="1"/>
  <c r="E17"/>
  <c r="G17" s="1"/>
  <c r="E15"/>
  <c r="G15" s="1"/>
  <c r="E16"/>
  <c r="G16" s="1"/>
  <c r="E12"/>
  <c r="G12" s="1"/>
  <c r="E10"/>
  <c r="G10" s="1"/>
  <c r="E13"/>
  <c r="G13" s="1"/>
  <c r="BH31" i="49"/>
  <c r="AD9" i="1"/>
  <c r="I4" i="35"/>
  <c r="AS18" i="1"/>
  <c r="AP7"/>
  <c r="AR7"/>
  <c r="AP8"/>
  <c r="AW8"/>
  <c r="AS9"/>
  <c r="AX9"/>
  <c r="BH9"/>
  <c r="AR11"/>
  <c r="AY12"/>
  <c r="AT12"/>
  <c r="AX12"/>
  <c r="BH12"/>
  <c r="I12" i="35"/>
  <c r="AK10" i="49"/>
  <c r="AU17" i="1"/>
  <c r="AU18"/>
  <c r="AT20"/>
  <c r="AX20"/>
  <c r="BH20"/>
  <c r="AP22"/>
  <c r="AS22"/>
  <c r="AW22"/>
  <c r="AU23"/>
  <c r="AT25"/>
  <c r="AX25"/>
  <c r="BH25"/>
  <c r="AT26"/>
  <c r="AX26"/>
  <c r="BH26"/>
  <c r="AT30"/>
  <c r="AX30"/>
  <c r="BH30"/>
  <c r="AP31"/>
  <c r="AX32"/>
  <c r="AX16"/>
  <c r="AT16"/>
  <c r="AY16"/>
  <c r="AX19"/>
  <c r="AS19"/>
  <c r="BH19"/>
  <c r="AU24"/>
  <c r="AY24"/>
  <c r="AN8" i="44"/>
  <c r="BG5" i="49" s="1"/>
  <c r="I7" i="35"/>
  <c r="AK4" i="49"/>
  <c r="BD6" i="1"/>
  <c r="BH6"/>
  <c r="AX6"/>
  <c r="I10" i="35"/>
  <c r="AK8" i="49"/>
  <c r="BH10" i="1"/>
  <c r="AX10"/>
  <c r="AT10"/>
  <c r="BH13"/>
  <c r="AX14"/>
  <c r="AT14"/>
  <c r="AR15"/>
  <c r="AW13"/>
  <c r="AR5"/>
  <c r="AQ29"/>
  <c r="AU28"/>
  <c r="BI28" s="1"/>
  <c r="AQ28"/>
  <c r="AX7"/>
  <c r="BH7"/>
  <c r="AX8"/>
  <c r="AT8"/>
  <c r="AY8"/>
  <c r="AR9"/>
  <c r="AW9"/>
  <c r="AP12"/>
  <c r="AS12"/>
  <c r="AY17"/>
  <c r="AT17"/>
  <c r="AX17"/>
  <c r="AT18"/>
  <c r="AX18"/>
  <c r="I18" i="35"/>
  <c r="AK16" i="49"/>
  <c r="AP20" i="1"/>
  <c r="AW20"/>
  <c r="AY21"/>
  <c r="AU21"/>
  <c r="AR22"/>
  <c r="AY23"/>
  <c r="AT23"/>
  <c r="AX23"/>
  <c r="BH23"/>
  <c r="AP24"/>
  <c r="AP25"/>
  <c r="AS25"/>
  <c r="AW25"/>
  <c r="AP26"/>
  <c r="AW26"/>
  <c r="AS30"/>
  <c r="AZ30"/>
  <c r="AR31"/>
  <c r="AP32"/>
  <c r="AS32"/>
  <c r="AU16"/>
  <c r="AQ16"/>
  <c r="AU19"/>
  <c r="BI19" s="1"/>
  <c r="AY19"/>
  <c r="AQ24"/>
  <c r="AQ6"/>
  <c r="AU10"/>
  <c r="AQ10"/>
  <c r="AU14"/>
  <c r="AQ14"/>
  <c r="AW15"/>
  <c r="AS15"/>
  <c r="AX13"/>
  <c r="AT13"/>
  <c r="BH5"/>
  <c r="AR29"/>
  <c r="I5" i="35"/>
  <c r="AT7" i="1"/>
  <c r="AU8"/>
  <c r="BI8" s="1"/>
  <c r="AQ9"/>
  <c r="AY11"/>
  <c r="AT11"/>
  <c r="AX11"/>
  <c r="BH11"/>
  <c r="AP17"/>
  <c r="AS17"/>
  <c r="AW17"/>
  <c r="AR18"/>
  <c r="AW18"/>
  <c r="AX21"/>
  <c r="BH21"/>
  <c r="BD21"/>
  <c r="AU22"/>
  <c r="BH22"/>
  <c r="AS23"/>
  <c r="AW23"/>
  <c r="AR25"/>
  <c r="BH28"/>
  <c r="AR30"/>
  <c r="AU31"/>
  <c r="AR32"/>
  <c r="AQ19"/>
  <c r="AW24"/>
  <c r="AR24"/>
  <c r="AQ7"/>
  <c r="AR6"/>
  <c r="AN7" i="44"/>
  <c r="BG4" i="49" s="1"/>
  <c r="AR10" i="1"/>
  <c r="AR14"/>
  <c r="AX15"/>
  <c r="AT15"/>
  <c r="AY15"/>
  <c r="AU13"/>
  <c r="BI13" s="1"/>
  <c r="AQ13"/>
  <c r="AP5"/>
  <c r="AT5"/>
  <c r="AX5"/>
  <c r="AW29"/>
  <c r="AT19"/>
  <c r="AW28"/>
  <c r="AS28"/>
  <c r="BG32" i="49"/>
  <c r="AR8" i="1"/>
  <c r="BH8"/>
  <c r="AT9"/>
  <c r="AS11"/>
  <c r="AW11"/>
  <c r="I11" i="35"/>
  <c r="AK9" i="49"/>
  <c r="AP13" i="1"/>
  <c r="AP15"/>
  <c r="AR17"/>
  <c r="AQ20"/>
  <c r="AU20"/>
  <c r="AR21"/>
  <c r="AW21"/>
  <c r="AT22"/>
  <c r="AX22"/>
  <c r="AQ25"/>
  <c r="AU25"/>
  <c r="AQ26"/>
  <c r="AU26"/>
  <c r="BI26" s="1"/>
  <c r="AP29"/>
  <c r="AQ30"/>
  <c r="AY31"/>
  <c r="AT31"/>
  <c r="AX31"/>
  <c r="BH31"/>
  <c r="AQ32"/>
  <c r="AW16"/>
  <c r="AS16"/>
  <c r="AW19"/>
  <c r="AR19"/>
  <c r="AX24"/>
  <c r="BD24"/>
  <c r="BH24"/>
  <c r="AW7"/>
  <c r="AP6"/>
  <c r="AW10"/>
  <c r="AP10"/>
  <c r="AW14"/>
  <c r="AS14"/>
  <c r="BH14"/>
  <c r="AU15"/>
  <c r="AQ15"/>
  <c r="AX29"/>
  <c r="AT29"/>
  <c r="AY29"/>
  <c r="AX28"/>
  <c r="AT28"/>
  <c r="AW30"/>
  <c r="AW31"/>
  <c r="BH10" i="49"/>
  <c r="H18" i="35"/>
  <c r="AL17" i="49"/>
  <c r="M18"/>
  <c r="M19"/>
  <c r="AL19"/>
  <c r="AL23"/>
  <c r="AL24"/>
  <c r="M16" i="35"/>
  <c r="O16" s="1"/>
  <c r="M14" i="49"/>
  <c r="AL14"/>
  <c r="AL13"/>
  <c r="O15"/>
  <c r="AL30"/>
  <c r="O32"/>
  <c r="P32"/>
  <c r="BG20" i="1"/>
  <c r="BH18" i="49"/>
  <c r="AL21"/>
  <c r="BH22"/>
  <c r="BH26"/>
  <c r="AL27"/>
  <c r="BH28"/>
  <c r="AL9"/>
  <c r="M15" i="35"/>
  <c r="O15" s="1"/>
  <c r="M13" i="49"/>
  <c r="AL8"/>
  <c r="M10" i="35"/>
  <c r="O10" s="1"/>
  <c r="M8" i="49"/>
  <c r="P15"/>
  <c r="H11" i="35"/>
  <c r="BH14" i="49"/>
  <c r="BH17"/>
  <c r="BH19"/>
  <c r="AL20"/>
  <c r="BH20"/>
  <c r="BH23"/>
  <c r="BH24"/>
  <c r="AL26"/>
  <c r="BH30"/>
  <c r="AL7"/>
  <c r="M14" i="35"/>
  <c r="O14" s="1"/>
  <c r="M12" i="49"/>
  <c r="AL12"/>
  <c r="AL32"/>
  <c r="BH32"/>
  <c r="AN5" i="44"/>
  <c r="H12" i="35"/>
  <c r="BH12" i="49"/>
  <c r="AL18"/>
  <c r="BH21"/>
  <c r="BH27"/>
  <c r="AL28"/>
  <c r="BH9"/>
  <c r="O5"/>
  <c r="P5"/>
  <c r="AL6"/>
  <c r="M13" i="35"/>
  <c r="O13" s="1"/>
  <c r="M11" i="49"/>
  <c r="AL22"/>
  <c r="H7" i="35"/>
  <c r="H10"/>
  <c r="M15" i="49"/>
  <c r="BH15"/>
  <c r="BH16"/>
  <c r="AL16"/>
  <c r="AL15"/>
  <c r="Y15"/>
  <c r="W15"/>
  <c r="V15"/>
  <c r="U15"/>
  <c r="T15"/>
  <c r="S15"/>
  <c r="R15"/>
  <c r="Q15"/>
  <c r="M18" i="35"/>
  <c r="N16" i="49"/>
  <c r="M17" i="35"/>
  <c r="N15" i="49"/>
  <c r="L4" i="1"/>
  <c r="G2" i="47" s="1"/>
  <c r="H23" i="44"/>
  <c r="G20" i="49" s="1"/>
  <c r="G8" i="35"/>
  <c r="P36" i="1"/>
  <c r="U30"/>
  <c r="U21"/>
  <c r="U9"/>
  <c r="U8"/>
  <c r="AS4"/>
  <c r="BA36"/>
  <c r="BE36"/>
  <c r="U31"/>
  <c r="U28"/>
  <c r="U7"/>
  <c r="BB32"/>
  <c r="U6"/>
  <c r="AR23"/>
  <c r="E36"/>
  <c r="BC36"/>
  <c r="E18" i="35"/>
  <c r="G18" s="1"/>
  <c r="BB19" i="1"/>
  <c r="Z36"/>
  <c r="T36"/>
  <c r="AS27"/>
  <c r="BF17"/>
  <c r="AY26"/>
  <c r="BG30"/>
  <c r="AD13"/>
  <c r="BB27"/>
  <c r="U26"/>
  <c r="E9" i="35"/>
  <c r="G9" s="1"/>
  <c r="U25" i="1"/>
  <c r="U29"/>
  <c r="U18"/>
  <c r="U14"/>
  <c r="U32"/>
  <c r="BD36"/>
  <c r="D36"/>
  <c r="I36"/>
  <c r="AY28"/>
  <c r="BG29"/>
  <c r="AD16"/>
  <c r="BB15"/>
  <c r="U13"/>
  <c r="AN12"/>
  <c r="AU12"/>
  <c r="M11" i="35"/>
  <c r="O11" s="1"/>
  <c r="BB11" i="1"/>
  <c r="BF10"/>
  <c r="BA14"/>
  <c r="AY30"/>
  <c r="AQ5"/>
  <c r="AY13"/>
  <c r="L17" i="35"/>
  <c r="AP4" i="1"/>
  <c r="AD17"/>
  <c r="AY14"/>
  <c r="AR16"/>
  <c r="AD22"/>
  <c r="AQ18"/>
  <c r="AY20"/>
  <c r="BA13"/>
  <c r="AR13"/>
  <c r="AQ23"/>
  <c r="AR26"/>
  <c r="AP28"/>
  <c r="AU27"/>
  <c r="AQ31"/>
  <c r="AN27"/>
  <c r="BC4"/>
  <c r="U20"/>
  <c r="BA30"/>
  <c r="U12"/>
  <c r="AZ11"/>
  <c r="AW12"/>
  <c r="AP19"/>
  <c r="BH29"/>
  <c r="AD12"/>
  <c r="AS10"/>
  <c r="AU29"/>
  <c r="AU30"/>
  <c r="BF15"/>
  <c r="AP23"/>
  <c r="BE23"/>
  <c r="AS26"/>
  <c r="BC30"/>
  <c r="M12" i="35"/>
  <c r="O12" s="1"/>
  <c r="E5" i="47"/>
  <c r="AY10" i="1"/>
  <c r="AS29"/>
  <c r="AR4"/>
  <c r="BB18"/>
  <c r="AY22"/>
  <c r="U27"/>
  <c r="AD26"/>
  <c r="O8" i="35"/>
  <c r="U10" i="1"/>
  <c r="F36"/>
  <c r="U5"/>
  <c r="AD11"/>
  <c r="U24"/>
  <c r="U15"/>
  <c r="U22"/>
  <c r="AD19"/>
  <c r="M36"/>
  <c r="AC36"/>
  <c r="BA9"/>
  <c r="M9" i="35"/>
  <c r="O9" s="1"/>
  <c r="AP9" i="1"/>
  <c r="AD8"/>
  <c r="AS8"/>
  <c r="AR12"/>
  <c r="S36"/>
  <c r="U17"/>
  <c r="AP11"/>
  <c r="AQ17"/>
  <c r="E14" i="35"/>
  <c r="G14" s="1"/>
  <c r="BH15" i="1"/>
  <c r="AY25"/>
  <c r="BD28"/>
  <c r="BD27"/>
  <c r="Y27"/>
  <c r="BB29"/>
  <c r="AD30"/>
  <c r="BB14"/>
  <c r="AS24"/>
  <c r="AW27"/>
  <c r="AP18"/>
  <c r="L18" i="35"/>
  <c r="U19" i="1"/>
  <c r="AD27"/>
  <c r="AD28"/>
  <c r="AY9"/>
  <c r="BA15"/>
  <c r="K8" i="35"/>
  <c r="U16" i="1"/>
  <c r="H4" i="35"/>
  <c r="AQ11" i="1"/>
  <c r="AP21"/>
  <c r="BB21"/>
  <c r="AR28"/>
  <c r="AU11"/>
  <c r="BI11" s="1"/>
  <c r="AP14"/>
  <c r="AZ18"/>
  <c r="AV25"/>
  <c r="AQ8"/>
  <c r="BC12"/>
  <c r="AR20"/>
  <c r="AQ22"/>
  <c r="AS13"/>
  <c r="AD24"/>
  <c r="U23"/>
  <c r="AU9"/>
  <c r="BI9" s="1"/>
  <c r="AQ12"/>
  <c r="AP16"/>
  <c r="BH16"/>
  <c r="BH17"/>
  <c r="E12" i="47"/>
  <c r="E7" i="35"/>
  <c r="G7" s="1"/>
  <c r="M6"/>
  <c r="O6" s="1"/>
  <c r="BA7" i="1"/>
  <c r="AZ7"/>
  <c r="AU7"/>
  <c r="AS7"/>
  <c r="AY7"/>
  <c r="L7"/>
  <c r="G5" i="47" s="1"/>
  <c r="E6" i="35"/>
  <c r="G6" s="1"/>
  <c r="M7"/>
  <c r="O7" s="1"/>
  <c r="BB6" i="1"/>
  <c r="AZ6"/>
  <c r="AW6"/>
  <c r="AU6"/>
  <c r="AS6"/>
  <c r="AY6"/>
  <c r="L6"/>
  <c r="G4" i="47" s="1"/>
  <c r="E4"/>
  <c r="E5" i="35"/>
  <c r="G5" s="1"/>
  <c r="M5"/>
  <c r="O5" s="1"/>
  <c r="BB5" i="1"/>
  <c r="BA4"/>
  <c r="AW5"/>
  <c r="AU5"/>
  <c r="AS5"/>
  <c r="AY5"/>
  <c r="E3" i="47"/>
  <c r="AZ4" i="1"/>
  <c r="AT4"/>
  <c r="AQ4"/>
  <c r="E4" i="35"/>
  <c r="G4" s="1"/>
  <c r="M4"/>
  <c r="O4" s="1"/>
  <c r="BE4" i="1"/>
  <c r="BD4"/>
  <c r="BB4"/>
  <c r="AV4"/>
  <c r="AU4"/>
  <c r="E2" i="47"/>
  <c r="AD31" i="1"/>
  <c r="BE32"/>
  <c r="BD32"/>
  <c r="BC32"/>
  <c r="BB31"/>
  <c r="BH32"/>
  <c r="AZ32"/>
  <c r="AW32"/>
  <c r="AU32"/>
  <c r="AT32"/>
  <c r="AS31"/>
  <c r="AY32"/>
  <c r="X26" i="49" l="1"/>
  <c r="Y36" i="44"/>
  <c r="Y37"/>
  <c r="K26" i="49"/>
  <c r="L37" i="44"/>
  <c r="L36"/>
  <c r="J26" i="49"/>
  <c r="I26"/>
  <c r="H26"/>
  <c r="G26"/>
  <c r="H37" i="44"/>
  <c r="H36"/>
  <c r="F26" i="49"/>
  <c r="L26"/>
  <c r="M37" i="44"/>
  <c r="M36"/>
  <c r="J30" i="48"/>
  <c r="K7" i="49"/>
  <c r="J7"/>
  <c r="I7"/>
  <c r="H7"/>
  <c r="G7"/>
  <c r="F7"/>
  <c r="L7"/>
  <c r="BB33" i="44"/>
  <c r="BB32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/>
  <c r="E17"/>
  <c r="BB20" i="44"/>
  <c r="E16" i="49"/>
  <c r="BB19" i="44"/>
  <c r="E15" i="49"/>
  <c r="BB18" i="44"/>
  <c r="E14" i="49"/>
  <c r="BB17" i="44"/>
  <c r="BH13" i="49"/>
  <c r="E13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s="1"/>
  <c r="E4" i="49"/>
  <c r="BB6" i="44"/>
  <c r="BC6" s="1"/>
  <c r="AZ9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BH8"/>
  <c r="BH7"/>
  <c r="AZ10" i="44"/>
  <c r="E2" i="49"/>
  <c r="F3"/>
  <c r="AZ36" i="1"/>
  <c r="AZ21"/>
  <c r="H33"/>
  <c r="J33" s="1"/>
  <c r="C34" i="44"/>
  <c r="BH6" i="49"/>
  <c r="BH3"/>
  <c r="AZ6" i="44"/>
  <c r="BH5" i="49"/>
  <c r="AZ8" i="44"/>
  <c r="BH4" i="49"/>
  <c r="AZ7" i="44"/>
  <c r="E14" i="47"/>
  <c r="AG27" i="45"/>
  <c r="BF31" i="49" s="1"/>
  <c r="AN33" i="1"/>
  <c r="Y33"/>
  <c r="AR31" i="49"/>
  <c r="BI33" i="1"/>
  <c r="AH31" i="45"/>
  <c r="AE33" i="1"/>
  <c r="AD33"/>
  <c r="AD34"/>
  <c r="Y34"/>
  <c r="AJ33"/>
  <c r="BI34"/>
  <c r="AE34"/>
  <c r="BO34"/>
  <c r="AN18"/>
  <c r="AN23"/>
  <c r="BO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AQ17"/>
  <c r="AH2"/>
  <c r="AI2"/>
  <c r="F31"/>
  <c r="BG2"/>
  <c r="BI2"/>
  <c r="BH2"/>
  <c r="AD2"/>
  <c r="AK36" i="1"/>
  <c r="D24" i="45"/>
  <c r="BD2" i="49" s="1"/>
  <c r="BC2"/>
  <c r="BC17"/>
  <c r="D25" i="45"/>
  <c r="AR28" i="49"/>
  <c r="AN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N24" i="1"/>
  <c r="D29" i="45"/>
  <c r="AO2" i="49"/>
  <c r="AM13"/>
  <c r="AP17"/>
  <c r="N29" i="45"/>
  <c r="AO12" i="49"/>
  <c r="N27" i="45"/>
  <c r="BF12" i="49" s="1"/>
  <c r="AR12"/>
  <c r="M29" i="45"/>
  <c r="AO11" i="49"/>
  <c r="AN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N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AZ20" i="1"/>
  <c r="AN11"/>
  <c r="AD23"/>
  <c r="AN9"/>
  <c r="AN19"/>
  <c r="G39" i="44"/>
  <c r="AN22" i="1"/>
  <c r="AN16"/>
  <c r="H9" i="35"/>
  <c r="BI5" i="1"/>
  <c r="I9" i="35"/>
  <c r="AL36" i="1"/>
  <c r="J39" i="44"/>
  <c r="I39"/>
  <c r="I22"/>
  <c r="H19" i="49" s="1"/>
  <c r="G22" i="44"/>
  <c r="F19" i="49" s="1"/>
  <c r="AN30" i="1"/>
  <c r="H39" i="44"/>
  <c r="I21"/>
  <c r="H18" i="49" s="1"/>
  <c r="F39" i="44"/>
  <c r="K39"/>
  <c r="AN29" i="1"/>
  <c r="F22" i="44"/>
  <c r="F37" s="1"/>
  <c r="J23"/>
  <c r="I20" i="49" s="1"/>
  <c r="AN20" i="1"/>
  <c r="AN10"/>
  <c r="AN13"/>
  <c r="J7" i="44"/>
  <c r="I4" i="49" s="1"/>
  <c r="K21" i="44"/>
  <c r="J18" i="49" s="1"/>
  <c r="J21" i="44"/>
  <c r="I18" i="49" s="1"/>
  <c r="S11" i="1"/>
  <c r="U11" s="1"/>
  <c r="AJ21"/>
  <c r="T30" i="45"/>
  <c r="T31" s="1"/>
  <c r="BI14" i="1"/>
  <c r="E6" i="47"/>
  <c r="I6" i="35"/>
  <c r="H6"/>
  <c r="AN7" i="1"/>
  <c r="AG35"/>
  <c r="H5" i="35"/>
  <c r="K5" s="1"/>
  <c r="AJ23" i="1"/>
  <c r="H17" i="35"/>
  <c r="K17" s="1"/>
  <c r="L30" i="45"/>
  <c r="L31" s="1"/>
  <c r="BA35" i="1"/>
  <c r="F37"/>
  <c r="AN25"/>
  <c r="AN8"/>
  <c r="AU35"/>
  <c r="BE35"/>
  <c r="BD35"/>
  <c r="AT35"/>
  <c r="AR35"/>
  <c r="AC35"/>
  <c r="AN14"/>
  <c r="AW35"/>
  <c r="AV35"/>
  <c r="AB35"/>
  <c r="AH35"/>
  <c r="BC35"/>
  <c r="AP35"/>
  <c r="W35"/>
  <c r="V35"/>
  <c r="X35"/>
  <c r="BJ35"/>
  <c r="AO35"/>
  <c r="AX35"/>
  <c r="AY35"/>
  <c r="BH35"/>
  <c r="N4"/>
  <c r="U30" i="45"/>
  <c r="U31" s="1"/>
  <c r="N7" i="1"/>
  <c r="N6"/>
  <c r="N30" i="45"/>
  <c r="I25"/>
  <c r="BE7" i="49" s="1"/>
  <c r="AR36" i="1"/>
  <c r="BI16"/>
  <c r="H30" i="45"/>
  <c r="H31" s="1"/>
  <c r="I13" i="35"/>
  <c r="AN15" i="1"/>
  <c r="AD14"/>
  <c r="BI22"/>
  <c r="AV36"/>
  <c r="AI36"/>
  <c r="Q30" i="45"/>
  <c r="Q31" s="1"/>
  <c r="R30"/>
  <c r="R31" s="1"/>
  <c r="BB36" i="1"/>
  <c r="AK14" i="49"/>
  <c r="AK13"/>
  <c r="Y14" i="1"/>
  <c r="AN5"/>
  <c r="BK4"/>
  <c r="AD21"/>
  <c r="E25" i="45"/>
  <c r="BE3" i="49" s="1"/>
  <c r="E30" i="45"/>
  <c r="E31" s="1"/>
  <c r="W25"/>
  <c r="BE21" i="49" s="1"/>
  <c r="W30" i="45"/>
  <c r="W31" s="1"/>
  <c r="AD20" i="1"/>
  <c r="Z30" i="45"/>
  <c r="Z31" s="1"/>
  <c r="O30"/>
  <c r="P25"/>
  <c r="BE14" i="49" s="1"/>
  <c r="P30" i="45"/>
  <c r="P31" s="1"/>
  <c r="AD23" i="49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O4" i="1"/>
  <c r="BM4"/>
  <c r="D30" i="45"/>
  <c r="G30"/>
  <c r="G31" s="1"/>
  <c r="AE23" i="49"/>
  <c r="F30" i="45"/>
  <c r="F31" s="1"/>
  <c r="AG30"/>
  <c r="AE30"/>
  <c r="AE31" s="1"/>
  <c r="AF30"/>
  <c r="AD30"/>
  <c r="AD31" s="1"/>
  <c r="AC30"/>
  <c r="AC31" s="1"/>
  <c r="AB30"/>
  <c r="AB31" s="1"/>
  <c r="AN26" i="1"/>
  <c r="Y30" i="45"/>
  <c r="AD25" i="1"/>
  <c r="X30" i="45"/>
  <c r="X31" s="1"/>
  <c r="AK23" i="49"/>
  <c r="AJ23"/>
  <c r="AI23"/>
  <c r="AH23"/>
  <c r="AG23"/>
  <c r="AF23"/>
  <c r="BI24" i="1"/>
  <c r="AT5" i="44"/>
  <c r="Y21" i="1"/>
  <c r="X36"/>
  <c r="M25" i="45"/>
  <c r="BE11" i="49" s="1"/>
  <c r="I14" i="35"/>
  <c r="AK12" i="49"/>
  <c r="H13" i="35"/>
  <c r="AH36" i="1"/>
  <c r="AN4"/>
  <c r="Y7"/>
  <c r="BI29"/>
  <c r="AY32" i="44"/>
  <c r="U25" i="45"/>
  <c r="BE19" i="49" s="1"/>
  <c r="Y22" i="1"/>
  <c r="BI21"/>
  <c r="AY22" i="44"/>
  <c r="Y20" i="1"/>
  <c r="AJ17"/>
  <c r="Y18"/>
  <c r="AK15" i="49"/>
  <c r="O25" i="45"/>
  <c r="BE13" i="49" s="1"/>
  <c r="H16" i="35"/>
  <c r="K16" s="1"/>
  <c r="AD15" i="1"/>
  <c r="I15" i="35"/>
  <c r="H15"/>
  <c r="AI13" i="49"/>
  <c r="AY12" i="44"/>
  <c r="AJ8" i="1"/>
  <c r="AY26" i="44"/>
  <c r="AY21"/>
  <c r="R25" i="45"/>
  <c r="BE16" i="49" s="1"/>
  <c r="AG36" i="1"/>
  <c r="AJ26"/>
  <c r="AF25" i="45"/>
  <c r="BE30" i="49" s="1"/>
  <c r="AY33" i="44"/>
  <c r="L5" i="1"/>
  <c r="BI6"/>
  <c r="Y6"/>
  <c r="BI18"/>
  <c r="Y25" i="45"/>
  <c r="BE23" i="49" s="1"/>
  <c r="W36" i="1"/>
  <c r="AJ20"/>
  <c r="Q25" i="45"/>
  <c r="BE15" i="49" s="1"/>
  <c r="Y5" i="1"/>
  <c r="K11" i="35"/>
  <c r="AN6" i="44"/>
  <c r="AY5"/>
  <c r="AJ18" i="1"/>
  <c r="Y17"/>
  <c r="AY18" i="44"/>
  <c r="AY17"/>
  <c r="AJ11" i="1"/>
  <c r="AH12" i="49"/>
  <c r="AJ12"/>
  <c r="AI12"/>
  <c r="AG12"/>
  <c r="AF12"/>
  <c r="Z25" i="45"/>
  <c r="BE24" i="49" s="1"/>
  <c r="AJ15" i="1"/>
  <c r="AY16" i="44"/>
  <c r="N25" i="45"/>
  <c r="BE12" i="49" s="1"/>
  <c r="AJ14" i="1"/>
  <c r="AJ13"/>
  <c r="AJ12"/>
  <c r="Y12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/>
  <c r="AY9"/>
  <c r="E13" i="47"/>
  <c r="H14" i="35"/>
  <c r="Y29" i="1"/>
  <c r="AJ29"/>
  <c r="AG25" i="45"/>
  <c r="BE31" i="49" s="1"/>
  <c r="AY25" i="44"/>
  <c r="AY23"/>
  <c r="AY19"/>
  <c r="Y9" i="1"/>
  <c r="Y15"/>
  <c r="Y10"/>
  <c r="AE25" i="45"/>
  <c r="BE29" i="49" s="1"/>
  <c r="AY20" i="44"/>
  <c r="AJ16" i="1"/>
  <c r="AJ24"/>
  <c r="AJ25"/>
  <c r="AJ10"/>
  <c r="Y8"/>
  <c r="AY13" i="44"/>
  <c r="AY27"/>
  <c r="AY15"/>
  <c r="AY14"/>
  <c r="AJ7" i="1"/>
  <c r="F25" i="45"/>
  <c r="BE4" i="49" s="1"/>
  <c r="G25" i="45"/>
  <c r="BE5" i="49" s="1"/>
  <c r="S4" i="1"/>
  <c r="Y4"/>
  <c r="AY34" i="44"/>
  <c r="AJ31" i="1"/>
  <c r="Y31"/>
  <c r="BO31"/>
  <c r="BP31" s="1"/>
  <c r="BI31"/>
  <c r="BI41" s="1"/>
  <c r="AJ30"/>
  <c r="AY31" i="44"/>
  <c r="AC25" i="45"/>
  <c r="BE27" i="49" s="1"/>
  <c r="AY30" i="44"/>
  <c r="AB25" i="45"/>
  <c r="BE26" i="49" s="1"/>
  <c r="Y28" i="1"/>
  <c r="Y26"/>
  <c r="AE25"/>
  <c r="Y25"/>
  <c r="AE24"/>
  <c r="AF24" s="1"/>
  <c r="Y24"/>
  <c r="Y23"/>
  <c r="AE18"/>
  <c r="AE21"/>
  <c r="BF20"/>
  <c r="Y19"/>
  <c r="AJ5"/>
  <c r="BO24"/>
  <c r="BP24" s="1"/>
  <c r="AU36"/>
  <c r="AE28"/>
  <c r="AF28" s="1"/>
  <c r="BO28"/>
  <c r="BP28" s="1"/>
  <c r="AW36"/>
  <c r="K18" i="35"/>
  <c r="BO21" i="1"/>
  <c r="BO23"/>
  <c r="AJ6"/>
  <c r="AE19"/>
  <c r="AF19" s="1"/>
  <c r="AE15"/>
  <c r="Y30"/>
  <c r="AT36"/>
  <c r="K12" i="35"/>
  <c r="AS36" i="1"/>
  <c r="O17" i="35"/>
  <c r="BO13" i="1"/>
  <c r="BP13" s="1"/>
  <c r="BO14"/>
  <c r="AT7" i="44"/>
  <c r="K7" i="35"/>
  <c r="AE16" i="1"/>
  <c r="AF16" s="1"/>
  <c r="BI32"/>
  <c r="BO26"/>
  <c r="BP26" s="1"/>
  <c r="AE14"/>
  <c r="AE31"/>
  <c r="AF31" s="1"/>
  <c r="BO16"/>
  <c r="BP16" s="1"/>
  <c r="BO22"/>
  <c r="BP22" s="1"/>
  <c r="AE26"/>
  <c r="AF26" s="1"/>
  <c r="AE22"/>
  <c r="AF22" s="1"/>
  <c r="BM32" i="49"/>
  <c r="AE13" i="1"/>
  <c r="AF13" s="1"/>
  <c r="K10" i="35"/>
  <c r="BO10" i="1"/>
  <c r="AE8"/>
  <c r="AF8" s="1"/>
  <c r="BO8"/>
  <c r="BP8" s="1"/>
  <c r="K4" i="35"/>
  <c r="BO18" i="1"/>
  <c r="BO17"/>
  <c r="BP17" s="1"/>
  <c r="BO19"/>
  <c r="BP19" s="1"/>
  <c r="BI4"/>
  <c r="AE7"/>
  <c r="BI7"/>
  <c r="AQ21"/>
  <c r="AQ35" s="1"/>
  <c r="BI25"/>
  <c r="BI10"/>
  <c r="AE27"/>
  <c r="AF27" s="1"/>
  <c r="BI27"/>
  <c r="AE12"/>
  <c r="AF12" s="1"/>
  <c r="BI12"/>
  <c r="AS21"/>
  <c r="BI23"/>
  <c r="BI17"/>
  <c r="AS20"/>
  <c r="BI15"/>
  <c r="AE30"/>
  <c r="AF30" s="1"/>
  <c r="BI30"/>
  <c r="O4"/>
  <c r="I2" i="47" s="1"/>
  <c r="O18" i="35"/>
  <c r="BB22" i="1"/>
  <c r="BM14"/>
  <c r="BM6"/>
  <c r="BM5"/>
  <c r="BL5"/>
  <c r="BK5"/>
  <c r="BL4"/>
  <c r="BK14"/>
  <c r="BL14"/>
  <c r="BK7"/>
  <c r="BL7"/>
  <c r="BK6"/>
  <c r="BL6"/>
  <c r="BM7"/>
  <c r="Y13"/>
  <c r="BO7"/>
  <c r="O6"/>
  <c r="I4" i="47" s="1"/>
  <c r="AJ4" i="1"/>
  <c r="BO27"/>
  <c r="BP27" s="1"/>
  <c r="Y16"/>
  <c r="BO30"/>
  <c r="BP30" s="1"/>
  <c r="Y11"/>
  <c r="AB36"/>
  <c r="AQ36"/>
  <c r="BF36"/>
  <c r="AJ28"/>
  <c r="U36"/>
  <c r="AE17"/>
  <c r="AF17" s="1"/>
  <c r="BO15"/>
  <c r="BO12"/>
  <c r="BP12" s="1"/>
  <c r="AD10"/>
  <c r="AE10"/>
  <c r="V36"/>
  <c r="AE29"/>
  <c r="AF29" s="1"/>
  <c r="BO29"/>
  <c r="BP29" s="1"/>
  <c r="AE23"/>
  <c r="AJ27"/>
  <c r="K7"/>
  <c r="AP36"/>
  <c r="AE11"/>
  <c r="AF11" s="1"/>
  <c r="BO11"/>
  <c r="BP11" s="1"/>
  <c r="K14"/>
  <c r="K16"/>
  <c r="O7"/>
  <c r="I5" i="47" s="1"/>
  <c r="O5" i="1"/>
  <c r="I3" i="47" s="1"/>
  <c r="AD18" i="1"/>
  <c r="AD36" s="1"/>
  <c r="AE9"/>
  <c r="AF9" s="1"/>
  <c r="BO9"/>
  <c r="BP9" s="1"/>
  <c r="BO25"/>
  <c r="AD7"/>
  <c r="AD6"/>
  <c r="BO6"/>
  <c r="AE6"/>
  <c r="K6"/>
  <c r="AD5"/>
  <c r="AE5"/>
  <c r="BO5"/>
  <c r="K5"/>
  <c r="AD4"/>
  <c r="AE4"/>
  <c r="K4"/>
  <c r="AN32"/>
  <c r="AD32"/>
  <c r="Y32"/>
  <c r="AJ32"/>
  <c r="AE32"/>
  <c r="BO32"/>
  <c r="BM5" i="49" l="1"/>
  <c r="BA8" i="44"/>
  <c r="BA5"/>
  <c r="BM4" i="49"/>
  <c r="BA7" i="44"/>
  <c r="AY37"/>
  <c r="I36"/>
  <c r="J37"/>
  <c r="J36"/>
  <c r="F36"/>
  <c r="K37"/>
  <c r="K36"/>
  <c r="AY36"/>
  <c r="AZ36"/>
  <c r="AZ37"/>
  <c r="I37"/>
  <c r="BB34"/>
  <c r="J31" i="48"/>
  <c r="BB23" i="44"/>
  <c r="E19" i="49"/>
  <c r="BB22" i="44"/>
  <c r="BB21"/>
  <c r="BC9"/>
  <c r="BB7"/>
  <c r="BC7" s="1"/>
  <c r="AA35" i="1"/>
  <c r="BG3" i="49"/>
  <c r="H6" i="45"/>
  <c r="H24" s="1"/>
  <c r="BD6" i="49" s="1"/>
  <c r="AZ35" i="1"/>
  <c r="BP4"/>
  <c r="H34"/>
  <c r="C35" i="44"/>
  <c r="C36" s="1"/>
  <c r="G9" i="1"/>
  <c r="BM16"/>
  <c r="BL16"/>
  <c r="BK16"/>
  <c r="D9" i="44"/>
  <c r="AN9"/>
  <c r="L8" i="1"/>
  <c r="B10" i="44"/>
  <c r="BP33" i="1"/>
  <c r="AF33"/>
  <c r="Z35"/>
  <c r="AF34"/>
  <c r="BP34"/>
  <c r="O31" i="45"/>
  <c r="AN36" i="1"/>
  <c r="K8"/>
  <c r="Y31" i="45"/>
  <c r="BL8" i="1"/>
  <c r="BK8"/>
  <c r="N31" i="45"/>
  <c r="BM8" i="1"/>
  <c r="BP23"/>
  <c r="AG31" i="45"/>
  <c r="BM2" i="49"/>
  <c r="AF31" i="45"/>
  <c r="D31"/>
  <c r="BF17" i="49"/>
  <c r="BF2"/>
  <c r="BE17"/>
  <c r="BE2"/>
  <c r="M31" i="45"/>
  <c r="G3" i="47"/>
  <c r="K9" i="35"/>
  <c r="K13"/>
  <c r="AF23" i="1"/>
  <c r="AK35"/>
  <c r="AT6" i="44"/>
  <c r="BA6" s="1"/>
  <c r="AN21" i="1"/>
  <c r="AN35" s="1"/>
  <c r="AI35"/>
  <c r="K6" i="35"/>
  <c r="AJ19" i="1"/>
  <c r="AJ35" s="1"/>
  <c r="AF14"/>
  <c r="BP14"/>
  <c r="U4"/>
  <c r="U35" s="1"/>
  <c r="S35"/>
  <c r="AL35"/>
  <c r="BB35"/>
  <c r="BQ4"/>
  <c r="AD35"/>
  <c r="BF35"/>
  <c r="AS35"/>
  <c r="Y35"/>
  <c r="R7"/>
  <c r="M5" i="47"/>
  <c r="R6" i="1"/>
  <c r="M4" i="47"/>
  <c r="R5" i="1"/>
  <c r="R4"/>
  <c r="M2" i="47"/>
  <c r="N5" i="1"/>
  <c r="BK15"/>
  <c r="AF21"/>
  <c r="BP21"/>
  <c r="Y36"/>
  <c r="AJ36"/>
  <c r="K14" i="35"/>
  <c r="BP5" i="1"/>
  <c r="BP32"/>
  <c r="BP25"/>
  <c r="AF25"/>
  <c r="BP18"/>
  <c r="BP15"/>
  <c r="AF15"/>
  <c r="BP10"/>
  <c r="BP6"/>
  <c r="BP7"/>
  <c r="K15"/>
  <c r="K15" i="35"/>
  <c r="Q4" i="1"/>
  <c r="AE20"/>
  <c r="AF20" s="1"/>
  <c r="BL15"/>
  <c r="BM15"/>
  <c r="BO20"/>
  <c r="BP20" s="1"/>
  <c r="BI20"/>
  <c r="BI35" s="1"/>
  <c r="BO36"/>
  <c r="AF7"/>
  <c r="Q6"/>
  <c r="BN6" s="1"/>
  <c r="AE36"/>
  <c r="AF18"/>
  <c r="AF36" s="1"/>
  <c r="AF10"/>
  <c r="Q5"/>
  <c r="Q7"/>
  <c r="BN7" s="1"/>
  <c r="AF6"/>
  <c r="AF5"/>
  <c r="AF4"/>
  <c r="AF32"/>
  <c r="C37" i="44" l="1"/>
  <c r="BC10"/>
  <c r="BB35"/>
  <c r="J32" i="48"/>
  <c r="BM3" i="49"/>
  <c r="I6" i="45"/>
  <c r="I24" s="1"/>
  <c r="BD7" i="49" s="1"/>
  <c r="E10" i="44"/>
  <c r="J6" i="45"/>
  <c r="J24" s="1"/>
  <c r="BD8" i="49" s="1"/>
  <c r="E9" i="44"/>
  <c r="O8" i="1"/>
  <c r="I6" i="47" s="1"/>
  <c r="J34" i="1"/>
  <c r="K34"/>
  <c r="E32" i="47"/>
  <c r="BM34" i="1"/>
  <c r="BK34"/>
  <c r="BL34"/>
  <c r="G10"/>
  <c r="B11" i="44"/>
  <c r="BC11" s="1"/>
  <c r="K10" i="1"/>
  <c r="G6" i="47"/>
  <c r="N8" i="1"/>
  <c r="BG6" i="49"/>
  <c r="AT9" i="44"/>
  <c r="E7" i="47"/>
  <c r="K9" i="1"/>
  <c r="BM9"/>
  <c r="BL9"/>
  <c r="BK9"/>
  <c r="D11" i="44"/>
  <c r="AN11"/>
  <c r="L10" i="1"/>
  <c r="D10" i="44"/>
  <c r="AN10"/>
  <c r="L9" i="1"/>
  <c r="BN5"/>
  <c r="AF35"/>
  <c r="AE35"/>
  <c r="BN4"/>
  <c r="M3" i="47"/>
  <c r="BM6" i="49" l="1"/>
  <c r="BA9" i="44"/>
  <c r="O9" i="1"/>
  <c r="M6" i="47"/>
  <c r="Q8" i="1"/>
  <c r="BN8" s="1"/>
  <c r="R8"/>
  <c r="E11" i="44"/>
  <c r="O10" i="1"/>
  <c r="I8" i="47" s="1"/>
  <c r="B12" i="44"/>
  <c r="G11" i="1"/>
  <c r="K17"/>
  <c r="BK10"/>
  <c r="BM10"/>
  <c r="BL10"/>
  <c r="E8" i="47"/>
  <c r="BG7" i="49"/>
  <c r="AT10" i="44"/>
  <c r="BA10" s="1"/>
  <c r="BG8" i="49"/>
  <c r="AT11" i="44"/>
  <c r="G7" i="47"/>
  <c r="N9" i="1"/>
  <c r="G8" i="47"/>
  <c r="N10" i="1"/>
  <c r="E9" i="47"/>
  <c r="K11" i="1"/>
  <c r="BK11"/>
  <c r="BM11"/>
  <c r="BL11"/>
  <c r="G12"/>
  <c r="BM8" i="49" l="1"/>
  <c r="BA11" i="44"/>
  <c r="BC12"/>
  <c r="Q9" i="1"/>
  <c r="BN9" s="1"/>
  <c r="I7" i="47"/>
  <c r="M7" s="1"/>
  <c r="R9" i="1"/>
  <c r="G13"/>
  <c r="M8" i="47"/>
  <c r="R10" i="1"/>
  <c r="Q10"/>
  <c r="BN10" s="1"/>
  <c r="K6" i="45"/>
  <c r="K24" s="1"/>
  <c r="BD9" i="49" s="1"/>
  <c r="L6" i="45"/>
  <c r="L24" s="1"/>
  <c r="BD10" i="49" s="1"/>
  <c r="B15" i="44"/>
  <c r="BC15" s="1"/>
  <c r="G14" i="1"/>
  <c r="J36"/>
  <c r="BK17"/>
  <c r="BL17"/>
  <c r="BM17"/>
  <c r="E15" i="47"/>
  <c r="AN13" i="44"/>
  <c r="L11" i="1"/>
  <c r="N11" s="1"/>
  <c r="AN12" i="44"/>
  <c r="D12"/>
  <c r="BM7" i="49"/>
  <c r="B13" i="44"/>
  <c r="BC13" l="1"/>
  <c r="AT12"/>
  <c r="BA12" s="1"/>
  <c r="B14"/>
  <c r="BC14" s="1"/>
  <c r="E12"/>
  <c r="O11" i="1"/>
  <c r="I9" i="47" s="1"/>
  <c r="E13" i="44"/>
  <c r="O12" i="1"/>
  <c r="I10" i="47" s="1"/>
  <c r="L12" i="1"/>
  <c r="N12" s="1"/>
  <c r="D13" i="44"/>
  <c r="G9" i="47"/>
  <c r="BG9" i="49"/>
  <c r="BG10"/>
  <c r="AT13" i="44"/>
  <c r="E11" i="47"/>
  <c r="BL13" i="1"/>
  <c r="K13"/>
  <c r="BM13"/>
  <c r="BK13"/>
  <c r="E16" i="47"/>
  <c r="BL18" i="1"/>
  <c r="BL36" s="1"/>
  <c r="BM18"/>
  <c r="K18"/>
  <c r="K36" s="1"/>
  <c r="BK18"/>
  <c r="BK36" s="1"/>
  <c r="H36"/>
  <c r="E10" i="47"/>
  <c r="BK12" i="1"/>
  <c r="K12"/>
  <c r="BL12"/>
  <c r="BM12"/>
  <c r="E17" i="47"/>
  <c r="BL19" i="1"/>
  <c r="BK19"/>
  <c r="K19"/>
  <c r="BM19"/>
  <c r="BM10" i="49" l="1"/>
  <c r="BA13" i="44"/>
  <c r="BM9" i="49"/>
  <c r="O13" i="1"/>
  <c r="I11" i="47" s="1"/>
  <c r="M6" i="45"/>
  <c r="M24" s="1"/>
  <c r="BD11" i="49" s="1"/>
  <c r="G16" i="1"/>
  <c r="M9" i="47"/>
  <c r="R11" i="1"/>
  <c r="Q11"/>
  <c r="R12"/>
  <c r="Q12"/>
  <c r="BN12" s="1"/>
  <c r="G15"/>
  <c r="B16" i="44"/>
  <c r="BC16" s="1"/>
  <c r="G10" i="47"/>
  <c r="D14" i="44"/>
  <c r="AN14"/>
  <c r="L13" i="1"/>
  <c r="N13" s="1"/>
  <c r="D15" i="44"/>
  <c r="E18" i="47"/>
  <c r="K20" i="1"/>
  <c r="BM20"/>
  <c r="BL20"/>
  <c r="BK20"/>
  <c r="BG11" i="49" l="1"/>
  <c r="N6" i="45"/>
  <c r="N24" s="1"/>
  <c r="BD12" i="49" s="1"/>
  <c r="E14" i="44"/>
  <c r="E15"/>
  <c r="B17"/>
  <c r="BC17" s="1"/>
  <c r="M10" i="47"/>
  <c r="Q13" i="1"/>
  <c r="BN13" s="1"/>
  <c r="R13"/>
  <c r="BN11"/>
  <c r="D16" i="44"/>
  <c r="B18"/>
  <c r="BC18" s="1"/>
  <c r="G17" i="1"/>
  <c r="AT14" i="44"/>
  <c r="BA14" s="1"/>
  <c r="G11" i="47"/>
  <c r="AN15" i="44"/>
  <c r="AT15" s="1"/>
  <c r="L14" i="1"/>
  <c r="G12" i="47" s="1"/>
  <c r="E19"/>
  <c r="BM21" i="1"/>
  <c r="K21"/>
  <c r="BL21"/>
  <c r="BK21"/>
  <c r="BM12" i="49" l="1"/>
  <c r="BA15" i="44"/>
  <c r="BM11" i="49"/>
  <c r="O14" i="1"/>
  <c r="M11" i="47"/>
  <c r="O6" i="45"/>
  <c r="O24" s="1"/>
  <c r="BD13" i="49" s="1"/>
  <c r="O15" i="1"/>
  <c r="I13" i="47" s="1"/>
  <c r="P6" i="45"/>
  <c r="P24" s="1"/>
  <c r="BD14" i="49" s="1"/>
  <c r="L15" i="1"/>
  <c r="AN16" i="44"/>
  <c r="G18" i="1"/>
  <c r="B19" i="44"/>
  <c r="BC19" s="1"/>
  <c r="D17"/>
  <c r="L16" i="1"/>
  <c r="AN17" i="44"/>
  <c r="N14" i="1"/>
  <c r="BG12" i="49"/>
  <c r="E20" i="47"/>
  <c r="K22" i="1"/>
  <c r="BL22"/>
  <c r="BK22"/>
  <c r="BM22"/>
  <c r="I12" i="47" l="1"/>
  <c r="M12" s="1"/>
  <c r="Q14" i="1"/>
  <c r="BN14" s="1"/>
  <c r="R14"/>
  <c r="E16" i="44"/>
  <c r="O16" i="1"/>
  <c r="I14" i="47" s="1"/>
  <c r="Q6" i="45"/>
  <c r="Q24" s="1"/>
  <c r="BD15" i="49" s="1"/>
  <c r="Q15" i="1"/>
  <c r="R15"/>
  <c r="N15"/>
  <c r="G13" i="47"/>
  <c r="BG13" i="49"/>
  <c r="AT16" i="44"/>
  <c r="BA16" s="1"/>
  <c r="G19" i="1"/>
  <c r="B20" i="44"/>
  <c r="BC20" s="1"/>
  <c r="G14" i="47"/>
  <c r="N16" i="1"/>
  <c r="BG14" i="49"/>
  <c r="AT17" i="44"/>
  <c r="BA17" s="1"/>
  <c r="AN18"/>
  <c r="L17" i="1"/>
  <c r="D18" i="44"/>
  <c r="BM13" i="49" l="1"/>
  <c r="BN15" i="1"/>
  <c r="E17" i="44"/>
  <c r="O17" i="1"/>
  <c r="I15" i="47" s="1"/>
  <c r="M13"/>
  <c r="M14"/>
  <c r="Q16" i="1"/>
  <c r="BN16" s="1"/>
  <c r="R16"/>
  <c r="BM14" i="49"/>
  <c r="AT18" i="44"/>
  <c r="BA18" s="1"/>
  <c r="BG15" i="49"/>
  <c r="N17" i="1"/>
  <c r="G15" i="47"/>
  <c r="E22"/>
  <c r="E21"/>
  <c r="BL23" i="1"/>
  <c r="K23"/>
  <c r="BK23"/>
  <c r="BM23"/>
  <c r="E18" i="44" l="1"/>
  <c r="G20" i="1"/>
  <c r="B21" i="44"/>
  <c r="M15" i="47"/>
  <c r="Q17" i="1"/>
  <c r="BN17" s="1"/>
  <c r="R17"/>
  <c r="R6" i="45"/>
  <c r="R24" s="1"/>
  <c r="BD16" i="49" s="1"/>
  <c r="D19" i="44"/>
  <c r="AN19"/>
  <c r="AT19" s="1"/>
  <c r="BA19" s="1"/>
  <c r="G21" i="1"/>
  <c r="B22" i="44"/>
  <c r="BC22" s="1"/>
  <c r="L18" i="1"/>
  <c r="G16" i="47" s="1"/>
  <c r="BM15" i="49"/>
  <c r="AN20" i="44"/>
  <c r="L19" i="1"/>
  <c r="D20" i="44"/>
  <c r="K24" i="1"/>
  <c r="BM24"/>
  <c r="BK24"/>
  <c r="BL24"/>
  <c r="E23" i="47"/>
  <c r="BM25" i="1"/>
  <c r="BK25"/>
  <c r="BL25"/>
  <c r="K25"/>
  <c r="BC21" i="44" l="1"/>
  <c r="BG16" i="49"/>
  <c r="S6" i="45"/>
  <c r="S24" s="1"/>
  <c r="BD17" i="49" s="1"/>
  <c r="O18" i="1"/>
  <c r="I16" i="47" s="1"/>
  <c r="E19" i="44"/>
  <c r="G22" i="1"/>
  <c r="B23" i="44"/>
  <c r="BC23" s="1"/>
  <c r="N18" i="1"/>
  <c r="L36"/>
  <c r="AT20" i="44"/>
  <c r="BA20" s="1"/>
  <c r="BG17" i="49"/>
  <c r="N19" i="1"/>
  <c r="G17" i="47"/>
  <c r="BM16" i="49"/>
  <c r="E24" i="47"/>
  <c r="K26" i="1"/>
  <c r="BM26"/>
  <c r="BL26"/>
  <c r="BK26"/>
  <c r="O20" l="1"/>
  <c r="I18" i="47" s="1"/>
  <c r="T6" i="45"/>
  <c r="T24" s="1"/>
  <c r="BD18" i="49" s="1"/>
  <c r="U6" i="45"/>
  <c r="U24" s="1"/>
  <c r="BD19" i="49" s="1"/>
  <c r="M16" i="47"/>
  <c r="R18" i="1"/>
  <c r="R36" s="1"/>
  <c r="O36"/>
  <c r="Q18"/>
  <c r="Q36" s="1"/>
  <c r="E20" i="44"/>
  <c r="O19" i="1"/>
  <c r="I17" i="47" s="1"/>
  <c r="N36" i="1"/>
  <c r="G23"/>
  <c r="B24" i="44"/>
  <c r="BC24" s="1"/>
  <c r="BM17" i="49"/>
  <c r="D21" i="44"/>
  <c r="AN21"/>
  <c r="L20" i="1"/>
  <c r="E25" i="47"/>
  <c r="E21" i="44" l="1"/>
  <c r="O21" i="1"/>
  <c r="I19" i="47" s="1"/>
  <c r="M17"/>
  <c r="R19" i="1"/>
  <c r="Q19"/>
  <c r="BN19" s="1"/>
  <c r="R20"/>
  <c r="Q20"/>
  <c r="BN18"/>
  <c r="BN36" s="1"/>
  <c r="G24"/>
  <c r="B25" i="44"/>
  <c r="BC25" s="1"/>
  <c r="D22"/>
  <c r="L21" i="1"/>
  <c r="AN22" i="44"/>
  <c r="BG18" i="49"/>
  <c r="AT21" i="44"/>
  <c r="BA21" s="1"/>
  <c r="N20" i="1"/>
  <c r="G18" i="47"/>
  <c r="BK27" i="1"/>
  <c r="BM27"/>
  <c r="K27"/>
  <c r="BL27"/>
  <c r="E26" i="47"/>
  <c r="BM28" i="1"/>
  <c r="BK28"/>
  <c r="BL28"/>
  <c r="K28"/>
  <c r="E22" i="44" l="1"/>
  <c r="Q21" i="1"/>
  <c r="R21"/>
  <c r="V6" i="45"/>
  <c r="V24" s="1"/>
  <c r="BD20" i="49" s="1"/>
  <c r="BN20" i="1"/>
  <c r="M18" i="47"/>
  <c r="G25" i="1"/>
  <c r="B26" i="44"/>
  <c r="BC26" s="1"/>
  <c r="L22" i="1"/>
  <c r="AN23" i="44"/>
  <c r="D23"/>
  <c r="BM18" i="49"/>
  <c r="N21" i="1"/>
  <c r="G19" i="47"/>
  <c r="BG19" i="49"/>
  <c r="AT22" i="44"/>
  <c r="BA22" s="1"/>
  <c r="E27" i="47"/>
  <c r="BK29" i="1"/>
  <c r="BL29"/>
  <c r="BM29"/>
  <c r="K29"/>
  <c r="O23" l="1"/>
  <c r="I21" i="47" s="1"/>
  <c r="BN21" i="1"/>
  <c r="M19" i="47"/>
  <c r="W6" i="45"/>
  <c r="W24" s="1"/>
  <c r="BD21" i="49" s="1"/>
  <c r="E23" i="44"/>
  <c r="O22" i="1"/>
  <c r="I20" i="47" s="1"/>
  <c r="G26" i="1"/>
  <c r="B27" i="44"/>
  <c r="BC27" s="1"/>
  <c r="N22" i="1"/>
  <c r="G20" i="47"/>
  <c r="AN24" i="44"/>
  <c r="D24"/>
  <c r="L23" i="1"/>
  <c r="AT23" i="44"/>
  <c r="BA23" s="1"/>
  <c r="BG20" i="49"/>
  <c r="BM19"/>
  <c r="E28" i="47"/>
  <c r="BL30" i="1"/>
  <c r="K30"/>
  <c r="BM30"/>
  <c r="BK30"/>
  <c r="E24" i="44" l="1"/>
  <c r="X6" i="45"/>
  <c r="X24" s="1"/>
  <c r="BD22" i="49" s="1"/>
  <c r="O24" i="1"/>
  <c r="I22" i="47" s="1"/>
  <c r="Q23" i="1"/>
  <c r="R23"/>
  <c r="M20" i="47"/>
  <c r="Q22" i="1"/>
  <c r="BN22" s="1"/>
  <c r="R22"/>
  <c r="B28" i="44"/>
  <c r="BC28" s="1"/>
  <c r="G27" i="1"/>
  <c r="AT24" i="44"/>
  <c r="BA24" s="1"/>
  <c r="BG21" i="49"/>
  <c r="BM20"/>
  <c r="N23" i="1"/>
  <c r="G21" i="47"/>
  <c r="L24" i="1"/>
  <c r="D25" i="44"/>
  <c r="AN25"/>
  <c r="BK31" i="1"/>
  <c r="E29" i="47"/>
  <c r="Y6" i="45" l="1"/>
  <c r="Y24" s="1"/>
  <c r="BD23" i="49" s="1"/>
  <c r="E25" i="44"/>
  <c r="BN23" i="1"/>
  <c r="Z6" i="45"/>
  <c r="Z24" s="1"/>
  <c r="BD24" i="49" s="1"/>
  <c r="Q24" i="1"/>
  <c r="R24"/>
  <c r="M21" i="47"/>
  <c r="E26" i="44"/>
  <c r="O25" i="1"/>
  <c r="I23" i="47" s="1"/>
  <c r="G28" i="1"/>
  <c r="B29" i="44"/>
  <c r="BC29" s="1"/>
  <c r="N24" i="1"/>
  <c r="G22" i="47"/>
  <c r="BM21" i="49"/>
  <c r="BG22"/>
  <c r="AT25" i="44"/>
  <c r="BA25" s="1"/>
  <c r="L25" i="1"/>
  <c r="D26" i="44"/>
  <c r="AN26"/>
  <c r="K31" i="1"/>
  <c r="BM31"/>
  <c r="BL31"/>
  <c r="E30" i="47"/>
  <c r="BL32" i="1"/>
  <c r="BK32"/>
  <c r="BM32"/>
  <c r="K32"/>
  <c r="BN24" l="1"/>
  <c r="AA6" i="45"/>
  <c r="E27" i="44"/>
  <c r="O26" i="1"/>
  <c r="I24" i="47" s="1"/>
  <c r="R25" i="1"/>
  <c r="Q25"/>
  <c r="M22" i="47"/>
  <c r="B30" i="44"/>
  <c r="BC30" s="1"/>
  <c r="G29" i="1"/>
  <c r="AN27" i="44"/>
  <c r="D27"/>
  <c r="L26" i="1"/>
  <c r="N25"/>
  <c r="G23" i="47"/>
  <c r="AT26" i="44"/>
  <c r="BA26" s="1"/>
  <c r="BG23" i="49"/>
  <c r="BM22"/>
  <c r="AA24" i="45" l="1"/>
  <c r="BD25" i="49" s="1"/>
  <c r="BN25" i="1"/>
  <c r="M23" i="47"/>
  <c r="E28" i="44"/>
  <c r="O27" i="1"/>
  <c r="I25" i="47" s="1"/>
  <c r="R26" i="1"/>
  <c r="Q26"/>
  <c r="B31" i="44"/>
  <c r="BC31" s="1"/>
  <c r="G30" i="1"/>
  <c r="BM23" i="49"/>
  <c r="BG24"/>
  <c r="AT27" i="44"/>
  <c r="BA27" s="1"/>
  <c r="N26" i="1"/>
  <c r="G24" i="47"/>
  <c r="L27" i="1"/>
  <c r="AN28" i="44"/>
  <c r="D28"/>
  <c r="O28" i="1" l="1"/>
  <c r="I26" i="47" s="1"/>
  <c r="AB6" i="45"/>
  <c r="AB24" s="1"/>
  <c r="BD26" i="49" s="1"/>
  <c r="BN26" i="1"/>
  <c r="M24" i="47"/>
  <c r="R27" i="1"/>
  <c r="Q27"/>
  <c r="B32" i="44"/>
  <c r="BC32" s="1"/>
  <c r="G31" i="1"/>
  <c r="AN29" i="44"/>
  <c r="L28" i="1"/>
  <c r="D29" i="44"/>
  <c r="N27" i="1"/>
  <c r="G25" i="47"/>
  <c r="BM24" i="49"/>
  <c r="BG25"/>
  <c r="AT28" i="44"/>
  <c r="BA28" s="1"/>
  <c r="AC6" i="45" l="1"/>
  <c r="AC24" s="1"/>
  <c r="BD27" i="49" s="1"/>
  <c r="M25" i="47"/>
  <c r="E29" i="44"/>
  <c r="Q28" i="1"/>
  <c r="R28"/>
  <c r="E30" i="44"/>
  <c r="O29" i="1"/>
  <c r="I27" i="47" s="1"/>
  <c r="G32" i="1"/>
  <c r="B33" i="44"/>
  <c r="BC33" s="1"/>
  <c r="AT29"/>
  <c r="BA29" s="1"/>
  <c r="BG26" i="49"/>
  <c r="G26" i="47"/>
  <c r="N28" i="1"/>
  <c r="BM25" i="49"/>
  <c r="BN27" i="1"/>
  <c r="AN30" i="44"/>
  <c r="L29" i="1"/>
  <c r="D30" i="44"/>
  <c r="E31" l="1"/>
  <c r="AD6" i="45"/>
  <c r="AD24" s="1"/>
  <c r="BD28" i="49" s="1"/>
  <c r="BN28" i="1"/>
  <c r="M26" i="47"/>
  <c r="R29" i="1"/>
  <c r="Q29"/>
  <c r="AN31" i="44"/>
  <c r="L30" i="1"/>
  <c r="D31" i="44"/>
  <c r="BG27" i="49"/>
  <c r="AT30" i="44"/>
  <c r="BA30" s="1"/>
  <c r="N29" i="1"/>
  <c r="G27" i="47"/>
  <c r="BM26" i="49"/>
  <c r="O30" i="1" l="1"/>
  <c r="M27" i="47"/>
  <c r="E32" i="44"/>
  <c r="AE6" i="45"/>
  <c r="AE24" s="1"/>
  <c r="BD29" i="49" s="1"/>
  <c r="AF6" i="45"/>
  <c r="AF24" s="1"/>
  <c r="BD30" i="49" s="1"/>
  <c r="G34" i="1"/>
  <c r="B35" i="44"/>
  <c r="BM27" i="49"/>
  <c r="AT31" i="44"/>
  <c r="BA31" s="1"/>
  <c r="BG28" i="49"/>
  <c r="BN29" i="1"/>
  <c r="N30"/>
  <c r="G28" i="47"/>
  <c r="D32" i="44"/>
  <c r="L31" i="1"/>
  <c r="AN32" i="44"/>
  <c r="BC35" l="1"/>
  <c r="R30" i="1"/>
  <c r="I28" i="47"/>
  <c r="M28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s="1"/>
  <c r="Q30" i="1"/>
  <c r="BN30" s="1"/>
  <c r="O31"/>
  <c r="E33" i="44"/>
  <c r="O32" i="1"/>
  <c r="I30" i="47" s="1"/>
  <c r="AT32" i="44"/>
  <c r="BA32" s="1"/>
  <c r="BG29" i="49"/>
  <c r="L32" i="1"/>
  <c r="D33" i="44"/>
  <c r="AN33"/>
  <c r="BM28" i="49"/>
  <c r="N31" i="1"/>
  <c r="G29" i="47"/>
  <c r="R31" i="1" l="1"/>
  <c r="I29" i="47"/>
  <c r="M29" s="1"/>
  <c r="J85" i="22"/>
  <c r="J85" i="2"/>
  <c r="Q31" i="1"/>
  <c r="BN31" s="1"/>
  <c r="R32"/>
  <c r="Q32"/>
  <c r="AG6" i="45"/>
  <c r="AG24" s="1"/>
  <c r="BD31" i="49" s="1"/>
  <c r="BM29"/>
  <c r="D34" i="44"/>
  <c r="D36" s="1"/>
  <c r="L33" i="1"/>
  <c r="AN34" i="44"/>
  <c r="AN37" s="1"/>
  <c r="N32" i="1"/>
  <c r="G30" i="47"/>
  <c r="BG30" i="49"/>
  <c r="AT33" i="44"/>
  <c r="BA33" s="1"/>
  <c r="D37" l="1"/>
  <c r="AN36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s="1"/>
  <c r="J92" i="2"/>
  <c r="H84" i="50"/>
  <c r="J84" s="1"/>
  <c r="BN32" i="1"/>
  <c r="M30" i="47"/>
  <c r="O33" i="1"/>
  <c r="I31" i="47" s="1"/>
  <c r="E34" i="44"/>
  <c r="N33" i="1"/>
  <c r="N35" s="1"/>
  <c r="G31" i="47"/>
  <c r="L35" i="1"/>
  <c r="BM30" i="49"/>
  <c r="AT34" i="44"/>
  <c r="BG31" i="49"/>
  <c r="BG35" i="1"/>
  <c r="BO35" s="1"/>
  <c r="BP35" s="1"/>
  <c r="AT36" i="44" l="1"/>
  <c r="BA34"/>
  <c r="BA36" s="1"/>
  <c r="AT37"/>
  <c r="AC29" i="49"/>
  <c r="J96" i="29"/>
  <c r="J96" i="30"/>
  <c r="J88" i="29"/>
  <c r="J102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/>
  <c r="J96"/>
  <c r="J94"/>
  <c r="J88"/>
  <c r="J84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/>
  <c r="J84" i="19"/>
  <c r="J84" i="20"/>
  <c r="J102" i="19"/>
  <c r="J102" i="20"/>
  <c r="J82" i="19"/>
  <c r="J82" i="20"/>
  <c r="J74" i="18"/>
  <c r="J74" i="19"/>
  <c r="J76" i="18"/>
  <c r="J76" i="19"/>
  <c r="J88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/>
  <c r="J94" i="9"/>
  <c r="J94" i="10"/>
  <c r="J84" i="9"/>
  <c r="J84" i="10"/>
  <c r="J82" i="9"/>
  <c r="J82" i="10"/>
  <c r="J102" i="9"/>
  <c r="J102" i="10"/>
  <c r="J77" i="8"/>
  <c r="J77" i="9"/>
  <c r="J88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/>
  <c r="J76" i="2"/>
  <c r="J76" i="3"/>
  <c r="H103" i="50"/>
  <c r="J103" s="1"/>
  <c r="H95"/>
  <c r="J95" s="1"/>
  <c r="J74" i="2"/>
  <c r="H89" i="50"/>
  <c r="J89" s="1"/>
  <c r="H85"/>
  <c r="J85" s="1"/>
  <c r="J83" i="2"/>
  <c r="H97" i="50"/>
  <c r="J97" s="1"/>
  <c r="H83"/>
  <c r="J83" s="1"/>
  <c r="H78"/>
  <c r="J78" s="1"/>
  <c r="H79"/>
  <c r="J79" s="1"/>
  <c r="H75"/>
  <c r="J75" s="1"/>
  <c r="H77"/>
  <c r="J77" s="1"/>
  <c r="H63"/>
  <c r="J63" s="1"/>
  <c r="H76"/>
  <c r="J76" s="1"/>
  <c r="AH6" i="45"/>
  <c r="AH24" s="1"/>
  <c r="BD32" i="49" s="1"/>
  <c r="R33" i="1"/>
  <c r="Q33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/>
  <c r="J96"/>
  <c r="J102"/>
  <c r="J74"/>
  <c r="J76"/>
  <c r="J75"/>
  <c r="J84"/>
  <c r="J94"/>
  <c r="J82"/>
  <c r="J78"/>
  <c r="J77"/>
  <c r="J104"/>
  <c r="J91" i="21"/>
  <c r="J98"/>
  <c r="J100"/>
  <c r="J104" i="20"/>
  <c r="J104" i="21"/>
  <c r="J91" i="19"/>
  <c r="J98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/>
  <c r="J100" i="33"/>
  <c r="J62" i="5"/>
  <c r="J104" i="4"/>
  <c r="J104" i="5"/>
  <c r="J91" i="3"/>
  <c r="J100"/>
  <c r="J100" i="4"/>
  <c r="J98" i="3"/>
  <c r="J98" i="4"/>
  <c r="J104" i="2"/>
  <c r="J104" i="3"/>
  <c r="J82" i="2"/>
  <c r="J84"/>
  <c r="J88"/>
  <c r="J102"/>
  <c r="J96"/>
  <c r="H92" i="50"/>
  <c r="J92" s="1"/>
  <c r="H99"/>
  <c r="J99" s="1"/>
  <c r="H101"/>
  <c r="J101" s="1"/>
  <c r="J94" i="2"/>
  <c r="H105" i="50"/>
  <c r="J105" s="1"/>
  <c r="H87"/>
  <c r="J87" s="1"/>
  <c r="O34" i="1"/>
  <c r="I32" i="47" s="1"/>
  <c r="E35" i="44"/>
  <c r="E37" l="1"/>
  <c r="E36"/>
  <c r="J86" i="30"/>
  <c r="J91"/>
  <c r="J98" i="22"/>
  <c r="J100"/>
  <c r="J91"/>
  <c r="J91" i="20"/>
  <c r="J91" i="33"/>
  <c r="J91" i="4"/>
  <c r="J98" i="2"/>
  <c r="J91"/>
  <c r="J100"/>
  <c r="Q34" i="1"/>
  <c r="R34"/>
  <c r="R35" s="1"/>
  <c r="O35"/>
  <c r="Q35" l="1"/>
  <c r="BN34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s="1"/>
  <c r="J71" i="2"/>
  <c r="H72" i="50"/>
  <c r="J72" s="1"/>
  <c r="H66"/>
  <c r="J66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/>
  <c r="J67" i="21"/>
  <c r="J69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/>
  <c r="H68" i="50"/>
  <c r="J68" s="1"/>
  <c r="H70"/>
  <c r="J70" s="1"/>
  <c r="G33" i="1"/>
  <c r="J67" i="22" l="1"/>
  <c r="J69"/>
  <c r="J69" i="2"/>
  <c r="J67"/>
  <c r="G35" i="1"/>
  <c r="K33"/>
  <c r="BK33"/>
  <c r="BM33"/>
  <c r="BL33"/>
  <c r="B34" i="44"/>
  <c r="B37" s="1"/>
  <c r="E31" i="47"/>
  <c r="B36" i="44" l="1"/>
  <c r="BC34"/>
  <c r="J97" i="29"/>
  <c r="J97" i="30"/>
  <c r="J99" i="29"/>
  <c r="J99" i="30"/>
  <c r="J95" i="29"/>
  <c r="J95" i="30"/>
  <c r="J103" i="29"/>
  <c r="J103" i="30"/>
  <c r="J105" i="29"/>
  <c r="J101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s="1"/>
  <c r="H96"/>
  <c r="J96" s="1"/>
  <c r="H106"/>
  <c r="J106" s="1"/>
  <c r="H98"/>
  <c r="J98" s="1"/>
  <c r="H104"/>
  <c r="J104" s="1"/>
  <c r="H100"/>
  <c r="J100" s="1"/>
  <c r="J35" i="1"/>
  <c r="BN33"/>
  <c r="BN35" s="1"/>
  <c r="M31" i="47"/>
  <c r="H35" i="1"/>
  <c r="H37" s="1"/>
  <c r="K35"/>
  <c r="BM35"/>
  <c r="BL35"/>
  <c r="BK35"/>
  <c r="J105" i="30" l="1"/>
  <c r="J95" i="22"/>
  <c r="J101"/>
  <c r="J97"/>
  <c r="J99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/>
  <c r="J68"/>
  <c r="J66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s="1"/>
  <c r="J70" i="2"/>
  <c r="H71" i="50"/>
  <c r="J71" s="1"/>
  <c r="H69"/>
  <c r="J69" s="1"/>
  <c r="H67"/>
  <c r="J67" s="1"/>
  <c r="J68" i="22" l="1"/>
  <c r="J64"/>
  <c r="J66"/>
  <c r="J70"/>
  <c r="J66" i="2"/>
  <c r="J64"/>
  <c r="J68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/>
  <c r="I7" i="9"/>
  <c r="I7" i="20"/>
  <c r="I18" i="19"/>
  <c r="I18" i="16"/>
  <c r="I7" i="8"/>
  <c r="I18" i="7"/>
  <c r="I15" i="19"/>
  <c r="I18" i="12"/>
  <c r="I7" i="24"/>
  <c r="I18" i="14"/>
  <c r="I18" i="21"/>
  <c r="I15"/>
  <c r="I18" i="13"/>
  <c r="I7" i="14"/>
  <c r="I18" i="25"/>
  <c r="I7" i="18"/>
  <c r="I7" i="12"/>
  <c r="I15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/>
  <c r="I15" i="16"/>
  <c r="I7" i="5"/>
  <c r="I7" i="33"/>
  <c r="J27" i="2"/>
  <c r="J30"/>
  <c r="J31"/>
  <c r="J28"/>
  <c r="J29"/>
  <c r="J32"/>
  <c r="J38"/>
  <c r="J37"/>
  <c r="J42"/>
  <c r="J43"/>
  <c r="J45"/>
  <c r="J44"/>
  <c r="J39"/>
  <c r="J41"/>
  <c r="J40"/>
  <c r="J36"/>
  <c r="J47"/>
  <c r="J35"/>
  <c r="J46"/>
  <c r="J50"/>
  <c r="J58"/>
  <c r="J57"/>
  <c r="J56"/>
  <c r="J60"/>
  <c r="J59"/>
  <c r="J53"/>
  <c r="J51"/>
  <c r="J54"/>
  <c r="J52"/>
  <c r="G5" i="44"/>
  <c r="J55" i="2"/>
  <c r="J49"/>
  <c r="G36" i="44" l="1"/>
  <c r="G37"/>
  <c r="BB5"/>
  <c r="F2" i="49"/>
  <c r="J29" i="3"/>
  <c r="J27"/>
  <c r="J28"/>
  <c r="J30"/>
  <c r="J32"/>
  <c r="J31"/>
  <c r="J46"/>
  <c r="J37"/>
  <c r="J45"/>
  <c r="J41"/>
  <c r="J38"/>
  <c r="J47"/>
  <c r="J39"/>
  <c r="J40"/>
  <c r="J36"/>
  <c r="J42"/>
  <c r="J35"/>
  <c r="J44"/>
  <c r="J43"/>
  <c r="J56"/>
  <c r="J49"/>
  <c r="J58"/>
  <c r="J51"/>
  <c r="J52"/>
  <c r="J57"/>
  <c r="J60"/>
  <c r="J59"/>
  <c r="J50"/>
  <c r="J53"/>
  <c r="J55"/>
  <c r="J54"/>
  <c r="G12" i="4"/>
  <c r="H12" s="1"/>
  <c r="G11"/>
  <c r="H11" s="1"/>
  <c r="BB37" i="44" l="1"/>
  <c r="BB36"/>
  <c r="BC5"/>
  <c r="G13" i="4"/>
  <c r="H13" s="1"/>
  <c r="BC37" i="44" l="1"/>
  <c r="BC36"/>
  <c r="I60" i="4"/>
  <c r="I13"/>
  <c r="J7"/>
  <c r="I9" s="1"/>
  <c r="J12"/>
  <c r="J10"/>
  <c r="J8"/>
  <c r="J11"/>
  <c r="J9"/>
  <c r="J13"/>
  <c r="J15"/>
  <c r="I16" s="1"/>
  <c r="J19"/>
  <c r="J18"/>
  <c r="J20"/>
  <c r="I20" s="1"/>
  <c r="J22"/>
  <c r="J24"/>
  <c r="J23"/>
  <c r="J28"/>
  <c r="J27"/>
  <c r="J32"/>
  <c r="J29"/>
  <c r="J30"/>
  <c r="J31"/>
  <c r="J43"/>
  <c r="J45"/>
  <c r="J47"/>
  <c r="J41"/>
  <c r="J39"/>
  <c r="J37"/>
  <c r="J35"/>
  <c r="J42"/>
  <c r="J44"/>
  <c r="J38"/>
  <c r="J36"/>
  <c r="J46"/>
  <c r="J40"/>
  <c r="J58"/>
  <c r="J56"/>
  <c r="J52"/>
  <c r="J60"/>
  <c r="J57"/>
  <c r="J49"/>
  <c r="J55"/>
  <c r="J54"/>
  <c r="J51"/>
  <c r="J59"/>
  <c r="J53"/>
  <c r="J50"/>
  <c r="G12" i="5"/>
  <c r="H12" s="1"/>
  <c r="G11"/>
  <c r="G13" l="1"/>
  <c r="H13" s="1"/>
  <c r="H11"/>
  <c r="J7"/>
  <c r="I9" s="1"/>
  <c r="J8"/>
  <c r="J12"/>
  <c r="J9"/>
  <c r="J10"/>
  <c r="J15"/>
  <c r="I16" s="1"/>
  <c r="J19"/>
  <c r="J20"/>
  <c r="I20" s="1"/>
  <c r="J18"/>
  <c r="J24"/>
  <c r="J23"/>
  <c r="J22"/>
  <c r="J27"/>
  <c r="J31"/>
  <c r="J32"/>
  <c r="J30"/>
  <c r="J28"/>
  <c r="J29"/>
  <c r="J36"/>
  <c r="J46"/>
  <c r="J44"/>
  <c r="J37"/>
  <c r="J43"/>
  <c r="J41"/>
  <c r="J47"/>
  <c r="J42"/>
  <c r="J39"/>
  <c r="J38"/>
  <c r="J35"/>
  <c r="J40"/>
  <c r="J45"/>
  <c r="J59"/>
  <c r="J55"/>
  <c r="J56"/>
  <c r="J50"/>
  <c r="J49"/>
  <c r="J54"/>
  <c r="J57"/>
  <c r="J52"/>
  <c r="J53"/>
  <c r="J60"/>
  <c r="J58"/>
  <c r="J51"/>
  <c r="G11" i="9"/>
  <c r="G11" i="21"/>
  <c r="G11" i="33"/>
  <c r="G11" i="27"/>
  <c r="G12" i="10"/>
  <c r="G12" i="16"/>
  <c r="G1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s="1"/>
  <c r="G11" i="20"/>
  <c r="G12" i="15"/>
  <c r="G11" i="22"/>
  <c r="G12" i="40"/>
  <c r="G11" i="7"/>
  <c r="G12" i="9"/>
  <c r="G12" i="14"/>
  <c r="G12" i="7"/>
  <c r="G13" i="20" l="1"/>
  <c r="G13" i="22"/>
  <c r="I60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/>
  <c r="I13"/>
  <c r="I60"/>
  <c r="G13" i="31"/>
  <c r="G13" i="23"/>
  <c r="I60" s="1"/>
  <c r="G13" i="17"/>
  <c r="I60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/>
  <c r="I13" i="17"/>
  <c r="I60" i="10"/>
  <c r="I13"/>
  <c r="I60" i="30"/>
  <c r="I13"/>
  <c r="I13" i="7"/>
  <c r="I60"/>
  <c r="I60" i="14"/>
  <c r="I13"/>
  <c r="I60" i="27"/>
  <c r="I13"/>
  <c r="I13" i="28"/>
  <c r="I60"/>
  <c r="I13" i="19"/>
  <c r="I60"/>
  <c r="I13" i="16"/>
  <c r="I60"/>
  <c r="I60" i="43"/>
  <c r="I13"/>
  <c r="I13" i="13"/>
  <c r="I60"/>
  <c r="I60" i="20"/>
  <c r="I13"/>
  <c r="I13" i="25"/>
  <c r="I60"/>
  <c r="I60" i="21"/>
  <c r="I13"/>
  <c r="I60" i="15"/>
  <c r="I13"/>
  <c r="I60" i="8"/>
  <c r="I13"/>
  <c r="I13" i="11"/>
  <c r="I60"/>
  <c r="I60" i="12"/>
  <c r="I13"/>
  <c r="I60" i="33"/>
  <c r="I13"/>
  <c r="I14" i="50"/>
  <c r="I61"/>
  <c r="I13" i="40"/>
  <c r="I60"/>
  <c r="I13" i="9"/>
  <c r="I60"/>
  <c r="I13" i="29"/>
  <c r="I60"/>
  <c r="I13" i="18"/>
  <c r="I60"/>
  <c r="I13" i="24"/>
  <c r="I60"/>
  <c r="J7" i="33"/>
  <c r="I9" s="1"/>
  <c r="J9"/>
  <c r="J8"/>
  <c r="J12"/>
  <c r="J13"/>
  <c r="J11"/>
  <c r="J10"/>
  <c r="J15"/>
  <c r="I16" s="1"/>
  <c r="J18"/>
  <c r="J19"/>
  <c r="J20"/>
  <c r="I20" s="1"/>
  <c r="J24"/>
  <c r="J22"/>
  <c r="J23"/>
  <c r="J29"/>
  <c r="J31"/>
  <c r="J30"/>
  <c r="J28"/>
  <c r="J27"/>
  <c r="J32"/>
  <c r="J43"/>
  <c r="J39"/>
  <c r="J42"/>
  <c r="J45"/>
  <c r="J46"/>
  <c r="J37"/>
  <c r="J36"/>
  <c r="J35"/>
  <c r="J40"/>
  <c r="J38"/>
  <c r="J47"/>
  <c r="J41"/>
  <c r="J44"/>
  <c r="J50"/>
  <c r="J57"/>
  <c r="J58"/>
  <c r="J54"/>
  <c r="J56"/>
  <c r="J55"/>
  <c r="J59"/>
  <c r="J53"/>
  <c r="J49"/>
  <c r="J51"/>
  <c r="J60"/>
  <c r="J52"/>
  <c r="J7" i="7"/>
  <c r="I9" s="1"/>
  <c r="J10"/>
  <c r="J9"/>
  <c r="J12"/>
  <c r="J8"/>
  <c r="J11"/>
  <c r="J15"/>
  <c r="I16" s="1"/>
  <c r="J18"/>
  <c r="J19"/>
  <c r="J20"/>
  <c r="I20" s="1"/>
  <c r="J24"/>
  <c r="J22"/>
  <c r="J23"/>
  <c r="J30"/>
  <c r="J32"/>
  <c r="J27"/>
  <c r="J28"/>
  <c r="J31"/>
  <c r="J29"/>
  <c r="J37"/>
  <c r="J46"/>
  <c r="J47"/>
  <c r="J38"/>
  <c r="J44"/>
  <c r="J42"/>
  <c r="J35"/>
  <c r="J45"/>
  <c r="J41"/>
  <c r="J40"/>
  <c r="J36"/>
  <c r="J39"/>
  <c r="J43"/>
  <c r="J52"/>
  <c r="J58"/>
  <c r="J60"/>
  <c r="J57"/>
  <c r="J53"/>
  <c r="J49"/>
  <c r="J55"/>
  <c r="J56"/>
  <c r="J59"/>
  <c r="J54"/>
  <c r="J50"/>
  <c r="J51"/>
  <c r="J7" i="8"/>
  <c r="I9" s="1"/>
  <c r="J12"/>
  <c r="J9"/>
  <c r="J11"/>
  <c r="J10"/>
  <c r="J8"/>
  <c r="J15"/>
  <c r="I16" s="1"/>
  <c r="J19"/>
  <c r="J18"/>
  <c r="J20"/>
  <c r="I20" s="1"/>
  <c r="J22"/>
  <c r="J24"/>
  <c r="J23"/>
  <c r="J27"/>
  <c r="J30"/>
  <c r="J32"/>
  <c r="J29"/>
  <c r="J28"/>
  <c r="J31"/>
  <c r="J38"/>
  <c r="J36"/>
  <c r="J41"/>
  <c r="J35"/>
  <c r="J42"/>
  <c r="J37"/>
  <c r="J44"/>
  <c r="J46"/>
  <c r="J39"/>
  <c r="J40"/>
  <c r="J47"/>
  <c r="J45"/>
  <c r="J43"/>
  <c r="J52"/>
  <c r="J57"/>
  <c r="J60"/>
  <c r="J50"/>
  <c r="J55"/>
  <c r="J58"/>
  <c r="J51"/>
  <c r="J59"/>
  <c r="J53"/>
  <c r="J49"/>
  <c r="J56"/>
  <c r="J54"/>
  <c r="J7" i="9"/>
  <c r="I9" s="1"/>
  <c r="J8"/>
  <c r="J10"/>
  <c r="J12"/>
  <c r="J9"/>
  <c r="J11"/>
  <c r="J15"/>
  <c r="I16" s="1"/>
  <c r="J18"/>
  <c r="J19"/>
  <c r="J20"/>
  <c r="I20" s="1"/>
  <c r="J22"/>
  <c r="J24"/>
  <c r="J23"/>
  <c r="J29"/>
  <c r="J31"/>
  <c r="J30"/>
  <c r="J28"/>
  <c r="J32"/>
  <c r="J27"/>
  <c r="J40"/>
  <c r="J39"/>
  <c r="J36"/>
  <c r="J37"/>
  <c r="J42"/>
  <c r="J44"/>
  <c r="J46"/>
  <c r="J41"/>
  <c r="J47"/>
  <c r="J43"/>
  <c r="J38"/>
  <c r="J35"/>
  <c r="J45"/>
  <c r="J54"/>
  <c r="J59"/>
  <c r="J49"/>
  <c r="J57"/>
  <c r="J50"/>
  <c r="J53"/>
  <c r="J51"/>
  <c r="J55"/>
  <c r="J58"/>
  <c r="J52"/>
  <c r="J60"/>
  <c r="J56"/>
  <c r="J7" i="10"/>
  <c r="I9" s="1"/>
  <c r="J12"/>
  <c r="J8"/>
  <c r="J9"/>
  <c r="J11"/>
  <c r="J10"/>
  <c r="J15"/>
  <c r="I16" s="1"/>
  <c r="J19"/>
  <c r="J18"/>
  <c r="J20"/>
  <c r="I20" s="1"/>
  <c r="J24"/>
  <c r="J22"/>
  <c r="J23"/>
  <c r="J27"/>
  <c r="J31"/>
  <c r="J29"/>
  <c r="J28"/>
  <c r="J30"/>
  <c r="J32"/>
  <c r="J45"/>
  <c r="J37"/>
  <c r="J42"/>
  <c r="J36"/>
  <c r="J43"/>
  <c r="J38"/>
  <c r="J40"/>
  <c r="J39"/>
  <c r="J35"/>
  <c r="J47"/>
  <c r="J41"/>
  <c r="J44"/>
  <c r="J46"/>
  <c r="J55"/>
  <c r="J60"/>
  <c r="J57"/>
  <c r="J56"/>
  <c r="J50"/>
  <c r="J52"/>
  <c r="J51"/>
  <c r="J53"/>
  <c r="J58"/>
  <c r="J59"/>
  <c r="J49"/>
  <c r="J54"/>
  <c r="J7" i="11"/>
  <c r="I9" s="1"/>
  <c r="J12"/>
  <c r="J9"/>
  <c r="J11"/>
  <c r="J10"/>
  <c r="J8"/>
  <c r="J15"/>
  <c r="I16" s="1"/>
  <c r="J19"/>
  <c r="J20"/>
  <c r="I20" s="1"/>
  <c r="J18"/>
  <c r="J23"/>
  <c r="J24"/>
  <c r="J22"/>
  <c r="J29"/>
  <c r="J27"/>
  <c r="J31"/>
  <c r="J32"/>
  <c r="J30"/>
  <c r="J28"/>
  <c r="J45"/>
  <c r="J38"/>
  <c r="J43"/>
  <c r="J37"/>
  <c r="J35"/>
  <c r="J39"/>
  <c r="J36"/>
  <c r="J40"/>
  <c r="J41"/>
  <c r="J46"/>
  <c r="J47"/>
  <c r="J44"/>
  <c r="J42"/>
  <c r="J60"/>
  <c r="J53"/>
  <c r="J56"/>
  <c r="J52"/>
  <c r="J59"/>
  <c r="J58"/>
  <c r="J50"/>
  <c r="J49"/>
  <c r="J55"/>
  <c r="J54"/>
  <c r="J57"/>
  <c r="J51"/>
  <c r="J7" i="12"/>
  <c r="I9" s="1"/>
  <c r="J10"/>
  <c r="J12"/>
  <c r="J11"/>
  <c r="J9"/>
  <c r="J15"/>
  <c r="I16" s="1"/>
  <c r="J19"/>
  <c r="J18"/>
  <c r="J20"/>
  <c r="I20" s="1"/>
  <c r="J22"/>
  <c r="J24"/>
  <c r="J23"/>
  <c r="J28"/>
  <c r="J30"/>
  <c r="J32"/>
  <c r="J29"/>
  <c r="J27"/>
  <c r="J31"/>
  <c r="J45"/>
  <c r="J38"/>
  <c r="J42"/>
  <c r="J44"/>
  <c r="J35"/>
  <c r="J43"/>
  <c r="J40"/>
  <c r="J41"/>
  <c r="J46"/>
  <c r="J36"/>
  <c r="J37"/>
  <c r="J47"/>
  <c r="J39"/>
  <c r="J56"/>
  <c r="J49"/>
  <c r="J59"/>
  <c r="J54"/>
  <c r="J50"/>
  <c r="J51"/>
  <c r="J55"/>
  <c r="J58"/>
  <c r="J53"/>
  <c r="J57"/>
  <c r="J60"/>
  <c r="J52"/>
  <c r="J7" i="13"/>
  <c r="I9" s="1"/>
  <c r="J12"/>
  <c r="J11"/>
  <c r="J9"/>
  <c r="J10"/>
  <c r="J15"/>
  <c r="I16" s="1"/>
  <c r="J20"/>
  <c r="I20" s="1"/>
  <c r="J19"/>
  <c r="J18"/>
  <c r="J23"/>
  <c r="J24"/>
  <c r="J22"/>
  <c r="J30"/>
  <c r="J29"/>
  <c r="J31"/>
  <c r="J32"/>
  <c r="J27"/>
  <c r="J28"/>
  <c r="J44"/>
  <c r="J38"/>
  <c r="J42"/>
  <c r="J37"/>
  <c r="J45"/>
  <c r="J46"/>
  <c r="J40"/>
  <c r="J43"/>
  <c r="J36"/>
  <c r="J41"/>
  <c r="J47"/>
  <c r="J39"/>
  <c r="J35"/>
  <c r="J60"/>
  <c r="J54"/>
  <c r="J53"/>
  <c r="J56"/>
  <c r="J50"/>
  <c r="J49"/>
  <c r="J55"/>
  <c r="J59"/>
  <c r="J52"/>
  <c r="J57"/>
  <c r="J51"/>
  <c r="J58"/>
  <c r="J7" i="14"/>
  <c r="I9" s="1"/>
  <c r="J10"/>
  <c r="J12"/>
  <c r="J11"/>
  <c r="J9"/>
  <c r="J15"/>
  <c r="I16" s="1"/>
  <c r="J19"/>
  <c r="J18"/>
  <c r="J20"/>
  <c r="I20" s="1"/>
  <c r="J24"/>
  <c r="J22"/>
  <c r="J23"/>
  <c r="J30"/>
  <c r="J27"/>
  <c r="J29"/>
  <c r="J32"/>
  <c r="J28"/>
  <c r="J31"/>
  <c r="J44"/>
  <c r="J36"/>
  <c r="J42"/>
  <c r="J39"/>
  <c r="J37"/>
  <c r="J43"/>
  <c r="J41"/>
  <c r="J35"/>
  <c r="J45"/>
  <c r="J40"/>
  <c r="J47"/>
  <c r="J38"/>
  <c r="J46"/>
  <c r="J54"/>
  <c r="J55"/>
  <c r="J60"/>
  <c r="J53"/>
  <c r="J51"/>
  <c r="J56"/>
  <c r="J57"/>
  <c r="J58"/>
  <c r="J49"/>
  <c r="J59"/>
  <c r="J52"/>
  <c r="J50"/>
  <c r="J7" i="15"/>
  <c r="I9" s="1"/>
  <c r="J12"/>
  <c r="J11"/>
  <c r="J9"/>
  <c r="J10"/>
  <c r="J15"/>
  <c r="I16" s="1"/>
  <c r="J19"/>
  <c r="J20"/>
  <c r="I20" s="1"/>
  <c r="J18"/>
  <c r="J22"/>
  <c r="J23"/>
  <c r="J24"/>
  <c r="J32"/>
  <c r="J29"/>
  <c r="J31"/>
  <c r="J27"/>
  <c r="J30"/>
  <c r="J28"/>
  <c r="J46"/>
  <c r="J47"/>
  <c r="J36"/>
  <c r="J35"/>
  <c r="J45"/>
  <c r="J41"/>
  <c r="J38"/>
  <c r="J44"/>
  <c r="J37"/>
  <c r="J39"/>
  <c r="J40"/>
  <c r="J43"/>
  <c r="J42"/>
  <c r="J55"/>
  <c r="J53"/>
  <c r="J58"/>
  <c r="J60"/>
  <c r="J59"/>
  <c r="J57"/>
  <c r="J54"/>
  <c r="J49"/>
  <c r="J50"/>
  <c r="J56"/>
  <c r="J51"/>
  <c r="J52"/>
  <c r="J7" i="16"/>
  <c r="I9" s="1"/>
  <c r="J12"/>
  <c r="J10"/>
  <c r="J9"/>
  <c r="J11"/>
  <c r="J15"/>
  <c r="I16" s="1"/>
  <c r="J18"/>
  <c r="J19"/>
  <c r="J20"/>
  <c r="I20" s="1"/>
  <c r="J23"/>
  <c r="J24"/>
  <c r="J22"/>
  <c r="J27"/>
  <c r="J31"/>
  <c r="J29"/>
  <c r="J30"/>
  <c r="J32"/>
  <c r="J28"/>
  <c r="J40"/>
  <c r="J46"/>
  <c r="J41"/>
  <c r="J44"/>
  <c r="J36"/>
  <c r="J42"/>
  <c r="J39"/>
  <c r="J35"/>
  <c r="J47"/>
  <c r="J45"/>
  <c r="J43"/>
  <c r="J37"/>
  <c r="J38"/>
  <c r="J58"/>
  <c r="J51"/>
  <c r="J59"/>
  <c r="J54"/>
  <c r="J57"/>
  <c r="J56"/>
  <c r="J50"/>
  <c r="J52"/>
  <c r="J49"/>
  <c r="J55"/>
  <c r="J60"/>
  <c r="J53"/>
  <c r="J7" i="17"/>
  <c r="I9" s="1"/>
  <c r="J10"/>
  <c r="J9"/>
  <c r="J11"/>
  <c r="J12"/>
  <c r="J15"/>
  <c r="I16" s="1"/>
  <c r="J18"/>
  <c r="J19"/>
  <c r="J20"/>
  <c r="I20" s="1"/>
  <c r="J24"/>
  <c r="J22"/>
  <c r="J23"/>
  <c r="J32"/>
  <c r="J30"/>
  <c r="J28"/>
  <c r="J27"/>
  <c r="J29"/>
  <c r="J31"/>
  <c r="J36"/>
  <c r="J43"/>
  <c r="J37"/>
  <c r="J41"/>
  <c r="J46"/>
  <c r="J38"/>
  <c r="J42"/>
  <c r="J40"/>
  <c r="J47"/>
  <c r="J45"/>
  <c r="J39"/>
  <c r="J35"/>
  <c r="J44"/>
  <c r="J52"/>
  <c r="J60"/>
  <c r="J56"/>
  <c r="J57"/>
  <c r="J55"/>
  <c r="J53"/>
  <c r="J54"/>
  <c r="J50"/>
  <c r="J58"/>
  <c r="J49"/>
  <c r="J59"/>
  <c r="J51"/>
  <c r="J7" i="18"/>
  <c r="I9" s="1"/>
  <c r="J9"/>
  <c r="J12"/>
  <c r="J11"/>
  <c r="J10"/>
  <c r="J15"/>
  <c r="I16" s="1"/>
  <c r="J20"/>
  <c r="I20" s="1"/>
  <c r="J19"/>
  <c r="J18"/>
  <c r="J24"/>
  <c r="J22"/>
  <c r="J23"/>
  <c r="J29"/>
  <c r="J27"/>
  <c r="J30"/>
  <c r="J32"/>
  <c r="J31"/>
  <c r="J28"/>
  <c r="J40"/>
  <c r="J38"/>
  <c r="J45"/>
  <c r="J47"/>
  <c r="J35"/>
  <c r="J46"/>
  <c r="J39"/>
  <c r="J44"/>
  <c r="J43"/>
  <c r="J36"/>
  <c r="J41"/>
  <c r="J37"/>
  <c r="J42"/>
  <c r="J57"/>
  <c r="J60"/>
  <c r="J54"/>
  <c r="J53"/>
  <c r="J55"/>
  <c r="J49"/>
  <c r="J58"/>
  <c r="J51"/>
  <c r="J52"/>
  <c r="J59"/>
  <c r="J50"/>
  <c r="J56"/>
  <c r="J7" i="19"/>
  <c r="I9" s="1"/>
  <c r="J10"/>
  <c r="J12"/>
  <c r="J9"/>
  <c r="J15"/>
  <c r="I16" s="1"/>
  <c r="J19"/>
  <c r="J18"/>
  <c r="J20"/>
  <c r="I20" s="1"/>
  <c r="J24"/>
  <c r="J23"/>
  <c r="J22"/>
  <c r="J30"/>
  <c r="J27"/>
  <c r="J31"/>
  <c r="J29"/>
  <c r="J28"/>
  <c r="J32"/>
  <c r="J35"/>
  <c r="J40"/>
  <c r="J46"/>
  <c r="J38"/>
  <c r="J45"/>
  <c r="J43"/>
  <c r="J37"/>
  <c r="J36"/>
  <c r="J41"/>
  <c r="J39"/>
  <c r="J42"/>
  <c r="J44"/>
  <c r="J47"/>
  <c r="J52"/>
  <c r="J59"/>
  <c r="J53"/>
  <c r="J51"/>
  <c r="J49"/>
  <c r="J57"/>
  <c r="J56"/>
  <c r="J50"/>
  <c r="J60"/>
  <c r="J58"/>
  <c r="J55"/>
  <c r="J54"/>
  <c r="J7" i="20"/>
  <c r="I9" s="1"/>
  <c r="J9"/>
  <c r="J10"/>
  <c r="J12"/>
  <c r="J15"/>
  <c r="I16" s="1"/>
  <c r="J18"/>
  <c r="J19"/>
  <c r="J20"/>
  <c r="I20" s="1"/>
  <c r="J22"/>
  <c r="J23"/>
  <c r="J24"/>
  <c r="J32"/>
  <c r="J27"/>
  <c r="J28"/>
  <c r="J29"/>
  <c r="J30"/>
  <c r="J31"/>
  <c r="J41"/>
  <c r="J39"/>
  <c r="J36"/>
  <c r="J42"/>
  <c r="J47"/>
  <c r="J43"/>
  <c r="J46"/>
  <c r="J35"/>
  <c r="J38"/>
  <c r="J37"/>
  <c r="J40"/>
  <c r="J44"/>
  <c r="J45"/>
  <c r="J57"/>
  <c r="J58"/>
  <c r="J54"/>
  <c r="J53"/>
  <c r="J49"/>
  <c r="J51"/>
  <c r="J60"/>
  <c r="J52"/>
  <c r="J55"/>
  <c r="J56"/>
  <c r="J59"/>
  <c r="J50"/>
  <c r="J7" i="21"/>
  <c r="I9" s="1"/>
  <c r="J12"/>
  <c r="J10"/>
  <c r="J9"/>
  <c r="J15"/>
  <c r="I16" s="1"/>
  <c r="J19"/>
  <c r="J18"/>
  <c r="J20"/>
  <c r="I20" s="1"/>
  <c r="J23"/>
  <c r="J22"/>
  <c r="J24"/>
  <c r="J31"/>
  <c r="J28"/>
  <c r="J29"/>
  <c r="J27"/>
  <c r="J32"/>
  <c r="J30"/>
  <c r="J44"/>
  <c r="J45"/>
  <c r="J35"/>
  <c r="J37"/>
  <c r="J41"/>
  <c r="J47"/>
  <c r="J46"/>
  <c r="J42"/>
  <c r="J39"/>
  <c r="J38"/>
  <c r="J40"/>
  <c r="J43"/>
  <c r="J36"/>
  <c r="J58"/>
  <c r="J56"/>
  <c r="J53"/>
  <c r="J52"/>
  <c r="J54"/>
  <c r="J59"/>
  <c r="J49"/>
  <c r="J50"/>
  <c r="J51"/>
  <c r="J60"/>
  <c r="J57"/>
  <c r="J55"/>
  <c r="J7" i="22"/>
  <c r="I9" s="1"/>
  <c r="J10"/>
  <c r="J12"/>
  <c r="J9"/>
  <c r="J15"/>
  <c r="I16" s="1"/>
  <c r="J18"/>
  <c r="J19"/>
  <c r="J20"/>
  <c r="I20" s="1"/>
  <c r="J24"/>
  <c r="J23"/>
  <c r="J22"/>
  <c r="J28"/>
  <c r="J30"/>
  <c r="J32"/>
  <c r="J29"/>
  <c r="J31"/>
  <c r="J27"/>
  <c r="J35"/>
  <c r="J36"/>
  <c r="J37"/>
  <c r="J47"/>
  <c r="J38"/>
  <c r="J45"/>
  <c r="J40"/>
  <c r="J39"/>
  <c r="J46"/>
  <c r="J41"/>
  <c r="J44"/>
  <c r="J42"/>
  <c r="J43"/>
  <c r="J50"/>
  <c r="J59"/>
  <c r="J49"/>
  <c r="J54"/>
  <c r="J52"/>
  <c r="J57"/>
  <c r="J55"/>
  <c r="J53"/>
  <c r="J58"/>
  <c r="J51"/>
  <c r="J56"/>
  <c r="J60"/>
  <c r="J7" i="23"/>
  <c r="I9" s="1"/>
  <c r="J9"/>
  <c r="J10"/>
  <c r="J12"/>
  <c r="J15"/>
  <c r="I16" s="1"/>
  <c r="J19"/>
  <c r="J18"/>
  <c r="J20"/>
  <c r="I20" s="1"/>
  <c r="J24"/>
  <c r="J22"/>
  <c r="J23"/>
  <c r="J29"/>
  <c r="J31"/>
  <c r="J30"/>
  <c r="J28"/>
  <c r="J27"/>
  <c r="J32"/>
  <c r="J38"/>
  <c r="J46"/>
  <c r="J47"/>
  <c r="J35"/>
  <c r="J41"/>
  <c r="J39"/>
  <c r="J36"/>
  <c r="J40"/>
  <c r="J43"/>
  <c r="J37"/>
  <c r="J45"/>
  <c r="J42"/>
  <c r="J44"/>
  <c r="J57"/>
  <c r="J60"/>
  <c r="J49"/>
  <c r="J50"/>
  <c r="J54"/>
  <c r="J55"/>
  <c r="J58"/>
  <c r="J51"/>
  <c r="J56"/>
  <c r="J53"/>
  <c r="J59"/>
  <c r="J52"/>
  <c r="J7" i="24"/>
  <c r="I9" s="1"/>
  <c r="J9"/>
  <c r="J12"/>
  <c r="J10"/>
  <c r="J15"/>
  <c r="I16" s="1"/>
  <c r="J19"/>
  <c r="J18"/>
  <c r="J20"/>
  <c r="I20" s="1"/>
  <c r="J23"/>
  <c r="J24"/>
  <c r="J22"/>
  <c r="J31"/>
  <c r="J30"/>
  <c r="J27"/>
  <c r="J28"/>
  <c r="J32"/>
  <c r="J29"/>
  <c r="J46"/>
  <c r="J43"/>
  <c r="J47"/>
  <c r="J44"/>
  <c r="J38"/>
  <c r="J40"/>
  <c r="J37"/>
  <c r="J42"/>
  <c r="J45"/>
  <c r="J36"/>
  <c r="J35"/>
  <c r="J39"/>
  <c r="J41"/>
  <c r="J52"/>
  <c r="J59"/>
  <c r="J50"/>
  <c r="J49"/>
  <c r="J55"/>
  <c r="J51"/>
  <c r="J54"/>
  <c r="J57"/>
  <c r="J56"/>
  <c r="J58"/>
  <c r="J53"/>
  <c r="J60"/>
  <c r="J7" i="25"/>
  <c r="I9" s="1"/>
  <c r="J9"/>
  <c r="J12"/>
  <c r="J10"/>
  <c r="J15"/>
  <c r="I16" s="1"/>
  <c r="J19"/>
  <c r="J20"/>
  <c r="I20" s="1"/>
  <c r="J18"/>
  <c r="J22"/>
  <c r="J24"/>
  <c r="J23"/>
  <c r="J27"/>
  <c r="J29"/>
  <c r="J32"/>
  <c r="J28"/>
  <c r="J31"/>
  <c r="J30"/>
  <c r="J35"/>
  <c r="J45"/>
  <c r="J39"/>
  <c r="J46"/>
  <c r="J36"/>
  <c r="J43"/>
  <c r="J47"/>
  <c r="J40"/>
  <c r="J38"/>
  <c r="J42"/>
  <c r="J44"/>
  <c r="J37"/>
  <c r="J41"/>
  <c r="J56"/>
  <c r="J54"/>
  <c r="J58"/>
  <c r="J53"/>
  <c r="J60"/>
  <c r="J59"/>
  <c r="J50"/>
  <c r="J51"/>
  <c r="J49"/>
  <c r="J55"/>
  <c r="J52"/>
  <c r="J57"/>
  <c r="J7" i="40"/>
  <c r="I9" s="1"/>
  <c r="J10"/>
  <c r="J9"/>
  <c r="J12"/>
  <c r="J15"/>
  <c r="I16" s="1"/>
  <c r="J19"/>
  <c r="J18"/>
  <c r="J20"/>
  <c r="I20" s="1"/>
  <c r="J24"/>
  <c r="J23"/>
  <c r="J22"/>
  <c r="J38"/>
  <c r="J47"/>
  <c r="J35"/>
  <c r="J37"/>
  <c r="J44"/>
  <c r="J41"/>
  <c r="J42"/>
  <c r="J46"/>
  <c r="J40"/>
  <c r="J43"/>
  <c r="J45"/>
  <c r="J36"/>
  <c r="J39"/>
  <c r="J32"/>
  <c r="J27"/>
  <c r="J29"/>
  <c r="J28"/>
  <c r="J31"/>
  <c r="J30"/>
  <c r="J49"/>
  <c r="J55"/>
  <c r="J54"/>
  <c r="J59"/>
  <c r="J57"/>
  <c r="J60"/>
  <c r="J53"/>
  <c r="J50"/>
  <c r="J51"/>
  <c r="J52"/>
  <c r="J56"/>
  <c r="J58"/>
  <c r="J7" i="27"/>
  <c r="I9" s="1"/>
  <c r="J9"/>
  <c r="J12"/>
  <c r="J10"/>
  <c r="J15"/>
  <c r="I16" s="1"/>
  <c r="J20"/>
  <c r="I20" s="1"/>
  <c r="J18"/>
  <c r="J19"/>
  <c r="J23"/>
  <c r="J22"/>
  <c r="J24"/>
  <c r="J30"/>
  <c r="J28"/>
  <c r="J31"/>
  <c r="J29"/>
  <c r="J27"/>
  <c r="J32"/>
  <c r="J37"/>
  <c r="J35"/>
  <c r="J41"/>
  <c r="J45"/>
  <c r="J47"/>
  <c r="J40"/>
  <c r="J36"/>
  <c r="J43"/>
  <c r="J46"/>
  <c r="J38"/>
  <c r="J42"/>
  <c r="J39"/>
  <c r="J44"/>
  <c r="J56"/>
  <c r="J57"/>
  <c r="J51"/>
  <c r="J49"/>
  <c r="J55"/>
  <c r="J59"/>
  <c r="J53"/>
  <c r="J52"/>
  <c r="J54"/>
  <c r="J50"/>
  <c r="J58"/>
  <c r="J60"/>
  <c r="J7" i="28"/>
  <c r="I9" s="1"/>
  <c r="J12"/>
  <c r="J9"/>
  <c r="J10"/>
  <c r="J15"/>
  <c r="I16" s="1"/>
  <c r="J18"/>
  <c r="J19"/>
  <c r="J20"/>
  <c r="I20" s="1"/>
  <c r="J22"/>
  <c r="J24"/>
  <c r="J23"/>
  <c r="J32"/>
  <c r="J30"/>
  <c r="J28"/>
  <c r="J29"/>
  <c r="J27"/>
  <c r="J31"/>
  <c r="J37"/>
  <c r="J40"/>
  <c r="J46"/>
  <c r="J47"/>
  <c r="J44"/>
  <c r="J36"/>
  <c r="J41"/>
  <c r="J39"/>
  <c r="J38"/>
  <c r="J42"/>
  <c r="J35"/>
  <c r="J43"/>
  <c r="J45"/>
  <c r="J59"/>
  <c r="J54"/>
  <c r="J57"/>
  <c r="J53"/>
  <c r="J60"/>
  <c r="J56"/>
  <c r="J52"/>
  <c r="J51"/>
  <c r="J55"/>
  <c r="J58"/>
  <c r="J50"/>
  <c r="J49"/>
  <c r="J7" i="29"/>
  <c r="I9" s="1"/>
  <c r="J12"/>
  <c r="J10"/>
  <c r="J9"/>
  <c r="J15"/>
  <c r="I16" s="1"/>
  <c r="J19"/>
  <c r="J20"/>
  <c r="I20" s="1"/>
  <c r="J18"/>
  <c r="J24"/>
  <c r="J22"/>
  <c r="J23"/>
  <c r="J31"/>
  <c r="J28"/>
  <c r="J30"/>
  <c r="J27"/>
  <c r="J29"/>
  <c r="J32"/>
  <c r="J44"/>
  <c r="J46"/>
  <c r="J36"/>
  <c r="J38"/>
  <c r="J47"/>
  <c r="J35"/>
  <c r="J39"/>
  <c r="J42"/>
  <c r="J41"/>
  <c r="J37"/>
  <c r="J43"/>
  <c r="J45"/>
  <c r="J40"/>
  <c r="J60"/>
  <c r="J49"/>
  <c r="J58"/>
  <c r="J50"/>
  <c r="J52"/>
  <c r="J53"/>
  <c r="J55"/>
  <c r="J59"/>
  <c r="J56"/>
  <c r="J54"/>
  <c r="J57"/>
  <c r="J51"/>
  <c r="J7" i="30"/>
  <c r="I9" s="1"/>
  <c r="J12"/>
  <c r="J10"/>
  <c r="J9"/>
  <c r="J15"/>
  <c r="I16" s="1"/>
  <c r="J20"/>
  <c r="I20" s="1"/>
  <c r="J19"/>
  <c r="J18"/>
  <c r="J24"/>
  <c r="J23"/>
  <c r="J22"/>
  <c r="J31"/>
  <c r="J29"/>
  <c r="J28"/>
  <c r="J27"/>
  <c r="J30"/>
  <c r="J32"/>
  <c r="J44"/>
  <c r="J39"/>
  <c r="J43"/>
  <c r="J36"/>
  <c r="J41"/>
  <c r="J47"/>
  <c r="J40"/>
  <c r="J38"/>
  <c r="J35"/>
  <c r="J42"/>
  <c r="J45"/>
  <c r="J37"/>
  <c r="J46"/>
  <c r="J49"/>
  <c r="J54"/>
  <c r="J56"/>
  <c r="J59"/>
  <c r="J50"/>
  <c r="J53"/>
  <c r="J60"/>
  <c r="J58"/>
  <c r="J57"/>
  <c r="J52"/>
  <c r="J55"/>
  <c r="J51"/>
  <c r="J7" i="43"/>
  <c r="I9" s="1"/>
  <c r="H7" i="31"/>
  <c r="J7" s="1"/>
  <c r="I9" s="1"/>
  <c r="H7" i="50"/>
  <c r="J7" s="1"/>
  <c r="J12" i="43"/>
  <c r="J9"/>
  <c r="J10"/>
  <c r="J9" i="31"/>
  <c r="J10"/>
  <c r="J12"/>
  <c r="J15" i="43"/>
  <c r="I16" s="1"/>
  <c r="J15" i="31"/>
  <c r="I16" s="1"/>
  <c r="H16" i="50"/>
  <c r="J16" s="1"/>
  <c r="I17" s="1"/>
  <c r="J18" i="31"/>
  <c r="J18" i="43"/>
  <c r="J20"/>
  <c r="I20" s="1"/>
  <c r="H19" i="50"/>
  <c r="J19" s="1"/>
  <c r="J19" i="43"/>
  <c r="H20" i="50"/>
  <c r="J20" s="1"/>
  <c r="J19" i="31"/>
  <c r="H21" i="50"/>
  <c r="J21" s="1"/>
  <c r="I21" s="1"/>
  <c r="J20" i="31"/>
  <c r="I20" s="1"/>
  <c r="J22" i="43"/>
  <c r="J24"/>
  <c r="H24" i="50"/>
  <c r="J24" s="1"/>
  <c r="J23" i="43"/>
  <c r="J24" i="31"/>
  <c r="H23" i="50"/>
  <c r="J23" s="1"/>
  <c r="J22" i="31"/>
  <c r="J23"/>
  <c r="H25" i="50"/>
  <c r="J25" s="1"/>
  <c r="J27" i="43"/>
  <c r="J28"/>
  <c r="H29" i="50"/>
  <c r="J29" s="1"/>
  <c r="J32" i="31"/>
  <c r="J32" i="43"/>
  <c r="J31"/>
  <c r="J30"/>
  <c r="J30" i="31"/>
  <c r="J31"/>
  <c r="H31" i="50"/>
  <c r="J31" s="1"/>
  <c r="J29" i="43"/>
  <c r="J29" i="31"/>
  <c r="H30" i="50"/>
  <c r="J30" s="1"/>
  <c r="H28"/>
  <c r="J28" s="1"/>
  <c r="J27" i="31"/>
  <c r="H33" i="50"/>
  <c r="J33" s="1"/>
  <c r="H32"/>
  <c r="J32" s="1"/>
  <c r="J28" i="31"/>
  <c r="J42" i="43"/>
  <c r="J41"/>
  <c r="J35"/>
  <c r="J40"/>
  <c r="J43"/>
  <c r="J41" i="31"/>
  <c r="J44" i="43"/>
  <c r="H41" i="50"/>
  <c r="J41" s="1"/>
  <c r="J45" i="43"/>
  <c r="J39"/>
  <c r="J36"/>
  <c r="J38"/>
  <c r="J47" i="31"/>
  <c r="J47" i="43"/>
  <c r="H37" i="50"/>
  <c r="J37" s="1"/>
  <c r="J42" i="31"/>
  <c r="J45"/>
  <c r="H36" i="50"/>
  <c r="J36" s="1"/>
  <c r="H46"/>
  <c r="J46" s="1"/>
  <c r="J46" i="31"/>
  <c r="J46" i="43"/>
  <c r="H39" i="50"/>
  <c r="J39" s="1"/>
  <c r="H38"/>
  <c r="J38" s="1"/>
  <c r="J37" i="43"/>
  <c r="J37" i="31"/>
  <c r="H47" i="50"/>
  <c r="J47" s="1"/>
  <c r="J40" i="31"/>
  <c r="J39"/>
  <c r="H48" i="50"/>
  <c r="J48" s="1"/>
  <c r="H44"/>
  <c r="J44" s="1"/>
  <c r="J35" i="31"/>
  <c r="J44"/>
  <c r="H42" i="50"/>
  <c r="J42" s="1"/>
  <c r="J43" i="31"/>
  <c r="H40" i="50"/>
  <c r="J40" s="1"/>
  <c r="J38" i="31"/>
  <c r="H43" i="50"/>
  <c r="J43" s="1"/>
  <c r="H45"/>
  <c r="J45" s="1"/>
  <c r="J36" i="31"/>
  <c r="J58" i="43"/>
  <c r="J59"/>
  <c r="H60" i="50"/>
  <c r="J60" s="1"/>
  <c r="J49" i="43"/>
  <c r="J54"/>
  <c r="H50" i="50"/>
  <c r="J50" s="1"/>
  <c r="H59"/>
  <c r="J59" s="1"/>
  <c r="J50" i="43"/>
  <c r="J49" i="31"/>
  <c r="H57" i="50"/>
  <c r="J57" s="1"/>
  <c r="J56" i="43"/>
  <c r="J60"/>
  <c r="H51" i="50"/>
  <c r="J51" s="1"/>
  <c r="J53" i="43"/>
  <c r="H54" i="50"/>
  <c r="J54" s="1"/>
  <c r="J55" i="43"/>
  <c r="J57"/>
  <c r="H55" i="50"/>
  <c r="J55" s="1"/>
  <c r="J56" i="31"/>
  <c r="J54"/>
  <c r="J52" i="43"/>
  <c r="J53" i="31"/>
  <c r="H56" i="50"/>
  <c r="J56" s="1"/>
  <c r="J51" i="31"/>
  <c r="J51" i="43"/>
  <c r="H53" i="50"/>
  <c r="J53" s="1"/>
  <c r="J50" i="31"/>
  <c r="J52"/>
  <c r="H61" i="50"/>
  <c r="J61" s="1"/>
  <c r="H58"/>
  <c r="J58" s="1"/>
  <c r="J57" i="31"/>
  <c r="H52" i="50"/>
  <c r="J52" s="1"/>
  <c r="J58" i="31"/>
  <c r="J55"/>
  <c r="J60"/>
  <c r="J59"/>
  <c r="J8" i="12"/>
  <c r="H8" i="13"/>
  <c r="H8" i="14" s="1"/>
  <c r="J11" i="19" l="1"/>
  <c r="H11" i="21"/>
  <c r="J11" i="20"/>
  <c r="H13" i="28"/>
  <c r="H13" i="29" s="1"/>
  <c r="H13" i="30" s="1"/>
  <c r="H13" i="43" s="1"/>
  <c r="J1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s="1"/>
  <c r="H14" i="50"/>
  <c r="J14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s="1"/>
  <c r="J11" i="43"/>
  <c r="J8" i="25"/>
  <c r="H8" i="40"/>
  <c r="H8" i="27" l="1"/>
  <c r="J8" i="40"/>
  <c r="H8" i="28" l="1"/>
  <c r="J8" i="27"/>
  <c r="J8" i="28" l="1"/>
  <c r="H8" i="29"/>
  <c r="J8" l="1"/>
  <c r="H8" i="30"/>
  <c r="J8" l="1"/>
  <c r="H8" i="43"/>
  <c r="J8" l="1"/>
  <c r="H8" i="50"/>
  <c r="J8" s="1"/>
  <c r="H8" i="31"/>
  <c r="J8" s="1"/>
</calcChain>
</file>

<file path=xl/sharedStrings.xml><?xml version="1.0" encoding="utf-8"?>
<sst xmlns="http://schemas.openxmlformats.org/spreadsheetml/2006/main" count="10761" uniqueCount="371">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</sst>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b/>
      <i/>
      <sz val="16"/>
      <name val="Arial Unicode MS"/>
      <family val="2"/>
    </font>
    <font>
      <sz val="18"/>
      <color indexed="8"/>
      <name val="Arial Unicode MS"/>
      <family val="2"/>
    </font>
    <font>
      <sz val="18"/>
      <name val="Arial Unicode MS"/>
      <family val="2"/>
    </font>
    <font>
      <i/>
      <sz val="2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82" fillId="0" borderId="0" applyFont="0" applyFill="0" applyBorder="0" applyAlignment="0" applyProtection="0"/>
  </cellStyleXfs>
  <cellXfs count="958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9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16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8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9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2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6" fontId="77" fillId="2" borderId="0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6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6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38" fillId="10" borderId="1" xfId="5" applyNumberFormat="1" applyFont="1" applyFill="1" applyBorder="1" applyAlignment="1">
      <alignment horizontal="center" vertic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165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7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43" fontId="70" fillId="8" borderId="1" xfId="19" applyFont="1" applyFill="1" applyBorder="1" applyAlignment="1">
      <alignment horizontal="center"/>
    </xf>
    <xf numFmtId="43" fontId="74" fillId="2" borderId="1" xfId="19" applyFont="1" applyFill="1" applyBorder="1" applyAlignment="1">
      <alignment horizontal="center"/>
    </xf>
    <xf numFmtId="43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85" fillId="9" borderId="1" xfId="3" applyFont="1" applyFill="1" applyBorder="1" applyAlignment="1">
      <alignment horizontal="center" vertical="center"/>
    </xf>
    <xf numFmtId="2" fontId="85" fillId="9" borderId="1" xfId="3" applyNumberFormat="1" applyFont="1" applyFill="1" applyBorder="1" applyAlignment="1">
      <alignment horizontal="center"/>
    </xf>
    <xf numFmtId="2" fontId="70" fillId="2" borderId="1" xfId="4" applyNumberFormat="1" applyFont="1" applyFill="1" applyBorder="1" applyAlignment="1">
      <alignment horizontal="center"/>
    </xf>
    <xf numFmtId="2" fontId="70" fillId="0" borderId="1" xfId="4" applyNumberFormat="1" applyFont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86" fillId="17" borderId="3" xfId="3" applyFont="1" applyFill="1" applyBorder="1" applyAlignment="1">
      <alignment horizontal="center" vertical="justify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38" fontId="70" fillId="9" borderId="1" xfId="3" applyNumberFormat="1" applyFont="1" applyFill="1" applyBorder="1" applyAlignment="1">
      <alignment horizontal="center"/>
    </xf>
    <xf numFmtId="38" fontId="70" fillId="12" borderId="1" xfId="3" applyNumberFormat="1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/>
    </xf>
    <xf numFmtId="1" fontId="48" fillId="12" borderId="1" xfId="3" applyNumberFormat="1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/>
    </xf>
    <xf numFmtId="1" fontId="48" fillId="8" borderId="1" xfId="3" applyNumberFormat="1" applyFont="1" applyFill="1" applyBorder="1" applyAlignment="1">
      <alignment horizontal="center"/>
    </xf>
    <xf numFmtId="1" fontId="48" fillId="8" borderId="1" xfId="5" applyNumberFormat="1" applyFont="1" applyFill="1" applyBorder="1" applyAlignment="1" applyProtection="1">
      <alignment horizontal="center"/>
    </xf>
    <xf numFmtId="43" fontId="74" fillId="8" borderId="1" xfId="19" applyFont="1" applyFill="1" applyBorder="1" applyAlignment="1" applyProtection="1">
      <alignment horizontal="center"/>
    </xf>
    <xf numFmtId="1" fontId="48" fillId="17" borderId="1" xfId="3" applyNumberFormat="1" applyFont="1" applyFill="1" applyBorder="1" applyAlignment="1">
      <alignment horizontal="center"/>
    </xf>
    <xf numFmtId="38" fontId="70" fillId="2" borderId="1" xfId="5" applyNumberFormat="1" applyFont="1" applyFill="1" applyBorder="1" applyAlignment="1">
      <alignment horizontal="center"/>
    </xf>
    <xf numFmtId="38" fontId="48" fillId="2" borderId="1" xfId="3" applyNumberFormat="1" applyFont="1" applyFill="1" applyBorder="1" applyAlignment="1">
      <alignment horizontal="center"/>
    </xf>
    <xf numFmtId="38" fontId="48" fillId="0" borderId="0" xfId="0" applyNumberFormat="1" applyFont="1" applyBorder="1" applyAlignment="1">
      <alignment horizontal="center"/>
    </xf>
    <xf numFmtId="38" fontId="48" fillId="17" borderId="1" xfId="3" applyNumberFormat="1" applyFont="1" applyFill="1" applyBorder="1" applyAlignment="1">
      <alignment horizontal="center"/>
    </xf>
    <xf numFmtId="38" fontId="70" fillId="12" borderId="1" xfId="5" applyNumberFormat="1" applyFont="1" applyFill="1" applyBorder="1" applyAlignment="1">
      <alignment horizontal="center"/>
    </xf>
    <xf numFmtId="38" fontId="70" fillId="0" borderId="1" xfId="5" applyNumberFormat="1" applyFont="1" applyFill="1" applyBorder="1" applyAlignment="1">
      <alignment horizontal="center"/>
    </xf>
    <xf numFmtId="38" fontId="48" fillId="12" borderId="1" xfId="3" applyNumberFormat="1" applyFont="1" applyFill="1" applyBorder="1" applyAlignment="1">
      <alignment horizontal="center"/>
    </xf>
    <xf numFmtId="38" fontId="70" fillId="8" borderId="1" xfId="3" applyNumberFormat="1" applyFont="1" applyFill="1" applyBorder="1" applyAlignment="1">
      <alignment horizontal="center"/>
    </xf>
    <xf numFmtId="38" fontId="70" fillId="8" borderId="1" xfId="6" applyNumberFormat="1" applyFont="1" applyFill="1" applyBorder="1" applyAlignment="1">
      <alignment horizontal="center"/>
    </xf>
    <xf numFmtId="38" fontId="70" fillId="8" borderId="6" xfId="6" applyNumberFormat="1" applyFont="1" applyFill="1" applyBorder="1" applyAlignment="1">
      <alignment horizontal="center"/>
    </xf>
    <xf numFmtId="38" fontId="48" fillId="0" borderId="0" xfId="0" applyNumberFormat="1" applyFont="1" applyAlignment="1">
      <alignment horizontal="center"/>
    </xf>
    <xf numFmtId="38" fontId="48" fillId="0" borderId="1" xfId="0" applyNumberFormat="1" applyFont="1" applyBorder="1" applyAlignment="1">
      <alignment horizontal="center"/>
    </xf>
    <xf numFmtId="38" fontId="70" fillId="0" borderId="0" xfId="5" applyNumberFormat="1" applyFont="1" applyFill="1" applyBorder="1" applyAlignment="1">
      <alignment horizontal="center"/>
    </xf>
    <xf numFmtId="38" fontId="70" fillId="0" borderId="1" xfId="3" applyNumberFormat="1" applyFont="1" applyFill="1" applyBorder="1" applyAlignment="1">
      <alignment horizontal="center"/>
    </xf>
    <xf numFmtId="38" fontId="48" fillId="12" borderId="1" xfId="0" applyNumberFormat="1" applyFont="1" applyFill="1" applyBorder="1" applyAlignment="1">
      <alignment horizontal="center"/>
    </xf>
    <xf numFmtId="166" fontId="83" fillId="2" borderId="0" xfId="3" applyNumberFormat="1" applyFont="1" applyFill="1" applyBorder="1" applyAlignment="1">
      <alignment horizontal="center" vertical="center" wrapText="1" shrinkToFi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4" fillId="0" borderId="2" xfId="4" applyFont="1" applyBorder="1" applyAlignment="1">
      <alignment horizontal="left"/>
    </xf>
    <xf numFmtId="0" fontId="84" fillId="0" borderId="3" xfId="4" applyFont="1" applyBorder="1" applyAlignment="1">
      <alignment horizontal="left"/>
    </xf>
    <xf numFmtId="0" fontId="84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6"/>
    <cellStyle name="Normal 4 2" xfId="18"/>
    <cellStyle name="Normal 5" xfId="17"/>
    <cellStyle name="Percent 2" xfId="6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24.05000000000291</c:v>
                </c:pt>
                <c:pt idx="1">
                  <c:v>24</c:v>
                </c:pt>
                <c:pt idx="2">
                  <c:v>24</c:v>
                </c:pt>
                <c:pt idx="3">
                  <c:v>25.440000000002328</c:v>
                </c:pt>
                <c:pt idx="4">
                  <c:v>24.059999999997672</c:v>
                </c:pt>
                <c:pt idx="5">
                  <c:v>24.430000000000291</c:v>
                </c:pt>
                <c:pt idx="6">
                  <c:v>25.370000000002619</c:v>
                </c:pt>
                <c:pt idx="7">
                  <c:v>-721.16000000000304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23.689999999995052</c:v>
                </c:pt>
                <c:pt idx="31">
                  <c:v>1.5799999999999272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46541952"/>
        <c:axId val="146551936"/>
      </c:lineChart>
      <c:catAx>
        <c:axId val="1465419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51936"/>
        <c:crosses val="autoZero"/>
        <c:auto val="1"/>
        <c:lblAlgn val="ctr"/>
        <c:lblOffset val="100"/>
      </c:catAx>
      <c:valAx>
        <c:axId val="14655193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4654195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11.539999999989959</c:v>
                </c:pt>
                <c:pt idx="1">
                  <c:v>9.3899999999994179</c:v>
                </c:pt>
                <c:pt idx="2">
                  <c:v>12.120000000006257</c:v>
                </c:pt>
                <c:pt idx="3">
                  <c:v>9.9900000000016007</c:v>
                </c:pt>
                <c:pt idx="4">
                  <c:v>13.520000000004075</c:v>
                </c:pt>
                <c:pt idx="5">
                  <c:v>14.339999999989232</c:v>
                </c:pt>
                <c:pt idx="6">
                  <c:v>13.950000000000728</c:v>
                </c:pt>
                <c:pt idx="7">
                  <c:v>-358.71999999999753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46580992"/>
        <c:axId val="146582528"/>
      </c:lineChart>
      <c:catAx>
        <c:axId val="14658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82528"/>
        <c:crosses val="autoZero"/>
        <c:auto val="1"/>
        <c:lblAlgn val="ctr"/>
        <c:lblOffset val="100"/>
      </c:catAx>
      <c:valAx>
        <c:axId val="14658252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5809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501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235</c:v>
                </c:pt>
                <c:pt idx="1">
                  <c:v>183</c:v>
                </c:pt>
                <c:pt idx="2">
                  <c:v>233</c:v>
                </c:pt>
                <c:pt idx="3">
                  <c:v>261</c:v>
                </c:pt>
                <c:pt idx="4">
                  <c:v>294</c:v>
                </c:pt>
                <c:pt idx="5">
                  <c:v>275</c:v>
                </c:pt>
                <c:pt idx="6">
                  <c:v>242</c:v>
                </c:pt>
                <c:pt idx="7">
                  <c:v>-1444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146</c:v>
                </c:pt>
                <c:pt idx="31">
                  <c:v>4130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6219776"/>
        <c:axId val="166221312"/>
      </c:lineChart>
      <c:catAx>
        <c:axId val="1662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1312"/>
        <c:crosses val="autoZero"/>
        <c:auto val="1"/>
        <c:lblAlgn val="ctr"/>
        <c:lblOffset val="100"/>
      </c:catAx>
      <c:valAx>
        <c:axId val="16622131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1977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918.55799999996088</c:v>
                </c:pt>
                <c:pt idx="1">
                  <c:v>983.14500000001863</c:v>
                </c:pt>
                <c:pt idx="2">
                  <c:v>1012.3479999999981</c:v>
                </c:pt>
                <c:pt idx="3">
                  <c:v>997.95200000004843</c:v>
                </c:pt>
                <c:pt idx="4">
                  <c:v>1047.8699999998789</c:v>
                </c:pt>
                <c:pt idx="5">
                  <c:v>1049.5</c:v>
                </c:pt>
                <c:pt idx="6">
                  <c:v>1030.6800000001676</c:v>
                </c:pt>
                <c:pt idx="7">
                  <c:v>-27984.820000000065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915.76699999999255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5569408"/>
        <c:axId val="95570944"/>
      </c:lineChart>
      <c:catAx>
        <c:axId val="9556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0944"/>
        <c:crosses val="autoZero"/>
        <c:auto val="1"/>
        <c:lblAlgn val="ctr"/>
        <c:lblOffset val="100"/>
      </c:catAx>
      <c:valAx>
        <c:axId val="9557094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6940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53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2609.5899999999965</c:v>
                </c:pt>
                <c:pt idx="1">
                  <c:v>2628.2200000000012</c:v>
                </c:pt>
                <c:pt idx="2">
                  <c:v>2641.8299999999945</c:v>
                </c:pt>
                <c:pt idx="3">
                  <c:v>2666.7100000000064</c:v>
                </c:pt>
                <c:pt idx="4">
                  <c:v>2758.0200000000041</c:v>
                </c:pt>
                <c:pt idx="5">
                  <c:v>2776.5599999999977</c:v>
                </c:pt>
                <c:pt idx="6">
                  <c:v>3066.4900000000052</c:v>
                </c:pt>
                <c:pt idx="7">
                  <c:v>354440.29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432760.99999999994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5691136"/>
        <c:axId val="95692672"/>
      </c:lineChart>
      <c:catAx>
        <c:axId val="956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2672"/>
        <c:crosses val="autoZero"/>
        <c:auto val="1"/>
        <c:lblAlgn val="ctr"/>
        <c:lblOffset val="100"/>
      </c:catAx>
      <c:valAx>
        <c:axId val="9569267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113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1246.0200000000004</c:v>
                </c:pt>
                <c:pt idx="1">
                  <c:v>1388.3099999999977</c:v>
                </c:pt>
                <c:pt idx="2">
                  <c:v>1437.6200000000026</c:v>
                </c:pt>
                <c:pt idx="3">
                  <c:v>1328.9400000000023</c:v>
                </c:pt>
                <c:pt idx="4">
                  <c:v>1448.8099999999977</c:v>
                </c:pt>
                <c:pt idx="5">
                  <c:v>1654.0999999999985</c:v>
                </c:pt>
                <c:pt idx="6">
                  <c:v>1666.4199999999983</c:v>
                </c:pt>
                <c:pt idx="7">
                  <c:v>125866.8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168042.00000000003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5734016"/>
        <c:axId val="95744000"/>
      </c:lineChart>
      <c:catAx>
        <c:axId val="9573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4000"/>
        <c:crosses val="autoZero"/>
        <c:auto val="1"/>
        <c:lblAlgn val="ctr"/>
        <c:lblOffset val="100"/>
      </c:catAx>
      <c:valAx>
        <c:axId val="9574400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40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1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1.3719935483870969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5645696"/>
        <c:axId val="95647232"/>
      </c:lineChart>
      <c:catAx>
        <c:axId val="9564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7232"/>
        <c:crosses val="autoZero"/>
        <c:auto val="1"/>
        <c:lblAlgn val="ctr"/>
        <c:lblOffset val="100"/>
      </c:catAx>
      <c:valAx>
        <c:axId val="95647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56456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17458.849999999977</c:v>
                </c:pt>
                <c:pt idx="1">
                  <c:v>18338</c:v>
                </c:pt>
                <c:pt idx="2">
                  <c:v>19219</c:v>
                </c:pt>
                <c:pt idx="3">
                  <c:v>18612.709999999963</c:v>
                </c:pt>
                <c:pt idx="4">
                  <c:v>20830.960000000079</c:v>
                </c:pt>
                <c:pt idx="5">
                  <c:v>20612</c:v>
                </c:pt>
                <c:pt idx="6">
                  <c:v>21704.239999999991</c:v>
                </c:pt>
                <c:pt idx="7">
                  <c:v>-543397.91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17830.150000000023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5823744"/>
        <c:axId val="95825280"/>
      </c:lineChart>
      <c:catAx>
        <c:axId val="9582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5280"/>
        <c:crosses val="autoZero"/>
        <c:auto val="1"/>
        <c:lblAlgn val="ctr"/>
        <c:lblOffset val="100"/>
      </c:catAx>
      <c:valAx>
        <c:axId val="9582528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374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11.769999999999982</c:v>
                </c:pt>
                <c:pt idx="1">
                  <c:v>11.460000000000036</c:v>
                </c:pt>
                <c:pt idx="2">
                  <c:v>11</c:v>
                </c:pt>
                <c:pt idx="3">
                  <c:v>11.4699999999998</c:v>
                </c:pt>
                <c:pt idx="4">
                  <c:v>10.619999999999891</c:v>
                </c:pt>
                <c:pt idx="5">
                  <c:v>11.170000000000073</c:v>
                </c:pt>
                <c:pt idx="6">
                  <c:v>11.099999999999909</c:v>
                </c:pt>
                <c:pt idx="7">
                  <c:v>-326.42999999999938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5874048"/>
        <c:axId val="95752960"/>
      </c:lineChart>
      <c:catAx>
        <c:axId val="958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2960"/>
        <c:crosses val="autoZero"/>
        <c:auto val="1"/>
        <c:lblAlgn val="ctr"/>
        <c:lblOffset val="100"/>
      </c:catAx>
      <c:valAx>
        <c:axId val="9575296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40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50014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297.04000000003725</c:v>
                </c:pt>
                <c:pt idx="1">
                  <c:v>284.73999999999069</c:v>
                </c:pt>
                <c:pt idx="2">
                  <c:v>303.77999999991152</c:v>
                </c:pt>
                <c:pt idx="3">
                  <c:v>301.6600000000326</c:v>
                </c:pt>
                <c:pt idx="4">
                  <c:v>-9119.4799999999814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500.70199999999932</c:v>
                </c:pt>
                <c:pt idx="1">
                  <c:v>567.1299999998937</c:v>
                </c:pt>
                <c:pt idx="2">
                  <c:v>589.11000000008971</c:v>
                </c:pt>
                <c:pt idx="3">
                  <c:v>573.73000000014326</c:v>
                </c:pt>
                <c:pt idx="4">
                  <c:v>-14921.340000000091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150.01000000000931</c:v>
                </c:pt>
                <c:pt idx="1">
                  <c:v>134</c:v>
                </c:pt>
                <c:pt idx="2">
                  <c:v>109.80999999999767</c:v>
                </c:pt>
                <c:pt idx="3">
                  <c:v>98.489999999990687</c:v>
                </c:pt>
                <c:pt idx="4">
                  <c:v>-2868.3999999999942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96229632"/>
        <c:axId val="96243712"/>
      </c:lineChart>
      <c:catAx>
        <c:axId val="9622963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6243712"/>
        <c:crosses val="autoZero"/>
        <c:auto val="1"/>
        <c:lblAlgn val="ctr"/>
        <c:lblOffset val="100"/>
      </c:catAx>
      <c:valAx>
        <c:axId val="96243712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62296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93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0.23097846076142278</c:v>
                </c:pt>
                <c:pt idx="1">
                  <c:v>3469.6100000000006</c:v>
                </c:pt>
                <c:pt idx="2">
                  <c:v>3484.5699999999943</c:v>
                </c:pt>
                <c:pt idx="3">
                  <c:v>2816.8300000000017</c:v>
                </c:pt>
                <c:pt idx="4">
                  <c:v>0</c:v>
                </c:pt>
                <c:pt idx="5">
                  <c:v>3426.9199999999983</c:v>
                </c:pt>
                <c:pt idx="6">
                  <c:v>4458.75</c:v>
                </c:pt>
                <c:pt idx="7">
                  <c:v>-97121.84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00538240"/>
        <c:axId val="10053977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00549760"/>
        <c:axId val="100551296"/>
      </c:lineChart>
      <c:catAx>
        <c:axId val="10053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39776"/>
        <c:crosses val="autoZero"/>
        <c:auto val="1"/>
        <c:lblAlgn val="ctr"/>
        <c:lblOffset val="100"/>
      </c:catAx>
      <c:valAx>
        <c:axId val="10053977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38240"/>
        <c:crosses val="autoZero"/>
        <c:crossBetween val="between"/>
        <c:minorUnit val="50"/>
      </c:valAx>
      <c:catAx>
        <c:axId val="100549760"/>
        <c:scaling>
          <c:orientation val="minMax"/>
        </c:scaling>
        <c:delete val="1"/>
        <c:axPos val="b"/>
        <c:tickLblPos val="none"/>
        <c:crossAx val="100551296"/>
        <c:crosses val="autoZero"/>
        <c:auto val="1"/>
        <c:lblAlgn val="ctr"/>
        <c:lblOffset val="100"/>
      </c:catAx>
      <c:valAx>
        <c:axId val="1005512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4976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99621504"/>
        <c:axId val="99635584"/>
      </c:lineChart>
      <c:catAx>
        <c:axId val="996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5584"/>
        <c:crosses val="autoZero"/>
        <c:auto val="1"/>
        <c:lblAlgn val="ctr"/>
        <c:lblOffset val="100"/>
      </c:catAx>
      <c:valAx>
        <c:axId val="9963558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15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99668736"/>
        <c:axId val="99670272"/>
      </c:lineChart>
      <c:catAx>
        <c:axId val="9966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0272"/>
        <c:crosses val="autoZero"/>
        <c:auto val="1"/>
        <c:lblAlgn val="ctr"/>
        <c:lblOffset val="100"/>
      </c:catAx>
      <c:valAx>
        <c:axId val="9967027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687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30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158</c:v>
                </c:pt>
                <c:pt idx="1">
                  <c:v>170</c:v>
                </c:pt>
                <c:pt idx="2">
                  <c:v>186</c:v>
                </c:pt>
                <c:pt idx="3">
                  <c:v>182</c:v>
                </c:pt>
                <c:pt idx="4">
                  <c:v>0</c:v>
                </c:pt>
                <c:pt idx="5">
                  <c:v>243</c:v>
                </c:pt>
                <c:pt idx="6">
                  <c:v>228</c:v>
                </c:pt>
                <c:pt idx="7">
                  <c:v>-5270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00872192"/>
        <c:axId val="10087372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00875264"/>
        <c:axId val="100881152"/>
      </c:lineChart>
      <c:catAx>
        <c:axId val="10087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73728"/>
        <c:crosses val="autoZero"/>
        <c:auto val="1"/>
        <c:lblAlgn val="ctr"/>
        <c:lblOffset val="100"/>
      </c:catAx>
      <c:valAx>
        <c:axId val="10087372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72192"/>
        <c:crosses val="autoZero"/>
        <c:crossBetween val="between"/>
      </c:valAx>
      <c:catAx>
        <c:axId val="100875264"/>
        <c:scaling>
          <c:orientation val="minMax"/>
        </c:scaling>
        <c:delete val="1"/>
        <c:axPos val="b"/>
        <c:tickLblPos val="none"/>
        <c:crossAx val="100881152"/>
        <c:crosses val="autoZero"/>
        <c:auto val="1"/>
        <c:lblAlgn val="ctr"/>
        <c:lblOffset val="100"/>
      </c:catAx>
      <c:valAx>
        <c:axId val="10088115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75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48</c:v>
                </c:pt>
                <c:pt idx="1">
                  <c:v>49</c:v>
                </c:pt>
                <c:pt idx="2">
                  <c:v>35</c:v>
                </c:pt>
                <c:pt idx="3">
                  <c:v>37</c:v>
                </c:pt>
                <c:pt idx="4">
                  <c:v>0</c:v>
                </c:pt>
                <c:pt idx="5">
                  <c:v>67</c:v>
                </c:pt>
                <c:pt idx="6">
                  <c:v>58</c:v>
                </c:pt>
                <c:pt idx="7">
                  <c:v>-1436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0</c:v>
                </c:pt>
                <c:pt idx="5">
                  <c:v>9</c:v>
                </c:pt>
                <c:pt idx="6">
                  <c:v>23</c:v>
                </c:pt>
                <c:pt idx="7">
                  <c:v>-268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00924416"/>
        <c:axId val="10034048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726007</c:v>
                </c:pt>
                <c:pt idx="1">
                  <c:v>744345</c:v>
                </c:pt>
                <c:pt idx="2">
                  <c:v>782176.71</c:v>
                </c:pt>
                <c:pt idx="3">
                  <c:v>763564</c:v>
                </c:pt>
                <c:pt idx="4">
                  <c:v>0</c:v>
                </c:pt>
                <c:pt idx="5">
                  <c:v>823619.67</c:v>
                </c:pt>
                <c:pt idx="6">
                  <c:v>845323.91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00342016"/>
        <c:axId val="100352000"/>
      </c:lineChart>
      <c:catAx>
        <c:axId val="10092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40480"/>
        <c:crosses val="autoZero"/>
        <c:auto val="1"/>
        <c:lblAlgn val="ctr"/>
        <c:lblOffset val="100"/>
      </c:catAx>
      <c:valAx>
        <c:axId val="10034048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24416"/>
        <c:crosses val="autoZero"/>
        <c:crossBetween val="between"/>
        <c:majorUnit val="2"/>
      </c:valAx>
      <c:catAx>
        <c:axId val="100342016"/>
        <c:scaling>
          <c:orientation val="minMax"/>
        </c:scaling>
        <c:delete val="1"/>
        <c:axPos val="b"/>
        <c:tickLblPos val="none"/>
        <c:crossAx val="100352000"/>
        <c:crosses val="autoZero"/>
        <c:auto val="1"/>
        <c:lblAlgn val="ctr"/>
        <c:lblOffset val="100"/>
      </c:catAx>
      <c:valAx>
        <c:axId val="10035200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4201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D22" sqref="D2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17458.849999999977</v>
      </c>
      <c r="F2" s="276">
        <v>9</v>
      </c>
      <c r="G2" s="276">
        <f>(IF('Daily HLP'!L4&gt;0,'Daily HLP'!L4,0))</f>
        <v>918.55799999996088</v>
      </c>
      <c r="H2" s="276">
        <v>75</v>
      </c>
      <c r="I2" s="276">
        <f>(IF('Daily HLP'!O4&gt;0,'Daily HLP'!O4,0))</f>
        <v>235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18338</v>
      </c>
      <c r="F3" s="276">
        <v>9</v>
      </c>
      <c r="G3" s="276">
        <f>(IF('Daily HLP'!L5&gt;0,'Daily HLP'!L5,0))</f>
        <v>983.14500000001863</v>
      </c>
      <c r="H3" s="276">
        <v>75</v>
      </c>
      <c r="I3" s="276">
        <f>(IF('Daily HLP'!O5&gt;0,'Daily HLP'!O5,0))</f>
        <v>183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19219</v>
      </c>
      <c r="F4" s="276">
        <v>9</v>
      </c>
      <c r="G4" s="276">
        <f>(IF('Daily HLP'!L6&gt;0,'Daily HLP'!L6,0))</f>
        <v>1012.3479999999981</v>
      </c>
      <c r="H4" s="276">
        <v>75</v>
      </c>
      <c r="I4" s="276">
        <f>(IF('Daily HLP'!O6&gt;0,'Daily HLP'!O6,0))</f>
        <v>233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18612.709999999963</v>
      </c>
      <c r="F5" s="276">
        <v>9</v>
      </c>
      <c r="G5" s="276">
        <f>(IF('Daily HLP'!L7&gt;0,'Daily HLP'!L7,0))</f>
        <v>997.95200000004843</v>
      </c>
      <c r="H5" s="276">
        <v>75</v>
      </c>
      <c r="I5" s="276">
        <f>(IF('Daily HLP'!O7&gt;0,'Daily HLP'!O7,0))</f>
        <v>261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20830.960000000079</v>
      </c>
      <c r="F6" s="276">
        <v>9</v>
      </c>
      <c r="G6" s="276">
        <f>(IF('Daily HLP'!L8&gt;0,'Daily HLP'!L8,0))</f>
        <v>1047.8699999998789</v>
      </c>
      <c r="H6" s="276">
        <v>75</v>
      </c>
      <c r="I6" s="276">
        <f>(IF('Daily HLP'!O8&gt;0,'Daily HLP'!O8,0))</f>
        <v>294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20612</v>
      </c>
      <c r="F7" s="276">
        <v>9</v>
      </c>
      <c r="G7" s="276">
        <f>(IF('Daily HLP'!L9&gt;0,'Daily HLP'!L9,0))</f>
        <v>1049.5</v>
      </c>
      <c r="H7" s="276">
        <v>75</v>
      </c>
      <c r="I7" s="276">
        <f>(IF('Daily HLP'!O9&gt;0,'Daily HLP'!O9,0))</f>
        <v>275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21704.239999999991</v>
      </c>
      <c r="F8" s="276">
        <v>9</v>
      </c>
      <c r="G8" s="276">
        <f>(IF('Daily HLP'!L10&gt;0,'Daily HLP'!L10,0))</f>
        <v>1030.6800000001676</v>
      </c>
      <c r="H8" s="276">
        <v>75</v>
      </c>
      <c r="I8" s="276">
        <f>(IF('Daily HLP'!O10&gt;0,'Daily HLP'!O10,0))</f>
        <v>242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0</v>
      </c>
      <c r="F9" s="276">
        <v>9</v>
      </c>
      <c r="G9" s="276">
        <f>(IF('Daily HLP'!L11&gt;0,'Daily HLP'!L11,0))</f>
        <v>0</v>
      </c>
      <c r="H9" s="276">
        <v>75</v>
      </c>
      <c r="I9" s="276">
        <f>(IF('Daily HLP'!O11&gt;0,'Daily HLP'!O11,0))</f>
        <v>0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98</v>
      </c>
      <c r="L20" s="275">
        <f>Occupancy!F20</f>
        <v>304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89</v>
      </c>
      <c r="L21" s="275">
        <f>Occupancy!F21</f>
        <v>304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109</v>
      </c>
      <c r="L22" s="275">
        <f>Occupancy!F22</f>
        <v>338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144</v>
      </c>
      <c r="L23" s="275">
        <f>Occupancy!F23</f>
        <v>462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124</v>
      </c>
      <c r="L24" s="275">
        <f>Occupancy!F24</f>
        <v>825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108</v>
      </c>
      <c r="L25" s="275">
        <f>Occupancy!F25</f>
        <v>358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133</v>
      </c>
      <c r="L26" s="275">
        <f>Occupancy!F26</f>
        <v>384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132</v>
      </c>
      <c r="L27" s="275">
        <f>Occupancy!F27</f>
        <v>323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117</v>
      </c>
      <c r="L28" s="275">
        <f>Occupancy!F28</f>
        <v>327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135</v>
      </c>
      <c r="L29" s="275">
        <f>Occupancy!F29</f>
        <v>389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160</v>
      </c>
      <c r="L30" s="275">
        <f>Occupancy!F30</f>
        <v>445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124</v>
      </c>
      <c r="L31" s="275">
        <f>Occupancy!F31</f>
        <v>450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17830.150000000023</v>
      </c>
      <c r="F32" s="276">
        <v>9</v>
      </c>
      <c r="G32" s="276">
        <f>(IF('Daily HLP'!L34&gt;0,'Daily HLP'!L34,0))</f>
        <v>915.76699999999255</v>
      </c>
      <c r="H32" s="276">
        <v>75</v>
      </c>
      <c r="I32" s="276">
        <f>(IF('Daily HLP'!O34&gt;0,'Daily HLP'!O34,0))</f>
        <v>146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2185.1000000000022</v>
      </c>
      <c r="F2" s="294">
        <f>(IF('Section Load'!G5&gt;0,'Section Load'!G5,0))</f>
        <v>1554.1100000000006</v>
      </c>
      <c r="G2" s="294">
        <f>(IF('Section Load'!H5&gt;0,'Section Load'!H5,0))</f>
        <v>1620.2699999999968</v>
      </c>
      <c r="H2" s="294">
        <f>(IF('Section Load'!I5&gt;0,'Section Load'!I5,0))</f>
        <v>2609.5899999999965</v>
      </c>
      <c r="I2" s="294">
        <f>(IF('Section Load'!J5&gt;0,'Section Load'!J5,0))</f>
        <v>3987.7899999999936</v>
      </c>
      <c r="J2" s="294">
        <f>(IF('Section Load'!K5&gt;0,'Section Load'!K5,0))</f>
        <v>1901.929999999993</v>
      </c>
      <c r="K2" s="294">
        <f>(IF('Section Load'!L5&gt;0,'Section Load'!L5,0))</f>
        <v>938.92000000000553</v>
      </c>
      <c r="L2" s="294">
        <f>(IF('Section Load'!M5&gt;0,'Section Load'!M5,0))</f>
        <v>710.76000000000204</v>
      </c>
      <c r="M2" s="294">
        <f>(IF('Section Load'!N5&gt;0,'Section Load'!N5,0))</f>
        <v>61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165.58999999999651</v>
      </c>
      <c r="Q2" s="294">
        <f>(IF('Section Load'!R5&gt;0,'Section Load'!R5,0))</f>
        <v>73.470000000001164</v>
      </c>
      <c r="R2" s="294">
        <f>(IF('Section Load'!S5&gt;0,'Section Load'!S5,0))</f>
        <v>12.779999999999745</v>
      </c>
      <c r="S2" s="294">
        <f>(IF('Section Load'!T5&gt;0,'Section Load'!T5,0))</f>
        <v>394</v>
      </c>
      <c r="T2" s="294">
        <f>(IF('Section Load'!U5&gt;0,'Section Load'!U5,0))</f>
        <v>196</v>
      </c>
      <c r="U2" s="294">
        <f>(IF('Section Load'!V5&gt;0,'Section Load'!V5,0))</f>
        <v>369.28000000002794</v>
      </c>
      <c r="V2" s="294">
        <f>(IF('Section Load'!W5&gt;0,'Section Load'!W5,0))</f>
        <v>195.04000000003725</v>
      </c>
      <c r="W2" s="294">
        <f>(IF('Section Load'!X5&gt;0,'Section Load'!X5,0))</f>
        <v>29</v>
      </c>
      <c r="X2" s="294">
        <f>(IF('Section Load'!Y5&gt;0,'Section Load'!Y5,0))</f>
        <v>187.13000000000011</v>
      </c>
      <c r="Y2" s="294">
        <f>(IF('Section Load'!Z5&gt;0,'Section Load'!Z5,0))</f>
        <v>226</v>
      </c>
      <c r="Z2" s="294">
        <f>(IF('Section Load'!AA5&gt;0,'Section Load'!AA5,0))</f>
        <v>48.28000000002794</v>
      </c>
      <c r="AA2" s="294">
        <f>(IF('Section Load'!AB5&gt;0,'Section Load'!AB5,0))</f>
        <v>42</v>
      </c>
      <c r="AB2" s="294">
        <f>(IF('Section Load'!AC5&gt;0,'Section Load'!AC5,0))</f>
        <v>0</v>
      </c>
      <c r="AC2" s="294">
        <f>(IF('Section Load'!AD5&gt;0,'Section Load'!AD5,0))</f>
        <v>32.199999999994361</v>
      </c>
      <c r="AD2" s="294">
        <f>(IF('Section Load'!AE5&gt;0,'Section Load'!AE5,0))</f>
        <v>0</v>
      </c>
      <c r="AE2" s="294">
        <f>(IF('Section Load'!AF5&gt;0,'Section Load'!AF5,0))</f>
        <v>21.820000000000164</v>
      </c>
      <c r="AF2" s="294">
        <f>(IF('Section Load'!AG5&gt;0,'Section Load'!AG5,0))</f>
        <v>310.5</v>
      </c>
      <c r="AG2" s="294">
        <f>(IF('Section Load'!AH5&gt;0,'Section Load'!AH5,0))</f>
        <v>441.15000000002328</v>
      </c>
      <c r="AH2" s="294">
        <f>(IF('Section Load'!AI5&gt;0,'Section Load'!AI5,0))</f>
        <v>414.13999999999942</v>
      </c>
      <c r="AI2" s="294">
        <f>(IF('Section Load'!AJ5&gt;0,'Section Load'!AJ5,0))</f>
        <v>720.88000000000466</v>
      </c>
      <c r="AJ2" s="294">
        <f>(IF('Section Load'!AK5&gt;0,'Section Load'!AK5,0))</f>
        <v>206.03000000001339</v>
      </c>
      <c r="AK2" s="294">
        <f>(IF('Section Load'!AL5&gt;0,'Section Load'!AL5,0))</f>
        <v>261.25</v>
      </c>
      <c r="AL2" s="294">
        <f>(IF('Section Load'!AM5&gt;0,'Section Load'!AM5,0))</f>
        <v>492.57000000000698</v>
      </c>
      <c r="AM2" s="295">
        <f>(IF('Water Report'!$D$7&gt;0,'Water Report'!$D$7,0))</f>
        <v>63</v>
      </c>
      <c r="AN2" s="295">
        <f>(IF('Water Report'!$D$8&gt;0,'Water Report'!$D$8,0))</f>
        <v>132</v>
      </c>
      <c r="AO2" s="295">
        <f>(IF('Water Report'!$D$9&gt;0,'Water Report'!$D$9,0))</f>
        <v>71</v>
      </c>
      <c r="AP2" s="295">
        <f>(IF('Water Report'!$D$10&gt;0,'Water Report'!$D$10,0))</f>
        <v>17</v>
      </c>
      <c r="AQ2" s="295">
        <f>(IF('Water Report'!$D$11&gt;0,'Water Report'!$D$11,0))</f>
        <v>14</v>
      </c>
      <c r="AR2" s="295">
        <f>(IF('Water Report'!$D$13&gt;0,'Water Report'!$D$13,0))</f>
        <v>39</v>
      </c>
      <c r="AS2" s="295">
        <f>(IF('Water Report'!$D$14&gt;0,'Water Report'!$D$14,0))</f>
        <v>9</v>
      </c>
      <c r="AT2" s="295">
        <f>(IF('Water Report'!$D$15&gt;0,'Water Report'!$D$15,0))</f>
        <v>8</v>
      </c>
      <c r="AU2" s="295">
        <f>(IF('Water Report'!$D$17&gt;0,'Water Report'!$D$17,0))</f>
        <v>0</v>
      </c>
      <c r="AV2" s="295">
        <f>(IF('Water Report'!$D$18&gt;0,'Water Report'!$D$18,0))</f>
        <v>11</v>
      </c>
      <c r="AW2" s="295">
        <f>(IF('Water Report'!$D$19&gt;0,'Water Report'!$D$19,0))</f>
        <v>10</v>
      </c>
      <c r="AX2" s="301">
        <f>(IF('Water Report'!$D$21&gt;0,'Water Report'!$D$21,0))</f>
        <v>43</v>
      </c>
      <c r="AY2" s="301">
        <f>(IF('Water Report'!$D$22&gt;0,'Water Report'!$D$22,0))</f>
        <v>29</v>
      </c>
      <c r="AZ2" s="301">
        <f>(IF('Water Report'!$D$23&gt;0,'Water Report'!$D$23,0))</f>
        <v>3</v>
      </c>
      <c r="BA2" s="301">
        <f>(IF('Water Report'!$D$14&gt;0,'Water Report'!$D$14,0))</f>
        <v>9</v>
      </c>
      <c r="BB2" s="301">
        <f>(IF('Water Report'!$D$15&gt;0,'Water Report'!$D$15,0))</f>
        <v>8</v>
      </c>
      <c r="BC2" s="301">
        <f>(IF('Water Report'!$D$13&gt;0,'Water Report'!$D$13,0))</f>
        <v>39</v>
      </c>
      <c r="BD2" s="301">
        <f>(IF('Water Report'!$D$24&gt;0,'Water Report'!$D$24,0))</f>
        <v>235</v>
      </c>
      <c r="BE2" s="301">
        <f>(IF('Water Report'!$D$25&gt;0,'Water Report'!$D$25,0))</f>
        <v>119</v>
      </c>
      <c r="BF2" s="301">
        <f>(IF('Water Report'!$D$27&gt;0,'Water Report'!$D$27,0))</f>
        <v>85</v>
      </c>
      <c r="BG2" s="296">
        <f>(IF('Section Load'!AN5&gt;0,'Section Load'!AN5,0))</f>
        <v>918.55799999996088</v>
      </c>
      <c r="BH2" s="296">
        <f>(IF('Section Load'!AO5&gt;0,'Section Load'!AO5,0))</f>
        <v>314.53100000007544</v>
      </c>
      <c r="BI2" s="296">
        <f>(IF('Section Load'!AP5&gt;0,'Section Load'!AP5,0))</f>
        <v>0</v>
      </c>
      <c r="BJ2" s="296">
        <f>(IF('Section Load'!AQ5&gt;0,'Section Load'!AQ5,0))</f>
        <v>91.059999999997672</v>
      </c>
      <c r="BK2" s="296">
        <f>(IF('Section Load'!AR5&gt;0,'Section Load'!AR5,0))</f>
        <v>29.700000000004366</v>
      </c>
      <c r="BL2" s="296">
        <f>(IF('Section Load'!AS5&gt;0,'Section Load'!AS5,0))</f>
        <v>0</v>
      </c>
      <c r="BM2" s="296">
        <f>(IF('Section Load'!AT5&gt;0,'Section Load'!AT5,0))</f>
        <v>483.26699999988341</v>
      </c>
    </row>
    <row r="3" spans="1:6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2435.0399999999972</v>
      </c>
      <c r="F3" s="294">
        <f>(IF('Section Load'!G6&gt;0,'Section Load'!G6,0))</f>
        <v>1547.1000000000058</v>
      </c>
      <c r="G3" s="294">
        <f>(IF('Section Load'!H6&gt;0,'Section Load'!H6,0))</f>
        <v>1758.7900000000009</v>
      </c>
      <c r="H3" s="294">
        <f>(IF('Section Load'!I6&gt;0,'Section Load'!I6,0))</f>
        <v>2628.2200000000012</v>
      </c>
      <c r="I3" s="294">
        <f>(IF('Section Load'!J6&gt;0,'Section Load'!J6,0))</f>
        <v>3469.6100000000006</v>
      </c>
      <c r="J3" s="294">
        <f>(IF('Section Load'!K6&gt;0,'Section Load'!K6,0))</f>
        <v>1997.1600000000035</v>
      </c>
      <c r="K3" s="294">
        <f>(IF('Section Load'!L6&gt;0,'Section Load'!L6,0))</f>
        <v>987.52999999999884</v>
      </c>
      <c r="L3" s="294">
        <f>(IF('Section Load'!M6&gt;0,'Section Load'!M6,0))</f>
        <v>811.5</v>
      </c>
      <c r="M3" s="294">
        <f>(IF('Section Load'!N6&gt;0,'Section Load'!N6,0))</f>
        <v>59</v>
      </c>
      <c r="N3" s="294">
        <f>(IF('Section Load'!O6&gt;0,'Section Load'!O6,0))</f>
        <v>2</v>
      </c>
      <c r="O3" s="294">
        <f>(IF('Section Load'!P6&gt;0,'Section Load'!P6,0))</f>
        <v>10.600000000005821</v>
      </c>
      <c r="P3" s="294">
        <f>(IF('Section Load'!Q6&gt;0,'Section Load'!Q6,0))</f>
        <v>176.63000000000466</v>
      </c>
      <c r="Q3" s="294">
        <f>(IF('Section Load'!R6&gt;0,'Section Load'!R6,0))</f>
        <v>71.670000000001892</v>
      </c>
      <c r="R3" s="294">
        <f>(IF('Section Load'!S6&gt;0,'Section Load'!S6,0))</f>
        <v>13.710000000000036</v>
      </c>
      <c r="S3" s="294">
        <f>(IF('Section Load'!T6&gt;0,'Section Load'!T6,0))</f>
        <v>392</v>
      </c>
      <c r="T3" s="294">
        <f>(IF('Section Load'!U6&gt;0,'Section Load'!U6,0))</f>
        <v>210</v>
      </c>
      <c r="U3" s="294">
        <f>(IF('Section Load'!V6&gt;0,'Section Load'!V6,0))</f>
        <v>396.31999999994878</v>
      </c>
      <c r="V3" s="294">
        <f>(IF('Section Load'!W6&gt;0,'Section Load'!W6,0))</f>
        <v>266.23999999999069</v>
      </c>
      <c r="W3" s="294">
        <f>(IF('Section Load'!X6&gt;0,'Section Load'!X6,0))</f>
        <v>24.690000000000055</v>
      </c>
      <c r="X3" s="294">
        <f>(IF('Section Load'!Y6&gt;0,'Section Load'!Y6,0))</f>
        <v>198.44999999999982</v>
      </c>
      <c r="Y3" s="294">
        <f>(IF('Section Load'!Z6&gt;0,'Section Load'!Z6,0))</f>
        <v>317</v>
      </c>
      <c r="Z3" s="294">
        <f>(IF('Section Load'!AA6&gt;0,'Section Load'!AA6,0))</f>
        <v>52.839999999967404</v>
      </c>
      <c r="AA3" s="294">
        <f>(IF('Section Load'!AB6&gt;0,'Section Load'!AB6,0))</f>
        <v>38.100000000005821</v>
      </c>
      <c r="AB3" s="294">
        <f>(IF('Section Load'!AC6&gt;0,'Section Load'!AC6,0))</f>
        <v>0</v>
      </c>
      <c r="AC3" s="294">
        <f>(IF('Section Load'!AD6&gt;0,'Section Load'!AD6,0))</f>
        <v>36.30000000000291</v>
      </c>
      <c r="AD3" s="294">
        <f>(IF('Section Load'!AE6&gt;0,'Section Load'!AE6,0))</f>
        <v>0</v>
      </c>
      <c r="AE3" s="294">
        <f>(IF('Section Load'!AF6&gt;0,'Section Load'!AF6,0))</f>
        <v>35.460000000000036</v>
      </c>
      <c r="AF3" s="294">
        <f>(IF('Section Load'!AG6&gt;0,'Section Load'!AG6,0))</f>
        <v>318.04000000000815</v>
      </c>
      <c r="AG3" s="294">
        <f>(IF('Section Load'!AH6&gt;0,'Section Load'!AH6,0))</f>
        <v>423.19000000000233</v>
      </c>
      <c r="AH3" s="294">
        <f>(IF('Section Load'!AI6&gt;0,'Section Load'!AI6,0))</f>
        <v>417.20999999999913</v>
      </c>
      <c r="AI3" s="294">
        <f>(IF('Section Load'!AJ6&gt;0,'Section Load'!AJ6,0))</f>
        <v>713.23999999999069</v>
      </c>
      <c r="AJ3" s="294">
        <f>(IF('Section Load'!AK6&gt;0,'Section Load'!AK6,0))</f>
        <v>214.61000000000058</v>
      </c>
      <c r="AK3" s="294">
        <f>(IF('Section Load'!AL6&gt;0,'Section Load'!AL6,0))</f>
        <v>257.38999999998487</v>
      </c>
      <c r="AL3" s="294">
        <f>(IF('Section Load'!AM6&gt;0,'Section Load'!AM6,0))</f>
        <v>568.0399999999936</v>
      </c>
      <c r="AM3" s="295">
        <f>(IF('Water Report'!$E$7&gt;0,'Water Report'!$E$7,0))</f>
        <v>105</v>
      </c>
      <c r="AN3" s="295">
        <f>(IF('Water Report'!$E$8&gt;0,'Water Report'!$E$8,0))</f>
        <v>159</v>
      </c>
      <c r="AO3" s="295">
        <f>(IF('Water Report'!$E$9&gt;0,'Water Report'!$E$9,0))</f>
        <v>71</v>
      </c>
      <c r="AP3" s="295">
        <f>(IF('Water Report'!$E$10&gt;0,'Water Report'!$E$10,0))</f>
        <v>20</v>
      </c>
      <c r="AQ3" s="295">
        <f>(IF('Water Report'!$E$11&gt;0,'Water Report'!$E$11,0))</f>
        <v>20</v>
      </c>
      <c r="AR3" s="295">
        <f>(IF('Water Report'!$E$13&gt;0,'Water Report'!$E$13,0))</f>
        <v>30</v>
      </c>
      <c r="AS3" s="295">
        <f>(IF('Water Report'!$E$14&gt;0,'Water Report'!$E$14,0))</f>
        <v>19</v>
      </c>
      <c r="AT3" s="295">
        <f>(IF('Water Report'!$E$15&gt;0,'Water Report'!$E$15,0))</f>
        <v>10</v>
      </c>
      <c r="AU3" s="295">
        <f>(IF('Water Report'!$E$17&gt;0,'Water Report'!$E$17,0))</f>
        <v>0</v>
      </c>
      <c r="AV3" s="295">
        <f>(IF('Water Report'!$E$18&gt;0,'Water Report'!$E$18,0))</f>
        <v>11</v>
      </c>
      <c r="AW3" s="295">
        <f>(IF('Water Report'!$E$19&gt;0,'Water Report'!$E$19,0))</f>
        <v>9</v>
      </c>
      <c r="AX3" s="301">
        <f>(IF('Water Report'!$E$21&gt;0,'Water Report'!$E$21,0))</f>
        <v>90</v>
      </c>
      <c r="AY3" s="301">
        <f>(IF('Water Report'!$E$22&gt;0,'Water Report'!$E$22,0))</f>
        <v>37</v>
      </c>
      <c r="AZ3" s="301">
        <f>(IF('Water Report'!$E$23&gt;0,'Water Report'!$E$23,0))</f>
        <v>5</v>
      </c>
      <c r="BA3" s="301">
        <f>(IF('Water Report'!$E$14&gt;0,'Water Report'!$E$14,0))</f>
        <v>19</v>
      </c>
      <c r="BB3" s="301">
        <f>(IF('Water Report'!$E$15&gt;0,'Water Report'!$E$15,0))</f>
        <v>10</v>
      </c>
      <c r="BC3" s="301">
        <f>(IF('Water Report'!$E$13&gt;0,'Water Report'!$E$13,0))</f>
        <v>30</v>
      </c>
      <c r="BD3" s="301">
        <f>(IF('Water Report'!$E$24&gt;0,'Water Report'!$E$24,0))</f>
        <v>183</v>
      </c>
      <c r="BE3" s="301">
        <f>(IF('Water Report'!$E$25&gt;0,'Water Report'!$E$25,0))</f>
        <v>140</v>
      </c>
      <c r="BF3" s="301">
        <f>(IF('Water Report'!$E$27&gt;0,'Water Report'!$E$27,0))</f>
        <v>125</v>
      </c>
      <c r="BG3" s="296">
        <f>(IF('Section Load'!AN6&gt;0,'Section Load'!AN6,0))</f>
        <v>983.14500000001863</v>
      </c>
      <c r="BH3" s="296">
        <f>(IF('Section Load'!AO6&gt;0,'Section Load'!AO6,0))</f>
        <v>311.03599999996368</v>
      </c>
      <c r="BI3" s="296">
        <f>(IF('Section Load'!AP6&gt;0,'Section Load'!AP6,0))</f>
        <v>0</v>
      </c>
      <c r="BJ3" s="296">
        <f>(IF('Section Load'!AQ6&gt;0,'Section Load'!AQ6,0))</f>
        <v>115.70999999999185</v>
      </c>
      <c r="BK3" s="296">
        <f>(IF('Section Load'!AR6&gt;0,'Section Load'!AR6,0))</f>
        <v>49.19999999999709</v>
      </c>
      <c r="BL3" s="296">
        <f>(IF('Section Load'!AS6&gt;0,'Section Load'!AS6,0))</f>
        <v>1.7000000000007276</v>
      </c>
      <c r="BM3" s="296">
        <f>(IF('Section Load'!AT6&gt;0,'Section Load'!AT6,0))</f>
        <v>505.49900000006528</v>
      </c>
    </row>
    <row r="4" spans="1:6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2503.1700000000019</v>
      </c>
      <c r="F4" s="294">
        <f>(IF('Section Load'!G7&gt;0,'Section Load'!G7,0))</f>
        <v>1552.1100000000006</v>
      </c>
      <c r="G4" s="294">
        <f>(IF('Section Load'!H7&gt;0,'Section Load'!H7,0))</f>
        <v>1668.1500000000015</v>
      </c>
      <c r="H4" s="294">
        <f>(IF('Section Load'!I7&gt;0,'Section Load'!I7,0))</f>
        <v>2641.8299999999945</v>
      </c>
      <c r="I4" s="294">
        <f>(IF('Section Load'!J7&gt;0,'Section Load'!J7,0))</f>
        <v>3484.5699999999943</v>
      </c>
      <c r="J4" s="294">
        <f>(IF('Section Load'!K7&gt;0,'Section Load'!K7,0))</f>
        <v>2229.6699999999983</v>
      </c>
      <c r="K4" s="294">
        <f>(IF('Section Load'!L7&gt;0,'Section Load'!L7,0))</f>
        <v>1070.0599999999977</v>
      </c>
      <c r="L4" s="294">
        <f>(IF('Section Load'!M7&gt;0,'Section Load'!M7,0))</f>
        <v>935.69999999999709</v>
      </c>
      <c r="M4" s="294">
        <f>(IF('Section Load'!N7&gt;0,'Section Load'!N7,0))</f>
        <v>78</v>
      </c>
      <c r="N4" s="294">
        <f>(IF('Section Load'!O7&gt;0,'Section Load'!O7,0))</f>
        <v>1</v>
      </c>
      <c r="O4" s="294">
        <f>(IF('Section Load'!P7&gt;0,'Section Load'!P7,0))</f>
        <v>1.1999999999970896</v>
      </c>
      <c r="P4" s="294">
        <f>(IF('Section Load'!Q7&gt;0,'Section Load'!Q7,0))</f>
        <v>159.29999999999563</v>
      </c>
      <c r="Q4" s="294">
        <f>(IF('Section Load'!R7&gt;0,'Section Load'!R7,0))</f>
        <v>63.109999999996944</v>
      </c>
      <c r="R4" s="294">
        <f>(IF('Section Load'!S7&gt;0,'Section Load'!S7,0))</f>
        <v>14.670000000000073</v>
      </c>
      <c r="S4" s="294">
        <f>(IF('Section Load'!T7&gt;0,'Section Load'!T7,0))</f>
        <v>417</v>
      </c>
      <c r="T4" s="294">
        <f>(IF('Section Load'!U7&gt;0,'Section Load'!U7,0))</f>
        <v>210</v>
      </c>
      <c r="U4" s="294">
        <f>(IF('Section Load'!V7&gt;0,'Section Load'!V7,0))</f>
        <v>377.88000000000466</v>
      </c>
      <c r="V4" s="294">
        <f>(IF('Section Load'!W7&gt;0,'Section Load'!W7,0))</f>
        <v>244.64000000001397</v>
      </c>
      <c r="W4" s="294">
        <f>(IF('Section Load'!X7&gt;0,'Section Load'!X7,0))</f>
        <v>26.450000000000273</v>
      </c>
      <c r="X4" s="294">
        <f>(IF('Section Load'!Y7&gt;0,'Section Load'!Y7,0))</f>
        <v>202.4399999999996</v>
      </c>
      <c r="Y4" s="294">
        <f>(IF('Section Load'!Z7&gt;0,'Section Load'!Z7,0))</f>
        <v>193</v>
      </c>
      <c r="Z4" s="294">
        <f>(IF('Section Load'!AA7&gt;0,'Section Load'!AA7,0))</f>
        <v>53.559999999997672</v>
      </c>
      <c r="AA4" s="294">
        <f>(IF('Section Load'!AB7&gt;0,'Section Load'!AB7,0))</f>
        <v>39.80000000000291</v>
      </c>
      <c r="AB4" s="294">
        <f>(IF('Section Load'!AC7&gt;0,'Section Load'!AC7,0))</f>
        <v>0</v>
      </c>
      <c r="AC4" s="294">
        <f>(IF('Section Load'!AD7&gt;0,'Section Load'!AD7,0))</f>
        <v>33.699999999999818</v>
      </c>
      <c r="AD4" s="294">
        <f>(IF('Section Load'!AE7&gt;0,'Section Load'!AE7,0))</f>
        <v>0</v>
      </c>
      <c r="AE4" s="294">
        <f>(IF('Section Load'!AF7&gt;0,'Section Load'!AF7,0))</f>
        <v>20.509999999999764</v>
      </c>
      <c r="AF4" s="294">
        <f>(IF('Section Load'!AG7&gt;0,'Section Load'!AG7,0))</f>
        <v>331.33999999999651</v>
      </c>
      <c r="AG4" s="294">
        <f>(IF('Section Load'!AH7&gt;0,'Section Load'!AH7,0))</f>
        <v>418.71999999997206</v>
      </c>
      <c r="AH4" s="294">
        <f>(IF('Section Load'!AI7&gt;0,'Section Load'!AI7,0))</f>
        <v>433.95999999999913</v>
      </c>
      <c r="AI4" s="294">
        <f>(IF('Section Load'!AJ7&gt;0,'Section Load'!AJ7,0))</f>
        <v>734.20000000001164</v>
      </c>
      <c r="AJ4" s="294">
        <f>(IF('Section Load'!AK7&gt;0,'Section Load'!AK7,0))</f>
        <v>250.57999999998719</v>
      </c>
      <c r="AK4" s="294">
        <f>(IF('Section Load'!AL7&gt;0,'Section Load'!AL7,0))</f>
        <v>255.67999999999302</v>
      </c>
      <c r="AL4" s="294">
        <f>(IF('Section Load'!AM7&gt;0,'Section Load'!AM7,0))</f>
        <v>565.15000000000873</v>
      </c>
      <c r="AM4" s="295">
        <f>(IF('Water Report'!$F$7&gt;0,'Water Report'!$F$7,0))</f>
        <v>74</v>
      </c>
      <c r="AN4" s="295">
        <f>(IF('Water Report'!$F$8&gt;0,'Water Report'!$F$8,0))</f>
        <v>132</v>
      </c>
      <c r="AO4" s="295">
        <f>(IF('Water Report'!$F$9&gt;0,'Water Report'!$G$9,0))</f>
        <v>87</v>
      </c>
      <c r="AP4" s="295">
        <f>(IF('Water Report'!$F$10&gt;0,'Water Report'!$F$10,0))</f>
        <v>22</v>
      </c>
      <c r="AQ4" s="295">
        <f>(IF('Water Report'!$F$11&gt;0,'Water Report'!$F$11,0))</f>
        <v>20</v>
      </c>
      <c r="AR4" s="295">
        <f>(IF('Water Report'!$F$13&gt;0,'Water Report'!$F$13,0))</f>
        <v>28</v>
      </c>
      <c r="AS4" s="295">
        <f>(IF('Water Report'!$F$14&gt;0,'Water Report'!$F$14,0))</f>
        <v>9</v>
      </c>
      <c r="AT4" s="295">
        <f>(IF('Water Report'!$F$15&gt;0,'Water Report'!$F$15,0))</f>
        <v>9</v>
      </c>
      <c r="AU4" s="295">
        <f>(IF('Water Report'!$F$17&gt;0,'Water Report'!$F$17,0))</f>
        <v>0</v>
      </c>
      <c r="AV4" s="295">
        <f>(IF('Water Report'!$F$18&gt;0,'Water Report'!$F$18,0))</f>
        <v>12</v>
      </c>
      <c r="AW4" s="295">
        <f>(IF('Water Report'!$F$19&gt;0,'Water Report'!$F$19,0))</f>
        <v>9</v>
      </c>
      <c r="AX4" s="301">
        <f>(IF('Water Report'!$F$21&gt;0,'Water Report'!$F$21,0))</f>
        <v>9</v>
      </c>
      <c r="AY4" s="301">
        <f>(IF('Water Report'!$F$22&gt;0,'Water Report'!$F$22,0))</f>
        <v>34</v>
      </c>
      <c r="AZ4" s="301">
        <f>(IF('Water Report'!$F$23&gt;0,'Water Report'!$F$23,0))</f>
        <v>11</v>
      </c>
      <c r="BA4" s="301">
        <f>(IF('Water Report'!$F$14&gt;0,'Water Report'!$F$14,0))</f>
        <v>9</v>
      </c>
      <c r="BB4" s="301">
        <f>(IF('Water Report'!$F$15&gt;0,'Water Report'!$F$15,0))</f>
        <v>9</v>
      </c>
      <c r="BC4" s="301">
        <f>(IF('Water Report'!$F$13&gt;0,'Water Report'!$F$13,0))</f>
        <v>28</v>
      </c>
      <c r="BD4" s="301">
        <f>(IF('Water Report'!$F$24&gt;0,'Water Report'!$F$24,0))</f>
        <v>233</v>
      </c>
      <c r="BE4" s="301">
        <f>(IF('Water Report'!$F$25&gt;0,'Water Report'!$F$25,0))</f>
        <v>154</v>
      </c>
      <c r="BF4" s="301">
        <f>(IF('Water Report'!$F$27&gt;0,'Water Report'!$F$27,0))</f>
        <v>48</v>
      </c>
      <c r="BG4" s="296">
        <f>(IF('Section Load'!AN7&gt;0,'Section Load'!AN7,0))</f>
        <v>1012.3479999999981</v>
      </c>
      <c r="BH4" s="296">
        <f>(IF('Section Load'!AO7&gt;0,'Section Load'!AO7,0))</f>
        <v>310.54399999999441</v>
      </c>
      <c r="BI4" s="296">
        <f>(IF('Section Load'!AP7&gt;0,'Section Load'!AP7,0))</f>
        <v>0</v>
      </c>
      <c r="BJ4" s="296">
        <f>(IF('Section Load'!AQ7&gt;0,'Section Load'!AQ7,0))</f>
        <v>122.32000000000698</v>
      </c>
      <c r="BK4" s="296">
        <f>(IF('Section Load'!AR7&gt;0,'Section Load'!AR7,0))</f>
        <v>46.400000000001455</v>
      </c>
      <c r="BL4" s="296">
        <f>(IF('Section Load'!AS7&gt;0,'Section Load'!AS7,0))</f>
        <v>1.5999999999985448</v>
      </c>
      <c r="BM4" s="296">
        <f>(IF('Section Load'!AT7&gt;0,'Section Load'!AT7,0))</f>
        <v>531.48399999999674</v>
      </c>
    </row>
    <row r="5" spans="1:6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2682.8700000000026</v>
      </c>
      <c r="F5" s="294">
        <f>(IF('Section Load'!G8&gt;0,'Section Load'!G8,0))</f>
        <v>1614.0999999999985</v>
      </c>
      <c r="G5" s="294">
        <f>(IF('Section Load'!H8&gt;0,'Section Load'!H8,0))</f>
        <v>1858.4700000000012</v>
      </c>
      <c r="H5" s="294">
        <f>(IF('Section Load'!I8&gt;0,'Section Load'!I8,0))</f>
        <v>2666.7100000000064</v>
      </c>
      <c r="I5" s="294">
        <f>(IF('Section Load'!J8&gt;0,'Section Load'!J8,0))</f>
        <v>2816.8300000000017</v>
      </c>
      <c r="J5" s="294">
        <f>(IF('Section Load'!K8&gt;0,'Section Load'!K8,0))</f>
        <v>2395.179999999993</v>
      </c>
      <c r="K5" s="294">
        <f>(IF('Section Load'!L8&gt;0,'Section Load'!L8,0))</f>
        <v>1149.75</v>
      </c>
      <c r="L5" s="294">
        <f>(IF('Section Load'!M8&gt;0,'Section Load'!M8,0))</f>
        <v>861.87000000000262</v>
      </c>
      <c r="M5" s="294">
        <f>(IF('Section Load'!N8&gt;0,'Section Load'!N8,0))</f>
        <v>102</v>
      </c>
      <c r="N5" s="294">
        <f>(IF('Section Load'!O8&gt;0,'Section Load'!O8,0))</f>
        <v>3</v>
      </c>
      <c r="O5" s="294">
        <f>(IF('Section Load'!P8&gt;0,'Section Load'!P8,0))</f>
        <v>1.1999999999970896</v>
      </c>
      <c r="P5" s="294">
        <f>(IF('Section Load'!Q8&gt;0,'Section Load'!Q8,0))</f>
        <v>187.95999999999913</v>
      </c>
      <c r="Q5" s="294">
        <f>(IF('Section Load'!R8&gt;0,'Section Load'!R8,0))</f>
        <v>65.520000000000437</v>
      </c>
      <c r="R5" s="294">
        <f>(IF('Section Load'!S8&gt;0,'Section Load'!S8,0))</f>
        <v>14.8100000000004</v>
      </c>
      <c r="S5" s="294">
        <f>(IF('Section Load'!T8&gt;0,'Section Load'!T8,0))</f>
        <v>381</v>
      </c>
      <c r="T5" s="294">
        <f>(IF('Section Load'!U8&gt;0,'Section Load'!U8,0))</f>
        <v>212</v>
      </c>
      <c r="U5" s="294">
        <f>(IF('Section Load'!V8&gt;0,'Section Load'!V8,0))</f>
        <v>396.43999999994412</v>
      </c>
      <c r="V5" s="294">
        <f>(IF('Section Load'!W8&gt;0,'Section Load'!W8,0))</f>
        <v>309.43999999994412</v>
      </c>
      <c r="W5" s="294">
        <f>(IF('Section Load'!X8&gt;0,'Section Load'!X8,0))</f>
        <v>27.959999999999582</v>
      </c>
      <c r="X5" s="294">
        <f>(IF('Section Load'!Y8&gt;0,'Section Load'!Y8,0))</f>
        <v>201.18000000000029</v>
      </c>
      <c r="Y5" s="294">
        <f>(IF('Section Load'!Z8&gt;0,'Section Load'!Z8,0))</f>
        <v>257</v>
      </c>
      <c r="Z5" s="294">
        <f>(IF('Section Load'!AA8&gt;0,'Section Load'!AA8,0))</f>
        <v>57.239999999990687</v>
      </c>
      <c r="AA5" s="294">
        <f>(IF('Section Load'!AB8&gt;0,'Section Load'!AB8,0))</f>
        <v>34</v>
      </c>
      <c r="AB5" s="294">
        <f>(IF('Section Load'!AC8&gt;0,'Section Load'!AC8,0))</f>
        <v>0</v>
      </c>
      <c r="AC5" s="294">
        <f>(IF('Section Load'!AD8&gt;0,'Section Load'!AD8,0))</f>
        <v>33.099999999993997</v>
      </c>
      <c r="AD5" s="294">
        <f>(IF('Section Load'!AE8&gt;0,'Section Load'!AE8,0))</f>
        <v>8.07</v>
      </c>
      <c r="AE5" s="294">
        <f>(IF('Section Load'!AF8&gt;0,'Section Load'!AF8,0))</f>
        <v>77.290000000000418</v>
      </c>
      <c r="AF5" s="294">
        <f>(IF('Section Load'!AG8&gt;0,'Section Load'!AG8,0))</f>
        <v>342.33999999999651</v>
      </c>
      <c r="AG5" s="294">
        <f>(IF('Section Load'!AH8&gt;0,'Section Load'!AH8,0))</f>
        <v>410.06000000002678</v>
      </c>
      <c r="AH5" s="294">
        <f>(IF('Section Load'!AI8&gt;0,'Section Load'!AI8,0))</f>
        <v>427.38999999999942</v>
      </c>
      <c r="AI5" s="294">
        <f>(IF('Section Load'!AJ8&gt;0,'Section Load'!AJ8,0))</f>
        <v>720.55999999999767</v>
      </c>
      <c r="AJ5" s="294">
        <f>(IF('Section Load'!AK8&gt;0,'Section Load'!AK8,0))</f>
        <v>251.76000000000931</v>
      </c>
      <c r="AK5" s="294">
        <f>(IF('Section Load'!AL8&gt;0,'Section Load'!AL8,0))</f>
        <v>260.30999999999767</v>
      </c>
      <c r="AL5" s="294">
        <f>(IF('Section Load'!AM8&gt;0,'Section Load'!AM8,0))</f>
        <v>690.82999999998719</v>
      </c>
      <c r="AM5" s="295">
        <f>(IF('Water Report'!$G$7&gt;0,'Water Report'!$F$7,0))</f>
        <v>74</v>
      </c>
      <c r="AN5" s="295">
        <f>(IF('Water Report'!$G$8&gt;0,'Water Report'!$F$8,0))</f>
        <v>132</v>
      </c>
      <c r="AO5" s="295">
        <f>(IF('Water Report'!$G$9&gt;0,'Water Report'!$H$9,0))</f>
        <v>100</v>
      </c>
      <c r="AP5" s="295">
        <f>(IF('Water Report'!$G$10&gt;0,'Water Report'!$G$10,0))</f>
        <v>30</v>
      </c>
      <c r="AQ5" s="295">
        <f>(IF('Water Report'!$G$11&gt;0,'Water Report'!$G$11,0))</f>
        <v>25</v>
      </c>
      <c r="AR5" s="295">
        <f>(IF('Water Report'!$G$13&gt;0,'Water Report'!$G$13,0))</f>
        <v>28</v>
      </c>
      <c r="AS5" s="295">
        <f>(IF('Water Report'!$G$14&gt;0,'Water Report'!$G$14,0))</f>
        <v>7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12</v>
      </c>
      <c r="AW5" s="295">
        <f>(IF('Water Report'!$G$19&gt;0,'Water Report'!$G$19,0))</f>
        <v>10</v>
      </c>
      <c r="AX5" s="301">
        <f>(IF('Water Report'!$G$21&gt;0,'Water Report'!$G$21,0))</f>
        <v>87</v>
      </c>
      <c r="AY5" s="301">
        <f>(IF('Water Report'!$G$22&gt;0,'Water Report'!$G$22,0))</f>
        <v>23</v>
      </c>
      <c r="AZ5" s="301">
        <f>(IF('Water Report'!$G$23&gt;0,'Water Report'!$G$23,0))</f>
        <v>10</v>
      </c>
      <c r="BA5" s="301">
        <f>(IF('Water Report'!$G$14&gt;0,'Water Report'!$G$14,0))</f>
        <v>7</v>
      </c>
      <c r="BB5" s="301">
        <f>(IF('Water Report'!$G$15&gt;0,'Water Report'!$G$15,0))</f>
        <v>9</v>
      </c>
      <c r="BC5" s="301">
        <f>(IF('Water Report'!$G$13&gt;0,'Water Report'!$G$13,0))</f>
        <v>28</v>
      </c>
      <c r="BD5" s="301">
        <f>(IF('Water Report'!$G$24&gt;0,'Water Report'!$G$24,0))</f>
        <v>261</v>
      </c>
      <c r="BE5" s="301">
        <f>(IF('Water Report'!$G$25&gt;0,'Water Report'!$G$25,0))</f>
        <v>158</v>
      </c>
      <c r="BF5" s="301">
        <f>(IF('Water Report'!$G$27&gt;0,'Water Report'!$G$27,0))</f>
        <v>125</v>
      </c>
      <c r="BG5" s="296">
        <f>(IF('Section Load'!AN8&gt;0,'Section Load'!AN8,0))</f>
        <v>997.95200000004843</v>
      </c>
      <c r="BH5" s="296">
        <f>(IF('Section Load'!AO8&gt;0,'Section Load'!AO8,0))</f>
        <v>297.04000000003725</v>
      </c>
      <c r="BI5" s="296">
        <f>(IF('Section Load'!AP8&gt;0,'Section Load'!AP8,0))</f>
        <v>0</v>
      </c>
      <c r="BJ5" s="296">
        <f>(IF('Section Load'!AQ8&gt;0,'Section Load'!AQ8,0))</f>
        <v>150.01000000000931</v>
      </c>
      <c r="BK5" s="296">
        <f>(IF('Section Load'!AR8&gt;0,'Section Load'!AR8,0))</f>
        <v>47.900000000001455</v>
      </c>
      <c r="BL5" s="296">
        <f>(IF('Section Load'!AS8&gt;0,'Section Load'!AS8,0))</f>
        <v>2.3000000000010914</v>
      </c>
      <c r="BM5" s="296">
        <f>(IF('Section Load'!AT8&gt;0,'Section Load'!AT8,0))</f>
        <v>500.70199999999932</v>
      </c>
    </row>
    <row r="6" spans="1:6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2888.9999999999964</v>
      </c>
      <c r="F6" s="294">
        <f>(IF('Section Load'!G9&gt;0,'Section Load'!G9,0))</f>
        <v>1683.9199999999983</v>
      </c>
      <c r="G6" s="294">
        <f>(IF('Section Load'!H9&gt;0,'Section Load'!H9,0))</f>
        <v>1939.4400000000023</v>
      </c>
      <c r="H6" s="294">
        <f>(IF('Section Load'!I9&gt;0,'Section Load'!I9,0))</f>
        <v>2758.0200000000041</v>
      </c>
      <c r="I6" s="294">
        <f>(IF('Section Load'!J9&gt;0,'Section Load'!J9,0))</f>
        <v>3196.3899999999994</v>
      </c>
      <c r="J6" s="294">
        <f>(IF('Section Load'!K9&gt;0,'Section Load'!K9,0))</f>
        <v>2237.7600000000093</v>
      </c>
      <c r="K6" s="294">
        <f>(IF('Section Load'!L9&gt;0,'Section Load'!L9,0))</f>
        <v>1526.75</v>
      </c>
      <c r="L6" s="294">
        <f>(IF('Section Load'!M9&gt;0,'Section Load'!M9,0))</f>
        <v>1353.260000000002</v>
      </c>
      <c r="M6" s="294">
        <f>(IF('Section Load'!N9&gt;0,'Section Load'!N9,0))</f>
        <v>97</v>
      </c>
      <c r="N6" s="294">
        <f>(IF('Section Load'!O9&gt;0,'Section Load'!O9,0))</f>
        <v>11</v>
      </c>
      <c r="O6" s="294">
        <f>(IF('Section Load'!P9&gt;0,'Section Load'!P9,0))</f>
        <v>1.1999999999970896</v>
      </c>
      <c r="P6" s="294">
        <f>(IF('Section Load'!Q9&gt;0,'Section Load'!Q9,0))</f>
        <v>186.5</v>
      </c>
      <c r="Q6" s="294">
        <f>(IF('Section Load'!R9&gt;0,'Section Load'!R9,0))</f>
        <v>68.260000000002037</v>
      </c>
      <c r="R6" s="294">
        <f>(IF('Section Load'!S9&gt;0,'Section Load'!S9,0))</f>
        <v>8.2599999999993088</v>
      </c>
      <c r="S6" s="294">
        <f>(IF('Section Load'!T9&gt;0,'Section Load'!T9,0))</f>
        <v>450</v>
      </c>
      <c r="T6" s="294">
        <f>(IF('Section Load'!U9&gt;0,'Section Load'!U9,0))</f>
        <v>213</v>
      </c>
      <c r="U6" s="294">
        <f>(IF('Section Load'!V9&gt;0,'Section Load'!V9,0))</f>
        <v>414.56000000005588</v>
      </c>
      <c r="V6" s="294">
        <f>(IF('Section Load'!W9&gt;0,'Section Load'!W9,0))</f>
        <v>385.44000000006054</v>
      </c>
      <c r="W6" s="294">
        <f>(IF('Section Load'!X9&gt;0,'Section Load'!X9,0))</f>
        <v>27.8100000000004</v>
      </c>
      <c r="X6" s="294">
        <f>(IF('Section Load'!Y9&gt;0,'Section Load'!Y9,0))</f>
        <v>243.92000000000007</v>
      </c>
      <c r="Y6" s="294">
        <f>(IF('Section Load'!Z9&gt;0,'Section Load'!Z9,0))</f>
        <v>255</v>
      </c>
      <c r="Z6" s="294">
        <f>(IF('Section Load'!AA9&gt;0,'Section Load'!AA9,0))</f>
        <v>56.520000000018626</v>
      </c>
      <c r="AA6" s="294">
        <f>(IF('Section Load'!AB9&gt;0,'Section Load'!AB9,0))</f>
        <v>33.899999999994179</v>
      </c>
      <c r="AB6" s="294">
        <f>(IF('Section Load'!AC9&gt;0,'Section Load'!AC9,0))</f>
        <v>0</v>
      </c>
      <c r="AC6" s="294">
        <f>(IF('Section Load'!AD9&gt;0,'Section Load'!AD9,0))</f>
        <v>33.5</v>
      </c>
      <c r="AD6" s="294">
        <f>(IF('Section Load'!AE9&gt;0,'Section Load'!AE9,0))</f>
        <v>27.28</v>
      </c>
      <c r="AE6" s="294">
        <f>(IF('Section Load'!AF9&gt;0,'Section Load'!AF9,0))</f>
        <v>109.17999999999984</v>
      </c>
      <c r="AF6" s="294">
        <f>(IF('Section Load'!AG9&gt;0,'Section Load'!AG9,0))</f>
        <v>341.54000000000815</v>
      </c>
      <c r="AG6" s="294">
        <f>(IF('Section Load'!AH9&gt;0,'Section Load'!AH9,0))</f>
        <v>387.07999999998719</v>
      </c>
      <c r="AH6" s="294">
        <f>(IF('Section Load'!AI9&gt;0,'Section Load'!AI9,0))</f>
        <v>409.87000000000262</v>
      </c>
      <c r="AI6" s="294">
        <f>(IF('Section Load'!AJ9&gt;0,'Section Load'!AJ9,0))</f>
        <v>720.76000000000931</v>
      </c>
      <c r="AJ6" s="294">
        <f>(IF('Section Load'!AK9&gt;0,'Section Load'!AK9,0))</f>
        <v>259.33000000000175</v>
      </c>
      <c r="AK6" s="294">
        <f>(IF('Section Load'!AL9&gt;0,'Section Load'!AL9,0))</f>
        <v>248.3300000000163</v>
      </c>
      <c r="AL6" s="294">
        <f>(IF('Section Load'!AM9&gt;0,'Section Load'!AM9,0))</f>
        <v>692.97000000000116</v>
      </c>
      <c r="AM6" s="295">
        <f>(IF('Water Report'!$H$7&gt;0,'Water Report'!$H$7,0))</f>
        <v>136</v>
      </c>
      <c r="AN6" s="295">
        <f>(IF('Water Report'!$H$8&gt;0,'Water Report'!$H$8,0))</f>
        <v>128</v>
      </c>
      <c r="AO6" s="295">
        <f>(IF('Water Report'!$H$9&gt;0,'Water Report'!$H$9,0))</f>
        <v>100</v>
      </c>
      <c r="AP6" s="295">
        <f>(IF('Water Report'!$H$10&gt;0,'Water Report'!$H$10,0))</f>
        <v>48</v>
      </c>
      <c r="AQ6" s="295">
        <f>(IF('Water Report'!$H$11&gt;0,'Water Report'!$H$11,0))</f>
        <v>26</v>
      </c>
      <c r="AR6" s="295">
        <f>(IF('Water Report'!$H$13&gt;0,'Water Report'!$H$13,0))</f>
        <v>33</v>
      </c>
      <c r="AS6" s="295">
        <f>(IF('Water Report'!$H$14&gt;0,'Water Report'!$H$14,0))</f>
        <v>8</v>
      </c>
      <c r="AT6" s="295">
        <f>(IF('Water Report'!$H$15&gt;0,'Water Report'!$H$15,0))</f>
        <v>9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11</v>
      </c>
      <c r="AX6" s="301">
        <f>(IF('Water Report'!$H$21&gt;0,'Water Report'!$H$21,0))</f>
        <v>64</v>
      </c>
      <c r="AY6" s="301">
        <f>(IF('Water Report'!$H$22&gt;0,'Water Report'!$H$22,0))</f>
        <v>32</v>
      </c>
      <c r="AZ6" s="301">
        <f>(IF('Water Report'!$H$23&gt;0,'Water Report'!$H$23,0))</f>
        <v>17</v>
      </c>
      <c r="BA6" s="301">
        <f>(IF('Water Report'!$H$14&gt;0,'Water Report'!$H$14,0))</f>
        <v>8</v>
      </c>
      <c r="BB6" s="301">
        <f>(IF('Water Report'!$H$15&gt;0,'Water Report'!$H$15,0))</f>
        <v>9</v>
      </c>
      <c r="BC6" s="301">
        <f>(IF('Water Report'!$H$13&gt;0,'Water Report'!$H$13,0))</f>
        <v>33</v>
      </c>
      <c r="BD6" s="301">
        <f>(IF('Water Report'!$H$24&gt;0,'Water Report'!$H$24,0))</f>
        <v>294</v>
      </c>
      <c r="BE6" s="301">
        <f>(IF('Water Report'!$H$25&gt;0,'Water Report'!$H$25,0))</f>
        <v>191</v>
      </c>
      <c r="BF6" s="301">
        <f>(IF('Water Report'!$H$27&gt;0,'Water Report'!$H$27,0))</f>
        <v>114</v>
      </c>
      <c r="BG6" s="296">
        <f>(IF('Section Load'!AN9&gt;0,'Section Load'!AN9,0))</f>
        <v>1047.8699999998789</v>
      </c>
      <c r="BH6" s="296">
        <f>(IF('Section Load'!AO9&gt;0,'Section Load'!AO9,0))</f>
        <v>284.73999999999069</v>
      </c>
      <c r="BI6" s="296">
        <f>(IF('Section Load'!AP9&gt;0,'Section Load'!AP9,0))</f>
        <v>0</v>
      </c>
      <c r="BJ6" s="296">
        <f>(IF('Section Load'!AQ9&gt;0,'Section Load'!AQ9,0))</f>
        <v>134</v>
      </c>
      <c r="BK6" s="296">
        <f>(IF('Section Load'!AR9&gt;0,'Section Load'!AR9,0))</f>
        <v>59.799999999995634</v>
      </c>
      <c r="BL6" s="296">
        <f>(IF('Section Load'!AS9&gt;0,'Section Load'!AS9,0))</f>
        <v>2.1999999999989086</v>
      </c>
      <c r="BM6" s="296">
        <f>(IF('Section Load'!AT9&gt;0,'Section Load'!AT9,0))</f>
        <v>567.1299999998937</v>
      </c>
    </row>
    <row r="7" spans="1:6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3019.2900000000009</v>
      </c>
      <c r="F7" s="294">
        <f>(IF('Section Load'!G10&gt;0,'Section Load'!G10,0))</f>
        <v>1645.6599999999962</v>
      </c>
      <c r="G7" s="294">
        <f>(IF('Section Load'!H10&gt;0,'Section Load'!H10,0))</f>
        <v>1915.0299999999988</v>
      </c>
      <c r="H7" s="294">
        <f>(IF('Section Load'!I10&gt;0,'Section Load'!I10,0))</f>
        <v>2776.5599999999977</v>
      </c>
      <c r="I7" s="294">
        <f>(IF('Section Load'!J10&gt;0,'Section Load'!J10,0))</f>
        <v>3426.9199999999983</v>
      </c>
      <c r="J7" s="294">
        <f>(IF('Section Load'!K10&gt;0,'Section Load'!K10,0))</f>
        <v>2145.3499999999913</v>
      </c>
      <c r="K7" s="294">
        <f>(IF('Section Load'!L10&gt;0,'Section Load'!L10,0))</f>
        <v>1272.5999999999985</v>
      </c>
      <c r="L7" s="294">
        <f>(IF('Section Load'!M10&gt;0,'Section Load'!M10,0))</f>
        <v>902.15999999999622</v>
      </c>
      <c r="M7" s="294">
        <f>(IF('Section Load'!N10&gt;0,'Section Load'!N10,0))</f>
        <v>89</v>
      </c>
      <c r="N7" s="294">
        <f>(IF('Section Load'!O10&gt;0,'Section Load'!O10,0))</f>
        <v>5</v>
      </c>
      <c r="O7" s="294">
        <f>(IF('Section Load'!P10&gt;0,'Section Load'!P10,0))</f>
        <v>0.80000000000291038</v>
      </c>
      <c r="P7" s="294">
        <f>(IF('Section Load'!Q10&gt;0,'Section Load'!Q10,0))</f>
        <v>166.01000000000204</v>
      </c>
      <c r="Q7" s="294">
        <f>(IF('Section Load'!R10&gt;0,'Section Load'!R10,0))</f>
        <v>66.869999999998981</v>
      </c>
      <c r="R7" s="294">
        <f>(IF('Section Load'!S10&gt;0,'Section Load'!S10,0))</f>
        <v>7.180000000000291</v>
      </c>
      <c r="S7" s="294">
        <f>(IF('Section Load'!T10&gt;0,'Section Load'!T10,0))</f>
        <v>456</v>
      </c>
      <c r="T7" s="294">
        <f>(IF('Section Load'!U10&gt;0,'Section Load'!U10,0))</f>
        <v>212</v>
      </c>
      <c r="U7" s="294">
        <f>(IF('Section Load'!V10&gt;0,'Section Load'!V10,0))</f>
        <v>394.1600000000326</v>
      </c>
      <c r="V7" s="294">
        <f>(IF('Section Load'!W10&gt;0,'Section Load'!W10,0))</f>
        <v>355.52000000001863</v>
      </c>
      <c r="W7" s="294">
        <f>(IF('Section Load'!X10&gt;0,'Section Load'!X10,0))</f>
        <v>29.339999999999691</v>
      </c>
      <c r="X7" s="294">
        <f>(IF('Section Load'!Y10&gt;0,'Section Load'!Y10,0))</f>
        <v>227.27999999999975</v>
      </c>
      <c r="Y7" s="294">
        <f>(IF('Section Load'!Z10&gt;0,'Section Load'!Z10,0))</f>
        <v>241</v>
      </c>
      <c r="Z7" s="294">
        <f>(IF('Section Load'!AA10&gt;0,'Section Load'!AA10,0))</f>
        <v>31.840000000025611</v>
      </c>
      <c r="AA7" s="294">
        <f>(IF('Section Load'!AB10&gt;0,'Section Load'!AB10,0))</f>
        <v>18.100000000005821</v>
      </c>
      <c r="AB7" s="294">
        <f>(IF('Section Load'!AC10&gt;0,'Section Load'!AC10,0))</f>
        <v>0</v>
      </c>
      <c r="AC7" s="294">
        <f>(IF('Section Load'!AD10&gt;0,'Section Load'!AD10,0))</f>
        <v>34.600000000005821</v>
      </c>
      <c r="AD7" s="294">
        <f>(IF('Section Load'!AE10&gt;0,'Section Load'!AE10,0))</f>
        <v>236.35</v>
      </c>
      <c r="AE7" s="294">
        <f>(IF('Section Load'!AF10&gt;0,'Section Load'!AF10,0))</f>
        <v>118.32000000000016</v>
      </c>
      <c r="AF7" s="294">
        <f>(IF('Section Load'!AG10&gt;0,'Section Load'!AG10,0))</f>
        <v>326.33999999999651</v>
      </c>
      <c r="AG7" s="294">
        <f>(IF('Section Load'!AH10&gt;0,'Section Load'!AH10,0))</f>
        <v>386.94000000000233</v>
      </c>
      <c r="AH7" s="294">
        <f>(IF('Section Load'!AI10&gt;0,'Section Load'!AI10,0))</f>
        <v>394</v>
      </c>
      <c r="AI7" s="294">
        <f>(IF('Section Load'!AJ10&gt;0,'Section Load'!AJ10,0))</f>
        <v>732.44000000000233</v>
      </c>
      <c r="AJ7" s="294">
        <f>(IF('Section Load'!AK10&gt;0,'Section Load'!AK10,0))</f>
        <v>222.33000000000175</v>
      </c>
      <c r="AK7" s="294">
        <f>(IF('Section Load'!AL10&gt;0,'Section Load'!AL10,0))</f>
        <v>250.45999999999185</v>
      </c>
      <c r="AL7" s="294">
        <f>(IF('Section Load'!AM10&gt;0,'Section Load'!AM10,0))</f>
        <v>622.38999999999942</v>
      </c>
      <c r="AM7" s="295">
        <f>(IF('Water Report'!$I$7&gt;0,'Water Report'!$I$7,0))</f>
        <v>143</v>
      </c>
      <c r="AN7" s="295">
        <f>(IF('Water Report'!$I$8&gt;0,'Water Report'!$I$8,0))</f>
        <v>132</v>
      </c>
      <c r="AO7" s="295">
        <f>(IF('Water Report'!$I$9&gt;0,'Water Report'!$I$9,0))</f>
        <v>110</v>
      </c>
      <c r="AP7" s="295">
        <f>(IF('Water Report'!$I$10&gt;0,'Water Report'!$I$10,0))</f>
        <v>26</v>
      </c>
      <c r="AQ7" s="295">
        <f>(IF('Water Report'!$I$11&gt;0,'Water Report'!$I$11,0))</f>
        <v>31</v>
      </c>
      <c r="AR7" s="295">
        <f>(IF('Water Report'!$I$13&gt;0,'Water Report'!$I$13,0))</f>
        <v>56</v>
      </c>
      <c r="AS7" s="295">
        <f>(IF('Water Report'!$I$14&gt;0,'Water Report'!$I$14,0))</f>
        <v>11</v>
      </c>
      <c r="AT7" s="295">
        <f>(IF('Water Report'!$I$15&gt;0,'Water Report'!$I$15,0))</f>
        <v>9</v>
      </c>
      <c r="AU7" s="295">
        <f>(IF('Water Report'!$I$17&gt;0,'Water Report'!$I$17,0))</f>
        <v>0</v>
      </c>
      <c r="AV7" s="295">
        <f>(IF('Water Report'!$I$18&gt;0,'Water Report'!$I$18,0))</f>
        <v>16</v>
      </c>
      <c r="AW7" s="295">
        <f>(IF('Water Report'!$I$19&gt;0,'Water Report'!$I$19,0))</f>
        <v>11</v>
      </c>
      <c r="AX7" s="301">
        <f>(IF('Water Report'!$I$21&gt;0,'Water Report'!$I$21,0))</f>
        <v>41</v>
      </c>
      <c r="AY7" s="301">
        <f>(IF('Water Report'!$I$22&gt;0,'Water Report'!$I$22,0))</f>
        <v>70</v>
      </c>
      <c r="AZ7" s="301">
        <f>(IF('Water Report'!$I$23&gt;0,'Water Report'!$I$23,0))</f>
        <v>0</v>
      </c>
      <c r="BA7" s="301">
        <f>(IF('Water Report'!$I$14&gt;0,'Water Report'!$I$14,0))</f>
        <v>11</v>
      </c>
      <c r="BB7" s="301">
        <f>(IF('Water Report'!$I$15&gt;0,'Water Report'!$I$15,0))</f>
        <v>9</v>
      </c>
      <c r="BC7" s="301">
        <f>(IF('Water Report'!$I$13&gt;0,'Water Report'!$I$13,0))</f>
        <v>56</v>
      </c>
      <c r="BD7" s="301">
        <f>(IF('Water Report'!$I$24&gt;0,'Water Report'!$I$24,0))</f>
        <v>275</v>
      </c>
      <c r="BE7" s="301">
        <f>(IF('Water Report'!$I$25&gt;0,'Water Report'!$I$25,0))</f>
        <v>187</v>
      </c>
      <c r="BF7" s="301">
        <f>(IF('Water Report'!$I$27&gt;0,'Water Report'!$I$27,0))</f>
        <v>97</v>
      </c>
      <c r="BG7" s="296">
        <f>(IF('Section Load'!AN10&gt;0,'Section Load'!AN10,0))</f>
        <v>1049.5</v>
      </c>
      <c r="BH7" s="296">
        <f>(IF('Section Load'!AO10&gt;0,'Section Load'!AO10,0))</f>
        <v>303.77999999991152</v>
      </c>
      <c r="BI7" s="296">
        <f>(IF('Section Load'!AP10&gt;0,'Section Load'!AP10,0))</f>
        <v>0</v>
      </c>
      <c r="BJ7" s="296">
        <f>(IF('Section Load'!AQ10&gt;0,'Section Load'!AQ10,0))</f>
        <v>109.80999999999767</v>
      </c>
      <c r="BK7" s="296">
        <f>(IF('Section Load'!AR10&gt;0,'Section Load'!AR10,0))</f>
        <v>45.5</v>
      </c>
      <c r="BL7" s="296">
        <f>(IF('Section Load'!AS10&gt;0,'Section Load'!AS10,0))</f>
        <v>1.3000000000010914</v>
      </c>
      <c r="BM7" s="296">
        <f>(IF('Section Load'!AT10&gt;0,'Section Load'!AT10,0))</f>
        <v>589.11000000008971</v>
      </c>
    </row>
    <row r="8" spans="1:6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3100.3399999999965</v>
      </c>
      <c r="F8" s="294">
        <f>(IF('Section Load'!G11&gt;0,'Section Load'!G11,0))</f>
        <v>1658.8400000000038</v>
      </c>
      <c r="G8" s="294">
        <f>(IF('Section Load'!H11&gt;0,'Section Load'!H11,0))</f>
        <v>2017.739999999998</v>
      </c>
      <c r="H8" s="294">
        <f>(IF('Section Load'!I11&gt;0,'Section Load'!I11,0))</f>
        <v>3066.4900000000052</v>
      </c>
      <c r="I8" s="294">
        <f>(IF('Section Load'!J11&gt;0,'Section Load'!J11,0))</f>
        <v>4458.75</v>
      </c>
      <c r="J8" s="294">
        <f>(IF('Section Load'!K11&gt;0,'Section Load'!K11,0))</f>
        <v>2208.6800000000076</v>
      </c>
      <c r="K8" s="294">
        <f>(IF('Section Load'!L11&gt;0,'Section Load'!L11,0))</f>
        <v>1415.6200000000026</v>
      </c>
      <c r="L8" s="294">
        <f>(IF('Section Load'!M11&gt;0,'Section Load'!M11,0))</f>
        <v>840.56999999999971</v>
      </c>
      <c r="M8" s="294">
        <f>(IF('Section Load'!N11&gt;0,'Section Load'!N11,0))</f>
        <v>80</v>
      </c>
      <c r="N8" s="294">
        <f>(IF('Section Load'!O11&gt;0,'Section Load'!O11,0))</f>
        <v>33</v>
      </c>
      <c r="O8" s="294">
        <f>(IF('Section Load'!P11&gt;0,'Section Load'!P11,0))</f>
        <v>1</v>
      </c>
      <c r="P8" s="294">
        <f>(IF('Section Load'!Q11&gt;0,'Section Load'!Q11,0))</f>
        <v>180.29000000000087</v>
      </c>
      <c r="Q8" s="294">
        <f>(IF('Section Load'!R11&gt;0,'Section Load'!R11,0))</f>
        <v>74.799999999999272</v>
      </c>
      <c r="R8" s="294">
        <f>(IF('Section Load'!S11&gt;0,'Section Load'!S11,0))</f>
        <v>12.600000000000364</v>
      </c>
      <c r="S8" s="294">
        <f>(IF('Section Load'!T11&gt;0,'Section Load'!T11,0))</f>
        <v>464</v>
      </c>
      <c r="T8" s="294">
        <f>(IF('Section Load'!U11&gt;0,'Section Load'!U11,0))</f>
        <v>217</v>
      </c>
      <c r="U8" s="294">
        <f>(IF('Section Load'!V11&gt;0,'Section Load'!V11,0))</f>
        <v>413.27999999991152</v>
      </c>
      <c r="V8" s="294">
        <f>(IF('Section Load'!W11&gt;0,'Section Load'!W11,0))</f>
        <v>328.47999999998137</v>
      </c>
      <c r="W8" s="294">
        <f>(IF('Section Load'!X11&gt;0,'Section Load'!X11,0))</f>
        <v>26.360000000000127</v>
      </c>
      <c r="X8" s="294">
        <f>(IF('Section Load'!Y11&gt;0,'Section Load'!Y11,0))</f>
        <v>195.38000000000011</v>
      </c>
      <c r="Y8" s="294">
        <f>(IF('Section Load'!Z11&gt;0,'Section Load'!Z11,0))</f>
        <v>251</v>
      </c>
      <c r="Z8" s="294">
        <f>(IF('Section Load'!AA11&gt;0,'Section Load'!AA11,0))</f>
        <v>38.599999999976717</v>
      </c>
      <c r="AA8" s="294">
        <f>(IF('Section Load'!AB11&gt;0,'Section Load'!AB11,0))</f>
        <v>39.399999999994179</v>
      </c>
      <c r="AB8" s="294">
        <f>(IF('Section Load'!AC11&gt;0,'Section Load'!AC11,0))</f>
        <v>0</v>
      </c>
      <c r="AC8" s="294">
        <f>(IF('Section Load'!AD11&gt;0,'Section Load'!AD11,0))</f>
        <v>37.200000000003456</v>
      </c>
      <c r="AD8" s="294">
        <f>(IF('Section Load'!AE11&gt;0,'Section Load'!AE11,0))</f>
        <v>370.46999999999997</v>
      </c>
      <c r="AE8" s="294">
        <f>(IF('Section Load'!AF11&gt;0,'Section Load'!AF11,0))</f>
        <v>148.92999999999984</v>
      </c>
      <c r="AF8" s="294">
        <f>(IF('Section Load'!AG11&gt;0,'Section Load'!AG11,0))</f>
        <v>355.13999999998487</v>
      </c>
      <c r="AG8" s="294">
        <f>(IF('Section Load'!AH11&gt;0,'Section Load'!AH11,0))</f>
        <v>394.38000000000466</v>
      </c>
      <c r="AH8" s="294">
        <f>(IF('Section Load'!AI11&gt;0,'Section Load'!AI11,0))</f>
        <v>421.58000000000175</v>
      </c>
      <c r="AI8" s="294">
        <f>(IF('Section Load'!AJ11&gt;0,'Section Load'!AJ11,0))</f>
        <v>749.55999999999767</v>
      </c>
      <c r="AJ8" s="294">
        <f>(IF('Section Load'!AK11&gt;0,'Section Load'!AK11,0))</f>
        <v>205.54999999998836</v>
      </c>
      <c r="AK8" s="294">
        <f>(IF('Section Load'!AL11&gt;0,'Section Load'!AL11,0))</f>
        <v>250.39999999999418</v>
      </c>
      <c r="AL8" s="294">
        <f>(IF('Section Load'!AM11&gt;0,'Section Load'!AM11,0))</f>
        <v>677.02999999999884</v>
      </c>
      <c r="AM8" s="295">
        <f>(IF('Water Report'!$J$7&gt;0,'Water Report'!$J$7,0))</f>
        <v>142</v>
      </c>
      <c r="AN8" s="295">
        <f>(IF('Water Report'!$J$8&gt;0,'Water Report'!$J$8,0))</f>
        <v>124</v>
      </c>
      <c r="AO8" s="295">
        <f>(IF('Water Report'!$J$9&gt;0,'Water Report'!$J$9,0))</f>
        <v>96</v>
      </c>
      <c r="AP8" s="295">
        <f>(IF('Water Report'!$J$10&gt;0,'Water Report'!$J$10,0))</f>
        <v>21</v>
      </c>
      <c r="AQ8" s="295">
        <f>(IF('Water Report'!$J$11&gt;0,'Water Report'!$J$11,0))</f>
        <v>30</v>
      </c>
      <c r="AR8" s="295">
        <f>(IF('Water Report'!$J$13&gt;0,'Water Report'!$J$13,0))</f>
        <v>43</v>
      </c>
      <c r="AS8" s="295">
        <f>(IF('Water Report'!$J$14&gt;0,'Water Report'!$J$14,0))</f>
        <v>15</v>
      </c>
      <c r="AT8" s="295">
        <f>(IF('Water Report'!$J$15&gt;0,'Water Report'!$J$15,0))</f>
        <v>23</v>
      </c>
      <c r="AU8" s="295">
        <f>(IF('Water Report'!$J$17&gt;0,'Water Report'!$J$17,0))</f>
        <v>0</v>
      </c>
      <c r="AV8" s="295">
        <f>(IF('Water Report'!$J$18&gt;0,'Water Report'!$J$18,0))</f>
        <v>14</v>
      </c>
      <c r="AW8" s="295">
        <f>(IF('Water Report'!$J$19&gt;0,'Water Report'!$J$19,0))</f>
        <v>10</v>
      </c>
      <c r="AX8" s="301">
        <f>(IF('Water Report'!$J$21&gt;0,'Water Report'!$J$21,0))</f>
        <v>68</v>
      </c>
      <c r="AY8" s="301">
        <f>(IF('Water Report'!$J$22&gt;0,'Water Report'!$J$22,0))</f>
        <v>45</v>
      </c>
      <c r="AZ8" s="301">
        <f>(IF('Water Report'!$J$23&gt;0,'Water Report'!$J$23,0))</f>
        <v>0</v>
      </c>
      <c r="BA8" s="301">
        <f>(IF('Water Report'!$J$14&gt;0,'Water Report'!$J$14,0))</f>
        <v>15</v>
      </c>
      <c r="BB8" s="301">
        <f>(IF('Water Report'!$J$15&gt;0,'Water Report'!$J$15,0))</f>
        <v>23</v>
      </c>
      <c r="BC8" s="301">
        <f>(IF('Water Report'!$J$13&gt;0,'Water Report'!$J$13,0))</f>
        <v>43</v>
      </c>
      <c r="BD8" s="301">
        <f>(IF('Water Report'!$J$24&gt;0,'Water Report'!$J$24,0))</f>
        <v>242</v>
      </c>
      <c r="BE8" s="301">
        <f>(IF('Water Report'!$J$25&gt;0,'Water Report'!$J$25,0))</f>
        <v>185</v>
      </c>
      <c r="BF8" s="301">
        <f>(IF('Water Report'!$J$27&gt;0,'Water Report'!$J$27,0))</f>
        <v>111</v>
      </c>
      <c r="BG8" s="296">
        <f>(IF('Section Load'!AN11&gt;0,'Section Load'!AN11,0))</f>
        <v>1030.6800000001676</v>
      </c>
      <c r="BH8" s="296">
        <f>(IF('Section Load'!AO11&gt;0,'Section Load'!AO11,0))</f>
        <v>301.6600000000326</v>
      </c>
      <c r="BI8" s="296">
        <f>(IF('Section Load'!AP11&gt;0,'Section Load'!AP11,0))</f>
        <v>0</v>
      </c>
      <c r="BJ8" s="296">
        <f>(IF('Section Load'!AQ11&gt;0,'Section Load'!AQ11,0))</f>
        <v>98.489999999990687</v>
      </c>
      <c r="BK8" s="296">
        <f>(IF('Section Load'!AR11&gt;0,'Section Load'!AR11,0))</f>
        <v>55.900000000001455</v>
      </c>
      <c r="BL8" s="296">
        <f>(IF('Section Load'!AS11&gt;0,'Section Load'!AS11,0))</f>
        <v>0.8999999999996362</v>
      </c>
      <c r="BM8" s="296">
        <f>(IF('Section Load'!AT11&gt;0,'Section Load'!AT11,0))</f>
        <v>573.73000000014326</v>
      </c>
    </row>
    <row r="9" spans="1:6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377587.02</v>
      </c>
      <c r="F9" s="294">
        <f>(IF('Section Load'!G12&gt;0,'Section Load'!G12,0))</f>
        <v>160924.07</v>
      </c>
      <c r="G9" s="294">
        <f>(IF('Section Load'!H12&gt;0,'Section Load'!H12,0))</f>
        <v>194527.68</v>
      </c>
      <c r="H9" s="294">
        <f>(IF('Section Load'!I12&gt;0,'Section Load'!I12,0))</f>
        <v>354440.29</v>
      </c>
      <c r="I9" s="294">
        <f>(IF('Section Load'!J12&gt;0,'Section Load'!J12,0))</f>
        <v>0</v>
      </c>
      <c r="J9" s="294">
        <f>(IF('Section Load'!K12&gt;0,'Section Load'!K12,0))</f>
        <v>0</v>
      </c>
      <c r="K9" s="294">
        <f>(IF('Section Load'!L12&gt;0,'Section Load'!L12,0))</f>
        <v>0</v>
      </c>
      <c r="L9" s="294">
        <f>(IF('Section Load'!M12&gt;0,'Section Load'!M12,0))</f>
        <v>0</v>
      </c>
      <c r="M9" s="294">
        <f>(IF('Section Load'!N12&gt;0,'Section Load'!N12,0))</f>
        <v>0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0</v>
      </c>
      <c r="Q9" s="294">
        <f>(IF('Section Load'!R12&gt;0,'Section Load'!R12,0))</f>
        <v>0</v>
      </c>
      <c r="R9" s="294">
        <f>(IF('Section Load'!S12&gt;0,'Section Load'!S12,0))</f>
        <v>0</v>
      </c>
      <c r="S9" s="294">
        <f>(IF('Section Load'!T12&gt;0,'Section Load'!T12,0))</f>
        <v>0</v>
      </c>
      <c r="T9" s="294">
        <f>(IF('Section Load'!U12&gt;0,'Section Load'!U12,0))</f>
        <v>0</v>
      </c>
      <c r="U9" s="294">
        <f>(IF('Section Load'!V12&gt;0,'Section Load'!V12,0))</f>
        <v>0</v>
      </c>
      <c r="V9" s="294">
        <f>(IF('Section Load'!W12&gt;0,'Section Load'!W12,0))</f>
        <v>0</v>
      </c>
      <c r="W9" s="294">
        <f>(IF('Section Load'!X12&gt;0,'Section Load'!X12,0))</f>
        <v>0</v>
      </c>
      <c r="X9" s="294">
        <f>(IF('Section Load'!Y12&gt;0,'Section Load'!Y12,0))</f>
        <v>0</v>
      </c>
      <c r="Y9" s="294">
        <f>(IF('Section Load'!Z12&gt;0,'Section Load'!Z12,0))</f>
        <v>0</v>
      </c>
      <c r="Z9" s="294">
        <f>(IF('Section Load'!AA12&gt;0,'Section Load'!AA12,0))</f>
        <v>0</v>
      </c>
      <c r="AA9" s="294">
        <f>(IF('Section Load'!AB12&gt;0,'Section Load'!AB12,0))</f>
        <v>0</v>
      </c>
      <c r="AB9" s="294">
        <f>(IF('Section Load'!AC12&gt;0,'Section Load'!AC12,0))</f>
        <v>0</v>
      </c>
      <c r="AC9" s="294">
        <f>(IF('Section Load'!AD12&gt;0,'Section Load'!AD12,0))</f>
        <v>0</v>
      </c>
      <c r="AD9" s="294">
        <f>(IF('Section Load'!AE12&gt;0,'Section Load'!AE12,0))</f>
        <v>0</v>
      </c>
      <c r="AE9" s="294">
        <f>(IF('Section Load'!AF12&gt;0,'Section Load'!AF12,0))</f>
        <v>0</v>
      </c>
      <c r="AF9" s="294">
        <f>(IF('Section Load'!AG12&gt;0,'Section Load'!AG12,0))</f>
        <v>0</v>
      </c>
      <c r="AG9" s="294">
        <f>(IF('Section Load'!AH12&gt;0,'Section Load'!AH12,0))</f>
        <v>0</v>
      </c>
      <c r="AH9" s="294">
        <f>(IF('Section Load'!AI12&gt;0,'Section Load'!AI12,0))</f>
        <v>0</v>
      </c>
      <c r="AI9" s="294">
        <f>(IF('Section Load'!AJ12&gt;0,'Section Load'!AJ12,0))</f>
        <v>0</v>
      </c>
      <c r="AJ9" s="294">
        <f>(IF('Section Load'!AK12&gt;0,'Section Load'!AK12,0))</f>
        <v>0</v>
      </c>
      <c r="AK9" s="294">
        <f>(IF('Section Load'!AL12&gt;0,'Section Load'!AL12,0))</f>
        <v>0</v>
      </c>
      <c r="AL9" s="294">
        <f>(IF('Section Load'!AM12&gt;0,'Section Load'!AM12,0))</f>
        <v>0</v>
      </c>
      <c r="AM9" s="295">
        <f>(IF('Water Report'!$K$7&gt;0,'Water Report'!$K$7,0))</f>
        <v>0</v>
      </c>
      <c r="AN9" s="295">
        <f>(IF('Water Report'!$K$8&gt;0,'Water Report'!$K$8,0))</f>
        <v>0</v>
      </c>
      <c r="AO9" s="295">
        <f>(IF('Water Report'!$K$9&gt;0,'Water Report'!$K$9,0))</f>
        <v>0</v>
      </c>
      <c r="AP9" s="295">
        <f>(IF('Water Report'!$K$10&gt;0,'Water Report'!$K$10,0))</f>
        <v>0</v>
      </c>
      <c r="AQ9" s="295">
        <f>(IF('Water Report'!$K$11&gt;0,'Water Report'!$K$11,0))</f>
        <v>0</v>
      </c>
      <c r="AR9" s="295">
        <f>(IF('Water Report'!$K$13&gt;0,'Water Report'!$K$13,0))</f>
        <v>0</v>
      </c>
      <c r="AS9" s="295">
        <f>(IF('Water Report'!$K$14&gt;0,'Water Report'!$K$14,0))</f>
        <v>0</v>
      </c>
      <c r="AT9" s="295">
        <f>(IF('Water Report'!$K$15&gt;0,'Water Report'!$K$15,0))</f>
        <v>0</v>
      </c>
      <c r="AU9" s="295">
        <f>(IF('Water Report'!$K$17&gt;0,'Water Report'!$K$17,0))</f>
        <v>0</v>
      </c>
      <c r="AV9" s="295">
        <f>(IF('Water Report'!$K$18&gt;0,'Water Report'!$K$18,0))</f>
        <v>0</v>
      </c>
      <c r="AW9" s="295">
        <f>(IF('Water Report'!$K$19&gt;0,'Water Report'!$K$19,0))</f>
        <v>0</v>
      </c>
      <c r="AX9" s="301">
        <f>(IF('Water Report'!$K$21&gt;0,'Water Report'!$K$21,0))</f>
        <v>0</v>
      </c>
      <c r="AY9" s="301">
        <f>(IF('Water Report'!$K$22&gt;0,'Water Report'!$K$22,0))</f>
        <v>0</v>
      </c>
      <c r="AZ9" s="301">
        <f>(IF('Water Report'!$K$23&gt;0,'Water Report'!$K$23,0))</f>
        <v>0</v>
      </c>
      <c r="BA9" s="301">
        <f>(IF('Water Report'!$K$14&gt;0,'Water Report'!$K$14,0))</f>
        <v>0</v>
      </c>
      <c r="BB9" s="301">
        <f>(IF('Water Report'!$K$15&gt;0,'Water Report'!$K$15,0))</f>
        <v>0</v>
      </c>
      <c r="BC9" s="301">
        <f>(IF('Water Report'!$K$13&gt;0,'Water Report'!$K$13,0))</f>
        <v>0</v>
      </c>
      <c r="BD9" s="301">
        <f>(IF('Water Report'!$K$24&gt;0,'Water Report'!$K$24,0))</f>
        <v>0</v>
      </c>
      <c r="BE9" s="301">
        <f>(IF('Water Report'!$K$25&gt;0,'Water Report'!$K$25,0))</f>
        <v>0</v>
      </c>
      <c r="BF9" s="301">
        <f>(IF('Water Report'!$K$27&gt;0,'Water Report'!$K$27,0))</f>
        <v>0</v>
      </c>
      <c r="BG9" s="296">
        <f>(IF('Section Load'!AN12&gt;0,'Section Load'!AN12,0))</f>
        <v>0</v>
      </c>
      <c r="BH9" s="296">
        <f>(IF('Section Load'!AO12&gt;0,'Section Load'!AO12,0))</f>
        <v>0</v>
      </c>
      <c r="BI9" s="296">
        <f>(IF('Section Load'!AP12&gt;0,'Section Load'!AP12,0))</f>
        <v>0</v>
      </c>
      <c r="BJ9" s="296">
        <f>(IF('Section Load'!AQ12&gt;0,'Section Load'!AQ12,0))</f>
        <v>0</v>
      </c>
      <c r="BK9" s="296">
        <f>(IF('Section Load'!AR12&gt;0,'Section Load'!AR12,0))</f>
        <v>0</v>
      </c>
      <c r="BL9" s="296">
        <f>(IF('Section Load'!AS12&gt;0,'Section Load'!AS12,0))</f>
        <v>0</v>
      </c>
      <c r="BM9" s="296">
        <f>(IF('Section Load'!AT12&gt;0,'Section Load'!AT12,0))</f>
        <v>0</v>
      </c>
    </row>
    <row r="10" spans="1:6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17</v>
      </c>
      <c r="AQ17" s="295">
        <f>(IF('Water Report'!$S$11&gt;0,'Water Report'!$D$11,0))</f>
        <v>14</v>
      </c>
      <c r="AR17" s="295">
        <f>(IF('Water Report'!$S$13&gt;0,'Water Report'!$D$13,0))</f>
        <v>39</v>
      </c>
      <c r="AS17" s="295">
        <f>(IF('Water Report'!$S$14&gt;0,'Water Report'!$D$14,0))</f>
        <v>9</v>
      </c>
      <c r="AT17" s="295">
        <f>(IF('Water Report'!$S$15&gt;0,'Water Report'!$D$15,0))</f>
        <v>8</v>
      </c>
      <c r="AU17" s="295">
        <f>(IF('Water Report'!$S$17&gt;0,'Water Report'!$D$17,0))</f>
        <v>0</v>
      </c>
      <c r="AV17" s="295">
        <f>(IF('Water Report'!$S$18&gt;0,'Water Report'!$D$18,0))</f>
        <v>11</v>
      </c>
      <c r="AW17" s="295">
        <f>(IF('Water Report'!$S$19&gt;0,'Water Report'!$D$19,0))</f>
        <v>10</v>
      </c>
      <c r="AX17" s="301">
        <f>(IF('Water Report'!$S$21&gt;0,'Water Report'!$D$21,0))</f>
        <v>43</v>
      </c>
      <c r="AY17" s="301">
        <f>(IF('Water Report'!$S$22&gt;0,'Water Report'!$D$22,0))</f>
        <v>29</v>
      </c>
      <c r="AZ17" s="301">
        <f>(IF('Water Report'!$S$23&gt;0,'Water Report'!$D$23,0))</f>
        <v>3</v>
      </c>
      <c r="BA17" s="301">
        <f>(IF('Water Report'!$S$14&gt;0,'Water Report'!$D$14,0))</f>
        <v>9</v>
      </c>
      <c r="BB17" s="301">
        <f>(IF('Water Report'!$S$15&gt;0,'Water Report'!$D$15,0))</f>
        <v>8</v>
      </c>
      <c r="BC17" s="301">
        <f>(IF('Water Report'!$S$13&gt;0,'Water Report'!$D$13,0))</f>
        <v>39</v>
      </c>
      <c r="BD17" s="301">
        <f>(IF('Water Report'!$S$24&gt;0,'Water Report'!$D$24,0))</f>
        <v>235</v>
      </c>
      <c r="BE17" s="301">
        <f>(IF('Water Report'!$S$25&gt;0,'Water Report'!$D$25,0))</f>
        <v>119</v>
      </c>
      <c r="BF17" s="301">
        <f>(IF('Water Report'!$S$27&gt;0,'Water Report'!$D$27,0))</f>
        <v>85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915.76699999999255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516.41800000001967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39"/>
      <c r="AR1" s="739"/>
      <c r="AS1" s="739"/>
      <c r="AT1" s="739"/>
      <c r="AU1" s="739"/>
      <c r="AV1" s="739"/>
      <c r="AW1" s="739"/>
      <c r="AX1" s="739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39"/>
      <c r="BJ1" s="739"/>
      <c r="BK1" s="739"/>
      <c r="BL1" s="739"/>
      <c r="BM1" s="739"/>
      <c r="BN1" s="739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40" t="s">
        <v>5</v>
      </c>
      <c r="I2" s="740"/>
      <c r="J2" s="740"/>
      <c r="K2" s="44"/>
      <c r="L2" s="741" t="s">
        <v>6</v>
      </c>
      <c r="M2" s="741"/>
      <c r="N2" s="741"/>
      <c r="O2" s="742" t="s">
        <v>7</v>
      </c>
      <c r="P2" s="742"/>
      <c r="Q2" s="742"/>
      <c r="R2" s="44" t="s">
        <v>8</v>
      </c>
      <c r="S2" s="743" t="s">
        <v>9</v>
      </c>
      <c r="T2" s="743"/>
      <c r="U2" s="743"/>
      <c r="V2" s="744" t="s">
        <v>10</v>
      </c>
      <c r="W2" s="745"/>
      <c r="X2" s="746"/>
      <c r="Y2" s="263"/>
      <c r="Z2" s="747" t="s">
        <v>11</v>
      </c>
      <c r="AA2" s="747"/>
      <c r="AB2" s="747"/>
      <c r="AC2" s="747"/>
      <c r="AD2" s="264"/>
      <c r="AE2" s="264" t="s">
        <v>12</v>
      </c>
      <c r="AF2" s="264" t="s">
        <v>13</v>
      </c>
      <c r="AG2" s="747" t="s">
        <v>14</v>
      </c>
      <c r="AH2" s="747"/>
      <c r="AI2" s="747"/>
      <c r="AJ2" s="264" t="s">
        <v>15</v>
      </c>
      <c r="AK2" s="747" t="s">
        <v>16</v>
      </c>
      <c r="AL2" s="747"/>
      <c r="AM2" s="747"/>
      <c r="AN2" s="264" t="s">
        <v>17</v>
      </c>
      <c r="AO2" s="5" t="s">
        <v>18</v>
      </c>
      <c r="AP2" s="748" t="s">
        <v>19</v>
      </c>
      <c r="AQ2" s="749"/>
      <c r="AR2" s="749"/>
      <c r="AS2" s="749"/>
      <c r="AT2" s="749"/>
      <c r="AU2" s="749"/>
      <c r="AV2" s="749"/>
      <c r="AW2" s="749"/>
      <c r="AX2" s="749"/>
      <c r="AY2" s="750"/>
      <c r="AZ2" s="748" t="s">
        <v>20</v>
      </c>
      <c r="BA2" s="749"/>
      <c r="BB2" s="749"/>
      <c r="BC2" s="749"/>
      <c r="BD2" s="749"/>
      <c r="BE2" s="749"/>
      <c r="BF2" s="749"/>
      <c r="BG2" s="749"/>
      <c r="BH2" s="74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17264.770000000019</v>
      </c>
      <c r="H4" s="19">
        <f>'1'!G8</f>
        <v>17458.849999999977</v>
      </c>
      <c r="I4" s="19">
        <v>9</v>
      </c>
      <c r="J4" s="49">
        <f>H4*I4</f>
        <v>157129.64999999979</v>
      </c>
      <c r="K4" s="45">
        <f>H4/202</f>
        <v>86.429950495049383</v>
      </c>
      <c r="L4" s="19">
        <f>'1'!G15</f>
        <v>918.55799999996088</v>
      </c>
      <c r="M4" s="19">
        <v>56.2</v>
      </c>
      <c r="N4" s="45">
        <f>L4*M4</f>
        <v>51622.959599997805</v>
      </c>
      <c r="O4" s="19">
        <f>'1'!G20</f>
        <v>235</v>
      </c>
      <c r="P4" s="19">
        <v>108</v>
      </c>
      <c r="Q4" s="46">
        <f t="shared" ref="Q4:Q33" si="0">O4*P4</f>
        <v>25380</v>
      </c>
      <c r="R4" s="47">
        <f t="shared" ref="R4:R34" si="1">O4/(F4*202/100)</f>
        <v>286.61402725638419</v>
      </c>
      <c r="S4" s="19">
        <f>'1'!G24</f>
        <v>0</v>
      </c>
      <c r="T4" s="19">
        <v>69</v>
      </c>
      <c r="U4" s="48">
        <f>S4*T4</f>
        <v>0</v>
      </c>
      <c r="V4" s="22">
        <f>'1'!G65</f>
        <v>71</v>
      </c>
      <c r="W4" s="22">
        <f>'1'!G66</f>
        <v>17</v>
      </c>
      <c r="X4" s="22">
        <f>'1'!G67</f>
        <v>14</v>
      </c>
      <c r="Y4" s="22">
        <f>V4+W4+X4</f>
        <v>102</v>
      </c>
      <c r="Z4" s="19">
        <f>'1'!G84</f>
        <v>0</v>
      </c>
      <c r="AA4" s="19">
        <f>'1'!G85</f>
        <v>24</v>
      </c>
      <c r="AB4" s="19">
        <f>'1'!G86</f>
        <v>0</v>
      </c>
      <c r="AC4" s="19">
        <f>'1'!G87</f>
        <v>5.0000000002910383E-2</v>
      </c>
      <c r="AD4" s="19">
        <f>Z4+AA4+AB4+AC4</f>
        <v>24.05000000000291</v>
      </c>
      <c r="AE4" s="23">
        <f t="shared" ref="AE4:AE33" si="2">AU4+AV4+BE4+BF4</f>
        <v>3987.7899999999936</v>
      </c>
      <c r="AF4" s="23">
        <f>AE4/AD4</f>
        <v>165.81247401245369</v>
      </c>
      <c r="AG4" s="19">
        <f>'1'!G88</f>
        <v>0</v>
      </c>
      <c r="AH4" s="19">
        <f>'1'!G89</f>
        <v>9.4900000000016007</v>
      </c>
      <c r="AI4" s="19">
        <f>'1'!G90</f>
        <v>2.0499999999883585</v>
      </c>
      <c r="AJ4" s="19">
        <f>AG4+AH4+AI4</f>
        <v>11.539999999989959</v>
      </c>
      <c r="AK4" s="19">
        <f>'1'!G91</f>
        <v>11.769999999999982</v>
      </c>
      <c r="AL4" s="19">
        <f>'1'!G92</f>
        <v>0</v>
      </c>
      <c r="AM4" s="19"/>
      <c r="AN4" s="19">
        <f>AK4+AL4</f>
        <v>11.769999999999982</v>
      </c>
      <c r="AO4" s="52">
        <f>'1'!G74</f>
        <v>314.53100000007544</v>
      </c>
      <c r="AP4" s="55">
        <f>'1'!G35</f>
        <v>1246.0200000000004</v>
      </c>
      <c r="AQ4" s="19">
        <f>'1'!G37</f>
        <v>1554.1100000000006</v>
      </c>
      <c r="AR4" s="19">
        <f>'1'!G38</f>
        <v>1620.2699999999968</v>
      </c>
      <c r="AS4" s="19">
        <f>'1'!G39</f>
        <v>2609.5899999999965</v>
      </c>
      <c r="AT4" s="19">
        <f>'1'!G40</f>
        <v>688.73999999999796</v>
      </c>
      <c r="AU4" s="19">
        <f>'1'!G41</f>
        <v>0</v>
      </c>
      <c r="AV4" s="19">
        <f>'1'!G42</f>
        <v>3987.7899999999936</v>
      </c>
      <c r="AW4" s="19">
        <f>'1'!G43</f>
        <v>1901.929999999993</v>
      </c>
      <c r="AX4" s="19">
        <f>'1'!G44</f>
        <v>0</v>
      </c>
      <c r="AY4" s="56">
        <f>'1'!G36</f>
        <v>710.76000000000204</v>
      </c>
      <c r="AZ4" s="55">
        <f>'1'!G49</f>
        <v>939.08000000000175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0</v>
      </c>
      <c r="BE4" s="19">
        <f>'1'!G55</f>
        <v>0</v>
      </c>
      <c r="BF4" s="19">
        <f>'1'!G56</f>
        <v>0</v>
      </c>
      <c r="BG4" s="19">
        <f>'1'!G57</f>
        <v>0</v>
      </c>
      <c r="BH4" s="56">
        <f>'1'!G50</f>
        <v>938.92000000000553</v>
      </c>
      <c r="BI4" s="60">
        <f>SUM(AU4,AV4,BE4,BF4)</f>
        <v>3987.7899999999936</v>
      </c>
      <c r="BJ4" s="60">
        <f>'1'!G133</f>
        <v>492.57000000000698</v>
      </c>
      <c r="BK4" s="23">
        <f>SUM(AP4,AU4,AV4,AW4,AZ4,BE4,BF4,BG4)/H4%</f>
        <v>46.250583514950868</v>
      </c>
      <c r="BL4" s="23">
        <f>SUM(AS4,BC4)/H4%</f>
        <v>14.947089871326005</v>
      </c>
      <c r="BM4" s="24">
        <f>(AR4+BB4)/H4</f>
        <v>9.2805081663454289E-2</v>
      </c>
      <c r="BN4" s="25">
        <f>J4+N4+Q4+U4</f>
        <v>234132.60959999758</v>
      </c>
      <c r="BO4" s="38">
        <f>SUM(AU4,AV4,AW4,BE4,BF4,BG4,BJ4)</f>
        <v>6382.2899999999936</v>
      </c>
      <c r="BP4">
        <f>BO4/(AD4*280)</f>
        <v>0.94777101277089715</v>
      </c>
      <c r="BQ4" s="38">
        <f>SUM(AU4,AV4,BE4,BF4)/(AD4*400)</f>
        <v>0.41453118503113418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18049</v>
      </c>
      <c r="H5" s="19">
        <f>'2'!G8</f>
        <v>18338</v>
      </c>
      <c r="I5" s="19">
        <v>9</v>
      </c>
      <c r="J5" s="49">
        <f t="shared" ref="J5:J34" si="3">H5*I5</f>
        <v>165042</v>
      </c>
      <c r="K5" s="45">
        <f t="shared" ref="K5:K33" si="4">H5/202</f>
        <v>90.78217821782178</v>
      </c>
      <c r="L5" s="19">
        <f>'2'!G15</f>
        <v>983.14500000001863</v>
      </c>
      <c r="M5" s="19">
        <v>56.2</v>
      </c>
      <c r="N5" s="45">
        <f t="shared" ref="N5:N33" si="5">L5*M5</f>
        <v>55252.749000001051</v>
      </c>
      <c r="O5" s="19">
        <f>'2'!G20</f>
        <v>183</v>
      </c>
      <c r="P5" s="19">
        <v>108</v>
      </c>
      <c r="Q5" s="46">
        <f t="shared" si="0"/>
        <v>19764</v>
      </c>
      <c r="R5" s="47">
        <f t="shared" si="1"/>
        <v>174.21934501142422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435065</v>
      </c>
      <c r="W5" s="22">
        <f>'2'!G66</f>
        <v>20</v>
      </c>
      <c r="X5" s="22">
        <f>'2'!G67</f>
        <v>20</v>
      </c>
      <c r="Y5" s="22">
        <f t="shared" ref="Y5:Y33" si="7">V5+W5+X5</f>
        <v>435105</v>
      </c>
      <c r="Z5" s="19">
        <f>'2'!G84</f>
        <v>0</v>
      </c>
      <c r="AA5" s="19">
        <f>'2'!G85</f>
        <v>16</v>
      </c>
      <c r="AB5" s="19">
        <f>'2'!G86</f>
        <v>8</v>
      </c>
      <c r="AC5" s="19">
        <f>'2'!G87</f>
        <v>0</v>
      </c>
      <c r="AD5" s="19">
        <f t="shared" ref="AD5:AD33" si="8">Z5+AA5+AB5+AC5</f>
        <v>24</v>
      </c>
      <c r="AE5" s="23">
        <f t="shared" si="2"/>
        <v>3469.6100000000006</v>
      </c>
      <c r="AF5" s="23">
        <f t="shared" ref="AF5:AF33" si="9">AE5/AD5</f>
        <v>144.56708333333336</v>
      </c>
      <c r="AG5" s="19">
        <f>'2'!G88</f>
        <v>0</v>
      </c>
      <c r="AH5" s="19">
        <f>'2'!G89</f>
        <v>9.3899999999994179</v>
      </c>
      <c r="AI5" s="19">
        <f>'2'!G90</f>
        <v>0</v>
      </c>
      <c r="AJ5" s="19">
        <f t="shared" ref="AJ5:AJ33" si="10">AG5+AH5+AI5</f>
        <v>9.3899999999994179</v>
      </c>
      <c r="AK5" s="19">
        <f>'2'!G91</f>
        <v>11.460000000000036</v>
      </c>
      <c r="AL5" s="19">
        <f>'2'!G92</f>
        <v>0</v>
      </c>
      <c r="AM5" s="19"/>
      <c r="AN5" s="19">
        <f t="shared" ref="AN5:AN33" si="11">AK5+AL5</f>
        <v>11.460000000000036</v>
      </c>
      <c r="AO5" s="52">
        <f>'2'!G74</f>
        <v>311.03599999996368</v>
      </c>
      <c r="AP5" s="55">
        <f>'2'!G35</f>
        <v>1388.3099999999977</v>
      </c>
      <c r="AQ5" s="19">
        <f>'2'!G37</f>
        <v>1547.1000000000058</v>
      </c>
      <c r="AR5" s="19">
        <f>'2'!G38</f>
        <v>1758.7900000000009</v>
      </c>
      <c r="AS5" s="19">
        <f>'2'!G39</f>
        <v>2628.2200000000012</v>
      </c>
      <c r="AT5" s="19">
        <f>'2'!G40</f>
        <v>0</v>
      </c>
      <c r="AU5" s="19">
        <f>'2'!G41</f>
        <v>0</v>
      </c>
      <c r="AV5" s="19">
        <f>'2'!G42</f>
        <v>2346.320000000007</v>
      </c>
      <c r="AW5" s="19">
        <f>'2'!G43</f>
        <v>1997.1600000000035</v>
      </c>
      <c r="AX5" s="19">
        <f>'2'!G44</f>
        <v>0</v>
      </c>
      <c r="AY5" s="56">
        <f>'2'!G36</f>
        <v>811.5</v>
      </c>
      <c r="AZ5" s="55">
        <f>'2'!G49</f>
        <v>1046.7299999999996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156.30999999999949</v>
      </c>
      <c r="BE5" s="19">
        <f>'2'!G55</f>
        <v>1123.2899999999936</v>
      </c>
      <c r="BF5" s="19">
        <f>'2'!G56</f>
        <v>0</v>
      </c>
      <c r="BG5" s="19">
        <f>'2'!G57</f>
        <v>0</v>
      </c>
      <c r="BH5" s="56">
        <f>'2'!G50</f>
        <v>987.52999999999884</v>
      </c>
      <c r="BI5" s="60">
        <f t="shared" ref="BI5:BI32" si="12">SUM(AU5,AV5,BE5,BF5)</f>
        <v>3469.6100000000006</v>
      </c>
      <c r="BJ5" s="60">
        <f>'2'!G133</f>
        <v>568.0399999999936</v>
      </c>
      <c r="BK5" s="23">
        <f t="shared" ref="BK5:BK33" si="13">SUM(AP5,AU5,AV5,AW5,AZ5,BE5,BF5,BG5)/H5%</f>
        <v>43.089813502017677</v>
      </c>
      <c r="BL5" s="23">
        <f t="shared" ref="BL5:BL33" si="14">SUM(AS5,BC5)/H5%</f>
        <v>14.332097284327633</v>
      </c>
      <c r="BM5" s="24">
        <f t="shared" ref="BM5:BM33" si="15">(AR5+BB5)/H5</f>
        <v>9.5909586650670786E-2</v>
      </c>
      <c r="BN5" s="25">
        <f t="shared" ref="BN5:BN33" si="16">J5+N5+Q5+U5</f>
        <v>240058.74900000106</v>
      </c>
      <c r="BO5" s="38">
        <f t="shared" ref="BO5:BO35" si="17">SUM(AU5,AV5,AW5,BE5,BF5,BG5,BJ5)</f>
        <v>6034.8099999999977</v>
      </c>
      <c r="BP5">
        <f t="shared" ref="BP5:BP35" si="18">BO5/(AD5*280)</f>
        <v>0.89803720238095208</v>
      </c>
    </row>
    <row r="6" spans="1:69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19083</v>
      </c>
      <c r="H6" s="19">
        <f>'3'!G8</f>
        <v>19219</v>
      </c>
      <c r="I6" s="19">
        <v>9</v>
      </c>
      <c r="J6" s="49">
        <f t="shared" si="3"/>
        <v>172971</v>
      </c>
      <c r="K6" s="45">
        <f t="shared" si="4"/>
        <v>95.143564356435647</v>
      </c>
      <c r="L6" s="19">
        <f>'3'!G15</f>
        <v>1012.3479999999981</v>
      </c>
      <c r="M6" s="19">
        <v>56.2</v>
      </c>
      <c r="N6" s="45">
        <f t="shared" si="5"/>
        <v>56893.9575999999</v>
      </c>
      <c r="O6" s="19">
        <f>'3'!G20</f>
        <v>233</v>
      </c>
      <c r="P6" s="19">
        <v>108</v>
      </c>
      <c r="Q6" s="46">
        <f t="shared" si="0"/>
        <v>25164</v>
      </c>
      <c r="R6" s="47">
        <f t="shared" si="1"/>
        <v>226.16967579110852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22</v>
      </c>
      <c r="X6" s="22">
        <f>'3'!G67</f>
        <v>20</v>
      </c>
      <c r="Y6" s="22">
        <f>V6+W6+X6</f>
        <v>136</v>
      </c>
      <c r="Z6" s="19">
        <f>'3'!G84</f>
        <v>0</v>
      </c>
      <c r="AA6" s="19">
        <f>'3'!G85</f>
        <v>0</v>
      </c>
      <c r="AB6" s="19">
        <f>'3'!G86</f>
        <v>24</v>
      </c>
      <c r="AC6" s="19">
        <f>'3'!G87</f>
        <v>0</v>
      </c>
      <c r="AD6" s="19">
        <f t="shared" si="8"/>
        <v>24</v>
      </c>
      <c r="AE6" s="23">
        <f t="shared" si="2"/>
        <v>3484.5699999999943</v>
      </c>
      <c r="AF6" s="23">
        <f t="shared" si="9"/>
        <v>145.19041666666644</v>
      </c>
      <c r="AG6" s="19">
        <f>'3'!G88</f>
        <v>0</v>
      </c>
      <c r="AH6" s="19">
        <f>'3'!G89</f>
        <v>9.7999999999992724</v>
      </c>
      <c r="AI6" s="19">
        <f>'3'!G90</f>
        <v>2.3200000000069849</v>
      </c>
      <c r="AJ6" s="19">
        <f t="shared" si="10"/>
        <v>12.120000000006257</v>
      </c>
      <c r="AK6" s="19">
        <f>'3'!G91</f>
        <v>11</v>
      </c>
      <c r="AL6" s="19">
        <f>'3'!G92</f>
        <v>0</v>
      </c>
      <c r="AM6" s="19"/>
      <c r="AN6" s="19">
        <f t="shared" si="11"/>
        <v>11</v>
      </c>
      <c r="AO6" s="52">
        <f>'3'!G74</f>
        <v>310.54399999999441</v>
      </c>
      <c r="AP6" s="55">
        <f>'3'!G35</f>
        <v>1437.6200000000026</v>
      </c>
      <c r="AQ6" s="19">
        <f>'3'!G37</f>
        <v>1552.1100000000006</v>
      </c>
      <c r="AR6" s="19">
        <f>'3'!G38</f>
        <v>1668.1500000000015</v>
      </c>
      <c r="AS6" s="19">
        <f>'3'!G39</f>
        <v>2641.8299999999945</v>
      </c>
      <c r="AT6" s="19">
        <f>'3'!G40</f>
        <v>1.7000000000000028</v>
      </c>
      <c r="AU6" s="19">
        <f>'3'!G41</f>
        <v>0</v>
      </c>
      <c r="AV6" s="19">
        <f>'3'!G42</f>
        <v>37.129999999990105</v>
      </c>
      <c r="AW6" s="19">
        <f>'3'!G43</f>
        <v>2229.6699999999983</v>
      </c>
      <c r="AX6" s="19">
        <f>'3'!G44</f>
        <v>0</v>
      </c>
      <c r="AY6" s="56">
        <f>'3'!G36</f>
        <v>935.69999999999709</v>
      </c>
      <c r="AZ6" s="55">
        <f>'3'!G49</f>
        <v>1065.5499999999993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538.94000000000051</v>
      </c>
      <c r="BE6" s="19">
        <f>'3'!G55</f>
        <v>3334.3500000000058</v>
      </c>
      <c r="BF6" s="19">
        <f>'3'!G56</f>
        <v>113.08999999999833</v>
      </c>
      <c r="BG6" s="19">
        <f>'3'!G57</f>
        <v>0</v>
      </c>
      <c r="BH6" s="56">
        <f>'3'!G50</f>
        <v>1070.0599999999977</v>
      </c>
      <c r="BI6" s="60">
        <f t="shared" si="12"/>
        <v>3484.5699999999943</v>
      </c>
      <c r="BJ6" s="60">
        <f>'3'!G133</f>
        <v>565.15000000000873</v>
      </c>
      <c r="BK6" s="23">
        <f t="shared" si="13"/>
        <v>42.756699099849079</v>
      </c>
      <c r="BL6" s="23">
        <f t="shared" si="14"/>
        <v>13.745928508247019</v>
      </c>
      <c r="BM6" s="24">
        <f t="shared" si="15"/>
        <v>8.679691971486557E-2</v>
      </c>
      <c r="BN6" s="25">
        <f t="shared" si="16"/>
        <v>255028.95759999991</v>
      </c>
      <c r="BO6" s="38">
        <f t="shared" si="17"/>
        <v>6279.3900000000012</v>
      </c>
      <c r="BP6">
        <f t="shared" si="18"/>
        <v>0.93443303571428593</v>
      </c>
    </row>
    <row r="7" spans="1:69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18470.589999999967</v>
      </c>
      <c r="H7" s="19">
        <f>'4'!G8</f>
        <v>18612.709999999963</v>
      </c>
      <c r="I7" s="19">
        <v>9</v>
      </c>
      <c r="J7" s="49">
        <f t="shared" si="3"/>
        <v>167514.38999999966</v>
      </c>
      <c r="K7" s="45">
        <f t="shared" si="4"/>
        <v>92.142128712871099</v>
      </c>
      <c r="L7" s="19">
        <f>'4'!G15</f>
        <v>997.95200000004843</v>
      </c>
      <c r="M7" s="19">
        <v>56.2</v>
      </c>
      <c r="N7" s="45">
        <f t="shared" si="5"/>
        <v>56084.902400002728</v>
      </c>
      <c r="O7" s="19">
        <f>'4'!G20</f>
        <v>261</v>
      </c>
      <c r="P7" s="19">
        <v>108</v>
      </c>
      <c r="Q7" s="46">
        <f t="shared" si="0"/>
        <v>28188</v>
      </c>
      <c r="R7" s="47">
        <f t="shared" si="1"/>
        <v>144.18917619917332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87</v>
      </c>
      <c r="W7" s="22">
        <f>'4'!G66</f>
        <v>30</v>
      </c>
      <c r="X7" s="22">
        <f>'4'!G67</f>
        <v>25</v>
      </c>
      <c r="Y7" s="22">
        <f t="shared" si="7"/>
        <v>142</v>
      </c>
      <c r="Z7" s="19">
        <f>'4'!G84</f>
        <v>0.26000000000203727</v>
      </c>
      <c r="AA7" s="19">
        <f>'4'!G85</f>
        <v>0</v>
      </c>
      <c r="AB7" s="19">
        <f>'4'!G86</f>
        <v>24.25</v>
      </c>
      <c r="AC7" s="19">
        <f>'4'!G87</f>
        <v>0.93000000000029104</v>
      </c>
      <c r="AD7" s="19">
        <f t="shared" si="8"/>
        <v>25.440000000002328</v>
      </c>
      <c r="AE7" s="23">
        <f t="shared" si="2"/>
        <v>2816.8300000000017</v>
      </c>
      <c r="AF7" s="23">
        <f t="shared" si="9"/>
        <v>110.72444968552453</v>
      </c>
      <c r="AG7" s="19">
        <f>'4'!G88</f>
        <v>0</v>
      </c>
      <c r="AH7" s="19">
        <f>'4'!G89</f>
        <v>9.7400000000016007</v>
      </c>
      <c r="AI7" s="19">
        <f>'4'!G90</f>
        <v>0.25</v>
      </c>
      <c r="AJ7" s="19">
        <f t="shared" si="10"/>
        <v>9.9900000000016007</v>
      </c>
      <c r="AK7" s="19">
        <f>'4'!G91</f>
        <v>11.4699999999998</v>
      </c>
      <c r="AL7" s="19">
        <f>'4'!G92</f>
        <v>0</v>
      </c>
      <c r="AM7" s="19"/>
      <c r="AN7" s="19">
        <f t="shared" si="11"/>
        <v>11.4699999999998</v>
      </c>
      <c r="AO7" s="52">
        <f>'4'!G74</f>
        <v>297.04000000003725</v>
      </c>
      <c r="AP7" s="55">
        <f>'4'!G35</f>
        <v>1328.9400000000023</v>
      </c>
      <c r="AQ7" s="19">
        <f>'4'!G37</f>
        <v>1614.0999999999985</v>
      </c>
      <c r="AR7" s="19">
        <f>'4'!G38</f>
        <v>1858.4700000000012</v>
      </c>
      <c r="AS7" s="19">
        <f>'4'!G39</f>
        <v>2666.7100000000064</v>
      </c>
      <c r="AT7" s="19">
        <f>'4'!G40</f>
        <v>606.86000000000058</v>
      </c>
      <c r="AU7" s="19">
        <f>'4'!G41</f>
        <v>0</v>
      </c>
      <c r="AV7" s="19">
        <f>'4'!G42</f>
        <v>-8.999999999650754E-2</v>
      </c>
      <c r="AW7" s="19">
        <f>'4'!G43</f>
        <v>2395.179999999993</v>
      </c>
      <c r="AX7" s="19">
        <f>'4'!G44</f>
        <v>0</v>
      </c>
      <c r="AY7" s="56">
        <f>'4'!G36</f>
        <v>861.87000000000262</v>
      </c>
      <c r="AZ7" s="55">
        <f>'4'!G49</f>
        <v>1353.9300000000003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547.31999999999971</v>
      </c>
      <c r="BE7" s="19">
        <f>'4'!G55</f>
        <v>2816.9199999999983</v>
      </c>
      <c r="BF7" s="19">
        <f>'4'!G56</f>
        <v>0</v>
      </c>
      <c r="BG7" s="19">
        <f>'4'!G57</f>
        <v>0</v>
      </c>
      <c r="BH7" s="56">
        <f>'4'!G50</f>
        <v>1149.75</v>
      </c>
      <c r="BI7" s="60">
        <f t="shared" si="12"/>
        <v>2816.8300000000017</v>
      </c>
      <c r="BJ7" s="60">
        <f>'3'!G133</f>
        <v>565.15000000000873</v>
      </c>
      <c r="BK7" s="23">
        <f t="shared" si="13"/>
        <v>42.416606716593201</v>
      </c>
      <c r="BL7" s="23">
        <f t="shared" si="14"/>
        <v>14.327360174848327</v>
      </c>
      <c r="BM7" s="24">
        <f t="shared" si="15"/>
        <v>9.9849511436002861E-2</v>
      </c>
      <c r="BN7" s="25">
        <f t="shared" si="16"/>
        <v>251787.29240000239</v>
      </c>
      <c r="BO7" s="38">
        <f t="shared" si="17"/>
        <v>5777.1600000000035</v>
      </c>
      <c r="BP7">
        <f t="shared" si="18"/>
        <v>0.81103436657674566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1</v>
      </c>
      <c r="G8" s="19">
        <f>'5'!G7</f>
        <v>20600.080000000075</v>
      </c>
      <c r="H8" s="19">
        <f>'5'!G8</f>
        <v>20830.960000000079</v>
      </c>
      <c r="I8" s="19">
        <v>9</v>
      </c>
      <c r="J8" s="49">
        <f t="shared" si="3"/>
        <v>187478.64000000071</v>
      </c>
      <c r="K8" s="45">
        <f t="shared" si="4"/>
        <v>103.12356435643603</v>
      </c>
      <c r="L8" s="19">
        <f>'5'!G15</f>
        <v>1047.8699999998789</v>
      </c>
      <c r="M8" s="19">
        <v>56.2</v>
      </c>
      <c r="N8" s="45">
        <f t="shared" si="5"/>
        <v>58890.293999993199</v>
      </c>
      <c r="O8" s="19">
        <f>'5'!G20</f>
        <v>294</v>
      </c>
      <c r="P8" s="19">
        <v>108</v>
      </c>
      <c r="Q8" s="46">
        <f t="shared" si="0"/>
        <v>31752</v>
      </c>
      <c r="R8" s="47">
        <f t="shared" si="1"/>
        <v>145.54455445544554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100</v>
      </c>
      <c r="W8" s="22">
        <f>'5'!G66</f>
        <v>48</v>
      </c>
      <c r="X8" s="22">
        <f>'5'!G67</f>
        <v>26</v>
      </c>
      <c r="Y8" s="22">
        <f t="shared" si="7"/>
        <v>174</v>
      </c>
      <c r="Z8" s="19">
        <f>'5'!G84</f>
        <v>-0.26000000000203727</v>
      </c>
      <c r="AA8" s="19">
        <f>'5'!G85</f>
        <v>0</v>
      </c>
      <c r="AB8" s="19">
        <f>'5'!G86</f>
        <v>24.319999999999709</v>
      </c>
      <c r="AC8" s="19">
        <f>'5'!G87</f>
        <v>0</v>
      </c>
      <c r="AD8" s="19">
        <f t="shared" si="8"/>
        <v>24.059999999997672</v>
      </c>
      <c r="AE8" s="23">
        <f t="shared" si="2"/>
        <v>3196.3899999999994</v>
      </c>
      <c r="AF8" s="23">
        <f t="shared" si="9"/>
        <v>132.85078969244842</v>
      </c>
      <c r="AG8" s="19">
        <f>'5'!G88</f>
        <v>0</v>
      </c>
      <c r="AH8" s="19">
        <f>'5'!G89</f>
        <v>9.8600000000005821</v>
      </c>
      <c r="AI8" s="19">
        <f>'5'!G90</f>
        <v>3.6600000000034925</v>
      </c>
      <c r="AJ8" s="19">
        <f t="shared" si="10"/>
        <v>13.520000000004075</v>
      </c>
      <c r="AK8" s="19">
        <f>'5'!G91</f>
        <v>10.619999999999891</v>
      </c>
      <c r="AL8" s="19">
        <f>'5'!G92</f>
        <v>0</v>
      </c>
      <c r="AM8" s="19"/>
      <c r="AN8" s="19">
        <f t="shared" si="11"/>
        <v>10.619999999999891</v>
      </c>
      <c r="AO8" s="52">
        <f>'5'!G74</f>
        <v>284.73999999999069</v>
      </c>
      <c r="AP8" s="55">
        <f>'5'!G35</f>
        <v>1448.8099999999977</v>
      </c>
      <c r="AQ8" s="19">
        <f>'5'!G37</f>
        <v>1683.9199999999983</v>
      </c>
      <c r="AR8" s="19">
        <f>'5'!G38</f>
        <v>1939.4400000000023</v>
      </c>
      <c r="AS8" s="19">
        <f>'5'!G39</f>
        <v>2758.0200000000041</v>
      </c>
      <c r="AT8" s="19">
        <f>'5'!G40</f>
        <v>105.77000000000044</v>
      </c>
      <c r="AU8" s="19">
        <f>'5'!G41</f>
        <v>0</v>
      </c>
      <c r="AV8" s="19">
        <f>'5'!G42</f>
        <v>0</v>
      </c>
      <c r="AW8" s="19">
        <f>'5'!G43</f>
        <v>2237.7600000000093</v>
      </c>
      <c r="AX8" s="19">
        <f>'5'!G44</f>
        <v>0</v>
      </c>
      <c r="AY8" s="56">
        <f>'5'!G36</f>
        <v>1353.260000000002</v>
      </c>
      <c r="AZ8" s="55">
        <f>'5'!G49</f>
        <v>1440.1899999999987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533.68000000000029</v>
      </c>
      <c r="BE8" s="19">
        <f>'5'!G55</f>
        <v>3196.3899999999994</v>
      </c>
      <c r="BF8" s="19">
        <f>'5'!G56</f>
        <v>0</v>
      </c>
      <c r="BG8" s="19">
        <f>'5'!G57</f>
        <v>0</v>
      </c>
      <c r="BH8" s="56">
        <f>'5'!G50</f>
        <v>1526.75</v>
      </c>
      <c r="BI8" s="60">
        <f t="shared" si="12"/>
        <v>3196.3899999999994</v>
      </c>
      <c r="BJ8" s="60">
        <f>'5'!G133</f>
        <v>692.97000000000116</v>
      </c>
      <c r="BK8" s="23">
        <f t="shared" si="13"/>
        <v>39.955671750125646</v>
      </c>
      <c r="BL8" s="23">
        <f t="shared" si="14"/>
        <v>13.240004301289973</v>
      </c>
      <c r="BM8" s="24">
        <f t="shared" si="15"/>
        <v>9.3103726376508572E-2</v>
      </c>
      <c r="BN8" s="25">
        <f t="shared" si="16"/>
        <v>278120.9339999939</v>
      </c>
      <c r="BO8" s="38">
        <f t="shared" si="17"/>
        <v>6127.1200000000099</v>
      </c>
      <c r="BP8">
        <f t="shared" si="18"/>
        <v>0.90950005937546052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20386.880000000005</v>
      </c>
      <c r="H9" s="19">
        <f>'6'!G8</f>
        <v>20612</v>
      </c>
      <c r="I9" s="19">
        <v>9</v>
      </c>
      <c r="J9" s="49">
        <f t="shared" si="3"/>
        <v>185508</v>
      </c>
      <c r="K9" s="45">
        <f t="shared" si="4"/>
        <v>102.03960396039604</v>
      </c>
      <c r="L9" s="19">
        <f>'6'!G15</f>
        <v>1049.5</v>
      </c>
      <c r="M9" s="19">
        <v>56.2</v>
      </c>
      <c r="N9" s="45">
        <f t="shared" si="5"/>
        <v>58981.9</v>
      </c>
      <c r="O9" s="19">
        <f>'6'!G20</f>
        <v>275</v>
      </c>
      <c r="P9" s="19">
        <v>108</v>
      </c>
      <c r="Q9" s="46">
        <f t="shared" si="0"/>
        <v>29700</v>
      </c>
      <c r="R9" s="47">
        <f t="shared" si="1"/>
        <v>234.72174803687267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26</v>
      </c>
      <c r="X9" s="22">
        <f>'6'!G67</f>
        <v>31</v>
      </c>
      <c r="Y9" s="22">
        <f t="shared" si="7"/>
        <v>167</v>
      </c>
      <c r="Z9" s="19">
        <f>'6'!G84</f>
        <v>0</v>
      </c>
      <c r="AA9" s="19">
        <f>'6'!G85</f>
        <v>0</v>
      </c>
      <c r="AB9" s="19">
        <f>'6'!G86</f>
        <v>24.430000000000291</v>
      </c>
      <c r="AC9" s="19">
        <f>'6'!G87</f>
        <v>0</v>
      </c>
      <c r="AD9" s="19">
        <f t="shared" si="8"/>
        <v>24.430000000000291</v>
      </c>
      <c r="AE9" s="23">
        <f t="shared" si="2"/>
        <v>3426.9199999999983</v>
      </c>
      <c r="AF9" s="23">
        <f t="shared" si="9"/>
        <v>140.27507163323608</v>
      </c>
      <c r="AG9" s="19">
        <f>'6'!G88</f>
        <v>0</v>
      </c>
      <c r="AH9" s="19">
        <f>'6'!G89</f>
        <v>10.180000000000291</v>
      </c>
      <c r="AI9" s="19">
        <f>'6'!G90</f>
        <v>4.1599999999889405</v>
      </c>
      <c r="AJ9" s="19">
        <f t="shared" si="10"/>
        <v>14.339999999989232</v>
      </c>
      <c r="AK9" s="19">
        <f>'6'!G91</f>
        <v>11.170000000000073</v>
      </c>
      <c r="AL9" s="19">
        <f>'6'!G92</f>
        <v>0</v>
      </c>
      <c r="AM9" s="19"/>
      <c r="AN9" s="19">
        <f t="shared" si="11"/>
        <v>11.170000000000073</v>
      </c>
      <c r="AO9" s="52">
        <f>'6'!G74</f>
        <v>303.77999999991152</v>
      </c>
      <c r="AP9" s="55">
        <f>'6'!G35</f>
        <v>1654.0999999999985</v>
      </c>
      <c r="AQ9" s="19">
        <f>'6'!G37</f>
        <v>1645.6599999999962</v>
      </c>
      <c r="AR9" s="19">
        <f>'6'!G38</f>
        <v>1915.0299999999988</v>
      </c>
      <c r="AS9" s="19">
        <f>'6'!G39</f>
        <v>2776.5599999999977</v>
      </c>
      <c r="AT9" s="19">
        <f>'6'!G40</f>
        <v>402.02999999999884</v>
      </c>
      <c r="AU9" s="19">
        <f>'6'!G41</f>
        <v>0</v>
      </c>
      <c r="AV9" s="19">
        <f>'6'!G42</f>
        <v>0</v>
      </c>
      <c r="AW9" s="19">
        <f>'6'!G43</f>
        <v>2145.3499999999913</v>
      </c>
      <c r="AX9" s="19">
        <f>'6'!G44</f>
        <v>0</v>
      </c>
      <c r="AY9" s="56">
        <f>'6'!G36</f>
        <v>902.15999999999622</v>
      </c>
      <c r="AZ9" s="55">
        <f>'6'!G49</f>
        <v>1365.1900000000023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531.21</v>
      </c>
      <c r="BE9" s="19">
        <f>'6'!G55</f>
        <v>3426.9199999999983</v>
      </c>
      <c r="BF9" s="19">
        <f>'6'!G56</f>
        <v>0</v>
      </c>
      <c r="BG9" s="19">
        <f>'6'!G57</f>
        <v>0</v>
      </c>
      <c r="BH9" s="56">
        <f>'6'!G50</f>
        <v>1272.5999999999985</v>
      </c>
      <c r="BI9" s="60">
        <f t="shared" si="12"/>
        <v>3426.9199999999983</v>
      </c>
      <c r="BJ9" s="60">
        <f>'6'!G133</f>
        <v>622.38999999999942</v>
      </c>
      <c r="BK9" s="23">
        <f t="shared" si="13"/>
        <v>41.682320978070976</v>
      </c>
      <c r="BL9" s="23">
        <f t="shared" si="14"/>
        <v>13.470599650688907</v>
      </c>
      <c r="BM9" s="24">
        <f t="shared" si="15"/>
        <v>9.2908499902969094E-2</v>
      </c>
      <c r="BN9" s="25">
        <f t="shared" si="16"/>
        <v>274189.90000000002</v>
      </c>
      <c r="BO9" s="38">
        <f t="shared" si="17"/>
        <v>6194.6599999999889</v>
      </c>
      <c r="BP9">
        <f t="shared" si="18"/>
        <v>0.90559908777263243</v>
      </c>
    </row>
    <row r="10" spans="1:69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21554.719999999972</v>
      </c>
      <c r="H10" s="19">
        <f>'7'!G8</f>
        <v>21704.239999999991</v>
      </c>
      <c r="I10" s="19">
        <v>9</v>
      </c>
      <c r="J10" s="49">
        <f t="shared" si="3"/>
        <v>195338.15999999992</v>
      </c>
      <c r="K10" s="45">
        <f t="shared" si="4"/>
        <v>107.44673267326728</v>
      </c>
      <c r="L10" s="19">
        <f>'7'!G15</f>
        <v>1030.6800000001676</v>
      </c>
      <c r="M10" s="19">
        <v>56.2</v>
      </c>
      <c r="N10" s="45">
        <f t="shared" si="5"/>
        <v>57924.216000009423</v>
      </c>
      <c r="O10" s="19">
        <f>'7'!G20</f>
        <v>242</v>
      </c>
      <c r="P10" s="19">
        <v>108</v>
      </c>
      <c r="Q10" s="46">
        <f t="shared" si="0"/>
        <v>26136</v>
      </c>
      <c r="R10" s="47">
        <f t="shared" si="1"/>
        <v>159.73597359735976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96</v>
      </c>
      <c r="W10" s="22">
        <f>'7'!G66</f>
        <v>21</v>
      </c>
      <c r="X10" s="22">
        <f>'7'!G67</f>
        <v>30</v>
      </c>
      <c r="Y10" s="22">
        <f t="shared" si="7"/>
        <v>147</v>
      </c>
      <c r="Z10" s="19">
        <f>'7'!G84</f>
        <v>0</v>
      </c>
      <c r="AA10" s="19">
        <f>'7'!G85</f>
        <v>12.069999999999709</v>
      </c>
      <c r="AB10" s="19">
        <f>'7'!G86</f>
        <v>13.30000000000291</v>
      </c>
      <c r="AC10" s="19">
        <f>'7'!G87</f>
        <v>0</v>
      </c>
      <c r="AD10" s="19">
        <f t="shared" si="8"/>
        <v>25.370000000002619</v>
      </c>
      <c r="AE10" s="23">
        <f t="shared" si="2"/>
        <v>4458.75</v>
      </c>
      <c r="AF10" s="23">
        <f t="shared" si="9"/>
        <v>175.74891604255183</v>
      </c>
      <c r="AG10" s="19">
        <f>'7'!G88</f>
        <v>0</v>
      </c>
      <c r="AH10" s="19">
        <f>'7'!G89</f>
        <v>9.7899999999972351</v>
      </c>
      <c r="AI10" s="19">
        <f>'7'!G90</f>
        <v>4.1600000000034925</v>
      </c>
      <c r="AJ10" s="19">
        <f t="shared" si="10"/>
        <v>13.950000000000728</v>
      </c>
      <c r="AK10" s="19">
        <f>'7'!G91</f>
        <v>11.099999999999909</v>
      </c>
      <c r="AL10" s="19">
        <f>'7'!G92</f>
        <v>0</v>
      </c>
      <c r="AM10" s="19"/>
      <c r="AN10" s="19">
        <f t="shared" si="11"/>
        <v>11.099999999999909</v>
      </c>
      <c r="AO10" s="52">
        <f>'7'!G74</f>
        <v>301.6600000000326</v>
      </c>
      <c r="AP10" s="55">
        <f>'7'!G35</f>
        <v>1666.4199999999983</v>
      </c>
      <c r="AQ10" s="19">
        <f>'7'!G37</f>
        <v>1658.8400000000038</v>
      </c>
      <c r="AR10" s="19">
        <f>'7'!G38</f>
        <v>2017.739999999998</v>
      </c>
      <c r="AS10" s="19">
        <f>'7'!G39</f>
        <v>3066.4900000000052</v>
      </c>
      <c r="AT10" s="19">
        <f>'7'!G40</f>
        <v>282.68000000000029</v>
      </c>
      <c r="AU10" s="19">
        <f>'7'!G41</f>
        <v>0</v>
      </c>
      <c r="AV10" s="19">
        <f>'7'!G42</f>
        <v>2568.2599999999948</v>
      </c>
      <c r="AW10" s="19">
        <f>'7'!G43</f>
        <v>2208.6800000000076</v>
      </c>
      <c r="AX10" s="19">
        <f>'7'!G44</f>
        <v>0</v>
      </c>
      <c r="AY10" s="56">
        <f>'7'!G36</f>
        <v>840.56999999999971</v>
      </c>
      <c r="AZ10" s="55">
        <f>'7'!G49</f>
        <v>1433.9199999999983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534.96</v>
      </c>
      <c r="BE10" s="19">
        <f>'7'!G55</f>
        <v>1890.4900000000052</v>
      </c>
      <c r="BF10" s="19">
        <f>'7'!G56</f>
        <v>0</v>
      </c>
      <c r="BG10" s="19">
        <f>'7'!G57</f>
        <v>0</v>
      </c>
      <c r="BH10" s="56">
        <f>'7'!G50</f>
        <v>1415.6200000000026</v>
      </c>
      <c r="BI10" s="60">
        <f t="shared" si="12"/>
        <v>4458.75</v>
      </c>
      <c r="BJ10" s="60">
        <f>'7'!G133</f>
        <v>677.02999999999884</v>
      </c>
      <c r="BK10" s="23">
        <f t="shared" si="13"/>
        <v>45.003971574217793</v>
      </c>
      <c r="BL10" s="23">
        <f t="shared" si="14"/>
        <v>14.128529725067574</v>
      </c>
      <c r="BM10" s="24">
        <f t="shared" si="15"/>
        <v>9.2965245500418292E-2</v>
      </c>
      <c r="BN10" s="25">
        <f t="shared" si="16"/>
        <v>279398.37600000936</v>
      </c>
      <c r="BO10" s="38">
        <f t="shared" si="17"/>
        <v>7344.4600000000064</v>
      </c>
      <c r="BP10">
        <f t="shared" si="18"/>
        <v>1.0339067515061726</v>
      </c>
    </row>
    <row r="11" spans="1:69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-534322.27</v>
      </c>
      <c r="H11" s="19">
        <f>'8'!G8</f>
        <v>-543397.91</v>
      </c>
      <c r="I11" s="19">
        <v>9</v>
      </c>
      <c r="J11" s="49">
        <f t="shared" si="3"/>
        <v>-4890581.1900000004</v>
      </c>
      <c r="K11" s="45">
        <f t="shared" si="4"/>
        <v>-2690.0886633663367</v>
      </c>
      <c r="L11" s="19">
        <f>'8'!G15</f>
        <v>-27984.820000000065</v>
      </c>
      <c r="M11" s="19">
        <v>56.2</v>
      </c>
      <c r="N11" s="45">
        <f t="shared" si="5"/>
        <v>-1572746.8840000038</v>
      </c>
      <c r="O11" s="19">
        <f>'8'!G20</f>
        <v>-1444</v>
      </c>
      <c r="P11" s="19">
        <v>108</v>
      </c>
      <c r="Q11" s="46">
        <f t="shared" si="0"/>
        <v>-155952</v>
      </c>
      <c r="R11" s="47">
        <f t="shared" si="1"/>
        <v>-1006.8330776739647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-2345</v>
      </c>
      <c r="W11" s="22">
        <f>'8'!G66</f>
        <v>-548</v>
      </c>
      <c r="X11" s="22">
        <f>'8'!G67</f>
        <v>-673</v>
      </c>
      <c r="Y11" s="22">
        <f t="shared" si="7"/>
        <v>-3566</v>
      </c>
      <c r="Z11" s="19">
        <f>'8'!G84</f>
        <v>0</v>
      </c>
      <c r="AA11" s="19">
        <f>'8'!G85</f>
        <v>-215.92999999999984</v>
      </c>
      <c r="AB11" s="19">
        <f>'8'!G86</f>
        <v>-504.30000000000291</v>
      </c>
      <c r="AC11" s="19">
        <f>'8'!G87</f>
        <v>-0.93000000000029104</v>
      </c>
      <c r="AD11" s="19">
        <f t="shared" si="8"/>
        <v>-721.16000000000304</v>
      </c>
      <c r="AE11" s="23">
        <f t="shared" si="2"/>
        <v>-97121.84</v>
      </c>
      <c r="AF11" s="23">
        <f t="shared" si="9"/>
        <v>134.67446891119806</v>
      </c>
      <c r="AG11" s="19">
        <f>'8'!G88</f>
        <v>-5.430000000000291</v>
      </c>
      <c r="AH11" s="19">
        <f>'8'!G89</f>
        <v>-245.36999999999898</v>
      </c>
      <c r="AI11" s="19">
        <f>'8'!G90</f>
        <v>-107.91999999999825</v>
      </c>
      <c r="AJ11" s="19">
        <f t="shared" si="10"/>
        <v>-358.71999999999753</v>
      </c>
      <c r="AK11" s="19">
        <f>'8'!G91</f>
        <v>-103.35999999999967</v>
      </c>
      <c r="AL11" s="19">
        <f>'8'!G92</f>
        <v>-223.06999999999971</v>
      </c>
      <c r="AM11" s="19"/>
      <c r="AN11" s="19">
        <f t="shared" si="11"/>
        <v>-326.42999999999938</v>
      </c>
      <c r="AO11" s="52">
        <f>'8'!G74</f>
        <v>-9119.4799999999814</v>
      </c>
      <c r="AP11" s="55">
        <f>'8'!G35</f>
        <v>125866.8</v>
      </c>
      <c r="AQ11" s="19">
        <f>'8'!G37</f>
        <v>160924.07</v>
      </c>
      <c r="AR11" s="19">
        <f>'8'!G38</f>
        <v>194527.68</v>
      </c>
      <c r="AS11" s="19">
        <f>'8'!G39</f>
        <v>354440.29</v>
      </c>
      <c r="AT11" s="19">
        <f>'8'!G40</f>
        <v>-16341.77</v>
      </c>
      <c r="AU11" s="19">
        <f>'8'!G41</f>
        <v>-62.73</v>
      </c>
      <c r="AV11" s="19">
        <f>'8'!G42</f>
        <v>-35260.549999999988</v>
      </c>
      <c r="AW11" s="19">
        <f>'8'!G43</f>
        <v>-63585.33</v>
      </c>
      <c r="AX11" s="23">
        <f>'8'!G44</f>
        <v>0</v>
      </c>
      <c r="AY11" s="56">
        <f>'8'!G36</f>
        <v>-21903.559999999998</v>
      </c>
      <c r="AZ11" s="55">
        <f>'8'!G49</f>
        <v>251720.22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-5924.84</v>
      </c>
      <c r="BE11" s="19">
        <f>'8'!G55</f>
        <v>-61685.47</v>
      </c>
      <c r="BF11" s="19">
        <f>'8'!G56</f>
        <v>-113.08999999999833</v>
      </c>
      <c r="BG11" s="19">
        <f>'8'!G57</f>
        <v>0</v>
      </c>
      <c r="BH11" s="56">
        <f>'8'!G50</f>
        <v>-31671.86</v>
      </c>
      <c r="BI11" s="60">
        <f t="shared" si="12"/>
        <v>-97121.84</v>
      </c>
      <c r="BJ11" s="60">
        <f>'8'!G133</f>
        <v>-15423.679999999993</v>
      </c>
      <c r="BK11" s="23">
        <f t="shared" si="13"/>
        <v>-39.911793183010218</v>
      </c>
      <c r="BL11" s="23">
        <f t="shared" si="14"/>
        <v>-65.226656834215646</v>
      </c>
      <c r="BM11" s="24">
        <f t="shared" si="15"/>
        <v>-0.35798385753820799</v>
      </c>
      <c r="BN11" s="25">
        <f t="shared" si="16"/>
        <v>-6619280.0740000047</v>
      </c>
      <c r="BO11" s="38">
        <f t="shared" si="17"/>
        <v>-176130.84999999998</v>
      </c>
      <c r="BP11">
        <f t="shared" si="18"/>
        <v>0.87225962338454333</v>
      </c>
    </row>
    <row r="12" spans="1:69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-15423.679999999993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-10510.219999999994</v>
      </c>
      <c r="BP12">
        <f t="shared" si="18"/>
        <v>-1.5640208333333325</v>
      </c>
    </row>
    <row r="13" spans="1:69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-15423.679999999993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-10540.679999999993</v>
      </c>
      <c r="BP13">
        <f t="shared" si="18"/>
        <v>-1.5692074078484919</v>
      </c>
    </row>
    <row r="14" spans="1:69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17614.229999999981</v>
      </c>
      <c r="H34" s="19">
        <f>'31'!G8</f>
        <v>17830.150000000023</v>
      </c>
      <c r="I34" s="19">
        <v>9</v>
      </c>
      <c r="J34" s="49">
        <f t="shared" si="3"/>
        <v>160471.35000000021</v>
      </c>
      <c r="K34" s="45">
        <f t="shared" ref="K34" si="20">H34/202</f>
        <v>88.268069306930812</v>
      </c>
      <c r="L34" s="19">
        <f>'31'!G15</f>
        <v>915.76699999999255</v>
      </c>
      <c r="M34" s="19">
        <v>56.2</v>
      </c>
      <c r="N34" s="41">
        <f t="shared" ref="N34" si="21">L34*M34</f>
        <v>51466.105399999586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46.63236147760955</v>
      </c>
      <c r="BL34" s="23">
        <f t="shared" ref="BL34" si="32">SUM(AS34,BC34)/H34%</f>
        <v>14.85848408454218</v>
      </c>
      <c r="BM34" s="24">
        <f t="shared" ref="BM34" si="33">(AR34+BB34)/H34</f>
        <v>9.1274049853758837E-2</v>
      </c>
      <c r="BN34" s="25">
        <f t="shared" ref="BN34" si="34">J34+N34+Q34+U34</f>
        <v>227705.4553999998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>
      <c r="A35" s="16" t="s">
        <v>196</v>
      </c>
      <c r="B35" s="30"/>
      <c r="C35" s="31"/>
      <c r="D35" s="32">
        <f>AVERAGE(D4:D34)</f>
        <v>24.548387096774192</v>
      </c>
      <c r="E35" s="33"/>
      <c r="F35" s="73">
        <f>AVERAGE(F4:F34)</f>
        <v>1.3719935483870969</v>
      </c>
      <c r="G35" s="34">
        <f>SUM(G4:G34)</f>
        <v>15</v>
      </c>
      <c r="H35" s="34">
        <f t="shared" ref="H35:BN35" si="37">SUM(H4:H34)</f>
        <v>0</v>
      </c>
      <c r="I35" s="19">
        <v>9</v>
      </c>
      <c r="J35" s="34">
        <f t="shared" si="37"/>
        <v>-3.4924596548080444E-10</v>
      </c>
      <c r="K35" s="34">
        <f t="shared" si="37"/>
        <v>0</v>
      </c>
      <c r="L35" s="34">
        <f t="shared" si="37"/>
        <v>0</v>
      </c>
      <c r="M35" s="34">
        <f t="shared" si="37"/>
        <v>1742.200000000001</v>
      </c>
      <c r="N35" s="34">
        <f t="shared" si="37"/>
        <v>-8.0035533756017685E-11</v>
      </c>
      <c r="O35" s="34">
        <f t="shared" si="37"/>
        <v>4130</v>
      </c>
      <c r="P35" s="34">
        <f t="shared" si="37"/>
        <v>3348</v>
      </c>
      <c r="Q35" s="34">
        <f t="shared" si="37"/>
        <v>446040</v>
      </c>
      <c r="R35" s="34">
        <f t="shared" si="37"/>
        <v>3586.5852924591209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434994</v>
      </c>
      <c r="W35" s="34">
        <f t="shared" si="37"/>
        <v>0</v>
      </c>
      <c r="X35" s="34">
        <f t="shared" si="37"/>
        <v>0</v>
      </c>
      <c r="Y35" s="34">
        <f t="shared" si="37"/>
        <v>434994</v>
      </c>
      <c r="Z35" s="34">
        <f t="shared" si="37"/>
        <v>0</v>
      </c>
      <c r="AA35" s="34">
        <f t="shared" si="37"/>
        <v>1.5799999999999272</v>
      </c>
      <c r="AB35" s="34">
        <f t="shared" si="37"/>
        <v>0</v>
      </c>
      <c r="AC35" s="34">
        <f t="shared" si="37"/>
        <v>0</v>
      </c>
      <c r="AD35" s="34">
        <f t="shared" si="37"/>
        <v>1.5799999999999272</v>
      </c>
      <c r="AE35" s="34">
        <f t="shared" si="37"/>
        <v>-3091.1300000000119</v>
      </c>
      <c r="AF35" s="34">
        <f t="shared" si="37"/>
        <v>4026.1924984580601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168042.00000000003</v>
      </c>
      <c r="AQ35" s="34">
        <f t="shared" si="37"/>
        <v>207605.00000000003</v>
      </c>
      <c r="AR35" s="34">
        <f t="shared" si="37"/>
        <v>245682</v>
      </c>
      <c r="AS35" s="34">
        <f t="shared" si="37"/>
        <v>432760.99999999994</v>
      </c>
      <c r="AT35" s="34">
        <f t="shared" si="37"/>
        <v>-867.13000000000102</v>
      </c>
      <c r="AU35" s="34">
        <f t="shared" si="37"/>
        <v>-62.73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285361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1752.58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-3091.1300000000119</v>
      </c>
      <c r="BJ35" s="34">
        <f t="shared" si="37"/>
        <v>-31863.039999999964</v>
      </c>
      <c r="BK35" s="34">
        <f t="shared" si="37"/>
        <v>1249.0373627057388</v>
      </c>
      <c r="BL35" s="34">
        <f t="shared" si="37"/>
        <v>368.15695409946898</v>
      </c>
      <c r="BM35" s="34">
        <f t="shared" si="37"/>
        <v>2.4686315174404547</v>
      </c>
      <c r="BN35" s="34">
        <f t="shared" si="37"/>
        <v>453629.99999999953</v>
      </c>
      <c r="BO35" s="38">
        <f t="shared" si="17"/>
        <v>-34954.169999999962</v>
      </c>
      <c r="BP35">
        <f t="shared" si="18"/>
        <v>-79.010330018086734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>
      <c r="F37" s="38">
        <f>AVERAGE(F4:F35)</f>
        <v>1.3719935483870969</v>
      </c>
      <c r="G37" s="38"/>
      <c r="H37" s="38">
        <f>AVERAGE(H4:H35)</f>
        <v>0</v>
      </c>
    </row>
    <row r="38" spans="1:68">
      <c r="B38" s="36" t="s">
        <v>66</v>
      </c>
      <c r="F38" s="72">
        <f>AVERAGE(F4:F35)</f>
        <v>1.3719935483870969</v>
      </c>
      <c r="G38" s="72"/>
    </row>
    <row r="41" spans="1:68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"/>
  <sheetViews>
    <sheetView topLeftCell="A20" workbookViewId="0">
      <selection activeCell="F35" sqref="F35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2" t="s">
        <v>355</v>
      </c>
    </row>
    <row r="2" spans="1:17">
      <c r="A2" s="248">
        <v>1</v>
      </c>
      <c r="B2" s="463">
        <f>C2/202%</f>
        <v>77.227722772277232</v>
      </c>
      <c r="C2" s="463">
        <v>156</v>
      </c>
      <c r="D2" s="463">
        <v>5</v>
      </c>
      <c r="E2" s="463">
        <v>80</v>
      </c>
      <c r="F2" s="464">
        <v>614</v>
      </c>
      <c r="G2" s="464">
        <f>C2+D2</f>
        <v>161</v>
      </c>
      <c r="H2" s="465">
        <f>C2/202%</f>
        <v>77.227722772277232</v>
      </c>
      <c r="I2" s="466"/>
      <c r="J2" s="465">
        <f>'Section Load'!C5/G2</f>
        <v>108.4400621118011</v>
      </c>
      <c r="K2">
        <f>10/202</f>
        <v>4.9504950495049507E-2</v>
      </c>
    </row>
    <row r="3" spans="1:17">
      <c r="A3" s="248">
        <v>2</v>
      </c>
      <c r="B3" s="463">
        <f t="shared" ref="B3:B32" si="0">C3/202%</f>
        <v>53.465346534653463</v>
      </c>
      <c r="C3" s="463">
        <v>108</v>
      </c>
      <c r="D3" s="463">
        <v>5</v>
      </c>
      <c r="E3" s="463">
        <v>56</v>
      </c>
      <c r="F3" s="464">
        <v>516</v>
      </c>
      <c r="G3" s="464">
        <f t="shared" ref="G3:G31" si="1">C3+D3</f>
        <v>113</v>
      </c>
      <c r="H3" s="465">
        <f t="shared" ref="H3:H32" si="2">C3/202%</f>
        <v>53.465346534653463</v>
      </c>
      <c r="I3" s="466"/>
      <c r="J3" s="465">
        <f>'Section Load'!C6/G3</f>
        <v>162.28318584070797</v>
      </c>
    </row>
    <row r="4" spans="1:17">
      <c r="A4" s="248">
        <v>3</v>
      </c>
      <c r="B4" s="463">
        <f t="shared" si="0"/>
        <v>54.455445544554458</v>
      </c>
      <c r="C4" s="463">
        <v>110</v>
      </c>
      <c r="D4" s="463">
        <v>5</v>
      </c>
      <c r="E4" s="463">
        <v>57</v>
      </c>
      <c r="F4" s="464">
        <v>306</v>
      </c>
      <c r="G4" s="464">
        <f t="shared" si="1"/>
        <v>115</v>
      </c>
      <c r="H4" s="465">
        <f t="shared" si="2"/>
        <v>54.455445544554458</v>
      </c>
      <c r="I4" s="466"/>
      <c r="J4" s="465">
        <f>'Section Load'!C7/G4</f>
        <v>167.12173913043478</v>
      </c>
      <c r="Q4" s="485">
        <f>C2/202</f>
        <v>0.7722772277227723</v>
      </c>
    </row>
    <row r="5" spans="1:17">
      <c r="A5" s="248">
        <v>4</v>
      </c>
      <c r="B5" s="463">
        <f t="shared" si="0"/>
        <v>62.376237623762378</v>
      </c>
      <c r="C5" s="463">
        <v>126</v>
      </c>
      <c r="D5" s="463">
        <v>6</v>
      </c>
      <c r="E5" s="463">
        <v>65</v>
      </c>
      <c r="F5" s="464">
        <v>385</v>
      </c>
      <c r="G5" s="464">
        <f t="shared" si="1"/>
        <v>132</v>
      </c>
      <c r="H5" s="465">
        <f t="shared" si="2"/>
        <v>62.376237623762378</v>
      </c>
      <c r="I5" s="466"/>
      <c r="J5" s="465">
        <f>'Section Load'!C8/G5</f>
        <v>141.0053787878785</v>
      </c>
    </row>
    <row r="6" spans="1:17">
      <c r="A6" s="248">
        <v>5</v>
      </c>
      <c r="B6" s="463">
        <f t="shared" si="0"/>
        <v>59.900990099009903</v>
      </c>
      <c r="C6" s="463">
        <v>121</v>
      </c>
      <c r="D6" s="463">
        <v>6</v>
      </c>
      <c r="E6" s="463">
        <v>63</v>
      </c>
      <c r="F6" s="464">
        <v>417</v>
      </c>
      <c r="G6" s="464">
        <f t="shared" si="1"/>
        <v>127</v>
      </c>
      <c r="H6" s="465">
        <f t="shared" si="2"/>
        <v>59.900990099009903</v>
      </c>
      <c r="I6" s="466"/>
      <c r="J6" s="465">
        <f>'Section Load'!C9/G6</f>
        <v>164.02330708661481</v>
      </c>
    </row>
    <row r="7" spans="1:17">
      <c r="A7" s="248">
        <v>6</v>
      </c>
      <c r="B7" s="463">
        <f t="shared" si="0"/>
        <v>58.415841584158414</v>
      </c>
      <c r="C7" s="463">
        <v>118</v>
      </c>
      <c r="D7" s="463">
        <v>10</v>
      </c>
      <c r="E7" s="463">
        <v>63</v>
      </c>
      <c r="F7" s="464">
        <v>477</v>
      </c>
      <c r="G7" s="464">
        <f t="shared" si="1"/>
        <v>128</v>
      </c>
      <c r="H7" s="465">
        <f t="shared" si="2"/>
        <v>58.415841584158414</v>
      </c>
      <c r="I7" s="466"/>
      <c r="J7" s="465">
        <f>'Section Load'!C10/G7</f>
        <v>161.03125</v>
      </c>
    </row>
    <row r="8" spans="1:17">
      <c r="A8" s="248">
        <v>7</v>
      </c>
      <c r="B8" s="463">
        <f t="shared" si="0"/>
        <v>50.990099009900987</v>
      </c>
      <c r="C8" s="463">
        <v>103</v>
      </c>
      <c r="D8" s="463">
        <v>12</v>
      </c>
      <c r="E8" s="463">
        <v>57</v>
      </c>
      <c r="F8" s="464">
        <v>355</v>
      </c>
      <c r="G8" s="464">
        <f t="shared" si="1"/>
        <v>115</v>
      </c>
      <c r="H8" s="465">
        <f t="shared" si="2"/>
        <v>50.990099009900987</v>
      </c>
      <c r="I8" s="466"/>
      <c r="J8" s="465">
        <f>'Section Load'!C11/G8</f>
        <v>188.73252173913036</v>
      </c>
      <c r="K8">
        <f>30*202</f>
        <v>6060</v>
      </c>
      <c r="L8">
        <f>1638*(69/202%)</f>
        <v>55951.485148514854</v>
      </c>
    </row>
    <row r="9" spans="1:17">
      <c r="A9" s="248">
        <v>8</v>
      </c>
      <c r="B9" s="463">
        <f t="shared" si="0"/>
        <v>50.495049504950494</v>
      </c>
      <c r="C9" s="463">
        <v>102</v>
      </c>
      <c r="D9" s="463">
        <v>10</v>
      </c>
      <c r="E9" s="463">
        <v>55</v>
      </c>
      <c r="F9" s="464">
        <v>301</v>
      </c>
      <c r="G9" s="464">
        <f t="shared" si="1"/>
        <v>112</v>
      </c>
      <c r="H9" s="465">
        <f t="shared" si="2"/>
        <v>50.495049504950494</v>
      </c>
      <c r="I9" s="466"/>
      <c r="J9" s="465">
        <f>'Section Load'!C12/G9</f>
        <v>-4851.7670535714287</v>
      </c>
    </row>
    <row r="10" spans="1:17">
      <c r="A10" s="248">
        <v>9</v>
      </c>
      <c r="B10" s="463">
        <f t="shared" si="0"/>
        <v>49.009900990099013</v>
      </c>
      <c r="C10" s="463">
        <v>99</v>
      </c>
      <c r="D10" s="463">
        <v>11</v>
      </c>
      <c r="E10" s="463">
        <v>54</v>
      </c>
      <c r="F10" s="464">
        <v>349</v>
      </c>
      <c r="G10" s="464">
        <f t="shared" si="1"/>
        <v>110</v>
      </c>
      <c r="H10" s="465">
        <f t="shared" si="2"/>
        <v>49.009900990099013</v>
      </c>
      <c r="I10" s="466"/>
      <c r="J10" s="465">
        <f>'Section Load'!C13/G10</f>
        <v>163.73636363636365</v>
      </c>
    </row>
    <row r="11" spans="1:17">
      <c r="A11" s="248">
        <v>10</v>
      </c>
      <c r="B11" s="463">
        <f t="shared" si="0"/>
        <v>45.544554455445542</v>
      </c>
      <c r="C11" s="463">
        <v>92</v>
      </c>
      <c r="D11" s="463">
        <v>11</v>
      </c>
      <c r="E11" s="463">
        <v>51</v>
      </c>
      <c r="F11" s="464">
        <v>280</v>
      </c>
      <c r="G11" s="464">
        <f t="shared" si="1"/>
        <v>103</v>
      </c>
      <c r="H11" s="465">
        <f t="shared" si="2"/>
        <v>45.544554455445542</v>
      </c>
      <c r="I11" s="466"/>
      <c r="J11" s="465">
        <f>'Section Load'!C14/G11</f>
        <v>165.66019417475729</v>
      </c>
    </row>
    <row r="12" spans="1:17">
      <c r="A12" s="248">
        <v>11</v>
      </c>
      <c r="B12" s="463">
        <f t="shared" si="0"/>
        <v>35.148514851485146</v>
      </c>
      <c r="C12" s="463">
        <v>71</v>
      </c>
      <c r="D12" s="463">
        <v>11</v>
      </c>
      <c r="E12" s="463">
        <v>41</v>
      </c>
      <c r="F12" s="464">
        <v>290</v>
      </c>
      <c r="G12" s="464">
        <f t="shared" si="1"/>
        <v>82</v>
      </c>
      <c r="H12" s="465">
        <f t="shared" si="2"/>
        <v>35.148514851485146</v>
      </c>
      <c r="I12" s="466"/>
      <c r="J12" s="465">
        <f>'Section Load'!C15/G12</f>
        <v>210.51219512195121</v>
      </c>
    </row>
    <row r="13" spans="1:17">
      <c r="A13" s="248">
        <v>12</v>
      </c>
      <c r="B13" s="463">
        <f t="shared" si="0"/>
        <v>35.643564356435647</v>
      </c>
      <c r="C13" s="463">
        <v>72</v>
      </c>
      <c r="D13" s="463">
        <v>11</v>
      </c>
      <c r="E13" s="463">
        <v>41</v>
      </c>
      <c r="F13" s="463">
        <v>302</v>
      </c>
      <c r="G13" s="464">
        <f t="shared" si="1"/>
        <v>83</v>
      </c>
      <c r="H13" s="465">
        <f t="shared" si="2"/>
        <v>35.643564356435647</v>
      </c>
      <c r="I13" s="466"/>
      <c r="J13" s="465">
        <f>'Section Load'!C16/G13</f>
        <v>201.36144578313252</v>
      </c>
    </row>
    <row r="14" spans="1:17">
      <c r="A14" s="248">
        <v>13</v>
      </c>
      <c r="B14" s="463">
        <f t="shared" si="0"/>
        <v>38.118811881188115</v>
      </c>
      <c r="C14" s="463">
        <v>77</v>
      </c>
      <c r="D14" s="463">
        <v>11</v>
      </c>
      <c r="E14" s="463">
        <f t="shared" ref="E14:E31" si="3">SUM(C14:D14)/202%</f>
        <v>43.564356435643568</v>
      </c>
      <c r="F14" s="463">
        <v>249</v>
      </c>
      <c r="G14" s="464">
        <f t="shared" si="1"/>
        <v>88</v>
      </c>
      <c r="H14" s="465">
        <f t="shared" si="2"/>
        <v>38.118811881188115</v>
      </c>
      <c r="I14" s="466"/>
      <c r="J14" s="465">
        <f>'Section Load'!C17/G14</f>
        <v>193.75</v>
      </c>
    </row>
    <row r="15" spans="1:17">
      <c r="A15" s="248">
        <v>14</v>
      </c>
      <c r="B15" s="463">
        <f t="shared" si="0"/>
        <v>42.079207920792079</v>
      </c>
      <c r="C15" s="463">
        <v>85</v>
      </c>
      <c r="D15" s="463">
        <v>10</v>
      </c>
      <c r="E15" s="463">
        <f t="shared" si="3"/>
        <v>47.029702970297031</v>
      </c>
      <c r="F15" s="463">
        <v>224</v>
      </c>
      <c r="G15" s="464">
        <f t="shared" si="1"/>
        <v>95</v>
      </c>
      <c r="H15" s="465">
        <f t="shared" si="2"/>
        <v>42.079207920792079</v>
      </c>
      <c r="I15" s="466"/>
      <c r="J15" s="465">
        <f>'Section Load'!C18/G15</f>
        <v>183.47368421052633</v>
      </c>
    </row>
    <row r="16" spans="1:17">
      <c r="A16" s="248">
        <v>15</v>
      </c>
      <c r="B16" s="463">
        <f t="shared" si="0"/>
        <v>55.445544554455445</v>
      </c>
      <c r="C16" s="463">
        <v>112</v>
      </c>
      <c r="D16" s="463">
        <v>9</v>
      </c>
      <c r="E16" s="463">
        <f t="shared" si="3"/>
        <v>59.900990099009903</v>
      </c>
      <c r="F16" s="463">
        <v>338</v>
      </c>
      <c r="G16" s="464">
        <f t="shared" si="1"/>
        <v>121</v>
      </c>
      <c r="H16" s="465">
        <f t="shared" si="2"/>
        <v>55.445544554455445</v>
      </c>
      <c r="I16" s="466"/>
      <c r="J16" s="465">
        <f>'Section Load'!C19/G16</f>
        <v>143.21247933884314</v>
      </c>
    </row>
    <row r="17" spans="1:10">
      <c r="A17" s="248">
        <v>16</v>
      </c>
      <c r="B17" s="463">
        <f t="shared" si="0"/>
        <v>40.099009900990097</v>
      </c>
      <c r="C17" s="463">
        <v>81</v>
      </c>
      <c r="D17" s="463">
        <v>8</v>
      </c>
      <c r="E17" s="463">
        <f>SUM(C17:D17)/202%</f>
        <v>44.059405940594061</v>
      </c>
      <c r="F17" s="463">
        <v>309</v>
      </c>
      <c r="G17" s="464">
        <f t="shared" si="1"/>
        <v>89</v>
      </c>
      <c r="H17" s="465">
        <f t="shared" si="2"/>
        <v>40.099009900990097</v>
      </c>
      <c r="I17" s="466"/>
      <c r="J17" s="465">
        <f>'Section Load'!C20/G17</f>
        <v>195.57629213483122</v>
      </c>
    </row>
    <row r="18" spans="1:10">
      <c r="A18" s="248">
        <v>17</v>
      </c>
      <c r="B18" s="463">
        <f t="shared" si="0"/>
        <v>42.079207920792079</v>
      </c>
      <c r="C18" s="463">
        <v>85</v>
      </c>
      <c r="D18" s="463">
        <v>9</v>
      </c>
      <c r="E18" s="463">
        <f t="shared" si="3"/>
        <v>46.534653465346537</v>
      </c>
      <c r="F18" s="463">
        <v>204</v>
      </c>
      <c r="G18" s="464">
        <f t="shared" si="1"/>
        <v>94</v>
      </c>
      <c r="H18" s="465">
        <f t="shared" si="2"/>
        <v>42.079207920792079</v>
      </c>
      <c r="I18" s="466"/>
      <c r="J18" s="465">
        <f>'Section Load'!C21/G18</f>
        <v>186.62765957446808</v>
      </c>
    </row>
    <row r="19" spans="1:10">
      <c r="A19" s="248">
        <v>18</v>
      </c>
      <c r="B19" s="463">
        <f t="shared" si="0"/>
        <v>47.524752475247524</v>
      </c>
      <c r="C19" s="467">
        <v>96</v>
      </c>
      <c r="D19" s="467">
        <v>9</v>
      </c>
      <c r="E19" s="463">
        <f t="shared" si="3"/>
        <v>51.980198019801982</v>
      </c>
      <c r="F19" s="467">
        <v>325</v>
      </c>
      <c r="G19" s="464">
        <f t="shared" si="1"/>
        <v>105</v>
      </c>
      <c r="H19" s="465">
        <f t="shared" si="2"/>
        <v>47.524752475247524</v>
      </c>
      <c r="I19" s="466"/>
      <c r="J19" s="465">
        <f>'Section Load'!C22/G19</f>
        <v>172.04600000000016</v>
      </c>
    </row>
    <row r="20" spans="1:10">
      <c r="A20" s="248">
        <v>19</v>
      </c>
      <c r="B20" s="463">
        <f t="shared" si="0"/>
        <v>43.564356435643568</v>
      </c>
      <c r="C20" s="463">
        <v>88</v>
      </c>
      <c r="D20" s="463">
        <v>10</v>
      </c>
      <c r="E20" s="463">
        <f t="shared" si="3"/>
        <v>48.514851485148512</v>
      </c>
      <c r="F20" s="463">
        <v>304</v>
      </c>
      <c r="G20" s="464">
        <f t="shared" si="1"/>
        <v>98</v>
      </c>
      <c r="H20" s="465">
        <f t="shared" si="2"/>
        <v>43.564356435643568</v>
      </c>
      <c r="I20" s="466"/>
      <c r="J20" s="465">
        <f>'Section Load'!C23/G20</f>
        <v>191.03234693877533</v>
      </c>
    </row>
    <row r="21" spans="1:10">
      <c r="A21" s="248">
        <v>20</v>
      </c>
      <c r="B21" s="463">
        <f t="shared" si="0"/>
        <v>39.10891089108911</v>
      </c>
      <c r="C21" s="463">
        <v>79</v>
      </c>
      <c r="D21" s="463">
        <v>10</v>
      </c>
      <c r="E21" s="463">
        <f t="shared" si="3"/>
        <v>44.059405940594061</v>
      </c>
      <c r="F21" s="463">
        <v>304</v>
      </c>
      <c r="G21" s="464">
        <f t="shared" si="1"/>
        <v>89</v>
      </c>
      <c r="H21" s="465">
        <f t="shared" si="2"/>
        <v>39.10891089108911</v>
      </c>
      <c r="I21" s="466"/>
      <c r="J21" s="465">
        <f>'Section Load'!C24/G21</f>
        <v>194.79449438202272</v>
      </c>
    </row>
    <row r="22" spans="1:10">
      <c r="A22" s="248">
        <v>21</v>
      </c>
      <c r="B22" s="463">
        <f t="shared" si="0"/>
        <v>47.029702970297031</v>
      </c>
      <c r="C22" s="463">
        <v>95</v>
      </c>
      <c r="D22" s="463">
        <v>14</v>
      </c>
      <c r="E22" s="463">
        <f t="shared" si="3"/>
        <v>53.960396039603957</v>
      </c>
      <c r="F22" s="463">
        <v>338</v>
      </c>
      <c r="G22" s="464">
        <f t="shared" si="1"/>
        <v>109</v>
      </c>
      <c r="H22" s="465">
        <f t="shared" si="2"/>
        <v>47.029702970297031</v>
      </c>
      <c r="I22" s="466"/>
      <c r="J22" s="465">
        <f>'Section Load'!C25/G22</f>
        <v>170.16550458715577</v>
      </c>
    </row>
    <row r="23" spans="1:10">
      <c r="A23" s="248">
        <v>22</v>
      </c>
      <c r="B23" s="463">
        <v>83</v>
      </c>
      <c r="C23" s="463">
        <v>131</v>
      </c>
      <c r="D23" s="463">
        <v>13</v>
      </c>
      <c r="E23" s="463">
        <f t="shared" si="3"/>
        <v>71.287128712871294</v>
      </c>
      <c r="F23" s="463">
        <v>462</v>
      </c>
      <c r="G23" s="464">
        <f t="shared" si="1"/>
        <v>144</v>
      </c>
      <c r="H23" s="465">
        <f t="shared" si="2"/>
        <v>64.851485148514854</v>
      </c>
      <c r="I23" s="466"/>
      <c r="J23" s="465">
        <f>'Section Load'!C26/G23</f>
        <v>138.35250000000008</v>
      </c>
    </row>
    <row r="24" spans="1:10">
      <c r="A24" s="248">
        <v>23</v>
      </c>
      <c r="B24" s="463">
        <v>98</v>
      </c>
      <c r="C24" s="463">
        <v>108</v>
      </c>
      <c r="D24" s="463">
        <v>16</v>
      </c>
      <c r="E24" s="463">
        <f t="shared" si="3"/>
        <v>61.386138613861384</v>
      </c>
      <c r="F24" s="463">
        <v>825</v>
      </c>
      <c r="G24" s="464">
        <f t="shared" si="1"/>
        <v>124</v>
      </c>
      <c r="H24" s="465">
        <f t="shared" si="2"/>
        <v>53.465346534653463</v>
      </c>
      <c r="I24" s="466"/>
      <c r="J24" s="465">
        <f>'Section Load'!C27/G24</f>
        <v>156.3574193548383</v>
      </c>
    </row>
    <row r="25" spans="1:10">
      <c r="A25" s="248">
        <v>24</v>
      </c>
      <c r="B25" s="463">
        <f t="shared" si="0"/>
        <v>47.524752475247524</v>
      </c>
      <c r="C25" s="463">
        <v>96</v>
      </c>
      <c r="D25" s="463">
        <v>12</v>
      </c>
      <c r="E25" s="463">
        <f t="shared" si="3"/>
        <v>53.465346534653463</v>
      </c>
      <c r="F25" s="463">
        <v>358</v>
      </c>
      <c r="G25" s="464">
        <f t="shared" si="1"/>
        <v>108</v>
      </c>
      <c r="H25" s="465">
        <f t="shared" si="2"/>
        <v>47.524752475247524</v>
      </c>
      <c r="I25" s="466"/>
      <c r="J25" s="465">
        <f>'Section Load'!C28/G25</f>
        <v>156.26083333333372</v>
      </c>
    </row>
    <row r="26" spans="1:10">
      <c r="A26" s="248">
        <v>25</v>
      </c>
      <c r="B26" s="463">
        <f t="shared" si="0"/>
        <v>59.900990099009903</v>
      </c>
      <c r="C26" s="463">
        <v>121</v>
      </c>
      <c r="D26" s="463">
        <v>12</v>
      </c>
      <c r="E26" s="463">
        <f t="shared" si="3"/>
        <v>65.841584158415841</v>
      </c>
      <c r="F26" s="463">
        <v>384</v>
      </c>
      <c r="G26" s="464">
        <f t="shared" si="1"/>
        <v>133</v>
      </c>
      <c r="H26" s="465">
        <f t="shared" si="2"/>
        <v>59.900990099009903</v>
      </c>
      <c r="I26" s="466"/>
      <c r="J26" s="465">
        <f>'Section Load'!C29/G26</f>
        <v>125.01503759398496</v>
      </c>
    </row>
    <row r="27" spans="1:10">
      <c r="A27" s="248">
        <v>26</v>
      </c>
      <c r="B27" s="463">
        <f t="shared" si="0"/>
        <v>59.405940594059409</v>
      </c>
      <c r="C27" s="463">
        <v>120</v>
      </c>
      <c r="D27" s="463">
        <v>12</v>
      </c>
      <c r="E27" s="463">
        <f t="shared" si="3"/>
        <v>65.346534653465341</v>
      </c>
      <c r="F27" s="463">
        <v>323</v>
      </c>
      <c r="G27" s="464">
        <f t="shared" si="1"/>
        <v>132</v>
      </c>
      <c r="H27" s="465">
        <f t="shared" si="2"/>
        <v>59.405940594059409</v>
      </c>
      <c r="I27" s="466"/>
      <c r="J27" s="465">
        <f>'Section Load'!C30/G27</f>
        <v>127.96969696969697</v>
      </c>
    </row>
    <row r="28" spans="1:10">
      <c r="A28" s="248">
        <v>27</v>
      </c>
      <c r="B28" s="463">
        <f t="shared" si="0"/>
        <v>51.980198019801982</v>
      </c>
      <c r="C28" s="463">
        <v>105</v>
      </c>
      <c r="D28" s="463">
        <v>12</v>
      </c>
      <c r="E28" s="463">
        <f t="shared" si="3"/>
        <v>57.920792079207921</v>
      </c>
      <c r="F28" s="463">
        <v>327</v>
      </c>
      <c r="G28" s="464">
        <f t="shared" si="1"/>
        <v>117</v>
      </c>
      <c r="H28" s="465">
        <f t="shared" si="2"/>
        <v>51.980198019801982</v>
      </c>
      <c r="I28" s="466"/>
      <c r="J28" s="465">
        <f>'Section Load'!C31/G28</f>
        <v>151.2905982905983</v>
      </c>
    </row>
    <row r="29" spans="1:10">
      <c r="A29" s="248">
        <v>28</v>
      </c>
      <c r="B29" s="463">
        <f t="shared" si="0"/>
        <v>60.89108910891089</v>
      </c>
      <c r="C29" s="463">
        <v>123</v>
      </c>
      <c r="D29" s="463">
        <v>12</v>
      </c>
      <c r="E29" s="463">
        <f t="shared" si="3"/>
        <v>66.831683168316829</v>
      </c>
      <c r="F29" s="463">
        <v>389</v>
      </c>
      <c r="G29" s="464">
        <f t="shared" si="1"/>
        <v>135</v>
      </c>
      <c r="H29" s="465">
        <f t="shared" si="2"/>
        <v>60.89108910891089</v>
      </c>
      <c r="I29" s="466"/>
      <c r="J29" s="465">
        <f>'Section Load'!C32/G29</f>
        <v>132.48888888888888</v>
      </c>
    </row>
    <row r="30" spans="1:10">
      <c r="A30" s="248">
        <v>29</v>
      </c>
      <c r="B30" s="463">
        <f>C30/202%</f>
        <v>73.267326732673268</v>
      </c>
      <c r="C30" s="463">
        <v>148</v>
      </c>
      <c r="D30" s="463">
        <v>12</v>
      </c>
      <c r="E30" s="463">
        <f t="shared" si="3"/>
        <v>79.207920792079207</v>
      </c>
      <c r="F30" s="463">
        <v>445</v>
      </c>
      <c r="G30" s="464">
        <f t="shared" si="1"/>
        <v>160</v>
      </c>
      <c r="H30" s="465">
        <f>C30/202%</f>
        <v>73.267326732673268</v>
      </c>
      <c r="I30" s="466"/>
      <c r="J30" s="465">
        <f>'Section Load'!C33/G30</f>
        <v>109.325</v>
      </c>
    </row>
    <row r="31" spans="1:10">
      <c r="A31" s="248">
        <v>30</v>
      </c>
      <c r="B31" s="463">
        <f t="shared" si="0"/>
        <v>55.940594059405939</v>
      </c>
      <c r="C31" s="463">
        <v>113</v>
      </c>
      <c r="D31" s="463">
        <v>11</v>
      </c>
      <c r="E31" s="463">
        <f t="shared" si="3"/>
        <v>61.386138613861384</v>
      </c>
      <c r="F31" s="463">
        <v>450</v>
      </c>
      <c r="G31" s="468">
        <f t="shared" si="1"/>
        <v>124</v>
      </c>
      <c r="H31" s="465">
        <f t="shared" si="2"/>
        <v>55.940594059405939</v>
      </c>
      <c r="I31" s="466"/>
      <c r="J31" s="465">
        <f>'Section Load'!C34/G31</f>
        <v>141.36290322580646</v>
      </c>
    </row>
    <row r="32" spans="1:10">
      <c r="A32" s="248">
        <v>31</v>
      </c>
      <c r="B32" s="463">
        <f t="shared" si="0"/>
        <v>0</v>
      </c>
      <c r="C32" s="463"/>
      <c r="D32" s="463"/>
      <c r="E32" s="463"/>
      <c r="F32" s="463"/>
      <c r="G32" s="468"/>
      <c r="H32" s="465">
        <f t="shared" si="2"/>
        <v>0</v>
      </c>
      <c r="I32" s="466"/>
      <c r="J32" s="465" t="e">
        <f>'Section Load'!C35/G32</f>
        <v>#DIV/0!</v>
      </c>
    </row>
    <row r="33" spans="1:8">
      <c r="A33" t="s">
        <v>316</v>
      </c>
      <c r="B33" s="275">
        <f>AVERAGE(B2:B31)</f>
        <v>53.921122112211201</v>
      </c>
      <c r="C33" s="275">
        <f t="shared" ref="C33:H33" si="4">AVERAGE(C2:C31)</f>
        <v>104.7</v>
      </c>
      <c r="D33" s="275">
        <f t="shared" si="4"/>
        <v>10.166666666666666</v>
      </c>
      <c r="E33" s="275">
        <f t="shared" si="4"/>
        <v>56.84257425742576</v>
      </c>
      <c r="F33" s="275">
        <f t="shared" si="4"/>
        <v>371.66666666666669</v>
      </c>
      <c r="G33" s="275">
        <f t="shared" si="4"/>
        <v>114.86666666666666</v>
      </c>
      <c r="H33" s="275">
        <f t="shared" si="4"/>
        <v>51.831683168316815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C1" zoomScale="90" zoomScaleNormal="90" workbookViewId="0">
      <selection activeCell="N4" sqref="N4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162.28318584070797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180</v>
      </c>
      <c r="E5" s="91">
        <f>'2'!G18</f>
        <v>150</v>
      </c>
      <c r="F5" s="91">
        <f>'3'!G18</f>
        <v>180</v>
      </c>
      <c r="G5" s="91">
        <f>'4'!G18</f>
        <v>210</v>
      </c>
      <c r="H5" s="91">
        <f>'5'!G18</f>
        <v>240</v>
      </c>
      <c r="I5" s="91">
        <f>'6'!G18</f>
        <v>220</v>
      </c>
      <c r="J5" s="91">
        <f>'7'!G18</f>
        <v>190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>
      <c r="B6" s="93"/>
      <c r="C6" s="90" t="s">
        <v>69</v>
      </c>
      <c r="D6" s="91">
        <f>'1'!G19</f>
        <v>55</v>
      </c>
      <c r="E6" s="91">
        <f>'2'!G19</f>
        <v>33</v>
      </c>
      <c r="F6" s="91">
        <f>'3'!G19</f>
        <v>53</v>
      </c>
      <c r="G6" s="91">
        <f>'4'!G19</f>
        <v>51</v>
      </c>
      <c r="H6" s="91">
        <f>'5'!G19</f>
        <v>54</v>
      </c>
      <c r="I6" s="91">
        <f>'6'!G19</f>
        <v>55</v>
      </c>
      <c r="J6" s="91">
        <f>'7'!G19</f>
        <v>52</v>
      </c>
      <c r="K6" s="91">
        <f>'8'!G19</f>
        <v>-1604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56</v>
      </c>
      <c r="AI6" s="90"/>
    </row>
    <row r="7" spans="2:35">
      <c r="B7" s="93"/>
      <c r="C7" s="90" t="s">
        <v>70</v>
      </c>
      <c r="D7" s="91">
        <f>'1'!G62</f>
        <v>63</v>
      </c>
      <c r="E7" s="91">
        <f>'2'!G62</f>
        <v>105</v>
      </c>
      <c r="F7" s="91">
        <f>'3'!G62</f>
        <v>74</v>
      </c>
      <c r="G7" s="91">
        <f>'4'!G62</f>
        <v>109</v>
      </c>
      <c r="H7" s="91">
        <f>'5'!G62</f>
        <v>136</v>
      </c>
      <c r="I7" s="91">
        <f>'6'!G62</f>
        <v>143</v>
      </c>
      <c r="J7" s="91">
        <f>'7'!G62</f>
        <v>142</v>
      </c>
      <c r="K7" s="91">
        <f>'8'!G62</f>
        <v>-2618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83</v>
      </c>
      <c r="AI7" s="90"/>
    </row>
    <row r="8" spans="2:35">
      <c r="B8" s="93"/>
      <c r="C8" s="90" t="s">
        <v>299</v>
      </c>
      <c r="D8" s="91">
        <f>'1'!G63</f>
        <v>132</v>
      </c>
      <c r="E8" s="91">
        <f>'2'!G63</f>
        <v>159</v>
      </c>
      <c r="F8" s="91">
        <f>'3'!G63</f>
        <v>132</v>
      </c>
      <c r="G8" s="91">
        <f>'4'!G63</f>
        <v>136</v>
      </c>
      <c r="H8" s="91">
        <f>'5'!G63</f>
        <v>128</v>
      </c>
      <c r="I8" s="91">
        <f>'6'!G63</f>
        <v>132</v>
      </c>
      <c r="J8" s="91">
        <f>'7'!G63</f>
        <v>124</v>
      </c>
      <c r="K8" s="91">
        <f>'8'!G63</f>
        <v>-3410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167</v>
      </c>
      <c r="AI8" s="90"/>
    </row>
    <row r="9" spans="2:35">
      <c r="B9" s="751" t="s">
        <v>71</v>
      </c>
      <c r="C9" s="90" t="s">
        <v>31</v>
      </c>
      <c r="D9" s="91">
        <f>'1'!G65</f>
        <v>71</v>
      </c>
      <c r="E9" s="91">
        <f>'2'!G65</f>
        <v>71</v>
      </c>
      <c r="F9" s="91">
        <f>'3'!G65</f>
        <v>94</v>
      </c>
      <c r="G9" s="91">
        <f>'4'!G65</f>
        <v>87</v>
      </c>
      <c r="H9" s="91">
        <f>'5'!G65</f>
        <v>100</v>
      </c>
      <c r="I9" s="91">
        <f>'6'!G65</f>
        <v>110</v>
      </c>
      <c r="J9" s="91">
        <f>'7'!G65</f>
        <v>96</v>
      </c>
      <c r="K9" s="91">
        <f>'8'!G65</f>
        <v>-2345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74</v>
      </c>
      <c r="AI9" s="90"/>
    </row>
    <row r="10" spans="2:35">
      <c r="B10" s="751"/>
      <c r="C10" s="90" t="s">
        <v>32</v>
      </c>
      <c r="D10" s="91">
        <f>'1'!G66</f>
        <v>17</v>
      </c>
      <c r="E10" s="91">
        <f>'2'!G66</f>
        <v>20</v>
      </c>
      <c r="F10" s="91">
        <f>'3'!G66</f>
        <v>22</v>
      </c>
      <c r="G10" s="91">
        <f>'4'!G66</f>
        <v>30</v>
      </c>
      <c r="H10" s="91">
        <f>'5'!G66</f>
        <v>48</v>
      </c>
      <c r="I10" s="91">
        <f>'6'!G66</f>
        <v>26</v>
      </c>
      <c r="J10" s="91">
        <f>'7'!G66</f>
        <v>21</v>
      </c>
      <c r="K10" s="91">
        <f>'8'!G66</f>
        <v>-548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15</v>
      </c>
      <c r="AI10" s="90"/>
    </row>
    <row r="11" spans="2:35">
      <c r="B11" s="751"/>
      <c r="C11" s="90" t="s">
        <v>33</v>
      </c>
      <c r="D11" s="91">
        <f>'1'!G67</f>
        <v>14</v>
      </c>
      <c r="E11" s="91">
        <f>'2'!G67</f>
        <v>20</v>
      </c>
      <c r="F11" s="91">
        <f>'3'!G67</f>
        <v>20</v>
      </c>
      <c r="G11" s="91">
        <f>'4'!G67</f>
        <v>25</v>
      </c>
      <c r="H11" s="91">
        <f>'5'!G67</f>
        <v>26</v>
      </c>
      <c r="I11" s="91">
        <f>'6'!G67</f>
        <v>31</v>
      </c>
      <c r="J11" s="91">
        <f>'7'!G67</f>
        <v>30</v>
      </c>
      <c r="K11" s="91">
        <f>'8'!G67</f>
        <v>-673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20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51" t="s">
        <v>72</v>
      </c>
      <c r="C13" s="90" t="s">
        <v>31</v>
      </c>
      <c r="D13" s="91">
        <f>'1'!G68</f>
        <v>39</v>
      </c>
      <c r="E13" s="91">
        <f>'2'!G68</f>
        <v>30</v>
      </c>
      <c r="F13" s="91">
        <f>'3'!G68</f>
        <v>28</v>
      </c>
      <c r="G13" s="91">
        <f>'4'!G68</f>
        <v>28</v>
      </c>
      <c r="H13" s="91">
        <f>'5'!G68</f>
        <v>33</v>
      </c>
      <c r="I13" s="91">
        <f>'6'!G68</f>
        <v>56</v>
      </c>
      <c r="J13" s="91">
        <f>'7'!G68</f>
        <v>43</v>
      </c>
      <c r="K13" s="91">
        <f>'8'!G68</f>
        <v>-1128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4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29</v>
      </c>
      <c r="AI13" s="90"/>
    </row>
    <row r="14" spans="2:35">
      <c r="B14" s="751"/>
      <c r="C14" s="90" t="s">
        <v>32</v>
      </c>
      <c r="D14" s="91">
        <f>'1'!G69</f>
        <v>9</v>
      </c>
      <c r="E14" s="91">
        <f>'2'!G69</f>
        <v>19</v>
      </c>
      <c r="F14" s="91">
        <f>'3'!G69</f>
        <v>9</v>
      </c>
      <c r="G14" s="91">
        <f>'4'!G69</f>
        <v>7</v>
      </c>
      <c r="H14" s="91">
        <f>'5'!G69</f>
        <v>8</v>
      </c>
      <c r="I14" s="91">
        <f>'6'!G69</f>
        <v>11</v>
      </c>
      <c r="J14" s="91">
        <f>'7'!G69</f>
        <v>15</v>
      </c>
      <c r="K14" s="91">
        <f>'8'!G69</f>
        <v>-308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9</v>
      </c>
      <c r="AI14" s="90"/>
    </row>
    <row r="15" spans="2:35">
      <c r="B15" s="751"/>
      <c r="C15" s="90" t="s">
        <v>33</v>
      </c>
      <c r="D15" s="91">
        <f>'1'!G70</f>
        <v>8</v>
      </c>
      <c r="E15" s="91">
        <f>'2'!G70</f>
        <v>10</v>
      </c>
      <c r="F15" s="91">
        <f>'3'!G70</f>
        <v>9</v>
      </c>
      <c r="G15" s="91">
        <f>'4'!G70</f>
        <v>9</v>
      </c>
      <c r="H15" s="91">
        <f>'5'!G70</f>
        <v>9</v>
      </c>
      <c r="I15" s="91">
        <f>'6'!G70</f>
        <v>9</v>
      </c>
      <c r="J15" s="91">
        <f>'7'!G70</f>
        <v>23</v>
      </c>
      <c r="K15" s="91">
        <f>'8'!G70</f>
        <v>-268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8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51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51"/>
      <c r="C18" s="90" t="s">
        <v>75</v>
      </c>
      <c r="D18" s="90">
        <f>'1'!G174</f>
        <v>11</v>
      </c>
      <c r="E18" s="91">
        <f>'2'!G174</f>
        <v>11</v>
      </c>
      <c r="F18" s="91">
        <f>'3'!G174</f>
        <v>12</v>
      </c>
      <c r="G18" s="91">
        <f>'4'!G174</f>
        <v>12</v>
      </c>
      <c r="H18" s="91">
        <f>'5'!G174</f>
        <v>15</v>
      </c>
      <c r="I18" s="91">
        <f>'6'!G174</f>
        <v>16</v>
      </c>
      <c r="J18" s="91">
        <f>'7'!G174</f>
        <v>14</v>
      </c>
      <c r="K18" s="91">
        <f>'8'!G174</f>
        <v>-336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12</v>
      </c>
      <c r="AI18" s="90"/>
    </row>
    <row r="19" spans="2:35">
      <c r="B19" s="751"/>
      <c r="C19" s="90" t="s">
        <v>76</v>
      </c>
      <c r="D19" s="90">
        <f>'1'!G175</f>
        <v>10</v>
      </c>
      <c r="E19" s="91">
        <f>'2'!G175</f>
        <v>9</v>
      </c>
      <c r="F19" s="91">
        <f>'3'!G175</f>
        <v>9</v>
      </c>
      <c r="G19" s="91">
        <f>'4'!G175</f>
        <v>10</v>
      </c>
      <c r="H19" s="91">
        <f>'5'!G175</f>
        <v>11</v>
      </c>
      <c r="I19" s="91">
        <f>'6'!G175</f>
        <v>11</v>
      </c>
      <c r="J19" s="91">
        <f>'7'!G175</f>
        <v>10</v>
      </c>
      <c r="K19" s="91">
        <f>'8'!G175</f>
        <v>-287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10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51" t="s">
        <v>77</v>
      </c>
      <c r="C21" s="90" t="s">
        <v>78</v>
      </c>
      <c r="D21" s="90">
        <f>'1'!G178</f>
        <v>43</v>
      </c>
      <c r="E21" s="91">
        <f>'2'!G178</f>
        <v>90</v>
      </c>
      <c r="F21" s="91">
        <f>'3'!G178</f>
        <v>9</v>
      </c>
      <c r="G21" s="91">
        <f>'4'!G178</f>
        <v>87</v>
      </c>
      <c r="H21" s="91">
        <f>'5'!G178</f>
        <v>64</v>
      </c>
      <c r="I21" s="91">
        <f>'6'!G178</f>
        <v>41</v>
      </c>
      <c r="J21" s="91">
        <f>'7'!G178</f>
        <v>68</v>
      </c>
      <c r="K21" s="91">
        <f>'8'!G178</f>
        <v>-1549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109</v>
      </c>
      <c r="AI21" s="90"/>
    </row>
    <row r="22" spans="2:35">
      <c r="B22" s="751"/>
      <c r="C22" s="90" t="s">
        <v>79</v>
      </c>
      <c r="D22" s="90">
        <f>'1'!G179</f>
        <v>29</v>
      </c>
      <c r="E22" s="91">
        <f>'2'!G179</f>
        <v>37</v>
      </c>
      <c r="F22" s="91">
        <f>'3'!G179</f>
        <v>34</v>
      </c>
      <c r="G22" s="91">
        <f>'4'!G179</f>
        <v>23</v>
      </c>
      <c r="H22" s="91">
        <f>'5'!G179</f>
        <v>32</v>
      </c>
      <c r="I22" s="91">
        <f>'6'!G179</f>
        <v>70</v>
      </c>
      <c r="J22" s="91">
        <f>'7'!G179</f>
        <v>45</v>
      </c>
      <c r="K22" s="91">
        <f>'8'!G179</f>
        <v>-1021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49</v>
      </c>
      <c r="AI22" s="90"/>
    </row>
    <row r="23" spans="2:35">
      <c r="B23" s="751"/>
      <c r="C23" s="90" t="s">
        <v>80</v>
      </c>
      <c r="D23" s="90">
        <f>'1'!G180</f>
        <v>3</v>
      </c>
      <c r="E23" s="91">
        <f>'2'!G180</f>
        <v>5</v>
      </c>
      <c r="F23" s="91">
        <f>'3'!G180</f>
        <v>11</v>
      </c>
      <c r="G23" s="91">
        <f>'4'!G180</f>
        <v>10</v>
      </c>
      <c r="H23" s="91">
        <f>'5'!G180</f>
        <v>17</v>
      </c>
      <c r="I23" s="91">
        <f>'6'!G180</f>
        <v>0</v>
      </c>
      <c r="J23" s="91">
        <f>'7'!G180</f>
        <v>0</v>
      </c>
      <c r="K23" s="91">
        <f>'8'!G180</f>
        <v>-205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9</v>
      </c>
      <c r="AI23" s="90"/>
    </row>
    <row r="24" spans="2:35" ht="30">
      <c r="B24" s="93" t="s">
        <v>301</v>
      </c>
      <c r="C24" s="90"/>
      <c r="D24" s="91">
        <f>SUM(D5:D6)</f>
        <v>235</v>
      </c>
      <c r="E24" s="91">
        <f t="shared" ref="E24:AH24" si="0">SUM(E5:E6)</f>
        <v>183</v>
      </c>
      <c r="F24" s="91">
        <f t="shared" si="0"/>
        <v>233</v>
      </c>
      <c r="G24" s="91">
        <f t="shared" si="0"/>
        <v>261</v>
      </c>
      <c r="H24" s="91">
        <f t="shared" si="0"/>
        <v>294</v>
      </c>
      <c r="I24" s="91">
        <f t="shared" si="0"/>
        <v>275</v>
      </c>
      <c r="J24" s="91">
        <f t="shared" si="0"/>
        <v>242</v>
      </c>
      <c r="K24" s="91">
        <f t="shared" si="0"/>
        <v>-1444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146</v>
      </c>
      <c r="AI24" s="90"/>
    </row>
    <row r="25" spans="2:35" ht="30">
      <c r="B25" s="93" t="s">
        <v>81</v>
      </c>
      <c r="C25" s="90"/>
      <c r="D25" s="91">
        <f>SUM(D9:D11,D14:D15,)</f>
        <v>119</v>
      </c>
      <c r="E25" s="91">
        <f t="shared" ref="E25:AI25" si="1">SUM(E9:E11,E14:E15,)</f>
        <v>140</v>
      </c>
      <c r="F25" s="91">
        <f t="shared" si="1"/>
        <v>154</v>
      </c>
      <c r="G25" s="91">
        <f t="shared" si="1"/>
        <v>158</v>
      </c>
      <c r="H25" s="91">
        <f t="shared" si="1"/>
        <v>191</v>
      </c>
      <c r="I25" s="91">
        <f t="shared" si="1"/>
        <v>187</v>
      </c>
      <c r="J25" s="91">
        <f t="shared" si="1"/>
        <v>185</v>
      </c>
      <c r="K25" s="91">
        <f>SUM(K9:K11,K14:K15,)</f>
        <v>-4142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85</v>
      </c>
      <c r="E27" s="91">
        <f t="shared" ref="E27:AH27" si="2">SUM(E13,E21,E23)</f>
        <v>125</v>
      </c>
      <c r="F27" s="91">
        <f>SUM(F13,F21,F23)</f>
        <v>48</v>
      </c>
      <c r="G27" s="91">
        <f t="shared" si="2"/>
        <v>125</v>
      </c>
      <c r="H27" s="91">
        <f t="shared" si="2"/>
        <v>114</v>
      </c>
      <c r="I27" s="91">
        <f t="shared" si="2"/>
        <v>97</v>
      </c>
      <c r="J27" s="91">
        <f t="shared" si="2"/>
        <v>111</v>
      </c>
      <c r="K27" s="91">
        <f t="shared" si="2"/>
        <v>-2882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71</v>
      </c>
      <c r="E29" s="249">
        <f t="shared" ref="E29:AH29" si="4">E9</f>
        <v>71</v>
      </c>
      <c r="F29" s="249">
        <f t="shared" si="4"/>
        <v>94</v>
      </c>
      <c r="G29" s="249">
        <f t="shared" si="4"/>
        <v>87</v>
      </c>
      <c r="H29" s="249">
        <f t="shared" si="4"/>
        <v>100</v>
      </c>
      <c r="I29" s="249">
        <f t="shared" si="4"/>
        <v>110</v>
      </c>
      <c r="J29" s="249">
        <f t="shared" si="4"/>
        <v>96</v>
      </c>
      <c r="K29" s="249">
        <f t="shared" si="4"/>
        <v>-2345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74</v>
      </c>
      <c r="AI29" s="248"/>
    </row>
    <row r="30" spans="2:35">
      <c r="B30" s="247" t="s">
        <v>84</v>
      </c>
      <c r="C30" s="248"/>
      <c r="D30" s="249">
        <f>SUM(D10:D11,D14:D15)</f>
        <v>48</v>
      </c>
      <c r="E30" s="249">
        <f t="shared" ref="E30:AH30" si="5">SUM(E10:E11,E14:E15)</f>
        <v>69</v>
      </c>
      <c r="F30" s="249">
        <f t="shared" si="5"/>
        <v>60</v>
      </c>
      <c r="G30" s="249">
        <f t="shared" si="5"/>
        <v>71</v>
      </c>
      <c r="H30" s="249">
        <f t="shared" si="5"/>
        <v>91</v>
      </c>
      <c r="I30" s="249">
        <f t="shared" si="5"/>
        <v>77</v>
      </c>
      <c r="J30" s="249">
        <f t="shared" si="5"/>
        <v>89</v>
      </c>
      <c r="K30" s="249">
        <f t="shared" si="5"/>
        <v>-1797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52</v>
      </c>
      <c r="AI30" s="248"/>
    </row>
    <row r="31" spans="2:35">
      <c r="B31" s="247" t="s">
        <v>85</v>
      </c>
      <c r="C31" s="248"/>
      <c r="D31" s="248">
        <f>D30/SUM(D29:D30)%</f>
        <v>40.336134453781511</v>
      </c>
      <c r="E31" s="248">
        <f t="shared" ref="E31:AH31" si="6">E30/SUM(E29:E30)%</f>
        <v>49.285714285714292</v>
      </c>
      <c r="F31" s="248">
        <f t="shared" si="6"/>
        <v>38.961038961038959</v>
      </c>
      <c r="G31" s="248">
        <f t="shared" si="6"/>
        <v>44.936708860759495</v>
      </c>
      <c r="H31" s="248">
        <f t="shared" si="6"/>
        <v>47.643979057591622</v>
      </c>
      <c r="I31" s="248">
        <f t="shared" si="6"/>
        <v>41.17647058823529</v>
      </c>
      <c r="J31" s="248">
        <f t="shared" si="6"/>
        <v>48.108108108108105</v>
      </c>
      <c r="K31" s="248">
        <f t="shared" si="6"/>
        <v>43.384838242394977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34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55" t="s">
        <v>308</v>
      </c>
      <c r="G2" s="756"/>
      <c r="H2" s="756"/>
      <c r="I2" s="756"/>
      <c r="J2" s="756"/>
      <c r="K2" s="756"/>
      <c r="L2" s="756"/>
      <c r="M2" s="757"/>
      <c r="N2" s="754" t="s">
        <v>86</v>
      </c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3"/>
      <c r="AO2" s="753"/>
      <c r="AP2" s="753"/>
      <c r="AQ2" s="753"/>
      <c r="AR2" s="753"/>
      <c r="AS2" s="753"/>
      <c r="AT2" s="753"/>
      <c r="AU2" s="635"/>
      <c r="AV2" s="752" t="s">
        <v>87</v>
      </c>
      <c r="AW2" s="752"/>
      <c r="AX2" s="752"/>
      <c r="AY2" s="752"/>
      <c r="BB2" s="318" t="s">
        <v>334</v>
      </c>
      <c r="BC2" s="318" t="s">
        <v>335</v>
      </c>
    </row>
    <row r="3" spans="1:55">
      <c r="F3" s="637"/>
      <c r="G3" s="638"/>
      <c r="H3" s="638"/>
      <c r="I3" s="638"/>
      <c r="J3" s="638"/>
      <c r="K3" s="638"/>
      <c r="L3" s="638"/>
      <c r="M3" s="639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6"/>
      <c r="AN3" s="758" t="s">
        <v>138</v>
      </c>
      <c r="AO3" s="758"/>
      <c r="AP3" s="758"/>
      <c r="AQ3" s="758"/>
      <c r="AR3" s="758"/>
      <c r="AS3" s="758"/>
      <c r="AT3" s="758"/>
      <c r="AU3" s="759" t="s">
        <v>283</v>
      </c>
      <c r="AV3" s="759"/>
      <c r="AW3" s="759"/>
      <c r="AX3" s="759"/>
      <c r="AY3" s="759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0" t="s">
        <v>284</v>
      </c>
      <c r="G4" s="641" t="s">
        <v>285</v>
      </c>
      <c r="H4" s="641" t="s">
        <v>286</v>
      </c>
      <c r="I4" s="641" t="s">
        <v>287</v>
      </c>
      <c r="J4" s="641" t="s">
        <v>282</v>
      </c>
      <c r="K4" s="641" t="s">
        <v>51</v>
      </c>
      <c r="L4" s="642" t="s">
        <v>60</v>
      </c>
      <c r="M4" s="642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643">
        <f>'1'!G7</f>
        <v>17264.770000000019</v>
      </c>
      <c r="C5" s="643">
        <f>'1'!G8</f>
        <v>17458.849999999977</v>
      </c>
      <c r="D5" s="643">
        <f>'1'!G15</f>
        <v>918.55799999996088</v>
      </c>
      <c r="E5" s="643">
        <f>'1'!G20</f>
        <v>235</v>
      </c>
      <c r="F5" s="643">
        <f>SUM('1'!G35,'1'!G49)</f>
        <v>2185.1000000000022</v>
      </c>
      <c r="G5" s="643">
        <f>SUM('1'!H37,'1'!H51)</f>
        <v>1554.1100000000006</v>
      </c>
      <c r="H5" s="643">
        <f>SUM('1'!G38,'1'!G52)</f>
        <v>1620.2699999999968</v>
      </c>
      <c r="I5" s="643">
        <f>SUM('1'!G39,'1'!G53)</f>
        <v>2609.5899999999965</v>
      </c>
      <c r="J5" s="643">
        <f>SUM('1'!G41,'1'!G42,'1'!G55,'1'!G56)</f>
        <v>3987.7899999999936</v>
      </c>
      <c r="K5" s="643">
        <f>SUM('1'!G43,'1'!G57)</f>
        <v>1901.929999999993</v>
      </c>
      <c r="L5" s="254">
        <f>'1'!G50</f>
        <v>938.92000000000553</v>
      </c>
      <c r="M5" s="254">
        <f>'1'!G36</f>
        <v>710.76000000000204</v>
      </c>
      <c r="N5" s="254">
        <f>'1'!G138</f>
        <v>61</v>
      </c>
      <c r="O5" s="254">
        <f>'1'!G139</f>
        <v>1</v>
      </c>
      <c r="P5" s="254">
        <f>'1'!G140</f>
        <v>0</v>
      </c>
      <c r="Q5" s="254">
        <f>'1'!G141</f>
        <v>165.58999999999651</v>
      </c>
      <c r="R5" s="254">
        <f>'1'!G142</f>
        <v>73.470000000001164</v>
      </c>
      <c r="S5" s="254">
        <f>'1'!$G$145</f>
        <v>12.779999999999745</v>
      </c>
      <c r="T5" s="254">
        <f>'1'!$G$146</f>
        <v>394</v>
      </c>
      <c r="U5" s="254">
        <f>'1'!$G$144</f>
        <v>196</v>
      </c>
      <c r="V5" s="254">
        <f>'1'!$G$147</f>
        <v>369.28000000002794</v>
      </c>
      <c r="W5" s="254">
        <f>'1'!$G$148</f>
        <v>195.04000000003725</v>
      </c>
      <c r="X5" s="254">
        <f>'1'!$G$143</f>
        <v>29</v>
      </c>
      <c r="Y5" s="254">
        <f>'1'!$G$58</f>
        <v>187.13000000000011</v>
      </c>
      <c r="Z5" s="254">
        <f>'1'!$G$151</f>
        <v>226</v>
      </c>
      <c r="AA5" s="254">
        <f>'1'!G161</f>
        <v>48.28000000002794</v>
      </c>
      <c r="AB5" s="254">
        <f>'1'!G162</f>
        <v>42</v>
      </c>
      <c r="AC5" s="254"/>
      <c r="AD5" s="254">
        <f>'1'!G163+'1'!G164</f>
        <v>32.199999999994361</v>
      </c>
      <c r="AE5" s="254">
        <f>'1'!$G$116</f>
        <v>0</v>
      </c>
      <c r="AF5" s="254">
        <f>'1'!$G$117</f>
        <v>21.820000000000164</v>
      </c>
      <c r="AG5" s="254">
        <f>'1'!$G$118</f>
        <v>310.5</v>
      </c>
      <c r="AH5" s="254">
        <f>'1'!$G$119</f>
        <v>441.15000000002328</v>
      </c>
      <c r="AI5" s="254">
        <f>'1'!$G$120</f>
        <v>414.13999999999942</v>
      </c>
      <c r="AJ5" s="254">
        <f>'1'!$G$121</f>
        <v>720.88000000000466</v>
      </c>
      <c r="AK5" s="254">
        <f>'1'!$G$122</f>
        <v>206.03000000001339</v>
      </c>
      <c r="AL5" s="254">
        <f>'1'!$G$123</f>
        <v>261.25</v>
      </c>
      <c r="AM5" s="254">
        <f>'1'!$G$133</f>
        <v>492.57000000000698</v>
      </c>
      <c r="AN5" s="254">
        <f>'1'!$G$15</f>
        <v>918.55799999996088</v>
      </c>
      <c r="AO5" s="254">
        <f>'1'!$G$74</f>
        <v>314.53100000007544</v>
      </c>
      <c r="AP5" s="254">
        <f>'1'!$G$75</f>
        <v>0</v>
      </c>
      <c r="AQ5" s="254">
        <f>'1'!$G$76</f>
        <v>91.059999999997672</v>
      </c>
      <c r="AR5" s="254">
        <f>'1'!$G$77</f>
        <v>29.700000000004366</v>
      </c>
      <c r="AS5" s="254">
        <f>'1'!$G$78</f>
        <v>0</v>
      </c>
      <c r="AT5" s="254">
        <f>AN5-SUM(AO5:AS5)</f>
        <v>483.26699999988341</v>
      </c>
      <c r="AU5" s="254">
        <f>SUM('1'!G91:G92)</f>
        <v>11.769999999999982</v>
      </c>
      <c r="AV5" s="254">
        <f>'1'!$G$88</f>
        <v>0</v>
      </c>
      <c r="AW5" s="254">
        <f>'1'!$G$89</f>
        <v>9.4900000000016007</v>
      </c>
      <c r="AX5" s="254">
        <f>'1'!$G$90</f>
        <v>2.0499999999883585</v>
      </c>
      <c r="AY5" s="252">
        <f>SUM(AV5:AX5)</f>
        <v>11.539999999989959</v>
      </c>
      <c r="AZ5" s="311">
        <f>AO5/AU5</f>
        <v>26.723109600686143</v>
      </c>
      <c r="BA5" s="311">
        <f>AT5/AY5</f>
        <v>41.877556325849561</v>
      </c>
      <c r="BB5" s="351">
        <f>C5-SUM(F5:K5,Y5)</f>
        <v>3412.929999999993</v>
      </c>
      <c r="BC5" s="351">
        <f>BB5/B5%</f>
        <v>19.768175307287553</v>
      </c>
    </row>
    <row r="6" spans="1:55">
      <c r="A6" s="359">
        <v>2</v>
      </c>
      <c r="B6" s="643">
        <f>'2'!G7</f>
        <v>18049</v>
      </c>
      <c r="C6" s="643">
        <f>'2'!G8</f>
        <v>18338</v>
      </c>
      <c r="D6" s="643">
        <f>'2'!G15</f>
        <v>983.14500000001863</v>
      </c>
      <c r="E6" s="643">
        <f>'2'!G20</f>
        <v>183</v>
      </c>
      <c r="F6" s="643">
        <f>SUM('2'!G35,'2'!G49)</f>
        <v>2435.0399999999972</v>
      </c>
      <c r="G6" s="643">
        <f>SUM('2'!G37,'2'!G51)</f>
        <v>1547.1000000000058</v>
      </c>
      <c r="H6" s="643">
        <f>SUM('2'!G38,'2'!G52)</f>
        <v>1758.7900000000009</v>
      </c>
      <c r="I6" s="643">
        <f>SUM('2'!G39,'2'!G53)</f>
        <v>2628.2200000000012</v>
      </c>
      <c r="J6" s="643">
        <f>SUM('2'!G41,'2'!G42,'2'!G55,'2'!G56)</f>
        <v>3469.6100000000006</v>
      </c>
      <c r="K6" s="643">
        <f>SUM('2'!G43,'2'!G57)</f>
        <v>1997.1600000000035</v>
      </c>
      <c r="L6" s="254">
        <f>'2'!G50</f>
        <v>987.52999999999884</v>
      </c>
      <c r="M6" s="254">
        <f>'2'!G36</f>
        <v>811.5</v>
      </c>
      <c r="N6" s="254">
        <f>'2'!G138</f>
        <v>59</v>
      </c>
      <c r="O6" s="254">
        <f>'2'!$G$139</f>
        <v>2</v>
      </c>
      <c r="P6" s="254">
        <f>'2'!$G$140</f>
        <v>10.600000000005821</v>
      </c>
      <c r="Q6" s="254">
        <f>'2'!$G$141</f>
        <v>176.63000000000466</v>
      </c>
      <c r="R6" s="254">
        <f>'2'!$G$142</f>
        <v>71.670000000001892</v>
      </c>
      <c r="S6" s="254">
        <f>'2'!$G$145</f>
        <v>13.710000000000036</v>
      </c>
      <c r="T6" s="254">
        <f>'2'!$G$146</f>
        <v>392</v>
      </c>
      <c r="U6" s="254">
        <f>'2'!$G$144</f>
        <v>210</v>
      </c>
      <c r="V6" s="254">
        <f>'2'!$G$147</f>
        <v>396.31999999994878</v>
      </c>
      <c r="W6" s="251">
        <f>'2'!$G$148</f>
        <v>266.23999999999069</v>
      </c>
      <c r="X6" s="251">
        <f>'2'!$G$143</f>
        <v>24.690000000000055</v>
      </c>
      <c r="Y6" s="251">
        <f>'2'!$G$58</f>
        <v>198.44999999999982</v>
      </c>
      <c r="Z6" s="251">
        <f>'2'!$G$151</f>
        <v>317</v>
      </c>
      <c r="AA6" s="251">
        <f>'2'!G161</f>
        <v>52.839999999967404</v>
      </c>
      <c r="AB6" s="254">
        <f>'2'!G162</f>
        <v>38.100000000005821</v>
      </c>
      <c r="AC6" s="254"/>
      <c r="AD6" s="254">
        <f>'2'!G163+'2'!G164</f>
        <v>36.30000000000291</v>
      </c>
      <c r="AE6" s="254">
        <f>'2'!$G$116</f>
        <v>0</v>
      </c>
      <c r="AF6" s="254">
        <f>'2'!$G$117</f>
        <v>35.460000000000036</v>
      </c>
      <c r="AG6" s="254">
        <f>'2'!$G$118</f>
        <v>318.04000000000815</v>
      </c>
      <c r="AH6" s="254">
        <f>'2'!$G$119</f>
        <v>423.19000000000233</v>
      </c>
      <c r="AI6" s="254">
        <f>'2'!$G$120</f>
        <v>417.20999999999913</v>
      </c>
      <c r="AJ6" s="254">
        <f>'2'!$G$121</f>
        <v>713.23999999999069</v>
      </c>
      <c r="AK6" s="254">
        <f>'2'!$G$122</f>
        <v>214.61000000000058</v>
      </c>
      <c r="AL6" s="254">
        <f>'2'!$G$123</f>
        <v>257.38999999998487</v>
      </c>
      <c r="AM6" s="254">
        <f>'2'!$G$133</f>
        <v>568.0399999999936</v>
      </c>
      <c r="AN6" s="254">
        <f>'2'!$G$15</f>
        <v>983.14500000001863</v>
      </c>
      <c r="AO6" s="254">
        <f>'2'!$G$74</f>
        <v>311.03599999996368</v>
      </c>
      <c r="AP6" s="254">
        <f>'2'!$G$75</f>
        <v>0</v>
      </c>
      <c r="AQ6" s="254">
        <f>'2'!$G$76</f>
        <v>115.70999999999185</v>
      </c>
      <c r="AR6" s="254">
        <f>'2'!$G$77</f>
        <v>49.19999999999709</v>
      </c>
      <c r="AS6" s="254">
        <f>'2'!$G$78</f>
        <v>1.7000000000007276</v>
      </c>
      <c r="AT6" s="254">
        <f t="shared" ref="AT6:AT34" si="0">AN6-SUM(AO6:AS6)</f>
        <v>505.49900000006528</v>
      </c>
      <c r="AU6" s="254">
        <f>SUM('2'!G91:G92)</f>
        <v>11.460000000000036</v>
      </c>
      <c r="AV6" s="254">
        <f>'2'!$G$88</f>
        <v>0</v>
      </c>
      <c r="AW6" s="254">
        <f>'2'!$G$89</f>
        <v>9.3899999999994179</v>
      </c>
      <c r="AX6" s="254">
        <f>'2'!$G$90</f>
        <v>0</v>
      </c>
      <c r="AY6" s="252">
        <f t="shared" ref="AY6:AY34" si="1">SUM(AV6:AX6)</f>
        <v>9.3899999999994179</v>
      </c>
      <c r="AZ6" s="311">
        <f t="shared" ref="AZ6:AZ8" si="2">AO6/AU6</f>
        <v>27.141012216401631</v>
      </c>
      <c r="BA6" s="311">
        <f t="shared" ref="BA6:BA35" si="3">AT6/AY6</f>
        <v>53.833759318434147</v>
      </c>
      <c r="BB6" s="351">
        <f t="shared" ref="BB6:BB35" si="4">C6-SUM(F6:K6,Y6)</f>
        <v>4303.6299999999901</v>
      </c>
      <c r="BC6" s="351">
        <f t="shared" ref="BC6:BC35" si="5">BB6/B6%</f>
        <v>23.844146490110198</v>
      </c>
    </row>
    <row r="7" spans="1:55" s="313" customFormat="1">
      <c r="A7" s="359">
        <v>3</v>
      </c>
      <c r="B7" s="643">
        <f>'3'!G7</f>
        <v>19083</v>
      </c>
      <c r="C7" s="643">
        <f>'3'!G8</f>
        <v>19219</v>
      </c>
      <c r="D7" s="643">
        <f>'3'!G15</f>
        <v>1012.3479999999981</v>
      </c>
      <c r="E7" s="643">
        <f>'3'!G20</f>
        <v>233</v>
      </c>
      <c r="F7" s="643">
        <f>SUM('3'!G35,'3'!G49)</f>
        <v>2503.1700000000019</v>
      </c>
      <c r="G7" s="643">
        <f>SUM('3'!G37,'3'!G51)</f>
        <v>1552.1100000000006</v>
      </c>
      <c r="H7" s="643">
        <f>SUM('3'!G38,'3'!G52)</f>
        <v>1668.1500000000015</v>
      </c>
      <c r="I7" s="643">
        <f>SUM('3'!G39,'3'!G53)</f>
        <v>2641.8299999999945</v>
      </c>
      <c r="J7" s="643">
        <f>SUM('3'!G41,'3'!G42,'3'!G55,'3'!G56)</f>
        <v>3484.5699999999943</v>
      </c>
      <c r="K7" s="643">
        <f>SUM('3'!G43,'3'!G57)</f>
        <v>2229.6699999999983</v>
      </c>
      <c r="L7" s="251">
        <f>'3'!G50</f>
        <v>1070.0599999999977</v>
      </c>
      <c r="M7" s="251">
        <f>'3'!G36</f>
        <v>935.69999999999709</v>
      </c>
      <c r="N7" s="251">
        <f>'3'!G138</f>
        <v>78</v>
      </c>
      <c r="O7" s="251">
        <f>'3'!$G$139</f>
        <v>1</v>
      </c>
      <c r="P7" s="251">
        <f>'3'!$G$140</f>
        <v>1.1999999999970896</v>
      </c>
      <c r="Q7" s="251">
        <f>'3'!$G$141</f>
        <v>159.29999999999563</v>
      </c>
      <c r="R7" s="251">
        <f>'3'!$G$142</f>
        <v>63.109999999996944</v>
      </c>
      <c r="S7" s="251">
        <f>'3'!$G$145</f>
        <v>14.670000000000073</v>
      </c>
      <c r="T7" s="251">
        <f>'3'!$G$146</f>
        <v>417</v>
      </c>
      <c r="U7" s="251">
        <f>'3'!$G$144</f>
        <v>210</v>
      </c>
      <c r="V7" s="251">
        <f>'3'!$G$147</f>
        <v>377.88000000000466</v>
      </c>
      <c r="W7" s="251">
        <f>'3'!$G$148</f>
        <v>244.64000000001397</v>
      </c>
      <c r="X7" s="251">
        <f>'3'!$G$143</f>
        <v>26.450000000000273</v>
      </c>
      <c r="Y7" s="251">
        <f>'3'!$G$58</f>
        <v>202.4399999999996</v>
      </c>
      <c r="Z7" s="251">
        <f>'3'!$G$151</f>
        <v>193</v>
      </c>
      <c r="AA7" s="254">
        <f>'3'!G161</f>
        <v>53.559999999997672</v>
      </c>
      <c r="AB7" s="254">
        <f>'3'!G162</f>
        <v>39.80000000000291</v>
      </c>
      <c r="AC7" s="254"/>
      <c r="AD7" s="254">
        <f>'3'!G163+'3'!G164</f>
        <v>33.699999999999818</v>
      </c>
      <c r="AE7" s="251">
        <f>'3'!$G$116</f>
        <v>0</v>
      </c>
      <c r="AF7" s="251">
        <f>'3'!$G$117</f>
        <v>20.509999999999764</v>
      </c>
      <c r="AG7" s="251">
        <f>'3'!$G$118</f>
        <v>331.33999999999651</v>
      </c>
      <c r="AH7" s="251">
        <f>'3'!$G$119</f>
        <v>418.71999999997206</v>
      </c>
      <c r="AI7" s="251">
        <f>'3'!$G$120</f>
        <v>433.95999999999913</v>
      </c>
      <c r="AJ7" s="251">
        <f>'3'!$G$121</f>
        <v>734.20000000001164</v>
      </c>
      <c r="AK7" s="251">
        <f>'3'!$G$122</f>
        <v>250.57999999998719</v>
      </c>
      <c r="AL7" s="251">
        <f>'3'!$G$123</f>
        <v>255.67999999999302</v>
      </c>
      <c r="AM7" s="251">
        <f>'3'!$G$133</f>
        <v>565.15000000000873</v>
      </c>
      <c r="AN7" s="251">
        <f>'3'!$G$15</f>
        <v>1012.3479999999981</v>
      </c>
      <c r="AO7" s="251">
        <f>'3'!$G$74</f>
        <v>310.54399999999441</v>
      </c>
      <c r="AP7" s="251">
        <f>'3'!$G$75</f>
        <v>0</v>
      </c>
      <c r="AQ7" s="251">
        <f>'3'!$G$76</f>
        <v>122.32000000000698</v>
      </c>
      <c r="AR7" s="251">
        <f>'3'!$G$77</f>
        <v>46.400000000001455</v>
      </c>
      <c r="AS7" s="251">
        <f>'3'!$G$78</f>
        <v>1.5999999999985448</v>
      </c>
      <c r="AT7" s="251">
        <f t="shared" si="0"/>
        <v>531.48399999999674</v>
      </c>
      <c r="AU7" s="254">
        <f>SUM('3'!G91:G92)</f>
        <v>11</v>
      </c>
      <c r="AV7" s="251">
        <f>'3'!$G$88</f>
        <v>0</v>
      </c>
      <c r="AW7" s="251">
        <f>'3'!$G$89</f>
        <v>9.7999999999992724</v>
      </c>
      <c r="AX7" s="251">
        <f>'3'!$G$90</f>
        <v>2.3200000000069849</v>
      </c>
      <c r="AY7" s="255">
        <f t="shared" si="1"/>
        <v>12.120000000006257</v>
      </c>
      <c r="AZ7" s="311">
        <f t="shared" si="2"/>
        <v>28.23127272727222</v>
      </c>
      <c r="BA7" s="311">
        <f t="shared" si="3"/>
        <v>43.85181518149524</v>
      </c>
      <c r="BB7" s="351">
        <f t="shared" si="4"/>
        <v>4937.0600000000086</v>
      </c>
      <c r="BC7" s="351">
        <f t="shared" si="5"/>
        <v>25.871508672640612</v>
      </c>
    </row>
    <row r="8" spans="1:55">
      <c r="A8" s="359">
        <v>4</v>
      </c>
      <c r="B8" s="643">
        <f>'4'!G7</f>
        <v>18470.589999999967</v>
      </c>
      <c r="C8" s="643">
        <f>'4'!G8</f>
        <v>18612.709999999963</v>
      </c>
      <c r="D8" s="643">
        <f>'4'!G15</f>
        <v>997.95200000004843</v>
      </c>
      <c r="E8" s="643">
        <f>'4'!G20</f>
        <v>261</v>
      </c>
      <c r="F8" s="643">
        <f>SUM('4'!G35,'4'!G49)</f>
        <v>2682.8700000000026</v>
      </c>
      <c r="G8" s="643">
        <f>SUM('4'!G37,'4'!G51)</f>
        <v>1614.0999999999985</v>
      </c>
      <c r="H8" s="643">
        <f>SUM('4'!G38,'4'!G52)</f>
        <v>1858.4700000000012</v>
      </c>
      <c r="I8" s="643">
        <f>SUM('4'!G39,'4'!G53)</f>
        <v>2666.7100000000064</v>
      </c>
      <c r="J8" s="643">
        <f>SUM('4'!G41,'4'!G42,'4'!G55,'4'!G56)</f>
        <v>2816.8300000000017</v>
      </c>
      <c r="K8" s="643">
        <f>SUM('4'!G43,'4'!G57)</f>
        <v>2395.179999999993</v>
      </c>
      <c r="L8" s="254">
        <f>'4'!G50</f>
        <v>1149.75</v>
      </c>
      <c r="M8" s="254">
        <f>'4'!G36</f>
        <v>861.87000000000262</v>
      </c>
      <c r="N8" s="254">
        <f>'4'!G138</f>
        <v>102</v>
      </c>
      <c r="O8" s="254">
        <f>'4'!$G$139</f>
        <v>3</v>
      </c>
      <c r="P8" s="254">
        <f>'4'!$G$140</f>
        <v>1.1999999999970896</v>
      </c>
      <c r="Q8" s="254">
        <f>'4'!$G$141</f>
        <v>187.95999999999913</v>
      </c>
      <c r="R8" s="254">
        <f>'4'!$G$142</f>
        <v>65.520000000000437</v>
      </c>
      <c r="S8" s="254">
        <f>'4'!$G$145</f>
        <v>14.8100000000004</v>
      </c>
      <c r="T8" s="254">
        <f>'4'!$G$146</f>
        <v>381</v>
      </c>
      <c r="U8" s="254">
        <f>'4'!$G$144</f>
        <v>212</v>
      </c>
      <c r="V8" s="251">
        <f>'4'!$G$147</f>
        <v>396.43999999994412</v>
      </c>
      <c r="W8" s="251">
        <f>'4'!$G$148</f>
        <v>309.43999999994412</v>
      </c>
      <c r="X8" s="254">
        <f>'4'!$G$143</f>
        <v>27.959999999999582</v>
      </c>
      <c r="Y8" s="254">
        <f>'4'!$G$58</f>
        <v>201.18000000000029</v>
      </c>
      <c r="Z8" s="254">
        <f>'4'!$G$151</f>
        <v>257</v>
      </c>
      <c r="AA8" s="254">
        <f>'4'!G161</f>
        <v>57.239999999990687</v>
      </c>
      <c r="AB8" s="254">
        <f>'4'!G162</f>
        <v>34</v>
      </c>
      <c r="AC8" s="254"/>
      <c r="AD8" s="254">
        <f>'4'!G163+'4'!G164</f>
        <v>33.099999999993997</v>
      </c>
      <c r="AE8" s="254">
        <f>'4'!$G$116</f>
        <v>8.07</v>
      </c>
      <c r="AF8" s="254">
        <f>'4'!$G$117</f>
        <v>77.290000000000418</v>
      </c>
      <c r="AG8" s="254">
        <f>'4'!$G$118</f>
        <v>342.33999999999651</v>
      </c>
      <c r="AH8" s="254">
        <f>'4'!$G$119</f>
        <v>410.06000000002678</v>
      </c>
      <c r="AI8" s="254">
        <f>'4'!$G$120</f>
        <v>427.38999999999942</v>
      </c>
      <c r="AJ8" s="254">
        <f>'4'!$G$121</f>
        <v>720.55999999999767</v>
      </c>
      <c r="AK8" s="254">
        <f>'4'!$G$122</f>
        <v>251.76000000000931</v>
      </c>
      <c r="AL8" s="254">
        <f>'4'!$G$123</f>
        <v>260.30999999999767</v>
      </c>
      <c r="AM8" s="254">
        <f>'4'!$G$133</f>
        <v>690.82999999998719</v>
      </c>
      <c r="AN8" s="254">
        <f>'4'!$G$15</f>
        <v>997.95200000004843</v>
      </c>
      <c r="AO8" s="254">
        <f>'4'!$G$74</f>
        <v>297.04000000003725</v>
      </c>
      <c r="AP8" s="254">
        <f>'4'!$G$75</f>
        <v>0</v>
      </c>
      <c r="AQ8" s="254">
        <f>'4'!$G$76</f>
        <v>150.01000000000931</v>
      </c>
      <c r="AR8" s="254">
        <f>'4'!$G$77</f>
        <v>47.900000000001455</v>
      </c>
      <c r="AS8" s="254">
        <f>'4'!$G$78</f>
        <v>2.3000000000010914</v>
      </c>
      <c r="AT8" s="254">
        <f t="shared" si="0"/>
        <v>500.70199999999932</v>
      </c>
      <c r="AU8" s="254">
        <f>SUM('4'!G91:G92)</f>
        <v>11.4699999999998</v>
      </c>
      <c r="AV8" s="254">
        <f>'4'!$G$88</f>
        <v>0</v>
      </c>
      <c r="AW8" s="254">
        <f>'4'!$G$89</f>
        <v>9.7400000000016007</v>
      </c>
      <c r="AX8" s="254">
        <f>'4'!$G$90</f>
        <v>0.25</v>
      </c>
      <c r="AY8" s="252">
        <f t="shared" si="1"/>
        <v>9.9900000000016007</v>
      </c>
      <c r="AZ8" s="311">
        <f t="shared" si="2"/>
        <v>25.897122929384693</v>
      </c>
      <c r="BA8" s="311">
        <f t="shared" si="3"/>
        <v>50.120320320312224</v>
      </c>
      <c r="BB8" s="351">
        <f t="shared" si="4"/>
        <v>4377.369999999959</v>
      </c>
      <c r="BC8" s="351">
        <f t="shared" si="5"/>
        <v>23.699134678426443</v>
      </c>
    </row>
    <row r="9" spans="1:55">
      <c r="A9" s="359">
        <v>5</v>
      </c>
      <c r="B9" s="643">
        <f>'5'!G7</f>
        <v>20600.080000000075</v>
      </c>
      <c r="C9" s="643">
        <f>'5'!G8</f>
        <v>20830.960000000079</v>
      </c>
      <c r="D9" s="643">
        <f>'5'!G15</f>
        <v>1047.8699999998789</v>
      </c>
      <c r="E9" s="643">
        <f>'5'!G20</f>
        <v>294</v>
      </c>
      <c r="F9" s="643">
        <f>SUM('5'!G35,'5'!G49)</f>
        <v>2888.9999999999964</v>
      </c>
      <c r="G9" s="643">
        <f>SUM('5'!G37,'5'!G51)</f>
        <v>1683.9199999999983</v>
      </c>
      <c r="H9" s="643">
        <f>SUM('5'!G38,'5'!G52)</f>
        <v>1939.4400000000023</v>
      </c>
      <c r="I9" s="643">
        <f>SUM('5'!G39,'5'!G53)</f>
        <v>2758.0200000000041</v>
      </c>
      <c r="J9" s="643">
        <f>SUM('5'!G41,'5'!G42,'5'!G55,'5'!G56)</f>
        <v>3196.3899999999994</v>
      </c>
      <c r="K9" s="643">
        <f>SUM('5'!G43,'5'!G57)</f>
        <v>2237.7600000000093</v>
      </c>
      <c r="L9" s="254">
        <f>'5'!G50</f>
        <v>1526.75</v>
      </c>
      <c r="M9" s="254">
        <f>'5'!G36</f>
        <v>1353.260000000002</v>
      </c>
      <c r="N9" s="254">
        <f>'5'!G138</f>
        <v>97</v>
      </c>
      <c r="O9" s="254">
        <f>'5'!$G$139</f>
        <v>11</v>
      </c>
      <c r="P9" s="254">
        <f>'5'!$G$140</f>
        <v>1.1999999999970896</v>
      </c>
      <c r="Q9" s="258">
        <f>'5'!$G$141</f>
        <v>186.5</v>
      </c>
      <c r="R9" s="254">
        <f>'5'!$G$142</f>
        <v>68.260000000002037</v>
      </c>
      <c r="S9" s="251">
        <f>'5'!$G$145</f>
        <v>8.2599999999993088</v>
      </c>
      <c r="T9" s="254">
        <f>'5'!$G$146</f>
        <v>450</v>
      </c>
      <c r="U9" s="254">
        <f>'5'!$G$144</f>
        <v>213</v>
      </c>
      <c r="V9" s="256">
        <f>'5'!$G$147</f>
        <v>414.56000000005588</v>
      </c>
      <c r="W9" s="254">
        <f>'5'!$G$148</f>
        <v>385.44000000006054</v>
      </c>
      <c r="X9" s="254">
        <f>'5'!$G$143</f>
        <v>27.8100000000004</v>
      </c>
      <c r="Y9" s="254">
        <f>'5'!$G$58</f>
        <v>243.92000000000007</v>
      </c>
      <c r="Z9" s="254">
        <f>'5'!$G$151</f>
        <v>255</v>
      </c>
      <c r="AA9" s="254">
        <f>'5'!G161</f>
        <v>56.520000000018626</v>
      </c>
      <c r="AB9" s="254">
        <f>'5'!G162</f>
        <v>33.899999999994179</v>
      </c>
      <c r="AC9" s="254"/>
      <c r="AD9" s="254">
        <f>'5'!G163+'5'!G164</f>
        <v>33.5</v>
      </c>
      <c r="AE9" s="254">
        <f>'5'!$G$116</f>
        <v>27.28</v>
      </c>
      <c r="AF9" s="254">
        <f>'5'!$G$117</f>
        <v>109.17999999999984</v>
      </c>
      <c r="AG9" s="254">
        <f>'5'!$G$118</f>
        <v>341.54000000000815</v>
      </c>
      <c r="AH9" s="254">
        <f>'5'!$G$119</f>
        <v>387.07999999998719</v>
      </c>
      <c r="AI9" s="254">
        <f>'5'!$G$120</f>
        <v>409.87000000000262</v>
      </c>
      <c r="AJ9" s="254">
        <f>'5'!$G$121</f>
        <v>720.76000000000931</v>
      </c>
      <c r="AK9" s="254">
        <f>'5'!$G$122</f>
        <v>259.33000000000175</v>
      </c>
      <c r="AL9" s="254">
        <f>'5'!$G$123</f>
        <v>248.3300000000163</v>
      </c>
      <c r="AM9" s="254">
        <f>'5'!$G$133</f>
        <v>692.97000000000116</v>
      </c>
      <c r="AN9" s="254">
        <f>'5'!$G$15</f>
        <v>1047.8699999998789</v>
      </c>
      <c r="AO9" s="256">
        <f>'5'!$G$74</f>
        <v>284.73999999999069</v>
      </c>
      <c r="AP9" s="256">
        <f>'5'!$G$75</f>
        <v>0</v>
      </c>
      <c r="AQ9" s="256">
        <f>'5'!$G$76</f>
        <v>134</v>
      </c>
      <c r="AR9" s="256">
        <f>'5'!$G$77</f>
        <v>59.799999999995634</v>
      </c>
      <c r="AS9" s="256">
        <f>'5'!$G$78</f>
        <v>2.1999999999989086</v>
      </c>
      <c r="AT9" s="256">
        <f t="shared" si="0"/>
        <v>567.1299999998937</v>
      </c>
      <c r="AU9" s="254">
        <f>SUM('5'!G91:G92)</f>
        <v>10.619999999999891</v>
      </c>
      <c r="AV9" s="254">
        <f>'5'!$G$88</f>
        <v>0</v>
      </c>
      <c r="AW9" s="254">
        <f>'5'!$G$89</f>
        <v>9.8600000000005821</v>
      </c>
      <c r="AX9" s="254">
        <f>'5'!$G$90</f>
        <v>3.6600000000034925</v>
      </c>
      <c r="AY9" s="252">
        <f t="shared" si="1"/>
        <v>13.520000000004075</v>
      </c>
      <c r="AZ9" s="311">
        <f>AO9/AU9</f>
        <v>26.811676082861922</v>
      </c>
      <c r="BA9" s="311">
        <f t="shared" si="3"/>
        <v>41.947485207080085</v>
      </c>
      <c r="BB9" s="351">
        <f t="shared" si="4"/>
        <v>5882.5100000000693</v>
      </c>
      <c r="BC9" s="351">
        <f t="shared" si="5"/>
        <v>28.555762890241436</v>
      </c>
    </row>
    <row r="10" spans="1:55">
      <c r="A10" s="359">
        <v>6</v>
      </c>
      <c r="B10" s="643">
        <f>'6'!G7</f>
        <v>20386.880000000005</v>
      </c>
      <c r="C10" s="643">
        <f>'6'!G8</f>
        <v>20612</v>
      </c>
      <c r="D10" s="643">
        <f>'6'!G15</f>
        <v>1049.5</v>
      </c>
      <c r="E10" s="643">
        <f>'6'!G20</f>
        <v>275</v>
      </c>
      <c r="F10" s="643">
        <f>SUM('6'!G35,'6'!G49)</f>
        <v>3019.2900000000009</v>
      </c>
      <c r="G10" s="643">
        <f>SUM('6'!G37,'6'!G51)</f>
        <v>1645.6599999999962</v>
      </c>
      <c r="H10" s="643">
        <f>SUM('6'!G38,'6'!G52)</f>
        <v>1915.0299999999988</v>
      </c>
      <c r="I10" s="643">
        <f>SUM('6'!G39,'6'!G53)</f>
        <v>2776.5599999999977</v>
      </c>
      <c r="J10" s="643">
        <f>SUM('6'!G41,'6'!G42,'6'!G55,'6'!G56)</f>
        <v>3426.9199999999983</v>
      </c>
      <c r="K10" s="643">
        <f>SUM('6'!G43,'6'!G57)</f>
        <v>2145.3499999999913</v>
      </c>
      <c r="L10" s="254">
        <f>'6'!G50</f>
        <v>1272.5999999999985</v>
      </c>
      <c r="M10" s="254">
        <f>'6'!G36</f>
        <v>902.15999999999622</v>
      </c>
      <c r="N10" s="254">
        <f>'6'!G138</f>
        <v>89</v>
      </c>
      <c r="O10" s="254">
        <f>'6'!$G$139</f>
        <v>5</v>
      </c>
      <c r="P10" s="254">
        <f>'6'!$G$140</f>
        <v>0.80000000000291038</v>
      </c>
      <c r="Q10" s="254">
        <f>'6'!$G$141</f>
        <v>166.01000000000204</v>
      </c>
      <c r="R10" s="254">
        <f>'6'!$G$142</f>
        <v>66.869999999998981</v>
      </c>
      <c r="S10" s="254">
        <f>'6'!$G$145</f>
        <v>7.180000000000291</v>
      </c>
      <c r="T10" s="251">
        <f>'6'!$G$146</f>
        <v>456</v>
      </c>
      <c r="U10" s="251">
        <f>'6'!$G$144</f>
        <v>212</v>
      </c>
      <c r="V10" s="251">
        <f>'6'!$G$147</f>
        <v>394.1600000000326</v>
      </c>
      <c r="W10" s="251">
        <f>'6'!$G$148</f>
        <v>355.52000000001863</v>
      </c>
      <c r="X10" s="251">
        <f>'6'!$G$143</f>
        <v>29.339999999999691</v>
      </c>
      <c r="Y10" s="251">
        <f>'6'!$G$58</f>
        <v>227.27999999999975</v>
      </c>
      <c r="Z10" s="251">
        <f>'6'!$G$151</f>
        <v>241</v>
      </c>
      <c r="AA10" s="251">
        <f>'6'!G161</f>
        <v>31.840000000025611</v>
      </c>
      <c r="AB10" s="251">
        <f>'6'!G162</f>
        <v>18.100000000005821</v>
      </c>
      <c r="AC10" s="251"/>
      <c r="AD10" s="251">
        <f>'6'!G163+'6'!G164</f>
        <v>34.600000000005821</v>
      </c>
      <c r="AE10" s="254">
        <f>'6'!$G$116</f>
        <v>236.35</v>
      </c>
      <c r="AF10" s="254">
        <f>'6'!$G$117</f>
        <v>118.32000000000016</v>
      </c>
      <c r="AG10" s="254">
        <f>'6'!$G$118</f>
        <v>326.33999999999651</v>
      </c>
      <c r="AH10" s="254">
        <f>'6'!$G$119</f>
        <v>386.94000000000233</v>
      </c>
      <c r="AI10" s="254">
        <f>'6'!$G$120</f>
        <v>394</v>
      </c>
      <c r="AJ10" s="254">
        <f>'6'!$G$121</f>
        <v>732.44000000000233</v>
      </c>
      <c r="AK10" s="254">
        <f>'6'!$G$122</f>
        <v>222.33000000000175</v>
      </c>
      <c r="AL10" s="254">
        <f>'6'!$G$123</f>
        <v>250.45999999999185</v>
      </c>
      <c r="AM10" s="254">
        <f>'6'!$G$133</f>
        <v>622.38999999999942</v>
      </c>
      <c r="AN10" s="254">
        <f>'6'!$G$15</f>
        <v>1049.5</v>
      </c>
      <c r="AO10" s="256">
        <f>'6'!$G$74</f>
        <v>303.77999999991152</v>
      </c>
      <c r="AP10" s="256">
        <f>'6'!$G$75</f>
        <v>0</v>
      </c>
      <c r="AQ10" s="256">
        <f>'6'!$G$76</f>
        <v>109.80999999999767</v>
      </c>
      <c r="AR10" s="256">
        <f>'6'!$G$77</f>
        <v>45.5</v>
      </c>
      <c r="AS10" s="256">
        <f>'6'!$G$78</f>
        <v>1.3000000000010914</v>
      </c>
      <c r="AT10" s="256">
        <f t="shared" si="0"/>
        <v>589.11000000008971</v>
      </c>
      <c r="AU10" s="254">
        <f>SUM('6'!G91:G92)</f>
        <v>11.170000000000073</v>
      </c>
      <c r="AV10" s="254">
        <f>'6'!$G$88</f>
        <v>0</v>
      </c>
      <c r="AW10" s="254">
        <f>'6'!$G$89</f>
        <v>10.180000000000291</v>
      </c>
      <c r="AX10" s="254">
        <f>'6'!$G$90</f>
        <v>4.1599999999889405</v>
      </c>
      <c r="AY10" s="252">
        <f t="shared" si="1"/>
        <v>14.339999999989232</v>
      </c>
      <c r="AZ10" s="311">
        <f t="shared" ref="AZ10:AZ28" si="6">AO10/AU10</f>
        <v>27.196060877341946</v>
      </c>
      <c r="BA10" s="311">
        <f t="shared" si="3"/>
        <v>41.081589958196105</v>
      </c>
      <c r="BB10" s="351">
        <f t="shared" si="4"/>
        <v>5455.910000000018</v>
      </c>
      <c r="BC10" s="351">
        <f t="shared" si="5"/>
        <v>26.761868417335151</v>
      </c>
    </row>
    <row r="11" spans="1:55">
      <c r="A11" s="359">
        <v>7</v>
      </c>
      <c r="B11" s="643">
        <f>'7'!G7</f>
        <v>21554.719999999972</v>
      </c>
      <c r="C11" s="643">
        <f>'7'!G8</f>
        <v>21704.239999999991</v>
      </c>
      <c r="D11" s="643">
        <f>'7'!G15</f>
        <v>1030.6800000001676</v>
      </c>
      <c r="E11" s="643">
        <f>'7'!G20</f>
        <v>242</v>
      </c>
      <c r="F11" s="643">
        <f>SUM('7'!G35,'7'!G49)</f>
        <v>3100.3399999999965</v>
      </c>
      <c r="G11" s="643">
        <f>SUM('7'!G37,'7'!G51)</f>
        <v>1658.8400000000038</v>
      </c>
      <c r="H11" s="643">
        <f>SUM('7'!G38,'7'!G52)</f>
        <v>2017.739999999998</v>
      </c>
      <c r="I11" s="643">
        <f>SUM('7'!G39,'7'!G53)</f>
        <v>3066.4900000000052</v>
      </c>
      <c r="J11" s="643">
        <f>SUM('7'!G41,'7'!G42,'7'!G55,'7'!G56)</f>
        <v>4458.75</v>
      </c>
      <c r="K11" s="643">
        <f>SUM('7'!G43,'7'!G57)</f>
        <v>2208.6800000000076</v>
      </c>
      <c r="L11" s="254">
        <f>'7'!G50</f>
        <v>1415.6200000000026</v>
      </c>
      <c r="M11" s="254">
        <f>'7'!G36</f>
        <v>840.56999999999971</v>
      </c>
      <c r="N11" s="254">
        <f>'7'!G138</f>
        <v>80</v>
      </c>
      <c r="O11" s="254">
        <f>'7'!$G$139</f>
        <v>33</v>
      </c>
      <c r="P11" s="254">
        <f>'7'!$G$140</f>
        <v>1</v>
      </c>
      <c r="Q11" s="254">
        <f>'7'!$G$141</f>
        <v>180.29000000000087</v>
      </c>
      <c r="R11" s="254">
        <f>'7'!$G$142</f>
        <v>74.799999999999272</v>
      </c>
      <c r="S11" s="254">
        <f>'7'!$G$145</f>
        <v>12.600000000000364</v>
      </c>
      <c r="T11" s="251">
        <f>'7'!$G$146</f>
        <v>464</v>
      </c>
      <c r="U11" s="251">
        <f>'7'!$G$144</f>
        <v>217</v>
      </c>
      <c r="V11" s="251">
        <f>'7'!$G$147</f>
        <v>413.27999999991152</v>
      </c>
      <c r="W11" s="251">
        <f>'7'!$G$148</f>
        <v>328.47999999998137</v>
      </c>
      <c r="X11" s="251">
        <f>'7'!$G$143</f>
        <v>26.360000000000127</v>
      </c>
      <c r="Y11" s="251">
        <f>'7'!$G$58</f>
        <v>195.38000000000011</v>
      </c>
      <c r="Z11" s="256">
        <f>'7'!$G$151</f>
        <v>251</v>
      </c>
      <c r="AA11" s="256">
        <f>'7'!G161</f>
        <v>38.599999999976717</v>
      </c>
      <c r="AB11" s="251">
        <f>'7'!G162</f>
        <v>39.399999999994179</v>
      </c>
      <c r="AC11" s="251"/>
      <c r="AD11" s="251">
        <f>'7'!G163+'7'!G164</f>
        <v>37.200000000003456</v>
      </c>
      <c r="AE11" s="254">
        <f>'7'!$G$116</f>
        <v>370.46999999999997</v>
      </c>
      <c r="AF11" s="254">
        <f>'7'!$G$117</f>
        <v>148.92999999999984</v>
      </c>
      <c r="AG11" s="254">
        <f>'7'!$G$118</f>
        <v>355.13999999998487</v>
      </c>
      <c r="AH11" s="254">
        <f>'7'!$G$119</f>
        <v>394.38000000000466</v>
      </c>
      <c r="AI11" s="254">
        <f>'7'!$G$120</f>
        <v>421.58000000000175</v>
      </c>
      <c r="AJ11" s="254">
        <f>'7'!$G$121</f>
        <v>749.55999999999767</v>
      </c>
      <c r="AK11" s="256">
        <f>'7'!$G$122</f>
        <v>205.54999999998836</v>
      </c>
      <c r="AL11" s="254">
        <f>'7'!$G$123</f>
        <v>250.39999999999418</v>
      </c>
      <c r="AM11" s="254">
        <f>'7'!$G$133</f>
        <v>677.02999999999884</v>
      </c>
      <c r="AN11" s="254">
        <f>'7'!$G$15</f>
        <v>1030.6800000001676</v>
      </c>
      <c r="AO11" s="256">
        <f>'7'!$G$74</f>
        <v>301.6600000000326</v>
      </c>
      <c r="AP11" s="256">
        <f>'7'!$G$75</f>
        <v>0</v>
      </c>
      <c r="AQ11" s="256">
        <f>'7'!$G$76</f>
        <v>98.489999999990687</v>
      </c>
      <c r="AR11" s="256">
        <f>'7'!$G$77</f>
        <v>55.900000000001455</v>
      </c>
      <c r="AS11" s="256">
        <f>'7'!$G$78</f>
        <v>0.8999999999996362</v>
      </c>
      <c r="AT11" s="256">
        <f t="shared" si="0"/>
        <v>573.73000000014326</v>
      </c>
      <c r="AU11" s="254">
        <f>SUM('7'!G91:G92)</f>
        <v>11.099999999999909</v>
      </c>
      <c r="AV11" s="254">
        <f>'7'!$G$88</f>
        <v>0</v>
      </c>
      <c r="AW11" s="254">
        <f>'7'!$G$89</f>
        <v>9.7899999999972351</v>
      </c>
      <c r="AX11" s="254">
        <f>'7'!$G$90</f>
        <v>4.1600000000034925</v>
      </c>
      <c r="AY11" s="252">
        <f t="shared" si="1"/>
        <v>13.950000000000728</v>
      </c>
      <c r="AZ11" s="311">
        <f>AO11/AU11</f>
        <v>27.176576576579738</v>
      </c>
      <c r="BA11" s="311">
        <f t="shared" si="3"/>
        <v>41.127598566316365</v>
      </c>
      <c r="BB11" s="351">
        <f t="shared" si="4"/>
        <v>4998.0199999999786</v>
      </c>
      <c r="BC11" s="351">
        <f t="shared" si="5"/>
        <v>23.187589539553215</v>
      </c>
    </row>
    <row r="12" spans="1:55">
      <c r="A12" s="359">
        <v>8</v>
      </c>
      <c r="B12" s="643">
        <f>'8'!G7</f>
        <v>-534322.27</v>
      </c>
      <c r="C12" s="643">
        <f>'8'!G8</f>
        <v>-543397.91</v>
      </c>
      <c r="D12" s="643">
        <f>'8'!G15</f>
        <v>-27984.820000000065</v>
      </c>
      <c r="E12" s="643">
        <f>'8'!G20</f>
        <v>-1444</v>
      </c>
      <c r="F12" s="643">
        <f>SUM('8'!G35,'8'!G49)</f>
        <v>377587.02</v>
      </c>
      <c r="G12" s="643">
        <f>SUM('8'!G37,'8'!G51)</f>
        <v>160924.07</v>
      </c>
      <c r="H12" s="643">
        <f>SUM('8'!G38,'8'!G52)</f>
        <v>194527.68</v>
      </c>
      <c r="I12" s="643">
        <f>SUM('8'!G39,'8'!G53)</f>
        <v>354440.29</v>
      </c>
      <c r="J12" s="643">
        <f>SUM('8'!G41,'8'!G42,'8'!G55,'8'!G56)</f>
        <v>-97121.84</v>
      </c>
      <c r="K12" s="643">
        <f>SUM('8'!G43,'8'!G57)</f>
        <v>-63585.33</v>
      </c>
      <c r="L12" s="254">
        <f>'8'!G50</f>
        <v>-31671.86</v>
      </c>
      <c r="M12" s="254">
        <f>'8'!G36</f>
        <v>-21903.559999999998</v>
      </c>
      <c r="N12" s="254">
        <f>'8'!G138</f>
        <v>-2002</v>
      </c>
      <c r="O12" s="254">
        <f>'8'!$G$139</f>
        <v>-80</v>
      </c>
      <c r="P12" s="254">
        <f>'8'!$G$140</f>
        <v>-40</v>
      </c>
      <c r="Q12" s="254">
        <f>'8'!$G$141</f>
        <v>-5193.8600000000006</v>
      </c>
      <c r="R12" s="254">
        <f>'8'!$G$142</f>
        <v>-2200.7999999999993</v>
      </c>
      <c r="S12" s="254">
        <f>'8'!$G$145</f>
        <v>-348.85000000000036</v>
      </c>
      <c r="T12" s="251">
        <f>'8'!$G$146</f>
        <v>-11853</v>
      </c>
      <c r="U12" s="251">
        <f>'8'!$G$144</f>
        <v>-6473</v>
      </c>
      <c r="V12" s="251">
        <f>'8'!$G$147</f>
        <v>-10930.439999999944</v>
      </c>
      <c r="W12" s="251">
        <f>'8'!$G$148</f>
        <v>-6325.7600000000093</v>
      </c>
      <c r="X12" s="251">
        <f>'8'!$G$143</f>
        <v>-779</v>
      </c>
      <c r="Y12" s="251">
        <f>'8'!$G$58</f>
        <v>-5417.99</v>
      </c>
      <c r="Z12" s="251">
        <f>'8'!$G$151</f>
        <v>-7028</v>
      </c>
      <c r="AA12" s="251">
        <f>'8'!G161</f>
        <v>-1167.4400000000023</v>
      </c>
      <c r="AB12" s="251">
        <f>'8'!G162</f>
        <v>-988.69999999999709</v>
      </c>
      <c r="AC12" s="251"/>
      <c r="AD12" s="251">
        <f>'8'!G163+'8'!G164</f>
        <v>-1370.7000000000062</v>
      </c>
      <c r="AE12" s="254">
        <f>'8'!$G$116</f>
        <v>-642.16999999999996</v>
      </c>
      <c r="AF12" s="254">
        <f>'8'!$G$117</f>
        <v>-1069.46</v>
      </c>
      <c r="AG12" s="254">
        <f>'8'!$G$118</f>
        <v>-10167.549999999988</v>
      </c>
      <c r="AH12" s="254">
        <f>'8'!$G$119</f>
        <v>-12404.070000000007</v>
      </c>
      <c r="AI12" s="254">
        <f>'8'!$G$120</f>
        <v>-12432.760000000002</v>
      </c>
      <c r="AJ12" s="254">
        <f>'8'!$G$121</f>
        <v>-20599.070000000007</v>
      </c>
      <c r="AK12" s="254">
        <f>'8'!$G$122</f>
        <v>-5898.3699999999953</v>
      </c>
      <c r="AL12" s="254">
        <f>'8'!$G$123</f>
        <v>-8093.7699999999895</v>
      </c>
      <c r="AM12" s="254">
        <f>'8'!$G$133</f>
        <v>-15423.679999999993</v>
      </c>
      <c r="AN12" s="254">
        <f>'8'!$G$15</f>
        <v>-27984.820000000065</v>
      </c>
      <c r="AO12" s="256">
        <f>'8'!$G$74</f>
        <v>-9119.4799999999814</v>
      </c>
      <c r="AP12" s="256">
        <f>'8'!$G$75</f>
        <v>0</v>
      </c>
      <c r="AQ12" s="256">
        <f>'8'!$G$76</f>
        <v>-2868.3999999999942</v>
      </c>
      <c r="AR12" s="256">
        <f>'8'!$G$77</f>
        <v>-1042.5999999999985</v>
      </c>
      <c r="AS12" s="256">
        <f>'8'!$G$78</f>
        <v>-33</v>
      </c>
      <c r="AT12" s="256">
        <f t="shared" si="0"/>
        <v>-14921.340000000091</v>
      </c>
      <c r="AU12" s="254">
        <f>SUM('8'!G91:G92)</f>
        <v>-326.42999999999938</v>
      </c>
      <c r="AV12" s="254">
        <f>'8'!$G$88</f>
        <v>-5.430000000000291</v>
      </c>
      <c r="AW12" s="254">
        <f>'8'!$G$89</f>
        <v>-245.36999999999898</v>
      </c>
      <c r="AX12" s="254">
        <f>'8'!$G$90</f>
        <v>-107.91999999999825</v>
      </c>
      <c r="AY12" s="252">
        <f t="shared" si="1"/>
        <v>-358.71999999999753</v>
      </c>
      <c r="AZ12" s="311">
        <f t="shared" si="6"/>
        <v>27.937015592929566</v>
      </c>
      <c r="BA12" s="311">
        <f t="shared" si="3"/>
        <v>41.596063782337737</v>
      </c>
      <c r="BB12" s="351">
        <f t="shared" si="4"/>
        <v>-1464751.81</v>
      </c>
      <c r="BC12" s="351">
        <f t="shared" si="5"/>
        <v>274.13265219134513</v>
      </c>
    </row>
    <row r="13" spans="1:55">
      <c r="A13" s="359">
        <v>9</v>
      </c>
      <c r="B13" s="643">
        <f>'9'!G7</f>
        <v>17711</v>
      </c>
      <c r="C13" s="643">
        <f>'9'!G8</f>
        <v>18011</v>
      </c>
      <c r="D13" s="643">
        <f>'9'!G15</f>
        <v>907</v>
      </c>
      <c r="E13" s="643">
        <f>'9'!G20</f>
        <v>205</v>
      </c>
      <c r="F13" s="643">
        <f>SUM('9'!G35,'9'!G49)</f>
        <v>3089</v>
      </c>
      <c r="G13" s="643">
        <f>SUM('9'!G37,'9'!G51)</f>
        <v>1472</v>
      </c>
      <c r="H13" s="643">
        <f>SUM('9'!G38,'9'!G52)</f>
        <v>1658</v>
      </c>
      <c r="I13" s="643">
        <f>SUM('9'!G39,'9'!G53)</f>
        <v>2610</v>
      </c>
      <c r="J13" s="643">
        <f>SUM('9'!G41,'9'!G42,'9'!G55,'9'!G56)</f>
        <v>2762.4599999999991</v>
      </c>
      <c r="K13" s="643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>
      <c r="A14" s="359">
        <v>10</v>
      </c>
      <c r="B14" s="643">
        <f>'10'!G7</f>
        <v>16861</v>
      </c>
      <c r="C14" s="643">
        <f>'10'!G8</f>
        <v>17063</v>
      </c>
      <c r="D14" s="643">
        <f>'10'!G15</f>
        <v>759</v>
      </c>
      <c r="E14" s="643">
        <f>'10'!G20</f>
        <v>124</v>
      </c>
      <c r="F14" s="643">
        <f>SUM('10'!G35,'10'!G49)</f>
        <v>2752</v>
      </c>
      <c r="G14" s="643">
        <f>SUM('10'!G37,'10'!G51)</f>
        <v>1452</v>
      </c>
      <c r="H14" s="643">
        <f>SUM('10'!G38,'10'!G52)</f>
        <v>1541</v>
      </c>
      <c r="I14" s="643">
        <f>SUM('10'!G39,'10'!G53)</f>
        <v>2574</v>
      </c>
      <c r="J14" s="643">
        <f>SUM('10'!G41,'10'!G42,'10'!G55,'10'!G56)</f>
        <v>2760</v>
      </c>
      <c r="K14" s="643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>
      <c r="A15" s="359">
        <v>11</v>
      </c>
      <c r="B15" s="643">
        <f>'11'!G7</f>
        <v>17025</v>
      </c>
      <c r="C15" s="643">
        <f>'11'!G8</f>
        <v>17262</v>
      </c>
      <c r="D15" s="643">
        <f>'11'!G15</f>
        <v>931</v>
      </c>
      <c r="E15" s="643">
        <f>'11'!G20</f>
        <v>130</v>
      </c>
      <c r="F15" s="643">
        <f>SUM('11'!G35,'11'!G49)</f>
        <v>2699</v>
      </c>
      <c r="G15" s="643">
        <f>SUM('11'!G37,'11'!G51)</f>
        <v>1445</v>
      </c>
      <c r="H15" s="643">
        <f>SUM('11'!G38,'11'!G52)</f>
        <v>1494</v>
      </c>
      <c r="I15" s="643">
        <f>SUM('11'!G39,'11'!G53)</f>
        <v>2471</v>
      </c>
      <c r="J15" s="643">
        <f>SUM('11'!G41,'11'!G42,'11'!G55,'11'!G56)</f>
        <v>2906.3999999999942</v>
      </c>
      <c r="K15" s="643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>
      <c r="A16" s="359">
        <v>12</v>
      </c>
      <c r="B16" s="643">
        <f>'12'!G7</f>
        <v>16531</v>
      </c>
      <c r="C16" s="643">
        <f>'12'!G8</f>
        <v>16713</v>
      </c>
      <c r="D16" s="643">
        <f>'12'!G15</f>
        <v>644</v>
      </c>
      <c r="E16" s="643">
        <f>'12'!G20</f>
        <v>136</v>
      </c>
      <c r="F16" s="643">
        <f>SUM('12'!G35,'12'!G49)</f>
        <v>2756</v>
      </c>
      <c r="G16" s="643">
        <f>SUM('12'!G37,'12'!G51)</f>
        <v>1481</v>
      </c>
      <c r="H16" s="643">
        <f>SUM('12'!G38,'12'!G52)</f>
        <v>1484</v>
      </c>
      <c r="I16" s="643">
        <f>SUM('12'!G39,'12'!G53)</f>
        <v>2461</v>
      </c>
      <c r="J16" s="643">
        <f>SUM('12'!G41,'12'!G42,'12'!G55,'12'!G56)</f>
        <v>2812</v>
      </c>
      <c r="K16" s="643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>
      <c r="A17" s="359">
        <v>13</v>
      </c>
      <c r="B17" s="643">
        <f>'13'!G7</f>
        <v>16800</v>
      </c>
      <c r="C17" s="643">
        <f>'13'!G8</f>
        <v>17050</v>
      </c>
      <c r="D17" s="643">
        <f>'13'!G15</f>
        <v>957</v>
      </c>
      <c r="E17" s="643">
        <f>'13'!G20</f>
        <v>103</v>
      </c>
      <c r="F17" s="643">
        <f>SUM('13'!G35,'13'!G49)</f>
        <v>2750</v>
      </c>
      <c r="G17" s="643">
        <f>SUM('13'!G37,'13'!G51)</f>
        <v>1471</v>
      </c>
      <c r="H17" s="643">
        <f>SUM('13'!G38,'13'!G52)</f>
        <v>1543</v>
      </c>
      <c r="I17" s="643">
        <f>SUM('13'!G39,'13'!G53)</f>
        <v>2404</v>
      </c>
      <c r="J17" s="643">
        <f>SUM('13'!G41,'13'!G42,'13'!G55,'13'!G56)</f>
        <v>2861</v>
      </c>
      <c r="K17" s="643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>
      <c r="A18" s="359">
        <v>14</v>
      </c>
      <c r="B18" s="643">
        <f>'14'!G7</f>
        <v>17228</v>
      </c>
      <c r="C18" s="643">
        <f>'14'!G8</f>
        <v>17430</v>
      </c>
      <c r="D18" s="643">
        <f>'14'!G15</f>
        <v>745</v>
      </c>
      <c r="E18" s="643">
        <f>'14'!G20</f>
        <v>114</v>
      </c>
      <c r="F18" s="643">
        <f>SUM('14'!G35,'14'!G49)</f>
        <v>2564</v>
      </c>
      <c r="G18" s="643">
        <f>SUM('14'!G37,'14'!G51)</f>
        <v>1509</v>
      </c>
      <c r="H18" s="643">
        <f>SUM('14'!G38,'14'!G52)</f>
        <v>1832</v>
      </c>
      <c r="I18" s="643">
        <f>SUM('14'!G39,'14'!G53)</f>
        <v>2495</v>
      </c>
      <c r="J18" s="643">
        <f>SUM('14'!G41,'14'!G42,'14'!G55,'14'!G56)</f>
        <v>3132</v>
      </c>
      <c r="K18" s="643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>
      <c r="A19" s="359">
        <v>15</v>
      </c>
      <c r="B19" s="643">
        <f>'15'!G7</f>
        <v>17216.75</v>
      </c>
      <c r="C19" s="643">
        <f>'15'!G8</f>
        <v>17328.710000000021</v>
      </c>
      <c r="D19" s="643">
        <f>'15'!G15</f>
        <v>965</v>
      </c>
      <c r="E19" s="643">
        <f>'15'!G20</f>
        <v>155</v>
      </c>
      <c r="F19" s="643">
        <f>SUM('15'!G35,'15'!G49)</f>
        <v>2552.4300000000003</v>
      </c>
      <c r="G19" s="643">
        <f>SUM('15'!G37,'15'!G51)</f>
        <v>1497.7399999999998</v>
      </c>
      <c r="H19" s="643">
        <f>SUM('15'!G38,'15'!G52)</f>
        <v>1386.9500000000007</v>
      </c>
      <c r="I19" s="643">
        <f>SUM('15'!G39,'15'!G53)</f>
        <v>2494.9000000000015</v>
      </c>
      <c r="J19" s="643">
        <f>SUM('15'!G41,'15'!G42,'15'!G55,'15'!G56)</f>
        <v>3008.3700000000099</v>
      </c>
      <c r="K19" s="643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>
      <c r="A20" s="359">
        <v>16</v>
      </c>
      <c r="B20" s="643">
        <f>'16'!G7</f>
        <v>17314.25</v>
      </c>
      <c r="C20" s="643">
        <f>'16'!G8</f>
        <v>17406.289999999979</v>
      </c>
      <c r="D20" s="643">
        <f>'16'!G15</f>
        <v>1006</v>
      </c>
      <c r="E20" s="643">
        <f>'16'!G20</f>
        <v>135</v>
      </c>
      <c r="F20" s="643">
        <f>SUM('16'!G35,'16'!G49)</f>
        <v>2589.5699999999997</v>
      </c>
      <c r="G20" s="643">
        <f>SUM('16'!G37,'16'!G51)</f>
        <v>1483.2600000000002</v>
      </c>
      <c r="H20" s="643">
        <f>SUM('16'!G38,'16'!G52)</f>
        <v>1625.0499999999993</v>
      </c>
      <c r="I20" s="643">
        <f>SUM('16'!G39,'16'!G53)</f>
        <v>2600.0999999999985</v>
      </c>
      <c r="J20" s="643">
        <f>SUM('16'!G41,'16'!G42,'16'!G55,'16'!G56)</f>
        <v>3032.7699999999968</v>
      </c>
      <c r="K20" s="643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>
      <c r="A21" s="359">
        <v>17</v>
      </c>
      <c r="B21" s="643">
        <f>'17'!G7</f>
        <v>17454</v>
      </c>
      <c r="C21" s="643">
        <f>'17'!G8</f>
        <v>17543</v>
      </c>
      <c r="D21" s="643">
        <f>'17'!G15</f>
        <v>734.2730000000447</v>
      </c>
      <c r="E21" s="643">
        <f>'17'!G20</f>
        <v>133</v>
      </c>
      <c r="F21" s="643">
        <f>SUM('17'!G35,'17'!G49)</f>
        <v>2686.2100000000009</v>
      </c>
      <c r="G21" s="643">
        <f>SUM('17'!G37,'17'!G51)</f>
        <v>1510.42</v>
      </c>
      <c r="H21" s="643">
        <f>SUM('17'!G38,'17'!G52)</f>
        <v>1604.1599999999999</v>
      </c>
      <c r="I21" s="643">
        <f>SUM('17'!G39,'17'!G53)</f>
        <v>2698</v>
      </c>
      <c r="J21" s="643">
        <f>SUM('17'!G41,'17'!G42,'17'!G55,'17'!G56)</f>
        <v>3005.1699999999983</v>
      </c>
      <c r="K21" s="643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>
      <c r="A22" s="359">
        <v>18</v>
      </c>
      <c r="B22" s="643">
        <f>'18 '!G7</f>
        <v>17765</v>
      </c>
      <c r="C22" s="643">
        <f>'18 '!G8</f>
        <v>18064.830000000016</v>
      </c>
      <c r="D22" s="643">
        <f>'18 '!G15</f>
        <v>881.7269999999553</v>
      </c>
      <c r="E22" s="643">
        <f>'18 '!G20</f>
        <v>154</v>
      </c>
      <c r="F22" s="643">
        <f>SUM('18 '!G35,'18 '!G49)</f>
        <v>2634.4799999999996</v>
      </c>
      <c r="G22" s="643">
        <f>SUM('18 '!G37,'18 '!G51)</f>
        <v>1562.5499999999993</v>
      </c>
      <c r="H22" s="643">
        <f>SUM('18 '!G38,'18 '!G52)</f>
        <v>1696.2999999999993</v>
      </c>
      <c r="I22" s="643">
        <f>SUM('18 '!G39,'18 '!G53)</f>
        <v>2546.4900000000016</v>
      </c>
      <c r="J22" s="643">
        <f>SUM('18 '!G41,'18 '!G42,'18 '!G55,'18 '!G56)</f>
        <v>3090.5200000000041</v>
      </c>
      <c r="K22" s="643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>
      <c r="A23" s="359">
        <v>19</v>
      </c>
      <c r="B23" s="643">
        <f>'19'!G7</f>
        <v>18033</v>
      </c>
      <c r="C23" s="643">
        <f>'19'!G8</f>
        <v>18721.169999999984</v>
      </c>
      <c r="D23" s="643">
        <f>'19'!G15</f>
        <v>834.30000000004657</v>
      </c>
      <c r="E23" s="643">
        <f>'19'!G20</f>
        <v>157</v>
      </c>
      <c r="F23" s="643">
        <f>SUM('19'!G35,'19'!G49)</f>
        <v>2941.6499999999996</v>
      </c>
      <c r="G23" s="643">
        <f>SUM('19'!G37,'19'!G51)</f>
        <v>1596.17</v>
      </c>
      <c r="H23" s="643">
        <f>SUM('19'!G38,'19'!G52)</f>
        <v>1623.5400000000009</v>
      </c>
      <c r="I23" s="643">
        <f>SUM('19'!G39,'19'!G53)</f>
        <v>2646.0699999999997</v>
      </c>
      <c r="J23" s="643">
        <f>SUM('19'!G41,'19'!G42,'19'!G55,'19'!G56)</f>
        <v>2846.1399999999994</v>
      </c>
      <c r="K23" s="643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>
      <c r="A24" s="359">
        <v>20</v>
      </c>
      <c r="B24" s="643">
        <f>'20'!G7</f>
        <v>16723.150000000023</v>
      </c>
      <c r="C24" s="643">
        <f>'20'!G8</f>
        <v>17336.710000000021</v>
      </c>
      <c r="D24" s="643">
        <f>'20'!G15</f>
        <v>986.94999999995343</v>
      </c>
      <c r="E24" s="643">
        <f>'20'!G20</f>
        <v>216</v>
      </c>
      <c r="F24" s="643">
        <f>SUM('20'!G35,'20'!G49)</f>
        <v>2570.5700000000015</v>
      </c>
      <c r="G24" s="643">
        <f>SUM('20'!G37,'20'!G51)</f>
        <v>1537.7799999999988</v>
      </c>
      <c r="H24" s="643">
        <f>SUM('20'!G38,'20'!G52)</f>
        <v>1612.8499999999985</v>
      </c>
      <c r="I24" s="643">
        <f>SUM('20'!G39,'20'!G53)</f>
        <v>2507.0499999999993</v>
      </c>
      <c r="J24" s="643">
        <f>SUM('20'!G41,'20'!G42,'20'!G55,'20'!G56)</f>
        <v>2588.6399999999994</v>
      </c>
      <c r="K24" s="643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>
      <c r="A25" s="359">
        <v>21</v>
      </c>
      <c r="B25" s="643">
        <f>'21'!G7</f>
        <v>17868.559999999998</v>
      </c>
      <c r="C25" s="643">
        <f>'21'!G8</f>
        <v>18548.039999999979</v>
      </c>
      <c r="D25" s="643">
        <f>'21'!G15</f>
        <v>1017.3400000000838</v>
      </c>
      <c r="E25" s="643">
        <f>'21'!G20</f>
        <v>167</v>
      </c>
      <c r="F25" s="643">
        <f>SUM('21'!G35,'21'!G49)</f>
        <v>2555.7699999999968</v>
      </c>
      <c r="G25" s="643">
        <f>SUM('21'!G37,'21'!G51)</f>
        <v>1565.5</v>
      </c>
      <c r="H25" s="643">
        <f>SUM('21'!G38,'21'!G52)</f>
        <v>1671.4500000000007</v>
      </c>
      <c r="I25" s="643">
        <f>SUM('21'!G39,'21'!G53)</f>
        <v>2598.239999999998</v>
      </c>
      <c r="J25" s="643">
        <f>SUM('21'!G41,'21'!G42,'21'!G55,'21'!G56)</f>
        <v>2838.3999999999942</v>
      </c>
      <c r="K25" s="643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>
      <c r="A26" s="359">
        <v>22</v>
      </c>
      <c r="B26" s="643">
        <f>'22'!G7</f>
        <v>19215.959999999963</v>
      </c>
      <c r="C26" s="643">
        <f>'22'!G8</f>
        <v>19922.760000000009</v>
      </c>
      <c r="D26" s="643">
        <f>'22'!G15</f>
        <v>1036.4099999999162</v>
      </c>
      <c r="E26" s="643">
        <f>'22'!G20</f>
        <v>176</v>
      </c>
      <c r="F26" s="643">
        <f>SUM('22'!G35,'22'!G49)</f>
        <v>2596.6300000000028</v>
      </c>
      <c r="G26" s="643">
        <f>SUM('22'!G37,'22'!G51)</f>
        <v>1587.0900000000001</v>
      </c>
      <c r="H26" s="643">
        <f>SUM('22'!G38,'22'!G52)</f>
        <v>1787.2400000000016</v>
      </c>
      <c r="I26" s="643">
        <f>SUM('22'!G39,'22'!G53)</f>
        <v>2648.7000000000044</v>
      </c>
      <c r="J26" s="643">
        <f>SUM('22'!G41,'22'!G42,'22'!G55,'22'!G56)</f>
        <v>3073.5800000000017</v>
      </c>
      <c r="K26" s="643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>
      <c r="A27" s="359">
        <v>23</v>
      </c>
      <c r="B27" s="643">
        <f>'23'!G7</f>
        <v>18703.160000000033</v>
      </c>
      <c r="C27" s="643">
        <f>'23'!G8</f>
        <v>19388.319999999949</v>
      </c>
      <c r="D27" s="643">
        <f>'23'!G15</f>
        <v>979.91999999992549</v>
      </c>
      <c r="E27" s="643">
        <f>'23'!G20</f>
        <v>216</v>
      </c>
      <c r="F27" s="643">
        <f>SUM('23'!G35,'23'!G49)</f>
        <v>2448.6800000000003</v>
      </c>
      <c r="G27" s="643">
        <f>SUM('23'!G37,'23'!G51)</f>
        <v>1571.9800000000032</v>
      </c>
      <c r="H27" s="643">
        <f>SUM('23'!G38,'23'!G52)</f>
        <v>1932.0699999999997</v>
      </c>
      <c r="I27" s="643">
        <f>SUM('23'!G39,'23'!G53)</f>
        <v>2576.25</v>
      </c>
      <c r="J27" s="643">
        <f>SUM('23'!G41,'23'!G42,'23'!G55,'23'!G56)</f>
        <v>2695.2200000000012</v>
      </c>
      <c r="K27" s="643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>
      <c r="A28" s="359">
        <v>24</v>
      </c>
      <c r="B28" s="643">
        <f>'24'!G7</f>
        <v>16363.169999999984</v>
      </c>
      <c r="C28" s="643">
        <f>'24'!G8</f>
        <v>16876.170000000042</v>
      </c>
      <c r="D28" s="643">
        <f>'24'!G15</f>
        <v>1037.0800000000745</v>
      </c>
      <c r="E28" s="643">
        <f>'24'!G20</f>
        <v>212</v>
      </c>
      <c r="F28" s="643">
        <f>SUM('24'!G35,'24'!G49)</f>
        <v>2037.0099999999984</v>
      </c>
      <c r="G28" s="643">
        <f>SUM('24'!G37,'24'!G51)</f>
        <v>1645.5099999999984</v>
      </c>
      <c r="H28" s="643">
        <f>SUM('24'!G38,'24'!G52)</f>
        <v>1826.3899999999994</v>
      </c>
      <c r="I28" s="643">
        <f>SUM('24'!G39,'24'!G53)</f>
        <v>2607.1999999999971</v>
      </c>
      <c r="J28" s="643">
        <f>SUM('24'!G41,'24'!G42,'24'!G55,'24'!G56)</f>
        <v>2484.3300000000017</v>
      </c>
      <c r="K28" s="643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>
      <c r="A29" s="359">
        <v>25</v>
      </c>
      <c r="B29" s="643">
        <f>'25'!G7</f>
        <v>16329</v>
      </c>
      <c r="C29" s="643">
        <f>'25'!G8</f>
        <v>16627</v>
      </c>
      <c r="D29" s="643">
        <f>'25'!G15</f>
        <v>815</v>
      </c>
      <c r="E29" s="643">
        <f>'25'!G20</f>
        <v>190</v>
      </c>
      <c r="F29" s="643">
        <f>SUM('25'!G35,'25'!G49)</f>
        <v>2140</v>
      </c>
      <c r="G29" s="643">
        <f>SUM('25'!G37,'25'!G51)</f>
        <v>1608</v>
      </c>
      <c r="H29" s="643">
        <f>SUM('25'!G38,'25'!G52)</f>
        <v>1761</v>
      </c>
      <c r="I29" s="643">
        <f>SUM('25'!G39,'25'!G53)</f>
        <v>2591</v>
      </c>
      <c r="J29" s="643">
        <f>SUM('25'!G41,'25'!G42,'25'!G55,'25'!G56)</f>
        <v>3028.3999999999942</v>
      </c>
      <c r="K29" s="643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>
      <c r="A30" s="359">
        <v>26</v>
      </c>
      <c r="B30" s="643">
        <f>'26'!G7</f>
        <v>16454</v>
      </c>
      <c r="C30" s="643">
        <f>'26'!G8</f>
        <v>16892</v>
      </c>
      <c r="D30" s="643">
        <f>'26'!G15</f>
        <v>936</v>
      </c>
      <c r="E30" s="643">
        <f>'26'!G20</f>
        <v>175</v>
      </c>
      <c r="F30" s="643">
        <f>SUM('26'!G35,'26'!G49)</f>
        <v>2079</v>
      </c>
      <c r="G30" s="643">
        <f>SUM('26'!G37,'26'!G51)</f>
        <v>1519</v>
      </c>
      <c r="H30" s="643">
        <f>SUM('26'!G38,'26'!G52)</f>
        <v>1746</v>
      </c>
      <c r="I30" s="643">
        <f>SUM('26'!G39,'26'!G53)</f>
        <v>2557</v>
      </c>
      <c r="J30" s="643">
        <f>SUM('26'!G41,'26'!G42,'26'!G55,'26'!G56)</f>
        <v>3448</v>
      </c>
      <c r="K30" s="643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>
      <c r="A31" s="359">
        <v>27</v>
      </c>
      <c r="B31" s="643">
        <f>'27'!G7</f>
        <v>17608</v>
      </c>
      <c r="C31" s="643">
        <f>'27'!G8</f>
        <v>17701</v>
      </c>
      <c r="D31" s="643">
        <f>'27'!G15</f>
        <v>954</v>
      </c>
      <c r="E31" s="643">
        <f>'27'!G20</f>
        <v>177</v>
      </c>
      <c r="F31" s="643">
        <f>SUM('27'!G35,'27'!G49)</f>
        <v>2111</v>
      </c>
      <c r="G31" s="643">
        <f>SUM('27'!G37,'27'!G51)</f>
        <v>1582</v>
      </c>
      <c r="H31" s="643">
        <f>SUM('27'!G38,'27'!G52)</f>
        <v>1792</v>
      </c>
      <c r="I31" s="643">
        <f>SUM('27'!G39,'27'!G53)</f>
        <v>2612</v>
      </c>
      <c r="J31" s="643">
        <f>SUM('27'!G41,'27'!G42,'27'!G55,'27'!G56)</f>
        <v>3934</v>
      </c>
      <c r="K31" s="643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>
      <c r="A32" s="359">
        <v>28</v>
      </c>
      <c r="B32" s="643">
        <f>'28'!G7</f>
        <v>17654</v>
      </c>
      <c r="C32" s="643">
        <f>'28'!G8</f>
        <v>17886</v>
      </c>
      <c r="D32" s="643">
        <f>'28'!G15</f>
        <v>971</v>
      </c>
      <c r="E32" s="643">
        <f>'28'!G20</f>
        <v>92</v>
      </c>
      <c r="F32" s="643">
        <f>SUM('28'!G35,'28'!G49)</f>
        <v>2153</v>
      </c>
      <c r="G32" s="643">
        <f>SUM('28'!G37,'28'!G51)</f>
        <v>1576</v>
      </c>
      <c r="H32" s="643">
        <f>SUM('28'!G38,'28'!G52)</f>
        <v>1753</v>
      </c>
      <c r="I32" s="643">
        <f>SUM('28'!G39,'28'!G53)</f>
        <v>2604</v>
      </c>
      <c r="J32" s="643">
        <f>SUM('28'!G41,'28'!G42,'28'!G55,'28'!G56)</f>
        <v>4136</v>
      </c>
      <c r="K32" s="643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>
      <c r="A33" s="359">
        <v>29</v>
      </c>
      <c r="B33" s="643">
        <f>'29'!G7</f>
        <v>17167</v>
      </c>
      <c r="C33" s="643">
        <f>'29'!G8</f>
        <v>17492</v>
      </c>
      <c r="D33" s="643">
        <f>'29'!G15</f>
        <v>1002</v>
      </c>
      <c r="E33" s="643">
        <f>'29'!G20</f>
        <v>312</v>
      </c>
      <c r="F33" s="643">
        <f>SUM('29'!G35,'29'!G49)</f>
        <v>2108</v>
      </c>
      <c r="G33" s="643">
        <f>SUM('29'!G37,'29'!G51)</f>
        <v>1611</v>
      </c>
      <c r="H33" s="643">
        <f>SUM('29'!G38,'29'!G52)</f>
        <v>1750</v>
      </c>
      <c r="I33" s="643">
        <f>SUM('29'!G39,'29'!G53)</f>
        <v>2606</v>
      </c>
      <c r="J33" s="643">
        <f>SUM('29'!G41,'29'!G42,'29'!G55,'29'!G56)</f>
        <v>3572</v>
      </c>
      <c r="K33" s="643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>
      <c r="A34" s="359">
        <v>30</v>
      </c>
      <c r="B34" s="643">
        <f>'30'!G7</f>
        <v>17289</v>
      </c>
      <c r="C34" s="643">
        <f>'30'!G8</f>
        <v>17529</v>
      </c>
      <c r="D34" s="643">
        <f>'30'!G15</f>
        <v>929</v>
      </c>
      <c r="E34" s="643">
        <f>'30'!G20</f>
        <v>226</v>
      </c>
      <c r="F34" s="643">
        <f>SUM('30'!G35,'30'!G49)</f>
        <v>2077</v>
      </c>
      <c r="G34" s="643">
        <f>SUM('30'!G37,'30'!G51)</f>
        <v>1553</v>
      </c>
      <c r="H34" s="643">
        <f>SUM('30'!G38,'30'!G52)</f>
        <v>1629</v>
      </c>
      <c r="I34" s="643">
        <f>SUM('30'!G39,'30'!G53)</f>
        <v>2616</v>
      </c>
      <c r="J34" s="643">
        <f>SUM('30'!G41,'30'!G42,'30'!G55,'30'!G56)</f>
        <v>3884</v>
      </c>
      <c r="K34" s="643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>
      <c r="A35" s="359">
        <v>31</v>
      </c>
      <c r="B35" s="643">
        <f>'31'!G7</f>
        <v>17614.229999999981</v>
      </c>
      <c r="C35" s="643">
        <f>'31'!G8</f>
        <v>17830.150000000023</v>
      </c>
      <c r="D35" s="643">
        <f>'31'!G15</f>
        <v>915.76699999999255</v>
      </c>
      <c r="E35" s="643">
        <f>'31'!G20</f>
        <v>146</v>
      </c>
      <c r="F35" s="643">
        <f>SUM('31'!G35,'31'!G49)</f>
        <v>2110.1699999999983</v>
      </c>
      <c r="G35" s="643">
        <f>SUM('31'!G37,'31'!G51)</f>
        <v>1588.0899999999965</v>
      </c>
      <c r="H35" s="643">
        <f>SUM('31'!G38,'31'!G52)</f>
        <v>1627.4300000000003</v>
      </c>
      <c r="I35" s="643">
        <f>SUM('31'!G39,'31'!G53)</f>
        <v>2649.2900000000009</v>
      </c>
      <c r="J35" s="643">
        <f>SUM('31'!G41,'31'!G42,'31'!G55,'31'!G56)</f>
        <v>4318.8500000000058</v>
      </c>
      <c r="K35" s="643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915.76699999999255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516.41800000001967</v>
      </c>
      <c r="AU35" s="251">
        <f>SUM('31'!G92:G142)</f>
        <v>26254.982043404645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46.026559714806908</v>
      </c>
      <c r="BB35" s="351">
        <f t="shared" si="4"/>
        <v>3453.5100000000166</v>
      </c>
      <c r="BC35" s="351">
        <f t="shared" si="5"/>
        <v>19.606363718425502</v>
      </c>
    </row>
    <row r="36" spans="1:55" s="316" customFormat="1">
      <c r="A36" s="304" t="s">
        <v>359</v>
      </c>
      <c r="B36" s="305">
        <f>AVERAGE(B5:B35)</f>
        <v>0.4838709677419355</v>
      </c>
      <c r="C36" s="305">
        <f t="shared" ref="C36:BC36" si="9">AVERAGE(C5:C35)</f>
        <v>0</v>
      </c>
      <c r="D36" s="305">
        <f t="shared" si="9"/>
        <v>0</v>
      </c>
      <c r="E36" s="305">
        <f t="shared" si="9"/>
        <v>133.2258064516129</v>
      </c>
      <c r="F36" s="305">
        <f t="shared" si="9"/>
        <v>14625.903225806453</v>
      </c>
      <c r="G36" s="305">
        <f t="shared" si="9"/>
        <v>6696.9354838709687</v>
      </c>
      <c r="H36" s="305">
        <f t="shared" si="9"/>
        <v>7925.2258064516127</v>
      </c>
      <c r="I36" s="305">
        <f t="shared" si="9"/>
        <v>13960.032258064513</v>
      </c>
      <c r="J36" s="305">
        <f t="shared" si="9"/>
        <v>-2.023548387097347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0.70142857142855064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0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0</v>
      </c>
      <c r="AU36" s="305">
        <f t="shared" si="9"/>
        <v>846.56490462595627</v>
      </c>
      <c r="AV36" s="305">
        <f t="shared" si="9"/>
        <v>0</v>
      </c>
      <c r="AW36" s="305">
        <f t="shared" si="9"/>
        <v>0</v>
      </c>
      <c r="AX36" s="305">
        <f t="shared" si="9"/>
        <v>-1.2903225806733263E-2</v>
      </c>
      <c r="AY36" s="305">
        <f t="shared" si="9"/>
        <v>-1.2903225806733263E-2</v>
      </c>
      <c r="AZ36" s="305">
        <f t="shared" si="9"/>
        <v>28.078962694885423</v>
      </c>
      <c r="BA36" s="305">
        <f t="shared" si="9"/>
        <v>41.873460892967984</v>
      </c>
      <c r="BB36" s="305">
        <f t="shared" si="9"/>
        <v>-43206.073225806438</v>
      </c>
      <c r="BC36" s="305">
        <f t="shared" si="9"/>
        <v>31.442983800969593</v>
      </c>
    </row>
    <row r="37" spans="1:55">
      <c r="A37" s="261" t="s">
        <v>196</v>
      </c>
      <c r="B37" s="305">
        <f>SUM(B5:B35)</f>
        <v>15</v>
      </c>
      <c r="C37" s="305">
        <f t="shared" ref="C37:BC37" si="10">SUM(C5:C35)</f>
        <v>0</v>
      </c>
      <c r="D37" s="305">
        <f t="shared" si="10"/>
        <v>0</v>
      </c>
      <c r="E37" s="305">
        <f t="shared" si="10"/>
        <v>4130</v>
      </c>
      <c r="F37" s="305">
        <f>SUM(F5:F35)</f>
        <v>453403.00000000006</v>
      </c>
      <c r="G37" s="305">
        <f t="shared" si="10"/>
        <v>207605.00000000003</v>
      </c>
      <c r="H37" s="305">
        <f t="shared" si="10"/>
        <v>245682</v>
      </c>
      <c r="I37" s="305">
        <f t="shared" si="10"/>
        <v>432760.99999999994</v>
      </c>
      <c r="J37" s="305">
        <f t="shared" si="10"/>
        <v>-62.730000000017753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14.729999999999563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0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0</v>
      </c>
      <c r="AU37" s="305">
        <f t="shared" si="10"/>
        <v>26243.512043404644</v>
      </c>
      <c r="AV37" s="305">
        <f t="shared" si="10"/>
        <v>0</v>
      </c>
      <c r="AW37" s="305">
        <f t="shared" si="10"/>
        <v>0</v>
      </c>
      <c r="AX37" s="305">
        <f t="shared" si="10"/>
        <v>-0.40000000000873115</v>
      </c>
      <c r="AY37" s="305">
        <f t="shared" si="10"/>
        <v>-0.40000000000873115</v>
      </c>
      <c r="AZ37" s="305">
        <f t="shared" si="10"/>
        <v>673.89510467725017</v>
      </c>
      <c r="BA37" s="305">
        <f t="shared" si="10"/>
        <v>1298.0772876820074</v>
      </c>
      <c r="BB37" s="305">
        <f t="shared" si="10"/>
        <v>-1339388.2699999996</v>
      </c>
      <c r="BC37" s="305">
        <f t="shared" si="10"/>
        <v>974.73249783005735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644">
        <f t="shared" ref="F39:K39" si="11">F19-F18</f>
        <v>-11.569999999999709</v>
      </c>
      <c r="G39" s="644">
        <f t="shared" si="11"/>
        <v>-11.260000000000218</v>
      </c>
      <c r="H39" s="644">
        <f t="shared" si="11"/>
        <v>-445.04999999999927</v>
      </c>
      <c r="I39" s="644">
        <f t="shared" si="11"/>
        <v>-9.9999999998544808E-2</v>
      </c>
      <c r="J39" s="644">
        <f t="shared" si="11"/>
        <v>-123.6299999999901</v>
      </c>
      <c r="K39" s="644">
        <f t="shared" si="11"/>
        <v>1.7100000000064028</v>
      </c>
      <c r="L39" s="644"/>
      <c r="M39" s="644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60" zoomScaleNormal="61" zoomScalePageLayoutView="70" workbookViewId="0">
      <selection activeCell="F42" sqref="F42"/>
    </sheetView>
  </sheetViews>
  <sheetFormatPr defaultColWidth="22.33203125" defaultRowHeight="21.95" customHeight="1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5" customWidth="1"/>
    <col min="6" max="6" width="19.44140625" style="495" customWidth="1"/>
    <col min="7" max="7" width="28.88671875" style="733" customWidth="1"/>
    <col min="8" max="8" width="24.6640625" style="170" customWidth="1"/>
    <col min="9" max="9" width="23.5546875" style="495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>
      <c r="A1" s="818" t="s">
        <v>115</v>
      </c>
      <c r="B1" s="819"/>
      <c r="C1" s="819"/>
      <c r="D1" s="819"/>
      <c r="E1" s="819"/>
      <c r="F1" s="819"/>
      <c r="G1" s="819"/>
      <c r="H1" s="819"/>
      <c r="I1" s="819"/>
      <c r="J1" s="820"/>
    </row>
    <row r="2" spans="1:15" ht="27">
      <c r="A2" s="508" t="s">
        <v>350</v>
      </c>
      <c r="B2" s="531">
        <v>44593</v>
      </c>
      <c r="C2" s="378" t="s">
        <v>67</v>
      </c>
      <c r="D2" s="379">
        <v>0.40589999999999998</v>
      </c>
      <c r="E2" s="701"/>
      <c r="F2" s="378"/>
      <c r="G2" s="713" t="s">
        <v>116</v>
      </c>
      <c r="H2" s="378" t="s">
        <v>5</v>
      </c>
      <c r="I2" s="378" t="s">
        <v>7</v>
      </c>
      <c r="J2" s="383" t="s">
        <v>117</v>
      </c>
    </row>
    <row r="3" spans="1:15" ht="22.5">
      <c r="A3" s="509"/>
      <c r="B3" s="380"/>
      <c r="C3" s="378" t="s">
        <v>118</v>
      </c>
      <c r="D3" s="381">
        <v>23</v>
      </c>
      <c r="E3" s="830" t="s">
        <v>119</v>
      </c>
      <c r="F3" s="831"/>
      <c r="G3" s="713"/>
      <c r="H3" s="382"/>
      <c r="I3" s="382"/>
      <c r="J3" s="383"/>
      <c r="K3" s="532"/>
      <c r="L3" s="427"/>
    </row>
    <row r="4" spans="1:15" ht="27">
      <c r="A4" s="510"/>
      <c r="B4" s="384"/>
      <c r="C4" s="378" t="s">
        <v>120</v>
      </c>
      <c r="D4" s="379">
        <v>0.55000000000000004</v>
      </c>
      <c r="E4" s="702"/>
      <c r="F4" s="385"/>
      <c r="G4" s="713"/>
      <c r="H4" s="385"/>
      <c r="I4" s="386"/>
      <c r="J4" s="383"/>
      <c r="K4" s="533"/>
      <c r="L4" s="427"/>
    </row>
    <row r="5" spans="1:15" s="160" customFormat="1" ht="22.5">
      <c r="A5" s="511" t="s">
        <v>121</v>
      </c>
      <c r="B5" s="146"/>
      <c r="C5" s="146"/>
      <c r="D5" s="146" t="s">
        <v>122</v>
      </c>
      <c r="E5" s="106" t="s">
        <v>123</v>
      </c>
      <c r="F5" s="120" t="s">
        <v>110</v>
      </c>
      <c r="G5" s="556" t="s">
        <v>124</v>
      </c>
      <c r="H5" s="95" t="s">
        <v>125</v>
      </c>
      <c r="I5" s="99" t="s">
        <v>126</v>
      </c>
      <c r="J5" s="173" t="s">
        <v>127</v>
      </c>
      <c r="K5" s="738"/>
      <c r="L5" s="180"/>
    </row>
    <row r="6" spans="1:15" ht="22.5">
      <c r="A6" s="821" t="s">
        <v>128</v>
      </c>
      <c r="B6" s="822"/>
      <c r="C6" s="823"/>
      <c r="D6" s="389"/>
      <c r="E6" s="389"/>
      <c r="F6" s="390"/>
      <c r="G6" s="714"/>
      <c r="H6" s="390"/>
      <c r="I6" s="390"/>
      <c r="J6" s="391"/>
      <c r="K6" s="534"/>
      <c r="L6" s="427"/>
    </row>
    <row r="7" spans="1:15" ht="23.25" thickBot="1">
      <c r="A7" s="512" t="s">
        <v>129</v>
      </c>
      <c r="B7" s="392"/>
      <c r="C7" s="392"/>
      <c r="D7" s="151" t="s">
        <v>130</v>
      </c>
      <c r="E7" s="394">
        <v>651180.23</v>
      </c>
      <c r="F7" s="395">
        <v>668445</v>
      </c>
      <c r="G7" s="650">
        <f>F7-E7</f>
        <v>17264.770000000019</v>
      </c>
      <c r="H7" s="395">
        <f>G7</f>
        <v>17264.770000000019</v>
      </c>
      <c r="I7" s="402">
        <v>12000</v>
      </c>
      <c r="J7" s="396">
        <f>H7/DAY(B2)</f>
        <v>17264.770000000019</v>
      </c>
      <c r="K7" s="535">
        <v>1375467</v>
      </c>
      <c r="L7" s="427"/>
      <c r="N7" s="536"/>
      <c r="O7" s="171"/>
    </row>
    <row r="8" spans="1:15" ht="23.25" thickBot="1">
      <c r="A8" s="513" t="s">
        <v>131</v>
      </c>
      <c r="B8" s="397"/>
      <c r="C8" s="398"/>
      <c r="D8" s="224" t="s">
        <v>24</v>
      </c>
      <c r="E8" s="394">
        <v>708548.15</v>
      </c>
      <c r="F8" s="395">
        <v>726007</v>
      </c>
      <c r="G8" s="650">
        <f>F8-E8</f>
        <v>17458.849999999977</v>
      </c>
      <c r="H8" s="395">
        <f>G8</f>
        <v>17458.849999999977</v>
      </c>
      <c r="I8" s="399">
        <v>12000</v>
      </c>
      <c r="J8" s="396">
        <f>H8/DAY(B2)</f>
        <v>17458.849999999977</v>
      </c>
      <c r="K8" s="535">
        <v>1715917</v>
      </c>
      <c r="L8" s="394">
        <v>1728480</v>
      </c>
      <c r="M8" s="536">
        <f>L8-K8</f>
        <v>12563</v>
      </c>
      <c r="N8" s="536"/>
      <c r="O8" s="171"/>
    </row>
    <row r="9" spans="1:15" ht="22.5">
      <c r="A9" s="514" t="s">
        <v>132</v>
      </c>
      <c r="B9" s="400"/>
      <c r="C9" s="400"/>
      <c r="D9" s="393" t="s">
        <v>130</v>
      </c>
      <c r="E9" s="703">
        <v>282253.84999999998</v>
      </c>
      <c r="F9" s="661">
        <v>297005.71000000002</v>
      </c>
      <c r="G9" s="715">
        <f>F9-E9</f>
        <v>14751.860000000044</v>
      </c>
      <c r="H9" s="395">
        <f t="shared" ref="H9:H13" si="0">G9</f>
        <v>14751.860000000044</v>
      </c>
      <c r="I9" s="402">
        <f>I8-J8</f>
        <v>-5458.8499999999767</v>
      </c>
      <c r="J9" s="396">
        <f>H9/DAY(B2)</f>
        <v>14751.860000000044</v>
      </c>
      <c r="K9" s="537">
        <f>K8-100</f>
        <v>1715817</v>
      </c>
      <c r="L9" s="427"/>
      <c r="N9" s="536"/>
      <c r="O9" s="171"/>
    </row>
    <row r="10" spans="1:15" ht="22.5">
      <c r="A10" s="512" t="s">
        <v>133</v>
      </c>
      <c r="B10" s="392"/>
      <c r="C10" s="392"/>
      <c r="D10" s="393" t="s">
        <v>130</v>
      </c>
      <c r="E10" s="704">
        <v>105258.97</v>
      </c>
      <c r="F10" s="661">
        <v>107261.54</v>
      </c>
      <c r="G10" s="715">
        <f t="shared" ref="G10:G11" si="1">F10-E10</f>
        <v>2002.5699999999924</v>
      </c>
      <c r="H10" s="395">
        <f t="shared" si="0"/>
        <v>2002.5699999999924</v>
      </c>
      <c r="I10" s="395"/>
      <c r="J10" s="396">
        <f>H10/DAY(B2)</f>
        <v>2002.5699999999924</v>
      </c>
      <c r="K10" s="537"/>
      <c r="L10" s="427"/>
      <c r="N10" s="536"/>
      <c r="O10" s="171"/>
    </row>
    <row r="11" spans="1:15" ht="22.5">
      <c r="A11" s="512" t="s">
        <v>134</v>
      </c>
      <c r="B11" s="392"/>
      <c r="C11" s="392"/>
      <c r="D11" s="393" t="s">
        <v>130</v>
      </c>
      <c r="E11" s="394">
        <v>37170</v>
      </c>
      <c r="F11" s="395">
        <v>37170</v>
      </c>
      <c r="G11" s="715">
        <f t="shared" si="1"/>
        <v>0</v>
      </c>
      <c r="H11" s="395">
        <f t="shared" si="0"/>
        <v>0</v>
      </c>
      <c r="I11" s="395"/>
      <c r="J11" s="396">
        <f>H11/DAY(B2)</f>
        <v>0</v>
      </c>
      <c r="K11" s="537"/>
      <c r="L11" s="427"/>
      <c r="N11" s="536"/>
      <c r="O11" s="171">
        <f>142-18</f>
        <v>124</v>
      </c>
    </row>
    <row r="12" spans="1:15" ht="22.5">
      <c r="A12" s="512" t="s">
        <v>135</v>
      </c>
      <c r="B12" s="392"/>
      <c r="C12" s="392"/>
      <c r="D12" s="393" t="s">
        <v>130</v>
      </c>
      <c r="E12" s="401">
        <v>40010</v>
      </c>
      <c r="F12" s="661">
        <v>40010</v>
      </c>
      <c r="G12" s="715">
        <f>F12-E12</f>
        <v>0</v>
      </c>
      <c r="H12" s="395">
        <f t="shared" si="0"/>
        <v>0</v>
      </c>
      <c r="I12" s="395"/>
      <c r="J12" s="396">
        <f>H12/DAY(B2)</f>
        <v>0</v>
      </c>
      <c r="K12" s="537"/>
      <c r="L12" s="427"/>
      <c r="N12" s="536"/>
      <c r="O12" s="171"/>
    </row>
    <row r="13" spans="1:15" ht="22.5">
      <c r="A13" s="515" t="s">
        <v>136</v>
      </c>
      <c r="B13" s="403"/>
      <c r="C13" s="403"/>
      <c r="D13" s="393"/>
      <c r="E13" s="394"/>
      <c r="F13" s="395"/>
      <c r="G13" s="715">
        <f>F13-E13</f>
        <v>0</v>
      </c>
      <c r="H13" s="395">
        <f t="shared" si="0"/>
        <v>0</v>
      </c>
      <c r="I13" s="402">
        <f>G7-G13</f>
        <v>17264.770000000019</v>
      </c>
      <c r="J13" s="396">
        <f>H13/DAY(B2)</f>
        <v>0</v>
      </c>
      <c r="K13" s="537"/>
      <c r="L13" s="427"/>
      <c r="N13" s="536"/>
      <c r="O13" s="171"/>
    </row>
    <row r="14" spans="1:15" ht="22.5">
      <c r="A14" s="824" t="s">
        <v>137</v>
      </c>
      <c r="B14" s="825"/>
      <c r="C14" s="826"/>
      <c r="D14" s="390"/>
      <c r="E14" s="390"/>
      <c r="F14" s="647"/>
      <c r="G14" s="716"/>
      <c r="H14" s="647"/>
      <c r="I14" s="647"/>
      <c r="J14" s="648"/>
      <c r="K14" s="538"/>
      <c r="L14" s="427"/>
      <c r="N14" s="536"/>
      <c r="O14" s="171"/>
    </row>
    <row r="15" spans="1:15" ht="22.5">
      <c r="A15" s="516" t="s">
        <v>138</v>
      </c>
      <c r="B15" s="405"/>
      <c r="C15" s="405"/>
      <c r="D15" s="393" t="s">
        <v>139</v>
      </c>
      <c r="E15" s="406">
        <v>1906636.767</v>
      </c>
      <c r="F15" s="662">
        <v>1907555.325</v>
      </c>
      <c r="G15" s="717">
        <f>(F15-E15)</f>
        <v>918.55799999996088</v>
      </c>
      <c r="H15" s="402">
        <f>G15</f>
        <v>918.55799999996088</v>
      </c>
      <c r="I15" s="402">
        <v>800</v>
      </c>
      <c r="J15" s="396">
        <f>H15/DAY(B2)</f>
        <v>918.55799999996088</v>
      </c>
      <c r="K15" s="537"/>
      <c r="L15" s="427"/>
      <c r="N15" s="536"/>
      <c r="O15" s="171"/>
    </row>
    <row r="16" spans="1:15" ht="22.5">
      <c r="A16" s="517"/>
      <c r="B16" s="408"/>
      <c r="C16" s="408"/>
      <c r="D16" s="409"/>
      <c r="E16" s="406"/>
      <c r="F16" s="660"/>
      <c r="G16" s="715"/>
      <c r="H16" s="402"/>
      <c r="I16" s="402">
        <f>I15-J15</f>
        <v>-118.55799999996088</v>
      </c>
      <c r="J16" s="410"/>
      <c r="K16" s="537"/>
      <c r="L16" s="427"/>
      <c r="N16" s="536"/>
      <c r="O16" s="171"/>
    </row>
    <row r="17" spans="1:15" ht="22.5">
      <c r="A17" s="824" t="s">
        <v>140</v>
      </c>
      <c r="B17" s="825"/>
      <c r="C17" s="826"/>
      <c r="D17" s="390"/>
      <c r="E17" s="390"/>
      <c r="F17" s="647"/>
      <c r="G17" s="716"/>
      <c r="H17" s="647"/>
      <c r="I17" s="647"/>
      <c r="J17" s="648"/>
      <c r="K17" s="537"/>
      <c r="L17" s="427"/>
      <c r="N17" s="536"/>
      <c r="O17" s="171"/>
    </row>
    <row r="18" spans="1:15" ht="22.5">
      <c r="A18" s="792" t="s">
        <v>141</v>
      </c>
      <c r="B18" s="793"/>
      <c r="C18" s="794"/>
      <c r="D18" s="393" t="s">
        <v>142</v>
      </c>
      <c r="E18" s="433">
        <v>9</v>
      </c>
      <c r="F18" s="663">
        <v>18</v>
      </c>
      <c r="G18" s="656">
        <f>F18*10</f>
        <v>180</v>
      </c>
      <c r="H18" s="395">
        <f>G18</f>
        <v>180</v>
      </c>
      <c r="I18" s="402">
        <v>65</v>
      </c>
      <c r="J18" s="396">
        <f>H18/DAY(B2)</f>
        <v>180</v>
      </c>
      <c r="K18" s="537"/>
      <c r="L18" s="427"/>
      <c r="N18" s="536"/>
      <c r="O18" s="171"/>
    </row>
    <row r="19" spans="1:15" ht="22.5">
      <c r="A19" s="792" t="s">
        <v>69</v>
      </c>
      <c r="B19" s="793"/>
      <c r="C19" s="794"/>
      <c r="D19" s="393" t="s">
        <v>142</v>
      </c>
      <c r="E19" s="411">
        <v>153891</v>
      </c>
      <c r="F19" s="663">
        <v>153946</v>
      </c>
      <c r="G19" s="715">
        <f t="shared" ref="G19" si="2">F19-E19</f>
        <v>55</v>
      </c>
      <c r="H19" s="395">
        <f t="shared" ref="H19" si="3">G19</f>
        <v>55</v>
      </c>
      <c r="I19" s="661"/>
      <c r="J19" s="396">
        <f>H19/DAY(B2)</f>
        <v>55</v>
      </c>
      <c r="K19" s="537"/>
      <c r="L19" s="427"/>
      <c r="N19" s="536"/>
      <c r="O19" s="171"/>
    </row>
    <row r="20" spans="1:15" ht="22.5">
      <c r="A20" s="515" t="s">
        <v>143</v>
      </c>
      <c r="B20" s="403"/>
      <c r="C20" s="403"/>
      <c r="D20" s="412"/>
      <c r="E20" s="412"/>
      <c r="F20" s="664"/>
      <c r="G20" s="718">
        <f>G18+G19</f>
        <v>235</v>
      </c>
      <c r="H20" s="395">
        <f>G20</f>
        <v>235</v>
      </c>
      <c r="I20" s="413">
        <f>I18-J20</f>
        <v>-170</v>
      </c>
      <c r="J20" s="396">
        <f>H20/DAY(B2)</f>
        <v>235</v>
      </c>
      <c r="K20" s="537"/>
      <c r="L20" s="427"/>
      <c r="N20" s="536"/>
      <c r="O20" s="171"/>
    </row>
    <row r="21" spans="1:15" ht="22.5">
      <c r="A21" s="824" t="s">
        <v>144</v>
      </c>
      <c r="B21" s="825"/>
      <c r="C21" s="826"/>
      <c r="D21" s="390"/>
      <c r="E21" s="390"/>
      <c r="F21" s="647"/>
      <c r="G21" s="716"/>
      <c r="H21" s="647"/>
      <c r="I21" s="647"/>
      <c r="J21" s="648"/>
      <c r="K21" s="537"/>
      <c r="L21" s="427"/>
      <c r="N21" s="536"/>
      <c r="O21" s="171"/>
    </row>
    <row r="22" spans="1:15" ht="22.5">
      <c r="A22" s="516" t="s">
        <v>145</v>
      </c>
      <c r="B22" s="405"/>
      <c r="C22" s="405"/>
      <c r="D22" s="393" t="s">
        <v>146</v>
      </c>
      <c r="E22" s="411">
        <v>2970</v>
      </c>
      <c r="F22" s="663">
        <v>2970</v>
      </c>
      <c r="G22" s="656">
        <f>(F22-E22)</f>
        <v>0</v>
      </c>
      <c r="H22" s="395">
        <f>G22</f>
        <v>0</v>
      </c>
      <c r="I22" s="395"/>
      <c r="J22" s="396">
        <f>H22/DAY(B2)</f>
        <v>0</v>
      </c>
      <c r="K22" s="537"/>
      <c r="L22" s="427"/>
      <c r="N22" s="536"/>
      <c r="O22" s="171"/>
    </row>
    <row r="23" spans="1:15" ht="22.5">
      <c r="A23" s="516" t="s">
        <v>147</v>
      </c>
      <c r="B23" s="405"/>
      <c r="C23" s="405"/>
      <c r="D23" s="393" t="s">
        <v>146</v>
      </c>
      <c r="E23" s="411">
        <v>2000</v>
      </c>
      <c r="F23" s="663">
        <v>2000</v>
      </c>
      <c r="G23" s="656">
        <f t="shared" ref="G23" si="4">(F23-E23)</f>
        <v>0</v>
      </c>
      <c r="H23" s="395">
        <f t="shared" ref="H23:H24" si="5">G23</f>
        <v>0</v>
      </c>
      <c r="I23" s="395"/>
      <c r="J23" s="396">
        <f>H23/DAY(B2)</f>
        <v>0</v>
      </c>
      <c r="K23" s="537"/>
      <c r="L23" s="427"/>
      <c r="N23" s="536"/>
      <c r="O23" s="171"/>
    </row>
    <row r="24" spans="1:15" ht="22.5">
      <c r="A24" s="518" t="s">
        <v>148</v>
      </c>
      <c r="B24" s="414"/>
      <c r="C24" s="414"/>
      <c r="D24" s="387" t="s">
        <v>146</v>
      </c>
      <c r="E24" s="705">
        <v>4970</v>
      </c>
      <c r="F24" s="665"/>
      <c r="G24" s="656">
        <f>SUM(G22:G23)</f>
        <v>0</v>
      </c>
      <c r="H24" s="395">
        <f t="shared" si="5"/>
        <v>0</v>
      </c>
      <c r="I24" s="395"/>
      <c r="J24" s="396">
        <f>H24/DAY(B2)</f>
        <v>0</v>
      </c>
      <c r="K24" s="537"/>
      <c r="L24" s="427"/>
      <c r="N24" s="536"/>
      <c r="O24" s="171"/>
    </row>
    <row r="25" spans="1:15" ht="22.5">
      <c r="A25" s="821" t="s">
        <v>149</v>
      </c>
      <c r="B25" s="822"/>
      <c r="C25" s="823"/>
      <c r="D25" s="389"/>
      <c r="E25" s="389"/>
      <c r="F25" s="647"/>
      <c r="G25" s="716"/>
      <c r="H25" s="647"/>
      <c r="I25" s="666"/>
      <c r="J25" s="648"/>
      <c r="K25" s="537"/>
      <c r="L25" s="427"/>
      <c r="N25" s="536"/>
      <c r="O25" s="171"/>
    </row>
    <row r="26" spans="1:15" ht="22.5">
      <c r="A26" s="519" t="s">
        <v>150</v>
      </c>
      <c r="B26" s="415"/>
      <c r="C26" s="416"/>
      <c r="D26" s="417" t="s">
        <v>151</v>
      </c>
      <c r="E26" s="706"/>
      <c r="F26" s="667"/>
      <c r="G26" s="719"/>
      <c r="H26" s="395"/>
      <c r="I26" s="418"/>
      <c r="J26" s="396"/>
      <c r="K26" s="538"/>
      <c r="L26" s="427"/>
      <c r="N26" s="536"/>
      <c r="O26" s="171"/>
    </row>
    <row r="27" spans="1:15" ht="22.5">
      <c r="A27" s="519" t="s">
        <v>5</v>
      </c>
      <c r="B27" s="415"/>
      <c r="C27" s="416"/>
      <c r="D27" s="419" t="s">
        <v>24</v>
      </c>
      <c r="E27" s="707">
        <f>G8</f>
        <v>17458.849999999977</v>
      </c>
      <c r="F27" s="668">
        <v>9</v>
      </c>
      <c r="G27" s="720">
        <f>E27*F27</f>
        <v>157129.64999999979</v>
      </c>
      <c r="H27" s="395">
        <f t="shared" ref="H27:H32" si="6">G27</f>
        <v>157129.64999999979</v>
      </c>
      <c r="I27" s="669"/>
      <c r="J27" s="396">
        <f>H27/DAY(B2)</f>
        <v>157129.64999999979</v>
      </c>
      <c r="K27" s="537"/>
      <c r="L27" s="427"/>
      <c r="N27" s="536"/>
      <c r="O27" s="171"/>
    </row>
    <row r="28" spans="1:15" ht="22.5">
      <c r="A28" s="519" t="s">
        <v>152</v>
      </c>
      <c r="B28" s="415"/>
      <c r="C28" s="416"/>
      <c r="D28" s="419" t="s">
        <v>153</v>
      </c>
      <c r="E28" s="707">
        <f>G15</f>
        <v>918.55799999996088</v>
      </c>
      <c r="F28" s="668">
        <v>52</v>
      </c>
      <c r="G28" s="720">
        <f>E28*F28</f>
        <v>47765.015999997966</v>
      </c>
      <c r="H28" s="395">
        <f t="shared" si="6"/>
        <v>47765.015999997966</v>
      </c>
      <c r="I28" s="418"/>
      <c r="J28" s="396">
        <f>H28/DAY(B2)</f>
        <v>47765.015999997966</v>
      </c>
      <c r="K28" s="537"/>
      <c r="L28" s="427"/>
      <c r="N28" s="536"/>
      <c r="O28" s="171"/>
    </row>
    <row r="29" spans="1:15" ht="22.5">
      <c r="A29" s="519" t="s">
        <v>154</v>
      </c>
      <c r="B29" s="415"/>
      <c r="C29" s="416"/>
      <c r="D29" s="419" t="s">
        <v>155</v>
      </c>
      <c r="E29" s="707">
        <f>G24</f>
        <v>0</v>
      </c>
      <c r="F29" s="668">
        <v>69</v>
      </c>
      <c r="G29" s="720">
        <f>E29*F29</f>
        <v>0</v>
      </c>
      <c r="H29" s="395">
        <f t="shared" si="6"/>
        <v>0</v>
      </c>
      <c r="I29" s="418"/>
      <c r="J29" s="396">
        <f>H29/DAY(B2)</f>
        <v>0</v>
      </c>
      <c r="K29" s="537"/>
      <c r="L29" s="427"/>
      <c r="N29" s="536"/>
      <c r="O29" s="171"/>
    </row>
    <row r="30" spans="1:15" ht="22.5">
      <c r="A30" s="519" t="s">
        <v>156</v>
      </c>
      <c r="B30" s="415"/>
      <c r="C30" s="416"/>
      <c r="D30" s="419" t="s">
        <v>157</v>
      </c>
      <c r="E30" s="707">
        <f>G19</f>
        <v>55</v>
      </c>
      <c r="F30" s="668">
        <v>146</v>
      </c>
      <c r="G30" s="720">
        <f>E30*F30</f>
        <v>8030</v>
      </c>
      <c r="H30" s="395">
        <f t="shared" si="6"/>
        <v>8030</v>
      </c>
      <c r="I30" s="418"/>
      <c r="J30" s="396">
        <f>H30/DAY(B2)</f>
        <v>8030</v>
      </c>
      <c r="K30" s="537"/>
      <c r="L30" s="427"/>
      <c r="N30" s="536"/>
      <c r="O30" s="171"/>
    </row>
    <row r="31" spans="1:15" ht="22.5">
      <c r="A31" s="519" t="s">
        <v>158</v>
      </c>
      <c r="B31" s="415"/>
      <c r="C31" s="416"/>
      <c r="D31" s="419" t="s">
        <v>142</v>
      </c>
      <c r="E31" s="707">
        <f>G18</f>
        <v>180</v>
      </c>
      <c r="F31" s="668">
        <v>80</v>
      </c>
      <c r="G31" s="720">
        <f>E31*F31</f>
        <v>14400</v>
      </c>
      <c r="H31" s="395">
        <f t="shared" si="6"/>
        <v>14400</v>
      </c>
      <c r="I31" s="418"/>
      <c r="J31" s="396">
        <f>H31/DAY(B2)</f>
        <v>14400</v>
      </c>
      <c r="K31" s="537"/>
      <c r="L31" s="427"/>
      <c r="N31" s="536"/>
      <c r="O31" s="171"/>
    </row>
    <row r="32" spans="1:15" ht="22.5">
      <c r="A32" s="520" t="s">
        <v>159</v>
      </c>
      <c r="B32" s="420"/>
      <c r="C32" s="421"/>
      <c r="D32" s="422"/>
      <c r="E32" s="422"/>
      <c r="F32" s="649"/>
      <c r="G32" s="721">
        <f>G27+G28+G29+G30+G31</f>
        <v>227324.66599999776</v>
      </c>
      <c r="H32" s="673">
        <f t="shared" si="6"/>
        <v>227324.66599999776</v>
      </c>
      <c r="I32" s="674"/>
      <c r="J32" s="675">
        <f>H32/DAY(B2)</f>
        <v>227324.66599999776</v>
      </c>
      <c r="K32" s="537"/>
      <c r="L32" s="427"/>
      <c r="N32" s="536"/>
      <c r="O32" s="171"/>
    </row>
    <row r="33" spans="1:15" ht="25.5" customHeight="1">
      <c r="A33" s="832" t="s">
        <v>331</v>
      </c>
      <c r="B33" s="833"/>
      <c r="C33" s="833"/>
      <c r="D33" s="539"/>
      <c r="E33" s="708"/>
      <c r="F33" s="670"/>
      <c r="G33" s="670"/>
      <c r="H33" s="670"/>
      <c r="I33" s="670"/>
      <c r="J33" s="671"/>
      <c r="K33" s="537"/>
      <c r="L33" s="427"/>
      <c r="N33" s="536"/>
      <c r="O33" s="171"/>
    </row>
    <row r="34" spans="1:15" ht="22.5">
      <c r="A34" s="521" t="s">
        <v>160</v>
      </c>
      <c r="B34" s="423"/>
      <c r="C34" s="423"/>
      <c r="D34" s="390"/>
      <c r="E34" s="389"/>
      <c r="F34" s="647"/>
      <c r="G34" s="647"/>
      <c r="H34" s="647"/>
      <c r="I34" s="647"/>
      <c r="J34" s="648"/>
      <c r="K34" s="537"/>
      <c r="L34" s="427"/>
      <c r="N34" s="536"/>
      <c r="O34" s="171"/>
    </row>
    <row r="35" spans="1:15" ht="22.5">
      <c r="A35" s="512" t="s">
        <v>161</v>
      </c>
      <c r="B35" s="392"/>
      <c r="C35" s="392"/>
      <c r="D35" s="393" t="s">
        <v>130</v>
      </c>
      <c r="E35" s="709">
        <v>32004.98</v>
      </c>
      <c r="F35" s="661">
        <v>33251</v>
      </c>
      <c r="G35" s="715">
        <f t="shared" ref="G35:G46" si="7">F35-E35</f>
        <v>1246.0200000000004</v>
      </c>
      <c r="H35" s="395">
        <f t="shared" ref="H35:H47" si="8">G35</f>
        <v>1246.0200000000004</v>
      </c>
      <c r="I35" s="395"/>
      <c r="J35" s="396">
        <f>H35/DAY(B2)</f>
        <v>1246.0200000000004</v>
      </c>
      <c r="K35" s="537"/>
      <c r="L35" s="427"/>
      <c r="N35" s="536"/>
      <c r="O35" s="171"/>
    </row>
    <row r="36" spans="1:15" ht="22.5">
      <c r="A36" s="512" t="s">
        <v>162</v>
      </c>
      <c r="B36" s="392"/>
      <c r="C36" s="392"/>
      <c r="D36" s="393" t="s">
        <v>130</v>
      </c>
      <c r="E36" s="709">
        <v>43458.74</v>
      </c>
      <c r="F36" s="661">
        <v>44169.5</v>
      </c>
      <c r="G36" s="715">
        <f t="shared" si="7"/>
        <v>710.76000000000204</v>
      </c>
      <c r="H36" s="395">
        <f t="shared" si="8"/>
        <v>710.76000000000204</v>
      </c>
      <c r="I36" s="395"/>
      <c r="J36" s="396">
        <f>H36/DAY(B2)</f>
        <v>710.76000000000204</v>
      </c>
      <c r="K36" s="537"/>
      <c r="L36" s="427"/>
      <c r="N36" s="536"/>
      <c r="O36" s="540"/>
    </row>
    <row r="37" spans="1:15" ht="22.5">
      <c r="A37" s="512" t="s">
        <v>163</v>
      </c>
      <c r="B37" s="392"/>
      <c r="C37" s="392"/>
      <c r="D37" s="393" t="s">
        <v>130</v>
      </c>
      <c r="E37" s="709">
        <v>35425.089999999997</v>
      </c>
      <c r="F37" s="661">
        <v>36979.199999999997</v>
      </c>
      <c r="G37" s="715">
        <f t="shared" si="7"/>
        <v>1554.1100000000006</v>
      </c>
      <c r="H37" s="395">
        <f t="shared" si="8"/>
        <v>1554.1100000000006</v>
      </c>
      <c r="I37" s="395"/>
      <c r="J37" s="396">
        <f>H37/DAY(B2)</f>
        <v>1554.1100000000006</v>
      </c>
      <c r="K37" s="537"/>
      <c r="L37" s="427"/>
      <c r="N37" s="536"/>
      <c r="O37" s="541"/>
    </row>
    <row r="38" spans="1:15" ht="22.5">
      <c r="A38" s="512" t="s">
        <v>164</v>
      </c>
      <c r="B38" s="392"/>
      <c r="C38" s="392"/>
      <c r="D38" s="393" t="s">
        <v>130</v>
      </c>
      <c r="E38" s="710">
        <v>38376.43</v>
      </c>
      <c r="F38" s="395">
        <v>39996.699999999997</v>
      </c>
      <c r="G38" s="715">
        <f t="shared" si="7"/>
        <v>1620.2699999999968</v>
      </c>
      <c r="H38" s="395">
        <f t="shared" si="8"/>
        <v>1620.2699999999968</v>
      </c>
      <c r="I38" s="395"/>
      <c r="J38" s="396">
        <f>H38/DAY(B2)</f>
        <v>1620.2699999999968</v>
      </c>
      <c r="K38" s="537"/>
      <c r="L38" s="427"/>
      <c r="N38" s="536"/>
      <c r="O38" s="171"/>
    </row>
    <row r="39" spans="1:15" ht="22.5">
      <c r="A39" s="512" t="s">
        <v>165</v>
      </c>
      <c r="B39" s="392"/>
      <c r="C39" s="392"/>
      <c r="D39" s="393" t="s">
        <v>130</v>
      </c>
      <c r="E39" s="709">
        <v>59173.29</v>
      </c>
      <c r="F39" s="661">
        <v>61782.879999999997</v>
      </c>
      <c r="G39" s="715">
        <f t="shared" si="7"/>
        <v>2609.5899999999965</v>
      </c>
      <c r="H39" s="395">
        <f t="shared" si="8"/>
        <v>2609.5899999999965</v>
      </c>
      <c r="I39" s="395"/>
      <c r="J39" s="396">
        <f>H39/DAY(B2)</f>
        <v>2609.5899999999965</v>
      </c>
      <c r="K39" s="537"/>
      <c r="L39" s="427"/>
      <c r="N39" s="536"/>
      <c r="O39" s="171"/>
    </row>
    <row r="40" spans="1:15" ht="22.5">
      <c r="A40" s="522" t="s">
        <v>166</v>
      </c>
      <c r="B40" s="424"/>
      <c r="C40" s="424"/>
      <c r="D40" s="393" t="s">
        <v>130</v>
      </c>
      <c r="E40" s="709">
        <v>21249.86</v>
      </c>
      <c r="F40" s="661">
        <v>21938.6</v>
      </c>
      <c r="G40" s="715">
        <f t="shared" si="7"/>
        <v>688.73999999999796</v>
      </c>
      <c r="H40" s="395">
        <f t="shared" si="8"/>
        <v>688.73999999999796</v>
      </c>
      <c r="I40" s="395"/>
      <c r="J40" s="396">
        <f>H40/DAY(B2)</f>
        <v>688.73999999999796</v>
      </c>
      <c r="K40" s="538"/>
      <c r="L40" s="427"/>
      <c r="N40" s="536"/>
      <c r="O40" s="171"/>
    </row>
    <row r="41" spans="1:15" ht="22.5">
      <c r="A41" s="512" t="s">
        <v>167</v>
      </c>
      <c r="B41" s="392"/>
      <c r="C41" s="392"/>
      <c r="D41" s="393" t="s">
        <v>130</v>
      </c>
      <c r="E41" s="709">
        <v>62.73</v>
      </c>
      <c r="F41" s="661">
        <v>62.73</v>
      </c>
      <c r="G41" s="715">
        <f t="shared" si="7"/>
        <v>0</v>
      </c>
      <c r="H41" s="395">
        <f t="shared" si="8"/>
        <v>0</v>
      </c>
      <c r="I41" s="395"/>
      <c r="J41" s="396">
        <f>H41/DAY(B2)</f>
        <v>0</v>
      </c>
      <c r="K41" s="537"/>
      <c r="L41" s="427"/>
      <c r="N41" s="536"/>
      <c r="O41" s="171"/>
    </row>
    <row r="42" spans="1:15" ht="22.5">
      <c r="A42" s="512" t="s">
        <v>168</v>
      </c>
      <c r="B42" s="392"/>
      <c r="C42" s="392"/>
      <c r="D42" s="393" t="s">
        <v>130</v>
      </c>
      <c r="E42" s="709">
        <v>100129.74</v>
      </c>
      <c r="F42" s="661">
        <v>104117.53</v>
      </c>
      <c r="G42" s="715">
        <f t="shared" si="7"/>
        <v>3987.7899999999936</v>
      </c>
      <c r="H42" s="395">
        <f t="shared" si="8"/>
        <v>3987.7899999999936</v>
      </c>
      <c r="I42" s="395"/>
      <c r="J42" s="396">
        <f>H42/DAY(B2)</f>
        <v>3987.7899999999936</v>
      </c>
      <c r="K42" s="537"/>
      <c r="L42" s="427"/>
      <c r="N42" s="536"/>
      <c r="O42" s="171"/>
    </row>
    <row r="43" spans="1:15" ht="22.5">
      <c r="A43" s="512" t="s">
        <v>169</v>
      </c>
      <c r="B43" s="392"/>
      <c r="C43" s="392"/>
      <c r="D43" s="393" t="s">
        <v>130</v>
      </c>
      <c r="E43" s="709">
        <v>114851.6</v>
      </c>
      <c r="F43" s="661">
        <v>116753.53</v>
      </c>
      <c r="G43" s="715">
        <f t="shared" si="7"/>
        <v>1901.929999999993</v>
      </c>
      <c r="H43" s="395">
        <f t="shared" si="8"/>
        <v>1901.929999999993</v>
      </c>
      <c r="I43" s="395"/>
      <c r="J43" s="396">
        <f>H43/DAY(B2)</f>
        <v>1901.929999999993</v>
      </c>
      <c r="K43" s="537"/>
      <c r="L43" s="427"/>
      <c r="N43" s="536"/>
      <c r="O43" s="171"/>
    </row>
    <row r="44" spans="1:15" ht="22.5">
      <c r="A44" s="512" t="s">
        <v>170</v>
      </c>
      <c r="B44" s="392"/>
      <c r="C44" s="392"/>
      <c r="D44" s="393" t="s">
        <v>130</v>
      </c>
      <c r="E44" s="709">
        <v>0</v>
      </c>
      <c r="F44" s="661">
        <v>0</v>
      </c>
      <c r="G44" s="715">
        <f t="shared" si="7"/>
        <v>0</v>
      </c>
      <c r="H44" s="395">
        <f t="shared" si="8"/>
        <v>0</v>
      </c>
      <c r="I44" s="395"/>
      <c r="J44" s="396">
        <f>H44/DAY(B2)</f>
        <v>0</v>
      </c>
      <c r="K44" s="537"/>
      <c r="L44" s="427"/>
      <c r="N44" s="536"/>
      <c r="O44" s="171"/>
    </row>
    <row r="45" spans="1:15" ht="22.5">
      <c r="A45" s="512" t="s">
        <v>171</v>
      </c>
      <c r="B45" s="392"/>
      <c r="C45" s="392"/>
      <c r="D45" s="393" t="s">
        <v>130</v>
      </c>
      <c r="E45" s="709">
        <v>0</v>
      </c>
      <c r="F45" s="661">
        <v>0</v>
      </c>
      <c r="G45" s="715">
        <f t="shared" si="7"/>
        <v>0</v>
      </c>
      <c r="H45" s="395">
        <f t="shared" si="8"/>
        <v>0</v>
      </c>
      <c r="I45" s="395"/>
      <c r="J45" s="396">
        <f>H45/DAY(B2)</f>
        <v>0</v>
      </c>
      <c r="K45" s="537"/>
      <c r="L45" s="427"/>
      <c r="N45" s="536"/>
      <c r="O45" s="171"/>
    </row>
    <row r="46" spans="1:15" ht="22.5">
      <c r="A46" s="512" t="s">
        <v>172</v>
      </c>
      <c r="B46" s="392"/>
      <c r="C46" s="392"/>
      <c r="D46" s="393" t="s">
        <v>130</v>
      </c>
      <c r="E46" s="709">
        <v>0</v>
      </c>
      <c r="F46" s="661">
        <v>0</v>
      </c>
      <c r="G46" s="715">
        <f t="shared" si="7"/>
        <v>0</v>
      </c>
      <c r="H46" s="395">
        <f t="shared" si="8"/>
        <v>0</v>
      </c>
      <c r="I46" s="395"/>
      <c r="J46" s="396">
        <f>H46/DAY(B2)</f>
        <v>0</v>
      </c>
      <c r="K46" s="537"/>
      <c r="L46" s="427"/>
      <c r="N46" s="536"/>
      <c r="O46" s="171"/>
    </row>
    <row r="47" spans="1:15" ht="22.5">
      <c r="A47" s="515" t="s">
        <v>173</v>
      </c>
      <c r="B47" s="403"/>
      <c r="C47" s="403"/>
      <c r="D47" s="388"/>
      <c r="E47" s="387"/>
      <c r="F47" s="395"/>
      <c r="G47" s="656">
        <f>G35+G36+G37+G38+G39+G40+G41+G42+G43+G44+G45+G46</f>
        <v>14319.209999999981</v>
      </c>
      <c r="H47" s="395">
        <f t="shared" si="8"/>
        <v>14319.209999999981</v>
      </c>
      <c r="I47" s="395"/>
      <c r="J47" s="396">
        <f>H47/DAY(B2)</f>
        <v>14319.209999999981</v>
      </c>
      <c r="K47" s="537"/>
      <c r="L47" s="427"/>
      <c r="N47" s="536"/>
      <c r="O47" s="171"/>
    </row>
    <row r="48" spans="1:15" ht="22.5">
      <c r="A48" s="521" t="s">
        <v>174</v>
      </c>
      <c r="B48" s="423"/>
      <c r="C48" s="423"/>
      <c r="D48" s="390"/>
      <c r="E48" s="389"/>
      <c r="F48" s="647"/>
      <c r="G48" s="647"/>
      <c r="H48" s="647"/>
      <c r="I48" s="647"/>
      <c r="J48" s="648"/>
      <c r="K48" s="537"/>
      <c r="L48" s="427"/>
      <c r="N48" s="536"/>
      <c r="O48" s="171"/>
    </row>
    <row r="49" spans="1:15" ht="22.5">
      <c r="A49" s="512" t="s">
        <v>161</v>
      </c>
      <c r="B49" s="425"/>
      <c r="C49" s="425"/>
      <c r="D49" s="393" t="s">
        <v>130</v>
      </c>
      <c r="E49" s="709">
        <v>24996.19</v>
      </c>
      <c r="F49" s="661">
        <v>25935.27</v>
      </c>
      <c r="G49" s="715">
        <f t="shared" ref="G49:G58" si="9">F49-E49</f>
        <v>939.08000000000175</v>
      </c>
      <c r="H49" s="395">
        <f t="shared" ref="H49:H60" si="10">G49</f>
        <v>939.08000000000175</v>
      </c>
      <c r="I49" s="395"/>
      <c r="J49" s="396">
        <f>H49/DAY(B2)</f>
        <v>939.08000000000175</v>
      </c>
      <c r="K49" s="537"/>
      <c r="L49" s="427"/>
      <c r="N49" s="536"/>
      <c r="O49" s="171"/>
    </row>
    <row r="50" spans="1:15" ht="22.5">
      <c r="A50" s="512" t="s">
        <v>175</v>
      </c>
      <c r="B50" s="425"/>
      <c r="C50" s="425"/>
      <c r="D50" s="393" t="s">
        <v>130</v>
      </c>
      <c r="E50" s="709">
        <v>56386.63</v>
      </c>
      <c r="F50" s="661">
        <v>57325.55</v>
      </c>
      <c r="G50" s="715">
        <f t="shared" si="9"/>
        <v>938.92000000000553</v>
      </c>
      <c r="H50" s="395">
        <f t="shared" si="10"/>
        <v>938.92000000000553</v>
      </c>
      <c r="I50" s="395"/>
      <c r="J50" s="396">
        <f>H50/DAY(B2)</f>
        <v>938.92000000000553</v>
      </c>
      <c r="K50" s="537"/>
      <c r="L50" s="427"/>
      <c r="N50" s="536"/>
      <c r="O50" s="171"/>
    </row>
    <row r="51" spans="1:15" ht="22.5">
      <c r="A51" s="512" t="s">
        <v>163</v>
      </c>
      <c r="B51" s="425"/>
      <c r="C51" s="425"/>
      <c r="D51" s="393" t="s">
        <v>130</v>
      </c>
      <c r="E51" s="709">
        <v>0</v>
      </c>
      <c r="F51" s="661">
        <v>0</v>
      </c>
      <c r="G51" s="715">
        <f t="shared" si="9"/>
        <v>0</v>
      </c>
      <c r="H51" s="395">
        <f t="shared" si="10"/>
        <v>0</v>
      </c>
      <c r="I51" s="395"/>
      <c r="J51" s="396">
        <f>H51/DAY(B2)</f>
        <v>0</v>
      </c>
      <c r="K51" s="537"/>
      <c r="L51" s="427"/>
      <c r="N51" s="536"/>
      <c r="O51" s="171"/>
    </row>
    <row r="52" spans="1:15" ht="22.5">
      <c r="A52" s="512" t="s">
        <v>176</v>
      </c>
      <c r="B52" s="425"/>
      <c r="C52" s="425"/>
      <c r="D52" s="393" t="s">
        <v>130</v>
      </c>
      <c r="E52" s="709">
        <v>0</v>
      </c>
      <c r="F52" s="661">
        <v>0</v>
      </c>
      <c r="G52" s="715">
        <f t="shared" si="9"/>
        <v>0</v>
      </c>
      <c r="H52" s="395">
        <f t="shared" si="10"/>
        <v>0</v>
      </c>
      <c r="I52" s="395"/>
      <c r="J52" s="396">
        <f>H52/DAY(B2)</f>
        <v>0</v>
      </c>
      <c r="K52" s="537"/>
      <c r="L52" s="427"/>
      <c r="N52" s="536"/>
      <c r="O52" s="171"/>
    </row>
    <row r="53" spans="1:15" ht="22.5">
      <c r="A53" s="512" t="s">
        <v>165</v>
      </c>
      <c r="B53" s="425"/>
      <c r="C53" s="425"/>
      <c r="D53" s="393" t="s">
        <v>130</v>
      </c>
      <c r="E53" s="709">
        <v>0</v>
      </c>
      <c r="F53" s="661">
        <v>0</v>
      </c>
      <c r="G53" s="715">
        <f t="shared" si="9"/>
        <v>0</v>
      </c>
      <c r="H53" s="395">
        <f t="shared" si="10"/>
        <v>0</v>
      </c>
      <c r="I53" s="395"/>
      <c r="J53" s="396">
        <f>H53/DAY(B2)</f>
        <v>0</v>
      </c>
      <c r="K53" s="537"/>
      <c r="L53" s="427"/>
      <c r="N53" s="536"/>
      <c r="O53" s="171"/>
    </row>
    <row r="54" spans="1:15" ht="22.5">
      <c r="A54" s="512" t="s">
        <v>177</v>
      </c>
      <c r="B54" s="425"/>
      <c r="C54" s="425"/>
      <c r="D54" s="393" t="s">
        <v>130</v>
      </c>
      <c r="E54" s="709">
        <v>5147.42</v>
      </c>
      <c r="F54" s="661">
        <v>5147.42</v>
      </c>
      <c r="G54" s="715">
        <f t="shared" si="9"/>
        <v>0</v>
      </c>
      <c r="H54" s="395">
        <f t="shared" si="10"/>
        <v>0</v>
      </c>
      <c r="I54" s="395"/>
      <c r="J54" s="396">
        <f>H54/DAY(B2)</f>
        <v>0</v>
      </c>
      <c r="K54" s="537"/>
      <c r="L54" s="427"/>
      <c r="N54" s="536"/>
      <c r="O54" s="171"/>
    </row>
    <row r="55" spans="1:15" ht="22.5">
      <c r="A55" s="512" t="s">
        <v>178</v>
      </c>
      <c r="B55" s="425"/>
      <c r="C55" s="425"/>
      <c r="D55" s="393" t="s">
        <v>130</v>
      </c>
      <c r="E55" s="709">
        <v>74366.11</v>
      </c>
      <c r="F55" s="661">
        <v>74366.11</v>
      </c>
      <c r="G55" s="715">
        <f t="shared" si="9"/>
        <v>0</v>
      </c>
      <c r="H55" s="395">
        <f t="shared" si="10"/>
        <v>0</v>
      </c>
      <c r="I55" s="395"/>
      <c r="J55" s="396">
        <f>H55/DAY(B2)</f>
        <v>0</v>
      </c>
      <c r="K55" s="537"/>
      <c r="L55" s="427"/>
      <c r="N55" s="536"/>
      <c r="O55" s="171"/>
    </row>
    <row r="56" spans="1:15" ht="22.5">
      <c r="A56" s="512" t="s">
        <v>179</v>
      </c>
      <c r="B56" s="425"/>
      <c r="C56" s="425"/>
      <c r="D56" s="393" t="s">
        <v>180</v>
      </c>
      <c r="E56" s="709">
        <v>8610.5400000000009</v>
      </c>
      <c r="F56" s="661">
        <v>8610.5400000000009</v>
      </c>
      <c r="G56" s="715">
        <f t="shared" si="9"/>
        <v>0</v>
      </c>
      <c r="H56" s="395">
        <f t="shared" si="10"/>
        <v>0</v>
      </c>
      <c r="I56" s="395"/>
      <c r="J56" s="396">
        <f>H56/DAY(B2)</f>
        <v>0</v>
      </c>
      <c r="K56" s="534"/>
      <c r="L56" s="427"/>
      <c r="N56" s="536"/>
      <c r="O56" s="171"/>
    </row>
    <row r="57" spans="1:15" ht="22.5">
      <c r="A57" s="512" t="s">
        <v>169</v>
      </c>
      <c r="B57" s="425"/>
      <c r="C57" s="425"/>
      <c r="D57" s="393" t="s">
        <v>130</v>
      </c>
      <c r="E57" s="709">
        <v>0</v>
      </c>
      <c r="F57" s="661">
        <v>0</v>
      </c>
      <c r="G57" s="715">
        <f t="shared" si="9"/>
        <v>0</v>
      </c>
      <c r="H57" s="395">
        <f t="shared" si="10"/>
        <v>0</v>
      </c>
      <c r="I57" s="395"/>
      <c r="J57" s="396">
        <f>H57/DAY(B2)</f>
        <v>0</v>
      </c>
      <c r="K57" s="537"/>
      <c r="L57" s="427"/>
      <c r="N57" s="536"/>
      <c r="O57" s="171"/>
    </row>
    <row r="58" spans="1:15" ht="22.5">
      <c r="A58" s="512" t="s">
        <v>181</v>
      </c>
      <c r="B58" s="425"/>
      <c r="C58" s="425"/>
      <c r="D58" s="393" t="s">
        <v>130</v>
      </c>
      <c r="E58" s="709">
        <v>4796.21</v>
      </c>
      <c r="F58" s="661">
        <v>4983.34</v>
      </c>
      <c r="G58" s="715">
        <f t="shared" si="9"/>
        <v>187.13000000000011</v>
      </c>
      <c r="H58" s="395">
        <f t="shared" si="10"/>
        <v>187.13000000000011</v>
      </c>
      <c r="I58" s="395"/>
      <c r="J58" s="396">
        <f>H58/DAY(B2)</f>
        <v>187.13000000000011</v>
      </c>
      <c r="K58" s="537"/>
      <c r="L58" s="427"/>
      <c r="N58" s="536"/>
      <c r="O58" s="171"/>
    </row>
    <row r="59" spans="1:15" ht="22.5">
      <c r="A59" s="515" t="s">
        <v>173</v>
      </c>
      <c r="B59" s="403"/>
      <c r="C59" s="403"/>
      <c r="D59" s="387"/>
      <c r="E59" s="387"/>
      <c r="F59" s="395"/>
      <c r="G59" s="656">
        <f>G49+G50+G51+G52+G53+G54+G55+G56+G57+G58</f>
        <v>2065.1300000000074</v>
      </c>
      <c r="H59" s="395">
        <f t="shared" si="10"/>
        <v>2065.1300000000074</v>
      </c>
      <c r="I59" s="395">
        <f>G7-G60</f>
        <v>880.43000000002939</v>
      </c>
      <c r="J59" s="396">
        <f>H59/DAY(B2)</f>
        <v>2065.1300000000074</v>
      </c>
      <c r="K59" s="537"/>
      <c r="L59" s="427"/>
      <c r="N59" s="536"/>
      <c r="O59" s="171"/>
    </row>
    <row r="60" spans="1:15" ht="22.5">
      <c r="A60" s="512"/>
      <c r="B60" s="392"/>
      <c r="C60" s="392"/>
      <c r="D60" s="387" t="s">
        <v>182</v>
      </c>
      <c r="E60" s="387"/>
      <c r="F60" s="395"/>
      <c r="G60" s="656">
        <f>G47+G59</f>
        <v>16384.339999999989</v>
      </c>
      <c r="H60" s="395">
        <f t="shared" si="10"/>
        <v>16384.339999999989</v>
      </c>
      <c r="I60" s="395">
        <f>G13-G60</f>
        <v>-16384.339999999989</v>
      </c>
      <c r="J60" s="396">
        <f>H60/DAY(B2)</f>
        <v>16384.339999999989</v>
      </c>
      <c r="K60" s="537"/>
      <c r="L60" s="427"/>
      <c r="N60" s="536"/>
      <c r="O60" s="171"/>
    </row>
    <row r="61" spans="1:15" s="544" customFormat="1" ht="22.5">
      <c r="A61" s="812" t="s">
        <v>332</v>
      </c>
      <c r="B61" s="813"/>
      <c r="C61" s="814"/>
      <c r="D61" s="426"/>
      <c r="E61" s="426"/>
      <c r="F61" s="646"/>
      <c r="G61" s="722"/>
      <c r="H61" s="646"/>
      <c r="I61" s="646"/>
      <c r="J61" s="672"/>
      <c r="K61" s="542"/>
      <c r="L61" s="543"/>
      <c r="N61" s="536"/>
      <c r="O61" s="171"/>
    </row>
    <row r="62" spans="1:15" ht="22.5">
      <c r="A62" s="792" t="s">
        <v>198</v>
      </c>
      <c r="B62" s="793"/>
      <c r="C62" s="794"/>
      <c r="D62" s="393" t="s">
        <v>142</v>
      </c>
      <c r="E62" s="411">
        <v>269516</v>
      </c>
      <c r="F62" s="663">
        <v>269579</v>
      </c>
      <c r="G62" s="715">
        <f t="shared" ref="G62:G63" si="11">F62-E62</f>
        <v>63</v>
      </c>
      <c r="H62" s="395">
        <f t="shared" ref="H62:H71" si="12">G62</f>
        <v>63</v>
      </c>
      <c r="I62" s="395"/>
      <c r="J62" s="396">
        <f>H62/DAY(B2)</f>
        <v>63</v>
      </c>
      <c r="K62" s="538"/>
      <c r="L62" s="427"/>
      <c r="N62" s="536"/>
      <c r="O62" s="171"/>
    </row>
    <row r="63" spans="1:15" ht="22.5">
      <c r="A63" s="792" t="s">
        <v>199</v>
      </c>
      <c r="B63" s="793"/>
      <c r="C63" s="794"/>
      <c r="D63" s="393" t="s">
        <v>142</v>
      </c>
      <c r="E63" s="433">
        <v>215797</v>
      </c>
      <c r="F63" s="663">
        <v>215929</v>
      </c>
      <c r="G63" s="715">
        <f t="shared" si="11"/>
        <v>132</v>
      </c>
      <c r="H63" s="395">
        <f t="shared" si="12"/>
        <v>132</v>
      </c>
      <c r="I63" s="395"/>
      <c r="J63" s="396">
        <f>H63/DAY(B2)</f>
        <v>132</v>
      </c>
      <c r="K63" s="542"/>
      <c r="L63" s="427"/>
      <c r="N63" s="536"/>
      <c r="O63" s="171"/>
    </row>
    <row r="64" spans="1:15" ht="22.5">
      <c r="A64" s="786" t="s">
        <v>200</v>
      </c>
      <c r="B64" s="787"/>
      <c r="C64" s="788"/>
      <c r="D64" s="393"/>
      <c r="E64" s="411"/>
      <c r="F64" s="663"/>
      <c r="G64" s="715">
        <f>G62+G63</f>
        <v>195</v>
      </c>
      <c r="H64" s="395">
        <f t="shared" si="12"/>
        <v>195</v>
      </c>
      <c r="I64" s="395"/>
      <c r="J64" s="396">
        <f>H64/DAY(B2)</f>
        <v>195</v>
      </c>
      <c r="K64" s="542"/>
      <c r="L64" s="427"/>
      <c r="N64" s="536"/>
      <c r="O64" s="171"/>
    </row>
    <row r="65" spans="1:15" ht="22.5">
      <c r="A65" s="827" t="s">
        <v>201</v>
      </c>
      <c r="B65" s="828"/>
      <c r="C65" s="829"/>
      <c r="D65" s="393" t="s">
        <v>142</v>
      </c>
      <c r="E65" s="411">
        <v>434923</v>
      </c>
      <c r="F65" s="663">
        <v>434994</v>
      </c>
      <c r="G65" s="715">
        <f t="shared" ref="G65:G70" si="13">F65-E65</f>
        <v>71</v>
      </c>
      <c r="H65" s="395">
        <f t="shared" si="12"/>
        <v>71</v>
      </c>
      <c r="I65" s="395"/>
      <c r="J65" s="396">
        <f>H65/DAY(B2)</f>
        <v>71</v>
      </c>
      <c r="K65" s="542"/>
      <c r="L65" s="427"/>
      <c r="N65" s="536"/>
      <c r="O65" s="171"/>
    </row>
    <row r="66" spans="1:15" ht="22.5">
      <c r="A66" s="516" t="s">
        <v>202</v>
      </c>
      <c r="B66" s="405"/>
      <c r="C66" s="405"/>
      <c r="D66" s="393" t="s">
        <v>142</v>
      </c>
      <c r="E66" s="411">
        <v>107743</v>
      </c>
      <c r="F66" s="663">
        <v>107760</v>
      </c>
      <c r="G66" s="715">
        <f t="shared" si="13"/>
        <v>17</v>
      </c>
      <c r="H66" s="395">
        <f t="shared" si="12"/>
        <v>17</v>
      </c>
      <c r="I66" s="395"/>
      <c r="J66" s="396">
        <f>H66/DAY(B2)</f>
        <v>17</v>
      </c>
      <c r="K66" s="534"/>
      <c r="L66" s="427"/>
      <c r="N66" s="536"/>
      <c r="O66" s="171"/>
    </row>
    <row r="67" spans="1:15" ht="22.5">
      <c r="A67" s="516" t="s">
        <v>203</v>
      </c>
      <c r="B67" s="405"/>
      <c r="C67" s="405"/>
      <c r="D67" s="393" t="s">
        <v>142</v>
      </c>
      <c r="E67" s="411">
        <v>104648</v>
      </c>
      <c r="F67" s="663">
        <v>104662</v>
      </c>
      <c r="G67" s="715">
        <f t="shared" si="13"/>
        <v>14</v>
      </c>
      <c r="H67" s="395">
        <f t="shared" si="12"/>
        <v>14</v>
      </c>
      <c r="I67" s="395"/>
      <c r="J67" s="396">
        <f>H67/DAY(B2)</f>
        <v>14</v>
      </c>
      <c r="K67" s="545"/>
      <c r="L67" s="427"/>
      <c r="N67" s="536"/>
      <c r="O67" s="171"/>
    </row>
    <row r="68" spans="1:15" ht="22.5">
      <c r="A68" s="516" t="s">
        <v>204</v>
      </c>
      <c r="B68" s="405"/>
      <c r="C68" s="405"/>
      <c r="D68" s="393" t="s">
        <v>142</v>
      </c>
      <c r="E68" s="411">
        <v>157697</v>
      </c>
      <c r="F68" s="663">
        <v>157736</v>
      </c>
      <c r="G68" s="715">
        <f t="shared" si="13"/>
        <v>39</v>
      </c>
      <c r="H68" s="395">
        <f t="shared" si="12"/>
        <v>39</v>
      </c>
      <c r="I68" s="395"/>
      <c r="J68" s="396">
        <f>H68/DAY(B2)</f>
        <v>39</v>
      </c>
      <c r="K68" s="542"/>
      <c r="L68" s="427"/>
      <c r="N68" s="536"/>
      <c r="O68" s="171"/>
    </row>
    <row r="69" spans="1:15" ht="22.5">
      <c r="A69" s="516" t="s">
        <v>205</v>
      </c>
      <c r="B69" s="405"/>
      <c r="C69" s="405"/>
      <c r="D69" s="393" t="s">
        <v>142</v>
      </c>
      <c r="E69" s="411">
        <v>10541</v>
      </c>
      <c r="F69" s="663">
        <v>10550</v>
      </c>
      <c r="G69" s="715">
        <f t="shared" si="13"/>
        <v>9</v>
      </c>
      <c r="H69" s="395">
        <f t="shared" si="12"/>
        <v>9</v>
      </c>
      <c r="I69" s="395"/>
      <c r="J69" s="396">
        <f>H69/DAY(B2)</f>
        <v>9</v>
      </c>
      <c r="K69" s="542"/>
      <c r="L69" s="427"/>
      <c r="N69" s="536"/>
      <c r="O69" s="171"/>
    </row>
    <row r="70" spans="1:15" ht="22.5">
      <c r="A70" s="516" t="s">
        <v>206</v>
      </c>
      <c r="B70" s="405"/>
      <c r="C70" s="405"/>
      <c r="D70" s="393" t="s">
        <v>142</v>
      </c>
      <c r="E70" s="411">
        <v>8120</v>
      </c>
      <c r="F70" s="411">
        <v>8128</v>
      </c>
      <c r="G70" s="723">
        <f t="shared" si="13"/>
        <v>8</v>
      </c>
      <c r="H70" s="395">
        <f t="shared" si="12"/>
        <v>8</v>
      </c>
      <c r="I70" s="394"/>
      <c r="J70" s="396">
        <f>H70/DAY(B2)</f>
        <v>8</v>
      </c>
      <c r="K70" s="542"/>
      <c r="L70" s="427"/>
      <c r="N70" s="536"/>
      <c r="O70" s="171"/>
    </row>
    <row r="71" spans="1:15" ht="22.5">
      <c r="A71" s="786" t="s">
        <v>208</v>
      </c>
      <c r="B71" s="787"/>
      <c r="C71" s="788"/>
      <c r="D71" s="409"/>
      <c r="E71" s="409"/>
      <c r="F71" s="409"/>
      <c r="G71" s="724">
        <f>SUM(G65:G70)</f>
        <v>158</v>
      </c>
      <c r="H71" s="395">
        <f t="shared" si="12"/>
        <v>158</v>
      </c>
      <c r="I71" s="652"/>
      <c r="J71" s="396">
        <f>H71/DAY(B2)</f>
        <v>158</v>
      </c>
      <c r="K71" s="542"/>
      <c r="L71" s="427"/>
      <c r="N71" s="536"/>
      <c r="O71" s="171"/>
    </row>
    <row r="72" spans="1:15" ht="22.5">
      <c r="A72" s="834"/>
      <c r="B72" s="782"/>
      <c r="C72" s="505"/>
      <c r="D72" s="427"/>
      <c r="E72" s="653"/>
      <c r="F72" s="653"/>
      <c r="G72" s="725"/>
      <c r="H72" s="428"/>
      <c r="I72" s="653"/>
      <c r="J72" s="654"/>
      <c r="N72" s="536"/>
      <c r="O72" s="171"/>
    </row>
    <row r="73" spans="1:15" ht="22.5">
      <c r="A73" s="812" t="s">
        <v>333</v>
      </c>
      <c r="B73" s="813"/>
      <c r="C73" s="814"/>
      <c r="D73" s="426"/>
      <c r="E73" s="426"/>
      <c r="F73" s="426"/>
      <c r="G73" s="726"/>
      <c r="H73" s="429"/>
      <c r="I73" s="429"/>
      <c r="J73" s="430"/>
      <c r="K73" s="542"/>
      <c r="L73" s="427"/>
      <c r="N73" s="536"/>
      <c r="O73" s="171"/>
    </row>
    <row r="74" spans="1:15" ht="22.5">
      <c r="A74" s="792" t="s">
        <v>220</v>
      </c>
      <c r="B74" s="793"/>
      <c r="C74" s="794"/>
      <c r="D74" s="393" t="s">
        <v>139</v>
      </c>
      <c r="E74" s="406">
        <v>901306.14899999998</v>
      </c>
      <c r="F74" s="406">
        <v>901620.68</v>
      </c>
      <c r="G74" s="723">
        <f t="shared" ref="G74:G78" si="14">F74-E74</f>
        <v>314.53100000007544</v>
      </c>
      <c r="H74" s="395">
        <f t="shared" ref="H74:H79" si="15">G74</f>
        <v>314.53100000007544</v>
      </c>
      <c r="I74" s="652"/>
      <c r="J74" s="396">
        <f>H74/DAY(B2)</f>
        <v>314.53100000007544</v>
      </c>
      <c r="K74" s="542"/>
      <c r="L74" s="427"/>
      <c r="N74" s="536"/>
      <c r="O74" s="171"/>
    </row>
    <row r="75" spans="1:15" ht="22.5">
      <c r="A75" s="792" t="s">
        <v>221</v>
      </c>
      <c r="B75" s="793"/>
      <c r="C75" s="794"/>
      <c r="D75" s="393" t="s">
        <v>139</v>
      </c>
      <c r="E75" s="406">
        <v>73586.8</v>
      </c>
      <c r="F75" s="406">
        <v>73586.8</v>
      </c>
      <c r="G75" s="723">
        <f t="shared" si="14"/>
        <v>0</v>
      </c>
      <c r="H75" s="395">
        <f t="shared" si="15"/>
        <v>0</v>
      </c>
      <c r="I75" s="652"/>
      <c r="J75" s="396">
        <f>H75/DAY(B2)</f>
        <v>0</v>
      </c>
      <c r="K75" s="542"/>
      <c r="L75" s="427"/>
      <c r="N75" s="536"/>
      <c r="O75" s="171"/>
    </row>
    <row r="76" spans="1:15" ht="22.5">
      <c r="A76" s="815" t="s">
        <v>222</v>
      </c>
      <c r="B76" s="816"/>
      <c r="C76" s="817"/>
      <c r="D76" s="393" t="s">
        <v>139</v>
      </c>
      <c r="E76" s="406">
        <v>169975</v>
      </c>
      <c r="F76" s="406">
        <v>170066.06</v>
      </c>
      <c r="G76" s="723">
        <f t="shared" si="14"/>
        <v>91.059999999997672</v>
      </c>
      <c r="H76" s="395">
        <f t="shared" si="15"/>
        <v>91.059999999997672</v>
      </c>
      <c r="I76" s="652"/>
      <c r="J76" s="396">
        <f>H76/DAY(B2)</f>
        <v>91.059999999997672</v>
      </c>
      <c r="K76" s="542"/>
      <c r="L76" s="427"/>
      <c r="N76" s="536"/>
      <c r="O76" s="171"/>
    </row>
    <row r="77" spans="1:15" ht="22.5">
      <c r="A77" s="815" t="s">
        <v>223</v>
      </c>
      <c r="B77" s="816"/>
      <c r="C77" s="817"/>
      <c r="D77" s="393" t="s">
        <v>139</v>
      </c>
      <c r="E77" s="507">
        <v>41302.199999999997</v>
      </c>
      <c r="F77" s="406">
        <v>41331.9</v>
      </c>
      <c r="G77" s="723">
        <f t="shared" si="14"/>
        <v>29.700000000004366</v>
      </c>
      <c r="H77" s="395">
        <f t="shared" si="15"/>
        <v>29.700000000004366</v>
      </c>
      <c r="I77" s="652"/>
      <c r="J77" s="396">
        <f>H77/DAY(B2)</f>
        <v>29.700000000004366</v>
      </c>
      <c r="K77" s="542"/>
      <c r="L77" s="427"/>
      <c r="N77" s="536"/>
      <c r="O77" s="171"/>
    </row>
    <row r="78" spans="1:15" ht="22.5">
      <c r="A78" s="815" t="s">
        <v>224</v>
      </c>
      <c r="B78" s="816"/>
      <c r="C78" s="817"/>
      <c r="D78" s="393" t="s">
        <v>139</v>
      </c>
      <c r="E78" s="507">
        <v>9516</v>
      </c>
      <c r="F78" s="406">
        <v>9516</v>
      </c>
      <c r="G78" s="723">
        <f t="shared" si="14"/>
        <v>0</v>
      </c>
      <c r="H78" s="395">
        <f t="shared" si="15"/>
        <v>0</v>
      </c>
      <c r="I78" s="394"/>
      <c r="J78" s="396">
        <f>H78/DAY(B2)</f>
        <v>0</v>
      </c>
      <c r="K78" s="542"/>
      <c r="L78" s="427"/>
      <c r="N78" s="536"/>
      <c r="O78" s="171"/>
    </row>
    <row r="79" spans="1:15" ht="22.5">
      <c r="A79" s="815" t="s">
        <v>225</v>
      </c>
      <c r="B79" s="816"/>
      <c r="C79" s="817"/>
      <c r="D79" s="393"/>
      <c r="E79" s="406"/>
      <c r="F79" s="406"/>
      <c r="G79" s="723">
        <f>G15-SUM(G74:G78)</f>
        <v>483.26699999988341</v>
      </c>
      <c r="H79" s="395">
        <f t="shared" si="15"/>
        <v>483.26699999988341</v>
      </c>
      <c r="I79" s="394"/>
      <c r="J79" s="396"/>
      <c r="K79" s="542"/>
      <c r="L79" s="427"/>
      <c r="N79" s="536"/>
      <c r="O79" s="171"/>
    </row>
    <row r="80" spans="1:15" ht="22.5">
      <c r="A80" s="786" t="s">
        <v>329</v>
      </c>
      <c r="B80" s="787"/>
      <c r="C80" s="788"/>
      <c r="D80" s="393"/>
      <c r="E80" s="401"/>
      <c r="F80" s="401"/>
      <c r="G80" s="723">
        <f>SUM(G74:G79)</f>
        <v>918.55799999996088</v>
      </c>
      <c r="H80" s="395"/>
      <c r="I80" s="394"/>
      <c r="J80" s="396"/>
      <c r="K80" s="542"/>
      <c r="L80" s="427"/>
      <c r="N80" s="536"/>
      <c r="O80" s="171"/>
    </row>
    <row r="81" spans="1:15" ht="22.5">
      <c r="A81" s="806" t="s">
        <v>226</v>
      </c>
      <c r="B81" s="807"/>
      <c r="C81" s="808"/>
      <c r="D81" s="389"/>
      <c r="E81" s="389"/>
      <c r="F81" s="390"/>
      <c r="G81" s="727"/>
      <c r="H81" s="431"/>
      <c r="I81" s="431"/>
      <c r="J81" s="432"/>
      <c r="O81" s="171"/>
    </row>
    <row r="82" spans="1:15" ht="22.5">
      <c r="A82" s="516" t="s">
        <v>227</v>
      </c>
      <c r="B82" s="405"/>
      <c r="C82" s="405"/>
      <c r="D82" s="393" t="s">
        <v>228</v>
      </c>
      <c r="E82" s="411">
        <v>0</v>
      </c>
      <c r="F82" s="411">
        <v>0</v>
      </c>
      <c r="G82" s="723">
        <f t="shared" ref="G82:G92" si="16">F82-E82</f>
        <v>0</v>
      </c>
      <c r="H82" s="395">
        <f t="shared" ref="H82:H92" si="17">G82</f>
        <v>0</v>
      </c>
      <c r="I82" s="394"/>
      <c r="J82" s="396">
        <f>H82/DAY(B2)</f>
        <v>0</v>
      </c>
      <c r="O82" s="171"/>
    </row>
    <row r="83" spans="1:15" ht="22.5">
      <c r="A83" s="516" t="s">
        <v>229</v>
      </c>
      <c r="B83" s="405"/>
      <c r="C83" s="405"/>
      <c r="D83" s="393" t="s">
        <v>228</v>
      </c>
      <c r="E83" s="411">
        <v>0</v>
      </c>
      <c r="F83" s="411">
        <v>0</v>
      </c>
      <c r="G83" s="723">
        <f t="shared" si="16"/>
        <v>0</v>
      </c>
      <c r="H83" s="395">
        <f t="shared" si="17"/>
        <v>0</v>
      </c>
      <c r="I83" s="394"/>
      <c r="J83" s="396">
        <f>H83/DAY(B2)</f>
        <v>0</v>
      </c>
      <c r="O83" s="171"/>
    </row>
    <row r="84" spans="1:15" ht="22.5">
      <c r="A84" s="516" t="s">
        <v>230</v>
      </c>
      <c r="B84" s="405"/>
      <c r="C84" s="405"/>
      <c r="D84" s="393" t="s">
        <v>228</v>
      </c>
      <c r="E84" s="433">
        <v>41675</v>
      </c>
      <c r="F84" s="433">
        <v>41675</v>
      </c>
      <c r="G84" s="723">
        <f t="shared" si="16"/>
        <v>0</v>
      </c>
      <c r="H84" s="395">
        <f t="shared" si="17"/>
        <v>0</v>
      </c>
      <c r="I84" s="394"/>
      <c r="J84" s="396">
        <f>H84/DAY(B2)</f>
        <v>0</v>
      </c>
      <c r="O84" s="171"/>
    </row>
    <row r="85" spans="1:15" ht="22.5">
      <c r="A85" s="516" t="s">
        <v>231</v>
      </c>
      <c r="B85" s="405"/>
      <c r="C85" s="405"/>
      <c r="D85" s="393" t="s">
        <v>228</v>
      </c>
      <c r="E85" s="433">
        <v>2262</v>
      </c>
      <c r="F85" s="433">
        <v>2286</v>
      </c>
      <c r="G85" s="723">
        <f t="shared" si="16"/>
        <v>24</v>
      </c>
      <c r="H85" s="395">
        <f t="shared" si="17"/>
        <v>24</v>
      </c>
      <c r="I85" s="394">
        <f>G82+G83+G84+G85</f>
        <v>24</v>
      </c>
      <c r="J85" s="396">
        <f>H85/DAY(B2)</f>
        <v>24</v>
      </c>
      <c r="O85" s="171"/>
    </row>
    <row r="86" spans="1:15" ht="22.5">
      <c r="A86" s="516" t="s">
        <v>232</v>
      </c>
      <c r="B86" s="405"/>
      <c r="C86" s="405"/>
      <c r="D86" s="393" t="s">
        <v>228</v>
      </c>
      <c r="E86" s="433">
        <v>43442</v>
      </c>
      <c r="F86" s="433">
        <v>43442</v>
      </c>
      <c r="G86" s="728">
        <f t="shared" si="16"/>
        <v>0</v>
      </c>
      <c r="H86" s="395">
        <f t="shared" si="17"/>
        <v>0</v>
      </c>
      <c r="I86" s="394"/>
      <c r="J86" s="396">
        <f>H86/DAY(B2)</f>
        <v>0</v>
      </c>
      <c r="O86" s="171"/>
    </row>
    <row r="87" spans="1:15" ht="22.5">
      <c r="A87" s="516" t="s">
        <v>233</v>
      </c>
      <c r="B87" s="405"/>
      <c r="C87" s="405"/>
      <c r="D87" s="393" t="s">
        <v>228</v>
      </c>
      <c r="E87" s="433">
        <v>34598.5</v>
      </c>
      <c r="F87" s="433">
        <v>34598.550000000003</v>
      </c>
      <c r="G87" s="723">
        <f t="shared" si="16"/>
        <v>5.0000000002910383E-2</v>
      </c>
      <c r="H87" s="395">
        <f t="shared" si="17"/>
        <v>5.0000000002910383E-2</v>
      </c>
      <c r="I87" s="394"/>
      <c r="J87" s="396">
        <f>H87/DAY(B2)</f>
        <v>5.0000000002910383E-2</v>
      </c>
      <c r="O87" s="171"/>
    </row>
    <row r="88" spans="1:15" ht="22.5">
      <c r="A88" s="516" t="s">
        <v>234</v>
      </c>
      <c r="B88" s="405"/>
      <c r="C88" s="405"/>
      <c r="D88" s="393" t="s">
        <v>228</v>
      </c>
      <c r="E88" s="433">
        <v>24063.43</v>
      </c>
      <c r="F88" s="433">
        <v>24063.43</v>
      </c>
      <c r="G88" s="723">
        <f t="shared" si="16"/>
        <v>0</v>
      </c>
      <c r="H88" s="395">
        <f t="shared" si="17"/>
        <v>0</v>
      </c>
      <c r="I88" s="394">
        <f>G86+G87+G88</f>
        <v>5.0000000002910383E-2</v>
      </c>
      <c r="J88" s="396">
        <f>H88/DAY(B2)</f>
        <v>0</v>
      </c>
      <c r="O88" s="171"/>
    </row>
    <row r="89" spans="1:15" ht="22.5">
      <c r="A89" s="516" t="s">
        <v>235</v>
      </c>
      <c r="B89" s="405"/>
      <c r="C89" s="405"/>
      <c r="D89" s="393" t="s">
        <v>228</v>
      </c>
      <c r="E89" s="433">
        <v>25891.119999999999</v>
      </c>
      <c r="F89" s="433">
        <v>25900.61</v>
      </c>
      <c r="G89" s="723">
        <f t="shared" si="16"/>
        <v>9.4900000000016007</v>
      </c>
      <c r="H89" s="395">
        <f t="shared" si="17"/>
        <v>9.4900000000016007</v>
      </c>
      <c r="I89" s="394"/>
      <c r="J89" s="396">
        <f>H89/DAY(B2)</f>
        <v>9.4900000000016007</v>
      </c>
      <c r="O89" s="171"/>
    </row>
    <row r="90" spans="1:15" ht="22.5">
      <c r="A90" s="516" t="s">
        <v>236</v>
      </c>
      <c r="B90" s="405"/>
      <c r="C90" s="405"/>
      <c r="D90" s="393" t="s">
        <v>228</v>
      </c>
      <c r="E90" s="433">
        <v>71163.320000000007</v>
      </c>
      <c r="F90" s="433">
        <v>71165.37</v>
      </c>
      <c r="G90" s="723">
        <f t="shared" si="16"/>
        <v>2.0499999999883585</v>
      </c>
      <c r="H90" s="395">
        <f t="shared" si="17"/>
        <v>2.0499999999883585</v>
      </c>
      <c r="I90" s="394">
        <f>G89+G90</f>
        <v>11.539999999989959</v>
      </c>
      <c r="J90" s="396">
        <f>H90/DAY(B2)</f>
        <v>2.0499999999883585</v>
      </c>
      <c r="O90" s="171"/>
    </row>
    <row r="91" spans="1:15" ht="22.5">
      <c r="A91" s="516" t="s">
        <v>237</v>
      </c>
      <c r="B91" s="405"/>
      <c r="C91" s="405"/>
      <c r="D91" s="393" t="s">
        <v>228</v>
      </c>
      <c r="E91" s="411">
        <v>3251.09</v>
      </c>
      <c r="F91" s="411">
        <v>3262.86</v>
      </c>
      <c r="G91" s="723">
        <f t="shared" si="16"/>
        <v>11.769999999999982</v>
      </c>
      <c r="H91" s="395">
        <f t="shared" si="17"/>
        <v>11.769999999999982</v>
      </c>
      <c r="I91" s="442"/>
      <c r="J91" s="396">
        <f>H91/DAY(B2)</f>
        <v>11.769999999999982</v>
      </c>
      <c r="O91" s="171"/>
    </row>
    <row r="92" spans="1:15" ht="22.5">
      <c r="A92" s="516" t="s">
        <v>238</v>
      </c>
      <c r="B92" s="405"/>
      <c r="C92" s="405"/>
      <c r="D92" s="393" t="s">
        <v>228</v>
      </c>
      <c r="E92" s="411">
        <v>5741.07</v>
      </c>
      <c r="F92" s="411">
        <v>5741.07</v>
      </c>
      <c r="G92" s="723">
        <f t="shared" si="16"/>
        <v>0</v>
      </c>
      <c r="H92" s="395">
        <f t="shared" si="17"/>
        <v>0</v>
      </c>
      <c r="I92" s="442"/>
      <c r="J92" s="396">
        <f>H92/DAY(B2)</f>
        <v>0</v>
      </c>
      <c r="O92" s="171"/>
    </row>
    <row r="93" spans="1:15" ht="22.5">
      <c r="A93" s="809" t="s">
        <v>239</v>
      </c>
      <c r="B93" s="810"/>
      <c r="C93" s="811"/>
      <c r="D93" s="390"/>
      <c r="E93" s="390"/>
      <c r="F93" s="390"/>
      <c r="G93" s="729"/>
      <c r="H93" s="404"/>
      <c r="I93" s="404"/>
      <c r="J93" s="435"/>
      <c r="K93" s="542"/>
      <c r="L93" s="427"/>
      <c r="O93" s="171"/>
    </row>
    <row r="94" spans="1:15" ht="22.5">
      <c r="A94" s="792" t="s">
        <v>240</v>
      </c>
      <c r="B94" s="793"/>
      <c r="C94" s="794"/>
      <c r="D94" s="393" t="s">
        <v>130</v>
      </c>
      <c r="E94" s="393"/>
      <c r="F94" s="393"/>
      <c r="G94" s="730">
        <f>G35+G43+G49+G57</f>
        <v>4087.0299999999952</v>
      </c>
      <c r="H94" s="395">
        <f t="shared" ref="H94:H105" si="18">G94</f>
        <v>4087.0299999999952</v>
      </c>
      <c r="I94" s="394"/>
      <c r="J94" s="396">
        <f>H94/DAY(B2)</f>
        <v>4087.0299999999952</v>
      </c>
      <c r="K94" s="542"/>
      <c r="L94" s="427"/>
      <c r="O94" s="171"/>
    </row>
    <row r="95" spans="1:15" ht="22.5">
      <c r="A95" s="792" t="s">
        <v>241</v>
      </c>
      <c r="B95" s="793"/>
      <c r="C95" s="794"/>
      <c r="D95" s="393" t="s">
        <v>23</v>
      </c>
      <c r="E95" s="387"/>
      <c r="F95" s="393"/>
      <c r="G95" s="731">
        <f>G94/G7</f>
        <v>0.23672658251456524</v>
      </c>
      <c r="H95" s="395">
        <f t="shared" si="18"/>
        <v>0.23672658251456524</v>
      </c>
      <c r="I95" s="655"/>
      <c r="J95" s="396">
        <f>H95/DAY(B2)</f>
        <v>0.23672658251456524</v>
      </c>
      <c r="K95" s="542"/>
      <c r="L95" s="427"/>
      <c r="O95" s="171"/>
    </row>
    <row r="96" spans="1:15" ht="22.5">
      <c r="A96" s="792" t="s">
        <v>242</v>
      </c>
      <c r="B96" s="793"/>
      <c r="C96" s="794"/>
      <c r="D96" s="393" t="s">
        <v>130</v>
      </c>
      <c r="E96" s="394"/>
      <c r="F96" s="394"/>
      <c r="G96" s="730">
        <f>G41+G42+G55+G56</f>
        <v>3987.7899999999936</v>
      </c>
      <c r="H96" s="395">
        <f t="shared" si="18"/>
        <v>3987.7899999999936</v>
      </c>
      <c r="I96" s="394"/>
      <c r="J96" s="396">
        <f>H96/DAY(B2)</f>
        <v>3987.7899999999936</v>
      </c>
      <c r="K96" s="542"/>
      <c r="L96" s="427"/>
      <c r="O96" s="171"/>
    </row>
    <row r="97" spans="1:15" ht="22.5">
      <c r="A97" s="792" t="s">
        <v>243</v>
      </c>
      <c r="B97" s="793"/>
      <c r="C97" s="794"/>
      <c r="D97" s="393" t="s">
        <v>23</v>
      </c>
      <c r="E97" s="394"/>
      <c r="F97" s="394"/>
      <c r="G97" s="731">
        <f>G96/G7</f>
        <v>0.23097846076142278</v>
      </c>
      <c r="H97" s="395">
        <f t="shared" si="18"/>
        <v>0.23097846076142278</v>
      </c>
      <c r="I97" s="655"/>
      <c r="J97" s="396">
        <f>H97/DAY(B2)</f>
        <v>0.23097846076142278</v>
      </c>
      <c r="K97" s="542"/>
      <c r="L97" s="427"/>
      <c r="O97" s="171"/>
    </row>
    <row r="98" spans="1:15" ht="22.5">
      <c r="A98" s="792" t="s">
        <v>244</v>
      </c>
      <c r="B98" s="793"/>
      <c r="C98" s="794"/>
      <c r="D98" s="393" t="s">
        <v>130</v>
      </c>
      <c r="E98" s="394"/>
      <c r="F98" s="394"/>
      <c r="G98" s="730">
        <f>G39+G53</f>
        <v>2609.5899999999965</v>
      </c>
      <c r="H98" s="395">
        <f t="shared" si="18"/>
        <v>2609.5899999999965</v>
      </c>
      <c r="I98" s="656"/>
      <c r="J98" s="396">
        <f>H98/DAY(B2)</f>
        <v>2609.5899999999965</v>
      </c>
      <c r="K98" s="542"/>
      <c r="L98" s="427"/>
      <c r="O98" s="171"/>
    </row>
    <row r="99" spans="1:15" ht="22.5">
      <c r="A99" s="792" t="s">
        <v>245</v>
      </c>
      <c r="B99" s="793"/>
      <c r="C99" s="794"/>
      <c r="D99" s="393" t="s">
        <v>23</v>
      </c>
      <c r="E99" s="394"/>
      <c r="F99" s="394"/>
      <c r="G99" s="731">
        <f>G98/G7</f>
        <v>0.15115115926826675</v>
      </c>
      <c r="H99" s="395">
        <f t="shared" si="18"/>
        <v>0.15115115926826675</v>
      </c>
      <c r="I99" s="656"/>
      <c r="J99" s="396">
        <f>H99/DAY(B2)</f>
        <v>0.15115115926826675</v>
      </c>
      <c r="O99" s="171"/>
    </row>
    <row r="100" spans="1:15" ht="22.5">
      <c r="A100" s="792" t="s">
        <v>246</v>
      </c>
      <c r="B100" s="793"/>
      <c r="C100" s="794"/>
      <c r="D100" s="393" t="s">
        <v>180</v>
      </c>
      <c r="E100" s="394"/>
      <c r="F100" s="394"/>
      <c r="G100" s="730">
        <f>G38+G52</f>
        <v>1620.2699999999968</v>
      </c>
      <c r="H100" s="395">
        <f t="shared" si="18"/>
        <v>1620.2699999999968</v>
      </c>
      <c r="I100" s="394"/>
      <c r="J100" s="396">
        <f>H100/DAY(B2)</f>
        <v>1620.2699999999968</v>
      </c>
      <c r="K100" s="546"/>
      <c r="O100" s="171"/>
    </row>
    <row r="101" spans="1:15" ht="22.5">
      <c r="A101" s="792" t="s">
        <v>247</v>
      </c>
      <c r="B101" s="793"/>
      <c r="C101" s="794"/>
      <c r="D101" s="393" t="s">
        <v>23</v>
      </c>
      <c r="E101" s="394"/>
      <c r="F101" s="394"/>
      <c r="G101" s="731">
        <f>G100/G7</f>
        <v>9.3848339711446779E-2</v>
      </c>
      <c r="H101" s="395">
        <f t="shared" si="18"/>
        <v>9.3848339711446779E-2</v>
      </c>
      <c r="I101" s="656"/>
      <c r="J101" s="396">
        <f>H101/DAY(B2)</f>
        <v>9.3848339711446779E-2</v>
      </c>
      <c r="O101" s="171"/>
    </row>
    <row r="102" spans="1:15" ht="22.5">
      <c r="A102" s="792" t="s">
        <v>248</v>
      </c>
      <c r="B102" s="793"/>
      <c r="C102" s="794"/>
      <c r="D102" s="393" t="s">
        <v>180</v>
      </c>
      <c r="E102" s="394"/>
      <c r="F102" s="394"/>
      <c r="G102" s="730">
        <f>G36+G50</f>
        <v>1649.6800000000076</v>
      </c>
      <c r="H102" s="395">
        <f t="shared" si="18"/>
        <v>1649.6800000000076</v>
      </c>
      <c r="I102" s="656"/>
      <c r="J102" s="396">
        <f>H102/DAY(B2)</f>
        <v>1649.6800000000076</v>
      </c>
      <c r="O102" s="171"/>
    </row>
    <row r="103" spans="1:15" ht="22.5">
      <c r="A103" s="792" t="s">
        <v>249</v>
      </c>
      <c r="B103" s="793"/>
      <c r="C103" s="794"/>
      <c r="D103" s="393" t="s">
        <v>23</v>
      </c>
      <c r="E103" s="394"/>
      <c r="F103" s="394"/>
      <c r="G103" s="731">
        <f>G102/G7</f>
        <v>9.5551808683232139E-2</v>
      </c>
      <c r="H103" s="395">
        <f t="shared" si="18"/>
        <v>9.5551808683232139E-2</v>
      </c>
      <c r="I103" s="394"/>
      <c r="J103" s="396">
        <f>H103/DAY(B2)</f>
        <v>9.5551808683232139E-2</v>
      </c>
      <c r="O103" s="171"/>
    </row>
    <row r="104" spans="1:15" ht="22.5">
      <c r="A104" s="792" t="s">
        <v>250</v>
      </c>
      <c r="B104" s="793"/>
      <c r="C104" s="794"/>
      <c r="D104" s="393" t="s">
        <v>180</v>
      </c>
      <c r="E104" s="394"/>
      <c r="F104" s="394"/>
      <c r="G104" s="730">
        <f>G37+G51</f>
        <v>1554.1100000000006</v>
      </c>
      <c r="H104" s="395">
        <f t="shared" si="18"/>
        <v>1554.1100000000006</v>
      </c>
      <c r="I104" s="394"/>
      <c r="J104" s="396">
        <f>H104/DAY(B2)</f>
        <v>1554.1100000000006</v>
      </c>
      <c r="O104" s="171"/>
    </row>
    <row r="105" spans="1:15" ht="23.25" thickBot="1">
      <c r="A105" s="799" t="s">
        <v>251</v>
      </c>
      <c r="B105" s="800"/>
      <c r="C105" s="801"/>
      <c r="D105" s="436" t="s">
        <v>23</v>
      </c>
      <c r="E105" s="437"/>
      <c r="F105" s="437"/>
      <c r="G105" s="732">
        <f>G104/G7</f>
        <v>9.0016258542685412E-2</v>
      </c>
      <c r="H105" s="395">
        <f t="shared" si="18"/>
        <v>9.0016258542685412E-2</v>
      </c>
      <c r="I105" s="437"/>
      <c r="J105" s="438">
        <f>H105/DAY(B2)</f>
        <v>9.0016258542685412E-2</v>
      </c>
      <c r="O105" s="171"/>
    </row>
    <row r="106" spans="1:15" ht="22.5">
      <c r="O106" s="171"/>
    </row>
    <row r="107" spans="1:15" ht="22.5"/>
    <row r="108" spans="1:15" ht="22.5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2.5">
      <c r="A109" s="795"/>
      <c r="B109" s="795"/>
    </row>
    <row r="110" spans="1:15" ht="22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2.5">
      <c r="A111" s="789"/>
      <c r="B111" s="790"/>
      <c r="C111" s="791"/>
      <c r="D111" s="434"/>
      <c r="E111" s="442"/>
      <c r="F111" s="442"/>
      <c r="G111" s="734"/>
      <c r="H111" s="439"/>
      <c r="I111" s="442"/>
      <c r="J111" s="439"/>
    </row>
    <row r="112" spans="1:15" ht="22.5">
      <c r="A112" s="781" t="s">
        <v>252</v>
      </c>
      <c r="B112" s="784"/>
      <c r="C112" s="782"/>
      <c r="D112" s="387" t="s">
        <v>183</v>
      </c>
      <c r="E112" s="440">
        <v>58054</v>
      </c>
      <c r="F112" s="440">
        <v>58132</v>
      </c>
      <c r="G112" s="723">
        <f t="shared" ref="G112:G123" si="19">F112-E112</f>
        <v>78</v>
      </c>
      <c r="H112" s="395">
        <f t="shared" ref="H112:H123" si="20">G112</f>
        <v>78</v>
      </c>
      <c r="I112" s="442"/>
      <c r="J112" s="441">
        <f>H112/DAY(B2)</f>
        <v>78</v>
      </c>
    </row>
    <row r="113" spans="1:18" ht="29.25" customHeight="1">
      <c r="A113" s="781" t="s">
        <v>253</v>
      </c>
      <c r="B113" s="784"/>
      <c r="C113" s="782"/>
      <c r="D113" s="387" t="s">
        <v>183</v>
      </c>
      <c r="E113" s="440">
        <v>46400.89</v>
      </c>
      <c r="F113" s="440">
        <v>46884.44</v>
      </c>
      <c r="G113" s="723">
        <f t="shared" si="19"/>
        <v>483.55000000000291</v>
      </c>
      <c r="H113" s="395">
        <f t="shared" si="20"/>
        <v>483.55000000000291</v>
      </c>
      <c r="I113" s="442"/>
      <c r="J113" s="441">
        <f>H113/DAY(B2)</f>
        <v>483.55000000000291</v>
      </c>
    </row>
    <row r="114" spans="1:18" ht="29.25" customHeight="1">
      <c r="A114" s="781" t="s">
        <v>254</v>
      </c>
      <c r="B114" s="784"/>
      <c r="C114" s="782"/>
      <c r="D114" s="387" t="s">
        <v>183</v>
      </c>
      <c r="E114" s="440">
        <v>33160</v>
      </c>
      <c r="F114" s="440">
        <v>33421.300000000003</v>
      </c>
      <c r="G114" s="723">
        <f t="shared" si="19"/>
        <v>261.30000000000291</v>
      </c>
      <c r="H114" s="395">
        <f t="shared" si="20"/>
        <v>261.30000000000291</v>
      </c>
      <c r="I114" s="442"/>
      <c r="J114" s="441">
        <f>H114/DAY(B2)</f>
        <v>261.30000000000291</v>
      </c>
    </row>
    <row r="115" spans="1:18" ht="29.25" customHeight="1">
      <c r="A115" s="781" t="s">
        <v>255</v>
      </c>
      <c r="B115" s="784"/>
      <c r="C115" s="782"/>
      <c r="D115" s="387" t="s">
        <v>183</v>
      </c>
      <c r="E115" s="440">
        <v>9094.65</v>
      </c>
      <c r="F115" s="440">
        <v>9103.4500000000007</v>
      </c>
      <c r="G115" s="723">
        <f t="shared" si="19"/>
        <v>8.8000000000010914</v>
      </c>
      <c r="H115" s="395">
        <f t="shared" si="20"/>
        <v>8.8000000000010914</v>
      </c>
      <c r="I115" s="442"/>
      <c r="J115" s="441">
        <f>H115/DAY(B2)</f>
        <v>8.8000000000010914</v>
      </c>
    </row>
    <row r="116" spans="1:18" ht="29.25" customHeight="1">
      <c r="A116" s="796" t="s">
        <v>96</v>
      </c>
      <c r="B116" s="797"/>
      <c r="C116" s="798"/>
      <c r="D116" s="387" t="s">
        <v>183</v>
      </c>
      <c r="E116" s="440">
        <v>0</v>
      </c>
      <c r="F116" s="440">
        <v>0</v>
      </c>
      <c r="G116" s="723">
        <f t="shared" si="19"/>
        <v>0</v>
      </c>
      <c r="H116" s="395">
        <f t="shared" si="20"/>
        <v>0</v>
      </c>
      <c r="I116" s="442"/>
      <c r="J116" s="441">
        <f>H116/DAY(B2)</f>
        <v>0</v>
      </c>
      <c r="Q116" s="781"/>
      <c r="R116" s="782"/>
    </row>
    <row r="117" spans="1:18" ht="29.25" customHeight="1">
      <c r="A117" s="796" t="s">
        <v>184</v>
      </c>
      <c r="B117" s="797"/>
      <c r="C117" s="798"/>
      <c r="D117" s="387" t="s">
        <v>183</v>
      </c>
      <c r="E117" s="440">
        <v>3337.95</v>
      </c>
      <c r="F117" s="440">
        <v>3359.77</v>
      </c>
      <c r="G117" s="723">
        <f t="shared" si="19"/>
        <v>21.820000000000164</v>
      </c>
      <c r="H117" s="395">
        <f t="shared" si="20"/>
        <v>21.820000000000164</v>
      </c>
      <c r="I117" s="442"/>
      <c r="J117" s="441">
        <f>H117/DAY(B2)</f>
        <v>21.820000000000164</v>
      </c>
      <c r="Q117" s="781"/>
      <c r="R117" s="782"/>
    </row>
    <row r="118" spans="1:18" ht="22.5">
      <c r="A118" s="780" t="s">
        <v>97</v>
      </c>
      <c r="B118" s="780"/>
      <c r="C118" s="780"/>
      <c r="D118" s="393" t="s">
        <v>183</v>
      </c>
      <c r="E118" s="440">
        <v>252452.31</v>
      </c>
      <c r="F118" s="440">
        <v>252762.81</v>
      </c>
      <c r="G118" s="723">
        <f t="shared" si="19"/>
        <v>310.5</v>
      </c>
      <c r="H118" s="395">
        <f t="shared" si="20"/>
        <v>310.5</v>
      </c>
      <c r="I118" s="442"/>
      <c r="J118" s="441">
        <f>H118/DAY(B2)</f>
        <v>310.5</v>
      </c>
      <c r="Q118" s="781"/>
      <c r="R118" s="782"/>
    </row>
    <row r="119" spans="1:18" ht="22.5">
      <c r="A119" s="780" t="s">
        <v>98</v>
      </c>
      <c r="B119" s="780"/>
      <c r="C119" s="780"/>
      <c r="D119" s="393" t="s">
        <v>183</v>
      </c>
      <c r="E119" s="440">
        <v>258148.55</v>
      </c>
      <c r="F119" s="440">
        <v>258589.7</v>
      </c>
      <c r="G119" s="723">
        <f t="shared" si="19"/>
        <v>441.15000000002328</v>
      </c>
      <c r="H119" s="395">
        <f t="shared" si="20"/>
        <v>441.15000000002328</v>
      </c>
      <c r="I119" s="442"/>
      <c r="J119" s="441">
        <f>H119/DAY(B2)</f>
        <v>441.15000000002328</v>
      </c>
    </row>
    <row r="120" spans="1:18" ht="22.5">
      <c r="A120" s="780" t="s">
        <v>99</v>
      </c>
      <c r="B120" s="780"/>
      <c r="C120" s="780"/>
      <c r="D120" s="393" t="s">
        <v>183</v>
      </c>
      <c r="E120" s="440">
        <v>42959.61</v>
      </c>
      <c r="F120" s="440">
        <v>43373.75</v>
      </c>
      <c r="G120" s="723">
        <f t="shared" si="19"/>
        <v>414.13999999999942</v>
      </c>
      <c r="H120" s="395">
        <f t="shared" si="20"/>
        <v>414.13999999999942</v>
      </c>
      <c r="I120" s="442"/>
      <c r="J120" s="441">
        <f>H120/DAY(B2)</f>
        <v>414.13999999999942</v>
      </c>
    </row>
    <row r="121" spans="1:18" ht="22.5">
      <c r="A121" s="780" t="s">
        <v>100</v>
      </c>
      <c r="B121" s="780"/>
      <c r="C121" s="780"/>
      <c r="D121" s="393" t="s">
        <v>183</v>
      </c>
      <c r="E121" s="440">
        <v>398034.43</v>
      </c>
      <c r="F121" s="440">
        <v>398755.31</v>
      </c>
      <c r="G121" s="723">
        <f t="shared" si="19"/>
        <v>720.88000000000466</v>
      </c>
      <c r="H121" s="395">
        <f t="shared" si="20"/>
        <v>720.88000000000466</v>
      </c>
      <c r="I121" s="442"/>
      <c r="J121" s="441">
        <f>H121/DAY(B2)</f>
        <v>720.88000000000466</v>
      </c>
    </row>
    <row r="122" spans="1:18" ht="22.5">
      <c r="A122" s="780" t="s">
        <v>101</v>
      </c>
      <c r="B122" s="780"/>
      <c r="C122" s="780"/>
      <c r="D122" s="393" t="s">
        <v>183</v>
      </c>
      <c r="E122" s="440">
        <v>126186.18</v>
      </c>
      <c r="F122" s="440">
        <v>126392.21</v>
      </c>
      <c r="G122" s="723">
        <f t="shared" si="19"/>
        <v>206.03000000001339</v>
      </c>
      <c r="H122" s="395">
        <f t="shared" si="20"/>
        <v>206.03000000001339</v>
      </c>
      <c r="I122" s="442"/>
      <c r="J122" s="441">
        <f>H122/DAY(B2)</f>
        <v>206.03000000001339</v>
      </c>
    </row>
    <row r="123" spans="1:18" ht="22.5">
      <c r="A123" s="780" t="s">
        <v>102</v>
      </c>
      <c r="B123" s="780"/>
      <c r="C123" s="780"/>
      <c r="D123" s="393" t="s">
        <v>183</v>
      </c>
      <c r="E123" s="440">
        <v>154046.95000000001</v>
      </c>
      <c r="F123" s="440">
        <v>154308.20000000001</v>
      </c>
      <c r="G123" s="723">
        <f t="shared" si="19"/>
        <v>261.25</v>
      </c>
      <c r="H123" s="395">
        <f t="shared" si="20"/>
        <v>261.25</v>
      </c>
      <c r="I123" s="442"/>
      <c r="J123" s="441">
        <f>H123/DAY(B2)</f>
        <v>261.25</v>
      </c>
    </row>
    <row r="124" spans="1:18" ht="29.25" customHeight="1">
      <c r="A124" s="789"/>
      <c r="B124" s="790"/>
      <c r="C124" s="791"/>
      <c r="D124" s="434"/>
      <c r="E124" s="442"/>
      <c r="F124" s="442"/>
      <c r="G124" s="734"/>
      <c r="H124" s="439"/>
      <c r="I124" s="442"/>
      <c r="J124" s="439"/>
    </row>
    <row r="125" spans="1:18" ht="27">
      <c r="A125" s="786" t="s">
        <v>196</v>
      </c>
      <c r="B125" s="787"/>
      <c r="C125" s="788"/>
      <c r="D125" s="393"/>
      <c r="E125" s="711"/>
      <c r="F125" s="442"/>
      <c r="G125" s="723">
        <f>SUM(G112:G124)</f>
        <v>3207.4200000000478</v>
      </c>
      <c r="H125" s="439"/>
      <c r="I125" s="156">
        <f>G125-(G39+G53)</f>
        <v>597.83000000005131</v>
      </c>
      <c r="J125" s="439"/>
    </row>
    <row r="126" spans="1:18" ht="22.5">
      <c r="A126" s="774" t="s">
        <v>317</v>
      </c>
      <c r="B126" s="774"/>
      <c r="C126" s="774"/>
      <c r="D126" s="774"/>
      <c r="E126" s="774"/>
      <c r="F126" s="774"/>
      <c r="G126" s="774"/>
      <c r="H126" s="774"/>
      <c r="I126" s="774"/>
      <c r="J126" s="774"/>
    </row>
    <row r="127" spans="1:18" ht="27">
      <c r="A127" s="775"/>
      <c r="B127" s="775"/>
      <c r="C127" s="434"/>
      <c r="D127" s="393"/>
      <c r="E127" s="711"/>
      <c r="F127" s="442"/>
      <c r="G127" s="723"/>
      <c r="H127" s="395">
        <f t="shared" ref="H127:H135" si="21">G127</f>
        <v>0</v>
      </c>
      <c r="I127" s="442"/>
      <c r="J127" s="441">
        <f>H127/DAY(B2)</f>
        <v>0</v>
      </c>
    </row>
    <row r="128" spans="1:18" ht="29.25" customHeight="1">
      <c r="A128" s="781" t="s">
        <v>318</v>
      </c>
      <c r="B128" s="784"/>
      <c r="C128" s="782"/>
      <c r="D128" s="393" t="s">
        <v>183</v>
      </c>
      <c r="E128" s="442">
        <v>47746</v>
      </c>
      <c r="F128" s="442">
        <v>48067</v>
      </c>
      <c r="G128" s="723">
        <f t="shared" ref="G128:G133" si="22">F128-E128</f>
        <v>321</v>
      </c>
      <c r="H128" s="395">
        <f t="shared" si="21"/>
        <v>321</v>
      </c>
      <c r="I128" s="442"/>
      <c r="J128" s="441">
        <f>H128/DAY(B2)</f>
        <v>321</v>
      </c>
    </row>
    <row r="129" spans="1:15" ht="22.5">
      <c r="A129" s="523" t="s">
        <v>319</v>
      </c>
      <c r="B129" s="443"/>
      <c r="C129" s="444"/>
      <c r="D129" s="393" t="s">
        <v>183</v>
      </c>
      <c r="E129" s="442">
        <v>26910.87</v>
      </c>
      <c r="F129" s="442">
        <v>27123</v>
      </c>
      <c r="G129" s="723">
        <f t="shared" si="22"/>
        <v>212.13000000000102</v>
      </c>
      <c r="H129" s="395">
        <f t="shared" si="21"/>
        <v>212.13000000000102</v>
      </c>
      <c r="I129" s="442"/>
      <c r="J129" s="441">
        <f>H129/DAY(B2)</f>
        <v>212.13000000000102</v>
      </c>
      <c r="N129" s="547"/>
      <c r="O129" s="495"/>
    </row>
    <row r="130" spans="1:15" ht="22.5">
      <c r="A130" s="523" t="s">
        <v>320</v>
      </c>
      <c r="B130" s="443"/>
      <c r="C130" s="444"/>
      <c r="D130" s="393" t="s">
        <v>183</v>
      </c>
      <c r="E130" s="442">
        <v>35694</v>
      </c>
      <c r="F130" s="442">
        <v>36147.81</v>
      </c>
      <c r="G130" s="723">
        <f t="shared" si="22"/>
        <v>453.80999999999767</v>
      </c>
      <c r="H130" s="395">
        <f t="shared" si="21"/>
        <v>453.80999999999767</v>
      </c>
      <c r="I130" s="442"/>
      <c r="J130" s="441">
        <f>H130/DAY(B2)</f>
        <v>453.80999999999767</v>
      </c>
      <c r="N130" s="547"/>
      <c r="O130" s="495"/>
    </row>
    <row r="131" spans="1:15" ht="22.5">
      <c r="A131" s="781" t="s">
        <v>321</v>
      </c>
      <c r="B131" s="784"/>
      <c r="C131" s="782"/>
      <c r="D131" s="393" t="s">
        <v>183</v>
      </c>
      <c r="E131" s="442">
        <v>15307.68</v>
      </c>
      <c r="F131" s="645">
        <v>15367.2</v>
      </c>
      <c r="G131" s="728">
        <f t="shared" si="22"/>
        <v>59.520000000000437</v>
      </c>
      <c r="H131" s="395">
        <f t="shared" si="21"/>
        <v>59.520000000000437</v>
      </c>
      <c r="I131" s="442"/>
      <c r="J131" s="441">
        <f>H131/DAY(B2)</f>
        <v>59.520000000000437</v>
      </c>
      <c r="N131" s="547"/>
      <c r="O131" s="495"/>
    </row>
    <row r="132" spans="1:15" ht="22.5">
      <c r="A132" s="781" t="s">
        <v>322</v>
      </c>
      <c r="B132" s="784"/>
      <c r="C132" s="782"/>
      <c r="D132" s="393" t="s">
        <v>183</v>
      </c>
      <c r="E132" s="442">
        <v>51848.3</v>
      </c>
      <c r="F132" s="645">
        <v>52011.77</v>
      </c>
      <c r="G132" s="728">
        <f t="shared" si="22"/>
        <v>163.46999999999389</v>
      </c>
      <c r="H132" s="395">
        <f t="shared" si="21"/>
        <v>163.46999999999389</v>
      </c>
      <c r="I132" s="442"/>
      <c r="J132" s="441">
        <f>H132/DAY(B2)</f>
        <v>163.46999999999389</v>
      </c>
    </row>
    <row r="133" spans="1:15" ht="22.5">
      <c r="A133" s="781" t="s">
        <v>342</v>
      </c>
      <c r="B133" s="784"/>
      <c r="C133" s="782"/>
      <c r="D133" s="393" t="s">
        <v>183</v>
      </c>
      <c r="E133" s="442">
        <v>105343.7</v>
      </c>
      <c r="F133" s="645">
        <v>105836.27</v>
      </c>
      <c r="G133" s="728">
        <f t="shared" si="22"/>
        <v>492.57000000000698</v>
      </c>
      <c r="H133" s="395">
        <f t="shared" si="21"/>
        <v>492.57000000000698</v>
      </c>
      <c r="I133" s="442"/>
      <c r="J133" s="441">
        <f>H133/DAY(B2)</f>
        <v>492.57000000000698</v>
      </c>
    </row>
    <row r="134" spans="1:15" ht="22.5">
      <c r="A134" s="785" t="s">
        <v>340</v>
      </c>
      <c r="B134" s="779"/>
      <c r="C134" s="769"/>
      <c r="D134" s="393" t="s">
        <v>183</v>
      </c>
      <c r="E134" s="442">
        <v>8601.23</v>
      </c>
      <c r="F134" s="645">
        <v>8755.39</v>
      </c>
      <c r="G134" s="728">
        <f>F134-E134</f>
        <v>154.15999999999985</v>
      </c>
      <c r="H134" s="395">
        <f t="shared" ref="H134" si="23">G134</f>
        <v>154.15999999999985</v>
      </c>
      <c r="I134" s="442"/>
      <c r="J134" s="441">
        <f>H134/DAY(B2)</f>
        <v>154.15999999999985</v>
      </c>
    </row>
    <row r="135" spans="1:15" ht="22.5">
      <c r="A135" s="786" t="s">
        <v>196</v>
      </c>
      <c r="B135" s="787"/>
      <c r="C135" s="788"/>
      <c r="D135" s="393"/>
      <c r="E135" s="442"/>
      <c r="F135" s="442"/>
      <c r="G135" s="723">
        <f>SUM(G128:G134)</f>
        <v>1856.6599999999999</v>
      </c>
      <c r="H135" s="395">
        <f t="shared" si="21"/>
        <v>1856.6599999999999</v>
      </c>
      <c r="I135" s="156">
        <f>G135-(G35+G49)</f>
        <v>-328.44000000000233</v>
      </c>
      <c r="J135" s="441">
        <f>H135/DAY(B2)</f>
        <v>1856.6599999999999</v>
      </c>
    </row>
    <row r="136" spans="1:15" ht="22.5">
      <c r="A136" s="774" t="s">
        <v>325</v>
      </c>
      <c r="B136" s="774"/>
      <c r="C136" s="774"/>
      <c r="D136" s="774"/>
      <c r="E136" s="774"/>
      <c r="F136" s="774"/>
      <c r="G136" s="774"/>
      <c r="H136" s="774"/>
      <c r="I136" s="774"/>
      <c r="J136" s="774"/>
    </row>
    <row r="137" spans="1:15" ht="22.5">
      <c r="A137" s="165"/>
      <c r="B137" s="434"/>
      <c r="C137" s="434"/>
      <c r="D137" s="434"/>
      <c r="E137" s="442"/>
      <c r="F137" s="442"/>
      <c r="G137" s="734"/>
      <c r="H137" s="439"/>
      <c r="I137" s="442"/>
      <c r="J137" s="439"/>
    </row>
    <row r="138" spans="1:15" ht="22.5">
      <c r="A138" s="780" t="s">
        <v>185</v>
      </c>
      <c r="B138" s="780"/>
      <c r="C138" s="780"/>
      <c r="D138" s="393" t="s">
        <v>183</v>
      </c>
      <c r="E138" s="445">
        <v>866173</v>
      </c>
      <c r="F138" s="445">
        <v>866234</v>
      </c>
      <c r="G138" s="723">
        <f t="shared" ref="G138:G150" si="24">F138-E138</f>
        <v>61</v>
      </c>
      <c r="H138" s="395">
        <f t="shared" ref="H138:H150" si="25">G138</f>
        <v>61</v>
      </c>
      <c r="I138" s="394"/>
      <c r="J138" s="441">
        <f>H138/DAY(B2)</f>
        <v>61</v>
      </c>
    </row>
    <row r="139" spans="1:15" ht="22.5">
      <c r="A139" s="780" t="s">
        <v>186</v>
      </c>
      <c r="B139" s="780"/>
      <c r="C139" s="780"/>
      <c r="D139" s="393" t="s">
        <v>183</v>
      </c>
      <c r="E139" s="446">
        <v>886573</v>
      </c>
      <c r="F139" s="446">
        <v>886574</v>
      </c>
      <c r="G139" s="723">
        <f t="shared" si="24"/>
        <v>1</v>
      </c>
      <c r="H139" s="395">
        <f t="shared" si="25"/>
        <v>1</v>
      </c>
      <c r="I139" s="394"/>
      <c r="J139" s="441">
        <f>H139/DAY(B2)</f>
        <v>1</v>
      </c>
    </row>
    <row r="140" spans="1:15" ht="22.5">
      <c r="A140" s="780" t="s">
        <v>187</v>
      </c>
      <c r="B140" s="780"/>
      <c r="C140" s="780"/>
      <c r="D140" s="393" t="s">
        <v>183</v>
      </c>
      <c r="E140" s="447">
        <v>88922</v>
      </c>
      <c r="F140" s="447">
        <v>88922</v>
      </c>
      <c r="G140" s="723">
        <f t="shared" si="24"/>
        <v>0</v>
      </c>
      <c r="H140" s="395">
        <f t="shared" si="25"/>
        <v>0</v>
      </c>
      <c r="I140" s="394"/>
      <c r="J140" s="441">
        <f>H140/DAY(B2)</f>
        <v>0</v>
      </c>
    </row>
    <row r="141" spans="1:15" ht="22.5">
      <c r="A141" s="783" t="s">
        <v>188</v>
      </c>
      <c r="B141" s="783"/>
      <c r="C141" s="783"/>
      <c r="D141" s="448" t="s">
        <v>183</v>
      </c>
      <c r="E141" s="447">
        <v>54685.58</v>
      </c>
      <c r="F141" s="446">
        <v>54851.17</v>
      </c>
      <c r="G141" s="728">
        <f t="shared" si="24"/>
        <v>165.58999999999651</v>
      </c>
      <c r="H141" s="453">
        <f t="shared" si="25"/>
        <v>165.58999999999651</v>
      </c>
      <c r="I141" s="657"/>
      <c r="J141" s="525">
        <f>H141/DAY(B2)</f>
        <v>165.58999999999651</v>
      </c>
    </row>
    <row r="142" spans="1:15" ht="22.5">
      <c r="A142" s="783" t="s">
        <v>189</v>
      </c>
      <c r="B142" s="783"/>
      <c r="C142" s="783"/>
      <c r="D142" s="448" t="s">
        <v>183</v>
      </c>
      <c r="E142" s="446">
        <v>21284.1</v>
      </c>
      <c r="F142" s="446">
        <v>21357.57</v>
      </c>
      <c r="G142" s="728">
        <f t="shared" si="24"/>
        <v>73.470000000001164</v>
      </c>
      <c r="H142" s="453">
        <f t="shared" si="25"/>
        <v>73.470000000001164</v>
      </c>
      <c r="I142" s="658"/>
      <c r="J142" s="525">
        <f>H142/DAY(B2)</f>
        <v>73.470000000001164</v>
      </c>
    </row>
    <row r="143" spans="1:15" ht="22.5">
      <c r="A143" s="839" t="s">
        <v>91</v>
      </c>
      <c r="B143" s="839"/>
      <c r="C143" s="839"/>
      <c r="D143" s="448" t="s">
        <v>183</v>
      </c>
      <c r="E143" s="447">
        <v>3835.39</v>
      </c>
      <c r="F143" s="446">
        <v>3864.39</v>
      </c>
      <c r="G143" s="728">
        <f t="shared" si="24"/>
        <v>29</v>
      </c>
      <c r="H143" s="453">
        <f t="shared" si="25"/>
        <v>29</v>
      </c>
      <c r="I143" s="658"/>
      <c r="J143" s="525">
        <f>H143/DAY(B2)</f>
        <v>29</v>
      </c>
    </row>
    <row r="144" spans="1:15" ht="22.5">
      <c r="A144" s="783" t="s">
        <v>90</v>
      </c>
      <c r="B144" s="783"/>
      <c r="C144" s="783"/>
      <c r="D144" s="448" t="s">
        <v>183</v>
      </c>
      <c r="E144" s="447">
        <v>876487</v>
      </c>
      <c r="F144" s="446">
        <v>876683</v>
      </c>
      <c r="G144" s="728">
        <f t="shared" si="24"/>
        <v>196</v>
      </c>
      <c r="H144" s="453">
        <f t="shared" si="25"/>
        <v>196</v>
      </c>
      <c r="I144" s="658"/>
      <c r="J144" s="525">
        <f>H144/DAY(B2)</f>
        <v>196</v>
      </c>
    </row>
    <row r="145" spans="1:10" ht="22.5">
      <c r="A145" s="839" t="s">
        <v>190</v>
      </c>
      <c r="B145" s="839"/>
      <c r="C145" s="839"/>
      <c r="D145" s="448" t="s">
        <v>183</v>
      </c>
      <c r="E145" s="447">
        <v>4958.84</v>
      </c>
      <c r="F145" s="446">
        <v>4971.62</v>
      </c>
      <c r="G145" s="728">
        <f t="shared" si="24"/>
        <v>12.779999999999745</v>
      </c>
      <c r="H145" s="453">
        <f t="shared" si="25"/>
        <v>12.779999999999745</v>
      </c>
      <c r="I145" s="658"/>
      <c r="J145" s="525">
        <f>H145/DAY(B2)</f>
        <v>12.779999999999745</v>
      </c>
    </row>
    <row r="146" spans="1:10" ht="22.5">
      <c r="A146" s="840" t="s">
        <v>191</v>
      </c>
      <c r="B146" s="841"/>
      <c r="C146" s="842"/>
      <c r="D146" s="448" t="s">
        <v>183</v>
      </c>
      <c r="E146" s="446">
        <v>737333</v>
      </c>
      <c r="F146" s="446">
        <v>737727</v>
      </c>
      <c r="G146" s="728">
        <f t="shared" si="24"/>
        <v>394</v>
      </c>
      <c r="H146" s="453">
        <f t="shared" si="25"/>
        <v>394</v>
      </c>
      <c r="I146" s="658"/>
      <c r="J146" s="525">
        <f>H146/DAY(B2)</f>
        <v>394</v>
      </c>
    </row>
    <row r="147" spans="1:10" ht="22.5">
      <c r="A147" s="783" t="s">
        <v>192</v>
      </c>
      <c r="B147" s="783"/>
      <c r="C147" s="783"/>
      <c r="D147" s="448" t="s">
        <v>183</v>
      </c>
      <c r="E147" s="446">
        <v>626612.52</v>
      </c>
      <c r="F147" s="446">
        <v>626981.80000000005</v>
      </c>
      <c r="G147" s="728">
        <f t="shared" si="24"/>
        <v>369.28000000002794</v>
      </c>
      <c r="H147" s="453">
        <f t="shared" si="25"/>
        <v>369.28000000002794</v>
      </c>
      <c r="I147" s="658"/>
      <c r="J147" s="525">
        <f>H147/DAY(B2)</f>
        <v>369.28000000002794</v>
      </c>
    </row>
    <row r="148" spans="1:10" ht="22.5">
      <c r="A148" s="835" t="s">
        <v>193</v>
      </c>
      <c r="B148" s="836"/>
      <c r="C148" s="837"/>
      <c r="D148" s="507" t="s">
        <v>130</v>
      </c>
      <c r="E148" s="407">
        <v>689442.96</v>
      </c>
      <c r="F148" s="433">
        <v>689638</v>
      </c>
      <c r="G148" s="728">
        <f t="shared" si="24"/>
        <v>195.04000000003725</v>
      </c>
      <c r="H148" s="453">
        <f t="shared" si="25"/>
        <v>195.04000000003725</v>
      </c>
      <c r="I148" s="453"/>
      <c r="J148" s="525">
        <f>H148/DAY(B2)</f>
        <v>195.04000000003725</v>
      </c>
    </row>
    <row r="149" spans="1:10" ht="22.5">
      <c r="A149" s="835" t="s">
        <v>336</v>
      </c>
      <c r="B149" s="836"/>
      <c r="C149" s="837"/>
      <c r="D149" s="526" t="s">
        <v>130</v>
      </c>
      <c r="E149" s="387">
        <v>24678.2</v>
      </c>
      <c r="F149" s="448">
        <v>25075.18</v>
      </c>
      <c r="G149" s="728">
        <f t="shared" si="24"/>
        <v>396.97999999999956</v>
      </c>
      <c r="H149" s="453">
        <f t="shared" si="25"/>
        <v>396.97999999999956</v>
      </c>
      <c r="I149" s="650"/>
      <c r="J149" s="525">
        <f>H149/DAY(B2)</f>
        <v>396.97999999999956</v>
      </c>
    </row>
    <row r="150" spans="1:10" ht="22.5">
      <c r="A150" s="835" t="s">
        <v>337</v>
      </c>
      <c r="B150" s="836"/>
      <c r="C150" s="837"/>
      <c r="D150" s="507" t="s">
        <v>130</v>
      </c>
      <c r="E150" s="448">
        <v>10850.83</v>
      </c>
      <c r="F150" s="448">
        <v>11065.7</v>
      </c>
      <c r="G150" s="728">
        <f t="shared" si="24"/>
        <v>214.8700000000008</v>
      </c>
      <c r="H150" s="453">
        <f t="shared" si="25"/>
        <v>214.8700000000008</v>
      </c>
      <c r="I150" s="650"/>
      <c r="J150" s="525">
        <f>H150/DAY(B2)</f>
        <v>214.8700000000008</v>
      </c>
    </row>
    <row r="151" spans="1:10" ht="22.5">
      <c r="A151" s="835" t="s">
        <v>338</v>
      </c>
      <c r="B151" s="836"/>
      <c r="C151" s="837"/>
      <c r="D151" s="527"/>
      <c r="E151" s="448">
        <v>85480</v>
      </c>
      <c r="F151" s="448">
        <v>85706</v>
      </c>
      <c r="G151" s="728">
        <f t="shared" ref="G151:G152" si="26">F151-E151</f>
        <v>226</v>
      </c>
      <c r="H151" s="453">
        <f t="shared" ref="H151:H153" si="27">G151</f>
        <v>226</v>
      </c>
      <c r="I151" s="650"/>
      <c r="J151" s="525">
        <f>H151/DAY(B2)</f>
        <v>226</v>
      </c>
    </row>
    <row r="152" spans="1:10" ht="22.5">
      <c r="A152" s="835" t="s">
        <v>339</v>
      </c>
      <c r="B152" s="836"/>
      <c r="C152" s="837"/>
      <c r="D152" s="527"/>
      <c r="E152" s="448">
        <v>1660</v>
      </c>
      <c r="F152" s="448">
        <v>1676.46</v>
      </c>
      <c r="G152" s="728">
        <f t="shared" si="26"/>
        <v>16.460000000000036</v>
      </c>
      <c r="H152" s="453">
        <f t="shared" si="27"/>
        <v>16.460000000000036</v>
      </c>
      <c r="I152" s="650"/>
      <c r="J152" s="525">
        <f>H152/DAY(B2)</f>
        <v>16.460000000000036</v>
      </c>
    </row>
    <row r="153" spans="1:10" ht="22.5">
      <c r="A153" s="786" t="s">
        <v>196</v>
      </c>
      <c r="B153" s="787"/>
      <c r="C153" s="788"/>
      <c r="D153" s="527"/>
      <c r="E153" s="449"/>
      <c r="F153" s="449"/>
      <c r="G153" s="735">
        <f>SUM(G138:G152)</f>
        <v>2351.470000000063</v>
      </c>
      <c r="H153" s="528">
        <f t="shared" si="27"/>
        <v>2351.470000000063</v>
      </c>
      <c r="I153" s="651">
        <f>G153-(G38+G52)</f>
        <v>731.20000000006621</v>
      </c>
      <c r="J153" s="529"/>
    </row>
    <row r="154" spans="1:10" ht="22.5">
      <c r="A154" s="838" t="s">
        <v>344</v>
      </c>
      <c r="B154" s="838"/>
      <c r="C154" s="838"/>
      <c r="D154" s="838"/>
      <c r="E154" s="838"/>
      <c r="F154" s="838"/>
      <c r="G154" s="838"/>
      <c r="H154" s="838"/>
      <c r="I154" s="838"/>
      <c r="J154" s="838"/>
    </row>
    <row r="155" spans="1:10" ht="27.75" customHeight="1">
      <c r="A155" s="783" t="s">
        <v>345</v>
      </c>
      <c r="B155" s="783"/>
      <c r="C155" s="783"/>
      <c r="D155" s="457"/>
      <c r="E155" s="712">
        <v>32385</v>
      </c>
      <c r="F155" s="645">
        <v>32945</v>
      </c>
      <c r="G155" s="728">
        <f t="shared" ref="G155:G158" si="28">F155-E155</f>
        <v>560</v>
      </c>
      <c r="H155" s="645"/>
      <c r="I155" s="645"/>
      <c r="J155" s="525">
        <f>H155/DAY(B2)</f>
        <v>0</v>
      </c>
    </row>
    <row r="156" spans="1:10" ht="25.5" customHeight="1">
      <c r="A156" s="783" t="s">
        <v>349</v>
      </c>
      <c r="B156" s="783"/>
      <c r="C156" s="783"/>
      <c r="D156" s="461"/>
      <c r="E156" s="442">
        <v>2736</v>
      </c>
      <c r="F156" s="645">
        <v>2788</v>
      </c>
      <c r="G156" s="728">
        <f t="shared" si="28"/>
        <v>52</v>
      </c>
      <c r="H156" s="460"/>
      <c r="I156" s="645"/>
      <c r="J156" s="525">
        <f>H156/DAY(B2)</f>
        <v>0</v>
      </c>
    </row>
    <row r="157" spans="1:10" ht="25.5" customHeight="1">
      <c r="A157" s="760" t="s">
        <v>363</v>
      </c>
      <c r="B157" s="761"/>
      <c r="C157" s="762"/>
      <c r="D157" s="401" t="s">
        <v>130</v>
      </c>
      <c r="E157" s="394">
        <v>4032</v>
      </c>
      <c r="F157" s="645">
        <v>4127.37</v>
      </c>
      <c r="G157" s="728">
        <f t="shared" si="28"/>
        <v>95.369999999999891</v>
      </c>
      <c r="H157" s="460"/>
      <c r="I157" s="645"/>
      <c r="J157" s="525"/>
    </row>
    <row r="158" spans="1:10" ht="25.5" customHeight="1">
      <c r="A158" s="760" t="s">
        <v>364</v>
      </c>
      <c r="B158" s="761"/>
      <c r="C158" s="762"/>
      <c r="D158" s="401" t="s">
        <v>130</v>
      </c>
      <c r="E158" s="442">
        <v>46.66</v>
      </c>
      <c r="F158" s="645">
        <v>46.66</v>
      </c>
      <c r="G158" s="728">
        <f t="shared" si="28"/>
        <v>0</v>
      </c>
      <c r="H158" s="460"/>
      <c r="I158" s="645"/>
      <c r="J158" s="525"/>
    </row>
    <row r="159" spans="1:10" ht="25.5" customHeight="1">
      <c r="A159" s="763"/>
      <c r="B159" s="764"/>
      <c r="C159" s="765"/>
      <c r="D159" s="461"/>
      <c r="E159" s="442"/>
      <c r="F159" s="645"/>
      <c r="G159" s="728"/>
      <c r="H159" s="460"/>
      <c r="I159" s="645"/>
      <c r="J159" s="525"/>
    </row>
    <row r="160" spans="1:10" ht="22.5">
      <c r="A160" s="774" t="s">
        <v>326</v>
      </c>
      <c r="B160" s="774"/>
      <c r="C160" s="774"/>
      <c r="D160" s="774"/>
      <c r="E160" s="774"/>
      <c r="F160" s="774"/>
      <c r="G160" s="774"/>
      <c r="H160" s="774"/>
      <c r="I160" s="774"/>
      <c r="J160" s="774"/>
    </row>
    <row r="161" spans="1:10" ht="22.5">
      <c r="A161" s="524" t="s">
        <v>92</v>
      </c>
      <c r="B161" s="450"/>
      <c r="C161" s="450"/>
      <c r="D161" s="451" t="s">
        <v>180</v>
      </c>
      <c r="E161" s="452">
        <v>472053.56</v>
      </c>
      <c r="F161" s="452">
        <v>472101.84</v>
      </c>
      <c r="G161" s="736">
        <f t="shared" ref="G161:G168" si="29">F161-E161</f>
        <v>48.28000000002794</v>
      </c>
      <c r="H161" s="395">
        <f t="shared" ref="H161:H168" si="30">G161</f>
        <v>48.28000000002794</v>
      </c>
      <c r="I161" s="650"/>
      <c r="J161" s="454">
        <f>H161/DAY(B2)</f>
        <v>48.28000000002794</v>
      </c>
    </row>
    <row r="162" spans="1:10" ht="22.5">
      <c r="A162" s="524" t="s">
        <v>93</v>
      </c>
      <c r="B162" s="450"/>
      <c r="C162" s="450"/>
      <c r="D162" s="451" t="s">
        <v>180</v>
      </c>
      <c r="E162" s="452">
        <v>88516.4</v>
      </c>
      <c r="F162" s="452">
        <v>88558.399999999994</v>
      </c>
      <c r="G162" s="736">
        <f t="shared" si="29"/>
        <v>42</v>
      </c>
      <c r="H162" s="395">
        <f t="shared" si="30"/>
        <v>42</v>
      </c>
      <c r="I162" s="650"/>
      <c r="J162" s="454">
        <f>H162/DAY(B2)</f>
        <v>42</v>
      </c>
    </row>
    <row r="163" spans="1:10" ht="22.5">
      <c r="A163" s="524" t="s">
        <v>197</v>
      </c>
      <c r="B163" s="450"/>
      <c r="C163" s="450"/>
      <c r="D163" s="451" t="s">
        <v>180</v>
      </c>
      <c r="E163" s="452">
        <v>79220.100000000006</v>
      </c>
      <c r="F163" s="452">
        <v>79251.5</v>
      </c>
      <c r="G163" s="736">
        <f t="shared" si="29"/>
        <v>31.399999999994179</v>
      </c>
      <c r="H163" s="395">
        <f t="shared" si="30"/>
        <v>31.399999999994179</v>
      </c>
      <c r="I163" s="650"/>
      <c r="J163" s="454">
        <f>H163/DAY(B2)</f>
        <v>31.399999999994179</v>
      </c>
    </row>
    <row r="164" spans="1:10" ht="22.5">
      <c r="A164" s="524" t="s">
        <v>197</v>
      </c>
      <c r="B164" s="450"/>
      <c r="C164" s="450"/>
      <c r="D164" s="451" t="s">
        <v>180</v>
      </c>
      <c r="E164" s="452">
        <v>4320</v>
      </c>
      <c r="F164" s="452">
        <v>4320.8</v>
      </c>
      <c r="G164" s="736">
        <f>F164-E164</f>
        <v>0.8000000000001819</v>
      </c>
      <c r="H164" s="395">
        <f t="shared" si="30"/>
        <v>0.8000000000001819</v>
      </c>
      <c r="I164" s="650"/>
      <c r="J164" s="454">
        <f>H164/DAY(B2)</f>
        <v>0.8000000000001819</v>
      </c>
    </row>
    <row r="165" spans="1:10" ht="22.5">
      <c r="A165" s="524" t="s">
        <v>309</v>
      </c>
      <c r="B165" s="450"/>
      <c r="C165" s="450"/>
      <c r="D165" s="451" t="s">
        <v>180</v>
      </c>
      <c r="E165" s="452">
        <v>29857.25</v>
      </c>
      <c r="F165" s="452">
        <v>29866.080000000002</v>
      </c>
      <c r="G165" s="736">
        <f t="shared" si="29"/>
        <v>8.8300000000017462</v>
      </c>
      <c r="H165" s="395">
        <f t="shared" si="30"/>
        <v>8.8300000000017462</v>
      </c>
      <c r="I165" s="650"/>
      <c r="J165" s="454">
        <f>H165/DAY(B2)</f>
        <v>8.8300000000017462</v>
      </c>
    </row>
    <row r="166" spans="1:10" ht="22.5">
      <c r="A166" s="775"/>
      <c r="B166" s="775"/>
      <c r="C166" s="434"/>
      <c r="D166" s="451" t="s">
        <v>180</v>
      </c>
      <c r="E166" s="442"/>
      <c r="F166" s="442"/>
      <c r="G166" s="736">
        <f t="shared" si="29"/>
        <v>0</v>
      </c>
      <c r="H166" s="395">
        <f t="shared" si="30"/>
        <v>0</v>
      </c>
      <c r="I166" s="442"/>
      <c r="J166" s="439"/>
    </row>
    <row r="167" spans="1:10" ht="22.5">
      <c r="A167" s="775"/>
      <c r="B167" s="775"/>
      <c r="C167" s="434"/>
      <c r="D167" s="451" t="s">
        <v>180</v>
      </c>
      <c r="E167" s="442"/>
      <c r="F167" s="442"/>
      <c r="G167" s="736">
        <f t="shared" si="29"/>
        <v>0</v>
      </c>
      <c r="H167" s="395">
        <f t="shared" si="30"/>
        <v>0</v>
      </c>
      <c r="I167" s="442"/>
      <c r="J167" s="439"/>
    </row>
    <row r="168" spans="1:10" ht="22.5">
      <c r="A168" s="775"/>
      <c r="B168" s="775"/>
      <c r="C168" s="434"/>
      <c r="D168" s="451" t="s">
        <v>180</v>
      </c>
      <c r="E168" s="442"/>
      <c r="F168" s="442"/>
      <c r="G168" s="736">
        <f t="shared" si="29"/>
        <v>0</v>
      </c>
      <c r="H168" s="395">
        <f t="shared" si="30"/>
        <v>0</v>
      </c>
      <c r="I168" s="442"/>
      <c r="J168" s="439"/>
    </row>
    <row r="169" spans="1:10" ht="22.5"/>
    <row r="170" spans="1:10" ht="22.5"/>
    <row r="171" spans="1:10" ht="22.5">
      <c r="A171" s="776" t="s">
        <v>330</v>
      </c>
      <c r="B171" s="777"/>
      <c r="C171" s="777"/>
      <c r="D171" s="777"/>
      <c r="E171" s="777"/>
      <c r="F171" s="777"/>
      <c r="G171" s="777"/>
      <c r="H171" s="777"/>
      <c r="I171" s="777"/>
      <c r="J171" s="778"/>
    </row>
    <row r="172" spans="1:10" ht="22.5">
      <c r="A172" s="772"/>
      <c r="B172" s="773"/>
      <c r="C172" s="455"/>
      <c r="D172" s="506"/>
      <c r="E172" s="442"/>
      <c r="F172" s="442"/>
      <c r="G172" s="734"/>
      <c r="H172" s="439"/>
      <c r="I172" s="442"/>
      <c r="J172" s="456">
        <f>H172/DAY(B2)</f>
        <v>0</v>
      </c>
    </row>
    <row r="173" spans="1:10" ht="22.5">
      <c r="A173" s="768" t="s">
        <v>209</v>
      </c>
      <c r="B173" s="769"/>
      <c r="C173" s="377"/>
      <c r="D173" s="506" t="s">
        <v>142</v>
      </c>
      <c r="E173" s="700">
        <v>8126</v>
      </c>
      <c r="F173" s="442">
        <v>8126</v>
      </c>
      <c r="G173" s="734">
        <f>F173-E173</f>
        <v>0</v>
      </c>
      <c r="H173" s="395">
        <f t="shared" ref="H173:H189" si="31">G173</f>
        <v>0</v>
      </c>
      <c r="I173" s="442"/>
      <c r="J173" s="456">
        <f>H173/DAY(B2)</f>
        <v>0</v>
      </c>
    </row>
    <row r="174" spans="1:10" ht="22.5">
      <c r="A174" s="768" t="s">
        <v>75</v>
      </c>
      <c r="B174" s="769"/>
      <c r="C174" s="377"/>
      <c r="D174" s="506" t="s">
        <v>142</v>
      </c>
      <c r="E174" s="699">
        <v>38615</v>
      </c>
      <c r="F174" s="645">
        <v>38626</v>
      </c>
      <c r="G174" s="734">
        <f t="shared" ref="G174:G175" si="32">F174-E174</f>
        <v>11</v>
      </c>
      <c r="H174" s="395">
        <f t="shared" si="31"/>
        <v>11</v>
      </c>
      <c r="I174" s="442"/>
      <c r="J174" s="456">
        <f>H174/DAY(B2)</f>
        <v>11</v>
      </c>
    </row>
    <row r="175" spans="1:10" ht="22.5">
      <c r="A175" s="768" t="s">
        <v>76</v>
      </c>
      <c r="B175" s="779"/>
      <c r="C175" s="769"/>
      <c r="D175" s="506" t="s">
        <v>142</v>
      </c>
      <c r="E175" s="442">
        <v>21813</v>
      </c>
      <c r="F175" s="442">
        <v>21823</v>
      </c>
      <c r="G175" s="734">
        <f t="shared" si="32"/>
        <v>10</v>
      </c>
      <c r="H175" s="395">
        <f t="shared" si="31"/>
        <v>10</v>
      </c>
      <c r="I175" s="442"/>
      <c r="J175" s="456"/>
    </row>
    <row r="176" spans="1:10" ht="22.5">
      <c r="A176" s="766" t="s">
        <v>196</v>
      </c>
      <c r="B176" s="767"/>
      <c r="C176" s="377"/>
      <c r="D176" s="506"/>
      <c r="E176" s="442"/>
      <c r="F176" s="442"/>
      <c r="G176" s="734">
        <f>SUM(G173:G175)</f>
        <v>21</v>
      </c>
      <c r="H176" s="395">
        <f t="shared" si="31"/>
        <v>21</v>
      </c>
      <c r="I176" s="442"/>
      <c r="J176" s="456">
        <f>H176/DAY(B2)</f>
        <v>21</v>
      </c>
    </row>
    <row r="177" spans="1:10" ht="22.5">
      <c r="A177" s="768" t="s">
        <v>77</v>
      </c>
      <c r="B177" s="769"/>
      <c r="C177" s="377"/>
      <c r="D177" s="506" t="s">
        <v>142</v>
      </c>
      <c r="E177" s="442"/>
      <c r="F177" s="442"/>
      <c r="G177" s="734"/>
      <c r="H177" s="395">
        <f t="shared" si="31"/>
        <v>0</v>
      </c>
      <c r="I177" s="442"/>
      <c r="J177" s="456">
        <f>H177/DAY(B2)</f>
        <v>0</v>
      </c>
    </row>
    <row r="178" spans="1:10" ht="22.5">
      <c r="A178" s="768" t="s">
        <v>210</v>
      </c>
      <c r="B178" s="769"/>
      <c r="C178" s="377"/>
      <c r="D178" s="506" t="s">
        <v>142</v>
      </c>
      <c r="E178" s="442">
        <v>81315</v>
      </c>
      <c r="F178" s="442">
        <v>81358</v>
      </c>
      <c r="G178" s="734">
        <f>F178-E178</f>
        <v>43</v>
      </c>
      <c r="H178" s="395">
        <f t="shared" si="31"/>
        <v>43</v>
      </c>
      <c r="I178" s="442"/>
      <c r="J178" s="456">
        <f>H178/DAY(B2)</f>
        <v>43</v>
      </c>
    </row>
    <row r="179" spans="1:10" ht="22.5">
      <c r="A179" s="768" t="s">
        <v>211</v>
      </c>
      <c r="B179" s="769"/>
      <c r="C179" s="377"/>
      <c r="D179" s="506" t="s">
        <v>142</v>
      </c>
      <c r="E179" s="699">
        <v>34803</v>
      </c>
      <c r="F179" s="442">
        <v>34832</v>
      </c>
      <c r="G179" s="734">
        <f t="shared" ref="G179:G180" si="33">F179-E179</f>
        <v>29</v>
      </c>
      <c r="H179" s="395">
        <f t="shared" si="31"/>
        <v>29</v>
      </c>
      <c r="I179" s="442"/>
      <c r="J179" s="456">
        <f>H179/DAY(B2)</f>
        <v>29</v>
      </c>
    </row>
    <row r="180" spans="1:10" ht="22.5">
      <c r="A180" s="768" t="s">
        <v>212</v>
      </c>
      <c r="B180" s="769"/>
      <c r="C180" s="377"/>
      <c r="D180" s="506" t="s">
        <v>142</v>
      </c>
      <c r="E180" s="699">
        <v>5702</v>
      </c>
      <c r="F180" s="442">
        <v>5705</v>
      </c>
      <c r="G180" s="734">
        <f t="shared" si="33"/>
        <v>3</v>
      </c>
      <c r="H180" s="395">
        <f t="shared" si="31"/>
        <v>3</v>
      </c>
      <c r="I180" s="442"/>
      <c r="J180" s="456">
        <f>H180/DAY(B2)</f>
        <v>3</v>
      </c>
    </row>
    <row r="181" spans="1:10" ht="22.5">
      <c r="A181" s="766" t="s">
        <v>108</v>
      </c>
      <c r="B181" s="767"/>
      <c r="C181" s="377"/>
      <c r="D181" s="506"/>
      <c r="E181" s="699"/>
      <c r="F181" s="442"/>
      <c r="G181" s="734">
        <f>SUM(G178:G180)</f>
        <v>75</v>
      </c>
      <c r="H181" s="395">
        <f t="shared" si="31"/>
        <v>75</v>
      </c>
      <c r="I181" s="442"/>
      <c r="J181" s="456">
        <f>H181/DAY(B2)</f>
        <v>75</v>
      </c>
    </row>
    <row r="182" spans="1:10" ht="21.95" customHeight="1">
      <c r="A182" s="768" t="s">
        <v>213</v>
      </c>
      <c r="B182" s="769"/>
      <c r="C182" s="377"/>
      <c r="D182" s="506"/>
      <c r="E182" s="442"/>
      <c r="F182" s="442"/>
      <c r="G182" s="734"/>
      <c r="H182" s="395">
        <f t="shared" si="31"/>
        <v>0</v>
      </c>
      <c r="I182" s="442"/>
      <c r="J182" s="456">
        <f>H182/DAY(B2)</f>
        <v>0</v>
      </c>
    </row>
    <row r="183" spans="1:10" ht="21.95" customHeight="1">
      <c r="A183" s="768" t="s">
        <v>214</v>
      </c>
      <c r="B183" s="769"/>
      <c r="C183" s="377"/>
      <c r="D183" s="506" t="s">
        <v>142</v>
      </c>
      <c r="E183" s="699">
        <v>15345</v>
      </c>
      <c r="F183" s="645">
        <v>15356</v>
      </c>
      <c r="G183" s="584">
        <f>F183-E183</f>
        <v>11</v>
      </c>
      <c r="H183" s="395">
        <f t="shared" si="31"/>
        <v>11</v>
      </c>
      <c r="I183" s="442"/>
      <c r="J183" s="456">
        <f>H183/DAY(B2)</f>
        <v>11</v>
      </c>
    </row>
    <row r="184" spans="1:10" ht="21.95" customHeight="1">
      <c r="A184" s="768" t="s">
        <v>215</v>
      </c>
      <c r="B184" s="769"/>
      <c r="C184" s="377"/>
      <c r="D184" s="506" t="s">
        <v>142</v>
      </c>
      <c r="E184" s="699">
        <v>10518</v>
      </c>
      <c r="F184" s="645">
        <v>10525</v>
      </c>
      <c r="G184" s="584">
        <f t="shared" ref="G184:G185" si="34">F184-E184</f>
        <v>7</v>
      </c>
      <c r="H184" s="395">
        <f t="shared" si="31"/>
        <v>7</v>
      </c>
      <c r="I184" s="442"/>
      <c r="J184" s="456">
        <f>H184/DAY(B2)</f>
        <v>7</v>
      </c>
    </row>
    <row r="185" spans="1:10" ht="22.5">
      <c r="A185" s="768" t="s">
        <v>216</v>
      </c>
      <c r="B185" s="769"/>
      <c r="C185" s="377"/>
      <c r="D185" s="506" t="s">
        <v>142</v>
      </c>
      <c r="E185" s="699"/>
      <c r="F185" s="645"/>
      <c r="G185" s="584">
        <f t="shared" si="34"/>
        <v>0</v>
      </c>
      <c r="H185" s="395">
        <f t="shared" si="31"/>
        <v>0</v>
      </c>
      <c r="I185" s="442"/>
      <c r="J185" s="458">
        <f>H185/DAY(B2)</f>
        <v>0</v>
      </c>
    </row>
    <row r="186" spans="1:10" ht="22.5">
      <c r="A186" s="766" t="s">
        <v>196</v>
      </c>
      <c r="B186" s="767"/>
      <c r="C186" s="377"/>
      <c r="D186" s="229"/>
      <c r="E186" s="699"/>
      <c r="F186" s="645"/>
      <c r="G186" s="584">
        <f>SUM(G183:G185)</f>
        <v>18</v>
      </c>
      <c r="H186" s="395">
        <f t="shared" si="31"/>
        <v>18</v>
      </c>
      <c r="I186" s="645"/>
      <c r="J186" s="458">
        <f>H186/DAY(B2)</f>
        <v>18</v>
      </c>
    </row>
    <row r="187" spans="1:10" ht="22.5">
      <c r="A187" s="768" t="s">
        <v>217</v>
      </c>
      <c r="B187" s="769"/>
      <c r="C187" s="377"/>
      <c r="D187" s="459" t="s">
        <v>142</v>
      </c>
      <c r="E187" s="460"/>
      <c r="F187" s="460"/>
      <c r="G187" s="584">
        <f>G62+G19</f>
        <v>118</v>
      </c>
      <c r="H187" s="395">
        <f t="shared" si="31"/>
        <v>118</v>
      </c>
      <c r="I187" s="645"/>
      <c r="J187" s="458">
        <f>H187/DAY(B2)</f>
        <v>118</v>
      </c>
    </row>
    <row r="188" spans="1:10" ht="22.5">
      <c r="A188" s="768" t="s">
        <v>218</v>
      </c>
      <c r="B188" s="769"/>
      <c r="C188" s="377"/>
      <c r="D188" s="459" t="s">
        <v>142</v>
      </c>
      <c r="E188" s="460"/>
      <c r="F188" s="460"/>
      <c r="G188" s="584">
        <f>G65+G66+G67+G69+G70</f>
        <v>119</v>
      </c>
      <c r="H188" s="395">
        <f t="shared" si="31"/>
        <v>119</v>
      </c>
      <c r="I188" s="645"/>
      <c r="J188" s="654"/>
    </row>
    <row r="189" spans="1:10" ht="22.5">
      <c r="A189" s="768" t="s">
        <v>219</v>
      </c>
      <c r="B189" s="769"/>
      <c r="C189" s="377"/>
      <c r="D189" s="459" t="s">
        <v>142</v>
      </c>
      <c r="E189" s="699"/>
      <c r="F189" s="645"/>
      <c r="G189" s="584">
        <f>G181</f>
        <v>75</v>
      </c>
      <c r="H189" s="395">
        <f t="shared" si="31"/>
        <v>75</v>
      </c>
      <c r="I189" s="645"/>
      <c r="J189" s="454">
        <f>H189/DAY(B2)</f>
        <v>75</v>
      </c>
    </row>
    <row r="190" spans="1:10" ht="27">
      <c r="A190" s="770" t="s">
        <v>360</v>
      </c>
      <c r="B190" s="771"/>
      <c r="C190" s="595"/>
      <c r="D190" s="474"/>
      <c r="E190" s="659"/>
      <c r="F190" s="596">
        <v>52955</v>
      </c>
      <c r="G190" s="737">
        <f>F190-E190</f>
        <v>52955</v>
      </c>
      <c r="H190" s="476"/>
      <c r="I190" s="596"/>
      <c r="J190" s="476"/>
    </row>
    <row r="191" spans="1:10" ht="22.5">
      <c r="A191" s="768"/>
      <c r="B191" s="769"/>
    </row>
    <row r="192" spans="1:10" ht="22.5"/>
    <row r="193" ht="22.5"/>
    <row r="194" ht="22.5"/>
    <row r="195" ht="22.5"/>
    <row r="196" ht="22.5"/>
    <row r="197" ht="22.5"/>
    <row r="198" ht="22.5"/>
    <row r="199" ht="22.5"/>
    <row r="200" ht="22.5"/>
    <row r="201" ht="22.5"/>
    <row r="202" ht="22.5"/>
    <row r="203" ht="22.5"/>
    <row r="204" ht="22.5"/>
    <row r="205" ht="22.5"/>
    <row r="206" ht="22.5"/>
    <row r="207" ht="22.5"/>
    <row r="208" ht="22.5"/>
    <row r="209" ht="22.5"/>
    <row r="210" ht="22.5"/>
    <row r="211" ht="22.5"/>
    <row r="212" ht="22.5"/>
    <row r="213" ht="22.5"/>
    <row r="214" ht="22.5"/>
    <row r="215" ht="22.5"/>
    <row r="216" ht="22.5"/>
    <row r="217" ht="22.5"/>
    <row r="218" ht="22.5"/>
    <row r="219" ht="22.5"/>
    <row r="220" ht="22.5"/>
    <row r="221" ht="22.5"/>
    <row r="222" ht="22.5"/>
    <row r="223" ht="22.5"/>
    <row r="224" ht="22.5"/>
    <row r="225" ht="22.5"/>
    <row r="226" ht="22.5"/>
    <row r="227" ht="22.5"/>
    <row r="228" ht="22.5"/>
    <row r="229" ht="22.5"/>
    <row r="230" ht="22.5"/>
    <row r="231" ht="22.5"/>
    <row r="232" ht="22.5"/>
    <row r="233" ht="22.5"/>
    <row r="234" ht="22.5"/>
    <row r="235" ht="22.5"/>
    <row r="236" ht="22.5"/>
    <row r="237" ht="22.5"/>
    <row r="238" ht="22.5"/>
    <row r="239" ht="22.5"/>
    <row r="240" ht="22.5"/>
    <row r="241" ht="22.5"/>
    <row r="242" ht="22.5"/>
    <row r="243" ht="22.5"/>
    <row r="244" ht="22.5"/>
    <row r="245" ht="22.5"/>
    <row r="246" ht="22.5"/>
    <row r="247" ht="22.5"/>
    <row r="248" ht="22.5"/>
    <row r="249" ht="22.5"/>
    <row r="250" ht="22.5"/>
    <row r="251" ht="22.5"/>
    <row r="252" ht="22.5"/>
    <row r="253" ht="22.5"/>
    <row r="254" ht="22.5"/>
    <row r="255" ht="22.5"/>
    <row r="256" ht="22.5"/>
    <row r="257" ht="22.5"/>
    <row r="258" ht="22.5"/>
    <row r="259" ht="22.5"/>
    <row r="260" ht="22.5"/>
    <row r="261" ht="22.5"/>
    <row r="262" ht="22.5"/>
    <row r="263" ht="22.5"/>
    <row r="264" ht="22.5"/>
    <row r="265" ht="22.5"/>
    <row r="266" ht="22.5"/>
    <row r="267" ht="22.5"/>
    <row r="268" ht="22.5"/>
    <row r="269" ht="22.5"/>
    <row r="270" ht="22.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73" zoomScale="55" zoomScaleSheetLayoutView="55" workbookViewId="0">
      <selection activeCell="F42" sqref="F42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>
      <c r="A2" s="191" t="s">
        <v>350</v>
      </c>
      <c r="B2" s="262">
        <v>44594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'1'!F7</f>
        <v>668445</v>
      </c>
      <c r="F7" s="95">
        <v>686494</v>
      </c>
      <c r="G7" s="112">
        <f>F7-E7</f>
        <v>18049</v>
      </c>
      <c r="H7" s="99">
        <f>G7+'1'!H7</f>
        <v>35313.770000000019</v>
      </c>
      <c r="I7" s="113">
        <f>'[1]1'!I7</f>
        <v>12000</v>
      </c>
      <c r="J7" s="175">
        <f>H7/DAY(B2)</f>
        <v>17656.885000000009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>
      <c r="A8" s="196" t="s">
        <v>131</v>
      </c>
      <c r="B8" s="197"/>
      <c r="C8" s="198"/>
      <c r="D8" s="224" t="s">
        <v>24</v>
      </c>
      <c r="E8" s="95">
        <f>'1'!F8</f>
        <v>726007</v>
      </c>
      <c r="F8" s="114">
        <v>744345</v>
      </c>
      <c r="G8" s="115">
        <f>F8-E8</f>
        <v>18338</v>
      </c>
      <c r="H8" s="99">
        <f>G8+'1'!H8</f>
        <v>35796.849999999977</v>
      </c>
      <c r="I8" s="116">
        <v>12000</v>
      </c>
      <c r="J8" s="175">
        <f>H8/DAY(B2)</f>
        <v>17898.424999999988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>
      <c r="A9" s="199" t="s">
        <v>132</v>
      </c>
      <c r="B9" s="200"/>
      <c r="C9" s="200"/>
      <c r="D9" s="151" t="s">
        <v>130</v>
      </c>
      <c r="E9" s="95">
        <f>'1'!F9</f>
        <v>297005.71000000002</v>
      </c>
      <c r="F9" s="353">
        <v>310735.19</v>
      </c>
      <c r="G9" s="112">
        <f t="shared" ref="G9:G11" si="0">F9-E9</f>
        <v>13729.479999999981</v>
      </c>
      <c r="H9" s="99">
        <f>G9+'1'!H9</f>
        <v>28481.340000000026</v>
      </c>
      <c r="I9" s="124">
        <f>I8-J8</f>
        <v>-5898.4249999999884</v>
      </c>
      <c r="J9" s="175">
        <f>H9/DAY(B2)</f>
        <v>14240.670000000013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'1'!F10</f>
        <v>107261.54</v>
      </c>
      <c r="F10" s="117">
        <v>111088.19</v>
      </c>
      <c r="G10" s="112">
        <f t="shared" si="0"/>
        <v>3826.6500000000087</v>
      </c>
      <c r="H10" s="99">
        <f>G10+'1'!H10</f>
        <v>5829.2200000000012</v>
      </c>
      <c r="I10" s="118"/>
      <c r="J10" s="175">
        <f>H10/DAY(B2)</f>
        <v>2914.6100000000006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'1'!F11</f>
        <v>37170</v>
      </c>
      <c r="F11" s="95">
        <v>37170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17556.12999999999</v>
      </c>
      <c r="H13" s="99">
        <f>G13+'1'!H13</f>
        <v>17556.12999999999</v>
      </c>
      <c r="I13" s="120">
        <f>G7-G13</f>
        <v>492.8700000000099</v>
      </c>
      <c r="J13" s="175">
        <f>H13/DAY(B2)</f>
        <v>8778.0649999999951</v>
      </c>
      <c r="K13" s="79"/>
      <c r="L13" s="66"/>
      <c r="N13" s="87"/>
      <c r="O13" s="71"/>
      <c r="P13" s="65">
        <v>822</v>
      </c>
    </row>
    <row r="14" spans="1:16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'1'!F15</f>
        <v>1907555.325</v>
      </c>
      <c r="F15" s="352">
        <v>1908538.47</v>
      </c>
      <c r="G15" s="356">
        <f>(F15-E15)</f>
        <v>983.14500000001863</v>
      </c>
      <c r="H15" s="99">
        <f>G15+'1'!H15</f>
        <v>1901.7029999999795</v>
      </c>
      <c r="I15" s="113">
        <v>800</v>
      </c>
      <c r="J15" s="175">
        <f>H15/DAY(B2)</f>
        <v>950.85149999998976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-150.85149999998976</v>
      </c>
      <c r="J16" s="176"/>
      <c r="K16" s="79"/>
      <c r="L16" s="66"/>
      <c r="N16" s="87"/>
      <c r="O16" s="71"/>
      <c r="P16" s="71">
        <f>G9+P12</f>
        <v>14427.479999999981</v>
      </c>
    </row>
    <row r="17" spans="1:16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14551.479999999981</v>
      </c>
    </row>
    <row r="18" spans="1:16" ht="27.75">
      <c r="A18" s="884" t="s">
        <v>141</v>
      </c>
      <c r="B18" s="885"/>
      <c r="C18" s="886"/>
      <c r="D18" s="151" t="s">
        <v>142</v>
      </c>
      <c r="E18" s="95">
        <f>'1'!F18</f>
        <v>18</v>
      </c>
      <c r="F18" s="117">
        <v>15</v>
      </c>
      <c r="G18" s="119">
        <f>F18*10</f>
        <v>150</v>
      </c>
      <c r="H18" s="99">
        <f>G18+'1'!H18</f>
        <v>330</v>
      </c>
      <c r="I18" s="113">
        <f>'[1]1'!I18</f>
        <v>65</v>
      </c>
      <c r="J18" s="175">
        <f>H18/DAY(B2)</f>
        <v>165</v>
      </c>
      <c r="K18" s="79"/>
      <c r="L18" s="66"/>
      <c r="N18" s="87"/>
      <c r="O18" s="71"/>
    </row>
    <row r="19" spans="1:16" ht="27.75">
      <c r="A19" s="884" t="s">
        <v>69</v>
      </c>
      <c r="B19" s="885"/>
      <c r="C19" s="886"/>
      <c r="D19" s="151" t="s">
        <v>142</v>
      </c>
      <c r="E19" s="95">
        <f>'1'!F19</f>
        <v>153946</v>
      </c>
      <c r="F19" s="353">
        <v>153979</v>
      </c>
      <c r="G19" s="112">
        <f>F19-E19</f>
        <v>33</v>
      </c>
      <c r="H19" s="99">
        <f>G19+'1'!H19</f>
        <v>88</v>
      </c>
      <c r="I19" s="354"/>
      <c r="J19" s="175">
        <f>H19/DAY(B2)</f>
        <v>44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51"/>
      <c r="G20" s="355">
        <f>G18+G19</f>
        <v>183</v>
      </c>
      <c r="H20" s="99">
        <f>G20+'1'!H20</f>
        <v>418</v>
      </c>
      <c r="I20" s="336">
        <f>I18-J20</f>
        <v>-144</v>
      </c>
      <c r="J20" s="175">
        <f>H20/DAY(B2)</f>
        <v>209</v>
      </c>
      <c r="K20" s="79"/>
      <c r="L20" s="66"/>
      <c r="N20" s="87"/>
      <c r="O20" s="71"/>
    </row>
    <row r="21" spans="1:16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18338</v>
      </c>
      <c r="F27" s="136">
        <v>9</v>
      </c>
      <c r="G27" s="137">
        <f>E27*F27</f>
        <v>165042</v>
      </c>
      <c r="H27" s="99">
        <f>G27+'1'!H27</f>
        <v>322171.64999999979</v>
      </c>
      <c r="I27" s="138"/>
      <c r="J27" s="175">
        <f>H27/DAY(B2)</f>
        <v>161085.8249999999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983.14500000001863</v>
      </c>
      <c r="F28" s="136">
        <v>52</v>
      </c>
      <c r="G28" s="137">
        <f t="shared" ref="G28:G31" si="2">E28*F28</f>
        <v>51123.540000000969</v>
      </c>
      <c r="H28" s="99">
        <f>G28+'1'!H28</f>
        <v>98888.555999998935</v>
      </c>
      <c r="I28" s="140"/>
      <c r="J28" s="175">
        <f>H28/DAY(B2)</f>
        <v>49444.277999999467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33</v>
      </c>
      <c r="F30" s="136">
        <v>146</v>
      </c>
      <c r="G30" s="137">
        <f t="shared" si="2"/>
        <v>4818</v>
      </c>
      <c r="H30" s="99">
        <f>G30+'1'!H30</f>
        <v>12848</v>
      </c>
      <c r="I30" s="140"/>
      <c r="J30" s="175">
        <f>H30/DAY(B2)</f>
        <v>6424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 t="shared" si="2"/>
        <v>12000</v>
      </c>
      <c r="H31" s="99">
        <f>G31+'1'!H31</f>
        <v>26400</v>
      </c>
      <c r="I31" s="140"/>
      <c r="J31" s="175">
        <f>H31/DAY(B2)</f>
        <v>13200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232983.54000000097</v>
      </c>
      <c r="H32" s="99">
        <f>G32+'1'!H32</f>
        <v>460308.20599999873</v>
      </c>
      <c r="I32" s="144"/>
      <c r="J32" s="175">
        <f>H32/DAY(B2)</f>
        <v>230154.10299999936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'1'!F35</f>
        <v>33251</v>
      </c>
      <c r="F35" s="145">
        <v>34639.31</v>
      </c>
      <c r="G35" s="112">
        <f t="shared" ref="G35:G46" si="3">F35-E35</f>
        <v>1388.3099999999977</v>
      </c>
      <c r="H35" s="99">
        <f>G35+'1'!H35</f>
        <v>2634.3299999999981</v>
      </c>
      <c r="I35" s="95"/>
      <c r="J35" s="175">
        <f>H35/DAY(B2)</f>
        <v>1317.1649999999991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'1'!F36</f>
        <v>44169.5</v>
      </c>
      <c r="F36" s="145">
        <v>44981</v>
      </c>
      <c r="G36" s="112">
        <f t="shared" si="3"/>
        <v>811.5</v>
      </c>
      <c r="H36" s="99">
        <f>G36+'1'!H36</f>
        <v>1522.260000000002</v>
      </c>
      <c r="I36" s="95"/>
      <c r="J36" s="175">
        <f>H36/DAY(B2)</f>
        <v>761.13000000000102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'1'!F37</f>
        <v>36979.199999999997</v>
      </c>
      <c r="F37" s="145">
        <v>38526.300000000003</v>
      </c>
      <c r="G37" s="112">
        <f t="shared" si="3"/>
        <v>1547.1000000000058</v>
      </c>
      <c r="H37" s="99">
        <f>G37+'1'!H37</f>
        <v>3101.2100000000064</v>
      </c>
      <c r="I37" s="95"/>
      <c r="J37" s="175">
        <f>H37/DAY(B2)</f>
        <v>1550.6050000000032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'1'!F38</f>
        <v>39996.699999999997</v>
      </c>
      <c r="F38" s="108">
        <v>41755.49</v>
      </c>
      <c r="G38" s="112">
        <f t="shared" si="3"/>
        <v>1758.7900000000009</v>
      </c>
      <c r="H38" s="99">
        <f>G38+'1'!H38</f>
        <v>3379.0599999999977</v>
      </c>
      <c r="I38" s="95"/>
      <c r="J38" s="175">
        <f>H38/DAY(B2)</f>
        <v>1689.5299999999988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'1'!F39</f>
        <v>61782.879999999997</v>
      </c>
      <c r="F39" s="145">
        <v>64411.1</v>
      </c>
      <c r="G39" s="112">
        <f t="shared" si="3"/>
        <v>2628.2200000000012</v>
      </c>
      <c r="H39" s="99">
        <f>G39+'1'!H39</f>
        <v>5237.8099999999977</v>
      </c>
      <c r="I39" s="95"/>
      <c r="J39" s="175">
        <f>H39/DAY(B2)</f>
        <v>2618.9049999999988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v>61</v>
      </c>
      <c r="F40" s="145">
        <v>61</v>
      </c>
      <c r="G40" s="112">
        <f t="shared" si="3"/>
        <v>0</v>
      </c>
      <c r="H40" s="99">
        <f>G40+'1'!H40</f>
        <v>688.73999999999796</v>
      </c>
      <c r="I40" s="95"/>
      <c r="J40" s="175">
        <f>H40/DAY(B2)</f>
        <v>344.36999999999898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'1'!F42</f>
        <v>104117.53</v>
      </c>
      <c r="F42" s="145">
        <v>106463.85</v>
      </c>
      <c r="G42" s="112">
        <f t="shared" si="3"/>
        <v>2346.320000000007</v>
      </c>
      <c r="H42" s="99">
        <f>G42+'1'!H42</f>
        <v>6334.1100000000006</v>
      </c>
      <c r="I42" s="95"/>
      <c r="J42" s="175">
        <f>H42/DAY(B2)</f>
        <v>3167.0550000000003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'1'!F43</f>
        <v>116753.53</v>
      </c>
      <c r="F43" s="145">
        <v>118750.69</v>
      </c>
      <c r="G43" s="112">
        <f t="shared" si="3"/>
        <v>1997.1600000000035</v>
      </c>
      <c r="H43" s="99">
        <f>G43+'1'!H43</f>
        <v>3899.0899999999965</v>
      </c>
      <c r="I43" s="95"/>
      <c r="J43" s="175">
        <f>H43/DAY(B2)</f>
        <v>1949.5449999999983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12477.400000000016</v>
      </c>
      <c r="H47" s="99">
        <f>G47+'1'!H47</f>
        <v>26796.609999999997</v>
      </c>
      <c r="I47" s="95"/>
      <c r="J47" s="175">
        <f>H47/DAY(B2)</f>
        <v>13398.304999999998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'1'!F49</f>
        <v>25935.27</v>
      </c>
      <c r="F49" s="145">
        <v>26982</v>
      </c>
      <c r="G49" s="112">
        <f t="shared" ref="G49:G58" si="4">F49-E49</f>
        <v>1046.7299999999996</v>
      </c>
      <c r="H49" s="99">
        <f>G49+'1'!H49</f>
        <v>1985.8100000000013</v>
      </c>
      <c r="I49" s="95"/>
      <c r="J49" s="175">
        <f>H49/DAY(B2)</f>
        <v>992.90500000000065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'1'!F50</f>
        <v>57325.55</v>
      </c>
      <c r="F50" s="145">
        <v>58313.08</v>
      </c>
      <c r="G50" s="112">
        <f t="shared" si="4"/>
        <v>987.52999999999884</v>
      </c>
      <c r="H50" s="99">
        <f>G50+'1'!H50</f>
        <v>1926.4500000000044</v>
      </c>
      <c r="I50" s="95"/>
      <c r="J50" s="175">
        <f>H50/DAY(B2)</f>
        <v>963.22500000000218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'1'!F54</f>
        <v>5147.42</v>
      </c>
      <c r="F54" s="145">
        <v>5303.73</v>
      </c>
      <c r="G54" s="112">
        <f t="shared" si="4"/>
        <v>156.30999999999949</v>
      </c>
      <c r="H54" s="99">
        <f>G54+'1'!H54</f>
        <v>156.30999999999949</v>
      </c>
      <c r="I54" s="95"/>
      <c r="J54" s="175">
        <f>H54/DAY(B2)</f>
        <v>78.154999999999745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'1'!F55</f>
        <v>74366.11</v>
      </c>
      <c r="F55" s="145">
        <v>75489.399999999994</v>
      </c>
      <c r="G55" s="112">
        <f t="shared" si="4"/>
        <v>1123.2899999999936</v>
      </c>
      <c r="H55" s="99">
        <f>G55+'1'!H55</f>
        <v>1123.2899999999936</v>
      </c>
      <c r="I55" s="95"/>
      <c r="J55" s="175">
        <f>H55/DAY(B2)</f>
        <v>561.6449999999968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'1'!F58</f>
        <v>4983.34</v>
      </c>
      <c r="F58" s="145">
        <v>5181.79</v>
      </c>
      <c r="G58" s="112">
        <f t="shared" si="4"/>
        <v>198.44999999999982</v>
      </c>
      <c r="H58" s="99">
        <f>G58+'1'!H58</f>
        <v>385.57999999999993</v>
      </c>
      <c r="I58" s="95"/>
      <c r="J58" s="175">
        <f>H58/DAY(B2)</f>
        <v>192.78999999999996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3512.3099999999913</v>
      </c>
      <c r="H59" s="99">
        <f>G59+'1'!H59</f>
        <v>5577.4399999999987</v>
      </c>
      <c r="I59" s="95">
        <f>G7-G60</f>
        <v>2059.2899999999936</v>
      </c>
      <c r="J59" s="175">
        <f>H59/DAY(B2)</f>
        <v>2788.7199999999993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15989.710000000006</v>
      </c>
      <c r="H60" s="99">
        <f>G60+'1'!H60</f>
        <v>32374.049999999996</v>
      </c>
      <c r="I60" s="95">
        <f>G13-G60</f>
        <v>1566.4199999999837</v>
      </c>
      <c r="J60" s="175">
        <f>H60/DAY(B2)</f>
        <v>16187.024999999998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'1'!F62</f>
        <v>269579</v>
      </c>
      <c r="F62" s="122">
        <v>269684</v>
      </c>
      <c r="G62" s="112">
        <f t="shared" ref="G62:G63" si="5">F62-E62</f>
        <v>105</v>
      </c>
      <c r="H62" s="99">
        <f>G62+'1'!H62</f>
        <v>168</v>
      </c>
      <c r="I62" s="118"/>
      <c r="J62" s="175">
        <f>H62/DAY(B2)</f>
        <v>84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'1'!F63</f>
        <v>215929</v>
      </c>
      <c r="F63" s="122">
        <v>216088</v>
      </c>
      <c r="G63" s="112">
        <f t="shared" si="5"/>
        <v>159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'1'!F64</f>
        <v>0</v>
      </c>
      <c r="F64" s="122"/>
      <c r="G64" s="112">
        <f>G62+G63</f>
        <v>264</v>
      </c>
      <c r="H64" s="99">
        <f>G64+'1'!H64</f>
        <v>459</v>
      </c>
      <c r="I64" s="118"/>
      <c r="J64" s="175">
        <f>H64/DAY(B2)</f>
        <v>229.5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'1'!F65</f>
        <v>434994</v>
      </c>
      <c r="F65" s="122">
        <v>435065</v>
      </c>
      <c r="G65" s="112">
        <f t="shared" ref="G65:G70" si="6">F65-E65</f>
        <v>71</v>
      </c>
      <c r="H65" s="99">
        <f>G65+'1'!H65</f>
        <v>142</v>
      </c>
      <c r="I65" s="118"/>
      <c r="J65" s="175">
        <f>H65/DAY(B2)</f>
        <v>71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'1'!F66</f>
        <v>107760</v>
      </c>
      <c r="F66" s="122">
        <v>107780</v>
      </c>
      <c r="G66" s="112">
        <f t="shared" si="6"/>
        <v>20</v>
      </c>
      <c r="H66" s="99">
        <f>G66+'1'!H66</f>
        <v>37</v>
      </c>
      <c r="I66" s="118"/>
      <c r="J66" s="175">
        <f>H66/DAY(B2)</f>
        <v>18.5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'1'!F67</f>
        <v>104662</v>
      </c>
      <c r="F67" s="122">
        <v>104682</v>
      </c>
      <c r="G67" s="112">
        <f t="shared" si="6"/>
        <v>20</v>
      </c>
      <c r="H67" s="99">
        <f>G67+'1'!H67</f>
        <v>34</v>
      </c>
      <c r="I67" s="118"/>
      <c r="J67" s="175">
        <f>H67/DAY(B2)</f>
        <v>17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'1'!F68</f>
        <v>157736</v>
      </c>
      <c r="F68" s="122">
        <v>157766</v>
      </c>
      <c r="G68" s="112">
        <f t="shared" si="6"/>
        <v>30</v>
      </c>
      <c r="H68" s="99">
        <f>G68+'1'!H68</f>
        <v>69</v>
      </c>
      <c r="I68" s="118"/>
      <c r="J68" s="175">
        <f>H68/DAY(B2)</f>
        <v>34.5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'1'!F69</f>
        <v>10550</v>
      </c>
      <c r="F69" s="122">
        <v>10569</v>
      </c>
      <c r="G69" s="236">
        <f t="shared" si="6"/>
        <v>19</v>
      </c>
      <c r="H69" s="99">
        <f>G69+'1'!H69</f>
        <v>28</v>
      </c>
      <c r="I69" s="118"/>
      <c r="J69" s="175">
        <f>H69/DAY(B2)</f>
        <v>14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'1'!F70</f>
        <v>8128</v>
      </c>
      <c r="F70" s="122">
        <v>8138</v>
      </c>
      <c r="G70" s="112">
        <f t="shared" si="6"/>
        <v>10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170</v>
      </c>
      <c r="H71" s="99">
        <f>G71+'1'!H71</f>
        <v>328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'1'!F74</f>
        <v>901620.68</v>
      </c>
      <c r="F74" s="123">
        <v>901931.71600000001</v>
      </c>
      <c r="G74" s="112">
        <f t="shared" ref="G74:G78" si="7">F74-E74</f>
        <v>311.03599999996368</v>
      </c>
      <c r="H74" s="99">
        <f>G74+'1'!H74</f>
        <v>625.56700000003912</v>
      </c>
      <c r="I74" s="154"/>
      <c r="J74" s="175">
        <f>H74/DAY(B2)</f>
        <v>312.78350000001956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'1'!F76</f>
        <v>170066.06</v>
      </c>
      <c r="F76" s="123">
        <v>170181.77</v>
      </c>
      <c r="G76" s="112">
        <f t="shared" si="7"/>
        <v>115.70999999999185</v>
      </c>
      <c r="H76" s="99">
        <f>G76+'1'!H76</f>
        <v>206.76999999998952</v>
      </c>
      <c r="I76" s="154"/>
      <c r="J76" s="175">
        <f>H76/DAY(B2)</f>
        <v>103.38499999999476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'1'!F77</f>
        <v>41331.9</v>
      </c>
      <c r="F77" s="123">
        <v>41381.1</v>
      </c>
      <c r="G77" s="112">
        <f t="shared" si="7"/>
        <v>49.19999999999709</v>
      </c>
      <c r="H77" s="99">
        <f>G77+'1'!H77</f>
        <v>78.900000000001455</v>
      </c>
      <c r="I77" s="154"/>
      <c r="J77" s="175">
        <f>H77/DAY(B2)</f>
        <v>39.450000000000728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'1'!F78</f>
        <v>9516</v>
      </c>
      <c r="F78" s="123">
        <v>9517.7000000000007</v>
      </c>
      <c r="G78" s="112">
        <f t="shared" si="7"/>
        <v>1.7000000000007276</v>
      </c>
      <c r="H78" s="99">
        <f>G78+'1'!H78</f>
        <v>1.7000000000007276</v>
      </c>
      <c r="I78" s="118"/>
      <c r="J78" s="175">
        <f>H78/DAY(B2)</f>
        <v>0.8500000000003638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'1'!F79</f>
        <v>0</v>
      </c>
      <c r="F79" s="123"/>
      <c r="G79" s="112">
        <f>G15-SUM(G74:G78)</f>
        <v>505.49900000006528</v>
      </c>
      <c r="H79" s="99">
        <f>G79+'1'!H79</f>
        <v>988.76599999994869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983.14500000001863</v>
      </c>
      <c r="H80" s="99">
        <f>G80+'1'!H80</f>
        <v>983.14500000001863</v>
      </c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'1'!F85</f>
        <v>2286</v>
      </c>
      <c r="F85" s="164">
        <v>2302</v>
      </c>
      <c r="G85" s="112">
        <f t="shared" si="8"/>
        <v>16</v>
      </c>
      <c r="H85" s="99">
        <f>G85+'1'!H85</f>
        <v>40</v>
      </c>
      <c r="I85" s="118">
        <f>G82+G83+G84+G85</f>
        <v>16</v>
      </c>
      <c r="J85" s="175">
        <f>H85/DAY(B2)</f>
        <v>20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'1'!F86</f>
        <v>43442</v>
      </c>
      <c r="F86" s="164">
        <v>43450</v>
      </c>
      <c r="G86" s="112">
        <f t="shared" si="8"/>
        <v>8</v>
      </c>
      <c r="H86" s="99">
        <f>G86+'1'!H86</f>
        <v>8</v>
      </c>
      <c r="I86" s="118"/>
      <c r="J86" s="175">
        <f>H86/DAY(B2)</f>
        <v>4</v>
      </c>
      <c r="O86" s="71">
        <f>24-8</f>
        <v>16</v>
      </c>
    </row>
    <row r="87" spans="1:15" ht="27.7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5.0000000002910383E-2</v>
      </c>
      <c r="I87" s="118"/>
      <c r="J87" s="175">
        <f>H87/DAY(B2)</f>
        <v>2.5000000001455192E-2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'1'!F88</f>
        <v>24063.43</v>
      </c>
      <c r="F88" s="164">
        <v>24063.43</v>
      </c>
      <c r="G88" s="112">
        <f t="shared" si="8"/>
        <v>0</v>
      </c>
      <c r="H88" s="99">
        <f>G88+'1'!H88</f>
        <v>0</v>
      </c>
      <c r="I88" s="118">
        <f>G86+G87+G88</f>
        <v>8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'1'!F89</f>
        <v>25900.61</v>
      </c>
      <c r="F89" s="164">
        <v>25910</v>
      </c>
      <c r="G89" s="112">
        <f t="shared" si="8"/>
        <v>9.3899999999994179</v>
      </c>
      <c r="H89" s="99">
        <f>G89+'1'!H89</f>
        <v>18.880000000001019</v>
      </c>
      <c r="I89" s="118"/>
      <c r="J89" s="175">
        <f>H89/DAY(B2)</f>
        <v>9.4400000000005093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'1'!F90</f>
        <v>71165.37</v>
      </c>
      <c r="F90" s="164">
        <v>71165.37</v>
      </c>
      <c r="G90" s="112">
        <f t="shared" si="8"/>
        <v>0</v>
      </c>
      <c r="H90" s="99">
        <f>G90+'1'!H90</f>
        <v>2.0499999999883585</v>
      </c>
      <c r="I90" s="118">
        <f>G89+G90</f>
        <v>9.3899999999994179</v>
      </c>
      <c r="J90" s="175">
        <f>H90/DAY(B2)</f>
        <v>1.0249999999941792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'1'!F91</f>
        <v>3262.86</v>
      </c>
      <c r="F91" s="122">
        <v>3274.32</v>
      </c>
      <c r="G91" s="112">
        <f t="shared" si="8"/>
        <v>11.460000000000036</v>
      </c>
      <c r="H91" s="99">
        <f>G91+'1'!H91</f>
        <v>23.230000000000018</v>
      </c>
      <c r="I91" s="165"/>
      <c r="J91" s="175">
        <f>H91/DAY(B2)</f>
        <v>11.615000000000009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4432.2000000000007</v>
      </c>
      <c r="H94" s="99">
        <f>G94+'1'!H94</f>
        <v>8519.2299999999959</v>
      </c>
      <c r="I94" s="118"/>
      <c r="J94" s="175">
        <f>H94/DAY(B2)</f>
        <v>4259.614999999998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0.2455648512382958</v>
      </c>
      <c r="H95" s="99">
        <f>G95+'1'!H95</f>
        <v>0.48229143375286104</v>
      </c>
      <c r="I95" s="167"/>
      <c r="J95" s="175">
        <f>H95/DAY(B2)</f>
        <v>0.24114571687643052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3469.6100000000006</v>
      </c>
      <c r="H96" s="99">
        <f>G96+'1'!H96</f>
        <v>7457.3999999999942</v>
      </c>
      <c r="I96" s="118"/>
      <c r="J96" s="175">
        <f>H96/DAY(B2)</f>
        <v>3728.6999999999971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0.19223281068203227</v>
      </c>
      <c r="H97" s="99">
        <f>G97+'1'!H97</f>
        <v>0.42321127144345505</v>
      </c>
      <c r="I97" s="167"/>
      <c r="J97" s="175">
        <f>H97/DAY(B2)</f>
        <v>0.21160563572172753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2628.2200000000012</v>
      </c>
      <c r="H98" s="99">
        <f>G98+'1'!H98</f>
        <v>5237.8099999999977</v>
      </c>
      <c r="I98" s="168"/>
      <c r="J98" s="175">
        <f>H98/DAY(B2)</f>
        <v>2618.9049999999988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0.14561582359133476</v>
      </c>
      <c r="H99" s="99">
        <f>G99+'1'!H99</f>
        <v>0.29676698285960151</v>
      </c>
      <c r="I99" s="168"/>
      <c r="J99" s="175">
        <f>H99/DAY(B2)</f>
        <v>0.14838349142980076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1758.7900000000009</v>
      </c>
      <c r="H100" s="99">
        <f>G100+'1'!H100</f>
        <v>3379.0599999999977</v>
      </c>
      <c r="I100" s="118"/>
      <c r="J100" s="175">
        <f>H100/DAY(B2)</f>
        <v>1689.5299999999988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9.7445287827580523E-2</v>
      </c>
      <c r="H101" s="99">
        <f>G101+'1'!H101</f>
        <v>0.19129362753902729</v>
      </c>
      <c r="I101" s="168"/>
      <c r="J101" s="175">
        <f>H101/DAY(B2)</f>
        <v>9.5646813769513644E-2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1799.0299999999988</v>
      </c>
      <c r="H102" s="99">
        <f>G102+'1'!H102</f>
        <v>3448.7100000000064</v>
      </c>
      <c r="I102" s="168"/>
      <c r="J102" s="175">
        <f>H102/DAY(B2)</f>
        <v>1724.3550000000032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9.9674774225718812E-2</v>
      </c>
      <c r="H103" s="99">
        <f>G103+'1'!H103</f>
        <v>0.19522658290895095</v>
      </c>
      <c r="I103" s="118"/>
      <c r="J103" s="175">
        <f>H103/DAY(B2)</f>
        <v>9.7613291454475476E-2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1547.1000000000058</v>
      </c>
      <c r="H104" s="99">
        <f>G104+'1'!H104</f>
        <v>3101.2100000000064</v>
      </c>
      <c r="I104" s="118"/>
      <c r="J104" s="175">
        <f>H104/DAY(B2)</f>
        <v>1550.6050000000032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8.5716660202781639E-2</v>
      </c>
      <c r="H105" s="99">
        <f>G105+'1'!H105</f>
        <v>0.17573291874546704</v>
      </c>
      <c r="I105" s="187"/>
      <c r="J105" s="188">
        <f>H105/DAY(B2)</f>
        <v>8.7866459372733519E-2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'1'!F112</f>
        <v>58132</v>
      </c>
      <c r="F112" s="237">
        <v>58208.63</v>
      </c>
      <c r="G112" s="112">
        <f t="shared" ref="G112:G123" si="9">F112-E112</f>
        <v>76.629999999997381</v>
      </c>
      <c r="H112" s="99">
        <f>G112+'1'!H112</f>
        <v>154.62999999999738</v>
      </c>
      <c r="I112" s="165"/>
      <c r="J112" s="328">
        <f>H112/DAY(B2)</f>
        <v>77.31499999999869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'1'!F113</f>
        <v>46884.44</v>
      </c>
      <c r="F113" s="237">
        <v>47363.9</v>
      </c>
      <c r="G113" s="112">
        <f t="shared" si="9"/>
        <v>479.45999999999913</v>
      </c>
      <c r="H113" s="99">
        <f>G113+'1'!H113</f>
        <v>963.01000000000204</v>
      </c>
      <c r="I113" s="165"/>
      <c r="J113" s="328">
        <f>H113/DAY(B2)</f>
        <v>481.50500000000102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'1'!F114</f>
        <v>33421.300000000003</v>
      </c>
      <c r="F114" s="237">
        <v>33745.300000000003</v>
      </c>
      <c r="G114" s="112">
        <f t="shared" si="9"/>
        <v>324</v>
      </c>
      <c r="H114" s="99">
        <f>G114+'1'!H114</f>
        <v>585.30000000000291</v>
      </c>
      <c r="I114" s="165"/>
      <c r="J114" s="328">
        <f>H114/DAY(B2)</f>
        <v>292.65000000000146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'1'!F115</f>
        <v>9103.4500000000007</v>
      </c>
      <c r="F115" s="237">
        <v>9114.76</v>
      </c>
      <c r="G115" s="112">
        <f t="shared" si="9"/>
        <v>11.309999999999491</v>
      </c>
      <c r="H115" s="99">
        <f>G115+'1'!H115</f>
        <v>20.110000000000582</v>
      </c>
      <c r="I115" s="165"/>
      <c r="J115" s="328">
        <f>H115/DAY(B2)</f>
        <v>10.055000000000291</v>
      </c>
    </row>
    <row r="116" spans="1:18" ht="29.25" customHeight="1">
      <c r="A116" s="870" t="s">
        <v>96</v>
      </c>
      <c r="B116" s="871"/>
      <c r="C116" s="872"/>
      <c r="D116" s="67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'1'!F117</f>
        <v>3359.77</v>
      </c>
      <c r="F117" s="237">
        <v>3395.23</v>
      </c>
      <c r="G117" s="112">
        <f t="shared" si="9"/>
        <v>35.460000000000036</v>
      </c>
      <c r="H117" s="99">
        <f>G117+'1'!H117</f>
        <v>57.2800000000002</v>
      </c>
      <c r="I117" s="165"/>
      <c r="J117" s="328">
        <f>H117/DAY(B2)</f>
        <v>28.6400000000001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'1'!F118</f>
        <v>252762.81</v>
      </c>
      <c r="F118" s="237">
        <v>253080.85</v>
      </c>
      <c r="G118" s="112">
        <f t="shared" si="9"/>
        <v>318.04000000000815</v>
      </c>
      <c r="H118" s="99">
        <f>G118+'1'!H118</f>
        <v>628.54000000000815</v>
      </c>
      <c r="I118" s="165"/>
      <c r="J118" s="328">
        <f>H118/DAY(B2)</f>
        <v>314.27000000000407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'1'!F119</f>
        <v>258589.7</v>
      </c>
      <c r="F119" s="237">
        <v>259012.89</v>
      </c>
      <c r="G119" s="112">
        <f t="shared" si="9"/>
        <v>423.19000000000233</v>
      </c>
      <c r="H119" s="99">
        <f>G119+'1'!H119</f>
        <v>864.34000000002561</v>
      </c>
      <c r="I119" s="165"/>
      <c r="J119" s="328">
        <f>H119/DAY(B2)</f>
        <v>432.17000000001281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'1'!F120</f>
        <v>43373.75</v>
      </c>
      <c r="F120" s="237">
        <v>43790.96</v>
      </c>
      <c r="G120" s="112">
        <f t="shared" si="9"/>
        <v>417.20999999999913</v>
      </c>
      <c r="H120" s="99">
        <f>G120+'1'!H120</f>
        <v>831.34999999999854</v>
      </c>
      <c r="I120" s="165"/>
      <c r="J120" s="328">
        <f>H120/DAY(B2)</f>
        <v>415.67499999999927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'1'!F121</f>
        <v>398755.31</v>
      </c>
      <c r="F121" s="237">
        <v>399468.55</v>
      </c>
      <c r="G121" s="112">
        <f t="shared" si="9"/>
        <v>713.23999999999069</v>
      </c>
      <c r="H121" s="99">
        <f>G121+'1'!H121</f>
        <v>1434.1199999999953</v>
      </c>
      <c r="I121" s="165"/>
      <c r="J121" s="328">
        <f>H121/DAY(B2)</f>
        <v>717.05999999999767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'1'!F122</f>
        <v>126392.21</v>
      </c>
      <c r="F122" s="237">
        <v>126606.82</v>
      </c>
      <c r="G122" s="112">
        <f t="shared" si="9"/>
        <v>214.61000000000058</v>
      </c>
      <c r="H122" s="99">
        <f>G122+'1'!H122</f>
        <v>420.64000000001397</v>
      </c>
      <c r="I122" s="165"/>
      <c r="J122" s="328">
        <f>H122/DAY(B2)</f>
        <v>210.32000000000698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'1'!F123</f>
        <v>154308.20000000001</v>
      </c>
      <c r="F123" s="237">
        <v>154565.59</v>
      </c>
      <c r="G123" s="112">
        <f t="shared" si="9"/>
        <v>257.38999999998487</v>
      </c>
      <c r="H123" s="99">
        <f>G123+'1'!H123</f>
        <v>518.63999999998487</v>
      </c>
      <c r="I123" s="165"/>
      <c r="J123" s="328">
        <f>H123/DAY(B2)</f>
        <v>259.31999999999243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3270.5399999999818</v>
      </c>
      <c r="H125" s="156"/>
      <c r="I125" s="327">
        <f>G125-(G39+G53)</f>
        <v>642.31999999998061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'1'!F128</f>
        <v>48067</v>
      </c>
      <c r="F128" s="165">
        <v>48382.55</v>
      </c>
      <c r="G128" s="112">
        <f t="shared" ref="G128:G133" si="10">F128-E128</f>
        <v>315.55000000000291</v>
      </c>
      <c r="H128" s="99">
        <f>G128+'1'!H128</f>
        <v>636.55000000000291</v>
      </c>
      <c r="I128" s="165"/>
      <c r="J128" s="328">
        <f>H128/DAY(B2)</f>
        <v>318.27500000000146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'1'!F129</f>
        <v>27123</v>
      </c>
      <c r="F129" s="165">
        <v>27328.1</v>
      </c>
      <c r="G129" s="112">
        <f t="shared" si="10"/>
        <v>205.09999999999854</v>
      </c>
      <c r="H129" s="99">
        <f>G129+'1'!H129</f>
        <v>417.22999999999956</v>
      </c>
      <c r="I129" s="165"/>
      <c r="J129" s="328">
        <f>H129/DAY(B2)</f>
        <v>208.61499999999978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'1'!F130</f>
        <v>36147.81</v>
      </c>
      <c r="F130" s="165">
        <v>36747.9</v>
      </c>
      <c r="G130" s="112">
        <f t="shared" si="10"/>
        <v>600.09000000000378</v>
      </c>
      <c r="H130" s="99">
        <f>G130+'1'!H130</f>
        <v>1053.9000000000015</v>
      </c>
      <c r="I130" s="165"/>
      <c r="J130" s="328">
        <f>H130/DAY(B2)</f>
        <v>526.95000000000073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'1'!F131</f>
        <v>15367.2</v>
      </c>
      <c r="F131" s="165">
        <v>15427.4</v>
      </c>
      <c r="G131" s="112">
        <f t="shared" si="10"/>
        <v>60.199999999998909</v>
      </c>
      <c r="H131" s="99">
        <f>G131+'1'!H131</f>
        <v>119.71999999999935</v>
      </c>
      <c r="I131" s="165"/>
      <c r="J131" s="328">
        <f>H131/DAY(B2)</f>
        <v>59.859999999999673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'1'!F132</f>
        <v>52011.77</v>
      </c>
      <c r="F132" s="165">
        <v>52212.32</v>
      </c>
      <c r="G132" s="112">
        <f t="shared" si="10"/>
        <v>200.55000000000291</v>
      </c>
      <c r="H132" s="99">
        <f>G132+'1'!H132</f>
        <v>364.0199999999968</v>
      </c>
      <c r="I132" s="165"/>
      <c r="J132" s="328">
        <f>H132/DAY(B2)</f>
        <v>182.0099999999984</v>
      </c>
    </row>
    <row r="133" spans="1:15" ht="27.75">
      <c r="A133" s="863" t="s">
        <v>342</v>
      </c>
      <c r="B133" s="864"/>
      <c r="C133" s="865"/>
      <c r="D133" s="151" t="s">
        <v>183</v>
      </c>
      <c r="E133" s="95">
        <f>'1'!F133</f>
        <v>105836.27</v>
      </c>
      <c r="F133" s="165">
        <v>106404.31</v>
      </c>
      <c r="G133" s="112">
        <f t="shared" si="10"/>
        <v>568.0399999999936</v>
      </c>
      <c r="H133" s="99">
        <f>G133+'1'!H133</f>
        <v>1060.6100000000006</v>
      </c>
      <c r="I133" s="165"/>
      <c r="J133" s="328">
        <f>H133/DAY(B2)</f>
        <v>530.30500000000029</v>
      </c>
    </row>
    <row r="134" spans="1:15" ht="27.75">
      <c r="A134" s="863" t="s">
        <v>340</v>
      </c>
      <c r="B134" s="864"/>
      <c r="C134" s="865"/>
      <c r="D134" s="676" t="s">
        <v>183</v>
      </c>
      <c r="E134" s="95">
        <f>'1'!F134</f>
        <v>8755.39</v>
      </c>
      <c r="F134" s="158">
        <v>8906.8799999999992</v>
      </c>
      <c r="G134" s="112">
        <f>F134-E134</f>
        <v>151.48999999999978</v>
      </c>
      <c r="H134" s="99">
        <f>G134+'1'!H134</f>
        <v>305.64999999999964</v>
      </c>
      <c r="I134" s="165"/>
      <c r="J134" s="328">
        <f>H134/DAY(B2)</f>
        <v>152.82499999999982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2101.0200000000004</v>
      </c>
      <c r="H135" s="99">
        <f>G135+'1'!H135</f>
        <v>3957.6800000000003</v>
      </c>
      <c r="I135" s="327">
        <f>G135-(G35+G49)</f>
        <v>-334.0199999999968</v>
      </c>
      <c r="J135" s="328">
        <f>H135/DAY(B2)</f>
        <v>1978.8400000000001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676" t="s">
        <v>183</v>
      </c>
      <c r="E138" s="95">
        <f>'1'!F138</f>
        <v>866234</v>
      </c>
      <c r="F138" s="147">
        <v>866293</v>
      </c>
      <c r="G138" s="112">
        <f t="shared" ref="G138:G152" si="11">F138-E138</f>
        <v>59</v>
      </c>
      <c r="H138" s="99">
        <f>G138+'1'!H138</f>
        <v>120</v>
      </c>
      <c r="I138" s="118"/>
      <c r="J138" s="328">
        <f>H138/DAY(B2)</f>
        <v>60</v>
      </c>
    </row>
    <row r="139" spans="1:15" ht="27.75">
      <c r="A139" s="862" t="s">
        <v>186</v>
      </c>
      <c r="B139" s="862"/>
      <c r="C139" s="862"/>
      <c r="D139" s="676" t="s">
        <v>183</v>
      </c>
      <c r="E139" s="95">
        <f>'1'!F139</f>
        <v>886574</v>
      </c>
      <c r="F139" s="148">
        <v>886576</v>
      </c>
      <c r="G139" s="112">
        <f t="shared" si="11"/>
        <v>2</v>
      </c>
      <c r="H139" s="99">
        <f>G139+'1'!H139</f>
        <v>3</v>
      </c>
      <c r="I139" s="118"/>
      <c r="J139" s="328">
        <f>H139/DAY(B2)</f>
        <v>1.5</v>
      </c>
    </row>
    <row r="140" spans="1:15" ht="27.75">
      <c r="A140" s="862" t="s">
        <v>187</v>
      </c>
      <c r="B140" s="862"/>
      <c r="C140" s="862"/>
      <c r="D140" s="676" t="s">
        <v>183</v>
      </c>
      <c r="E140" s="95">
        <f>'1'!F140</f>
        <v>88922</v>
      </c>
      <c r="F140" s="149">
        <v>88932.6</v>
      </c>
      <c r="G140" s="112">
        <f t="shared" si="11"/>
        <v>10.600000000005821</v>
      </c>
      <c r="H140" s="99">
        <f>G140+'1'!H140</f>
        <v>10.600000000005821</v>
      </c>
      <c r="I140" s="118"/>
      <c r="J140" s="328">
        <f>H140/DAY(B2)</f>
        <v>5.3000000000029104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'1'!F141</f>
        <v>54851.17</v>
      </c>
      <c r="F141" s="149">
        <v>55027.8</v>
      </c>
      <c r="G141" s="112">
        <f t="shared" si="11"/>
        <v>176.63000000000466</v>
      </c>
      <c r="H141" s="99">
        <f>G141+'1'!H141</f>
        <v>342.22000000000116</v>
      </c>
      <c r="I141" s="118"/>
      <c r="J141" s="328">
        <f>H141/DAY(B2)</f>
        <v>171.11000000000058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'1'!F142</f>
        <v>21357.57</v>
      </c>
      <c r="F142" s="148">
        <v>21429.24</v>
      </c>
      <c r="G142" s="112">
        <f t="shared" si="11"/>
        <v>71.670000000001892</v>
      </c>
      <c r="H142" s="99">
        <f>G142+'1'!H142</f>
        <v>145.14000000000306</v>
      </c>
      <c r="I142" s="140"/>
      <c r="J142" s="328">
        <f>H142/DAY(B2)</f>
        <v>72.570000000001528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'1'!F143</f>
        <v>3864.39</v>
      </c>
      <c r="F143" s="149">
        <v>3889.08</v>
      </c>
      <c r="G143" s="112">
        <f t="shared" si="11"/>
        <v>24.690000000000055</v>
      </c>
      <c r="H143" s="99">
        <f>G143+'1'!H143</f>
        <v>53.690000000000055</v>
      </c>
      <c r="I143" s="140"/>
      <c r="J143" s="328">
        <f>H143/DAY(B2)</f>
        <v>26.845000000000027</v>
      </c>
    </row>
    <row r="144" spans="1:15" ht="27.75">
      <c r="A144" s="843" t="s">
        <v>90</v>
      </c>
      <c r="B144" s="843"/>
      <c r="C144" s="843"/>
      <c r="D144" s="676" t="s">
        <v>183</v>
      </c>
      <c r="E144" s="95">
        <f>'1'!F144</f>
        <v>876683</v>
      </c>
      <c r="F144" s="149">
        <v>876893</v>
      </c>
      <c r="G144" s="112">
        <f t="shared" si="11"/>
        <v>210</v>
      </c>
      <c r="H144" s="99">
        <f>G144+'1'!H144</f>
        <v>406</v>
      </c>
      <c r="I144" s="140"/>
      <c r="J144" s="328">
        <f>H144/DAY(B2)</f>
        <v>203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'1'!F145</f>
        <v>4971.62</v>
      </c>
      <c r="F145" s="149">
        <v>4985.33</v>
      </c>
      <c r="G145" s="112">
        <f t="shared" si="11"/>
        <v>13.710000000000036</v>
      </c>
      <c r="H145" s="99">
        <f>G145+'1'!H145</f>
        <v>26.489999999999782</v>
      </c>
      <c r="I145" s="140"/>
      <c r="J145" s="328">
        <f>H145/DAY(B2)</f>
        <v>13.244999999999891</v>
      </c>
    </row>
    <row r="146" spans="1:10" ht="27.75">
      <c r="A146" s="897" t="s">
        <v>191</v>
      </c>
      <c r="B146" s="882"/>
      <c r="C146" s="883"/>
      <c r="D146" s="676" t="s">
        <v>183</v>
      </c>
      <c r="E146" s="95">
        <f>'1'!F146</f>
        <v>737727</v>
      </c>
      <c r="F146" s="148">
        <v>738119</v>
      </c>
      <c r="G146" s="112">
        <f t="shared" si="11"/>
        <v>392</v>
      </c>
      <c r="H146" s="99">
        <f>G146+'1'!H146</f>
        <v>786</v>
      </c>
      <c r="I146" s="140"/>
      <c r="J146" s="328">
        <f>H146/DAY(B2)</f>
        <v>393</v>
      </c>
    </row>
    <row r="147" spans="1:10" ht="27.75">
      <c r="A147" s="843" t="s">
        <v>192</v>
      </c>
      <c r="B147" s="843"/>
      <c r="C147" s="843"/>
      <c r="D147" s="676" t="s">
        <v>183</v>
      </c>
      <c r="E147" s="95">
        <f>'1'!F147</f>
        <v>626981.80000000005</v>
      </c>
      <c r="F147" s="148">
        <v>627378.12</v>
      </c>
      <c r="G147" s="112">
        <f t="shared" si="11"/>
        <v>396.31999999994878</v>
      </c>
      <c r="H147" s="99">
        <f>G147+'1'!H147</f>
        <v>765.59999999997672</v>
      </c>
      <c r="I147" s="140"/>
      <c r="J147" s="328">
        <f>H147/DAY(B2)</f>
        <v>382.79999999998836</v>
      </c>
    </row>
    <row r="148" spans="1:10" ht="27.75">
      <c r="A148" s="844" t="s">
        <v>193</v>
      </c>
      <c r="B148" s="845"/>
      <c r="C148" s="846"/>
      <c r="D148" s="677" t="s">
        <v>130</v>
      </c>
      <c r="E148" s="95">
        <f>'1'!F148</f>
        <v>689638</v>
      </c>
      <c r="F148" s="150">
        <v>689904.24</v>
      </c>
      <c r="G148" s="112">
        <f t="shared" si="11"/>
        <v>266.23999999999069</v>
      </c>
      <c r="H148" s="99">
        <f>G148+'1'!H148</f>
        <v>461.28000000002794</v>
      </c>
      <c r="I148" s="124"/>
      <c r="J148" s="328">
        <f>H148/DAY(B2)</f>
        <v>230.64000000001397</v>
      </c>
    </row>
    <row r="149" spans="1:10" ht="27.75">
      <c r="A149" s="844" t="s">
        <v>336</v>
      </c>
      <c r="B149" s="845"/>
      <c r="C149" s="846"/>
      <c r="D149" s="678" t="s">
        <v>130</v>
      </c>
      <c r="E149" s="95">
        <f>'1'!F149</f>
        <v>25075.18</v>
      </c>
      <c r="F149" s="146">
        <v>25534.7</v>
      </c>
      <c r="G149" s="112">
        <f t="shared" si="11"/>
        <v>459.52000000000044</v>
      </c>
      <c r="H149" s="99">
        <f>G149+'1'!H149</f>
        <v>856.5</v>
      </c>
      <c r="I149" s="119"/>
      <c r="J149" s="328">
        <f>H149/DAY(B2)</f>
        <v>428.25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'1'!F150</f>
        <v>11065.7</v>
      </c>
      <c r="F150" s="233">
        <v>11279.22</v>
      </c>
      <c r="G150" s="112">
        <f t="shared" si="11"/>
        <v>213.51999999999862</v>
      </c>
      <c r="H150" s="99">
        <f>G150+'1'!H150</f>
        <v>428.38999999999942</v>
      </c>
      <c r="I150" s="119"/>
      <c r="J150" s="328">
        <f>H150/DAY(B2)</f>
        <v>214.19499999999971</v>
      </c>
    </row>
    <row r="151" spans="1:10" ht="27.75">
      <c r="A151" s="844" t="s">
        <v>338</v>
      </c>
      <c r="B151" s="845"/>
      <c r="C151" s="846"/>
      <c r="D151" s="677" t="s">
        <v>130</v>
      </c>
      <c r="E151" s="95">
        <f>'1'!F151</f>
        <v>85706</v>
      </c>
      <c r="F151" s="233">
        <v>86023</v>
      </c>
      <c r="G151" s="112">
        <f t="shared" si="11"/>
        <v>317</v>
      </c>
      <c r="H151" s="99">
        <f>G151+'1'!H151</f>
        <v>543</v>
      </c>
      <c r="I151" s="119"/>
      <c r="J151" s="328">
        <f>H151/DAY(B2)</f>
        <v>271.5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'1'!F152</f>
        <v>1676.46</v>
      </c>
      <c r="F152" s="233">
        <v>1706.35</v>
      </c>
      <c r="G152" s="112">
        <f t="shared" si="11"/>
        <v>29.889999999999873</v>
      </c>
      <c r="H152" s="99">
        <f>G152+'1'!H152</f>
        <v>46.349999999999909</v>
      </c>
      <c r="I152" s="119"/>
      <c r="J152" s="328">
        <f>H152/DAY(B2)</f>
        <v>23.174999999999955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2642.7899999999509</v>
      </c>
      <c r="H153" s="363"/>
      <c r="I153" s="119">
        <f>G153-(G38+G52)</f>
        <v>883.99999999994998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679" t="s">
        <v>130</v>
      </c>
      <c r="E155" s="95">
        <f>'1'!F155</f>
        <v>32945</v>
      </c>
      <c r="F155" s="548">
        <v>33621.9</v>
      </c>
      <c r="G155" s="112">
        <f t="shared" ref="G155:G158" si="12">F155-E155</f>
        <v>676.90000000000146</v>
      </c>
      <c r="H155" s="99">
        <f>G155+'1'!H155</f>
        <v>676.90000000000146</v>
      </c>
      <c r="I155" s="364"/>
      <c r="J155" s="328">
        <f>H155/DAY(B2)</f>
        <v>338.45000000000073</v>
      </c>
    </row>
    <row r="156" spans="1:10" ht="27.75">
      <c r="A156" s="843" t="s">
        <v>347</v>
      </c>
      <c r="B156" s="843"/>
      <c r="C156" s="843"/>
      <c r="D156" s="679" t="s">
        <v>130</v>
      </c>
      <c r="E156" s="95">
        <f>'1'!F156</f>
        <v>2788</v>
      </c>
      <c r="F156" s="165">
        <v>2839.76</v>
      </c>
      <c r="G156" s="112">
        <f t="shared" si="12"/>
        <v>51.760000000000218</v>
      </c>
      <c r="H156" s="99">
        <f>G156+'1'!H156</f>
        <v>51.760000000000218</v>
      </c>
      <c r="I156" s="165"/>
      <c r="J156" s="328">
        <f>H156/DAY(B2)</f>
        <v>25.880000000000109</v>
      </c>
    </row>
    <row r="157" spans="1:10" ht="27.75">
      <c r="A157" s="844" t="s">
        <v>363</v>
      </c>
      <c r="B157" s="845"/>
      <c r="C157" s="846"/>
      <c r="D157" s="679" t="s">
        <v>130</v>
      </c>
      <c r="E157" s="95">
        <f>'1'!F157</f>
        <v>4127.37</v>
      </c>
      <c r="F157" s="165">
        <v>4207</v>
      </c>
      <c r="G157" s="112">
        <f t="shared" si="12"/>
        <v>79.630000000000109</v>
      </c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>
        <f>'1'!F158</f>
        <v>46.66</v>
      </c>
      <c r="F158" s="165">
        <v>60</v>
      </c>
      <c r="G158" s="112">
        <f t="shared" si="12"/>
        <v>13.340000000000003</v>
      </c>
      <c r="H158" s="99"/>
      <c r="I158" s="165"/>
      <c r="J158" s="328"/>
    </row>
    <row r="159" spans="1:10" ht="27.75">
      <c r="A159" s="844"/>
      <c r="B159" s="845"/>
      <c r="C159" s="846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4" ht="29.25">
      <c r="A161" s="242" t="s">
        <v>92</v>
      </c>
      <c r="B161" s="243"/>
      <c r="C161" s="243"/>
      <c r="D161" s="244" t="s">
        <v>180</v>
      </c>
      <c r="E161" s="95">
        <f>'1'!F161</f>
        <v>472101.84</v>
      </c>
      <c r="F161" s="235">
        <v>472154.68</v>
      </c>
      <c r="G161" s="238">
        <f t="shared" ref="G161:G165" si="13">F161-E161</f>
        <v>52.839999999967404</v>
      </c>
      <c r="H161" s="99">
        <f>G161+'1'!H161</f>
        <v>101.11999999999534</v>
      </c>
      <c r="I161" s="236"/>
      <c r="J161" s="239">
        <f>H161/DAY(B2)</f>
        <v>50.559999999997672</v>
      </c>
    </row>
    <row r="162" spans="1:14" ht="29.25">
      <c r="A162" s="242" t="s">
        <v>93</v>
      </c>
      <c r="B162" s="243"/>
      <c r="C162" s="243"/>
      <c r="D162" s="244" t="s">
        <v>180</v>
      </c>
      <c r="E162" s="95">
        <f>'1'!F162</f>
        <v>88558.399999999994</v>
      </c>
      <c r="F162" s="235">
        <v>88596.5</v>
      </c>
      <c r="G162" s="238">
        <f t="shared" si="13"/>
        <v>38.100000000005821</v>
      </c>
      <c r="H162" s="99">
        <f>G162+'1'!H162</f>
        <v>80.100000000005821</v>
      </c>
      <c r="I162" s="236"/>
      <c r="J162" s="239">
        <f>H162/DAY(B2)</f>
        <v>40.05000000000291</v>
      </c>
    </row>
    <row r="163" spans="1:14" ht="29.25">
      <c r="A163" s="242" t="s">
        <v>197</v>
      </c>
      <c r="B163" s="243"/>
      <c r="C163" s="243"/>
      <c r="D163" s="244" t="s">
        <v>180</v>
      </c>
      <c r="E163" s="95">
        <f>'1'!F163</f>
        <v>79251.5</v>
      </c>
      <c r="F163" s="235">
        <v>79285.3</v>
      </c>
      <c r="G163" s="238">
        <f t="shared" si="13"/>
        <v>33.80000000000291</v>
      </c>
      <c r="H163" s="99">
        <f>G163+'1'!H163</f>
        <v>65.19999999999709</v>
      </c>
      <c r="I163" s="236"/>
      <c r="J163" s="239">
        <f>H163/DAY(B2)</f>
        <v>32.599999999998545</v>
      </c>
    </row>
    <row r="164" spans="1:14" ht="29.25">
      <c r="A164" s="242" t="s">
        <v>197</v>
      </c>
      <c r="B164" s="243"/>
      <c r="C164" s="243"/>
      <c r="D164" s="244" t="s">
        <v>180</v>
      </c>
      <c r="E164" s="95">
        <f>'1'!F164</f>
        <v>4320.8</v>
      </c>
      <c r="F164" s="235">
        <v>4323.3</v>
      </c>
      <c r="G164" s="238">
        <f t="shared" si="13"/>
        <v>2.5</v>
      </c>
      <c r="H164" s="99">
        <f>G164+'1'!H164</f>
        <v>3.3000000000001819</v>
      </c>
      <c r="I164" s="236"/>
      <c r="J164" s="239">
        <f>H164/DAY(B2)</f>
        <v>1.6500000000000909</v>
      </c>
    </row>
    <row r="165" spans="1:14" ht="29.25">
      <c r="A165" s="242" t="s">
        <v>309</v>
      </c>
      <c r="B165" s="243"/>
      <c r="C165" s="243"/>
      <c r="D165" s="244" t="s">
        <v>180</v>
      </c>
      <c r="E165" s="95">
        <f>'1'!F165</f>
        <v>29866.080000000002</v>
      </c>
      <c r="F165" s="235">
        <v>29875.27</v>
      </c>
      <c r="G165" s="238">
        <f t="shared" si="13"/>
        <v>9.1899999999986903</v>
      </c>
      <c r="H165" s="99">
        <f>G165+'1'!H165</f>
        <v>18.020000000000437</v>
      </c>
      <c r="I165" s="236"/>
      <c r="J165" s="239">
        <f>H165/DAY(B2)</f>
        <v>9.0100000000002183</v>
      </c>
    </row>
    <row r="166" spans="1:14" ht="29.25" customHeight="1">
      <c r="A166" s="852"/>
      <c r="B166" s="85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>
      <c r="A167" s="852"/>
      <c r="B167" s="85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>
      <c r="A168" s="852"/>
      <c r="B168" s="85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/>
    <row r="170" spans="1:14" ht="29.25"/>
    <row r="171" spans="1:14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4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56" t="s">
        <v>209</v>
      </c>
      <c r="B173" s="857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>
      <c r="A174" s="856" t="s">
        <v>75</v>
      </c>
      <c r="B174" s="857"/>
      <c r="C174" s="333"/>
      <c r="D174" s="228" t="s">
        <v>142</v>
      </c>
      <c r="E174" s="95">
        <f>'1'!F174</f>
        <v>38626</v>
      </c>
      <c r="F174" s="157">
        <v>38637</v>
      </c>
      <c r="G174" s="155">
        <f t="shared" ref="G174:G175" si="14">F174-E174</f>
        <v>11</v>
      </c>
      <c r="H174" s="99">
        <f>G174+'1'!H174</f>
        <v>22</v>
      </c>
      <c r="I174" s="155"/>
      <c r="J174" s="178">
        <f>H174/DAY(B2)</f>
        <v>11</v>
      </c>
    </row>
    <row r="175" spans="1:14" ht="27.75">
      <c r="A175" s="856" t="s">
        <v>76</v>
      </c>
      <c r="B175" s="896"/>
      <c r="C175" s="857"/>
      <c r="D175" s="228" t="s">
        <v>142</v>
      </c>
      <c r="E175" s="95">
        <f>'1'!F175</f>
        <v>21823</v>
      </c>
      <c r="F175" s="155">
        <v>21832</v>
      </c>
      <c r="G175" s="155">
        <f t="shared" si="14"/>
        <v>9</v>
      </c>
      <c r="H175" s="99">
        <f>G175+'1'!H175</f>
        <v>19</v>
      </c>
      <c r="I175" s="155"/>
      <c r="J175" s="178">
        <f>H175/DAY(B2)</f>
        <v>9.5</v>
      </c>
      <c r="N175" s="599"/>
    </row>
    <row r="176" spans="1:14" ht="27.75">
      <c r="A176" s="847" t="s">
        <v>196</v>
      </c>
      <c r="B176" s="848"/>
      <c r="C176" s="483"/>
      <c r="D176" s="228"/>
      <c r="E176" s="95"/>
      <c r="F176" s="155"/>
      <c r="G176" s="155">
        <f>SUM(G173:G175)</f>
        <v>20</v>
      </c>
      <c r="H176" s="99">
        <f>G176+'1'!H176</f>
        <v>41</v>
      </c>
      <c r="I176" s="155"/>
      <c r="J176" s="178">
        <f>H176/DAY(B2)</f>
        <v>20.5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>
      <c r="A178" s="856" t="s">
        <v>210</v>
      </c>
      <c r="B178" s="857"/>
      <c r="C178" s="333"/>
      <c r="D178" s="228" t="s">
        <v>142</v>
      </c>
      <c r="E178" s="95">
        <f>'1'!F178</f>
        <v>81358</v>
      </c>
      <c r="F178" s="157">
        <v>81448</v>
      </c>
      <c r="G178" s="155">
        <f>F178-E178</f>
        <v>90</v>
      </c>
      <c r="H178" s="99">
        <f>G178+'1'!H178</f>
        <v>133</v>
      </c>
      <c r="I178" s="155"/>
      <c r="J178" s="178">
        <f>H178/DAY(B2)</f>
        <v>66.5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'1'!F179</f>
        <v>34832</v>
      </c>
      <c r="F179" s="155">
        <v>34869</v>
      </c>
      <c r="G179" s="155">
        <f t="shared" ref="G179:G180" si="15">F179-E179</f>
        <v>37</v>
      </c>
      <c r="H179" s="99">
        <f>G179+'1'!H179</f>
        <v>66</v>
      </c>
      <c r="I179" s="155"/>
      <c r="J179" s="178">
        <f>H179/DAY(B2)</f>
        <v>33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'1'!F180</f>
        <v>5705</v>
      </c>
      <c r="F180" s="155">
        <v>5710</v>
      </c>
      <c r="G180" s="155">
        <f t="shared" si="15"/>
        <v>5</v>
      </c>
      <c r="H180" s="99">
        <f>G180+'1'!H180</f>
        <v>8</v>
      </c>
      <c r="I180" s="155"/>
      <c r="J180" s="178">
        <f>H180/DAY(B2)</f>
        <v>4</v>
      </c>
    </row>
    <row r="181" spans="1:10" ht="27.75">
      <c r="A181" s="858" t="s">
        <v>108</v>
      </c>
      <c r="B181" s="859"/>
      <c r="C181" s="483"/>
      <c r="D181" s="228"/>
      <c r="E181" s="95"/>
      <c r="F181" s="155"/>
      <c r="G181" s="155">
        <f>SUM(G178:G180)</f>
        <v>132</v>
      </c>
      <c r="H181" s="99">
        <f>G181+'1'!H181</f>
        <v>207</v>
      </c>
      <c r="I181" s="155"/>
      <c r="J181" s="178">
        <f>H181/DAY(B2)</f>
        <v>103.5</v>
      </c>
    </row>
    <row r="182" spans="1:10" ht="31.5" customHeight="1">
      <c r="A182" s="856" t="s">
        <v>213</v>
      </c>
      <c r="B182" s="85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56" t="s">
        <v>214</v>
      </c>
      <c r="B183" s="857"/>
      <c r="C183" s="334"/>
      <c r="D183" s="228" t="s">
        <v>142</v>
      </c>
      <c r="E183" s="95">
        <f>'1'!F183</f>
        <v>15356</v>
      </c>
      <c r="F183" s="157">
        <v>15378</v>
      </c>
      <c r="G183" s="157">
        <f>F183-E183</f>
        <v>22</v>
      </c>
      <c r="H183" s="99">
        <f>G183+'1'!H183</f>
        <v>33</v>
      </c>
      <c r="I183" s="155"/>
      <c r="J183" s="178">
        <f>H183/DAY(B2)</f>
        <v>16.5</v>
      </c>
    </row>
    <row r="184" spans="1:10" ht="27.75" customHeight="1">
      <c r="A184" s="856" t="s">
        <v>215</v>
      </c>
      <c r="B184" s="857"/>
      <c r="C184" s="334"/>
      <c r="D184" s="228" t="s">
        <v>142</v>
      </c>
      <c r="E184" s="95">
        <f>'1'!F184</f>
        <v>10525</v>
      </c>
      <c r="F184" s="157">
        <v>10532</v>
      </c>
      <c r="G184" s="157">
        <f t="shared" ref="G184:G185" si="16">F184-E184</f>
        <v>7</v>
      </c>
      <c r="H184" s="99">
        <f>G184+'1'!H184</f>
        <v>14</v>
      </c>
      <c r="I184" s="155"/>
      <c r="J184" s="178">
        <f>H184/DAY(B2)</f>
        <v>7</v>
      </c>
    </row>
    <row r="185" spans="1:10" ht="24.75" customHeight="1">
      <c r="A185" s="856" t="s">
        <v>216</v>
      </c>
      <c r="B185" s="85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47" t="s">
        <v>196</v>
      </c>
      <c r="B186" s="848"/>
      <c r="C186" s="482"/>
      <c r="D186" s="229"/>
      <c r="E186" s="95"/>
      <c r="F186" s="157"/>
      <c r="G186" s="157">
        <f>SUM(G183:G185)</f>
        <v>29</v>
      </c>
      <c r="H186" s="99">
        <f>G186+'1'!H186</f>
        <v>47</v>
      </c>
      <c r="I186" s="157"/>
      <c r="J186" s="178">
        <f>H186/DAY(B2)</f>
        <v>23.5</v>
      </c>
    </row>
    <row r="187" spans="1:10" ht="28.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138</v>
      </c>
      <c r="H187" s="99">
        <f>G187+'1'!H187</f>
        <v>256</v>
      </c>
      <c r="I187" s="158"/>
      <c r="J187" s="179">
        <f>H187/DAY(B2)</f>
        <v>128</v>
      </c>
    </row>
    <row r="188" spans="1:10" ht="24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G188+'1'!H188</f>
        <v>259</v>
      </c>
      <c r="I188" s="158"/>
      <c r="J188" s="179">
        <f>H188/DAY(B2)</f>
        <v>129.5</v>
      </c>
    </row>
    <row r="189" spans="1:10" ht="24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132</v>
      </c>
      <c r="H189" s="99">
        <f>G189+'1'!H189</f>
        <v>207</v>
      </c>
      <c r="I189" s="158"/>
      <c r="J189" s="179">
        <f>H189/DAY(B2)</f>
        <v>103.5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270"/>
  <sheetViews>
    <sheetView view="pageBreakPreview" zoomScale="55" zoomScaleSheetLayoutView="55" workbookViewId="0">
      <selection activeCell="F41" sqref="F4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>
      <c r="A2" s="191" t="s">
        <v>350</v>
      </c>
      <c r="B2" s="375">
        <v>44595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'2'!F7</f>
        <v>686494</v>
      </c>
      <c r="F7" s="95">
        <v>705577</v>
      </c>
      <c r="G7" s="112">
        <f>F7-E7</f>
        <v>19083</v>
      </c>
      <c r="H7" s="99">
        <f>G7+'2'!H7</f>
        <v>54396.770000000019</v>
      </c>
      <c r="I7" s="113">
        <f>'1'!I7</f>
        <v>12000</v>
      </c>
      <c r="J7" s="175">
        <f>H7/DAY(B2)</f>
        <v>18132.256666666672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'2'!F8</f>
        <v>744345</v>
      </c>
      <c r="F8" s="114">
        <v>763564</v>
      </c>
      <c r="G8" s="115">
        <f>F8-E8</f>
        <v>19219</v>
      </c>
      <c r="H8" s="99">
        <f>G8+'2'!H8</f>
        <v>55015.849999999977</v>
      </c>
      <c r="I8" s="116"/>
      <c r="J8" s="175">
        <f>H8/DAY(B2)</f>
        <v>18338.616666666658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'2'!F9</f>
        <v>310735.19</v>
      </c>
      <c r="F9" s="117">
        <v>322590.71000000002</v>
      </c>
      <c r="G9" s="112">
        <f>F9-E9</f>
        <v>11855.520000000019</v>
      </c>
      <c r="H9" s="99">
        <f>G9+'2'!H9</f>
        <v>40336.860000000044</v>
      </c>
      <c r="I9" s="124">
        <f>I7-J7</f>
        <v>-6132.2566666666717</v>
      </c>
      <c r="J9" s="175">
        <f>H9/DAY(B2)</f>
        <v>13445.620000000015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'2'!F10</f>
        <v>111088.19</v>
      </c>
      <c r="F10" s="117">
        <v>117782.93</v>
      </c>
      <c r="G10" s="112">
        <f t="shared" ref="G10:G12" si="0">F10-E10</f>
        <v>6694.7399999999907</v>
      </c>
      <c r="H10" s="99">
        <f>G10+'2'!H10</f>
        <v>12523.959999999992</v>
      </c>
      <c r="I10" s="282"/>
      <c r="J10" s="175">
        <f>H10/DAY(B2)</f>
        <v>4174.6533333333309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'2'!F11</f>
        <v>37170</v>
      </c>
      <c r="F11" s="95">
        <v>37170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18550.260000000009</v>
      </c>
      <c r="H13" s="99">
        <f>G13+'2'!H13</f>
        <v>36106.39</v>
      </c>
      <c r="I13" s="120">
        <f>G7-G13</f>
        <v>532.73999999999069</v>
      </c>
      <c r="J13" s="175">
        <f>H13/DAY(B2)</f>
        <v>12035.463333333333</v>
      </c>
      <c r="K13" s="79"/>
      <c r="L13" s="66"/>
      <c r="N13" s="87"/>
      <c r="O13" s="71"/>
    </row>
    <row r="14" spans="1:16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95">
        <f>'2'!F15</f>
        <v>1908538.47</v>
      </c>
      <c r="F15" s="492">
        <v>1909550.818</v>
      </c>
      <c r="G15" s="112">
        <f>(F15-E15)</f>
        <v>1012.3479999999981</v>
      </c>
      <c r="H15" s="99">
        <f>G15+'2'!H15</f>
        <v>2914.0509999999776</v>
      </c>
      <c r="I15" s="113">
        <f>'1'!I15</f>
        <v>800</v>
      </c>
      <c r="J15" s="175">
        <f>H15/DAY(B2)</f>
        <v>971.35033333332592</v>
      </c>
      <c r="K15" s="79"/>
      <c r="L15" s="66"/>
      <c r="N15" s="87"/>
      <c r="O15" s="71"/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-171.35033333332592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'2'!F18</f>
        <v>15</v>
      </c>
      <c r="F18" s="122">
        <v>18</v>
      </c>
      <c r="G18" s="119">
        <f>F18*10</f>
        <v>180</v>
      </c>
      <c r="H18" s="99">
        <f>G18+'2'!H18</f>
        <v>510</v>
      </c>
      <c r="I18" s="113">
        <f>'1'!I18</f>
        <v>65</v>
      </c>
      <c r="J18" s="175">
        <f>H18/DAY(B2)</f>
        <v>170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'2'!F19</f>
        <v>153979</v>
      </c>
      <c r="F19" s="122">
        <v>154032</v>
      </c>
      <c r="G19" s="112">
        <f t="shared" ref="G19" si="1">F19-E19</f>
        <v>53</v>
      </c>
      <c r="H19" s="99">
        <f>G19+'2'!H19</f>
        <v>141</v>
      </c>
      <c r="I19" s="335"/>
      <c r="J19" s="175">
        <f>H19/DAY(B2)</f>
        <v>47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G20+'2'!H20</f>
        <v>651</v>
      </c>
      <c r="I20" s="336">
        <f>I18-J20</f>
        <v>-152</v>
      </c>
      <c r="J20" s="175">
        <f>H20/DAY(B2)</f>
        <v>217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19219</v>
      </c>
      <c r="F27" s="136">
        <v>9</v>
      </c>
      <c r="G27" s="137">
        <f>E27*F27</f>
        <v>172971</v>
      </c>
      <c r="H27" s="99">
        <f>G27+'2'!H27</f>
        <v>495142.64999999979</v>
      </c>
      <c r="I27" s="138"/>
      <c r="J27" s="175">
        <f>H27/DAY(B2)</f>
        <v>165047.54999999993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1012.3479999999981</v>
      </c>
      <c r="F28" s="136">
        <v>52</v>
      </c>
      <c r="G28" s="137">
        <f>E28*F28</f>
        <v>52642.095999999903</v>
      </c>
      <c r="H28" s="99">
        <f>G28+'2'!H28</f>
        <v>151530.65199999884</v>
      </c>
      <c r="I28" s="140"/>
      <c r="J28" s="175">
        <f>H28/DAY(B2)</f>
        <v>50510.217333332948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G30+'2'!H30</f>
        <v>20586</v>
      </c>
      <c r="I30" s="140"/>
      <c r="J30" s="175">
        <f>H30/DAY(B2)</f>
        <v>6862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G31+'2'!H31</f>
        <v>40800</v>
      </c>
      <c r="I31" s="140"/>
      <c r="J31" s="175">
        <f>H31/DAY(B2)</f>
        <v>13600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247751.0959999999</v>
      </c>
      <c r="H32" s="99">
        <f>G32+'2'!H32</f>
        <v>708059.30199999863</v>
      </c>
      <c r="I32" s="144"/>
      <c r="J32" s="175">
        <f>H32/DAY(B2)</f>
        <v>236019.76733333289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'2'!F35</f>
        <v>34639.31</v>
      </c>
      <c r="F35" s="145">
        <v>36076.93</v>
      </c>
      <c r="G35" s="112">
        <f t="shared" ref="G35:G46" si="3">F35-E35</f>
        <v>1437.6200000000026</v>
      </c>
      <c r="H35" s="99">
        <f>G35+'2'!H35</f>
        <v>4071.9500000000007</v>
      </c>
      <c r="I35" s="95"/>
      <c r="J35" s="175">
        <f>H35/DAY(B2)</f>
        <v>1357.3166666666668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'2'!F36</f>
        <v>44981</v>
      </c>
      <c r="F36" s="145">
        <v>45916.7</v>
      </c>
      <c r="G36" s="112">
        <f t="shared" si="3"/>
        <v>935.69999999999709</v>
      </c>
      <c r="H36" s="99">
        <f>G36+'2'!H36</f>
        <v>2457.9599999999991</v>
      </c>
      <c r="I36" s="95"/>
      <c r="J36" s="175">
        <f>H36/DAY(B2)</f>
        <v>819.31999999999971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'2'!F37</f>
        <v>38526.300000000003</v>
      </c>
      <c r="F37" s="145">
        <v>40078.410000000003</v>
      </c>
      <c r="G37" s="112">
        <f t="shared" si="3"/>
        <v>1552.1100000000006</v>
      </c>
      <c r="H37" s="99">
        <f>G37+'2'!H37</f>
        <v>4653.320000000007</v>
      </c>
      <c r="I37" s="95"/>
      <c r="J37" s="175">
        <f>H37/DAY(B2)</f>
        <v>1551.1066666666691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'2'!F38</f>
        <v>41755.49</v>
      </c>
      <c r="F38" s="108">
        <v>43423.64</v>
      </c>
      <c r="G38" s="112">
        <f t="shared" si="3"/>
        <v>1668.1500000000015</v>
      </c>
      <c r="H38" s="99">
        <f>G38+'2'!H38</f>
        <v>5047.2099999999991</v>
      </c>
      <c r="I38" s="95"/>
      <c r="J38" s="175">
        <f>H38/DAY(B2)</f>
        <v>1682.403333333333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'2'!F39</f>
        <v>64411.1</v>
      </c>
      <c r="F39" s="145">
        <v>67052.929999999993</v>
      </c>
      <c r="G39" s="112">
        <f t="shared" si="3"/>
        <v>2641.8299999999945</v>
      </c>
      <c r="H39" s="99">
        <f>G39+'2'!H39</f>
        <v>7879.6399999999921</v>
      </c>
      <c r="I39" s="95"/>
      <c r="J39" s="175">
        <f>H39/DAY(B2)</f>
        <v>2626.5466666666639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'2'!F40</f>
        <v>61</v>
      </c>
      <c r="F40" s="145">
        <v>62.7</v>
      </c>
      <c r="G40" s="112">
        <f t="shared" si="3"/>
        <v>1.7000000000000028</v>
      </c>
      <c r="H40" s="99">
        <f>G40+'2'!H40</f>
        <v>690.43999999999801</v>
      </c>
      <c r="I40" s="95"/>
      <c r="J40" s="175">
        <f>H40/DAY(B2)</f>
        <v>230.14666666666599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'2'!F42</f>
        <v>106463.85</v>
      </c>
      <c r="F42" s="145">
        <v>106500.98</v>
      </c>
      <c r="G42" s="112">
        <f t="shared" si="3"/>
        <v>37.129999999990105</v>
      </c>
      <c r="H42" s="99">
        <f>G42+'2'!H42</f>
        <v>6371.2399999999907</v>
      </c>
      <c r="I42" s="95"/>
      <c r="J42" s="175">
        <f>H42/DAY(B2)</f>
        <v>2123.7466666666637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'2'!F43</f>
        <v>118750.69</v>
      </c>
      <c r="F43" s="145">
        <v>120980.36</v>
      </c>
      <c r="G43" s="112">
        <f t="shared" si="3"/>
        <v>2229.6699999999983</v>
      </c>
      <c r="H43" s="99">
        <f>G43+'2'!H43</f>
        <v>6128.7599999999948</v>
      </c>
      <c r="I43" s="95"/>
      <c r="J43" s="175">
        <f>H43/DAY(B2)</f>
        <v>2042.9199999999983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10503.909999999985</v>
      </c>
      <c r="H47" s="99">
        <f>G47+'2'!H47</f>
        <v>37300.519999999982</v>
      </c>
      <c r="I47" s="95"/>
      <c r="J47" s="175">
        <f>H47/DAY(B2)</f>
        <v>12433.506666666661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'2'!F49</f>
        <v>26982</v>
      </c>
      <c r="F49" s="145">
        <v>28047.55</v>
      </c>
      <c r="G49" s="112">
        <f t="shared" ref="G49:G58" si="4">F49-E49</f>
        <v>1065.5499999999993</v>
      </c>
      <c r="H49" s="99">
        <f>G49+'2'!H49</f>
        <v>3051.3600000000006</v>
      </c>
      <c r="I49" s="95"/>
      <c r="J49" s="175">
        <f>H49/DAY(B2)</f>
        <v>1017.1200000000002</v>
      </c>
      <c r="K49" s="79"/>
      <c r="L49" s="66"/>
      <c r="N49" s="87">
        <f>G35+G49</f>
        <v>2503.1700000000019</v>
      </c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'2'!F50</f>
        <v>58313.08</v>
      </c>
      <c r="F50" s="145">
        <v>59383.14</v>
      </c>
      <c r="G50" s="112">
        <f t="shared" si="4"/>
        <v>1070.0599999999977</v>
      </c>
      <c r="H50" s="99">
        <f>G50+'2'!H50</f>
        <v>2996.510000000002</v>
      </c>
      <c r="I50" s="95"/>
      <c r="J50" s="175">
        <f>H50/DAY(B2)</f>
        <v>998.83666666666738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'2'!F54</f>
        <v>5303.73</v>
      </c>
      <c r="F54" s="145">
        <v>5842.67</v>
      </c>
      <c r="G54" s="112">
        <f t="shared" si="4"/>
        <v>538.94000000000051</v>
      </c>
      <c r="H54" s="99">
        <f>G54+'2'!H54</f>
        <v>695.25</v>
      </c>
      <c r="I54" s="95"/>
      <c r="J54" s="175">
        <f>H54/DAY(B2)</f>
        <v>231.75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'2'!F55</f>
        <v>75489.399999999994</v>
      </c>
      <c r="F55" s="145">
        <v>78823.75</v>
      </c>
      <c r="G55" s="112">
        <f t="shared" si="4"/>
        <v>3334.3500000000058</v>
      </c>
      <c r="H55" s="99">
        <f>G55+'2'!H55</f>
        <v>4457.6399999999994</v>
      </c>
      <c r="I55" s="95"/>
      <c r="J55" s="175">
        <f>H55/DAY(B2)</f>
        <v>1485.8799999999999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8723.6299999999992</v>
      </c>
      <c r="G56" s="112">
        <f t="shared" si="4"/>
        <v>113.08999999999833</v>
      </c>
      <c r="H56" s="99">
        <f>G56+'2'!H56</f>
        <v>113.08999999999833</v>
      </c>
      <c r="I56" s="95"/>
      <c r="J56" s="175">
        <f>H56/DAY(B2)</f>
        <v>37.696666666666111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'2'!F58</f>
        <v>5181.79</v>
      </c>
      <c r="F58" s="145">
        <v>5384.23</v>
      </c>
      <c r="G58" s="112">
        <f t="shared" si="4"/>
        <v>202.4399999999996</v>
      </c>
      <c r="H58" s="99">
        <f>G58+'2'!H58</f>
        <v>588.01999999999953</v>
      </c>
      <c r="I58" s="95"/>
      <c r="J58" s="175">
        <f>H58/DAY(B2)</f>
        <v>196.00666666666652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6324.4300000000012</v>
      </c>
      <c r="H59" s="99">
        <f>G59+'2'!H59</f>
        <v>11901.869999999999</v>
      </c>
      <c r="I59" s="95">
        <f>G7-G60</f>
        <v>2254.6600000000144</v>
      </c>
      <c r="J59" s="175">
        <f>H59/DAY(B2)</f>
        <v>3967.2899999999995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16828.339999999986</v>
      </c>
      <c r="H60" s="99">
        <f>G60+'2'!H60</f>
        <v>49202.389999999985</v>
      </c>
      <c r="I60" s="95">
        <f>G13-G60</f>
        <v>1721.9200000000237</v>
      </c>
      <c r="J60" s="175">
        <f>H60/DAY(B2)</f>
        <v>16400.796666666662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'2'!F62</f>
        <v>269684</v>
      </c>
      <c r="F62" s="164">
        <v>269758</v>
      </c>
      <c r="G62" s="112">
        <f t="shared" ref="G62:G63" si="5">F62-E62</f>
        <v>74</v>
      </c>
      <c r="H62" s="99">
        <f>G62+'2'!H62</f>
        <v>242</v>
      </c>
      <c r="I62" s="118"/>
      <c r="J62" s="175">
        <f>H62/DAY(B2)</f>
        <v>80.666666666666671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'2'!F63</f>
        <v>216088</v>
      </c>
      <c r="F63" s="122">
        <v>216220</v>
      </c>
      <c r="G63" s="112">
        <f t="shared" si="5"/>
        <v>132</v>
      </c>
      <c r="H63" s="99">
        <f>G63+'2'!H63</f>
        <v>423</v>
      </c>
      <c r="I63" s="118"/>
      <c r="J63" s="175">
        <f>H63/DAY(B2)</f>
        <v>141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'2'!F64</f>
        <v>0</v>
      </c>
      <c r="F64" s="122"/>
      <c r="G64" s="112">
        <f>G62+G63</f>
        <v>206</v>
      </c>
      <c r="H64" s="99">
        <f>G64+'2'!H64</f>
        <v>665</v>
      </c>
      <c r="I64" s="118"/>
      <c r="J64" s="175">
        <f>H64/DAY(B2)</f>
        <v>221.66666666666666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'2'!F65</f>
        <v>435065</v>
      </c>
      <c r="F65" s="122">
        <v>435159</v>
      </c>
      <c r="G65" s="112">
        <f t="shared" ref="G65:G70" si="6">F65-E65</f>
        <v>94</v>
      </c>
      <c r="H65" s="99">
        <f>G65+'2'!H65</f>
        <v>236</v>
      </c>
      <c r="I65" s="118"/>
      <c r="J65" s="175">
        <f>H65/DAY(B2)</f>
        <v>78.666666666666671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'2'!F66</f>
        <v>107780</v>
      </c>
      <c r="F66" s="122">
        <v>107802</v>
      </c>
      <c r="G66" s="112">
        <f t="shared" si="6"/>
        <v>22</v>
      </c>
      <c r="H66" s="99">
        <f>G66+'2'!H66</f>
        <v>59</v>
      </c>
      <c r="I66" s="118"/>
      <c r="J66" s="175">
        <f>H66/DAY(B2)</f>
        <v>19.666666666666668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'2'!F67</f>
        <v>104682</v>
      </c>
      <c r="F67" s="122">
        <v>104702</v>
      </c>
      <c r="G67" s="112">
        <f t="shared" si="6"/>
        <v>20</v>
      </c>
      <c r="H67" s="99">
        <f>G67+'2'!H67</f>
        <v>54</v>
      </c>
      <c r="I67" s="118"/>
      <c r="J67" s="175">
        <f>H67/DAY(B2)</f>
        <v>18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'2'!F68</f>
        <v>157766</v>
      </c>
      <c r="F68" s="122">
        <v>157794</v>
      </c>
      <c r="G68" s="112">
        <f t="shared" si="6"/>
        <v>28</v>
      </c>
      <c r="H68" s="99">
        <f>G68+'2'!H68</f>
        <v>97</v>
      </c>
      <c r="I68" s="118"/>
      <c r="J68" s="175">
        <f>H68/DAY(B2)</f>
        <v>32.333333333333336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'2'!F69</f>
        <v>10569</v>
      </c>
      <c r="F69" s="122">
        <v>10578</v>
      </c>
      <c r="G69" s="112">
        <f t="shared" si="6"/>
        <v>9</v>
      </c>
      <c r="H69" s="99">
        <f>G69+'2'!H69</f>
        <v>37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'2'!F70</f>
        <v>8138</v>
      </c>
      <c r="F70" s="122">
        <v>8147</v>
      </c>
      <c r="G70" s="112">
        <f t="shared" si="6"/>
        <v>9</v>
      </c>
      <c r="H70" s="99">
        <f>G70+'2'!H70</f>
        <v>27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182</v>
      </c>
      <c r="H71" s="99">
        <f>G71+'2'!H71</f>
        <v>510</v>
      </c>
      <c r="I71" s="154"/>
      <c r="J71" s="175">
        <f>H71/DAY(B2)</f>
        <v>170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'2'!F74</f>
        <v>901931.71600000001</v>
      </c>
      <c r="F74" s="117">
        <v>902242.26</v>
      </c>
      <c r="G74" s="112">
        <f t="shared" ref="G74:G78" si="7">F74-E74</f>
        <v>310.54399999999441</v>
      </c>
      <c r="H74" s="99">
        <f>G74+'2'!H74</f>
        <v>936.11100000003353</v>
      </c>
      <c r="I74" s="154"/>
      <c r="J74" s="175">
        <f>H74/DAY(B2)</f>
        <v>312.03700000001118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'2'!F76</f>
        <v>170181.77</v>
      </c>
      <c r="F76" s="123">
        <v>170304.09</v>
      </c>
      <c r="G76" s="112">
        <f t="shared" si="7"/>
        <v>122.32000000000698</v>
      </c>
      <c r="H76" s="99">
        <f>G76+'2'!H76</f>
        <v>329.08999999999651</v>
      </c>
      <c r="I76" s="154"/>
      <c r="J76" s="175">
        <f>H76/DAY(B2)</f>
        <v>109.69666666666551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'2'!F77</f>
        <v>41381.1</v>
      </c>
      <c r="F77" s="123">
        <v>41427.5</v>
      </c>
      <c r="G77" s="112">
        <f t="shared" si="7"/>
        <v>46.400000000001455</v>
      </c>
      <c r="H77" s="99">
        <f>G77+'2'!H77</f>
        <v>125.30000000000291</v>
      </c>
      <c r="I77" s="154"/>
      <c r="J77" s="175">
        <f>H77/DAY(B2)</f>
        <v>41.766666666667639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'2'!F78</f>
        <v>9517.7000000000007</v>
      </c>
      <c r="F78" s="123">
        <v>9519.2999999999993</v>
      </c>
      <c r="G78" s="112">
        <f t="shared" si="7"/>
        <v>1.5999999999985448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'2'!F79</f>
        <v>0</v>
      </c>
      <c r="F79" s="117"/>
      <c r="G79" s="112">
        <f>G15-SUM(G74:G78)</f>
        <v>531.48399999999674</v>
      </c>
      <c r="H79" s="99">
        <f>G79+'2'!H79</f>
        <v>1520.2499999999454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1012.3479999999981</v>
      </c>
      <c r="H80" s="99">
        <f>G80+'2'!H80</f>
        <v>1995.4930000000168</v>
      </c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'2'!F85</f>
        <v>2302</v>
      </c>
      <c r="F85" s="164">
        <v>2302</v>
      </c>
      <c r="G85" s="112">
        <f t="shared" si="8"/>
        <v>0</v>
      </c>
      <c r="H85" s="99">
        <f>G85+'2'!H85</f>
        <v>40</v>
      </c>
      <c r="I85" s="118">
        <f>G82+G83+G84+G85</f>
        <v>0</v>
      </c>
      <c r="J85" s="175">
        <f>H85/DAY(B2)</f>
        <v>13.333333333333334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'2'!F86</f>
        <v>43450</v>
      </c>
      <c r="F86" s="164">
        <v>43474</v>
      </c>
      <c r="G86" s="112">
        <f t="shared" si="8"/>
        <v>24</v>
      </c>
      <c r="H86" s="99">
        <f>G86+'2'!H86</f>
        <v>32</v>
      </c>
      <c r="I86" s="118"/>
      <c r="J86" s="175">
        <f>H86/DAY(B2)</f>
        <v>10.666666666666666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5.0000000002910383E-2</v>
      </c>
      <c r="I87" s="118"/>
      <c r="J87" s="175">
        <f>H87/DAY(B2)</f>
        <v>1.6666666667636793E-2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'2'!F88</f>
        <v>24063.43</v>
      </c>
      <c r="F88" s="164">
        <v>24063.43</v>
      </c>
      <c r="G88" s="112">
        <f t="shared" si="8"/>
        <v>0</v>
      </c>
      <c r="H88" s="99">
        <f>G88+'2'!H88</f>
        <v>0</v>
      </c>
      <c r="I88" s="118">
        <f>G86+G87+G88</f>
        <v>24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'2'!F89</f>
        <v>25910</v>
      </c>
      <c r="F89" s="164">
        <v>25919.8</v>
      </c>
      <c r="G89" s="112">
        <f t="shared" si="8"/>
        <v>9.7999999999992724</v>
      </c>
      <c r="H89" s="99">
        <f>G89+'2'!H89</f>
        <v>28.680000000000291</v>
      </c>
      <c r="I89" s="118"/>
      <c r="J89" s="175">
        <f>H89/DAY(B2)</f>
        <v>9.5600000000000964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'2'!F90</f>
        <v>71165.37</v>
      </c>
      <c r="F90" s="164">
        <v>71167.69</v>
      </c>
      <c r="G90" s="112">
        <f t="shared" si="8"/>
        <v>2.3200000000069849</v>
      </c>
      <c r="H90" s="99">
        <f>G90+'2'!H90</f>
        <v>4.3699999999953434</v>
      </c>
      <c r="I90" s="118">
        <f>G89+G90</f>
        <v>12.120000000006257</v>
      </c>
      <c r="J90" s="175">
        <f>H90/DAY(B2)</f>
        <v>1.4566666666651145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'2'!F91</f>
        <v>3274.32</v>
      </c>
      <c r="F91" s="486">
        <v>3285.32</v>
      </c>
      <c r="G91" s="112">
        <f t="shared" si="8"/>
        <v>11</v>
      </c>
      <c r="H91" s="99">
        <f>G91+'2'!H91</f>
        <v>34.230000000000018</v>
      </c>
      <c r="I91" s="165"/>
      <c r="J91" s="175">
        <f>H91/DAY(B2)</f>
        <v>11.410000000000005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4732.84</v>
      </c>
      <c r="H94" s="99">
        <f>G94+'2'!H94</f>
        <v>13252.069999999996</v>
      </c>
      <c r="I94" s="118"/>
      <c r="J94" s="175">
        <f>H94/DAY(B2)</f>
        <v>4417.3566666666657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0.24801341508148614</v>
      </c>
      <c r="H95" s="99">
        <f>G95+'2'!H95</f>
        <v>0.73030484883434721</v>
      </c>
      <c r="I95" s="167"/>
      <c r="J95" s="175">
        <f>H95/DAY(B2)</f>
        <v>0.24343494961144907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3484.5699999999943</v>
      </c>
      <c r="H96" s="99">
        <f>G96+'2'!H96</f>
        <v>10941.969999999988</v>
      </c>
      <c r="I96" s="118"/>
      <c r="J96" s="175">
        <f>H96/DAY(B2)</f>
        <v>3647.3233333333296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0.18260074411780089</v>
      </c>
      <c r="H97" s="99">
        <f>G97+'2'!H97</f>
        <v>0.60581201556125597</v>
      </c>
      <c r="I97" s="167"/>
      <c r="J97" s="175">
        <f>H97/DAY(B2)</f>
        <v>0.20193733852041865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2641.8299999999945</v>
      </c>
      <c r="H98" s="99">
        <f>G98+'2'!H98</f>
        <v>7879.6399999999921</v>
      </c>
      <c r="I98" s="168"/>
      <c r="J98" s="175">
        <f>H98/DAY(B2)</f>
        <v>2626.5466666666639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0.13843892469737434</v>
      </c>
      <c r="H99" s="99">
        <f>G99+'2'!H99</f>
        <v>0.43520590755697586</v>
      </c>
      <c r="I99" s="168"/>
      <c r="J99" s="175">
        <f>H99/DAY(B2)</f>
        <v>0.1450686358523253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1668.1500000000015</v>
      </c>
      <c r="H100" s="99">
        <f>G100+'2'!H100</f>
        <v>5047.2099999999991</v>
      </c>
      <c r="I100" s="118"/>
      <c r="J100" s="175">
        <f>H100/DAY(B2)</f>
        <v>1682.403333333333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8.741550070743602E-2</v>
      </c>
      <c r="H101" s="99">
        <f>G101+'2'!H101</f>
        <v>0.27870912824646332</v>
      </c>
      <c r="I101" s="168"/>
      <c r="J101" s="175">
        <f>H101/DAY(B2)</f>
        <v>9.2903042748821107E-2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2005.7599999999948</v>
      </c>
      <c r="H102" s="99">
        <f>G102+'2'!H102</f>
        <v>5454.4700000000012</v>
      </c>
      <c r="I102" s="168"/>
      <c r="J102" s="175">
        <f>H102/DAY(B2)</f>
        <v>1818.156666666667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0.10510716344390268</v>
      </c>
      <c r="H103" s="99">
        <f>G103+'2'!H103</f>
        <v>0.30033374635285365</v>
      </c>
      <c r="I103" s="118"/>
      <c r="J103" s="175">
        <f>H103/DAY(B2)</f>
        <v>0.10011124878428455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1552.1100000000006</v>
      </c>
      <c r="H104" s="99">
        <f>G104+'2'!H104</f>
        <v>4653.320000000007</v>
      </c>
      <c r="I104" s="118"/>
      <c r="J104" s="175">
        <f>H104/DAY(B2)</f>
        <v>1551.1066666666691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8.1334695802546805E-2</v>
      </c>
      <c r="H105" s="99">
        <f>G105+'2'!H105</f>
        <v>0.25706761454801386</v>
      </c>
      <c r="I105" s="187"/>
      <c r="J105" s="188">
        <f>H105/DAY(B2)</f>
        <v>8.5689204849337952E-2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'2'!F112</f>
        <v>58208.63</v>
      </c>
      <c r="F112" s="237">
        <v>58284.57</v>
      </c>
      <c r="G112" s="112">
        <f t="shared" ref="G112:G123" si="9">F112-E112</f>
        <v>75.940000000002328</v>
      </c>
      <c r="H112" s="99">
        <f>G112+'2'!H112</f>
        <v>230.56999999999971</v>
      </c>
      <c r="I112" s="165"/>
      <c r="J112" s="328">
        <f>H112/DAY(B2)</f>
        <v>76.85666666666657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'2'!F113</f>
        <v>47363.9</v>
      </c>
      <c r="F113" s="237">
        <v>47816.51</v>
      </c>
      <c r="G113" s="112">
        <f t="shared" si="9"/>
        <v>452.61000000000058</v>
      </c>
      <c r="H113" s="99">
        <f>G113+'2'!H113</f>
        <v>1415.6200000000026</v>
      </c>
      <c r="I113" s="165"/>
      <c r="J113" s="328">
        <f>H113/DAY(B2)</f>
        <v>471.87333333333419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'2'!F114</f>
        <v>33745.300000000003</v>
      </c>
      <c r="F114" s="237">
        <v>34008.199999999997</v>
      </c>
      <c r="G114" s="112">
        <f t="shared" si="9"/>
        <v>262.89999999999418</v>
      </c>
      <c r="H114" s="99">
        <f>G114+'2'!H114</f>
        <v>848.19999999999709</v>
      </c>
      <c r="I114" s="165"/>
      <c r="J114" s="328">
        <f>H114/DAY(B2)</f>
        <v>282.73333333333238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'2'!F115</f>
        <v>9114.76</v>
      </c>
      <c r="F115" s="237">
        <v>9128.2999999999993</v>
      </c>
      <c r="G115" s="112">
        <f t="shared" si="9"/>
        <v>13.539999999999054</v>
      </c>
      <c r="H115" s="99">
        <f>G115+'2'!H115</f>
        <v>33.649999999999636</v>
      </c>
      <c r="I115" s="165"/>
      <c r="J115" s="328">
        <f>H115/DAY(B2)</f>
        <v>11.216666666666546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'2'!F117</f>
        <v>3395.23</v>
      </c>
      <c r="F117" s="237">
        <v>3415.74</v>
      </c>
      <c r="G117" s="112">
        <f t="shared" si="9"/>
        <v>20.509999999999764</v>
      </c>
      <c r="H117" s="99">
        <f>G117+'2'!H117</f>
        <v>77.789999999999964</v>
      </c>
      <c r="I117" s="165"/>
      <c r="J117" s="328">
        <f>H117/DAY(B2)</f>
        <v>25.929999999999989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'2'!F118</f>
        <v>253080.85</v>
      </c>
      <c r="F118" s="237">
        <v>253412.19</v>
      </c>
      <c r="G118" s="112">
        <f t="shared" si="9"/>
        <v>331.33999999999651</v>
      </c>
      <c r="H118" s="99">
        <f>G118+'2'!H118</f>
        <v>959.88000000000466</v>
      </c>
      <c r="I118" s="165"/>
      <c r="J118" s="328">
        <f>H118/DAY(B2)</f>
        <v>319.96000000000157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'2'!F119</f>
        <v>259012.89</v>
      </c>
      <c r="F119" s="237">
        <v>259431.61</v>
      </c>
      <c r="G119" s="112">
        <f t="shared" si="9"/>
        <v>418.71999999997206</v>
      </c>
      <c r="H119" s="99">
        <f>G119+'2'!H119</f>
        <v>1283.0599999999977</v>
      </c>
      <c r="I119" s="165"/>
      <c r="J119" s="328">
        <f>H119/DAY(B2)</f>
        <v>427.68666666666587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'2'!F120</f>
        <v>43790.96</v>
      </c>
      <c r="F120" s="237">
        <v>44224.92</v>
      </c>
      <c r="G120" s="112">
        <f t="shared" si="9"/>
        <v>433.95999999999913</v>
      </c>
      <c r="H120" s="99">
        <f>G120+'2'!H120</f>
        <v>1265.3099999999977</v>
      </c>
      <c r="I120" s="165"/>
      <c r="J120" s="328">
        <f>H120/DAY(B2)</f>
        <v>421.76999999999924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'2'!F121</f>
        <v>399468.55</v>
      </c>
      <c r="F121" s="237">
        <v>400202.75</v>
      </c>
      <c r="G121" s="112">
        <f t="shared" si="9"/>
        <v>734.20000000001164</v>
      </c>
      <c r="H121" s="99">
        <f>G121+'2'!H121</f>
        <v>2168.320000000007</v>
      </c>
      <c r="I121" s="165"/>
      <c r="J121" s="328">
        <f>H121/DAY(B2)</f>
        <v>722.7733333333357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'2'!F122</f>
        <v>126606.82</v>
      </c>
      <c r="F122" s="237">
        <v>126857.4</v>
      </c>
      <c r="G122" s="112">
        <f t="shared" si="9"/>
        <v>250.57999999998719</v>
      </c>
      <c r="H122" s="99">
        <f>G122+'2'!H122</f>
        <v>671.22000000000116</v>
      </c>
      <c r="I122" s="165"/>
      <c r="J122" s="328">
        <f>H122/DAY(B2)</f>
        <v>223.74000000000038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'2'!F123</f>
        <v>154565.59</v>
      </c>
      <c r="F123" s="237">
        <v>154821.26999999999</v>
      </c>
      <c r="G123" s="112">
        <f t="shared" si="9"/>
        <v>255.67999999999302</v>
      </c>
      <c r="H123" s="99">
        <f>G123+'2'!H123</f>
        <v>774.31999999997788</v>
      </c>
      <c r="I123" s="165"/>
      <c r="J123" s="328">
        <f>H123/DAY(B2)</f>
        <v>258.10666666665929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9.25">
      <c r="A125" s="893" t="s">
        <v>196</v>
      </c>
      <c r="B125" s="894"/>
      <c r="C125" s="895"/>
      <c r="D125" s="307"/>
      <c r="E125" s="308"/>
      <c r="F125" s="308"/>
      <c r="G125" s="309">
        <f>SUM(G112:G124)</f>
        <v>3249.9799999999555</v>
      </c>
      <c r="H125" s="156"/>
      <c r="I125" s="327">
        <f>G125-(G39+G53)</f>
        <v>608.14999999996098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'2'!F128</f>
        <v>48382.55</v>
      </c>
      <c r="F128" s="165">
        <v>48683.7</v>
      </c>
      <c r="G128" s="112">
        <f t="shared" ref="G128:G134" si="10">F128-E128</f>
        <v>301.14999999999418</v>
      </c>
      <c r="H128" s="99">
        <f>G128+'2'!H128</f>
        <v>937.69999999999709</v>
      </c>
      <c r="I128" s="165"/>
      <c r="J128" s="328">
        <f>H128/DAY(B2)</f>
        <v>312.5666666666657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'2'!F129</f>
        <v>27328.1</v>
      </c>
      <c r="F129" s="165">
        <v>27520.54</v>
      </c>
      <c r="G129" s="112">
        <f t="shared" si="10"/>
        <v>192.44000000000233</v>
      </c>
      <c r="H129" s="99">
        <f>G129+'2'!H129</f>
        <v>609.67000000000189</v>
      </c>
      <c r="I129" s="165"/>
      <c r="J129" s="328">
        <f>H129/DAY(B2)</f>
        <v>203.22333333333395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'2'!F130</f>
        <v>36747.9</v>
      </c>
      <c r="F130" s="165">
        <v>37362.01</v>
      </c>
      <c r="G130" s="112">
        <f t="shared" si="10"/>
        <v>614.11000000000058</v>
      </c>
      <c r="H130" s="99">
        <f>G130+'2'!H130</f>
        <v>1668.010000000002</v>
      </c>
      <c r="I130" s="165"/>
      <c r="J130" s="328">
        <f>H130/DAY(B2)</f>
        <v>556.00333333333401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'2'!F131</f>
        <v>15427.4</v>
      </c>
      <c r="F131" s="165">
        <v>15508.01</v>
      </c>
      <c r="G131" s="112">
        <f t="shared" si="10"/>
        <v>80.610000000000582</v>
      </c>
      <c r="H131" s="99">
        <f>G131+'2'!H131</f>
        <v>200.32999999999993</v>
      </c>
      <c r="I131" s="165"/>
      <c r="J131" s="328">
        <f>H131/DAY(B2)</f>
        <v>66.776666666666642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'2'!F132</f>
        <v>52212.32</v>
      </c>
      <c r="F132" s="165">
        <v>52436</v>
      </c>
      <c r="G132" s="112">
        <f t="shared" si="10"/>
        <v>223.68000000000029</v>
      </c>
      <c r="H132" s="99">
        <f>G132+'2'!H132</f>
        <v>587.69999999999709</v>
      </c>
      <c r="I132" s="165"/>
      <c r="J132" s="328">
        <f>H132/DAY(B2)</f>
        <v>195.89999999999904</v>
      </c>
    </row>
    <row r="133" spans="1:15" ht="27.75">
      <c r="A133" s="863" t="s">
        <v>342</v>
      </c>
      <c r="B133" s="864"/>
      <c r="C133" s="865"/>
      <c r="D133" s="151" t="s">
        <v>183</v>
      </c>
      <c r="E133" s="95">
        <f>'2'!F133</f>
        <v>106404.31</v>
      </c>
      <c r="F133" s="165">
        <v>106969.46</v>
      </c>
      <c r="G133" s="112">
        <f t="shared" si="10"/>
        <v>565.15000000000873</v>
      </c>
      <c r="H133" s="99">
        <f>G133+'2'!H133</f>
        <v>1625.7600000000093</v>
      </c>
      <c r="I133" s="165"/>
      <c r="J133" s="328">
        <f>H133/DAY(B2)</f>
        <v>541.92000000000314</v>
      </c>
    </row>
    <row r="134" spans="1:15" ht="27.75">
      <c r="A134" s="925" t="s">
        <v>340</v>
      </c>
      <c r="B134" s="926"/>
      <c r="C134" s="850"/>
      <c r="D134" s="151" t="s">
        <v>183</v>
      </c>
      <c r="E134" s="95">
        <f>'2'!F134</f>
        <v>8906.8799999999992</v>
      </c>
      <c r="F134" s="165">
        <v>9066.3799999999992</v>
      </c>
      <c r="G134" s="112">
        <f t="shared" si="10"/>
        <v>159.5</v>
      </c>
      <c r="H134" s="99">
        <f>G134+'2'!H134</f>
        <v>465.14999999999964</v>
      </c>
      <c r="I134" s="165"/>
      <c r="J134" s="328">
        <f>H134/DAY(B2)</f>
        <v>155.04999999999987</v>
      </c>
    </row>
    <row r="135" spans="1:15" ht="29.25">
      <c r="A135" s="893" t="s">
        <v>196</v>
      </c>
      <c r="B135" s="894"/>
      <c r="C135" s="895"/>
      <c r="D135" s="151"/>
      <c r="E135" s="95"/>
      <c r="F135" s="165"/>
      <c r="G135" s="112">
        <f>SUM(G128:G134)</f>
        <v>2136.6400000000067</v>
      </c>
      <c r="H135" s="99">
        <f>G135+'2'!H135</f>
        <v>6094.320000000007</v>
      </c>
      <c r="I135" s="327">
        <f>G135-(G35+G49)</f>
        <v>-366.5299999999952</v>
      </c>
      <c r="J135" s="328">
        <f>H135/DAY(B2)</f>
        <v>2031.4400000000023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'2'!F138</f>
        <v>866293</v>
      </c>
      <c r="F138" s="147">
        <v>866371</v>
      </c>
      <c r="G138" s="112">
        <f t="shared" ref="G138:G152" si="11">F138-E138</f>
        <v>78</v>
      </c>
      <c r="H138" s="99">
        <f>G138+'2'!H138</f>
        <v>198</v>
      </c>
      <c r="I138" s="118"/>
      <c r="J138" s="328">
        <f>H138/DAY(B2)</f>
        <v>66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'2'!F139</f>
        <v>886576</v>
      </c>
      <c r="F139" s="148">
        <v>886577</v>
      </c>
      <c r="G139" s="112">
        <f t="shared" si="11"/>
        <v>1</v>
      </c>
      <c r="H139" s="99">
        <f>G139+'2'!H139</f>
        <v>4</v>
      </c>
      <c r="I139" s="118"/>
      <c r="J139" s="328">
        <f>H139/DAY(B2)</f>
        <v>1.3333333333333333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'2'!F140</f>
        <v>88932.6</v>
      </c>
      <c r="F140" s="149">
        <v>88933.8</v>
      </c>
      <c r="G140" s="112">
        <f t="shared" si="11"/>
        <v>1.1999999999970896</v>
      </c>
      <c r="H140" s="99">
        <f>G140+'2'!H140</f>
        <v>11.80000000000291</v>
      </c>
      <c r="I140" s="118"/>
      <c r="J140" s="328">
        <f>H140/DAY(B2)</f>
        <v>3.9333333333343035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'2'!F141</f>
        <v>55027.8</v>
      </c>
      <c r="F141" s="149">
        <v>55187.1</v>
      </c>
      <c r="G141" s="112">
        <f t="shared" si="11"/>
        <v>159.29999999999563</v>
      </c>
      <c r="H141" s="99">
        <f>G141+'2'!H141</f>
        <v>501.5199999999968</v>
      </c>
      <c r="I141" s="118"/>
      <c r="J141" s="328">
        <f>H141/DAY(B2)</f>
        <v>167.17333333333227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'2'!F142</f>
        <v>21429.24</v>
      </c>
      <c r="F142" s="148">
        <v>21492.35</v>
      </c>
      <c r="G142" s="112">
        <f t="shared" si="11"/>
        <v>63.109999999996944</v>
      </c>
      <c r="H142" s="99">
        <f>G142+'2'!H142</f>
        <v>208.25</v>
      </c>
      <c r="I142" s="140"/>
      <c r="J142" s="328">
        <f>H142/DAY(B2)</f>
        <v>69.416666666666671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'2'!F143</f>
        <v>3889.08</v>
      </c>
      <c r="F143" s="149">
        <v>3915.53</v>
      </c>
      <c r="G143" s="112">
        <f t="shared" si="11"/>
        <v>26.450000000000273</v>
      </c>
      <c r="H143" s="99">
        <f>G143+'2'!H143</f>
        <v>80.140000000000327</v>
      </c>
      <c r="I143" s="140"/>
      <c r="J143" s="328">
        <f>H143/DAY(B2)</f>
        <v>26.713333333333441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'2'!F144</f>
        <v>876893</v>
      </c>
      <c r="F144" s="149">
        <v>877103</v>
      </c>
      <c r="G144" s="112">
        <f t="shared" si="11"/>
        <v>210</v>
      </c>
      <c r="H144" s="99">
        <f>G144+'2'!H144</f>
        <v>616</v>
      </c>
      <c r="I144" s="140"/>
      <c r="J144" s="328">
        <f>H144/DAY(B2)</f>
        <v>205.33333333333334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'2'!F145</f>
        <v>4985.33</v>
      </c>
      <c r="F145" s="149">
        <v>5000</v>
      </c>
      <c r="G145" s="112">
        <f t="shared" si="11"/>
        <v>14.670000000000073</v>
      </c>
      <c r="H145" s="99">
        <f>G145+'2'!H145</f>
        <v>41.159999999999854</v>
      </c>
      <c r="I145" s="140"/>
      <c r="J145" s="328">
        <f>H145/DAY(B2)</f>
        <v>13.719999999999951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'2'!F146</f>
        <v>738119</v>
      </c>
      <c r="F146" s="147">
        <v>738536</v>
      </c>
      <c r="G146" s="112">
        <f t="shared" si="11"/>
        <v>417</v>
      </c>
      <c r="H146" s="99">
        <f>G146+'2'!H146</f>
        <v>1203</v>
      </c>
      <c r="I146" s="140"/>
      <c r="J146" s="328">
        <f>H146/DAY(B2)</f>
        <v>401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'2'!F147</f>
        <v>627378.12</v>
      </c>
      <c r="F147" s="148">
        <v>627756</v>
      </c>
      <c r="G147" s="112">
        <f t="shared" si="11"/>
        <v>377.88000000000466</v>
      </c>
      <c r="H147" s="99">
        <f>G147+'2'!H147</f>
        <v>1143.4799999999814</v>
      </c>
      <c r="I147" s="140"/>
      <c r="J147" s="328">
        <f>H147/DAY(B2)</f>
        <v>381.15999999999377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'2'!F148</f>
        <v>689904.24</v>
      </c>
      <c r="F148" s="150">
        <v>690148.88</v>
      </c>
      <c r="G148" s="112">
        <f t="shared" si="11"/>
        <v>244.64000000001397</v>
      </c>
      <c r="H148" s="99">
        <f>G148+'2'!H148</f>
        <v>705.92000000004191</v>
      </c>
      <c r="I148" s="124"/>
      <c r="J148" s="328">
        <f>H148/DAY(B2)</f>
        <v>235.30666666668063</v>
      </c>
    </row>
    <row r="149" spans="1:10" ht="27.75">
      <c r="A149" s="921" t="s">
        <v>336</v>
      </c>
      <c r="B149" s="922"/>
      <c r="C149" s="923"/>
      <c r="D149" s="227" t="s">
        <v>130</v>
      </c>
      <c r="E149" s="95">
        <f>'2'!F149</f>
        <v>25534.7</v>
      </c>
      <c r="F149" s="146">
        <v>25950.48</v>
      </c>
      <c r="G149" s="112">
        <f t="shared" si="11"/>
        <v>415.77999999999884</v>
      </c>
      <c r="H149" s="99">
        <f>G149+'2'!H149</f>
        <v>1272.2799999999988</v>
      </c>
      <c r="I149" s="119"/>
      <c r="J149" s="328">
        <f>H149/DAY(B2)</f>
        <v>424.09333333333296</v>
      </c>
    </row>
    <row r="150" spans="1:10" ht="27.75">
      <c r="A150" s="921" t="s">
        <v>337</v>
      </c>
      <c r="B150" s="922"/>
      <c r="C150" s="923"/>
      <c r="D150" s="117" t="s">
        <v>130</v>
      </c>
      <c r="E150" s="95">
        <f>'2'!F150</f>
        <v>11279.22</v>
      </c>
      <c r="F150" s="233">
        <v>11501.1</v>
      </c>
      <c r="G150" s="112">
        <f t="shared" si="11"/>
        <v>221.88000000000102</v>
      </c>
      <c r="H150" s="99">
        <f>G150+'2'!H150</f>
        <v>650.27000000000044</v>
      </c>
      <c r="I150" s="119"/>
      <c r="J150" s="328">
        <f>H150/DAY(B2)</f>
        <v>216.7566666666668</v>
      </c>
    </row>
    <row r="151" spans="1:10" ht="29.25" customHeight="1">
      <c r="A151" s="921" t="s">
        <v>338</v>
      </c>
      <c r="B151" s="922"/>
      <c r="C151" s="923"/>
      <c r="D151" s="117" t="s">
        <v>130</v>
      </c>
      <c r="E151" s="95">
        <f>'2'!F151</f>
        <v>86023</v>
      </c>
      <c r="F151" s="233">
        <v>86216</v>
      </c>
      <c r="G151" s="112">
        <f t="shared" si="11"/>
        <v>193</v>
      </c>
      <c r="H151" s="99">
        <f>G151+'2'!H151</f>
        <v>736</v>
      </c>
      <c r="I151" s="119"/>
      <c r="J151" s="328">
        <f>H151/DAY(B2)</f>
        <v>245.33333333333334</v>
      </c>
    </row>
    <row r="152" spans="1:10" ht="29.25" customHeight="1">
      <c r="A152" s="921" t="s">
        <v>339</v>
      </c>
      <c r="B152" s="922"/>
      <c r="C152" s="923"/>
      <c r="D152" s="117" t="s">
        <v>130</v>
      </c>
      <c r="E152" s="95">
        <f>'2'!F152</f>
        <v>1706.35</v>
      </c>
      <c r="F152" s="233">
        <v>1777.9</v>
      </c>
      <c r="G152" s="112">
        <f t="shared" si="11"/>
        <v>71.550000000000182</v>
      </c>
      <c r="H152" s="99">
        <f>G152+'2'!H152</f>
        <v>117.90000000000009</v>
      </c>
      <c r="I152" s="119"/>
      <c r="J152" s="328">
        <f>H152/DAY(B2)</f>
        <v>39.300000000000033</v>
      </c>
    </row>
    <row r="153" spans="1:10" ht="29.25" customHeight="1">
      <c r="A153" s="893" t="s">
        <v>196</v>
      </c>
      <c r="B153" s="894"/>
      <c r="C153" s="895"/>
      <c r="D153" s="367"/>
      <c r="E153" s="368"/>
      <c r="F153" s="369"/>
      <c r="G153" s="370">
        <f>SUM(G138:G152)</f>
        <v>2495.4600000000087</v>
      </c>
      <c r="H153" s="371"/>
      <c r="I153" s="119">
        <f>G153-(G38+G52)</f>
        <v>827.31000000000722</v>
      </c>
      <c r="J153" s="372"/>
    </row>
    <row r="154" spans="1:10" ht="29.2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9.25" customHeight="1">
      <c r="A155" s="843" t="s">
        <v>345</v>
      </c>
      <c r="B155" s="843"/>
      <c r="C155" s="843"/>
      <c r="D155" s="117" t="s">
        <v>130</v>
      </c>
      <c r="E155" s="95">
        <f>'2'!F155</f>
        <v>33621.9</v>
      </c>
      <c r="F155" s="471">
        <v>34307.279999999999</v>
      </c>
      <c r="G155" s="112">
        <f t="shared" ref="G155:G158" si="12">F155-E155</f>
        <v>685.37999999999738</v>
      </c>
      <c r="H155" s="99">
        <f>G155+'2'!H155</f>
        <v>1362.2799999999988</v>
      </c>
      <c r="I155" s="364"/>
      <c r="J155" s="328">
        <f>H155/DAY(B2)</f>
        <v>454.09333333333296</v>
      </c>
    </row>
    <row r="156" spans="1:10" ht="29.25" customHeight="1">
      <c r="A156" s="924" t="s">
        <v>346</v>
      </c>
      <c r="B156" s="924"/>
      <c r="C156" s="924"/>
      <c r="D156" s="117" t="s">
        <v>130</v>
      </c>
      <c r="E156" s="95">
        <f>'2'!F156</f>
        <v>2839.76</v>
      </c>
      <c r="F156" s="471">
        <v>2888.8</v>
      </c>
      <c r="G156" s="112">
        <f t="shared" si="12"/>
        <v>49.039999999999964</v>
      </c>
      <c r="H156" s="99">
        <f>G156+'2'!H156</f>
        <v>100.80000000000018</v>
      </c>
      <c r="I156" s="165"/>
      <c r="J156" s="328">
        <f>H156/DAY(B2)</f>
        <v>33.600000000000058</v>
      </c>
    </row>
    <row r="157" spans="1:10" ht="29.25" customHeight="1">
      <c r="A157" s="844" t="s">
        <v>363</v>
      </c>
      <c r="B157" s="845"/>
      <c r="C157" s="846"/>
      <c r="D157" s="117" t="s">
        <v>130</v>
      </c>
      <c r="E157" s="95">
        <f>'2'!F157</f>
        <v>4207</v>
      </c>
      <c r="F157" s="471">
        <v>4282.29</v>
      </c>
      <c r="G157" s="112">
        <f t="shared" si="12"/>
        <v>75.289999999999964</v>
      </c>
      <c r="H157" s="99"/>
      <c r="I157" s="165"/>
      <c r="J157" s="328"/>
    </row>
    <row r="158" spans="1:10" ht="29.25" customHeight="1">
      <c r="A158" s="844" t="s">
        <v>364</v>
      </c>
      <c r="B158" s="845"/>
      <c r="C158" s="846"/>
      <c r="D158" s="117" t="s">
        <v>130</v>
      </c>
      <c r="E158" s="95">
        <f>'2'!F158</f>
        <v>60</v>
      </c>
      <c r="F158" s="471">
        <v>60.9</v>
      </c>
      <c r="G158" s="112">
        <f t="shared" si="12"/>
        <v>0.89999999999999858</v>
      </c>
      <c r="H158" s="99"/>
      <c r="I158" s="165"/>
      <c r="J158" s="328"/>
    </row>
    <row r="159" spans="1:10" ht="29.25" customHeight="1">
      <c r="A159" s="921"/>
      <c r="B159" s="922"/>
      <c r="C159" s="923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'2'!F161</f>
        <v>472154.68</v>
      </c>
      <c r="F161" s="235">
        <v>472208.24</v>
      </c>
      <c r="G161" s="238">
        <f t="shared" ref="G161:G165" si="13">F161-E161</f>
        <v>53.559999999997672</v>
      </c>
      <c r="H161" s="99">
        <f>G161+'2'!H161</f>
        <v>154.67999999999302</v>
      </c>
      <c r="I161" s="236"/>
      <c r="J161" s="239">
        <f>H161/DAY(B2)</f>
        <v>51.559999999997672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'2'!F162</f>
        <v>88596.5</v>
      </c>
      <c r="F162" s="235">
        <v>88636.3</v>
      </c>
      <c r="G162" s="238">
        <f t="shared" si="13"/>
        <v>39.80000000000291</v>
      </c>
      <c r="H162" s="99">
        <f>G162+'2'!H162</f>
        <v>119.90000000000873</v>
      </c>
      <c r="I162" s="236"/>
      <c r="J162" s="239">
        <f>H162/DAY(B2)</f>
        <v>39.966666666669575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'2'!F163</f>
        <v>79285.3</v>
      </c>
      <c r="F163" s="235">
        <v>79318.8</v>
      </c>
      <c r="G163" s="238">
        <f t="shared" si="13"/>
        <v>33.5</v>
      </c>
      <c r="H163" s="99">
        <f>G163+'2'!H163</f>
        <v>98.69999999999709</v>
      </c>
      <c r="I163" s="236"/>
      <c r="J163" s="239">
        <f>H163/DAY(B2)</f>
        <v>32.899999999999032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'2'!F164</f>
        <v>4323.3</v>
      </c>
      <c r="F164" s="235">
        <v>4323.5</v>
      </c>
      <c r="G164" s="238">
        <f t="shared" si="13"/>
        <v>0.1999999999998181</v>
      </c>
      <c r="H164" s="99">
        <f>G164+'2'!H164</f>
        <v>3.5</v>
      </c>
      <c r="I164" s="236"/>
      <c r="J164" s="239">
        <f>H164/DAY(B2)</f>
        <v>1.1666666666666667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'2'!F165</f>
        <v>29875.27</v>
      </c>
      <c r="F165" s="235">
        <v>29884.87</v>
      </c>
      <c r="G165" s="238">
        <f t="shared" si="13"/>
        <v>9.5999999999985448</v>
      </c>
      <c r="H165" s="99">
        <f>G165+'2'!H165</f>
        <v>27.619999999998981</v>
      </c>
      <c r="I165" s="236"/>
      <c r="J165" s="239">
        <f>H165/DAY(B2)</f>
        <v>9.2066666666663277</v>
      </c>
    </row>
    <row r="166" spans="1:10" ht="29.25">
      <c r="A166" s="852"/>
      <c r="B166" s="85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>
      <c r="A167" s="852"/>
      <c r="B167" s="85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>
      <c r="A168" s="852"/>
      <c r="B168" s="85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'2'!F173</f>
        <v>8126</v>
      </c>
      <c r="F173" s="551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'2'!F174</f>
        <v>38637</v>
      </c>
      <c r="F174" s="157">
        <v>38649</v>
      </c>
      <c r="G174" s="155">
        <f t="shared" ref="G174:G175" si="14">F174-E174</f>
        <v>12</v>
      </c>
      <c r="H174" s="99">
        <f>G174+'2'!H174</f>
        <v>34</v>
      </c>
      <c r="I174" s="155"/>
      <c r="J174" s="178">
        <f>H174/DAY(B2)</f>
        <v>11.333333333333334</v>
      </c>
    </row>
    <row r="175" spans="1:10" ht="21.75" customHeight="1">
      <c r="A175" s="856" t="s">
        <v>76</v>
      </c>
      <c r="B175" s="896"/>
      <c r="C175" s="857"/>
      <c r="D175" s="228" t="s">
        <v>142</v>
      </c>
      <c r="E175" s="95">
        <f>'2'!F175</f>
        <v>21832</v>
      </c>
      <c r="F175" s="155">
        <v>21841</v>
      </c>
      <c r="G175" s="155">
        <f t="shared" si="14"/>
        <v>9</v>
      </c>
      <c r="H175" s="99">
        <f>G175+'2'!H175</f>
        <v>28</v>
      </c>
      <c r="I175" s="155"/>
      <c r="J175" s="178">
        <f>H175/DAY(B2)</f>
        <v>9.3333333333333339</v>
      </c>
    </row>
    <row r="176" spans="1:10" ht="21.75" customHeight="1">
      <c r="A176" s="893" t="s">
        <v>196</v>
      </c>
      <c r="B176" s="894"/>
      <c r="C176" s="895"/>
      <c r="D176" s="228"/>
      <c r="E176" s="95"/>
      <c r="F176" s="155"/>
      <c r="G176" s="155">
        <f>SUM(G173:G175)</f>
        <v>21</v>
      </c>
      <c r="H176" s="99">
        <f>G176+'2'!H176</f>
        <v>62</v>
      </c>
      <c r="I176" s="155"/>
      <c r="J176" s="178">
        <f>H176/DAY(B2)</f>
        <v>20.666666666666668</v>
      </c>
    </row>
    <row r="177" spans="1:10" ht="21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56" t="s">
        <v>210</v>
      </c>
      <c r="B178" s="857"/>
      <c r="C178" s="333"/>
      <c r="D178" s="228" t="s">
        <v>142</v>
      </c>
      <c r="E178" s="95">
        <f>'2'!F178</f>
        <v>81448</v>
      </c>
      <c r="F178" s="155">
        <v>81457</v>
      </c>
      <c r="G178" s="155">
        <f>F178-E178</f>
        <v>9</v>
      </c>
      <c r="H178" s="99">
        <f>G178+'2'!H178</f>
        <v>142</v>
      </c>
      <c r="I178" s="155"/>
      <c r="J178" s="178">
        <f>H178/DAY(B2)</f>
        <v>47.333333333333336</v>
      </c>
    </row>
    <row r="179" spans="1:10" ht="24" customHeight="1">
      <c r="A179" s="856" t="s">
        <v>211</v>
      </c>
      <c r="B179" s="857"/>
      <c r="C179" s="333"/>
      <c r="D179" s="228" t="s">
        <v>142</v>
      </c>
      <c r="E179" s="95">
        <f>'2'!F179</f>
        <v>34869</v>
      </c>
      <c r="F179" s="155">
        <v>34903</v>
      </c>
      <c r="G179" s="155">
        <f t="shared" ref="G179:G180" si="15">F179-E179</f>
        <v>34</v>
      </c>
      <c r="H179" s="99">
        <f>G179+'2'!H179</f>
        <v>100</v>
      </c>
      <c r="I179" s="155"/>
      <c r="J179" s="178">
        <f>H179/DAY(B2)</f>
        <v>33.333333333333336</v>
      </c>
    </row>
    <row r="180" spans="1:10" ht="22.5" customHeight="1">
      <c r="A180" s="856" t="s">
        <v>212</v>
      </c>
      <c r="B180" s="857"/>
      <c r="C180" s="333"/>
      <c r="D180" s="228" t="s">
        <v>142</v>
      </c>
      <c r="E180" s="95">
        <f>'2'!F180</f>
        <v>5710</v>
      </c>
      <c r="F180" s="155">
        <v>5721</v>
      </c>
      <c r="G180" s="155">
        <f t="shared" si="15"/>
        <v>11</v>
      </c>
      <c r="H180" s="99">
        <f>G180+'2'!H180</f>
        <v>19</v>
      </c>
      <c r="I180" s="155"/>
      <c r="J180" s="178">
        <f>H180/DAY(B2)</f>
        <v>6.333333333333333</v>
      </c>
    </row>
    <row r="181" spans="1:10" ht="29.25">
      <c r="A181" s="893" t="s">
        <v>196</v>
      </c>
      <c r="B181" s="894"/>
      <c r="C181" s="895"/>
      <c r="D181" s="228"/>
      <c r="E181" s="95"/>
      <c r="F181" s="155"/>
      <c r="G181" s="155">
        <f>SUM(G178:G180)</f>
        <v>54</v>
      </c>
      <c r="H181" s="99">
        <f>G181+'2'!H181</f>
        <v>261</v>
      </c>
      <c r="I181" s="155"/>
      <c r="J181" s="178">
        <f>H181/DAY(B2)</f>
        <v>87</v>
      </c>
    </row>
    <row r="182" spans="1:10" ht="27" customHeight="1">
      <c r="A182" s="856" t="s">
        <v>213</v>
      </c>
      <c r="B182" s="85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56" t="s">
        <v>214</v>
      </c>
      <c r="B183" s="857"/>
      <c r="C183" s="334"/>
      <c r="D183" s="228" t="s">
        <v>142</v>
      </c>
      <c r="E183" s="95">
        <f>'2'!F183</f>
        <v>15378</v>
      </c>
      <c r="F183" s="157">
        <v>15389</v>
      </c>
      <c r="G183" s="157">
        <f>F183-E183</f>
        <v>11</v>
      </c>
      <c r="H183" s="99">
        <f>G183+'2'!H183</f>
        <v>44</v>
      </c>
      <c r="I183" s="155"/>
      <c r="J183" s="178">
        <f>H183/DAY(B2)</f>
        <v>14.666666666666666</v>
      </c>
    </row>
    <row r="184" spans="1:10" ht="25.5" customHeight="1">
      <c r="A184" s="856" t="s">
        <v>215</v>
      </c>
      <c r="B184" s="857"/>
      <c r="C184" s="334"/>
      <c r="D184" s="228" t="s">
        <v>142</v>
      </c>
      <c r="E184" s="95">
        <f>'2'!F184</f>
        <v>10532</v>
      </c>
      <c r="F184" s="157">
        <v>10539</v>
      </c>
      <c r="G184" s="157">
        <f t="shared" ref="G184:G185" si="16">F184-E184</f>
        <v>7</v>
      </c>
      <c r="H184" s="99">
        <f>G184+'2'!H184</f>
        <v>21</v>
      </c>
      <c r="I184" s="155"/>
      <c r="J184" s="178">
        <f>H184/DAY(B2)</f>
        <v>7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>
      <c r="A186" s="893" t="s">
        <v>196</v>
      </c>
      <c r="B186" s="894"/>
      <c r="C186" s="895"/>
      <c r="D186" s="229"/>
      <c r="E186" s="95"/>
      <c r="F186" s="157"/>
      <c r="G186" s="157">
        <f>SUM(G183:G185)</f>
        <v>18</v>
      </c>
      <c r="H186" s="99">
        <f>G186+'2'!H186</f>
        <v>65</v>
      </c>
      <c r="I186" s="157"/>
      <c r="J186" s="178">
        <f>H186/DAY(B2)</f>
        <v>21.666666666666668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127</v>
      </c>
      <c r="H187" s="99">
        <f>G187+'2'!H187</f>
        <v>383</v>
      </c>
      <c r="I187" s="158"/>
      <c r="J187" s="179">
        <f>H187/DAY(B2)</f>
        <v>127.66666666666667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154</v>
      </c>
      <c r="H188" s="99">
        <f>G188+'2'!H188</f>
        <v>413</v>
      </c>
      <c r="I188" s="158"/>
      <c r="J188" s="179">
        <f>H188/DAY(B2)</f>
        <v>137.66666666666666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54</v>
      </c>
      <c r="H189" s="99">
        <f>G189+'2'!H189</f>
        <v>261</v>
      </c>
      <c r="I189" s="158"/>
      <c r="J189" s="179">
        <f>H189/DAY(B2)</f>
        <v>87</v>
      </c>
    </row>
    <row r="190" spans="1:10" ht="27.7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29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21" zoomScale="55" zoomScaleNormal="48" zoomScaleSheetLayoutView="55" workbookViewId="0">
      <selection activeCell="F165" sqref="F1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44596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>
      <c r="A7" s="194" t="s">
        <v>129</v>
      </c>
      <c r="B7" s="195"/>
      <c r="C7" s="195"/>
      <c r="D7" s="151" t="s">
        <v>130</v>
      </c>
      <c r="E7" s="95">
        <f>'3'!F7</f>
        <v>705577</v>
      </c>
      <c r="F7" s="95">
        <v>724047.59</v>
      </c>
      <c r="G7" s="112">
        <f>F7-E7</f>
        <v>18470.589999999967</v>
      </c>
      <c r="H7" s="99">
        <f>G7+'3'!H7</f>
        <v>72867.359999999986</v>
      </c>
      <c r="I7" s="113">
        <f>'1'!I7</f>
        <v>12000</v>
      </c>
      <c r="J7" s="175">
        <f>H7/DAY(B2)</f>
        <v>18216.839999999997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'3'!F8</f>
        <v>763564</v>
      </c>
      <c r="F8" s="114">
        <v>782176.71</v>
      </c>
      <c r="G8" s="115">
        <f>F8-E8</f>
        <v>18612.709999999963</v>
      </c>
      <c r="H8" s="99">
        <f>G8+'3'!H8</f>
        <v>73628.559999999939</v>
      </c>
      <c r="I8" s="116"/>
      <c r="J8" s="175">
        <f>H8/DAY(B2)</f>
        <v>18407.139999999985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'3'!F9</f>
        <v>322590.71000000002</v>
      </c>
      <c r="F9" s="117">
        <v>334674.45</v>
      </c>
      <c r="G9" s="112">
        <f>F9-E9</f>
        <v>12083.739999999991</v>
      </c>
      <c r="H9" s="99">
        <f>G9+'3'!H9</f>
        <v>52420.600000000035</v>
      </c>
      <c r="I9" s="124">
        <f>I7-J7</f>
        <v>-6216.8399999999965</v>
      </c>
      <c r="J9" s="175">
        <f>H9/DAY(B2)</f>
        <v>13105.150000000009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'3'!F10</f>
        <v>117782.93</v>
      </c>
      <c r="F10" s="117">
        <v>123643.08</v>
      </c>
      <c r="G10" s="112">
        <f t="shared" ref="G10:G12" si="0">F10-E10</f>
        <v>5860.1500000000087</v>
      </c>
      <c r="H10" s="99">
        <f>G10+'3'!H10</f>
        <v>18384.11</v>
      </c>
      <c r="I10" s="282"/>
      <c r="J10" s="175">
        <f>H10/DAY(B2)</f>
        <v>4596.0275000000001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'3'!F11</f>
        <v>37170</v>
      </c>
      <c r="F11" s="95">
        <v>37170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17943.89</v>
      </c>
      <c r="H13" s="99">
        <f>G13+'3'!H13</f>
        <v>54050.28</v>
      </c>
      <c r="I13" s="120">
        <f>G7-G13</f>
        <v>526.69999999996799</v>
      </c>
      <c r="J13" s="175">
        <f>H13/DAY(B2)</f>
        <v>13512.57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'3'!F15</f>
        <v>1909550.818</v>
      </c>
      <c r="F15" s="123">
        <v>1910548.77</v>
      </c>
      <c r="G15" s="112">
        <f>(F15-E15)</f>
        <v>997.95200000004843</v>
      </c>
      <c r="H15" s="99">
        <f>G15+'3'!H15</f>
        <v>3912.0030000000261</v>
      </c>
      <c r="I15" s="113">
        <f>'1'!I15</f>
        <v>800</v>
      </c>
      <c r="J15" s="175">
        <f>H15/DAY(B2)</f>
        <v>978.00075000000652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-178.00075000000652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'3'!F18</f>
        <v>18</v>
      </c>
      <c r="F18" s="122">
        <v>21</v>
      </c>
      <c r="G18" s="119">
        <f>F18*10</f>
        <v>210</v>
      </c>
      <c r="H18" s="99">
        <f>G18+'3'!H18</f>
        <v>720</v>
      </c>
      <c r="I18" s="113">
        <f>'1'!I18</f>
        <v>65</v>
      </c>
      <c r="J18" s="175">
        <f>H18/DAY(B2)</f>
        <v>180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'3'!F19</f>
        <v>154032</v>
      </c>
      <c r="F19" s="122">
        <v>154083</v>
      </c>
      <c r="G19" s="112">
        <f t="shared" ref="G19" si="1">F19-E19</f>
        <v>51</v>
      </c>
      <c r="H19" s="99">
        <f>G19+'3'!H19</f>
        <v>192</v>
      </c>
      <c r="I19" s="335"/>
      <c r="J19" s="175">
        <f>H19/DAY(B2)</f>
        <v>48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G20+'3'!H20</f>
        <v>912</v>
      </c>
      <c r="I20" s="336">
        <f>I18-J20</f>
        <v>-163</v>
      </c>
      <c r="J20" s="175">
        <f>H20/DAY(B2)</f>
        <v>228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18612.709999999963</v>
      </c>
      <c r="F27" s="136">
        <v>9</v>
      </c>
      <c r="G27" s="137">
        <f>E27*F27</f>
        <v>167514.38999999966</v>
      </c>
      <c r="H27" s="99">
        <f>G27+'3'!H27</f>
        <v>662657.03999999946</v>
      </c>
      <c r="I27" s="138"/>
      <c r="J27" s="175">
        <f>H27/DAY(B2)</f>
        <v>165664.25999999986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997.95200000004843</v>
      </c>
      <c r="F28" s="136">
        <v>52</v>
      </c>
      <c r="G28" s="137">
        <f>E28*F28</f>
        <v>51893.504000002518</v>
      </c>
      <c r="H28" s="99">
        <f>G28+'3'!H28</f>
        <v>203424.15600000136</v>
      </c>
      <c r="I28" s="140"/>
      <c r="J28" s="175">
        <f>H28/DAY(B2)</f>
        <v>50856.039000000339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G30+'3'!H30</f>
        <v>28032</v>
      </c>
      <c r="I30" s="140"/>
      <c r="J30" s="175">
        <f>H30/DAY(B2)</f>
        <v>7008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G31+'3'!H31</f>
        <v>57600</v>
      </c>
      <c r="I31" s="140"/>
      <c r="J31" s="175">
        <f>H31/DAY(B2)</f>
        <v>14400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243653.89400000218</v>
      </c>
      <c r="H32" s="99">
        <f>G32+'3'!H32</f>
        <v>951713.19600000081</v>
      </c>
      <c r="I32" s="144"/>
      <c r="J32" s="175">
        <f>H32/DAY(B2)</f>
        <v>237928.2990000002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'3'!F35</f>
        <v>36076.93</v>
      </c>
      <c r="F35" s="145">
        <v>37405.870000000003</v>
      </c>
      <c r="G35" s="112">
        <f t="shared" ref="G35:G46" si="3">F35-E35</f>
        <v>1328.9400000000023</v>
      </c>
      <c r="H35" s="99">
        <f>G35+'3'!H35</f>
        <v>5400.8900000000031</v>
      </c>
      <c r="I35" s="95"/>
      <c r="J35" s="175">
        <f>H35/DAY(B2)</f>
        <v>1350.2225000000008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'3'!F36</f>
        <v>45916.7</v>
      </c>
      <c r="F36" s="145">
        <v>46778.57</v>
      </c>
      <c r="G36" s="112">
        <f t="shared" si="3"/>
        <v>861.87000000000262</v>
      </c>
      <c r="H36" s="99">
        <f>G36+'3'!H36</f>
        <v>3319.8300000000017</v>
      </c>
      <c r="I36" s="95"/>
      <c r="J36" s="175">
        <f>H36/DAY(B2)</f>
        <v>829.95750000000044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'3'!F37</f>
        <v>40078.410000000003</v>
      </c>
      <c r="F37" s="145">
        <v>41692.51</v>
      </c>
      <c r="G37" s="112">
        <f t="shared" si="3"/>
        <v>1614.0999999999985</v>
      </c>
      <c r="H37" s="99">
        <f>G37+'3'!H37</f>
        <v>6267.4200000000055</v>
      </c>
      <c r="I37" s="95"/>
      <c r="J37" s="175">
        <f>H37/DAY(B2)</f>
        <v>1566.8550000000014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'3'!F38</f>
        <v>43423.64</v>
      </c>
      <c r="F38" s="108">
        <v>45282.11</v>
      </c>
      <c r="G38" s="112">
        <f t="shared" si="3"/>
        <v>1858.4700000000012</v>
      </c>
      <c r="H38" s="99">
        <f>G38+'3'!H38</f>
        <v>6905.68</v>
      </c>
      <c r="I38" s="95"/>
      <c r="J38" s="175">
        <f>H38/DAY(B2)</f>
        <v>1726.42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'3'!F39</f>
        <v>67052.929999999993</v>
      </c>
      <c r="F39" s="145">
        <v>69719.64</v>
      </c>
      <c r="G39" s="112">
        <f t="shared" si="3"/>
        <v>2666.7100000000064</v>
      </c>
      <c r="H39" s="99">
        <f>G39+'3'!H39</f>
        <v>10546.349999999999</v>
      </c>
      <c r="I39" s="95"/>
      <c r="J39" s="175">
        <f>H39/DAY(B2)</f>
        <v>2636.5874999999996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v>22807.43</v>
      </c>
      <c r="F40" s="145">
        <v>23414.29</v>
      </c>
      <c r="G40" s="112">
        <f t="shared" si="3"/>
        <v>606.86000000000058</v>
      </c>
      <c r="H40" s="99">
        <f>G40+'3'!H40</f>
        <v>1297.2999999999986</v>
      </c>
      <c r="I40" s="95"/>
      <c r="J40" s="175">
        <f>H40/DAY(B2)</f>
        <v>324.32499999999965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'3'!F42</f>
        <v>106500.98</v>
      </c>
      <c r="F42" s="145">
        <v>106500.89</v>
      </c>
      <c r="G42" s="112">
        <f t="shared" si="3"/>
        <v>-8.999999999650754E-2</v>
      </c>
      <c r="H42" s="99">
        <f>G42+'3'!H42</f>
        <v>6371.1499999999942</v>
      </c>
      <c r="I42" s="95"/>
      <c r="J42" s="175">
        <f>H42/DAY(B2)</f>
        <v>1592.7874999999985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'3'!F43</f>
        <v>120980.36</v>
      </c>
      <c r="F43" s="145">
        <v>123375.54</v>
      </c>
      <c r="G43" s="112">
        <f t="shared" si="3"/>
        <v>2395.179999999993</v>
      </c>
      <c r="H43" s="99">
        <f>G43+'3'!H43</f>
        <v>8523.9399999999878</v>
      </c>
      <c r="I43" s="95"/>
      <c r="J43" s="175">
        <f>H43/DAY(B2)</f>
        <v>2130.9849999999969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11332.040000000008</v>
      </c>
      <c r="H47" s="99">
        <f>G47+'3'!H47</f>
        <v>48632.55999999999</v>
      </c>
      <c r="I47" s="95"/>
      <c r="J47" s="175">
        <f>H47/DAY(B2)</f>
        <v>12158.139999999998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'3'!F49</f>
        <v>28047.55</v>
      </c>
      <c r="F49" s="549">
        <v>29401.48</v>
      </c>
      <c r="G49" s="112">
        <f t="shared" ref="G49:G58" si="4">F49-E49</f>
        <v>1353.9300000000003</v>
      </c>
      <c r="H49" s="99">
        <f>G49+'3'!H49</f>
        <v>4405.2900000000009</v>
      </c>
      <c r="I49" s="95"/>
      <c r="J49" s="175">
        <f>H49/DAY(B2)</f>
        <v>1101.3225000000002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'3'!F50</f>
        <v>59383.14</v>
      </c>
      <c r="F50" s="145">
        <v>60532.89</v>
      </c>
      <c r="G50" s="112">
        <f t="shared" si="4"/>
        <v>1149.75</v>
      </c>
      <c r="H50" s="99">
        <f>G50+'3'!H50</f>
        <v>4146.260000000002</v>
      </c>
      <c r="I50" s="95"/>
      <c r="J50" s="175">
        <f>H50/DAY(B2)</f>
        <v>1036.5650000000005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'3'!F54</f>
        <v>5842.67</v>
      </c>
      <c r="F54" s="145">
        <v>6389.99</v>
      </c>
      <c r="G54" s="112">
        <f t="shared" si="4"/>
        <v>547.31999999999971</v>
      </c>
      <c r="H54" s="99">
        <f>G54+'3'!H54</f>
        <v>1242.5699999999997</v>
      </c>
      <c r="I54" s="95"/>
      <c r="J54" s="175">
        <f>H54/DAY(B2)</f>
        <v>310.64249999999993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'3'!F55</f>
        <v>78823.75</v>
      </c>
      <c r="F55" s="145">
        <v>81640.67</v>
      </c>
      <c r="G55" s="112">
        <f t="shared" si="4"/>
        <v>2816.9199999999983</v>
      </c>
      <c r="H55" s="99">
        <f>G55+'3'!H55</f>
        <v>7274.5599999999977</v>
      </c>
      <c r="I55" s="95"/>
      <c r="J55" s="175">
        <f>H55/DAY(B2)</f>
        <v>1818.6399999999994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'3'!F56</f>
        <v>8723.6299999999992</v>
      </c>
      <c r="F56" s="145">
        <v>8723.6299999999992</v>
      </c>
      <c r="G56" s="112">
        <f t="shared" si="4"/>
        <v>0</v>
      </c>
      <c r="H56" s="99">
        <f>G56+'3'!H56</f>
        <v>113.08999999999833</v>
      </c>
      <c r="I56" s="95"/>
      <c r="J56" s="175">
        <f>H56/DAY(B2)</f>
        <v>28.272499999999582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'3'!F58</f>
        <v>5384.23</v>
      </c>
      <c r="F58" s="145">
        <v>5585.41</v>
      </c>
      <c r="G58" s="112">
        <f t="shared" si="4"/>
        <v>201.18000000000029</v>
      </c>
      <c r="H58" s="99">
        <f>G58+'3'!H58</f>
        <v>789.19999999999982</v>
      </c>
      <c r="I58" s="95"/>
      <c r="J58" s="175">
        <f>H58/DAY(B2)</f>
        <v>197.29999999999995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6069.0999999999985</v>
      </c>
      <c r="H59" s="99">
        <f>G59+'3'!H59</f>
        <v>17970.969999999998</v>
      </c>
      <c r="I59" s="95">
        <f>G7-G60</f>
        <v>1069.4499999999607</v>
      </c>
      <c r="J59" s="175">
        <f>H59/DAY(B2)</f>
        <v>4492.7424999999994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17401.140000000007</v>
      </c>
      <c r="H60" s="99">
        <f>G60+'3'!H60</f>
        <v>66603.53</v>
      </c>
      <c r="I60" s="95">
        <f>G13-G60</f>
        <v>542.74999999999272</v>
      </c>
      <c r="J60" s="175">
        <f>H60/DAY(B2)</f>
        <v>16650.8825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'3'!F62</f>
        <v>269758</v>
      </c>
      <c r="F62" s="122">
        <v>269867</v>
      </c>
      <c r="G62" s="112">
        <f t="shared" ref="G62:G63" si="5">F62-E62</f>
        <v>109</v>
      </c>
      <c r="H62" s="99">
        <f>G62+'3'!H62</f>
        <v>351</v>
      </c>
      <c r="I62" s="118"/>
      <c r="J62" s="175">
        <f>H62/DAY(B2)</f>
        <v>87.75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'3'!F63</f>
        <v>216220</v>
      </c>
      <c r="F63" s="122">
        <v>216356</v>
      </c>
      <c r="G63" s="112">
        <f t="shared" si="5"/>
        <v>136</v>
      </c>
      <c r="H63" s="99">
        <f>G63+'3'!H63</f>
        <v>559</v>
      </c>
      <c r="I63" s="118"/>
      <c r="J63" s="175">
        <f>H63/DAY(B2)</f>
        <v>139.75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122"/>
      <c r="F64" s="122"/>
      <c r="G64" s="112">
        <f>G62+G63</f>
        <v>245</v>
      </c>
      <c r="H64" s="99">
        <f>G64+'3'!H64</f>
        <v>910</v>
      </c>
      <c r="I64" s="118"/>
      <c r="J64" s="175">
        <f>H64/DAY(B2)</f>
        <v>227.5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'3'!F65</f>
        <v>435159</v>
      </c>
      <c r="F65" s="122">
        <v>435246</v>
      </c>
      <c r="G65" s="112">
        <f t="shared" ref="G65:G70" si="6">F65-E65</f>
        <v>87</v>
      </c>
      <c r="H65" s="99">
        <f>G65+'3'!H65</f>
        <v>323</v>
      </c>
      <c r="I65" s="118"/>
      <c r="J65" s="175">
        <f>H65/DAY(B2)</f>
        <v>80.75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'3'!F66</f>
        <v>107802</v>
      </c>
      <c r="F66" s="122">
        <v>107832</v>
      </c>
      <c r="G66" s="112">
        <f t="shared" si="6"/>
        <v>30</v>
      </c>
      <c r="H66" s="99">
        <f>G66+'3'!H66</f>
        <v>89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'3'!F67</f>
        <v>104702</v>
      </c>
      <c r="F67" s="122">
        <v>104727</v>
      </c>
      <c r="G67" s="112">
        <f t="shared" si="6"/>
        <v>25</v>
      </c>
      <c r="H67" s="99">
        <f>G67+'3'!H67</f>
        <v>79</v>
      </c>
      <c r="I67" s="118"/>
      <c r="J67" s="175">
        <f>H67/DAY(B2)</f>
        <v>19.75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'3'!F68</f>
        <v>157794</v>
      </c>
      <c r="F68" s="122">
        <v>157822</v>
      </c>
      <c r="G68" s="112">
        <f t="shared" si="6"/>
        <v>28</v>
      </c>
      <c r="H68" s="99">
        <f>G68+'3'!H68</f>
        <v>125</v>
      </c>
      <c r="I68" s="118"/>
      <c r="J68" s="175">
        <f>H68/DAY(B2)</f>
        <v>31.25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'3'!F69</f>
        <v>10578</v>
      </c>
      <c r="F69" s="164">
        <v>10585</v>
      </c>
      <c r="G69" s="112">
        <f t="shared" si="6"/>
        <v>7</v>
      </c>
      <c r="H69" s="99">
        <f>G69+'3'!H69</f>
        <v>44</v>
      </c>
      <c r="I69" s="118"/>
      <c r="J69" s="175">
        <f>H69/DAY(B2)</f>
        <v>11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'3'!F70</f>
        <v>8147</v>
      </c>
      <c r="F70" s="122">
        <v>8156</v>
      </c>
      <c r="G70" s="112">
        <f t="shared" si="6"/>
        <v>9</v>
      </c>
      <c r="H70" s="99">
        <f>G70+'3'!H70</f>
        <v>36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186</v>
      </c>
      <c r="H71" s="99">
        <f>G71+'3'!H71</f>
        <v>696</v>
      </c>
      <c r="I71" s="154"/>
      <c r="J71" s="175">
        <f>H71/DAY(B2)</f>
        <v>174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'3'!F74</f>
        <v>902242.26</v>
      </c>
      <c r="F74" s="117">
        <v>902539.3</v>
      </c>
      <c r="G74" s="112">
        <f t="shared" ref="G74:G78" si="7">F74-E74</f>
        <v>297.04000000003725</v>
      </c>
      <c r="H74" s="99">
        <f>G74+'3'!H74</f>
        <v>1233.1510000000708</v>
      </c>
      <c r="I74" s="154"/>
      <c r="J74" s="175">
        <f>H74/DAY(B2)</f>
        <v>308.2877500000177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'3'!F76</f>
        <v>170304.09</v>
      </c>
      <c r="F76" s="123">
        <v>170454.1</v>
      </c>
      <c r="G76" s="112">
        <f t="shared" si="7"/>
        <v>150.01000000000931</v>
      </c>
      <c r="H76" s="99">
        <f>G76+'3'!H76</f>
        <v>479.10000000000582</v>
      </c>
      <c r="I76" s="154"/>
      <c r="J76" s="175">
        <f>H76/DAY(B2)</f>
        <v>119.77500000000146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'3'!F77</f>
        <v>41427.5</v>
      </c>
      <c r="F77" s="123">
        <v>41475.4</v>
      </c>
      <c r="G77" s="112">
        <f t="shared" si="7"/>
        <v>47.900000000001455</v>
      </c>
      <c r="H77" s="99">
        <f>G77+'3'!H77</f>
        <v>173.20000000000437</v>
      </c>
      <c r="I77" s="154"/>
      <c r="J77" s="175">
        <f>H77/DAY(B2)</f>
        <v>43.300000000001091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'3'!F78</f>
        <v>9519.2999999999993</v>
      </c>
      <c r="F78" s="123">
        <v>9521.6</v>
      </c>
      <c r="G78" s="112">
        <f t="shared" si="7"/>
        <v>2.3000000000010914</v>
      </c>
      <c r="H78" s="99">
        <f>G78+'3'!H78</f>
        <v>5.6000000000003638</v>
      </c>
      <c r="I78" s="118"/>
      <c r="J78" s="175">
        <f>H78/DAY(B2)</f>
        <v>1.4000000000000909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'3'!F79</f>
        <v>0</v>
      </c>
      <c r="F79" s="117"/>
      <c r="G79" s="112">
        <f>G15-SUM(G74:G78)</f>
        <v>500.70199999999932</v>
      </c>
      <c r="H79" s="99">
        <f>G79+'3'!H79</f>
        <v>2020.9519999999447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997.95200000004843</v>
      </c>
      <c r="H80" s="99">
        <f>G80+'3'!H80</f>
        <v>2993.4450000000652</v>
      </c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236">
        <f t="shared" si="8"/>
        <v>0</v>
      </c>
      <c r="H85" s="99">
        <f>G85+'3'!H85</f>
        <v>40</v>
      </c>
      <c r="I85" s="118">
        <f>G82+G83+G84+G85</f>
        <v>0.26000000000203727</v>
      </c>
      <c r="J85" s="175">
        <f>H85/DAY(B2)</f>
        <v>10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'3'!F86</f>
        <v>43474</v>
      </c>
      <c r="F86" s="164">
        <v>43498.25</v>
      </c>
      <c r="G86" s="112">
        <f t="shared" si="8"/>
        <v>24.25</v>
      </c>
      <c r="H86" s="99">
        <f>G86+'3'!H86</f>
        <v>56.25</v>
      </c>
      <c r="I86" s="118"/>
      <c r="J86" s="175">
        <f>H86/DAY(B2)</f>
        <v>14.0625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34599.480000000003</v>
      </c>
      <c r="G87" s="112">
        <f t="shared" si="8"/>
        <v>0.93000000000029104</v>
      </c>
      <c r="H87" s="99">
        <f>G87+'3'!H87</f>
        <v>0.98000000000320142</v>
      </c>
      <c r="I87" s="118"/>
      <c r="J87" s="175">
        <f>H87/DAY(B2)</f>
        <v>0.24500000000080036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'3'!F88</f>
        <v>24063.43</v>
      </c>
      <c r="F88" s="164">
        <v>24063.43</v>
      </c>
      <c r="G88" s="112">
        <f t="shared" si="8"/>
        <v>0</v>
      </c>
      <c r="H88" s="99">
        <f>G88+'3'!H88</f>
        <v>0</v>
      </c>
      <c r="I88" s="118">
        <f>G86+G87+G88</f>
        <v>25.180000000000291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'3'!F89</f>
        <v>25919.8</v>
      </c>
      <c r="F89" s="164">
        <v>25929.54</v>
      </c>
      <c r="G89" s="112">
        <f t="shared" si="8"/>
        <v>9.7400000000016007</v>
      </c>
      <c r="H89" s="99">
        <f>G89+'3'!H89</f>
        <v>38.420000000001892</v>
      </c>
      <c r="I89" s="118"/>
      <c r="J89" s="175">
        <f>H89/DAY(B2)</f>
        <v>9.6050000000004729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'3'!F90</f>
        <v>71167.69</v>
      </c>
      <c r="F90" s="164">
        <v>71167.94</v>
      </c>
      <c r="G90" s="112">
        <f t="shared" si="8"/>
        <v>0.25</v>
      </c>
      <c r="H90" s="99">
        <f>G90+'3'!H90</f>
        <v>4.6199999999953434</v>
      </c>
      <c r="I90" s="118">
        <f>G89+G90</f>
        <v>9.9900000000016007</v>
      </c>
      <c r="J90" s="175">
        <f>H90/DAY(B2)</f>
        <v>1.1549999999988358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'3'!F91</f>
        <v>3285.32</v>
      </c>
      <c r="F91" s="122">
        <v>3296.79</v>
      </c>
      <c r="G91" s="112">
        <f t="shared" si="8"/>
        <v>11.4699999999998</v>
      </c>
      <c r="H91" s="99">
        <f>G91+'3'!H91</f>
        <v>45.699999999999818</v>
      </c>
      <c r="I91" s="165"/>
      <c r="J91" s="175">
        <f>H91/DAY(B2)</f>
        <v>11.424999999999955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5078.0499999999956</v>
      </c>
      <c r="H94" s="99">
        <f>G94+'3'!H94</f>
        <v>18330.119999999992</v>
      </c>
      <c r="I94" s="118"/>
      <c r="J94" s="175">
        <f>H94/DAY(B2)</f>
        <v>4582.5299999999979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0.27492624761851164</v>
      </c>
      <c r="H95" s="99">
        <f>G95+'3'!H95</f>
        <v>1.0052310964528588</v>
      </c>
      <c r="I95" s="167"/>
      <c r="J95" s="175">
        <f>H95/DAY(B2)</f>
        <v>0.2513077741132147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2816.8300000000017</v>
      </c>
      <c r="H96" s="99">
        <f>G96+'3'!H96</f>
        <v>13758.79999999999</v>
      </c>
      <c r="I96" s="118"/>
      <c r="J96" s="175">
        <f>H96/DAY(B2)</f>
        <v>3439.6999999999975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0.15250352046144747</v>
      </c>
      <c r="H97" s="99">
        <f>G97+'3'!H97</f>
        <v>0.75831553602270341</v>
      </c>
      <c r="I97" s="167"/>
      <c r="J97" s="175">
        <f>H97/DAY(B2)</f>
        <v>0.18957888400567585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2666.7100000000064</v>
      </c>
      <c r="H98" s="99">
        <f>G98+'3'!H98</f>
        <v>10546.349999999999</v>
      </c>
      <c r="I98" s="168"/>
      <c r="J98" s="175">
        <f>H98/DAY(B2)</f>
        <v>2636.5874999999996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0.14437600531439501</v>
      </c>
      <c r="H99" s="99">
        <f>G99+'3'!H99</f>
        <v>0.57958191287137084</v>
      </c>
      <c r="I99" s="168"/>
      <c r="J99" s="175">
        <f>H99/DAY(B2)</f>
        <v>0.14489547821784271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1858.4700000000012</v>
      </c>
      <c r="H100" s="99">
        <f>G100+'3'!H100</f>
        <v>6905.68</v>
      </c>
      <c r="I100" s="118"/>
      <c r="J100" s="175">
        <f>H100/DAY(B2)</f>
        <v>1726.42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0.10061779293460602</v>
      </c>
      <c r="H101" s="99">
        <f>G101+'3'!H101</f>
        <v>0.37932692118106937</v>
      </c>
      <c r="I101" s="168"/>
      <c r="J101" s="175">
        <f>H101/DAY(B2)</f>
        <v>9.4831730295267341E-2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2011.6200000000026</v>
      </c>
      <c r="H102" s="99">
        <f>G102+'3'!H102</f>
        <v>7466.0900000000038</v>
      </c>
      <c r="I102" s="168"/>
      <c r="J102" s="175">
        <f>H102/DAY(B2)</f>
        <v>1866.5225000000009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0.108909352651973</v>
      </c>
      <c r="H103" s="99">
        <f>G103+'3'!H103</f>
        <v>0.40924309900482664</v>
      </c>
      <c r="I103" s="118"/>
      <c r="J103" s="175">
        <f>H103/DAY(B2)</f>
        <v>0.10231077475120666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1614.0999999999985</v>
      </c>
      <c r="H104" s="99">
        <f>G104+'3'!H104</f>
        <v>6267.4200000000055</v>
      </c>
      <c r="I104" s="118"/>
      <c r="J104" s="175">
        <f>H104/DAY(B2)</f>
        <v>1566.8550000000014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8.7387571268703459E-2</v>
      </c>
      <c r="H105" s="99">
        <f>G105+'3'!H105</f>
        <v>0.3444551858167173</v>
      </c>
      <c r="I105" s="187"/>
      <c r="J105" s="188">
        <f>H105/DAY(B2)</f>
        <v>8.6113796454179325E-2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'3'!F112</f>
        <v>58284.57</v>
      </c>
      <c r="F112" s="237">
        <v>58364.27</v>
      </c>
      <c r="G112" s="112">
        <f t="shared" ref="G112:G123" si="9">F112-E112</f>
        <v>79.69999999999709</v>
      </c>
      <c r="H112" s="99">
        <f>G112+'3'!H112</f>
        <v>310.2699999999968</v>
      </c>
      <c r="I112" s="165"/>
      <c r="J112" s="328">
        <f>H112/DAY(B2)</f>
        <v>77.5674999999992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'3'!F113</f>
        <v>47816.51</v>
      </c>
      <c r="F113" s="237">
        <v>48292.28</v>
      </c>
      <c r="G113" s="112">
        <f t="shared" si="9"/>
        <v>475.7699999999968</v>
      </c>
      <c r="H113" s="99">
        <f>G113+'3'!H113</f>
        <v>1891.3899999999994</v>
      </c>
      <c r="I113" s="165"/>
      <c r="J113" s="328">
        <f>H113/DAY(B2)</f>
        <v>472.84749999999985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'3'!F114</f>
        <v>34008.199999999997</v>
      </c>
      <c r="F114" s="237">
        <v>34275.480000000003</v>
      </c>
      <c r="G114" s="112">
        <f t="shared" si="9"/>
        <v>267.28000000000611</v>
      </c>
      <c r="H114" s="99">
        <f>G114+'3'!H114</f>
        <v>1115.4800000000032</v>
      </c>
      <c r="I114" s="165"/>
      <c r="J114" s="328">
        <f>H114/DAY(B2)</f>
        <v>278.8700000000008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'3'!F115</f>
        <v>9128.2999999999993</v>
      </c>
      <c r="F115" s="237">
        <v>9136.58</v>
      </c>
      <c r="G115" s="112">
        <f t="shared" si="9"/>
        <v>8.2800000000006548</v>
      </c>
      <c r="H115" s="99">
        <f>G115+'3'!H115</f>
        <v>41.930000000000291</v>
      </c>
      <c r="I115" s="165"/>
      <c r="J115" s="328">
        <f>H115/DAY(B2)</f>
        <v>10.482500000000073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'3'!F116</f>
        <v>0</v>
      </c>
      <c r="F116" s="237">
        <v>8.07</v>
      </c>
      <c r="G116" s="112">
        <f t="shared" si="9"/>
        <v>8.07</v>
      </c>
      <c r="H116" s="99">
        <f>G116+'3'!H116</f>
        <v>8.07</v>
      </c>
      <c r="I116" s="165"/>
      <c r="J116" s="328">
        <f>H116/DAY(B2)</f>
        <v>2.0175000000000001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'3'!F117</f>
        <v>3415.74</v>
      </c>
      <c r="F117" s="237">
        <v>3493.03</v>
      </c>
      <c r="G117" s="112">
        <f t="shared" si="9"/>
        <v>77.290000000000418</v>
      </c>
      <c r="H117" s="99">
        <f>G117+'3'!H117</f>
        <v>155.08000000000038</v>
      </c>
      <c r="I117" s="165"/>
      <c r="J117" s="328">
        <f>H117/DAY(B2)</f>
        <v>38.770000000000095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'3'!F118</f>
        <v>253412.19</v>
      </c>
      <c r="F118" s="237">
        <v>253754.53</v>
      </c>
      <c r="G118" s="112">
        <f t="shared" si="9"/>
        <v>342.33999999999651</v>
      </c>
      <c r="H118" s="99">
        <f>G118+'3'!H118</f>
        <v>1302.2200000000012</v>
      </c>
      <c r="I118" s="165"/>
      <c r="J118" s="328">
        <f>H118/DAY(B2)</f>
        <v>325.55500000000029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'3'!F119</f>
        <v>259431.61</v>
      </c>
      <c r="F119" s="237">
        <v>259841.67</v>
      </c>
      <c r="G119" s="112">
        <f t="shared" si="9"/>
        <v>410.06000000002678</v>
      </c>
      <c r="H119" s="99">
        <f>G119+'3'!H119</f>
        <v>1693.1200000000244</v>
      </c>
      <c r="I119" s="165"/>
      <c r="J119" s="328">
        <f>H119/DAY(B2)</f>
        <v>423.28000000000611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'3'!F120</f>
        <v>44224.92</v>
      </c>
      <c r="F120" s="237">
        <v>44652.31</v>
      </c>
      <c r="G120" s="112">
        <f t="shared" si="9"/>
        <v>427.38999999999942</v>
      </c>
      <c r="H120" s="99">
        <f>G120+'3'!H120</f>
        <v>1692.6999999999971</v>
      </c>
      <c r="I120" s="165"/>
      <c r="J120" s="328">
        <f>H120/DAY(B2)</f>
        <v>423.17499999999927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'3'!F121</f>
        <v>400202.75</v>
      </c>
      <c r="F121" s="237">
        <v>400923.31</v>
      </c>
      <c r="G121" s="112">
        <f t="shared" si="9"/>
        <v>720.55999999999767</v>
      </c>
      <c r="H121" s="99">
        <f>G121+'3'!H121</f>
        <v>2888.8800000000047</v>
      </c>
      <c r="I121" s="165"/>
      <c r="J121" s="328">
        <f>H121/DAY(B2)</f>
        <v>722.22000000000116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'3'!F122</f>
        <v>126857.4</v>
      </c>
      <c r="F122" s="237">
        <v>127109.16</v>
      </c>
      <c r="G122" s="112">
        <f t="shared" si="9"/>
        <v>251.76000000000931</v>
      </c>
      <c r="H122" s="99">
        <f>G122+'3'!H122</f>
        <v>922.98000000001048</v>
      </c>
      <c r="I122" s="165"/>
      <c r="J122" s="328">
        <f>H122/DAY(B2)</f>
        <v>230.74500000000262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'3'!F123</f>
        <v>154821.26999999999</v>
      </c>
      <c r="F123" s="237">
        <v>155081.57999999999</v>
      </c>
      <c r="G123" s="112">
        <f t="shared" si="9"/>
        <v>260.30999999999767</v>
      </c>
      <c r="H123" s="99">
        <f>G123+'3'!H123</f>
        <v>1034.6299999999756</v>
      </c>
      <c r="I123" s="165"/>
      <c r="J123" s="328">
        <f>H123/DAY(B2)</f>
        <v>258.65749999999389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>
      <c r="A125" s="586" t="s">
        <v>196</v>
      </c>
      <c r="B125" s="587"/>
      <c r="C125" s="588"/>
      <c r="D125" s="307"/>
      <c r="E125" s="308"/>
      <c r="F125" s="308"/>
      <c r="G125" s="309">
        <f>SUM(G112:G124)</f>
        <v>3328.8100000000286</v>
      </c>
      <c r="H125" s="156"/>
      <c r="I125" s="327">
        <f>G125-(G39+G53)</f>
        <v>662.10000000002219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'3'!F128</f>
        <v>48683.7</v>
      </c>
      <c r="F128" s="165">
        <v>48986.97</v>
      </c>
      <c r="G128" s="112">
        <f t="shared" ref="G128:G134" si="10">F128-E128</f>
        <v>303.27000000000407</v>
      </c>
      <c r="H128" s="99">
        <f>G128+'3'!H128</f>
        <v>1240.9700000000012</v>
      </c>
      <c r="I128" s="165"/>
      <c r="J128" s="328">
        <f>H128/DAY(B2)</f>
        <v>310.24250000000029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'3'!F129</f>
        <v>27520.54</v>
      </c>
      <c r="F129" s="165">
        <v>27721.45</v>
      </c>
      <c r="G129" s="112">
        <f t="shared" si="10"/>
        <v>200.90999999999985</v>
      </c>
      <c r="H129" s="99">
        <f>G129+'3'!H129</f>
        <v>810.58000000000175</v>
      </c>
      <c r="I129" s="165"/>
      <c r="J129" s="328">
        <f>H129/DAY(B2)</f>
        <v>202.64500000000044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'3'!F130</f>
        <v>37362.01</v>
      </c>
      <c r="F130" s="165">
        <v>37892.42</v>
      </c>
      <c r="G130" s="112">
        <f t="shared" si="10"/>
        <v>530.40999999999622</v>
      </c>
      <c r="H130" s="99">
        <f>G130+'3'!H130</f>
        <v>2198.4199999999983</v>
      </c>
      <c r="I130" s="165"/>
      <c r="J130" s="328">
        <f>H130/DAY(B2)</f>
        <v>549.60499999999956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'3'!F131</f>
        <v>15508.01</v>
      </c>
      <c r="F131" s="165">
        <v>15574.9</v>
      </c>
      <c r="G131" s="112">
        <f t="shared" si="10"/>
        <v>66.889999999999418</v>
      </c>
      <c r="H131" s="99">
        <f>G131+'3'!H131</f>
        <v>267.21999999999935</v>
      </c>
      <c r="I131" s="165"/>
      <c r="J131" s="328">
        <f>H131/DAY(B2)</f>
        <v>66.804999999999836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'3'!F132</f>
        <v>52436</v>
      </c>
      <c r="F132" s="165">
        <v>52796.45</v>
      </c>
      <c r="G132" s="112">
        <f t="shared" si="10"/>
        <v>360.44999999999709</v>
      </c>
      <c r="H132" s="99">
        <f>G132+'3'!H132</f>
        <v>948.14999999999418</v>
      </c>
      <c r="I132" s="165"/>
      <c r="J132" s="328">
        <f>H132/DAY(B2)</f>
        <v>237.03749999999854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'3'!F133</f>
        <v>106969.46</v>
      </c>
      <c r="F133" s="165">
        <v>107660.29</v>
      </c>
      <c r="G133" s="112">
        <f t="shared" si="10"/>
        <v>690.82999999998719</v>
      </c>
      <c r="H133" s="99">
        <f>G133+'3'!H133</f>
        <v>2316.5899999999965</v>
      </c>
      <c r="I133" s="165"/>
      <c r="J133" s="328">
        <f>H133/DAY(B2)</f>
        <v>579.14749999999913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'3'!F134</f>
        <v>9066.3799999999992</v>
      </c>
      <c r="F134" s="165">
        <v>9228.06</v>
      </c>
      <c r="G134" s="112">
        <f t="shared" si="10"/>
        <v>161.68000000000029</v>
      </c>
      <c r="H134" s="99">
        <f>G134+'3'!H134</f>
        <v>626.82999999999993</v>
      </c>
      <c r="I134" s="165"/>
      <c r="J134" s="328">
        <f>H134/DAY(B2)</f>
        <v>156.70749999999998</v>
      </c>
    </row>
    <row r="135" spans="1:15" ht="29.25">
      <c r="A135" s="893" t="s">
        <v>196</v>
      </c>
      <c r="B135" s="894"/>
      <c r="C135" s="895"/>
      <c r="D135" s="151"/>
      <c r="E135" s="95"/>
      <c r="F135" s="165"/>
      <c r="G135" s="112">
        <f>SUM(G128:G134)</f>
        <v>2314.4399999999841</v>
      </c>
      <c r="H135" s="99">
        <f>G135+'3'!H135</f>
        <v>8408.7599999999911</v>
      </c>
      <c r="I135" s="327">
        <f>G135-(G35+G49)</f>
        <v>-368.43000000001848</v>
      </c>
      <c r="J135" s="328">
        <f>H135/DAY(B2)</f>
        <v>2102.1899999999978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'3'!F138</f>
        <v>866371</v>
      </c>
      <c r="F138" s="147">
        <v>866473</v>
      </c>
      <c r="G138" s="112">
        <f t="shared" ref="G138:G152" si="11">F138-E138</f>
        <v>102</v>
      </c>
      <c r="H138" s="99">
        <f>G138+'3'!H138</f>
        <v>300</v>
      </c>
      <c r="I138" s="118"/>
      <c r="J138" s="328">
        <f>H138/DAY(B2)</f>
        <v>75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'3'!F139</f>
        <v>886577</v>
      </c>
      <c r="F139" s="148">
        <v>886580</v>
      </c>
      <c r="G139" s="112">
        <f t="shared" si="11"/>
        <v>3</v>
      </c>
      <c r="H139" s="99">
        <f>G139+'3'!H139</f>
        <v>7</v>
      </c>
      <c r="I139" s="118"/>
      <c r="J139" s="328">
        <f>H139/DAY(B2)</f>
        <v>1.75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'3'!F140</f>
        <v>88933.8</v>
      </c>
      <c r="F140" s="149">
        <v>88935</v>
      </c>
      <c r="G140" s="112">
        <f t="shared" si="11"/>
        <v>1.1999999999970896</v>
      </c>
      <c r="H140" s="99">
        <f>G140+'3'!H140</f>
        <v>13</v>
      </c>
      <c r="I140" s="118"/>
      <c r="J140" s="328">
        <f>H140/DAY(B2)</f>
        <v>3.25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'3'!F141</f>
        <v>55187.1</v>
      </c>
      <c r="F141" s="149">
        <v>55375.06</v>
      </c>
      <c r="G141" s="112">
        <f t="shared" si="11"/>
        <v>187.95999999999913</v>
      </c>
      <c r="H141" s="99">
        <f>G141+'3'!H141</f>
        <v>689.47999999999593</v>
      </c>
      <c r="I141" s="118"/>
      <c r="J141" s="328">
        <f>H141/DAY(B2)</f>
        <v>172.36999999999898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'3'!F142</f>
        <v>21492.35</v>
      </c>
      <c r="F142" s="148">
        <v>21557.87</v>
      </c>
      <c r="G142" s="112">
        <f t="shared" si="11"/>
        <v>65.520000000000437</v>
      </c>
      <c r="H142" s="99">
        <f>G142+'3'!H142</f>
        <v>273.77000000000044</v>
      </c>
      <c r="I142" s="140"/>
      <c r="J142" s="328">
        <f>H142/DAY(B2)</f>
        <v>68.442500000000109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'3'!F143</f>
        <v>3915.53</v>
      </c>
      <c r="F143" s="149">
        <v>3943.49</v>
      </c>
      <c r="G143" s="112">
        <f t="shared" si="11"/>
        <v>27.959999999999582</v>
      </c>
      <c r="H143" s="99">
        <f>G143+'3'!H143</f>
        <v>108.09999999999991</v>
      </c>
      <c r="I143" s="140"/>
      <c r="J143" s="328">
        <f>H143/DAY(B2)</f>
        <v>27.024999999999977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'3'!F144</f>
        <v>877103</v>
      </c>
      <c r="F144" s="149">
        <v>877315</v>
      </c>
      <c r="G144" s="112">
        <f t="shared" si="11"/>
        <v>212</v>
      </c>
      <c r="H144" s="99">
        <f>G144+'3'!H144</f>
        <v>828</v>
      </c>
      <c r="I144" s="140"/>
      <c r="J144" s="328">
        <f>H144/DAY(B2)</f>
        <v>207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'3'!F145</f>
        <v>5000</v>
      </c>
      <c r="F145" s="149">
        <v>5014.8100000000004</v>
      </c>
      <c r="G145" s="112">
        <f t="shared" si="11"/>
        <v>14.8100000000004</v>
      </c>
      <c r="H145" s="99">
        <f>G145+'3'!H145</f>
        <v>55.970000000000255</v>
      </c>
      <c r="I145" s="140"/>
      <c r="J145" s="328">
        <f>H145/DAY(B2)</f>
        <v>13.992500000000064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'3'!F146</f>
        <v>738536</v>
      </c>
      <c r="F146" s="148">
        <v>738917</v>
      </c>
      <c r="G146" s="112">
        <f t="shared" si="11"/>
        <v>381</v>
      </c>
      <c r="H146" s="99">
        <f>G146+'3'!H146</f>
        <v>1584</v>
      </c>
      <c r="I146" s="140"/>
      <c r="J146" s="328">
        <f>H146/DAY(B2)</f>
        <v>396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'3'!F147</f>
        <v>627756</v>
      </c>
      <c r="F147" s="148">
        <v>628152.43999999994</v>
      </c>
      <c r="G147" s="112">
        <f t="shared" si="11"/>
        <v>396.43999999994412</v>
      </c>
      <c r="H147" s="99">
        <f>G147+'3'!H147</f>
        <v>1539.9199999999255</v>
      </c>
      <c r="I147" s="140"/>
      <c r="J147" s="328">
        <f>H147/DAY(B2)</f>
        <v>384.97999999998137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'3'!F148</f>
        <v>690148.88</v>
      </c>
      <c r="F148" s="150">
        <v>690458.32</v>
      </c>
      <c r="G148" s="112">
        <f t="shared" si="11"/>
        <v>309.43999999994412</v>
      </c>
      <c r="H148" s="99">
        <f>G148+'3'!H148</f>
        <v>1015.359999999986</v>
      </c>
      <c r="I148" s="124"/>
      <c r="J148" s="328">
        <f>H148/DAY(B2)</f>
        <v>253.83999999999651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'3'!F149</f>
        <v>25950.48</v>
      </c>
      <c r="F149" s="146">
        <v>26424.38</v>
      </c>
      <c r="G149" s="112">
        <f t="shared" si="11"/>
        <v>473.90000000000146</v>
      </c>
      <c r="H149" s="99">
        <f>G149+'3'!H149</f>
        <v>1746.1800000000003</v>
      </c>
      <c r="I149" s="119"/>
      <c r="J149" s="328">
        <f>H149/DAY(B2)</f>
        <v>436.54500000000007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'3'!F150</f>
        <v>11501.1</v>
      </c>
      <c r="F150" s="233">
        <v>11732.86</v>
      </c>
      <c r="G150" s="112">
        <f t="shared" si="11"/>
        <v>231.76000000000022</v>
      </c>
      <c r="H150" s="99">
        <f>G150+'3'!H150</f>
        <v>882.03000000000065</v>
      </c>
      <c r="I150" s="119"/>
      <c r="J150" s="328">
        <f>H150/DAY(B2)</f>
        <v>220.50750000000016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'3'!F151</f>
        <v>86216</v>
      </c>
      <c r="F151" s="233">
        <v>86473</v>
      </c>
      <c r="G151" s="112">
        <f t="shared" si="11"/>
        <v>257</v>
      </c>
      <c r="H151" s="99">
        <f>G151+'3'!H151</f>
        <v>993</v>
      </c>
      <c r="I151" s="119"/>
      <c r="J151" s="328">
        <f>H151/DAY(B2)</f>
        <v>248.25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'3'!F152</f>
        <v>1777.9</v>
      </c>
      <c r="F152" s="233">
        <v>1838.73</v>
      </c>
      <c r="G152" s="112">
        <f t="shared" si="11"/>
        <v>60.829999999999927</v>
      </c>
      <c r="H152" s="99">
        <f>G152+'3'!H152</f>
        <v>178.73000000000002</v>
      </c>
      <c r="I152" s="119"/>
      <c r="J152" s="328">
        <f>H152/DAY(B2)</f>
        <v>44.682500000000005</v>
      </c>
    </row>
    <row r="153" spans="1:10" ht="29.25">
      <c r="A153" s="893" t="s">
        <v>196</v>
      </c>
      <c r="B153" s="894"/>
      <c r="C153" s="895"/>
      <c r="D153" s="358"/>
      <c r="E153" s="360"/>
      <c r="F153" s="361"/>
      <c r="G153" s="362">
        <f>SUM(G138:G152)</f>
        <v>2724.8199999998865</v>
      </c>
      <c r="H153" s="363"/>
      <c r="I153" s="119">
        <f>G153-(G38+G52)</f>
        <v>866.34999999988531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'3'!F155</f>
        <v>34307.279999999999</v>
      </c>
      <c r="F155" s="374">
        <v>35016.379999999997</v>
      </c>
      <c r="G155" s="112">
        <f t="shared" ref="G155:G158" si="12">F155-E155</f>
        <v>709.09999999999854</v>
      </c>
      <c r="H155" s="99">
        <f>G155+'3'!H155</f>
        <v>2071.3799999999974</v>
      </c>
      <c r="I155" s="364"/>
      <c r="J155" s="328">
        <f>H155/DAY(B2)</f>
        <v>517.84499999999935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'3'!F156</f>
        <v>2888.8</v>
      </c>
      <c r="F156" s="155">
        <v>2940.61</v>
      </c>
      <c r="G156" s="112">
        <f t="shared" si="12"/>
        <v>51.809999999999945</v>
      </c>
      <c r="H156" s="99">
        <f>G156+'3'!H156</f>
        <v>152.61000000000013</v>
      </c>
      <c r="I156" s="165"/>
      <c r="J156" s="328">
        <f>H156/DAY(B2)</f>
        <v>38.152500000000032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'3'!F157</f>
        <v>4282.29</v>
      </c>
      <c r="F157" s="155">
        <v>4365.28</v>
      </c>
      <c r="G157" s="112">
        <f t="shared" si="12"/>
        <v>82.989999999999782</v>
      </c>
      <c r="H157" s="99">
        <f>G157+'3'!H157</f>
        <v>82.989999999999782</v>
      </c>
      <c r="I157" s="165"/>
      <c r="J157" s="328">
        <f>H157/DAY(B2)</f>
        <v>20.747499999999945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'3'!F158</f>
        <v>60.9</v>
      </c>
      <c r="F158" s="155">
        <v>61.82</v>
      </c>
      <c r="G158" s="112">
        <f t="shared" si="12"/>
        <v>0.92000000000000171</v>
      </c>
      <c r="H158" s="99">
        <f>G158+'3'!H158</f>
        <v>0.92000000000000171</v>
      </c>
      <c r="I158" s="165"/>
      <c r="J158" s="328">
        <f>H158/DAY(B2)</f>
        <v>0.23000000000000043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'3'!F161</f>
        <v>472208.24</v>
      </c>
      <c r="F161" s="235">
        <v>472265.48</v>
      </c>
      <c r="G161" s="238">
        <f t="shared" ref="G161:G168" si="13">F161-E161</f>
        <v>57.239999999990687</v>
      </c>
      <c r="H161" s="99">
        <f>G161+'3'!H161</f>
        <v>211.9199999999837</v>
      </c>
      <c r="I161" s="236"/>
      <c r="J161" s="239">
        <f>H161/DAY(B2)</f>
        <v>52.979999999995925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'3'!F162</f>
        <v>88636.3</v>
      </c>
      <c r="F162" s="235">
        <v>88670.3</v>
      </c>
      <c r="G162" s="238">
        <f t="shared" si="13"/>
        <v>34</v>
      </c>
      <c r="H162" s="99">
        <f>G162+'3'!H162</f>
        <v>153.90000000000873</v>
      </c>
      <c r="I162" s="236"/>
      <c r="J162" s="239">
        <f>H162/DAY(B2)</f>
        <v>38.475000000002183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'3'!F163</f>
        <v>79318.8</v>
      </c>
      <c r="F163" s="235">
        <v>79351.7</v>
      </c>
      <c r="G163" s="238">
        <f t="shared" si="13"/>
        <v>32.899999999994179</v>
      </c>
      <c r="H163" s="99">
        <f>G163+'3'!H163</f>
        <v>131.59999999999127</v>
      </c>
      <c r="I163" s="236"/>
      <c r="J163" s="239">
        <f>H163/DAY(B2)</f>
        <v>32.899999999997817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'3'!F164</f>
        <v>4323.5</v>
      </c>
      <c r="F164" s="235">
        <v>4323.7</v>
      </c>
      <c r="G164" s="238">
        <f t="shared" si="13"/>
        <v>0.1999999999998181</v>
      </c>
      <c r="H164" s="99">
        <f>G164+'3'!H164</f>
        <v>3.6999999999998181</v>
      </c>
      <c r="I164" s="236"/>
      <c r="J164" s="239">
        <f>H164/DAY(B2)</f>
        <v>0.92499999999995453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'3'!F165</f>
        <v>29884.87</v>
      </c>
      <c r="F165" s="235">
        <v>29893.83</v>
      </c>
      <c r="G165" s="238">
        <f t="shared" si="13"/>
        <v>8.9600000000027649</v>
      </c>
      <c r="H165" s="99">
        <f>G165+'3'!H165</f>
        <v>36.580000000001746</v>
      </c>
      <c r="I165" s="236"/>
      <c r="J165" s="239">
        <f>H165/DAY(B2)</f>
        <v>9.1450000000004366</v>
      </c>
    </row>
    <row r="166" spans="1:10" ht="29.25">
      <c r="A166" s="852"/>
      <c r="B166" s="85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>
      <c r="A167" s="852"/>
      <c r="B167" s="85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>
      <c r="A168" s="852"/>
      <c r="B168" s="85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'3'!F174</f>
        <v>38649</v>
      </c>
      <c r="F174" s="157">
        <v>38661</v>
      </c>
      <c r="G174" s="155">
        <f t="shared" ref="G174:G175" si="14">F174-E174</f>
        <v>12</v>
      </c>
      <c r="H174" s="99">
        <f>G174+'3'!H174</f>
        <v>46</v>
      </c>
      <c r="I174" s="155"/>
      <c r="J174" s="178">
        <f>H174/DAY(B2)</f>
        <v>11.5</v>
      </c>
    </row>
    <row r="175" spans="1:10" ht="25.5" customHeight="1">
      <c r="A175" s="856" t="s">
        <v>76</v>
      </c>
      <c r="B175" s="896"/>
      <c r="C175" s="857"/>
      <c r="D175" s="228" t="s">
        <v>142</v>
      </c>
      <c r="E175" s="95">
        <f>'3'!F175</f>
        <v>21841</v>
      </c>
      <c r="F175" s="155">
        <v>21851</v>
      </c>
      <c r="G175" s="155">
        <f t="shared" si="14"/>
        <v>10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>
      <c r="A176" s="893" t="s">
        <v>196</v>
      </c>
      <c r="B176" s="894"/>
      <c r="C176" s="895"/>
      <c r="D176" s="228"/>
      <c r="E176" s="95"/>
      <c r="F176" s="155"/>
      <c r="G176" s="155">
        <f>SUM(G173:G175)</f>
        <v>22</v>
      </c>
      <c r="H176" s="99">
        <f>G176+'3'!H176</f>
        <v>84</v>
      </c>
      <c r="I176" s="155"/>
      <c r="J176" s="178">
        <f>H176/DAY(B2)</f>
        <v>21</v>
      </c>
    </row>
    <row r="177" spans="1:10" ht="28.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56" t="s">
        <v>210</v>
      </c>
      <c r="B178" s="857"/>
      <c r="C178" s="333"/>
      <c r="D178" s="228" t="s">
        <v>142</v>
      </c>
      <c r="E178" s="95">
        <f>'3'!F178</f>
        <v>81457</v>
      </c>
      <c r="F178" s="157">
        <v>81544</v>
      </c>
      <c r="G178" s="155">
        <f>F178-E178</f>
        <v>87</v>
      </c>
      <c r="H178" s="99">
        <f>G178+'3'!H178</f>
        <v>229</v>
      </c>
      <c r="I178" s="155"/>
      <c r="J178" s="178">
        <f>H178/DAY(B2)</f>
        <v>57.25</v>
      </c>
    </row>
    <row r="179" spans="1:10" ht="24" customHeight="1">
      <c r="A179" s="856" t="s">
        <v>211</v>
      </c>
      <c r="B179" s="857"/>
      <c r="C179" s="333"/>
      <c r="D179" s="228" t="s">
        <v>142</v>
      </c>
      <c r="E179" s="95">
        <f>'3'!F179</f>
        <v>34903</v>
      </c>
      <c r="F179" s="155">
        <v>34926</v>
      </c>
      <c r="G179" s="155">
        <f t="shared" ref="G179:G180" si="15">F179-E179</f>
        <v>23</v>
      </c>
      <c r="H179" s="99">
        <f>G179+'3'!H179</f>
        <v>123</v>
      </c>
      <c r="I179" s="155"/>
      <c r="J179" s="178">
        <f>H179/DAY(B2)</f>
        <v>30.75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'3'!F180</f>
        <v>5721</v>
      </c>
      <c r="F180" s="155">
        <v>5731</v>
      </c>
      <c r="G180" s="155">
        <f t="shared" si="15"/>
        <v>10</v>
      </c>
      <c r="H180" s="99">
        <f>G180+'3'!H180</f>
        <v>29</v>
      </c>
      <c r="I180" s="155"/>
      <c r="J180" s="178">
        <f>H180/DAY(B2)</f>
        <v>7.25</v>
      </c>
    </row>
    <row r="181" spans="1:10" ht="21.95" customHeight="1">
      <c r="A181" s="893" t="s">
        <v>196</v>
      </c>
      <c r="B181" s="894"/>
      <c r="C181" s="895"/>
      <c r="D181" s="228"/>
      <c r="E181" s="95"/>
      <c r="F181" s="155"/>
      <c r="G181" s="155">
        <f>SUM(G178:G180)</f>
        <v>120</v>
      </c>
      <c r="H181" s="99">
        <f>G181+'3'!H181</f>
        <v>381</v>
      </c>
      <c r="I181" s="155"/>
      <c r="J181" s="178">
        <f>H181/DAY(B2)</f>
        <v>95.25</v>
      </c>
    </row>
    <row r="182" spans="1:10" ht="21.95" customHeight="1">
      <c r="A182" s="856" t="s">
        <v>213</v>
      </c>
      <c r="B182" s="85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'3'!F183</f>
        <v>15389</v>
      </c>
      <c r="F183" s="157">
        <v>15398</v>
      </c>
      <c r="G183" s="157">
        <f>F183-E183</f>
        <v>9</v>
      </c>
      <c r="H183" s="99">
        <f>G183+'3'!H183</f>
        <v>53</v>
      </c>
      <c r="I183" s="155"/>
      <c r="J183" s="178">
        <f>H183/DAY(B2)</f>
        <v>13.25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'3'!F184</f>
        <v>10539</v>
      </c>
      <c r="F184" s="157">
        <v>10545</v>
      </c>
      <c r="G184" s="157">
        <f t="shared" ref="G184:G185" si="16">F184-E184</f>
        <v>6</v>
      </c>
      <c r="H184" s="99">
        <f>G184+'3'!H184</f>
        <v>27</v>
      </c>
      <c r="I184" s="155"/>
      <c r="J184" s="178">
        <f>H184/DAY(B2)</f>
        <v>6.75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>
      <c r="A186" s="893" t="s">
        <v>196</v>
      </c>
      <c r="B186" s="894"/>
      <c r="C186" s="895"/>
      <c r="D186" s="229"/>
      <c r="E186" s="95"/>
      <c r="F186" s="157"/>
      <c r="G186" s="157">
        <f>SUM(G183:G185)</f>
        <v>15</v>
      </c>
      <c r="H186" s="99">
        <f>G186+'3'!H186</f>
        <v>80</v>
      </c>
      <c r="I186" s="157"/>
      <c r="J186" s="178">
        <f>H186/DAY(B2)</f>
        <v>20</v>
      </c>
    </row>
    <row r="187" spans="1:10" ht="25.5" customHeight="1">
      <c r="A187" s="849" t="s">
        <v>217</v>
      </c>
      <c r="B187" s="850"/>
      <c r="C187" s="333"/>
      <c r="D187" s="230" t="s">
        <v>142</v>
      </c>
      <c r="E187" s="95"/>
      <c r="F187" s="99"/>
      <c r="G187" s="460">
        <f>G62+G19</f>
        <v>160</v>
      </c>
      <c r="H187" s="99">
        <f>G187+'3'!H187</f>
        <v>543</v>
      </c>
      <c r="I187" s="158"/>
      <c r="J187" s="179">
        <f>H187/DAY(B2)</f>
        <v>135.75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158</v>
      </c>
      <c r="H188" s="99">
        <f>G188+'3'!H188</f>
        <v>571</v>
      </c>
      <c r="I188" s="158"/>
      <c r="J188" s="179">
        <f>H188/DAY(B2)</f>
        <v>142.75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120</v>
      </c>
      <c r="H189" s="99">
        <f>G189+'3'!H189</f>
        <v>381</v>
      </c>
      <c r="I189" s="158"/>
      <c r="J189" s="179">
        <f>H189/DAY(B2)</f>
        <v>95.25</v>
      </c>
    </row>
    <row r="190" spans="1:10" ht="27.75">
      <c r="A190" s="849"/>
      <c r="B190" s="850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/>
    <row r="192" spans="1:10" ht="29.25"/>
    <row r="193" ht="29.25"/>
    <row r="194" ht="29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15" zoomScale="53" zoomScaleNormal="48" zoomScaleSheetLayoutView="53" workbookViewId="0">
      <selection activeCell="F146" sqref="F14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44597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29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'4'!F7</f>
        <v>724047.59</v>
      </c>
      <c r="F7" s="95">
        <v>744647.67</v>
      </c>
      <c r="G7" s="112">
        <f>F7-E7</f>
        <v>20600.080000000075</v>
      </c>
      <c r="H7" s="99">
        <f>G7+'4'!H7</f>
        <v>93467.440000000061</v>
      </c>
      <c r="I7" s="113">
        <f>'1'!I7</f>
        <v>12000</v>
      </c>
      <c r="J7" s="175">
        <f>H7/DAY(B2)</f>
        <v>18693.488000000012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'4'!F8</f>
        <v>782176.71</v>
      </c>
      <c r="F8" s="114">
        <v>803007.67</v>
      </c>
      <c r="G8" s="115">
        <f>F8-E8</f>
        <v>20830.960000000079</v>
      </c>
      <c r="H8" s="99">
        <f>G8+'4'!H8</f>
        <v>94459.520000000019</v>
      </c>
      <c r="I8" s="116"/>
      <c r="J8" s="175">
        <f>H8/DAY(B2)</f>
        <v>18891.904000000002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'4'!F9</f>
        <v>334674.45</v>
      </c>
      <c r="F9" s="117">
        <v>347557.39</v>
      </c>
      <c r="G9" s="112">
        <f>F9-E9</f>
        <v>12882.940000000002</v>
      </c>
      <c r="H9" s="99">
        <f>G9+'4'!H9</f>
        <v>65303.540000000037</v>
      </c>
      <c r="I9" s="124">
        <f>I7-J7</f>
        <v>-6693.4880000000121</v>
      </c>
      <c r="J9" s="175">
        <f>H9/DAY(B2)</f>
        <v>13060.708000000008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'4'!F10</f>
        <v>123643.08</v>
      </c>
      <c r="F10" s="117">
        <v>130814.89</v>
      </c>
      <c r="G10" s="112">
        <f t="shared" ref="G10:G12" si="0">F10-E10</f>
        <v>7171.8099999999977</v>
      </c>
      <c r="H10" s="99">
        <f>G10+'4'!H10</f>
        <v>25555.919999999998</v>
      </c>
      <c r="I10" s="282"/>
      <c r="J10" s="175">
        <f>H10/DAY(B2)</f>
        <v>5111.1839999999993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'4'!F11</f>
        <v>37170</v>
      </c>
      <c r="F11" s="95">
        <v>37170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20054.75</v>
      </c>
      <c r="H13" s="99">
        <f>G13+'4'!H13</f>
        <v>74105.03</v>
      </c>
      <c r="I13" s="120">
        <f>G7-G13</f>
        <v>545.33000000007451</v>
      </c>
      <c r="J13" s="175">
        <f>H13/DAY(B2)</f>
        <v>14821.005999999999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'4'!F15</f>
        <v>1910548.77</v>
      </c>
      <c r="F15" s="123">
        <v>1911596.64</v>
      </c>
      <c r="G15" s="112">
        <f>(F15-E15)</f>
        <v>1047.8699999998789</v>
      </c>
      <c r="H15" s="99">
        <f>G15+'4'!H15</f>
        <v>4959.872999999905</v>
      </c>
      <c r="I15" s="113">
        <f>'1'!I15</f>
        <v>800</v>
      </c>
      <c r="J15" s="175">
        <f>H15/DAY(B2)</f>
        <v>991.97459999998102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-191.97459999998102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'4'!F18</f>
        <v>21</v>
      </c>
      <c r="F18" s="122">
        <v>24</v>
      </c>
      <c r="G18" s="119">
        <f>F18*10</f>
        <v>240</v>
      </c>
      <c r="H18" s="99">
        <f>G18+'4'!H18</f>
        <v>960</v>
      </c>
      <c r="I18" s="113">
        <f>'1'!I18</f>
        <v>65</v>
      </c>
      <c r="J18" s="175">
        <f>H18/DAY(B2)</f>
        <v>192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'4'!F19</f>
        <v>154083</v>
      </c>
      <c r="F19" s="122">
        <v>154137</v>
      </c>
      <c r="G19" s="112">
        <f t="shared" ref="G19" si="1">F19-E19</f>
        <v>54</v>
      </c>
      <c r="H19" s="99">
        <f>G19+'4'!H19</f>
        <v>246</v>
      </c>
      <c r="I19" s="335"/>
      <c r="J19" s="175">
        <f>H19/DAY(B2)</f>
        <v>49.2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294</v>
      </c>
      <c r="H20" s="99">
        <f>G20+'4'!H20</f>
        <v>1206</v>
      </c>
      <c r="I20" s="336">
        <f>I18-J20</f>
        <v>-176.2</v>
      </c>
      <c r="J20" s="175">
        <f>H20/DAY(B2)</f>
        <v>241.2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20830.960000000079</v>
      </c>
      <c r="F27" s="136">
        <v>9</v>
      </c>
      <c r="G27" s="137">
        <f>E27*F27</f>
        <v>187478.64000000071</v>
      </c>
      <c r="H27" s="99">
        <f>G27+'4'!H27</f>
        <v>850135.68000000017</v>
      </c>
      <c r="I27" s="138"/>
      <c r="J27" s="175">
        <f>H27/DAY(B2)</f>
        <v>170027.13600000003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1047.8699999998789</v>
      </c>
      <c r="F28" s="136">
        <v>52</v>
      </c>
      <c r="G28" s="137">
        <f>E28*F28</f>
        <v>54489.239999993704</v>
      </c>
      <c r="H28" s="99">
        <f>G28+'4'!H28</f>
        <v>257913.39599999506</v>
      </c>
      <c r="I28" s="140"/>
      <c r="J28" s="175">
        <f>H28/DAY(B2)</f>
        <v>51582.679199999009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G30+'4'!H30</f>
        <v>35916</v>
      </c>
      <c r="I30" s="140"/>
      <c r="J30" s="175">
        <f>H30/DAY(B2)</f>
        <v>7183.2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G31+'4'!H31</f>
        <v>76800</v>
      </c>
      <c r="I31" s="140"/>
      <c r="J31" s="175">
        <f>H31/DAY(B2)</f>
        <v>15360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269051.87999999442</v>
      </c>
      <c r="H32" s="99">
        <f>G32+'4'!H32</f>
        <v>1220765.0759999952</v>
      </c>
      <c r="I32" s="144"/>
      <c r="J32" s="175">
        <f>H32/DAY(B2)</f>
        <v>244153.01519999903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'4'!F35</f>
        <v>37405.870000000003</v>
      </c>
      <c r="F35" s="145">
        <v>38854.68</v>
      </c>
      <c r="G35" s="112">
        <f t="shared" ref="G35:G46" si="3">F35-E35</f>
        <v>1448.8099999999977</v>
      </c>
      <c r="H35" s="99">
        <f>G35+'4'!H35</f>
        <v>6849.7000000000007</v>
      </c>
      <c r="I35" s="95"/>
      <c r="J35" s="175">
        <f>H35/DAY(B2)</f>
        <v>1369.94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'4'!F36</f>
        <v>46778.57</v>
      </c>
      <c r="F36" s="145">
        <v>48131.83</v>
      </c>
      <c r="G36" s="112">
        <f t="shared" si="3"/>
        <v>1353.260000000002</v>
      </c>
      <c r="H36" s="99">
        <f>G36+'4'!H36</f>
        <v>4673.0900000000038</v>
      </c>
      <c r="I36" s="95"/>
      <c r="J36" s="175">
        <f>H36/DAY(B2)</f>
        <v>934.61800000000073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'4'!F37</f>
        <v>41692.51</v>
      </c>
      <c r="F37" s="145">
        <v>43376.43</v>
      </c>
      <c r="G37" s="112">
        <f t="shared" si="3"/>
        <v>1683.9199999999983</v>
      </c>
      <c r="H37" s="99">
        <f>G37+'4'!H37</f>
        <v>7951.3400000000038</v>
      </c>
      <c r="I37" s="95"/>
      <c r="J37" s="175">
        <f>H37/DAY(B2)</f>
        <v>1590.2680000000007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'4'!F38</f>
        <v>45282.11</v>
      </c>
      <c r="F38" s="108">
        <v>47221.55</v>
      </c>
      <c r="G38" s="112">
        <f t="shared" si="3"/>
        <v>1939.4400000000023</v>
      </c>
      <c r="H38" s="99">
        <f>G38+'4'!H38</f>
        <v>8845.1200000000026</v>
      </c>
      <c r="I38" s="95"/>
      <c r="J38" s="175">
        <f>H38/DAY(B2)</f>
        <v>1769.0240000000006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'4'!F39</f>
        <v>69719.64</v>
      </c>
      <c r="F39" s="145">
        <v>72477.66</v>
      </c>
      <c r="G39" s="112">
        <f t="shared" si="3"/>
        <v>2758.0200000000041</v>
      </c>
      <c r="H39" s="99">
        <f>G39+'4'!H39</f>
        <v>13304.370000000003</v>
      </c>
      <c r="I39" s="95"/>
      <c r="J39" s="175">
        <f>H39/DAY(B2)</f>
        <v>2660.8740000000007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'4'!F40</f>
        <v>23414.29</v>
      </c>
      <c r="F40" s="145">
        <v>23520.06</v>
      </c>
      <c r="G40" s="112">
        <f t="shared" si="3"/>
        <v>105.77000000000044</v>
      </c>
      <c r="H40" s="99">
        <f>G40+'4'!H40</f>
        <v>1403.069999999999</v>
      </c>
      <c r="I40" s="95"/>
      <c r="J40" s="175">
        <f>H40/DAY(B2)</f>
        <v>280.61399999999981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'4'!F42</f>
        <v>106500.89</v>
      </c>
      <c r="F42" s="145">
        <v>106500.89</v>
      </c>
      <c r="G42" s="112">
        <f t="shared" si="3"/>
        <v>0</v>
      </c>
      <c r="H42" s="99">
        <f>G42+'4'!H42</f>
        <v>6371.1499999999942</v>
      </c>
      <c r="I42" s="95"/>
      <c r="J42" s="175">
        <f>H42/DAY(B2)</f>
        <v>1274.2299999999989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'4'!F43</f>
        <v>123375.54</v>
      </c>
      <c r="F43" s="145">
        <v>125613.3</v>
      </c>
      <c r="G43" s="112">
        <f t="shared" si="3"/>
        <v>2237.7600000000093</v>
      </c>
      <c r="H43" s="99">
        <f>G43+'4'!H43</f>
        <v>10761.699999999997</v>
      </c>
      <c r="I43" s="95"/>
      <c r="J43" s="175">
        <f>H43/DAY(B2)</f>
        <v>2152.3399999999992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11526.980000000014</v>
      </c>
      <c r="H47" s="99">
        <f>G47+'4'!H47</f>
        <v>60159.540000000008</v>
      </c>
      <c r="I47" s="95"/>
      <c r="J47" s="175">
        <f>H47/DAY(B2)</f>
        <v>12031.908000000001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'4'!F49</f>
        <v>29401.48</v>
      </c>
      <c r="F49" s="145">
        <v>30841.67</v>
      </c>
      <c r="G49" s="112">
        <f t="shared" ref="G49:G58" si="4">F49-E49</f>
        <v>1440.1899999999987</v>
      </c>
      <c r="H49" s="99">
        <f>G49+'4'!H49</f>
        <v>5845.48</v>
      </c>
      <c r="I49" s="95"/>
      <c r="J49" s="175">
        <f>H49/DAY(B2)</f>
        <v>1169.096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'4'!F50</f>
        <v>60532.89</v>
      </c>
      <c r="F50" s="145">
        <v>62059.64</v>
      </c>
      <c r="G50" s="112">
        <f t="shared" si="4"/>
        <v>1526.75</v>
      </c>
      <c r="H50" s="99">
        <f>G50+'4'!H50</f>
        <v>5673.010000000002</v>
      </c>
      <c r="I50" s="95"/>
      <c r="J50" s="175">
        <f>H50/DAY(B2)</f>
        <v>1134.6020000000003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'4'!F54</f>
        <v>6389.99</v>
      </c>
      <c r="F54" s="145">
        <v>6923.67</v>
      </c>
      <c r="G54" s="112">
        <f t="shared" si="4"/>
        <v>533.68000000000029</v>
      </c>
      <c r="H54" s="99">
        <f>G54+'4'!H54</f>
        <v>1776.25</v>
      </c>
      <c r="I54" s="95"/>
      <c r="J54" s="175">
        <f>H54/DAY(B2)</f>
        <v>355.25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'4'!F55</f>
        <v>81640.67</v>
      </c>
      <c r="F55" s="145">
        <v>84837.06</v>
      </c>
      <c r="G55" s="112">
        <f t="shared" si="4"/>
        <v>3196.3899999999994</v>
      </c>
      <c r="H55" s="99">
        <f>G55+'4'!H55</f>
        <v>10470.949999999997</v>
      </c>
      <c r="I55" s="95"/>
      <c r="J55" s="175">
        <f>H55/DAY(B2)</f>
        <v>2094.1899999999996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'4'!F56</f>
        <v>8723.6299999999992</v>
      </c>
      <c r="F56" s="145">
        <v>8723.6299999999992</v>
      </c>
      <c r="G56" s="112">
        <f t="shared" si="4"/>
        <v>0</v>
      </c>
      <c r="H56" s="99">
        <f>G56+'4'!H56</f>
        <v>113.08999999999833</v>
      </c>
      <c r="I56" s="95"/>
      <c r="J56" s="175">
        <f>H56/DAY(B2)</f>
        <v>22.617999999999665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'4'!F58</f>
        <v>5585.41</v>
      </c>
      <c r="F58" s="145">
        <v>5829.33</v>
      </c>
      <c r="G58" s="112">
        <f t="shared" si="4"/>
        <v>243.92000000000007</v>
      </c>
      <c r="H58" s="99">
        <f>G58+'4'!H58</f>
        <v>1033.1199999999999</v>
      </c>
      <c r="I58" s="95"/>
      <c r="J58" s="175">
        <f>H58/DAY(B2)</f>
        <v>206.62399999999997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6940.9299999999985</v>
      </c>
      <c r="H59" s="99">
        <f>G59+'4'!H59</f>
        <v>24911.899999999994</v>
      </c>
      <c r="I59" s="95">
        <f>G7-G60</f>
        <v>2132.1700000000637</v>
      </c>
      <c r="J59" s="175">
        <f>H59/DAY(B2)</f>
        <v>4982.3799999999992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18467.910000000011</v>
      </c>
      <c r="H60" s="99">
        <f>G60+'4'!H60</f>
        <v>85071.44</v>
      </c>
      <c r="I60" s="95">
        <f>G13-G60</f>
        <v>1586.8399999999892</v>
      </c>
      <c r="J60" s="175">
        <f>H60/DAY(B2)</f>
        <v>17014.288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'4'!F62</f>
        <v>269867</v>
      </c>
      <c r="F62" s="122">
        <v>270003</v>
      </c>
      <c r="G62" s="112">
        <f t="shared" ref="G62:G63" si="5">F62-E62</f>
        <v>136</v>
      </c>
      <c r="H62" s="99">
        <f>G62+'4'!H62</f>
        <v>487</v>
      </c>
      <c r="I62" s="118"/>
      <c r="J62" s="175">
        <f>H62/DAY(B2)</f>
        <v>97.4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'4'!F63</f>
        <v>216356</v>
      </c>
      <c r="F63" s="122">
        <v>216484</v>
      </c>
      <c r="G63" s="112">
        <f t="shared" si="5"/>
        <v>128</v>
      </c>
      <c r="H63" s="99">
        <f>G63+'4'!H63</f>
        <v>687</v>
      </c>
      <c r="I63" s="118"/>
      <c r="J63" s="175">
        <f>H63/DAY(B2)</f>
        <v>137.4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'4'!F64</f>
        <v>0</v>
      </c>
      <c r="F64" s="122"/>
      <c r="G64" s="112">
        <f>G62+G63</f>
        <v>264</v>
      </c>
      <c r="H64" s="99">
        <f>G64+'4'!H64</f>
        <v>1174</v>
      </c>
      <c r="I64" s="118"/>
      <c r="J64" s="175">
        <f>H64/DAY(B2)</f>
        <v>234.8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'4'!F65</f>
        <v>435246</v>
      </c>
      <c r="F65" s="122">
        <v>435346</v>
      </c>
      <c r="G65" s="112">
        <f t="shared" ref="G65:G70" si="6">F65-E65</f>
        <v>100</v>
      </c>
      <c r="H65" s="99">
        <f>G65+'4'!H65</f>
        <v>423</v>
      </c>
      <c r="I65" s="118"/>
      <c r="J65" s="175">
        <f>H65/DAY(B2)</f>
        <v>84.6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'4'!F66</f>
        <v>107832</v>
      </c>
      <c r="F66" s="122">
        <v>107880</v>
      </c>
      <c r="G66" s="112">
        <f t="shared" si="6"/>
        <v>48</v>
      </c>
      <c r="H66" s="99">
        <f>G66+'4'!H66</f>
        <v>137</v>
      </c>
      <c r="I66" s="118"/>
      <c r="J66" s="175">
        <f>H66/DAY(B2)</f>
        <v>27.4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'4'!F67</f>
        <v>104727</v>
      </c>
      <c r="F67" s="122">
        <v>104753</v>
      </c>
      <c r="G67" s="112">
        <f t="shared" si="6"/>
        <v>26</v>
      </c>
      <c r="H67" s="99">
        <f>G67+'4'!H67</f>
        <v>105</v>
      </c>
      <c r="I67" s="118"/>
      <c r="J67" s="175">
        <f>H67/DAY(B2)</f>
        <v>21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'4'!F68</f>
        <v>157822</v>
      </c>
      <c r="F68" s="122">
        <v>157855</v>
      </c>
      <c r="G68" s="112">
        <f t="shared" si="6"/>
        <v>33</v>
      </c>
      <c r="H68" s="99">
        <f>G68+'4'!H68</f>
        <v>158</v>
      </c>
      <c r="I68" s="118"/>
      <c r="J68" s="175">
        <f>H68/DAY(B2)</f>
        <v>31.6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'4'!F69</f>
        <v>10585</v>
      </c>
      <c r="F69" s="122">
        <v>10593</v>
      </c>
      <c r="G69" s="112">
        <f t="shared" si="6"/>
        <v>8</v>
      </c>
      <c r="H69" s="99">
        <f>G69+'4'!H69</f>
        <v>52</v>
      </c>
      <c r="I69" s="118"/>
      <c r="J69" s="175">
        <f>H69/DAY(B2)</f>
        <v>10.4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'4'!F70</f>
        <v>8156</v>
      </c>
      <c r="F70" s="122">
        <v>8165</v>
      </c>
      <c r="G70" s="112">
        <f t="shared" si="6"/>
        <v>9</v>
      </c>
      <c r="H70" s="99">
        <f>G70+'4'!H70</f>
        <v>45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224</v>
      </c>
      <c r="H71" s="99">
        <f>G71+'4'!H71</f>
        <v>920</v>
      </c>
      <c r="I71" s="154"/>
      <c r="J71" s="175">
        <f>H71/DAY(B2)</f>
        <v>184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'4'!F74</f>
        <v>902539.3</v>
      </c>
      <c r="F74" s="123">
        <v>902824.04</v>
      </c>
      <c r="G74" s="112">
        <f t="shared" ref="G74:G78" si="7">F74-E74</f>
        <v>284.73999999999069</v>
      </c>
      <c r="H74" s="99">
        <f>G74+'4'!H74</f>
        <v>1517.8910000000615</v>
      </c>
      <c r="I74" s="154"/>
      <c r="J74" s="175">
        <f>H74/DAY(B2)</f>
        <v>303.57820000001232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'4'!F76</f>
        <v>170454.1</v>
      </c>
      <c r="F76" s="123">
        <v>170588.1</v>
      </c>
      <c r="G76" s="112">
        <f t="shared" si="7"/>
        <v>134</v>
      </c>
      <c r="H76" s="99">
        <f>G76+'4'!H76</f>
        <v>613.10000000000582</v>
      </c>
      <c r="I76" s="154"/>
      <c r="J76" s="175">
        <f>H76/DAY(B2)</f>
        <v>122.62000000000117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'4'!F77</f>
        <v>41475.4</v>
      </c>
      <c r="F77" s="123">
        <v>41535.199999999997</v>
      </c>
      <c r="G77" s="112">
        <f t="shared" si="7"/>
        <v>59.799999999995634</v>
      </c>
      <c r="H77" s="99">
        <f>G77+'4'!H77</f>
        <v>233</v>
      </c>
      <c r="I77" s="154"/>
      <c r="J77" s="175">
        <f>H77/DAY(B2)</f>
        <v>46.6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'4'!F78</f>
        <v>9521.6</v>
      </c>
      <c r="F78" s="123">
        <v>9523.7999999999993</v>
      </c>
      <c r="G78" s="112">
        <f t="shared" si="7"/>
        <v>2.1999999999989086</v>
      </c>
      <c r="H78" s="99">
        <f>G78+'4'!H78</f>
        <v>7.7999999999992724</v>
      </c>
      <c r="I78" s="118"/>
      <c r="J78" s="175">
        <f>H78/DAY(B2)</f>
        <v>1.5599999999998544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117"/>
      <c r="F79" s="117"/>
      <c r="G79" s="112">
        <f>G15-SUM(G74:G78)</f>
        <v>567.1299999998937</v>
      </c>
      <c r="H79" s="99">
        <f>G79+'4'!H79</f>
        <v>2588.0819999998384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1047.8699999998789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v>2300.42</v>
      </c>
      <c r="F85" s="164">
        <v>2300.42</v>
      </c>
      <c r="G85" s="112">
        <f t="shared" si="8"/>
        <v>0</v>
      </c>
      <c r="H85" s="99">
        <f>G85+'4'!H85</f>
        <v>40</v>
      </c>
      <c r="I85" s="118">
        <f>G82+G83+G84+G85</f>
        <v>-0.26000000000203727</v>
      </c>
      <c r="J85" s="175">
        <f>H85/DAY(B2)</f>
        <v>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'4'!F86</f>
        <v>43498.25</v>
      </c>
      <c r="F86" s="164">
        <v>43522.57</v>
      </c>
      <c r="G86" s="112">
        <f t="shared" si="8"/>
        <v>24.319999999999709</v>
      </c>
      <c r="H86" s="99">
        <f>G86+'4'!H86</f>
        <v>80.569999999999709</v>
      </c>
      <c r="I86" s="118"/>
      <c r="J86" s="175">
        <f>H86/DAY(B2)</f>
        <v>16.11399999999994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'4'!F87</f>
        <v>34599.480000000003</v>
      </c>
      <c r="F87" s="164">
        <v>34599.480000000003</v>
      </c>
      <c r="G87" s="112">
        <f t="shared" si="8"/>
        <v>0</v>
      </c>
      <c r="H87" s="99">
        <f>G87+'4'!H87</f>
        <v>0.98000000000320142</v>
      </c>
      <c r="I87" s="118"/>
      <c r="J87" s="175">
        <f>H87/DAY(B2)</f>
        <v>0.19600000000064027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'4'!F88</f>
        <v>24063.43</v>
      </c>
      <c r="F88" s="164">
        <v>24063.43</v>
      </c>
      <c r="G88" s="112">
        <f t="shared" si="8"/>
        <v>0</v>
      </c>
      <c r="H88" s="99">
        <f>G88+'4'!H88</f>
        <v>0</v>
      </c>
      <c r="I88" s="118">
        <f>G86+G87+G88</f>
        <v>24.319999999999709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'4'!F89</f>
        <v>25929.54</v>
      </c>
      <c r="F89" s="164">
        <v>25939.4</v>
      </c>
      <c r="G89" s="112">
        <f t="shared" si="8"/>
        <v>9.8600000000005821</v>
      </c>
      <c r="H89" s="99">
        <f>G89+'4'!H89</f>
        <v>48.280000000002474</v>
      </c>
      <c r="I89" s="118"/>
      <c r="J89" s="175">
        <f>H89/DAY(B2)</f>
        <v>9.6560000000004944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'4'!F90</f>
        <v>71167.94</v>
      </c>
      <c r="F90" s="164">
        <v>71171.600000000006</v>
      </c>
      <c r="G90" s="112">
        <f t="shared" si="8"/>
        <v>3.6600000000034925</v>
      </c>
      <c r="H90" s="99">
        <f>G90+'4'!H90</f>
        <v>8.2799999999988358</v>
      </c>
      <c r="I90" s="118">
        <f>G89+G90</f>
        <v>13.520000000004075</v>
      </c>
      <c r="J90" s="175">
        <f>H90/DAY(B2)</f>
        <v>1.6559999999997672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'4'!F91</f>
        <v>3296.79</v>
      </c>
      <c r="F91" s="122">
        <v>3307.41</v>
      </c>
      <c r="G91" s="112">
        <f t="shared" si="8"/>
        <v>10.619999999999891</v>
      </c>
      <c r="H91" s="99">
        <f>G91+'4'!H91</f>
        <v>56.319999999999709</v>
      </c>
      <c r="I91" s="165"/>
      <c r="J91" s="175">
        <f>H91/DAY(B2)</f>
        <v>11.263999999999943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5126.7600000000057</v>
      </c>
      <c r="H94" s="99">
        <f>G94+'4'!H94</f>
        <v>23456.879999999997</v>
      </c>
      <c r="I94" s="118"/>
      <c r="J94" s="175">
        <f>H94/DAY(B2)</f>
        <v>4691.3759999999993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0.24887087817134629</v>
      </c>
      <c r="H95" s="99">
        <f>G95+'4'!H95</f>
        <v>1.254101974624205</v>
      </c>
      <c r="I95" s="167"/>
      <c r="J95" s="175">
        <f>H95/DAY(B2)</f>
        <v>0.25082039492484098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3196.3899999999994</v>
      </c>
      <c r="H96" s="99">
        <f>G96+'4'!H96</f>
        <v>16955.189999999988</v>
      </c>
      <c r="I96" s="118"/>
      <c r="J96" s="175">
        <f>H96/DAY(B2)</f>
        <v>3391.0379999999977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0.15516396052830803</v>
      </c>
      <c r="H97" s="99">
        <f>G97+'4'!H97</f>
        <v>0.91347949655101146</v>
      </c>
      <c r="I97" s="167"/>
      <c r="J97" s="175">
        <f>H97/DAY(B2)</f>
        <v>0.1826958993102023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2758.0200000000041</v>
      </c>
      <c r="H98" s="99">
        <f>G98+'4'!H98</f>
        <v>13304.370000000003</v>
      </c>
      <c r="I98" s="168"/>
      <c r="J98" s="175">
        <f>H98/DAY(B2)</f>
        <v>2660.8740000000007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0.13388394608176249</v>
      </c>
      <c r="H99" s="99">
        <f>G99+'4'!H99</f>
        <v>0.7134658589531333</v>
      </c>
      <c r="I99" s="168"/>
      <c r="J99" s="175">
        <f>H99/DAY(B2)</f>
        <v>0.14269317179062666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1939.4400000000023</v>
      </c>
      <c r="H100" s="99">
        <f>G100+'4'!H100</f>
        <v>8845.1200000000026</v>
      </c>
      <c r="I100" s="118"/>
      <c r="J100" s="175">
        <f>H100/DAY(B2)</f>
        <v>1769.0240000000006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9.4147207195311639E-2</v>
      </c>
      <c r="H101" s="99">
        <f>G101+'4'!H101</f>
        <v>0.47347412837638103</v>
      </c>
      <c r="I101" s="168"/>
      <c r="J101" s="175">
        <f>H101/DAY(B2)</f>
        <v>9.4694825675276206E-2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2880.010000000002</v>
      </c>
      <c r="H102" s="99">
        <f>G102+'4'!H102</f>
        <v>10346.100000000006</v>
      </c>
      <c r="I102" s="168"/>
      <c r="J102" s="175">
        <f>H102/DAY(B2)</f>
        <v>2069.2200000000012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0.13980576774459089</v>
      </c>
      <c r="H103" s="99">
        <f>G103+'4'!H103</f>
        <v>0.54904886674941755</v>
      </c>
      <c r="I103" s="118"/>
      <c r="J103" s="175">
        <f>H103/DAY(B2)</f>
        <v>0.10980977334988351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1683.9199999999983</v>
      </c>
      <c r="H104" s="99">
        <f>G104+'4'!H104</f>
        <v>7951.3400000000038</v>
      </c>
      <c r="I104" s="118"/>
      <c r="J104" s="175">
        <f>H104/DAY(B2)</f>
        <v>1590.2680000000007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8.1743371870400122E-2</v>
      </c>
      <c r="H105" s="99">
        <f>G105+'4'!H105</f>
        <v>0.42619855768711745</v>
      </c>
      <c r="I105" s="187"/>
      <c r="J105" s="188">
        <f>H105/DAY(B2)</f>
        <v>8.523971153742349E-2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'4'!F112</f>
        <v>58364.27</v>
      </c>
      <c r="F112" s="237">
        <v>58439.43</v>
      </c>
      <c r="G112" s="112">
        <f t="shared" ref="G112:G123" si="9">F112-E112</f>
        <v>75.160000000003492</v>
      </c>
      <c r="H112" s="99">
        <f>G112+'4'!H112</f>
        <v>385.43000000000029</v>
      </c>
      <c r="I112" s="165"/>
      <c r="J112" s="328">
        <f>H112/DAY(B2)</f>
        <v>77.086000000000055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'4'!F113</f>
        <v>48292.28</v>
      </c>
      <c r="F113" s="237">
        <v>48780.38</v>
      </c>
      <c r="G113" s="112">
        <f t="shared" si="9"/>
        <v>488.09999999999854</v>
      </c>
      <c r="H113" s="99">
        <f>G113+'4'!H113</f>
        <v>2379.489999999998</v>
      </c>
      <c r="I113" s="165"/>
      <c r="J113" s="328">
        <f>H113/DAY(B2)</f>
        <v>475.89799999999957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'4'!F114</f>
        <v>34275.480000000003</v>
      </c>
      <c r="F114" s="237">
        <v>34677.629999999997</v>
      </c>
      <c r="G114" s="112">
        <f t="shared" si="9"/>
        <v>402.14999999999418</v>
      </c>
      <c r="H114" s="99">
        <f>G114+'4'!H114</f>
        <v>1517.6299999999974</v>
      </c>
      <c r="I114" s="165"/>
      <c r="J114" s="328">
        <f>H114/DAY(B2)</f>
        <v>303.5259999999995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'4'!F115</f>
        <v>9136.58</v>
      </c>
      <c r="F115" s="237">
        <v>9148.2199999999993</v>
      </c>
      <c r="G115" s="112">
        <f t="shared" si="9"/>
        <v>11.639999999999418</v>
      </c>
      <c r="H115" s="99">
        <f>G115+'4'!H115</f>
        <v>53.569999999999709</v>
      </c>
      <c r="I115" s="165"/>
      <c r="J115" s="328">
        <f>H115/DAY(B2)</f>
        <v>10.713999999999942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'4'!F116</f>
        <v>8.07</v>
      </c>
      <c r="F116" s="237">
        <v>35.35</v>
      </c>
      <c r="G116" s="112">
        <f t="shared" si="9"/>
        <v>27.28</v>
      </c>
      <c r="H116" s="99">
        <f>G116+'4'!H116</f>
        <v>35.35</v>
      </c>
      <c r="I116" s="165"/>
      <c r="J116" s="328">
        <f>H116/DAY(B2)</f>
        <v>7.07</v>
      </c>
      <c r="Q116" s="936"/>
      <c r="R116" s="936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'4'!F117</f>
        <v>3493.03</v>
      </c>
      <c r="F117" s="237">
        <v>3602.21</v>
      </c>
      <c r="G117" s="112">
        <f t="shared" si="9"/>
        <v>109.17999999999984</v>
      </c>
      <c r="H117" s="99">
        <f>G117+'4'!H117</f>
        <v>264.26000000000022</v>
      </c>
      <c r="I117" s="165"/>
      <c r="J117" s="328">
        <f>H117/DAY(B2)</f>
        <v>52.852000000000046</v>
      </c>
      <c r="Q117" s="936"/>
      <c r="R117" s="936"/>
    </row>
    <row r="118" spans="1:18" ht="27.75">
      <c r="A118" s="862" t="s">
        <v>97</v>
      </c>
      <c r="B118" s="862"/>
      <c r="C118" s="862"/>
      <c r="D118" s="151" t="s">
        <v>183</v>
      </c>
      <c r="E118" s="95">
        <f>'4'!F118</f>
        <v>253754.53</v>
      </c>
      <c r="F118" s="237">
        <v>254096.07</v>
      </c>
      <c r="G118" s="112">
        <f t="shared" si="9"/>
        <v>341.54000000000815</v>
      </c>
      <c r="H118" s="99">
        <f>G118+'4'!H118</f>
        <v>1643.7600000000093</v>
      </c>
      <c r="I118" s="165"/>
      <c r="J118" s="328">
        <f>H118/DAY(B2)</f>
        <v>328.75200000000189</v>
      </c>
      <c r="Q118" s="936"/>
      <c r="R118" s="936"/>
    </row>
    <row r="119" spans="1:18" ht="27.75">
      <c r="A119" s="862" t="s">
        <v>98</v>
      </c>
      <c r="B119" s="862"/>
      <c r="C119" s="862"/>
      <c r="D119" s="151" t="s">
        <v>183</v>
      </c>
      <c r="E119" s="95">
        <f>'4'!F119</f>
        <v>259841.67</v>
      </c>
      <c r="F119" s="237">
        <v>260228.75</v>
      </c>
      <c r="G119" s="112">
        <f t="shared" si="9"/>
        <v>387.07999999998719</v>
      </c>
      <c r="H119" s="99">
        <f>G119+'4'!H119</f>
        <v>2080.2000000000116</v>
      </c>
      <c r="I119" s="165"/>
      <c r="J119" s="328">
        <f>H119/DAY(B2)</f>
        <v>416.04000000000235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'4'!F120</f>
        <v>44652.31</v>
      </c>
      <c r="F120" s="597">
        <v>45062.18</v>
      </c>
      <c r="G120" s="112">
        <f t="shared" si="9"/>
        <v>409.87000000000262</v>
      </c>
      <c r="H120" s="99">
        <f>G120+'4'!H120</f>
        <v>2102.5699999999997</v>
      </c>
      <c r="I120" s="165"/>
      <c r="J120" s="328">
        <f>H120/DAY(B2)</f>
        <v>420.51399999999995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'4'!F121</f>
        <v>400923.31</v>
      </c>
      <c r="F121" s="237">
        <v>401644.07</v>
      </c>
      <c r="G121" s="112">
        <f t="shared" si="9"/>
        <v>720.76000000000931</v>
      </c>
      <c r="H121" s="99">
        <f>G121+'4'!H121</f>
        <v>3609.640000000014</v>
      </c>
      <c r="I121" s="165"/>
      <c r="J121" s="328">
        <f>H121/DAY(B2)</f>
        <v>721.92800000000284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'4'!F122</f>
        <v>127109.16</v>
      </c>
      <c r="F122" s="237">
        <v>127368.49</v>
      </c>
      <c r="G122" s="112">
        <f t="shared" si="9"/>
        <v>259.33000000000175</v>
      </c>
      <c r="H122" s="99">
        <f>G122+'4'!H122</f>
        <v>1182.3100000000122</v>
      </c>
      <c r="I122" s="165"/>
      <c r="J122" s="328">
        <f>H122/DAY(B2)</f>
        <v>236.46200000000243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'4'!F123</f>
        <v>155081.57999999999</v>
      </c>
      <c r="F123" s="237">
        <v>155329.91</v>
      </c>
      <c r="G123" s="112">
        <f t="shared" si="9"/>
        <v>248.3300000000163</v>
      </c>
      <c r="H123" s="99">
        <f>G123+'4'!H123</f>
        <v>1282.9599999999919</v>
      </c>
      <c r="I123" s="165"/>
      <c r="J123" s="328">
        <f>H123/DAY(B2)</f>
        <v>256.59199999999839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931" t="s">
        <v>196</v>
      </c>
      <c r="B125" s="931"/>
      <c r="C125" s="245"/>
      <c r="D125" s="307"/>
      <c r="E125" s="308"/>
      <c r="F125" s="308"/>
      <c r="G125" s="309">
        <f>SUM(G112:G124)</f>
        <v>3480.420000000021</v>
      </c>
      <c r="H125" s="156"/>
      <c r="I125" s="327">
        <f>G125-(G39+G53)</f>
        <v>722.40000000001692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469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'4'!F128</f>
        <v>48986.97</v>
      </c>
      <c r="F128" s="470">
        <v>49284.85</v>
      </c>
      <c r="G128" s="112">
        <f t="shared" ref="G128:G134" si="10">F128-E128</f>
        <v>297.87999999999738</v>
      </c>
      <c r="H128" s="99">
        <f>G128+'4'!H128</f>
        <v>1538.8499999999985</v>
      </c>
      <c r="I128" s="165"/>
      <c r="J128" s="328">
        <f>H128/DAY(B2)</f>
        <v>307.7699999999997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'4'!F129</f>
        <v>27721.45</v>
      </c>
      <c r="F129" s="470">
        <v>27911.360000000001</v>
      </c>
      <c r="G129" s="112">
        <f t="shared" si="10"/>
        <v>189.90999999999985</v>
      </c>
      <c r="H129" s="99">
        <f>G129+'4'!H129</f>
        <v>1000.4900000000016</v>
      </c>
      <c r="I129" s="165"/>
      <c r="J129" s="328">
        <f>H129/DAY(B2)</f>
        <v>200.09800000000033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'4'!F130</f>
        <v>37892.42</v>
      </c>
      <c r="F130" s="470">
        <v>38457.519999999997</v>
      </c>
      <c r="G130" s="112">
        <f t="shared" si="10"/>
        <v>565.09999999999854</v>
      </c>
      <c r="H130" s="99">
        <f>G130+'4'!H130</f>
        <v>2763.5199999999968</v>
      </c>
      <c r="I130" s="165"/>
      <c r="J130" s="328">
        <f>H130/DAY(B2)</f>
        <v>552.70399999999938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'4'!F131</f>
        <v>15574.9</v>
      </c>
      <c r="F131" s="470">
        <v>15640.69</v>
      </c>
      <c r="G131" s="112">
        <f t="shared" si="10"/>
        <v>65.790000000000873</v>
      </c>
      <c r="H131" s="99">
        <f>G131+'4'!H131</f>
        <v>333.01000000000022</v>
      </c>
      <c r="I131" s="165"/>
      <c r="J131" s="328">
        <f>H131/DAY(B2)</f>
        <v>66.602000000000046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'4'!F132</f>
        <v>52796.45</v>
      </c>
      <c r="F132" s="470">
        <v>53236.79</v>
      </c>
      <c r="G132" s="112">
        <f t="shared" si="10"/>
        <v>440.34000000000378</v>
      </c>
      <c r="H132" s="99">
        <f>G132+'4'!H132</f>
        <v>1388.489999999998</v>
      </c>
      <c r="I132" s="165"/>
      <c r="J132" s="328">
        <f>H132/DAY(B2)</f>
        <v>277.69799999999958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'4'!F133</f>
        <v>107660.29</v>
      </c>
      <c r="F133" s="470">
        <v>108353.26</v>
      </c>
      <c r="G133" s="112">
        <f t="shared" si="10"/>
        <v>692.97000000000116</v>
      </c>
      <c r="H133" s="99">
        <f>G133+'4'!H133</f>
        <v>3009.5599999999977</v>
      </c>
      <c r="I133" s="165"/>
      <c r="J133" s="328">
        <f>H133/DAY(B2)</f>
        <v>601.91199999999958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'4'!F134</f>
        <v>9228.06</v>
      </c>
      <c r="F134" s="470">
        <v>9426.16</v>
      </c>
      <c r="G134" s="112">
        <f t="shared" si="10"/>
        <v>198.10000000000036</v>
      </c>
      <c r="H134" s="99">
        <f>G134+'4'!H134</f>
        <v>824.93000000000029</v>
      </c>
      <c r="I134" s="165"/>
      <c r="J134" s="328">
        <f>H134/DAY(B2)</f>
        <v>164.98600000000005</v>
      </c>
    </row>
    <row r="135" spans="1:15" ht="27.75">
      <c r="A135" s="931" t="s">
        <v>196</v>
      </c>
      <c r="B135" s="931"/>
      <c r="C135" s="331"/>
      <c r="D135" s="151"/>
      <c r="E135" s="95"/>
      <c r="F135" s="165"/>
      <c r="G135" s="112">
        <f>SUM(G128:G134)</f>
        <v>2450.090000000002</v>
      </c>
      <c r="H135" s="99">
        <f>G135+'4'!H135</f>
        <v>10858.849999999993</v>
      </c>
      <c r="I135" s="327">
        <f>G135-(G35+G49)</f>
        <v>-438.9099999999944</v>
      </c>
      <c r="J135" s="328">
        <f>H135/DAY(B2)</f>
        <v>2171.7699999999986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'4'!F138</f>
        <v>866473</v>
      </c>
      <c r="F138" s="147">
        <v>866570</v>
      </c>
      <c r="G138" s="112">
        <f t="shared" ref="G138:G152" si="11">F138-E138</f>
        <v>97</v>
      </c>
      <c r="H138" s="99">
        <f>G138+'4'!H138</f>
        <v>397</v>
      </c>
      <c r="I138" s="118"/>
      <c r="J138" s="328">
        <f>H138/DAY(B2)</f>
        <v>79.400000000000006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'4'!F139</f>
        <v>886580</v>
      </c>
      <c r="F139" s="148">
        <v>886591</v>
      </c>
      <c r="G139" s="112">
        <f t="shared" si="11"/>
        <v>11</v>
      </c>
      <c r="H139" s="99">
        <f>G139+'4'!H139</f>
        <v>18</v>
      </c>
      <c r="I139" s="118"/>
      <c r="J139" s="328">
        <f>H139/DAY(B2)</f>
        <v>3.6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'4'!F140</f>
        <v>88935</v>
      </c>
      <c r="F140" s="149">
        <v>88936.2</v>
      </c>
      <c r="G140" s="112">
        <f t="shared" si="11"/>
        <v>1.1999999999970896</v>
      </c>
      <c r="H140" s="99">
        <f>G140+'4'!H140</f>
        <v>14.19999999999709</v>
      </c>
      <c r="I140" s="118"/>
      <c r="J140" s="328">
        <f>H140/DAY(B2)</f>
        <v>2.8399999999994181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'4'!F141</f>
        <v>55375.06</v>
      </c>
      <c r="F141" s="149">
        <v>55561.56</v>
      </c>
      <c r="G141" s="112">
        <f t="shared" si="11"/>
        <v>186.5</v>
      </c>
      <c r="H141" s="99">
        <f>G141+'4'!H141</f>
        <v>875.97999999999593</v>
      </c>
      <c r="I141" s="118"/>
      <c r="J141" s="328">
        <f>H141/DAY(B2)</f>
        <v>175.19599999999917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'4'!F142</f>
        <v>21557.87</v>
      </c>
      <c r="F142" s="148">
        <v>21626.13</v>
      </c>
      <c r="G142" s="112">
        <f t="shared" si="11"/>
        <v>68.260000000002037</v>
      </c>
      <c r="H142" s="99">
        <f>G142+'4'!H142</f>
        <v>342.03000000000247</v>
      </c>
      <c r="I142" s="140"/>
      <c r="J142" s="328">
        <f>H142/DAY(B2)</f>
        <v>68.406000000000489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'4'!F143</f>
        <v>3943.49</v>
      </c>
      <c r="F143" s="149">
        <v>3971.3</v>
      </c>
      <c r="G143" s="112">
        <f t="shared" si="11"/>
        <v>27.8100000000004</v>
      </c>
      <c r="H143" s="99">
        <f>G143+'4'!H143</f>
        <v>135.91000000000031</v>
      </c>
      <c r="I143" s="140"/>
      <c r="J143" s="328">
        <f>H143/DAY(B2)</f>
        <v>27.182000000000063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'4'!F144</f>
        <v>877315</v>
      </c>
      <c r="F144" s="149">
        <v>877528</v>
      </c>
      <c r="G144" s="112">
        <f t="shared" si="11"/>
        <v>213</v>
      </c>
      <c r="H144" s="99">
        <f>G144+'4'!H144</f>
        <v>1041</v>
      </c>
      <c r="I144" s="140"/>
      <c r="J144" s="328">
        <f>H144/DAY(B2)</f>
        <v>208.2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'4'!F145</f>
        <v>5014.8100000000004</v>
      </c>
      <c r="F145" s="149">
        <v>5023.07</v>
      </c>
      <c r="G145" s="112">
        <f t="shared" si="11"/>
        <v>8.2599999999993088</v>
      </c>
      <c r="H145" s="99">
        <f>G145+'4'!H145</f>
        <v>64.229999999999563</v>
      </c>
      <c r="I145" s="140"/>
      <c r="J145" s="328">
        <f>H145/DAY(B2)</f>
        <v>12.845999999999913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'4'!F146</f>
        <v>738917</v>
      </c>
      <c r="F146" s="148">
        <v>739367</v>
      </c>
      <c r="G146" s="112">
        <f t="shared" si="11"/>
        <v>450</v>
      </c>
      <c r="H146" s="99">
        <f>G146+'4'!H146</f>
        <v>2034</v>
      </c>
      <c r="I146" s="140"/>
      <c r="J146" s="328">
        <f>H146/DAY(B2)</f>
        <v>406.8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'4'!F147</f>
        <v>628152.43999999994</v>
      </c>
      <c r="F147" s="148">
        <v>628567</v>
      </c>
      <c r="G147" s="112">
        <f t="shared" si="11"/>
        <v>414.56000000005588</v>
      </c>
      <c r="H147" s="99">
        <f>G147+'4'!H147</f>
        <v>1954.4799999999814</v>
      </c>
      <c r="I147" s="140"/>
      <c r="J147" s="328">
        <f>H147/DAY(B2)</f>
        <v>390.89599999999626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'4'!F148</f>
        <v>690458.32</v>
      </c>
      <c r="F148" s="150">
        <v>690843.76</v>
      </c>
      <c r="G148" s="112">
        <f t="shared" si="11"/>
        <v>385.44000000006054</v>
      </c>
      <c r="H148" s="99">
        <f>G148+'4'!H148</f>
        <v>1400.8000000000466</v>
      </c>
      <c r="I148" s="124"/>
      <c r="J148" s="328">
        <f>H148/DAY(B2)</f>
        <v>280.16000000000929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'4'!F149</f>
        <v>26424.38</v>
      </c>
      <c r="F149" s="146">
        <v>26992.48</v>
      </c>
      <c r="G149" s="112">
        <f t="shared" si="11"/>
        <v>568.09999999999854</v>
      </c>
      <c r="H149" s="99">
        <f>G149+'4'!H149</f>
        <v>2314.2799999999988</v>
      </c>
      <c r="I149" s="119"/>
      <c r="J149" s="328">
        <f>H149/DAY(B2)</f>
        <v>462.85599999999977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'4'!F150</f>
        <v>11732.86</v>
      </c>
      <c r="F150" s="233">
        <v>11954.23</v>
      </c>
      <c r="G150" s="112">
        <f t="shared" si="11"/>
        <v>221.36999999999898</v>
      </c>
      <c r="H150" s="99">
        <f>G150+'4'!H150</f>
        <v>1103.3999999999996</v>
      </c>
      <c r="I150" s="119"/>
      <c r="J150" s="328">
        <f>H150/DAY(B2)</f>
        <v>220.67999999999992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'4'!F151</f>
        <v>86473</v>
      </c>
      <c r="F151" s="233">
        <v>86728</v>
      </c>
      <c r="G151" s="112">
        <f t="shared" si="11"/>
        <v>255</v>
      </c>
      <c r="H151" s="99">
        <f>G151+'4'!H151</f>
        <v>1248</v>
      </c>
      <c r="I151" s="119"/>
      <c r="J151" s="328">
        <f>H151/DAY(B2)</f>
        <v>249.6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'4'!F152</f>
        <v>1838.73</v>
      </c>
      <c r="F152" s="233">
        <v>1877.92</v>
      </c>
      <c r="G152" s="112">
        <f t="shared" si="11"/>
        <v>39.190000000000055</v>
      </c>
      <c r="H152" s="99">
        <f>G152+'4'!H152</f>
        <v>217.92000000000007</v>
      </c>
      <c r="I152" s="119"/>
      <c r="J152" s="328">
        <f>H152/DAY(B2)</f>
        <v>43.584000000000017</v>
      </c>
    </row>
    <row r="153" spans="1:10" ht="27.75">
      <c r="A153" s="931" t="s">
        <v>196</v>
      </c>
      <c r="B153" s="931"/>
      <c r="C153" s="365"/>
      <c r="D153" s="358"/>
      <c r="E153" s="360"/>
      <c r="F153" s="361"/>
      <c r="G153" s="362">
        <f>SUM(G138:G152)</f>
        <v>2946.6900000001128</v>
      </c>
      <c r="H153" s="363"/>
      <c r="I153" s="119">
        <f>G153-(G38+G52)</f>
        <v>1007.2500000001105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'4'!F155</f>
        <v>35016.379999999997</v>
      </c>
      <c r="F155" s="374">
        <v>35756.65</v>
      </c>
      <c r="G155" s="112">
        <f t="shared" ref="G155:G158" si="12">F155-E155</f>
        <v>740.27000000000407</v>
      </c>
      <c r="H155" s="99">
        <f>G155+'4'!H155</f>
        <v>2811.6500000000015</v>
      </c>
      <c r="I155" s="364"/>
      <c r="J155" s="328">
        <f>H155/DAY(B2)</f>
        <v>562.33000000000027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'4'!F156</f>
        <v>2940.61</v>
      </c>
      <c r="F156" s="155">
        <v>2992.7</v>
      </c>
      <c r="G156" s="112">
        <f t="shared" si="12"/>
        <v>52.089999999999691</v>
      </c>
      <c r="H156" s="99">
        <f>G156+'4'!H156</f>
        <v>204.69999999999982</v>
      </c>
      <c r="I156" s="165"/>
      <c r="J156" s="328">
        <f>H156/DAY(B2)</f>
        <v>40.939999999999962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'4'!F157</f>
        <v>4365.28</v>
      </c>
      <c r="F157" s="155">
        <v>4471.08</v>
      </c>
      <c r="G157" s="112">
        <f t="shared" si="12"/>
        <v>105.80000000000018</v>
      </c>
      <c r="H157" s="99">
        <f>G157+'4'!H157</f>
        <v>188.78999999999996</v>
      </c>
      <c r="I157" s="165"/>
      <c r="J157" s="328">
        <f>H157/DAY(B2)</f>
        <v>37.757999999999996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'4'!F158</f>
        <v>61.82</v>
      </c>
      <c r="F158" s="155">
        <v>62.17</v>
      </c>
      <c r="G158" s="112">
        <f t="shared" si="12"/>
        <v>0.35000000000000142</v>
      </c>
      <c r="H158" s="99">
        <f>G158+'4'!H158</f>
        <v>1.2700000000000031</v>
      </c>
      <c r="I158" s="165"/>
      <c r="J158" s="328">
        <f>H158/DAY(B2)</f>
        <v>0.25400000000000061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'4'!F161</f>
        <v>472265.48</v>
      </c>
      <c r="F161" s="235">
        <v>472322</v>
      </c>
      <c r="G161" s="238">
        <f t="shared" ref="G161:G165" si="13">F161-E161</f>
        <v>56.520000000018626</v>
      </c>
      <c r="H161" s="99">
        <f>G161+'4'!H161</f>
        <v>268.44000000000233</v>
      </c>
      <c r="I161" s="236"/>
      <c r="J161" s="239">
        <f>H161/DAY(B2)</f>
        <v>53.688000000000464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'4'!F162</f>
        <v>88670.3</v>
      </c>
      <c r="F162" s="235">
        <v>88704.2</v>
      </c>
      <c r="G162" s="238">
        <f t="shared" si="13"/>
        <v>33.899999999994179</v>
      </c>
      <c r="H162" s="99">
        <f>G162+'4'!H162</f>
        <v>187.80000000000291</v>
      </c>
      <c r="I162" s="236"/>
      <c r="J162" s="239">
        <f>H162/DAY(B2)</f>
        <v>37.560000000000585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'4'!F163</f>
        <v>79351.7</v>
      </c>
      <c r="F163" s="235">
        <v>79385.2</v>
      </c>
      <c r="G163" s="238">
        <f t="shared" si="13"/>
        <v>33.5</v>
      </c>
      <c r="H163" s="99">
        <f>G163+'4'!H163</f>
        <v>165.09999999999127</v>
      </c>
      <c r="I163" s="236"/>
      <c r="J163" s="239">
        <f>H163/DAY(B2)</f>
        <v>33.019999999998255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'4'!F164</f>
        <v>4323.7</v>
      </c>
      <c r="F164" s="235">
        <v>4323.7</v>
      </c>
      <c r="G164" s="238">
        <f t="shared" si="13"/>
        <v>0</v>
      </c>
      <c r="H164" s="99">
        <f>G164+'4'!H164</f>
        <v>3.6999999999998181</v>
      </c>
      <c r="I164" s="236"/>
      <c r="J164" s="239">
        <f>H164/DAY(B2)</f>
        <v>0.73999999999996358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'4'!F165</f>
        <v>29893.83</v>
      </c>
      <c r="F165" s="235">
        <v>29900.66</v>
      </c>
      <c r="G165" s="238">
        <f t="shared" si="13"/>
        <v>6.8299999999981083</v>
      </c>
      <c r="H165" s="99">
        <f>G165+'4'!H165</f>
        <v>43.409999999999854</v>
      </c>
      <c r="I165" s="236"/>
      <c r="J165" s="239">
        <f>H165/DAY(B2)</f>
        <v>8.6819999999999702</v>
      </c>
    </row>
    <row r="166" spans="1:10" ht="29.25">
      <c r="A166" s="852"/>
      <c r="B166" s="85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>
      <c r="A167" s="852"/>
      <c r="B167" s="85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>
      <c r="A168" s="852"/>
      <c r="B168" s="85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932"/>
      <c r="B172" s="932"/>
      <c r="C172" s="472"/>
      <c r="D172" s="155"/>
      <c r="E172" s="155"/>
      <c r="F172" s="155"/>
      <c r="G172" s="155"/>
      <c r="H172" s="156"/>
      <c r="I172" s="155"/>
      <c r="J172" s="156"/>
    </row>
    <row r="173" spans="1:10" ht="27.75">
      <c r="A173" s="930" t="s">
        <v>209</v>
      </c>
      <c r="B173" s="930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>
      <c r="A174" s="930" t="s">
        <v>75</v>
      </c>
      <c r="B174" s="930"/>
      <c r="C174" s="333"/>
      <c r="D174" s="155" t="s">
        <v>142</v>
      </c>
      <c r="E174" s="95">
        <f>'4'!F174</f>
        <v>38661</v>
      </c>
      <c r="F174" s="157">
        <v>38676</v>
      </c>
      <c r="G174" s="155">
        <f t="shared" ref="G174:G175" si="14">F174-E174</f>
        <v>15</v>
      </c>
      <c r="H174" s="99">
        <f>G174+'4'!H174</f>
        <v>61</v>
      </c>
      <c r="I174" s="155"/>
      <c r="J174" s="156">
        <f>H174/DAY(B2)</f>
        <v>12.2</v>
      </c>
    </row>
    <row r="175" spans="1:10" ht="27.75">
      <c r="A175" s="930" t="s">
        <v>76</v>
      </c>
      <c r="B175" s="930"/>
      <c r="C175" s="930"/>
      <c r="D175" s="155" t="s">
        <v>142</v>
      </c>
      <c r="E175" s="95">
        <f>'4'!F175</f>
        <v>21851</v>
      </c>
      <c r="F175" s="157">
        <v>21862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>
      <c r="A176" s="931" t="s">
        <v>196</v>
      </c>
      <c r="B176" s="931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110</v>
      </c>
      <c r="I176" s="155"/>
      <c r="J176" s="156">
        <f>H176/DAY(B2)</f>
        <v>22</v>
      </c>
    </row>
    <row r="177" spans="1:10" ht="27.75">
      <c r="A177" s="930" t="s">
        <v>77</v>
      </c>
      <c r="B177" s="93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>
      <c r="A178" s="930" t="s">
        <v>210</v>
      </c>
      <c r="B178" s="930"/>
      <c r="C178" s="333"/>
      <c r="D178" s="155" t="s">
        <v>142</v>
      </c>
      <c r="E178" s="95">
        <f>'4'!F178</f>
        <v>81544</v>
      </c>
      <c r="F178" s="155">
        <v>81608</v>
      </c>
      <c r="G178" s="155">
        <f>F178-E178</f>
        <v>64</v>
      </c>
      <c r="H178" s="99">
        <f>G178+'4'!H178</f>
        <v>293</v>
      </c>
      <c r="I178" s="155"/>
      <c r="J178" s="156">
        <f>H178/DAY(B2)</f>
        <v>58.6</v>
      </c>
    </row>
    <row r="179" spans="1:10" ht="27.75">
      <c r="A179" s="930" t="s">
        <v>211</v>
      </c>
      <c r="B179" s="930"/>
      <c r="C179" s="333"/>
      <c r="D179" s="155" t="s">
        <v>142</v>
      </c>
      <c r="E179" s="95">
        <f>'4'!F179</f>
        <v>34926</v>
      </c>
      <c r="F179" s="155">
        <v>34958</v>
      </c>
      <c r="G179" s="155">
        <f t="shared" ref="G179:G180" si="15">F179-E179</f>
        <v>32</v>
      </c>
      <c r="H179" s="99">
        <f>G179+'4'!H179</f>
        <v>155</v>
      </c>
      <c r="I179" s="155"/>
      <c r="J179" s="156">
        <f>H179/DAY(B2)</f>
        <v>31</v>
      </c>
    </row>
    <row r="180" spans="1:10" ht="27.75">
      <c r="A180" s="930" t="s">
        <v>212</v>
      </c>
      <c r="B180" s="930"/>
      <c r="C180" s="333"/>
      <c r="D180" s="155" t="s">
        <v>142</v>
      </c>
      <c r="E180" s="95">
        <f>'4'!F180</f>
        <v>5731</v>
      </c>
      <c r="F180" s="155">
        <v>5748</v>
      </c>
      <c r="G180" s="155">
        <f t="shared" si="15"/>
        <v>17</v>
      </c>
      <c r="H180" s="99">
        <f>G180+'4'!H180</f>
        <v>46</v>
      </c>
      <c r="I180" s="155"/>
      <c r="J180" s="156">
        <f>H180/DAY(B2)</f>
        <v>9.1999999999999993</v>
      </c>
    </row>
    <row r="181" spans="1:10" ht="27.75">
      <c r="A181" s="935" t="s">
        <v>108</v>
      </c>
      <c r="B181" s="935"/>
      <c r="C181" s="333"/>
      <c r="D181" s="155"/>
      <c r="E181" s="95">
        <f>'4'!F181</f>
        <v>0</v>
      </c>
      <c r="F181" s="155"/>
      <c r="G181" s="155">
        <f>SUM(G178:G180)</f>
        <v>113</v>
      </c>
      <c r="H181" s="99">
        <f>G181+'4'!H181</f>
        <v>494</v>
      </c>
      <c r="I181" s="155"/>
      <c r="J181" s="156">
        <f>H181/DAY(B2)</f>
        <v>98.8</v>
      </c>
    </row>
    <row r="182" spans="1:10" ht="27.75">
      <c r="A182" s="930" t="s">
        <v>213</v>
      </c>
      <c r="B182" s="93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>
      <c r="A183" s="930" t="s">
        <v>214</v>
      </c>
      <c r="B183" s="930"/>
      <c r="C183" s="334"/>
      <c r="D183" s="155" t="s">
        <v>142</v>
      </c>
      <c r="E183" s="95">
        <f>'4'!F183</f>
        <v>15398</v>
      </c>
      <c r="F183" s="157">
        <v>15407</v>
      </c>
      <c r="G183" s="157">
        <f>F183-E183</f>
        <v>9</v>
      </c>
      <c r="H183" s="99">
        <f>G183+'4'!H183</f>
        <v>62</v>
      </c>
      <c r="I183" s="155"/>
      <c r="J183" s="156">
        <f>H183/DAY(B2)</f>
        <v>12.4</v>
      </c>
    </row>
    <row r="184" spans="1:10" ht="27.75">
      <c r="A184" s="930" t="s">
        <v>215</v>
      </c>
      <c r="B184" s="930"/>
      <c r="C184" s="334"/>
      <c r="D184" s="155" t="s">
        <v>142</v>
      </c>
      <c r="E184" s="95">
        <f>'4'!F184</f>
        <v>10545</v>
      </c>
      <c r="F184" s="157">
        <v>10553</v>
      </c>
      <c r="G184" s="157">
        <f t="shared" ref="G184:G185" si="16">F184-E184</f>
        <v>8</v>
      </c>
      <c r="H184" s="99">
        <f>G184+'4'!H184</f>
        <v>35</v>
      </c>
      <c r="I184" s="155"/>
      <c r="J184" s="156">
        <f>H184/DAY(B2)</f>
        <v>7</v>
      </c>
    </row>
    <row r="185" spans="1:10" ht="29.25" customHeight="1">
      <c r="A185" s="930" t="s">
        <v>216</v>
      </c>
      <c r="B185" s="93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>
      <c r="A186" s="931" t="s">
        <v>196</v>
      </c>
      <c r="B186" s="931"/>
      <c r="C186" s="334"/>
      <c r="D186" s="461"/>
      <c r="E186" s="95"/>
      <c r="F186" s="157"/>
      <c r="G186" s="157">
        <f>SUM(G183:G185)</f>
        <v>17</v>
      </c>
      <c r="H186" s="99">
        <f>G186+'4'!H186</f>
        <v>97</v>
      </c>
      <c r="I186" s="157"/>
      <c r="J186" s="156">
        <f>H186/DAY(B2)</f>
        <v>19.399999999999999</v>
      </c>
    </row>
    <row r="187" spans="1:10" ht="27.75">
      <c r="A187" s="934" t="s">
        <v>217</v>
      </c>
      <c r="B187" s="934"/>
      <c r="C187" s="333"/>
      <c r="D187" s="157" t="s">
        <v>142</v>
      </c>
      <c r="E187" s="95"/>
      <c r="F187" s="159"/>
      <c r="G187" s="460">
        <f>G62+G19</f>
        <v>190</v>
      </c>
      <c r="H187" s="99">
        <f>G187+'4'!H187</f>
        <v>733</v>
      </c>
      <c r="I187" s="158"/>
      <c r="J187" s="159">
        <f>H187/DAY(B2)</f>
        <v>146.6</v>
      </c>
    </row>
    <row r="188" spans="1:10" ht="27.75">
      <c r="A188" s="934" t="s">
        <v>218</v>
      </c>
      <c r="B188" s="934"/>
      <c r="C188" s="333"/>
      <c r="D188" s="157" t="s">
        <v>142</v>
      </c>
      <c r="E188" s="95"/>
      <c r="F188" s="159"/>
      <c r="G188" s="460">
        <f>G65+G66+G67+G69+G70</f>
        <v>191</v>
      </c>
      <c r="H188" s="99">
        <f>G188+'4'!H188</f>
        <v>762</v>
      </c>
      <c r="I188" s="158"/>
      <c r="J188" s="159">
        <f>H188/DAY(B2)</f>
        <v>152.4</v>
      </c>
    </row>
    <row r="189" spans="1:10" ht="27.75">
      <c r="A189" s="934" t="s">
        <v>219</v>
      </c>
      <c r="B189" s="934"/>
      <c r="C189" s="333"/>
      <c r="D189" s="157" t="s">
        <v>142</v>
      </c>
      <c r="E189" s="95"/>
      <c r="F189" s="157"/>
      <c r="G189" s="457">
        <f>G181</f>
        <v>113</v>
      </c>
      <c r="H189" s="99">
        <f>G189+'4'!H189</f>
        <v>494</v>
      </c>
      <c r="I189" s="158"/>
      <c r="J189" s="159">
        <f>H189/DAY(B2)</f>
        <v>98.8</v>
      </c>
    </row>
    <row r="190" spans="1:10" ht="27.75">
      <c r="A190" s="933"/>
      <c r="B190" s="933"/>
      <c r="C190" s="473"/>
      <c r="D190" s="474"/>
      <c r="E190" s="475"/>
      <c r="F190" s="474"/>
      <c r="G190" s="474"/>
      <c r="H190" s="476"/>
      <c r="I190" s="474"/>
      <c r="J190" s="477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21" zoomScale="55" zoomScaleSheetLayoutView="55" workbookViewId="0">
      <selection activeCell="D2" sqref="D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44598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'5'!F7</f>
        <v>744647.67</v>
      </c>
      <c r="F7" s="95">
        <v>765034.55</v>
      </c>
      <c r="G7" s="112">
        <f>F7-E7</f>
        <v>20386.880000000005</v>
      </c>
      <c r="H7" s="99">
        <f>G7+'5'!H7</f>
        <v>113854.32000000007</v>
      </c>
      <c r="I7" s="113">
        <f>'1'!I7</f>
        <v>12000</v>
      </c>
      <c r="J7" s="175">
        <f>H7/DAY(B2)</f>
        <v>18975.720000000012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'5'!F8</f>
        <v>803007.67</v>
      </c>
      <c r="F8" s="114">
        <v>823619.67</v>
      </c>
      <c r="G8" s="115">
        <f>F8-E8</f>
        <v>20612</v>
      </c>
      <c r="H8" s="99">
        <f>G8+'5'!H8</f>
        <v>115071.52000000002</v>
      </c>
      <c r="I8" s="116"/>
      <c r="J8" s="175">
        <f>H8/DAY(B2)</f>
        <v>19178.58666666667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'5'!F9</f>
        <v>347557.39</v>
      </c>
      <c r="F9" s="117">
        <v>359986.51</v>
      </c>
      <c r="G9" s="112">
        <f>F9-E9</f>
        <v>12429.119999999995</v>
      </c>
      <c r="H9" s="99">
        <f>G9+'5'!H9</f>
        <v>77732.660000000033</v>
      </c>
      <c r="I9" s="124">
        <f>I7-J7</f>
        <v>-6975.7200000000121</v>
      </c>
      <c r="J9" s="175">
        <f>H9/DAY(B2)</f>
        <v>12955.443333333338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'5'!F10</f>
        <v>130814.89</v>
      </c>
      <c r="F10" s="117">
        <v>138225.72</v>
      </c>
      <c r="G10" s="112">
        <f t="shared" ref="G10:G12" si="0">F10-E10</f>
        <v>7410.8300000000017</v>
      </c>
      <c r="H10" s="99">
        <f>G10+'5'!H10</f>
        <v>32966.75</v>
      </c>
      <c r="I10" s="282"/>
      <c r="J10" s="175">
        <f>H10/DAY(B2)</f>
        <v>5494.458333333333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'5'!F11</f>
        <v>37170</v>
      </c>
      <c r="F11" s="95">
        <v>37170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19839.949999999997</v>
      </c>
      <c r="H13" s="99">
        <f>G13+'5'!H13</f>
        <v>93944.98</v>
      </c>
      <c r="I13" s="120">
        <f>G7-G13</f>
        <v>546.93000000000757</v>
      </c>
      <c r="J13" s="175">
        <f>H13/DAY(B2)</f>
        <v>15657.496666666666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'5'!F15</f>
        <v>1911596.64</v>
      </c>
      <c r="F15" s="123">
        <v>1912646.14</v>
      </c>
      <c r="G15" s="112">
        <f>(F15-E15)</f>
        <v>1049.5</v>
      </c>
      <c r="H15" s="99">
        <f>G15+'5'!H15</f>
        <v>6009.372999999905</v>
      </c>
      <c r="I15" s="113">
        <f>'1'!I15</f>
        <v>800</v>
      </c>
      <c r="J15" s="175">
        <f>H15/DAY(B2)</f>
        <v>1001.5621666666508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-201.5621666666508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'5'!F18</f>
        <v>24</v>
      </c>
      <c r="F18" s="122">
        <v>22</v>
      </c>
      <c r="G18" s="119">
        <f>F18*10</f>
        <v>220</v>
      </c>
      <c r="H18" s="99">
        <f>G18+'5'!H18</f>
        <v>1180</v>
      </c>
      <c r="I18" s="113">
        <f>'1'!I18</f>
        <v>65</v>
      </c>
      <c r="J18" s="175">
        <f>H18/DAY(B2)</f>
        <v>196.66666666666666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'5'!F19</f>
        <v>154137</v>
      </c>
      <c r="F19" s="122">
        <v>154192</v>
      </c>
      <c r="G19" s="112">
        <f t="shared" ref="G19" si="1">F19-E19</f>
        <v>55</v>
      </c>
      <c r="H19" s="99">
        <f>G19+'5'!H19</f>
        <v>301</v>
      </c>
      <c r="I19" s="335"/>
      <c r="J19" s="175">
        <f>H19/DAY(B2)</f>
        <v>50.166666666666664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275</v>
      </c>
      <c r="H20" s="99">
        <f>G20+'5'!H20</f>
        <v>1481</v>
      </c>
      <c r="I20" s="336">
        <f>I18-J20</f>
        <v>-181.83333333333334</v>
      </c>
      <c r="J20" s="175">
        <f>H20/DAY(B2)</f>
        <v>246.83333333333334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20612</v>
      </c>
      <c r="F27" s="136">
        <v>9</v>
      </c>
      <c r="G27" s="137">
        <f>E27*F27</f>
        <v>185508</v>
      </c>
      <c r="H27" s="99">
        <f>G27+'5'!H27</f>
        <v>1035643.6800000002</v>
      </c>
      <c r="I27" s="138"/>
      <c r="J27" s="175">
        <f>H27/DAY(B2)</f>
        <v>172607.28000000003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1049.5</v>
      </c>
      <c r="F28" s="136">
        <v>52</v>
      </c>
      <c r="G28" s="137">
        <f>E28*F28</f>
        <v>54574</v>
      </c>
      <c r="H28" s="99">
        <f>G28+'5'!H28</f>
        <v>312487.39599999506</v>
      </c>
      <c r="I28" s="140"/>
      <c r="J28" s="175">
        <f>H28/DAY(B2)</f>
        <v>52081.232666665841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G30+'5'!H30</f>
        <v>43946</v>
      </c>
      <c r="I30" s="140"/>
      <c r="J30" s="175">
        <f>H30/DAY(B2)</f>
        <v>7324.333333333333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G31+'5'!H31</f>
        <v>94400</v>
      </c>
      <c r="I31" s="140"/>
      <c r="J31" s="175">
        <f>H31/DAY(B2)</f>
        <v>15733.333333333334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265712</v>
      </c>
      <c r="H32" s="99">
        <f>G32+'5'!H32</f>
        <v>1486477.0759999952</v>
      </c>
      <c r="I32" s="144"/>
      <c r="J32" s="175">
        <f>H32/DAY(B2)</f>
        <v>247746.17933333255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'5'!F35</f>
        <v>38854.68</v>
      </c>
      <c r="F35" s="145">
        <v>40508.78</v>
      </c>
      <c r="G35" s="112">
        <f t="shared" ref="G35:G46" si="3">F35-E35</f>
        <v>1654.0999999999985</v>
      </c>
      <c r="H35" s="99">
        <f>G35+'5'!H35</f>
        <v>8503.7999999999993</v>
      </c>
      <c r="I35" s="95"/>
      <c r="J35" s="175">
        <f>H35/DAY(B2)</f>
        <v>1417.3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'5'!F36</f>
        <v>48131.83</v>
      </c>
      <c r="F36" s="145">
        <v>49033.99</v>
      </c>
      <c r="G36" s="112">
        <f t="shared" si="3"/>
        <v>902.15999999999622</v>
      </c>
      <c r="H36" s="99">
        <f>G36+'5'!H36</f>
        <v>5575.25</v>
      </c>
      <c r="I36" s="95"/>
      <c r="J36" s="175">
        <f>H36/DAY(B2)</f>
        <v>929.20833333333337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'5'!F37</f>
        <v>43376.43</v>
      </c>
      <c r="F37" s="145">
        <v>45022.09</v>
      </c>
      <c r="G37" s="112">
        <f t="shared" si="3"/>
        <v>1645.6599999999962</v>
      </c>
      <c r="H37" s="99">
        <f>G37+'5'!H37</f>
        <v>9597</v>
      </c>
      <c r="I37" s="95"/>
      <c r="J37" s="175">
        <f>H37/DAY(B2)</f>
        <v>1599.5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'5'!F38</f>
        <v>47221.55</v>
      </c>
      <c r="F38" s="108">
        <v>49136.58</v>
      </c>
      <c r="G38" s="112">
        <f t="shared" si="3"/>
        <v>1915.0299999999988</v>
      </c>
      <c r="H38" s="99">
        <f>G38+'5'!H38</f>
        <v>10760.150000000001</v>
      </c>
      <c r="I38" s="95"/>
      <c r="J38" s="175">
        <f>H38/DAY(B2)</f>
        <v>1793.3583333333336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'5'!F39</f>
        <v>72477.66</v>
      </c>
      <c r="F39" s="145">
        <v>75254.22</v>
      </c>
      <c r="G39" s="112">
        <f t="shared" si="3"/>
        <v>2776.5599999999977</v>
      </c>
      <c r="H39" s="99">
        <f>G39+'5'!H39</f>
        <v>16080.93</v>
      </c>
      <c r="I39" s="95"/>
      <c r="J39" s="175">
        <f>H39/DAY(B2)</f>
        <v>2680.1550000000002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'5'!F40</f>
        <v>23520.06</v>
      </c>
      <c r="F40" s="145">
        <v>23922.09</v>
      </c>
      <c r="G40" s="112">
        <f t="shared" si="3"/>
        <v>402.02999999999884</v>
      </c>
      <c r="H40" s="99">
        <f>G40+'5'!H40</f>
        <v>1805.0999999999979</v>
      </c>
      <c r="I40" s="95"/>
      <c r="J40" s="175">
        <f>H40/DAY(B2)</f>
        <v>300.84999999999962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'5'!F42</f>
        <v>106500.89</v>
      </c>
      <c r="F42" s="145">
        <v>106500.89</v>
      </c>
      <c r="G42" s="112">
        <f t="shared" si="3"/>
        <v>0</v>
      </c>
      <c r="H42" s="99">
        <f>G42+'5'!H42</f>
        <v>6371.1499999999942</v>
      </c>
      <c r="I42" s="95"/>
      <c r="J42" s="175">
        <f>H42/DAY(B2)</f>
        <v>1061.8583333333324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'5'!F43</f>
        <v>125613.3</v>
      </c>
      <c r="F43" s="145">
        <v>127758.65</v>
      </c>
      <c r="G43" s="112">
        <f t="shared" si="3"/>
        <v>2145.3499999999913</v>
      </c>
      <c r="H43" s="99">
        <f>G43+'5'!H43</f>
        <v>12907.049999999988</v>
      </c>
      <c r="I43" s="95"/>
      <c r="J43" s="175">
        <f>H43/DAY(B2)</f>
        <v>2151.1749999999979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11440.889999999978</v>
      </c>
      <c r="H47" s="99">
        <f>G47+'5'!H47</f>
        <v>71600.429999999993</v>
      </c>
      <c r="I47" s="95"/>
      <c r="J47" s="175">
        <f>H47/DAY(B2)</f>
        <v>11933.404999999999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'5'!F49</f>
        <v>30841.67</v>
      </c>
      <c r="F49" s="145">
        <v>32206.86</v>
      </c>
      <c r="G49" s="112">
        <f t="shared" ref="G49:G58" si="4">F49-E49</f>
        <v>1365.1900000000023</v>
      </c>
      <c r="H49" s="99">
        <f>G49+'5'!H49</f>
        <v>7210.6700000000019</v>
      </c>
      <c r="I49" s="95"/>
      <c r="J49" s="175">
        <f>H49/DAY(B2)</f>
        <v>1201.7783333333336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'5'!F50</f>
        <v>62059.64</v>
      </c>
      <c r="F50" s="145">
        <v>63332.24</v>
      </c>
      <c r="G50" s="112">
        <f t="shared" si="4"/>
        <v>1272.5999999999985</v>
      </c>
      <c r="H50" s="99">
        <f>G50+'5'!H50</f>
        <v>6945.6100000000006</v>
      </c>
      <c r="I50" s="95"/>
      <c r="J50" s="175">
        <f>H50/DAY(B2)</f>
        <v>1157.6016666666667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'5'!F54</f>
        <v>6923.67</v>
      </c>
      <c r="F54" s="145">
        <v>7454.88</v>
      </c>
      <c r="G54" s="112">
        <f t="shared" si="4"/>
        <v>531.21</v>
      </c>
      <c r="H54" s="99">
        <f>G54+'5'!H54</f>
        <v>2307.46</v>
      </c>
      <c r="I54" s="95"/>
      <c r="J54" s="175">
        <f>H54/DAY(B2)</f>
        <v>384.57666666666665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'5'!F55</f>
        <v>84837.06</v>
      </c>
      <c r="F55" s="145">
        <v>88263.98</v>
      </c>
      <c r="G55" s="112">
        <f t="shared" si="4"/>
        <v>3426.9199999999983</v>
      </c>
      <c r="H55" s="99">
        <f>G55+'5'!H55</f>
        <v>13897.869999999995</v>
      </c>
      <c r="I55" s="95"/>
      <c r="J55" s="175">
        <f>H55/DAY(B2)</f>
        <v>2316.311666666666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'5'!F56</f>
        <v>8723.6299999999992</v>
      </c>
      <c r="F56" s="145">
        <v>8723.6299999999992</v>
      </c>
      <c r="G56" s="112">
        <f t="shared" si="4"/>
        <v>0</v>
      </c>
      <c r="H56" s="99">
        <f>G56+'5'!H56</f>
        <v>113.08999999999833</v>
      </c>
      <c r="I56" s="95"/>
      <c r="J56" s="175">
        <f>H56/DAY(B2)</f>
        <v>18.848333333333056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'5'!F58</f>
        <v>5829.33</v>
      </c>
      <c r="F58" s="145">
        <v>6056.61</v>
      </c>
      <c r="G58" s="112">
        <f t="shared" si="4"/>
        <v>227.27999999999975</v>
      </c>
      <c r="H58" s="99">
        <f>G58+'5'!H58</f>
        <v>1260.3999999999996</v>
      </c>
      <c r="I58" s="95"/>
      <c r="J58" s="175">
        <f>H58/DAY(B2)</f>
        <v>210.06666666666661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6823.1999999999989</v>
      </c>
      <c r="H59" s="99">
        <f>G59+'5'!H59</f>
        <v>31735.099999999991</v>
      </c>
      <c r="I59" s="95">
        <f>G7-G60</f>
        <v>2122.79000000003</v>
      </c>
      <c r="J59" s="175">
        <f>H59/DAY(B2)</f>
        <v>5289.1833333333316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18264.089999999975</v>
      </c>
      <c r="H60" s="99">
        <f>G60+'5'!H60</f>
        <v>103335.52999999997</v>
      </c>
      <c r="I60" s="95">
        <f>G13-G60</f>
        <v>1575.8600000000224</v>
      </c>
      <c r="J60" s="175">
        <f>H60/DAY(B2)</f>
        <v>17222.58833333333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'5'!F62</f>
        <v>270003</v>
      </c>
      <c r="F62" s="122">
        <v>270146</v>
      </c>
      <c r="G62" s="112">
        <f t="shared" ref="G62:G63" si="5">F62-E62</f>
        <v>143</v>
      </c>
      <c r="H62" s="99">
        <f>G62+'5'!H62</f>
        <v>630</v>
      </c>
      <c r="I62" s="118"/>
      <c r="J62" s="175">
        <f>H62/DAY(B2)</f>
        <v>105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'5'!F63</f>
        <v>216484</v>
      </c>
      <c r="F63" s="122">
        <v>216616</v>
      </c>
      <c r="G63" s="112">
        <f t="shared" si="5"/>
        <v>132</v>
      </c>
      <c r="H63" s="99">
        <f>G63+'5'!H63</f>
        <v>819</v>
      </c>
      <c r="I63" s="118"/>
      <c r="J63" s="175">
        <f>H63/DAY(B2)</f>
        <v>136.5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'5'!F64</f>
        <v>0</v>
      </c>
      <c r="F64" s="122"/>
      <c r="G64" s="112">
        <f>G62+G63</f>
        <v>275</v>
      </c>
      <c r="H64" s="99">
        <f>G64+'5'!H64</f>
        <v>1449</v>
      </c>
      <c r="I64" s="118"/>
      <c r="J64" s="175">
        <f>H64/DAY(B2)</f>
        <v>241.5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'5'!F65</f>
        <v>435346</v>
      </c>
      <c r="F65" s="122">
        <v>435456</v>
      </c>
      <c r="G65" s="112">
        <f t="shared" ref="G65:G70" si="6">F65-E65</f>
        <v>110</v>
      </c>
      <c r="H65" s="99">
        <f>G65+'5'!H65</f>
        <v>533</v>
      </c>
      <c r="I65" s="118"/>
      <c r="J65" s="175">
        <f>H65/DAY(B2)</f>
        <v>88.833333333333329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'5'!F66</f>
        <v>107880</v>
      </c>
      <c r="F66" s="122">
        <v>107906</v>
      </c>
      <c r="G66" s="112">
        <f t="shared" si="6"/>
        <v>26</v>
      </c>
      <c r="H66" s="99">
        <f>G66+'5'!H66</f>
        <v>163</v>
      </c>
      <c r="I66" s="118"/>
      <c r="J66" s="175">
        <f>H66/DAY(B2)</f>
        <v>27.166666666666668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'5'!F67</f>
        <v>104753</v>
      </c>
      <c r="F67" s="122">
        <v>104784</v>
      </c>
      <c r="G67" s="112">
        <f t="shared" si="6"/>
        <v>31</v>
      </c>
      <c r="H67" s="99">
        <f>G67+'5'!H67</f>
        <v>136</v>
      </c>
      <c r="I67" s="118"/>
      <c r="J67" s="175">
        <f>H67/DAY(B2)</f>
        <v>22.666666666666668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'5'!F68</f>
        <v>157855</v>
      </c>
      <c r="F68" s="122">
        <v>157911</v>
      </c>
      <c r="G68" s="112">
        <f t="shared" si="6"/>
        <v>56</v>
      </c>
      <c r="H68" s="99">
        <f>G68+'5'!H68</f>
        <v>214</v>
      </c>
      <c r="I68" s="118"/>
      <c r="J68" s="175">
        <f>H68/DAY(B2)</f>
        <v>35.666666666666664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'5'!F69</f>
        <v>10593</v>
      </c>
      <c r="F69" s="122">
        <v>10604</v>
      </c>
      <c r="G69" s="112">
        <f t="shared" si="6"/>
        <v>11</v>
      </c>
      <c r="H69" s="99">
        <f>G69+'5'!H69</f>
        <v>63</v>
      </c>
      <c r="I69" s="118"/>
      <c r="J69" s="175">
        <f>H69/DAY(B2)</f>
        <v>10.5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'5'!F70</f>
        <v>8165</v>
      </c>
      <c r="F70" s="122">
        <v>8174</v>
      </c>
      <c r="G70" s="112">
        <f t="shared" si="6"/>
        <v>9</v>
      </c>
      <c r="H70" s="99">
        <f>G70+'5'!H70</f>
        <v>54</v>
      </c>
      <c r="I70" s="118"/>
      <c r="J70" s="175">
        <f>H70/DAY(B2)</f>
        <v>9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243</v>
      </c>
      <c r="H71" s="99">
        <f>G71+'5'!H71</f>
        <v>1163</v>
      </c>
      <c r="I71" s="154"/>
      <c r="J71" s="175">
        <f>H71/DAY(B2)</f>
        <v>193.83333333333334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'5'!F74</f>
        <v>902824.04</v>
      </c>
      <c r="F74" s="123">
        <v>903127.82</v>
      </c>
      <c r="G74" s="112">
        <f t="shared" ref="G74:G78" si="7">F74-E74</f>
        <v>303.77999999991152</v>
      </c>
      <c r="H74" s="99">
        <f>G74+'5'!H74</f>
        <v>1821.670999999973</v>
      </c>
      <c r="I74" s="154"/>
      <c r="J74" s="175">
        <f>H74/DAY(B2)</f>
        <v>303.61183333332883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'5'!F76</f>
        <v>170588.1</v>
      </c>
      <c r="F76" s="123">
        <v>170697.91</v>
      </c>
      <c r="G76" s="112">
        <f t="shared" si="7"/>
        <v>109.80999999999767</v>
      </c>
      <c r="H76" s="99">
        <f>G76+'5'!H76</f>
        <v>722.91000000000349</v>
      </c>
      <c r="I76" s="154"/>
      <c r="J76" s="175">
        <f>H76/DAY(B2)</f>
        <v>120.48500000000058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'5'!F77</f>
        <v>41535.199999999997</v>
      </c>
      <c r="F77" s="123">
        <v>41580.699999999997</v>
      </c>
      <c r="G77" s="112">
        <f t="shared" si="7"/>
        <v>45.5</v>
      </c>
      <c r="H77" s="99">
        <f>G77+'5'!H77</f>
        <v>278.5</v>
      </c>
      <c r="I77" s="154"/>
      <c r="J77" s="175">
        <f>H77/DAY(B2)</f>
        <v>46.416666666666664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'5'!F78</f>
        <v>9523.7999999999993</v>
      </c>
      <c r="F78" s="123">
        <v>9525.1</v>
      </c>
      <c r="G78" s="112">
        <f t="shared" si="7"/>
        <v>1.3000000000010914</v>
      </c>
      <c r="H78" s="99">
        <f>G78+'5'!H78</f>
        <v>9.1000000000003638</v>
      </c>
      <c r="I78" s="118"/>
      <c r="J78" s="175">
        <f>H78/DAY(B2)</f>
        <v>1.5166666666667272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117"/>
      <c r="F79" s="117"/>
      <c r="G79" s="112">
        <f>G15-SUM(G74:G78)</f>
        <v>589.11000000008971</v>
      </c>
      <c r="H79" s="99">
        <f>G79+'5'!H79</f>
        <v>3177.1919999999282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1049.5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'5'!F85</f>
        <v>2300.42</v>
      </c>
      <c r="F85" s="164">
        <v>2300.42</v>
      </c>
      <c r="G85" s="112">
        <f t="shared" si="8"/>
        <v>0</v>
      </c>
      <c r="H85" s="99">
        <f>G85+'5'!H85</f>
        <v>40</v>
      </c>
      <c r="I85" s="118">
        <f>G82+G83+G84+G85</f>
        <v>0</v>
      </c>
      <c r="J85" s="175">
        <f>H85/DAY(B2)</f>
        <v>6.666666666666667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'5'!F86</f>
        <v>43522.57</v>
      </c>
      <c r="F86" s="164">
        <v>43547</v>
      </c>
      <c r="G86" s="112">
        <f t="shared" si="8"/>
        <v>24.430000000000291</v>
      </c>
      <c r="H86" s="99">
        <f>G86+'5'!H86</f>
        <v>105</v>
      </c>
      <c r="I86" s="118"/>
      <c r="J86" s="175">
        <f>H86/DAY(B2)</f>
        <v>17.5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'5'!F87</f>
        <v>34599.480000000003</v>
      </c>
      <c r="F87" s="164">
        <v>34599.480000000003</v>
      </c>
      <c r="G87" s="112">
        <f t="shared" si="8"/>
        <v>0</v>
      </c>
      <c r="H87" s="99">
        <f>G87+'5'!H87</f>
        <v>0.98000000000320142</v>
      </c>
      <c r="I87" s="118"/>
      <c r="J87" s="175">
        <f>H87/DAY(B2)</f>
        <v>0.1633333333338669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'5'!F88</f>
        <v>24063.43</v>
      </c>
      <c r="F88" s="164">
        <v>24063.43</v>
      </c>
      <c r="G88" s="112">
        <f t="shared" si="8"/>
        <v>0</v>
      </c>
      <c r="H88" s="99">
        <f>G88+'5'!H88</f>
        <v>0</v>
      </c>
      <c r="I88" s="118">
        <f>G86+G87+G88</f>
        <v>24.430000000000291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'5'!F89</f>
        <v>25939.4</v>
      </c>
      <c r="F89" s="164">
        <v>25949.58</v>
      </c>
      <c r="G89" s="112">
        <f t="shared" si="8"/>
        <v>10.180000000000291</v>
      </c>
      <c r="H89" s="99">
        <f>G89+'5'!H89</f>
        <v>58.460000000002765</v>
      </c>
      <c r="I89" s="118"/>
      <c r="J89" s="175">
        <f>H89/DAY(B2)</f>
        <v>9.7433333333337941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'5'!F90</f>
        <v>71171.600000000006</v>
      </c>
      <c r="F90" s="164">
        <v>71175.759999999995</v>
      </c>
      <c r="G90" s="112">
        <f t="shared" si="8"/>
        <v>4.1599999999889405</v>
      </c>
      <c r="H90" s="99">
        <f>G90+'5'!H90</f>
        <v>12.439999999987776</v>
      </c>
      <c r="I90" s="118">
        <f>G89+G90</f>
        <v>14.339999999989232</v>
      </c>
      <c r="J90" s="175">
        <f>H90/DAY(B2)</f>
        <v>2.0733333333312962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'5'!F91</f>
        <v>3307.41</v>
      </c>
      <c r="F91" s="122">
        <v>3318.58</v>
      </c>
      <c r="G91" s="112">
        <f t="shared" si="8"/>
        <v>11.170000000000073</v>
      </c>
      <c r="H91" s="99">
        <f>G91+'5'!H91</f>
        <v>67.489999999999782</v>
      </c>
      <c r="I91" s="165"/>
      <c r="J91" s="175">
        <f>H91/DAY(B2)</f>
        <v>11.248333333333298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5164.6399999999921</v>
      </c>
      <c r="H94" s="99">
        <f>G94+'5'!H94</f>
        <v>28621.51999999999</v>
      </c>
      <c r="I94" s="118"/>
      <c r="J94" s="175">
        <f>H94/DAY(B2)</f>
        <v>4770.2533333333313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0.25333155441146421</v>
      </c>
      <c r="H95" s="99">
        <f>G95+'5'!H95</f>
        <v>1.5074335290356693</v>
      </c>
      <c r="I95" s="167"/>
      <c r="J95" s="175">
        <f>H95/DAY(B2)</f>
        <v>0.2512389215059449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3426.9199999999983</v>
      </c>
      <c r="H96" s="99">
        <f>G96+'5'!H96</f>
        <v>20382.109999999986</v>
      </c>
      <c r="I96" s="118"/>
      <c r="J96" s="175">
        <f>H96/DAY(B2)</f>
        <v>3397.0183333333312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0.16809438226938098</v>
      </c>
      <c r="H97" s="99">
        <f>G97+'5'!H97</f>
        <v>1.0815738788203924</v>
      </c>
      <c r="I97" s="167"/>
      <c r="J97" s="175">
        <f>H97/DAY(B2)</f>
        <v>0.18026231313673205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2776.5599999999977</v>
      </c>
      <c r="H98" s="99">
        <f>G98+'5'!H98</f>
        <v>16080.93</v>
      </c>
      <c r="I98" s="168"/>
      <c r="J98" s="175">
        <f>H98/DAY(B2)</f>
        <v>2680.1550000000002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0.13619347344959096</v>
      </c>
      <c r="H99" s="99">
        <f>G99+'5'!H99</f>
        <v>0.84965933240272429</v>
      </c>
      <c r="I99" s="168"/>
      <c r="J99" s="175">
        <f>H99/DAY(B2)</f>
        <v>0.14160988873378738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1915.0299999999988</v>
      </c>
      <c r="H100" s="99">
        <f>G100+'5'!H100</f>
        <v>10760.150000000001</v>
      </c>
      <c r="I100" s="118"/>
      <c r="J100" s="175">
        <f>H100/DAY(B2)</f>
        <v>1793.3583333333336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9.3934432340799498E-2</v>
      </c>
      <c r="H101" s="99">
        <f>G101+'5'!H101</f>
        <v>0.56740856071718049</v>
      </c>
      <c r="I101" s="168"/>
      <c r="J101" s="175">
        <f>H101/DAY(B2)</f>
        <v>9.4568093452863419E-2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2174.7599999999948</v>
      </c>
      <c r="H102" s="99">
        <f>G102+'5'!H102</f>
        <v>12520.86</v>
      </c>
      <c r="I102" s="168"/>
      <c r="J102" s="175">
        <f>H102/DAY(B2)</f>
        <v>2086.81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0.10667448869076554</v>
      </c>
      <c r="H103" s="99">
        <f>G103+'5'!H103</f>
        <v>0.65572335544018312</v>
      </c>
      <c r="I103" s="118"/>
      <c r="J103" s="175">
        <f>H103/DAY(B2)</f>
        <v>0.10928722590669719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1645.6599999999962</v>
      </c>
      <c r="H104" s="99">
        <f>G104+'5'!H104</f>
        <v>9597</v>
      </c>
      <c r="I104" s="118"/>
      <c r="J104" s="175">
        <f>H104/DAY(B2)</f>
        <v>1599.5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8.0721522861761874E-2</v>
      </c>
      <c r="H105" s="99">
        <f>G105+'5'!H105</f>
        <v>0.50692008054887938</v>
      </c>
      <c r="I105" s="187"/>
      <c r="J105" s="188">
        <f>H105/DAY(B2)</f>
        <v>8.4486680091479902E-2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'5'!F112</f>
        <v>58439.43</v>
      </c>
      <c r="F112" s="237">
        <v>58512.91</v>
      </c>
      <c r="G112" s="112">
        <f t="shared" ref="G112:G123" si="9">F112-E112</f>
        <v>73.480000000003201</v>
      </c>
      <c r="H112" s="99">
        <f>G112+'5'!H112</f>
        <v>458.91000000000349</v>
      </c>
      <c r="I112" s="165"/>
      <c r="J112" s="328">
        <f>H112/DAY(B2)</f>
        <v>76.485000000000582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'5'!F113</f>
        <v>48780.38</v>
      </c>
      <c r="F113" s="237">
        <v>49229.25</v>
      </c>
      <c r="G113" s="112">
        <f t="shared" si="9"/>
        <v>448.87000000000262</v>
      </c>
      <c r="H113" s="99">
        <f>G113+'5'!H113</f>
        <v>2828.3600000000006</v>
      </c>
      <c r="I113" s="165"/>
      <c r="J113" s="328">
        <f>H113/DAY(B2)</f>
        <v>471.39333333333343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'5'!F114</f>
        <v>34677.629999999997</v>
      </c>
      <c r="F114" s="237">
        <v>34949.370000000003</v>
      </c>
      <c r="G114" s="112">
        <f t="shared" si="9"/>
        <v>271.74000000000524</v>
      </c>
      <c r="H114" s="99">
        <f>G114+'5'!H114</f>
        <v>1789.3700000000026</v>
      </c>
      <c r="I114" s="165"/>
      <c r="J114" s="328">
        <f>H114/DAY(B2)</f>
        <v>298.22833333333375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'5'!F115</f>
        <v>9148.2199999999993</v>
      </c>
      <c r="F115" s="237">
        <v>9159.51</v>
      </c>
      <c r="G115" s="112">
        <f t="shared" si="9"/>
        <v>11.290000000000873</v>
      </c>
      <c r="H115" s="99">
        <f>G115+'5'!H115</f>
        <v>64.860000000000582</v>
      </c>
      <c r="I115" s="165"/>
      <c r="J115" s="328">
        <f>H115/DAY(B2)</f>
        <v>10.810000000000096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'5'!F116</f>
        <v>35.35</v>
      </c>
      <c r="F116" s="237">
        <v>271.7</v>
      </c>
      <c r="G116" s="112">
        <f t="shared" si="9"/>
        <v>236.35</v>
      </c>
      <c r="H116" s="99">
        <f>G116+'5'!H116</f>
        <v>271.7</v>
      </c>
      <c r="I116" s="165"/>
      <c r="J116" s="328">
        <f>H116/DAY(B2)</f>
        <v>45.283333333333331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'5'!F117</f>
        <v>3602.21</v>
      </c>
      <c r="F117" s="237">
        <v>3720.53</v>
      </c>
      <c r="G117" s="112">
        <f t="shared" si="9"/>
        <v>118.32000000000016</v>
      </c>
      <c r="H117" s="99">
        <f>G117+'5'!H117</f>
        <v>382.58000000000038</v>
      </c>
      <c r="I117" s="165"/>
      <c r="J117" s="328">
        <f>H117/DAY(B2)</f>
        <v>63.763333333333399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'5'!F118</f>
        <v>254096.07</v>
      </c>
      <c r="F118" s="237">
        <v>254422.41</v>
      </c>
      <c r="G118" s="112">
        <f t="shared" si="9"/>
        <v>326.33999999999651</v>
      </c>
      <c r="H118" s="99">
        <f>G118+'5'!H118</f>
        <v>1970.1000000000058</v>
      </c>
      <c r="I118" s="165"/>
      <c r="J118" s="328">
        <f>H118/DAY(B2)</f>
        <v>328.35000000000099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'5'!F119</f>
        <v>260228.75</v>
      </c>
      <c r="F119" s="237">
        <v>260615.69</v>
      </c>
      <c r="G119" s="112">
        <f t="shared" si="9"/>
        <v>386.94000000000233</v>
      </c>
      <c r="H119" s="99">
        <f>G119+'5'!H119</f>
        <v>2467.140000000014</v>
      </c>
      <c r="I119" s="165"/>
      <c r="J119" s="328">
        <f>H119/DAY(B2)</f>
        <v>411.19000000000233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'5'!F120</f>
        <v>45062.18</v>
      </c>
      <c r="F120" s="237">
        <v>45456.18</v>
      </c>
      <c r="G120" s="112">
        <f t="shared" si="9"/>
        <v>394</v>
      </c>
      <c r="H120" s="99">
        <f>G120+'5'!H120</f>
        <v>2496.5699999999997</v>
      </c>
      <c r="I120" s="165"/>
      <c r="J120" s="328">
        <f>H120/DAY(B2)</f>
        <v>416.09499999999997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'5'!F121</f>
        <v>401644.07</v>
      </c>
      <c r="F121" s="237">
        <v>402376.51</v>
      </c>
      <c r="G121" s="112">
        <f t="shared" si="9"/>
        <v>732.44000000000233</v>
      </c>
      <c r="H121" s="99">
        <f>G121+'5'!H121</f>
        <v>4342.0800000000163</v>
      </c>
      <c r="I121" s="165"/>
      <c r="J121" s="328">
        <f>H121/DAY(B2)</f>
        <v>723.68000000000268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'5'!F122</f>
        <v>127368.49</v>
      </c>
      <c r="F122" s="237">
        <v>127590.82</v>
      </c>
      <c r="G122" s="112">
        <f t="shared" si="9"/>
        <v>222.33000000000175</v>
      </c>
      <c r="H122" s="99">
        <f>G122+'5'!H122</f>
        <v>1404.640000000014</v>
      </c>
      <c r="I122" s="165"/>
      <c r="J122" s="328">
        <f>H122/DAY(B2)</f>
        <v>234.10666666666899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'5'!F123</f>
        <v>155329.91</v>
      </c>
      <c r="F123" s="237">
        <v>155580.37</v>
      </c>
      <c r="G123" s="112">
        <f t="shared" si="9"/>
        <v>250.45999999999185</v>
      </c>
      <c r="H123" s="99">
        <f>G123+'5'!H123</f>
        <v>1533.4199999999837</v>
      </c>
      <c r="I123" s="165"/>
      <c r="J123" s="328">
        <f>H123/DAY(B2)</f>
        <v>255.56999999999729</v>
      </c>
    </row>
    <row r="124" spans="1:18" ht="29.25" customHeight="1">
      <c r="A124" s="867"/>
      <c r="B124" s="868"/>
      <c r="C124" s="86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3472.5600000000068</v>
      </c>
      <c r="H125" s="156"/>
      <c r="I125" s="327">
        <f>G125-(G39+G53)</f>
        <v>696.00000000000909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'5'!F128</f>
        <v>49284.85</v>
      </c>
      <c r="F128" s="165">
        <v>49562.01</v>
      </c>
      <c r="G128" s="112">
        <f t="shared" ref="G128:G134" si="10">F128-E128</f>
        <v>277.16000000000349</v>
      </c>
      <c r="H128" s="99">
        <f>G128+'5'!H128</f>
        <v>1816.010000000002</v>
      </c>
      <c r="I128" s="165"/>
      <c r="J128" s="328">
        <f>H128/DAY(B2)</f>
        <v>302.66833333333369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'5'!F129</f>
        <v>27911.360000000001</v>
      </c>
      <c r="F129" s="165">
        <v>28096.99</v>
      </c>
      <c r="G129" s="112">
        <f t="shared" si="10"/>
        <v>185.63000000000102</v>
      </c>
      <c r="H129" s="99">
        <f>G129+'5'!H129</f>
        <v>1186.1200000000026</v>
      </c>
      <c r="I129" s="165"/>
      <c r="J129" s="328">
        <f>H129/DAY(B2)</f>
        <v>197.68666666666709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'5'!F130</f>
        <v>38457.519999999997</v>
      </c>
      <c r="F130" s="165">
        <v>39082.31</v>
      </c>
      <c r="G130" s="112">
        <f t="shared" si="10"/>
        <v>624.79000000000087</v>
      </c>
      <c r="H130" s="99">
        <f>G130+'5'!H130</f>
        <v>3388.3099999999977</v>
      </c>
      <c r="I130" s="165"/>
      <c r="J130" s="328">
        <f>H130/DAY(B2)</f>
        <v>564.71833333333291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'5'!F131</f>
        <v>15640.69</v>
      </c>
      <c r="F131" s="165">
        <v>15721.73</v>
      </c>
      <c r="G131" s="112">
        <f t="shared" si="10"/>
        <v>81.039999999999054</v>
      </c>
      <c r="H131" s="99">
        <f>G131+'5'!H131</f>
        <v>414.04999999999927</v>
      </c>
      <c r="I131" s="165"/>
      <c r="J131" s="328">
        <f>H131/DAY(B2)</f>
        <v>69.008333333333212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'5'!F132</f>
        <v>53236.79</v>
      </c>
      <c r="F132" s="165">
        <v>53675.95</v>
      </c>
      <c r="G132" s="112">
        <f t="shared" si="10"/>
        <v>439.15999999999622</v>
      </c>
      <c r="H132" s="99">
        <f>G132+'5'!H132</f>
        <v>1827.6499999999942</v>
      </c>
      <c r="I132" s="165"/>
      <c r="J132" s="328">
        <f>H132/DAY(B2)</f>
        <v>304.60833333333238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'5'!F133</f>
        <v>108353.26</v>
      </c>
      <c r="F133" s="165">
        <v>108975.65</v>
      </c>
      <c r="G133" s="112">
        <f t="shared" si="10"/>
        <v>622.38999999999942</v>
      </c>
      <c r="H133" s="99">
        <f>G133+'5'!H133</f>
        <v>3631.9499999999971</v>
      </c>
      <c r="I133" s="165"/>
      <c r="J133" s="328">
        <f>H133/DAY(B2)</f>
        <v>605.32499999999948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'5'!F134</f>
        <v>9426.16</v>
      </c>
      <c r="F134" s="165">
        <v>9673.0499999999993</v>
      </c>
      <c r="G134" s="112">
        <f t="shared" si="10"/>
        <v>246.88999999999942</v>
      </c>
      <c r="H134" s="99">
        <f>G134+'5'!H134</f>
        <v>1071.8199999999997</v>
      </c>
      <c r="I134" s="165"/>
      <c r="J134" s="328">
        <f>H134/DAY(B2)</f>
        <v>178.63666666666663</v>
      </c>
    </row>
    <row r="135" spans="1:15" ht="27.75">
      <c r="A135" s="847" t="s">
        <v>196</v>
      </c>
      <c r="B135" s="848"/>
      <c r="C135" s="331"/>
      <c r="D135" s="151"/>
      <c r="E135" s="95"/>
      <c r="F135" s="112"/>
      <c r="G135" s="112">
        <f>SUM(G128:G134)</f>
        <v>2477.0599999999995</v>
      </c>
      <c r="H135" s="99">
        <f>G135+'5'!H135</f>
        <v>13335.909999999993</v>
      </c>
      <c r="I135" s="327">
        <f>G135-(G35+G49)</f>
        <v>-542.23000000000138</v>
      </c>
      <c r="J135" s="328">
        <f>H135/DAY(B2)</f>
        <v>2222.6516666666653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'5'!F138</f>
        <v>866570</v>
      </c>
      <c r="F138" s="147">
        <v>866659</v>
      </c>
      <c r="G138" s="112">
        <f t="shared" ref="G138:G152" si="11">F138-E138</f>
        <v>89</v>
      </c>
      <c r="H138" s="99">
        <f>G138+'5'!H138</f>
        <v>486</v>
      </c>
      <c r="I138" s="118"/>
      <c r="J138" s="328">
        <f>H138/DAY(B2)</f>
        <v>81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'5'!F139</f>
        <v>886591</v>
      </c>
      <c r="F139" s="148">
        <v>886596</v>
      </c>
      <c r="G139" s="112">
        <f t="shared" si="11"/>
        <v>5</v>
      </c>
      <c r="H139" s="99">
        <f>G139+'5'!H139</f>
        <v>23</v>
      </c>
      <c r="I139" s="118"/>
      <c r="J139" s="328">
        <f>H139/DAY(B2)</f>
        <v>3.8333333333333335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'5'!F140</f>
        <v>88936.2</v>
      </c>
      <c r="F140" s="149">
        <v>88937</v>
      </c>
      <c r="G140" s="112">
        <f t="shared" si="11"/>
        <v>0.80000000000291038</v>
      </c>
      <c r="H140" s="99">
        <f>G140+'5'!H140</f>
        <v>15</v>
      </c>
      <c r="I140" s="118"/>
      <c r="J140" s="328">
        <f>H140/DAY(B2)</f>
        <v>2.5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'5'!F141</f>
        <v>55561.56</v>
      </c>
      <c r="F141" s="149">
        <v>55727.57</v>
      </c>
      <c r="G141" s="112">
        <f t="shared" si="11"/>
        <v>166.01000000000204</v>
      </c>
      <c r="H141" s="99">
        <f>G141+'5'!H141</f>
        <v>1041.989999999998</v>
      </c>
      <c r="I141" s="118"/>
      <c r="J141" s="328">
        <f>H141/DAY(B2)</f>
        <v>173.66499999999965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'5'!F142</f>
        <v>21626.13</v>
      </c>
      <c r="F142" s="148">
        <v>21693</v>
      </c>
      <c r="G142" s="112">
        <f t="shared" si="11"/>
        <v>66.869999999998981</v>
      </c>
      <c r="H142" s="99">
        <f>G142+'5'!H142</f>
        <v>408.90000000000146</v>
      </c>
      <c r="I142" s="140"/>
      <c r="J142" s="328">
        <f>H142/DAY(B2)</f>
        <v>68.150000000000247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'5'!F143</f>
        <v>3971.3</v>
      </c>
      <c r="F143" s="149">
        <v>4000.64</v>
      </c>
      <c r="G143" s="112">
        <f t="shared" si="11"/>
        <v>29.339999999999691</v>
      </c>
      <c r="H143" s="99">
        <f>G143+'5'!H143</f>
        <v>165.25</v>
      </c>
      <c r="I143" s="140"/>
      <c r="J143" s="328">
        <f>H143/DAY(B2)</f>
        <v>27.541666666666668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'5'!F144</f>
        <v>877528</v>
      </c>
      <c r="F144" s="149">
        <v>877740</v>
      </c>
      <c r="G144" s="112">
        <f t="shared" si="11"/>
        <v>212</v>
      </c>
      <c r="H144" s="99">
        <f>G144+'5'!H144</f>
        <v>1253</v>
      </c>
      <c r="I144" s="140"/>
      <c r="J144" s="328">
        <f>H144/DAY(B2)</f>
        <v>208.83333333333334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'5'!F145</f>
        <v>5023.07</v>
      </c>
      <c r="F145" s="149">
        <v>5030.25</v>
      </c>
      <c r="G145" s="112">
        <f t="shared" si="11"/>
        <v>7.180000000000291</v>
      </c>
      <c r="H145" s="99">
        <f>G145+'5'!H145</f>
        <v>71.409999999999854</v>
      </c>
      <c r="I145" s="140"/>
      <c r="J145" s="328">
        <f>H145/DAY(B2)</f>
        <v>11.901666666666642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'5'!F146</f>
        <v>739367</v>
      </c>
      <c r="F146" s="148">
        <v>739823</v>
      </c>
      <c r="G146" s="112">
        <f t="shared" si="11"/>
        <v>456</v>
      </c>
      <c r="H146" s="99">
        <f>G146+'5'!H146</f>
        <v>2490</v>
      </c>
      <c r="I146" s="140"/>
      <c r="J146" s="328">
        <f>H146/DAY(B2)</f>
        <v>415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'5'!F147</f>
        <v>628567</v>
      </c>
      <c r="F147" s="148">
        <v>628961.16</v>
      </c>
      <c r="G147" s="112">
        <f t="shared" si="11"/>
        <v>394.1600000000326</v>
      </c>
      <c r="H147" s="99">
        <f>G147+'5'!H147</f>
        <v>2348.640000000014</v>
      </c>
      <c r="I147" s="140"/>
      <c r="J147" s="328">
        <f>H147/DAY(B2)</f>
        <v>391.44000000000233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'5'!F148</f>
        <v>690843.76</v>
      </c>
      <c r="F148" s="150">
        <v>691199.28</v>
      </c>
      <c r="G148" s="112">
        <f t="shared" si="11"/>
        <v>355.52000000001863</v>
      </c>
      <c r="H148" s="99">
        <f>G148+'5'!H148</f>
        <v>1756.3200000000652</v>
      </c>
      <c r="I148" s="124"/>
      <c r="J148" s="328">
        <f>H148/DAY(B2)</f>
        <v>292.72000000001088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'5'!F149</f>
        <v>26992.48</v>
      </c>
      <c r="F149" s="146">
        <v>27603.7</v>
      </c>
      <c r="G149" s="112">
        <f t="shared" si="11"/>
        <v>611.22000000000116</v>
      </c>
      <c r="H149" s="99">
        <f>G149+'5'!H149</f>
        <v>2925.5</v>
      </c>
      <c r="I149" s="119"/>
      <c r="J149" s="328">
        <f>H149/DAY(B2)</f>
        <v>487.58333333333331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'5'!F150</f>
        <v>11954.23</v>
      </c>
      <c r="F150" s="233">
        <v>12187.24</v>
      </c>
      <c r="G150" s="112">
        <f t="shared" si="11"/>
        <v>233.01000000000022</v>
      </c>
      <c r="H150" s="99">
        <f>G150+'5'!H150</f>
        <v>1336.4099999999999</v>
      </c>
      <c r="I150" s="119"/>
      <c r="J150" s="328">
        <f>H150/DAY(B2)</f>
        <v>222.73499999999999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'5'!F151</f>
        <v>86728</v>
      </c>
      <c r="F151" s="233">
        <v>86969</v>
      </c>
      <c r="G151" s="112">
        <f t="shared" si="11"/>
        <v>241</v>
      </c>
      <c r="H151" s="99">
        <f>G151+'5'!H151</f>
        <v>1489</v>
      </c>
      <c r="I151" s="119"/>
      <c r="J151" s="328">
        <f>H151/DAY(B2)</f>
        <v>248.16666666666666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'5'!F152</f>
        <v>1877.92</v>
      </c>
      <c r="F152" s="233">
        <v>1937.24</v>
      </c>
      <c r="G152" s="112">
        <f t="shared" si="11"/>
        <v>59.319999999999936</v>
      </c>
      <c r="H152" s="99">
        <f>G152+'5'!H152</f>
        <v>277.24</v>
      </c>
      <c r="I152" s="119"/>
      <c r="J152" s="328">
        <f>H152/DAY(B2)</f>
        <v>46.206666666666671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2926.4300000000567</v>
      </c>
      <c r="H153" s="363"/>
      <c r="I153" s="119">
        <f>G153-(G38+G52)</f>
        <v>1011.4000000000578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'5'!F155</f>
        <v>35756.65</v>
      </c>
      <c r="F155" s="374">
        <v>36477.51</v>
      </c>
      <c r="G155" s="112">
        <f t="shared" ref="G155:G156" si="12">F155-E155</f>
        <v>720.86000000000058</v>
      </c>
      <c r="H155" s="99">
        <f>G155+'5'!H155</f>
        <v>3532.510000000002</v>
      </c>
      <c r="I155" s="364"/>
      <c r="J155" s="328">
        <f>H155/DAY(B2)</f>
        <v>588.75166666666701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'5'!F156</f>
        <v>2992.7</v>
      </c>
      <c r="F156" s="155">
        <v>3047.12</v>
      </c>
      <c r="G156" s="112">
        <f t="shared" si="12"/>
        <v>54.420000000000073</v>
      </c>
      <c r="H156" s="99">
        <f>G156+'5'!H156</f>
        <v>259.11999999999989</v>
      </c>
      <c r="I156" s="165"/>
      <c r="J156" s="328">
        <f>H156/DAY(B2)</f>
        <v>43.186666666666646</v>
      </c>
    </row>
    <row r="157" spans="1:10" ht="27.7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'5'!F161</f>
        <v>472322</v>
      </c>
      <c r="F161" s="235">
        <v>472353.84</v>
      </c>
      <c r="G161" s="238">
        <f t="shared" ref="G161:G165" si="13">F161-E161</f>
        <v>31.840000000025611</v>
      </c>
      <c r="H161" s="99">
        <f>G161+'5'!H161</f>
        <v>300.28000000002794</v>
      </c>
      <c r="I161" s="236"/>
      <c r="J161" s="239">
        <f>H161/DAY(B2)</f>
        <v>50.046666666671321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'5'!F162</f>
        <v>88704.2</v>
      </c>
      <c r="F162" s="235">
        <v>88722.3</v>
      </c>
      <c r="G162" s="238">
        <f t="shared" si="13"/>
        <v>18.100000000005821</v>
      </c>
      <c r="H162" s="99">
        <f>G162+'5'!H162</f>
        <v>205.90000000000873</v>
      </c>
      <c r="I162" s="236"/>
      <c r="J162" s="239">
        <f>H162/DAY(B2)</f>
        <v>34.316666666668119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'5'!F163</f>
        <v>79385.2</v>
      </c>
      <c r="F163" s="235">
        <v>79418.8</v>
      </c>
      <c r="G163" s="238">
        <f t="shared" si="13"/>
        <v>33.600000000005821</v>
      </c>
      <c r="H163" s="99">
        <f>G163+'5'!H163</f>
        <v>198.69999999999709</v>
      </c>
      <c r="I163" s="236"/>
      <c r="J163" s="239">
        <f>H163/DAY(B2)</f>
        <v>33.116666666666184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'5'!F164</f>
        <v>4323.7</v>
      </c>
      <c r="F164" s="235">
        <v>4324.7</v>
      </c>
      <c r="G164" s="238">
        <f t="shared" si="13"/>
        <v>1</v>
      </c>
      <c r="H164" s="99">
        <f>G164+'5'!H164</f>
        <v>4.6999999999998181</v>
      </c>
      <c r="I164" s="236"/>
      <c r="J164" s="239">
        <f>H164/DAY(B2)</f>
        <v>0.78333333333330302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'5'!F165</f>
        <v>29900.66</v>
      </c>
      <c r="F165" s="235">
        <v>29906.28</v>
      </c>
      <c r="G165" s="238">
        <f t="shared" si="13"/>
        <v>5.6199999999989814</v>
      </c>
      <c r="H165" s="99">
        <f>G165+'5'!H165</f>
        <v>49.029999999998836</v>
      </c>
      <c r="I165" s="236"/>
      <c r="J165" s="239">
        <f>H165/DAY(B2)</f>
        <v>8.1716666666664732</v>
      </c>
    </row>
    <row r="166" spans="1:10" ht="29.25">
      <c r="A166" s="852"/>
      <c r="B166" s="85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'5'!F174</f>
        <v>38676</v>
      </c>
      <c r="F174" s="157">
        <v>38692</v>
      </c>
      <c r="G174" s="155">
        <f t="shared" ref="G174:G175" si="14">F174-E174</f>
        <v>16</v>
      </c>
      <c r="H174" s="99">
        <f>G174+'5'!H174</f>
        <v>77</v>
      </c>
      <c r="I174" s="155"/>
      <c r="J174" s="178">
        <f>H174/DAY(B2)</f>
        <v>12.833333333333334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'5'!F175</f>
        <v>21862</v>
      </c>
      <c r="F175" s="155">
        <v>21873</v>
      </c>
      <c r="G175" s="155">
        <f t="shared" si="14"/>
        <v>11</v>
      </c>
      <c r="H175" s="99">
        <f>G175+'5'!H175</f>
        <v>60</v>
      </c>
      <c r="I175" s="155"/>
      <c r="J175" s="178">
        <f>H175/DAY(B2)</f>
        <v>10</v>
      </c>
    </row>
    <row r="176" spans="1:10" ht="27.75">
      <c r="A176" s="589" t="s">
        <v>196</v>
      </c>
      <c r="B176" s="590"/>
      <c r="C176" s="333"/>
      <c r="D176" s="228"/>
      <c r="E176" s="95">
        <f>'5'!F176</f>
        <v>0</v>
      </c>
      <c r="F176" s="155"/>
      <c r="G176" s="155">
        <f>SUM(G173:G175)</f>
        <v>27</v>
      </c>
      <c r="H176" s="99">
        <f>G176+'5'!H176</f>
        <v>137</v>
      </c>
      <c r="I176" s="155"/>
      <c r="J176" s="178">
        <f>H176/DAY(B2)</f>
        <v>22.833333333333332</v>
      </c>
    </row>
    <row r="177" spans="1:10" ht="27.75">
      <c r="A177" s="856" t="s">
        <v>77</v>
      </c>
      <c r="B177" s="85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'5'!F178</f>
        <v>81608</v>
      </c>
      <c r="F178" s="155">
        <v>81649</v>
      </c>
      <c r="G178" s="155">
        <f>F178-E178</f>
        <v>41</v>
      </c>
      <c r="H178" s="99">
        <f>G178+'5'!H178</f>
        <v>334</v>
      </c>
      <c r="I178" s="155"/>
      <c r="J178" s="178">
        <f>H178/DAY(B2)</f>
        <v>55.666666666666664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'5'!F179</f>
        <v>34958</v>
      </c>
      <c r="F179" s="155">
        <v>35028</v>
      </c>
      <c r="G179" s="155">
        <f t="shared" ref="G179:G180" si="15">F179-E179</f>
        <v>70</v>
      </c>
      <c r="H179" s="99">
        <f>G179+'5'!H179</f>
        <v>225</v>
      </c>
      <c r="I179" s="155"/>
      <c r="J179" s="178">
        <f>H179/DAY(B2)</f>
        <v>37.5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'5'!F180</f>
        <v>5748</v>
      </c>
      <c r="F180" s="155">
        <v>5748</v>
      </c>
      <c r="G180" s="155">
        <f t="shared" si="15"/>
        <v>0</v>
      </c>
      <c r="H180" s="99">
        <f>G180+'5'!H180</f>
        <v>46</v>
      </c>
      <c r="I180" s="155"/>
      <c r="J180" s="178">
        <f>H180/DAY(B2)</f>
        <v>7.666666666666667</v>
      </c>
    </row>
    <row r="181" spans="1:10" ht="27.75">
      <c r="A181" s="858" t="s">
        <v>108</v>
      </c>
      <c r="B181" s="859"/>
      <c r="C181" s="333"/>
      <c r="D181" s="228"/>
      <c r="E181" s="95">
        <f>'5'!F181</f>
        <v>0</v>
      </c>
      <c r="F181" s="155"/>
      <c r="G181" s="155">
        <f>SUM(G178:G180)</f>
        <v>111</v>
      </c>
      <c r="H181" s="99">
        <f>G181+'5'!H181</f>
        <v>605</v>
      </c>
      <c r="I181" s="155"/>
      <c r="J181" s="178">
        <f>H181/DAY(B2)</f>
        <v>100.83333333333333</v>
      </c>
    </row>
    <row r="182" spans="1:10" ht="27.75">
      <c r="A182" s="856" t="s">
        <v>213</v>
      </c>
      <c r="B182" s="85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'5'!F183</f>
        <v>15407</v>
      </c>
      <c r="F183" s="157">
        <v>15421</v>
      </c>
      <c r="G183" s="157">
        <f>F183-E183</f>
        <v>14</v>
      </c>
      <c r="H183" s="99">
        <f>G183+'5'!H183</f>
        <v>76</v>
      </c>
      <c r="I183" s="155"/>
      <c r="J183" s="178">
        <f>H183/DAY(B2)</f>
        <v>12.666666666666666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'5'!F184</f>
        <v>10553</v>
      </c>
      <c r="F184" s="157">
        <v>10561</v>
      </c>
      <c r="G184" s="157">
        <f t="shared" ref="G184:G185" si="16">F184-E184</f>
        <v>8</v>
      </c>
      <c r="H184" s="99">
        <f>G184+'5'!H184</f>
        <v>43</v>
      </c>
      <c r="I184" s="155"/>
      <c r="J184" s="178">
        <f>H184/DAY(B2)</f>
        <v>7.166666666666667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334"/>
      <c r="D186" s="229"/>
      <c r="E186" s="95"/>
      <c r="F186" s="157"/>
      <c r="G186" s="157">
        <f>SUM(G183:G185)</f>
        <v>22</v>
      </c>
      <c r="H186" s="99">
        <f>G186+'5'!H186</f>
        <v>119</v>
      </c>
      <c r="I186" s="157"/>
      <c r="J186" s="178">
        <f>H186/DAY(B2)</f>
        <v>19.833333333333332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198</v>
      </c>
      <c r="H187" s="99">
        <f>G187+'5'!H187</f>
        <v>931</v>
      </c>
      <c r="I187" s="158"/>
      <c r="J187" s="179">
        <f>H187/DAY(B2)</f>
        <v>155.16666666666666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187</v>
      </c>
      <c r="H188" s="99">
        <f>G188+'5'!H188</f>
        <v>949</v>
      </c>
      <c r="I188" s="158"/>
      <c r="J188" s="179">
        <f>H188/DAY(B2)</f>
        <v>158.16666666666666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111</v>
      </c>
      <c r="H189" s="99">
        <f>G189+'5'!H189</f>
        <v>605</v>
      </c>
      <c r="I189" s="158"/>
      <c r="J189" s="179">
        <f>H189/DAY(B2)</f>
        <v>100.83333333333333</v>
      </c>
    </row>
    <row r="190" spans="1:10" ht="27.7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R270"/>
  <sheetViews>
    <sheetView tabSelected="1" view="pageBreakPreview" topLeftCell="A67" zoomScale="60" zoomScaleNormal="77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44599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'6'!F7</f>
        <v>765034.55</v>
      </c>
      <c r="F7" s="95">
        <v>786589.27</v>
      </c>
      <c r="G7" s="112">
        <f>F7-E7</f>
        <v>21554.719999999972</v>
      </c>
      <c r="H7" s="99">
        <f>G7+'6'!H7</f>
        <v>135409.04000000004</v>
      </c>
      <c r="I7" s="113">
        <f>'1'!I7</f>
        <v>12000</v>
      </c>
      <c r="J7" s="175">
        <f>H7/DAY(B2)</f>
        <v>19344.148571428577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'6'!F8</f>
        <v>823619.67</v>
      </c>
      <c r="F8" s="114">
        <v>845323.91</v>
      </c>
      <c r="G8" s="115">
        <f>F8-E8</f>
        <v>21704.239999999991</v>
      </c>
      <c r="H8" s="99">
        <f>G8+'6'!H8</f>
        <v>136775.76</v>
      </c>
      <c r="I8" s="116"/>
      <c r="J8" s="175">
        <f>H8/DAY(B2)</f>
        <v>19539.394285714287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'6'!F9</f>
        <v>359986.51</v>
      </c>
      <c r="F9" s="117">
        <v>375444.15</v>
      </c>
      <c r="G9" s="112">
        <f>F9-E9</f>
        <v>15457.640000000014</v>
      </c>
      <c r="H9" s="99">
        <f>G9+'6'!H9</f>
        <v>93190.300000000047</v>
      </c>
      <c r="I9" s="124">
        <f>I7-J7</f>
        <v>-7344.1485714285773</v>
      </c>
      <c r="J9" s="175">
        <f>H9/DAY(B2)</f>
        <v>13312.900000000007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'6'!F10</f>
        <v>138225.72</v>
      </c>
      <c r="F10" s="117">
        <v>143734.95000000001</v>
      </c>
      <c r="G10" s="112">
        <f t="shared" ref="G10:G12" si="0">F10-E10</f>
        <v>5509.2300000000105</v>
      </c>
      <c r="H10" s="99">
        <f>G10+'6'!H10</f>
        <v>38475.98000000001</v>
      </c>
      <c r="I10" s="282"/>
      <c r="J10" s="175">
        <f>H10/DAY(B2)</f>
        <v>5496.5685714285728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'6'!F11</f>
        <v>37170</v>
      </c>
      <c r="F11" s="95">
        <v>37170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20966.870000000024</v>
      </c>
      <c r="H13" s="99">
        <f>G13+'6'!H13</f>
        <v>114911.85000000002</v>
      </c>
      <c r="I13" s="120">
        <f>G7-G13</f>
        <v>587.84999999994761</v>
      </c>
      <c r="J13" s="175">
        <f>H13/DAY(B2)</f>
        <v>16415.978571428575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'6'!F15</f>
        <v>1912646.14</v>
      </c>
      <c r="F15" s="123">
        <v>1913676.82</v>
      </c>
      <c r="G15" s="112">
        <f>(F15-E15)</f>
        <v>1030.6800000001676</v>
      </c>
      <c r="H15" s="99">
        <f>G15+'6'!H15</f>
        <v>7040.0530000000726</v>
      </c>
      <c r="I15" s="113">
        <f>'1'!I15</f>
        <v>800</v>
      </c>
      <c r="J15" s="175">
        <f>H15/DAY(B2)</f>
        <v>1005.7218571428675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-205.72185714286752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'6'!F18</f>
        <v>22</v>
      </c>
      <c r="F18" s="122">
        <v>19</v>
      </c>
      <c r="G18" s="119">
        <f>F18*10</f>
        <v>190</v>
      </c>
      <c r="H18" s="99">
        <f>G18+'6'!H18</f>
        <v>1370</v>
      </c>
      <c r="I18" s="113">
        <f>'1'!I18</f>
        <v>65</v>
      </c>
      <c r="J18" s="175">
        <f>H18/DAY(B2)</f>
        <v>195.71428571428572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'6'!F19</f>
        <v>154192</v>
      </c>
      <c r="F19" s="122">
        <v>154244</v>
      </c>
      <c r="G19" s="112">
        <f t="shared" ref="G19" si="1">F19-E19</f>
        <v>52</v>
      </c>
      <c r="H19" s="99">
        <f>G19+'6'!H19</f>
        <v>353</v>
      </c>
      <c r="I19" s="335"/>
      <c r="J19" s="175">
        <f>H19/DAY(B2)</f>
        <v>50.428571428571431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242</v>
      </c>
      <c r="H20" s="99">
        <f>G20+'6'!H20</f>
        <v>1723</v>
      </c>
      <c r="I20" s="336">
        <f>I18-J20</f>
        <v>-181.14285714285714</v>
      </c>
      <c r="J20" s="175">
        <f>H20/DAY(B2)</f>
        <v>246.14285714285714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21704.239999999991</v>
      </c>
      <c r="F27" s="136">
        <v>9</v>
      </c>
      <c r="G27" s="137">
        <f>E27*F27</f>
        <v>195338.15999999992</v>
      </c>
      <c r="H27" s="99">
        <f>G27+'6'!H27</f>
        <v>1230981.8400000001</v>
      </c>
      <c r="I27" s="138"/>
      <c r="J27" s="175">
        <f>H27/DAY(B2)</f>
        <v>175854.54857142858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1030.6800000001676</v>
      </c>
      <c r="F28" s="136">
        <v>52</v>
      </c>
      <c r="G28" s="137">
        <f>E28*F28</f>
        <v>53595.360000008717</v>
      </c>
      <c r="H28" s="99">
        <f>G28+'6'!H28</f>
        <v>366082.75600000378</v>
      </c>
      <c r="I28" s="140"/>
      <c r="J28" s="175">
        <f>H28/DAY(B2)</f>
        <v>52297.536571429111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51538</v>
      </c>
      <c r="I30" s="140"/>
      <c r="J30" s="175">
        <f>H30/DAY(B2)</f>
        <v>7362.5714285714284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G31+'6'!H31</f>
        <v>109600</v>
      </c>
      <c r="I31" s="140"/>
      <c r="J31" s="175">
        <f>H31/DAY(B2)</f>
        <v>15657.142857142857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271725.52000000863</v>
      </c>
      <c r="H32" s="99">
        <f>G32+'6'!H32</f>
        <v>1758202.5960000039</v>
      </c>
      <c r="I32" s="144"/>
      <c r="J32" s="175">
        <f>H32/DAY(B2)</f>
        <v>251171.79942857198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'6'!F35</f>
        <v>40508.78</v>
      </c>
      <c r="F35" s="145">
        <v>42175.199999999997</v>
      </c>
      <c r="G35" s="112">
        <f t="shared" ref="G35:G46" si="3">F35-E35</f>
        <v>1666.4199999999983</v>
      </c>
      <c r="H35" s="99">
        <f>G35+'6'!H35</f>
        <v>10170.219999999998</v>
      </c>
      <c r="I35" s="95"/>
      <c r="J35" s="175">
        <f>H35/DAY(B2)</f>
        <v>1452.8885714285711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'6'!F36</f>
        <v>49033.99</v>
      </c>
      <c r="F36" s="145">
        <v>49874.559999999998</v>
      </c>
      <c r="G36" s="112">
        <f t="shared" si="3"/>
        <v>840.56999999999971</v>
      </c>
      <c r="H36" s="99">
        <f>G36+'6'!H36</f>
        <v>6415.82</v>
      </c>
      <c r="I36" s="95"/>
      <c r="J36" s="175">
        <f>H36/DAY(B2)</f>
        <v>916.54571428571421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'6'!F37</f>
        <v>45022.09</v>
      </c>
      <c r="F37" s="145">
        <v>46680.93</v>
      </c>
      <c r="G37" s="112">
        <f t="shared" si="3"/>
        <v>1658.8400000000038</v>
      </c>
      <c r="H37" s="99">
        <f>G37+'6'!H37</f>
        <v>11255.840000000004</v>
      </c>
      <c r="I37" s="95"/>
      <c r="J37" s="175">
        <f>H37/DAY(B2)</f>
        <v>1607.9771428571435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'6'!F38</f>
        <v>49136.58</v>
      </c>
      <c r="F38" s="108">
        <v>51154.32</v>
      </c>
      <c r="G38" s="112">
        <f t="shared" si="3"/>
        <v>2017.739999999998</v>
      </c>
      <c r="H38" s="99">
        <f>G38+'6'!H38</f>
        <v>12777.89</v>
      </c>
      <c r="I38" s="95"/>
      <c r="J38" s="175">
        <f>H38/DAY(B2)</f>
        <v>1825.4128571428571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'6'!F39</f>
        <v>75254.22</v>
      </c>
      <c r="F39" s="145">
        <v>78320.710000000006</v>
      </c>
      <c r="G39" s="112">
        <f t="shared" si="3"/>
        <v>3066.4900000000052</v>
      </c>
      <c r="H39" s="99">
        <f>G39+'6'!H39</f>
        <v>19147.420000000006</v>
      </c>
      <c r="I39" s="95"/>
      <c r="J39" s="175">
        <f>H39/DAY(B2)</f>
        <v>2735.3457142857151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'6'!F40</f>
        <v>23922.09</v>
      </c>
      <c r="F40" s="145">
        <v>24204.77</v>
      </c>
      <c r="G40" s="112">
        <f t="shared" si="3"/>
        <v>282.68000000000029</v>
      </c>
      <c r="H40" s="99">
        <f>G40+'6'!H40</f>
        <v>2087.7799999999979</v>
      </c>
      <c r="I40" s="95"/>
      <c r="J40" s="175">
        <f>H40/DAY(B2)</f>
        <v>298.2542857142854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'6'!F42</f>
        <v>106500.89</v>
      </c>
      <c r="F42" s="145">
        <v>109069.15</v>
      </c>
      <c r="G42" s="112">
        <f t="shared" si="3"/>
        <v>2568.2599999999948</v>
      </c>
      <c r="H42" s="99">
        <f>G42+'6'!H42</f>
        <v>8939.4099999999889</v>
      </c>
      <c r="I42" s="95"/>
      <c r="J42" s="175">
        <f>H42/DAY(B2)</f>
        <v>1277.0585714285698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'6'!F43</f>
        <v>127758.65</v>
      </c>
      <c r="F43" s="145">
        <v>129967.33</v>
      </c>
      <c r="G43" s="112">
        <f t="shared" si="3"/>
        <v>2208.6800000000076</v>
      </c>
      <c r="H43" s="99">
        <f>G43+'6'!H43</f>
        <v>15115.729999999996</v>
      </c>
      <c r="I43" s="95"/>
      <c r="J43" s="175">
        <f>H43/DAY(B2)</f>
        <v>2159.3899999999994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14309.680000000008</v>
      </c>
      <c r="H47" s="99">
        <f>G47+'6'!H47</f>
        <v>85910.11</v>
      </c>
      <c r="I47" s="95"/>
      <c r="J47" s="175">
        <f>H47/DAY(B2)</f>
        <v>12272.872857142856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'6'!F49</f>
        <v>32206.86</v>
      </c>
      <c r="F49" s="145">
        <v>33640.78</v>
      </c>
      <c r="G49" s="112">
        <f t="shared" ref="G49:G58" si="4">F49-E49</f>
        <v>1433.9199999999983</v>
      </c>
      <c r="H49" s="99">
        <f>G49+'6'!H49</f>
        <v>8644.59</v>
      </c>
      <c r="I49" s="95"/>
      <c r="J49" s="175">
        <f>H49/DAY(B2)</f>
        <v>1234.9414285714286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'6'!F50</f>
        <v>63332.24</v>
      </c>
      <c r="F50" s="145">
        <v>64747.86</v>
      </c>
      <c r="G50" s="112">
        <f t="shared" si="4"/>
        <v>1415.6200000000026</v>
      </c>
      <c r="H50" s="99">
        <f>G50+'6'!H50</f>
        <v>8361.2300000000032</v>
      </c>
      <c r="I50" s="95"/>
      <c r="J50" s="175">
        <f>H50/DAY(B2)</f>
        <v>1194.461428571429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'6'!F54</f>
        <v>7454.88</v>
      </c>
      <c r="F54" s="145">
        <v>7989.84</v>
      </c>
      <c r="G54" s="112">
        <f t="shared" si="4"/>
        <v>534.96</v>
      </c>
      <c r="H54" s="99">
        <f>G54+'6'!H54</f>
        <v>2842.42</v>
      </c>
      <c r="I54" s="95"/>
      <c r="J54" s="175">
        <f>H54/DAY(B2)</f>
        <v>406.06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'6'!F55</f>
        <v>88263.98</v>
      </c>
      <c r="F55" s="145">
        <v>90154.47</v>
      </c>
      <c r="G55" s="112">
        <f t="shared" si="4"/>
        <v>1890.4900000000052</v>
      </c>
      <c r="H55" s="99">
        <f>G55+'6'!H55</f>
        <v>15788.36</v>
      </c>
      <c r="I55" s="95"/>
      <c r="J55" s="175">
        <f>H55/DAY(B2)</f>
        <v>2255.48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'6'!F56</f>
        <v>8723.6299999999992</v>
      </c>
      <c r="F56" s="145">
        <v>8723.6299999999992</v>
      </c>
      <c r="G56" s="112">
        <f t="shared" si="4"/>
        <v>0</v>
      </c>
      <c r="H56" s="99">
        <f>G56+'6'!H56</f>
        <v>113.08999999999833</v>
      </c>
      <c r="I56" s="95"/>
      <c r="J56" s="175">
        <f>H56/DAY(B2)</f>
        <v>16.155714285714048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'6'!F58</f>
        <v>6056.61</v>
      </c>
      <c r="F58" s="145">
        <v>6251.99</v>
      </c>
      <c r="G58" s="112">
        <f t="shared" si="4"/>
        <v>195.38000000000011</v>
      </c>
      <c r="H58" s="99">
        <f>G58+'6'!H58</f>
        <v>1455.7799999999997</v>
      </c>
      <c r="I58" s="95"/>
      <c r="J58" s="175">
        <f>H58/DAY(B2)</f>
        <v>207.96857142857138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5470.3700000000063</v>
      </c>
      <c r="H59" s="99">
        <f>G59+'6'!H59</f>
        <v>37205.47</v>
      </c>
      <c r="I59" s="95">
        <f>G7-G60</f>
        <v>1774.6699999999582</v>
      </c>
      <c r="J59" s="175">
        <f>H59/DAY(B2)</f>
        <v>5315.0671428571432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19780.050000000014</v>
      </c>
      <c r="H60" s="99">
        <f>G60+'6'!H60</f>
        <v>123115.57999999999</v>
      </c>
      <c r="I60" s="95">
        <f>G13-G60</f>
        <v>1186.8200000000106</v>
      </c>
      <c r="J60" s="175">
        <f>H60/DAY(B2)</f>
        <v>17587.939999999999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'6'!F62</f>
        <v>270146</v>
      </c>
      <c r="F62" s="122">
        <v>270288</v>
      </c>
      <c r="G62" s="112">
        <f t="shared" ref="G62:G63" si="5">F62-E62</f>
        <v>142</v>
      </c>
      <c r="H62" s="99">
        <f>G62+'6'!H62</f>
        <v>772</v>
      </c>
      <c r="I62" s="118"/>
      <c r="J62" s="175">
        <f>H62/DAY(B2)</f>
        <v>110.28571428571429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'6'!F63</f>
        <v>216616</v>
      </c>
      <c r="F63" s="122">
        <v>216740</v>
      </c>
      <c r="G63" s="112">
        <f t="shared" si="5"/>
        <v>124</v>
      </c>
      <c r="H63" s="99">
        <f>G63+'6'!H63</f>
        <v>943</v>
      </c>
      <c r="I63" s="118"/>
      <c r="J63" s="175">
        <f>H63/DAY(B2)</f>
        <v>134.71428571428572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'6'!F64</f>
        <v>0</v>
      </c>
      <c r="F64" s="122"/>
      <c r="G64" s="112">
        <f>G62+G63</f>
        <v>266</v>
      </c>
      <c r="H64" s="99">
        <f>G64+'6'!H64</f>
        <v>1715</v>
      </c>
      <c r="I64" s="118"/>
      <c r="J64" s="175">
        <f>H64/DAY(B2)</f>
        <v>245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'6'!F65</f>
        <v>435456</v>
      </c>
      <c r="F65" s="122">
        <v>435552</v>
      </c>
      <c r="G65" s="112">
        <f t="shared" ref="G65:G70" si="6">F65-E65</f>
        <v>96</v>
      </c>
      <c r="H65" s="99">
        <f>G65+'6'!H65</f>
        <v>629</v>
      </c>
      <c r="I65" s="118"/>
      <c r="J65" s="175">
        <f>H65/DAY(B2)</f>
        <v>89.857142857142861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'6'!F66</f>
        <v>107906</v>
      </c>
      <c r="F66" s="122">
        <v>107927</v>
      </c>
      <c r="G66" s="112">
        <f t="shared" si="6"/>
        <v>21</v>
      </c>
      <c r="H66" s="99">
        <f>G66+'6'!H66</f>
        <v>184</v>
      </c>
      <c r="I66" s="118"/>
      <c r="J66" s="175">
        <f>H66/DAY(B2)</f>
        <v>26.285714285714285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'6'!F67</f>
        <v>104784</v>
      </c>
      <c r="F67" s="150">
        <v>104814</v>
      </c>
      <c r="G67" s="112">
        <f t="shared" si="6"/>
        <v>30</v>
      </c>
      <c r="H67" s="99">
        <f>G67+'6'!H67</f>
        <v>166</v>
      </c>
      <c r="I67" s="118"/>
      <c r="J67" s="175">
        <f>H67/DAY(B2)</f>
        <v>23.714285714285715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'6'!F68</f>
        <v>157911</v>
      </c>
      <c r="F68" s="122">
        <v>157954</v>
      </c>
      <c r="G68" s="112">
        <f t="shared" si="6"/>
        <v>43</v>
      </c>
      <c r="H68" s="99">
        <f>G68+'6'!H68</f>
        <v>257</v>
      </c>
      <c r="I68" s="118"/>
      <c r="J68" s="175">
        <f>H68/DAY(B2)</f>
        <v>36.714285714285715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'6'!F69</f>
        <v>10604</v>
      </c>
      <c r="F69" s="122">
        <v>10619</v>
      </c>
      <c r="G69" s="112">
        <f t="shared" si="6"/>
        <v>15</v>
      </c>
      <c r="H69" s="99">
        <f>G69+'6'!H69</f>
        <v>78</v>
      </c>
      <c r="I69" s="118"/>
      <c r="J69" s="175">
        <f>H69/DAY(B2)</f>
        <v>11.142857142857142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'6'!F70</f>
        <v>8174</v>
      </c>
      <c r="F70" s="150">
        <v>8197</v>
      </c>
      <c r="G70" s="112">
        <f t="shared" si="6"/>
        <v>23</v>
      </c>
      <c r="H70" s="99">
        <f>G70+'6'!H70</f>
        <v>77</v>
      </c>
      <c r="I70" s="118"/>
      <c r="J70" s="175">
        <f>H70/DAY(B2)</f>
        <v>11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228</v>
      </c>
      <c r="H71" s="99">
        <f>G71+'6'!H71</f>
        <v>1391</v>
      </c>
      <c r="I71" s="154"/>
      <c r="J71" s="175">
        <f>H71/DAY(B2)</f>
        <v>198.71428571428572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'6'!F74</f>
        <v>903127.82</v>
      </c>
      <c r="F74" s="123">
        <v>903429.48</v>
      </c>
      <c r="G74" s="112">
        <f t="shared" ref="G74:G78" si="7">F74-E74</f>
        <v>301.6600000000326</v>
      </c>
      <c r="H74" s="99">
        <f>G74+'6'!H74</f>
        <v>2123.3310000000056</v>
      </c>
      <c r="I74" s="154"/>
      <c r="J74" s="175">
        <f>H74/DAY(B2)</f>
        <v>303.33300000000082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'6'!F76</f>
        <v>170697.91</v>
      </c>
      <c r="F76" s="123">
        <v>170796.4</v>
      </c>
      <c r="G76" s="112">
        <f t="shared" si="7"/>
        <v>98.489999999990687</v>
      </c>
      <c r="H76" s="99">
        <f>G76+'6'!H76</f>
        <v>821.39999999999418</v>
      </c>
      <c r="I76" s="154"/>
      <c r="J76" s="175">
        <f>H76/DAY(B2)</f>
        <v>117.34285714285632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'6'!F77</f>
        <v>41580.699999999997</v>
      </c>
      <c r="F77" s="123">
        <v>41636.6</v>
      </c>
      <c r="G77" s="112">
        <f t="shared" si="7"/>
        <v>55.900000000001455</v>
      </c>
      <c r="H77" s="99">
        <f>G77+'6'!H77</f>
        <v>334.40000000000146</v>
      </c>
      <c r="I77" s="154"/>
      <c r="J77" s="175">
        <f>H77/DAY(B2)</f>
        <v>47.771428571428778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'6'!F78</f>
        <v>9525.1</v>
      </c>
      <c r="F78" s="123">
        <v>9526</v>
      </c>
      <c r="G78" s="112">
        <f t="shared" si="7"/>
        <v>0.8999999999996362</v>
      </c>
      <c r="H78" s="99">
        <f>G78+'6'!H78</f>
        <v>10</v>
      </c>
      <c r="I78" s="118"/>
      <c r="J78" s="175">
        <f>H78/DAY(B2)</f>
        <v>1.4285714285714286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'6'!F79</f>
        <v>0</v>
      </c>
      <c r="F79" s="123"/>
      <c r="G79" s="112">
        <f>G15-SUM(G74:G78)</f>
        <v>573.73000000014326</v>
      </c>
      <c r="H79" s="99">
        <f>G79+'6'!H79</f>
        <v>3750.9220000000714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1030.6800000001676</v>
      </c>
      <c r="H80" s="99">
        <f>G80+'6'!H80</f>
        <v>1030.6800000001676</v>
      </c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'6'!F85</f>
        <v>2300.42</v>
      </c>
      <c r="F85" s="164">
        <v>2312.4899999999998</v>
      </c>
      <c r="G85" s="112">
        <f t="shared" si="8"/>
        <v>12.069999999999709</v>
      </c>
      <c r="H85" s="99">
        <f>G85+'6'!H85</f>
        <v>52.069999999999709</v>
      </c>
      <c r="I85" s="118">
        <f>G82+G83+G84+G85</f>
        <v>12.069999999999709</v>
      </c>
      <c r="J85" s="175">
        <f>H85/DAY(B2)</f>
        <v>7.4385714285713869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'6'!F86</f>
        <v>43547</v>
      </c>
      <c r="F86" s="164">
        <v>43560.3</v>
      </c>
      <c r="G86" s="112">
        <f t="shared" si="8"/>
        <v>13.30000000000291</v>
      </c>
      <c r="H86" s="99">
        <f>G86+'6'!H86</f>
        <v>118.30000000000291</v>
      </c>
      <c r="I86" s="118"/>
      <c r="J86" s="175">
        <f>H86/DAY(B2)</f>
        <v>16.900000000000414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'6'!F87</f>
        <v>34599.480000000003</v>
      </c>
      <c r="F87" s="164">
        <v>34599.480000000003</v>
      </c>
      <c r="G87" s="112">
        <f t="shared" si="8"/>
        <v>0</v>
      </c>
      <c r="H87" s="99">
        <f>G87+'6'!H87</f>
        <v>0.98000000000320142</v>
      </c>
      <c r="I87" s="118"/>
      <c r="J87" s="175">
        <f>H87/DAY(B2)</f>
        <v>0.14000000000045734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'6'!F88</f>
        <v>24063.43</v>
      </c>
      <c r="F88" s="164">
        <v>24063.43</v>
      </c>
      <c r="G88" s="112">
        <f t="shared" si="8"/>
        <v>0</v>
      </c>
      <c r="H88" s="99">
        <f>G88+'6'!H88</f>
        <v>0</v>
      </c>
      <c r="I88" s="118">
        <f>G86+G87+G88</f>
        <v>13.30000000000291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'6'!F89</f>
        <v>25949.58</v>
      </c>
      <c r="F89" s="164">
        <v>25959.37</v>
      </c>
      <c r="G89" s="112">
        <f t="shared" si="8"/>
        <v>9.7899999999972351</v>
      </c>
      <c r="H89" s="99">
        <f>G89+'6'!H89</f>
        <v>68.25</v>
      </c>
      <c r="I89" s="118"/>
      <c r="J89" s="175">
        <f>H89/DAY(B2)</f>
        <v>9.75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'6'!F90</f>
        <v>71175.759999999995</v>
      </c>
      <c r="F90" s="164">
        <v>71179.92</v>
      </c>
      <c r="G90" s="112">
        <f t="shared" si="8"/>
        <v>4.1600000000034925</v>
      </c>
      <c r="H90" s="99">
        <f>G90+'6'!H90</f>
        <v>16.599999999991269</v>
      </c>
      <c r="I90" s="118">
        <f>G89+G90</f>
        <v>13.950000000000728</v>
      </c>
      <c r="J90" s="175">
        <f>H90/DAY(B2)</f>
        <v>2.371428571427324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'6'!F91</f>
        <v>3318.58</v>
      </c>
      <c r="F91" s="122">
        <v>3329.68</v>
      </c>
      <c r="G91" s="112">
        <f t="shared" si="8"/>
        <v>11.099999999999909</v>
      </c>
      <c r="H91" s="99">
        <f>G91+'6'!H91</f>
        <v>78.589999999999691</v>
      </c>
      <c r="I91" s="165"/>
      <c r="J91" s="175">
        <f>H91/DAY(B2)</f>
        <v>11.227142857142812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5309.0200000000041</v>
      </c>
      <c r="H94" s="99">
        <f>G94+'6'!H94</f>
        <v>33930.539999999994</v>
      </c>
      <c r="I94" s="118"/>
      <c r="J94" s="175">
        <f>H94/DAY(B2)</f>
        <v>4847.2199999999993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0.24630428973329327</v>
      </c>
      <c r="H95" s="99">
        <f>G95+'6'!H95</f>
        <v>1.7537378187689625</v>
      </c>
      <c r="I95" s="167"/>
      <c r="J95" s="175">
        <f>H95/DAY(B2)</f>
        <v>0.25053397410985179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4458.75</v>
      </c>
      <c r="H96" s="99">
        <f>G96+'6'!H96</f>
        <v>24840.859999999986</v>
      </c>
      <c r="I96" s="118"/>
      <c r="J96" s="175">
        <f>H96/DAY(B2)</f>
        <v>3548.6942857142835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0.20685724518806117</v>
      </c>
      <c r="H97" s="99">
        <f>G97+'6'!H97</f>
        <v>1.2884311240084536</v>
      </c>
      <c r="I97" s="167"/>
      <c r="J97" s="175">
        <f>H97/DAY(B2)</f>
        <v>0.18406158914406481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3066.4900000000052</v>
      </c>
      <c r="H98" s="99">
        <f>G98+'6'!H98</f>
        <v>19147.420000000006</v>
      </c>
      <c r="I98" s="168"/>
      <c r="J98" s="175">
        <f>H98/DAY(B2)</f>
        <v>2735.3457142857151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0.14226535997684076</v>
      </c>
      <c r="H99" s="99">
        <f>G99+'6'!H99</f>
        <v>0.99192469237956504</v>
      </c>
      <c r="I99" s="168"/>
      <c r="J99" s="175">
        <f>H99/DAY(B2)</f>
        <v>0.14170352748279499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2017.739999999998</v>
      </c>
      <c r="H100" s="99">
        <f>G100+'6'!H100</f>
        <v>12777.89</v>
      </c>
      <c r="I100" s="118"/>
      <c r="J100" s="175">
        <f>H100/DAY(B2)</f>
        <v>1825.4128571428571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9.361012344396033E-2</v>
      </c>
      <c r="H101" s="99">
        <f>G101+'6'!H101</f>
        <v>0.66101868416114085</v>
      </c>
      <c r="I101" s="168"/>
      <c r="J101" s="175">
        <f>H101/DAY(B2)</f>
        <v>9.4431240594448698E-2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2256.1900000000023</v>
      </c>
      <c r="H102" s="99">
        <f>G102+'6'!H102</f>
        <v>14777.050000000003</v>
      </c>
      <c r="I102" s="168"/>
      <c r="J102" s="175">
        <f>H102/DAY(B2)</f>
        <v>2111.0071428571432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0.10467266566209189</v>
      </c>
      <c r="H103" s="99">
        <f>G103+'6'!H103</f>
        <v>0.760396021102275</v>
      </c>
      <c r="I103" s="118"/>
      <c r="J103" s="175">
        <f>H103/DAY(B2)</f>
        <v>0.10862800301461072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1658.8400000000038</v>
      </c>
      <c r="H104" s="99">
        <f>G104+'6'!H104</f>
        <v>11255.840000000004</v>
      </c>
      <c r="I104" s="118"/>
      <c r="J104" s="175">
        <f>H104/DAY(B2)</f>
        <v>1607.9771428571435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7.6959478016880106E-2</v>
      </c>
      <c r="H105" s="99">
        <f>G105+'6'!H105</f>
        <v>0.58387955856575946</v>
      </c>
      <c r="I105" s="187"/>
      <c r="J105" s="188">
        <f>H105/DAY(B2)</f>
        <v>8.3411365509394209E-2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'6'!F112</f>
        <v>58512.91</v>
      </c>
      <c r="F112" s="237">
        <v>58586.720000000001</v>
      </c>
      <c r="G112" s="112">
        <f t="shared" ref="G112:G123" si="9">F112-E112</f>
        <v>73.809999999997672</v>
      </c>
      <c r="H112" s="99">
        <f>G112+'6'!H112</f>
        <v>532.72000000000116</v>
      </c>
      <c r="I112" s="165"/>
      <c r="J112" s="328">
        <f>H112/DAY(B2)</f>
        <v>76.102857142857303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'6'!F113</f>
        <v>49229.25</v>
      </c>
      <c r="F113" s="237">
        <v>49699.03</v>
      </c>
      <c r="G113" s="112">
        <f t="shared" si="9"/>
        <v>469.77999999999884</v>
      </c>
      <c r="H113" s="99">
        <f>G113+'6'!H113</f>
        <v>3298.1399999999994</v>
      </c>
      <c r="I113" s="165"/>
      <c r="J113" s="328">
        <f>H113/DAY(B2)</f>
        <v>471.16285714285704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'6'!F114</f>
        <v>34949.370000000003</v>
      </c>
      <c r="F114" s="237">
        <v>35418.1</v>
      </c>
      <c r="G114" s="112">
        <f t="shared" si="9"/>
        <v>468.72999999999593</v>
      </c>
      <c r="H114" s="99">
        <f>G114+'6'!H114</f>
        <v>2258.0999999999985</v>
      </c>
      <c r="I114" s="165"/>
      <c r="J114" s="328">
        <f>H114/DAY(B2)</f>
        <v>322.58571428571406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'6'!F115</f>
        <v>9159.51</v>
      </c>
      <c r="F115" s="237">
        <v>9168.2199999999993</v>
      </c>
      <c r="G115" s="112">
        <f t="shared" si="9"/>
        <v>8.7099999999991269</v>
      </c>
      <c r="H115" s="99">
        <f>G115+'6'!H115</f>
        <v>73.569999999999709</v>
      </c>
      <c r="I115" s="165"/>
      <c r="J115" s="328">
        <f>H115/DAY(B2)</f>
        <v>10.509999999999959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'6'!F116</f>
        <v>271.7</v>
      </c>
      <c r="F116" s="237">
        <v>642.16999999999996</v>
      </c>
      <c r="G116" s="112">
        <f t="shared" si="9"/>
        <v>370.46999999999997</v>
      </c>
      <c r="H116" s="99">
        <f>G116+'6'!H116</f>
        <v>642.16999999999996</v>
      </c>
      <c r="I116" s="165"/>
      <c r="J116" s="328">
        <f>H116/DAY(B2)</f>
        <v>91.738571428571419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'6'!F117</f>
        <v>3720.53</v>
      </c>
      <c r="F117" s="237">
        <v>3869.46</v>
      </c>
      <c r="G117" s="112">
        <f t="shared" si="9"/>
        <v>148.92999999999984</v>
      </c>
      <c r="H117" s="99">
        <f>G117+'6'!H117</f>
        <v>531.51000000000022</v>
      </c>
      <c r="I117" s="165"/>
      <c r="J117" s="328">
        <f>H117/DAY(B2)</f>
        <v>75.930000000000035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'6'!F118</f>
        <v>254422.41</v>
      </c>
      <c r="F118" s="237">
        <v>254777.55</v>
      </c>
      <c r="G118" s="112">
        <f t="shared" si="9"/>
        <v>355.13999999998487</v>
      </c>
      <c r="H118" s="99">
        <f>G118+'6'!H118</f>
        <v>2325.2399999999907</v>
      </c>
      <c r="I118" s="165"/>
      <c r="J118" s="328">
        <f>H118/DAY(B2)</f>
        <v>332.17714285714152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'6'!F119</f>
        <v>260615.69</v>
      </c>
      <c r="F119" s="237">
        <v>261010.07</v>
      </c>
      <c r="G119" s="112">
        <f t="shared" si="9"/>
        <v>394.38000000000466</v>
      </c>
      <c r="H119" s="99">
        <f>G119+'6'!H119</f>
        <v>2861.5200000000186</v>
      </c>
      <c r="I119" s="165"/>
      <c r="J119" s="328">
        <f>H119/DAY(B2)</f>
        <v>408.78857142857407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'6'!F120</f>
        <v>45456.18</v>
      </c>
      <c r="F120" s="237">
        <v>45877.760000000002</v>
      </c>
      <c r="G120" s="112">
        <f t="shared" si="9"/>
        <v>421.58000000000175</v>
      </c>
      <c r="H120" s="99">
        <f>G120+'6'!H120</f>
        <v>2918.1500000000015</v>
      </c>
      <c r="I120" s="165"/>
      <c r="J120" s="328">
        <f>H120/DAY(B2)</f>
        <v>416.87857142857166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'6'!F121</f>
        <v>402376.51</v>
      </c>
      <c r="F121" s="237">
        <v>403126.07</v>
      </c>
      <c r="G121" s="112">
        <f t="shared" si="9"/>
        <v>749.55999999999767</v>
      </c>
      <c r="H121" s="99">
        <f>G121+'6'!H121</f>
        <v>5091.640000000014</v>
      </c>
      <c r="I121" s="165"/>
      <c r="J121" s="328">
        <f>H121/DAY(B2)</f>
        <v>727.3771428571448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'6'!F122</f>
        <v>127590.82</v>
      </c>
      <c r="F122" s="237">
        <v>127796.37</v>
      </c>
      <c r="G122" s="112">
        <f t="shared" si="9"/>
        <v>205.54999999998836</v>
      </c>
      <c r="H122" s="99">
        <f>G122+'6'!H122</f>
        <v>1610.1900000000023</v>
      </c>
      <c r="I122" s="165"/>
      <c r="J122" s="328">
        <f>H122/DAY(B2)</f>
        <v>230.02714285714319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'6'!F123</f>
        <v>155580.37</v>
      </c>
      <c r="F123" s="237">
        <v>155830.76999999999</v>
      </c>
      <c r="G123" s="112">
        <f t="shared" si="9"/>
        <v>250.39999999999418</v>
      </c>
      <c r="H123" s="99">
        <f>G123+'6'!H123</f>
        <v>1783.8199999999779</v>
      </c>
      <c r="I123" s="165"/>
      <c r="J123" s="328">
        <f>H123/DAY(B2)</f>
        <v>254.83142857142542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8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3917.0399999999627</v>
      </c>
      <c r="H125" s="156"/>
      <c r="I125" s="327">
        <f>G125-(G39+G53)</f>
        <v>850.54999999995744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'6'!F128</f>
        <v>49562.01</v>
      </c>
      <c r="F128" s="165">
        <v>49874.35</v>
      </c>
      <c r="G128" s="112">
        <f t="shared" ref="G128:G134" si="10">F128-E128</f>
        <v>312.33999999999651</v>
      </c>
      <c r="H128" s="99">
        <f>G128+'6'!H128</f>
        <v>2128.3499999999985</v>
      </c>
      <c r="I128" s="165"/>
      <c r="J128" s="328">
        <f>H128/DAY(B2)</f>
        <v>304.04999999999978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'6'!F129</f>
        <v>28096.99</v>
      </c>
      <c r="F129" s="165">
        <v>28324.45</v>
      </c>
      <c r="G129" s="112">
        <f t="shared" si="10"/>
        <v>227.45999999999913</v>
      </c>
      <c r="H129" s="99">
        <f>G129+'6'!H129</f>
        <v>1413.5800000000017</v>
      </c>
      <c r="I129" s="165"/>
      <c r="J129" s="328">
        <f>H129/DAY(B2)</f>
        <v>201.94000000000025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'6'!F130</f>
        <v>39082.31</v>
      </c>
      <c r="F130" s="165">
        <v>39667.769999999997</v>
      </c>
      <c r="G130" s="112">
        <f t="shared" si="10"/>
        <v>585.45999999999913</v>
      </c>
      <c r="H130" s="99">
        <f>G130+'6'!H130</f>
        <v>3973.7699999999968</v>
      </c>
      <c r="I130" s="165"/>
      <c r="J130" s="328">
        <f>H130/DAY(B2)</f>
        <v>567.68142857142811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'6'!F131</f>
        <v>15721.73</v>
      </c>
      <c r="F131" s="165">
        <v>15813.91</v>
      </c>
      <c r="G131" s="112">
        <f t="shared" si="10"/>
        <v>92.180000000000291</v>
      </c>
      <c r="H131" s="99">
        <f>G131+'6'!H131</f>
        <v>506.22999999999956</v>
      </c>
      <c r="I131" s="165"/>
      <c r="J131" s="328">
        <f>H131/DAY(B2)</f>
        <v>72.31857142857136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'6'!F132</f>
        <v>53675.95</v>
      </c>
      <c r="F132" s="165">
        <v>54117.24</v>
      </c>
      <c r="G132" s="112">
        <f t="shared" si="10"/>
        <v>441.29000000000087</v>
      </c>
      <c r="H132" s="99">
        <f>G132+'6'!H132</f>
        <v>2268.9399999999951</v>
      </c>
      <c r="I132" s="165"/>
      <c r="J132" s="328">
        <f>H132/DAY(B2)</f>
        <v>324.134285714285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'6'!F133</f>
        <v>108975.65</v>
      </c>
      <c r="F133" s="165">
        <v>109652.68</v>
      </c>
      <c r="G133" s="112">
        <f t="shared" si="10"/>
        <v>677.02999999999884</v>
      </c>
      <c r="H133" s="99">
        <f>G133+'6'!H133</f>
        <v>4308.9799999999959</v>
      </c>
      <c r="I133" s="165"/>
      <c r="J133" s="328">
        <f>H133/DAY(B2)</f>
        <v>615.56857142857086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'6'!F134</f>
        <v>9673.0499999999993</v>
      </c>
      <c r="F134" s="165">
        <v>9919.08</v>
      </c>
      <c r="G134" s="112">
        <f t="shared" si="10"/>
        <v>246.03000000000065</v>
      </c>
      <c r="H134" s="99">
        <f>G134+'6'!H134</f>
        <v>1317.8500000000004</v>
      </c>
      <c r="I134" s="165"/>
      <c r="J134" s="328">
        <f>H134/DAY(B2)</f>
        <v>188.26428571428576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2581.7899999999954</v>
      </c>
      <c r="H135" s="99">
        <f>G135+'6'!H135</f>
        <v>15917.699999999988</v>
      </c>
      <c r="I135" s="327">
        <f>G135-(G35+G49)</f>
        <v>-518.55000000000109</v>
      </c>
      <c r="J135" s="328" t="e">
        <f t="shared" ref="J135" si="11">H135/DAY(B54)</f>
        <v>#DIV/0!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'6'!F138</f>
        <v>866659</v>
      </c>
      <c r="F138" s="147">
        <v>866739</v>
      </c>
      <c r="G138" s="112">
        <f t="shared" ref="G138:G152" si="12">F138-E138</f>
        <v>80</v>
      </c>
      <c r="H138" s="99">
        <f>G138+'6'!H138</f>
        <v>566</v>
      </c>
      <c r="I138" s="118"/>
      <c r="J138" s="328">
        <f>H138/DAY(B2)</f>
        <v>80.857142857142861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'6'!F139</f>
        <v>886596</v>
      </c>
      <c r="F139" s="148">
        <v>886629</v>
      </c>
      <c r="G139" s="112">
        <f t="shared" si="12"/>
        <v>33</v>
      </c>
      <c r="H139" s="99">
        <f>G139+'6'!H139</f>
        <v>56</v>
      </c>
      <c r="I139" s="118"/>
      <c r="J139" s="328">
        <f>H139/DAY(B2)</f>
        <v>8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'6'!F140</f>
        <v>88937</v>
      </c>
      <c r="F140" s="149">
        <v>88938</v>
      </c>
      <c r="G140" s="112">
        <f t="shared" si="12"/>
        <v>1</v>
      </c>
      <c r="H140" s="99">
        <f>G140+'6'!H140</f>
        <v>16</v>
      </c>
      <c r="I140" s="118"/>
      <c r="J140" s="328">
        <f>H140/DAY(B2)</f>
        <v>2.2857142857142856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'6'!F141</f>
        <v>55727.57</v>
      </c>
      <c r="F141" s="149">
        <v>55907.86</v>
      </c>
      <c r="G141" s="112">
        <f t="shared" si="12"/>
        <v>180.29000000000087</v>
      </c>
      <c r="H141" s="99">
        <f>G141+'6'!H141</f>
        <v>1222.2799999999988</v>
      </c>
      <c r="I141" s="118"/>
      <c r="J141" s="328">
        <f>H141/DAY(B2)</f>
        <v>174.61142857142841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'6'!F142</f>
        <v>21693</v>
      </c>
      <c r="F142" s="148">
        <v>21767.8</v>
      </c>
      <c r="G142" s="112">
        <f t="shared" si="12"/>
        <v>74.799999999999272</v>
      </c>
      <c r="H142" s="99">
        <f>G142+'6'!H142</f>
        <v>483.70000000000073</v>
      </c>
      <c r="I142" s="140"/>
      <c r="J142" s="328">
        <f>H142/DAY(B2)</f>
        <v>69.100000000000108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'6'!F143</f>
        <v>4000.64</v>
      </c>
      <c r="F143" s="149">
        <v>4027</v>
      </c>
      <c r="G143" s="112">
        <f t="shared" si="12"/>
        <v>26.360000000000127</v>
      </c>
      <c r="H143" s="99">
        <f>G143+'6'!H143</f>
        <v>191.61000000000013</v>
      </c>
      <c r="I143" s="140"/>
      <c r="J143" s="328">
        <f>H143/DAY(B2)</f>
        <v>27.372857142857161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'6'!F144</f>
        <v>877740</v>
      </c>
      <c r="F144" s="149">
        <v>877957</v>
      </c>
      <c r="G144" s="112">
        <f t="shared" si="12"/>
        <v>217</v>
      </c>
      <c r="H144" s="99">
        <f>G144+'6'!H144</f>
        <v>1470</v>
      </c>
      <c r="I144" s="140"/>
      <c r="J144" s="328">
        <f>H144/DAY(B2)</f>
        <v>210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'6'!F145</f>
        <v>5030.25</v>
      </c>
      <c r="F145" s="149">
        <v>5042.8500000000004</v>
      </c>
      <c r="G145" s="112">
        <f t="shared" si="12"/>
        <v>12.600000000000364</v>
      </c>
      <c r="H145" s="99">
        <f>G145+'6'!H145</f>
        <v>84.010000000000218</v>
      </c>
      <c r="I145" s="140"/>
      <c r="J145" s="328">
        <f>H145/DAY(B2)</f>
        <v>12.001428571428603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'6'!F146</f>
        <v>739823</v>
      </c>
      <c r="F146" s="148">
        <v>740287</v>
      </c>
      <c r="G146" s="112">
        <f t="shared" si="12"/>
        <v>464</v>
      </c>
      <c r="H146" s="99">
        <f>G146+'6'!H146</f>
        <v>2954</v>
      </c>
      <c r="I146" s="140"/>
      <c r="J146" s="328">
        <f>H146/DAY(B2)</f>
        <v>422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'6'!F147</f>
        <v>628961.16</v>
      </c>
      <c r="F147" s="148">
        <v>629374.43999999994</v>
      </c>
      <c r="G147" s="112">
        <f t="shared" si="12"/>
        <v>413.27999999991152</v>
      </c>
      <c r="H147" s="99">
        <f>G147+'6'!H147</f>
        <v>2761.9199999999255</v>
      </c>
      <c r="I147" s="140"/>
      <c r="J147" s="328">
        <f>H147/DAY(B2)</f>
        <v>394.55999999998937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'6'!F148</f>
        <v>691199.28</v>
      </c>
      <c r="F148" s="150">
        <v>691527.76</v>
      </c>
      <c r="G148" s="112">
        <f t="shared" si="12"/>
        <v>328.47999999998137</v>
      </c>
      <c r="H148" s="99">
        <f>G148+'6'!H148</f>
        <v>2084.8000000000466</v>
      </c>
      <c r="I148" s="124"/>
      <c r="J148" s="328">
        <f>H148/DAY(B2)</f>
        <v>297.82857142857807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'6'!F149</f>
        <v>27603.7</v>
      </c>
      <c r="F149" s="146">
        <v>28230.75</v>
      </c>
      <c r="G149" s="112">
        <f t="shared" si="12"/>
        <v>627.04999999999927</v>
      </c>
      <c r="H149" s="99">
        <f>G149+'6'!H149</f>
        <v>3552.5499999999993</v>
      </c>
      <c r="I149" s="119"/>
      <c r="J149" s="328">
        <f>H149/DAY(B2)</f>
        <v>507.50714285714275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'6'!F150</f>
        <v>12187.24</v>
      </c>
      <c r="F150" s="233">
        <v>12423.9</v>
      </c>
      <c r="G150" s="112">
        <f t="shared" si="12"/>
        <v>236.65999999999985</v>
      </c>
      <c r="H150" s="99">
        <f>G150+'6'!H150</f>
        <v>1573.0699999999997</v>
      </c>
      <c r="I150" s="119"/>
      <c r="J150" s="328">
        <f>H150/DAY(B2)</f>
        <v>224.72428571428568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'6'!F151</f>
        <v>86969</v>
      </c>
      <c r="F151" s="233">
        <v>87220</v>
      </c>
      <c r="G151" s="112">
        <f t="shared" si="12"/>
        <v>251</v>
      </c>
      <c r="H151" s="99">
        <f>G151+'6'!H151</f>
        <v>1740</v>
      </c>
      <c r="I151" s="119"/>
      <c r="J151" s="328">
        <f>H151/DAY(B2)</f>
        <v>248.57142857142858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'6'!F152</f>
        <v>1937.24</v>
      </c>
      <c r="F152" s="233">
        <v>1999.73</v>
      </c>
      <c r="G152" s="112">
        <f t="shared" si="12"/>
        <v>62.490000000000009</v>
      </c>
      <c r="H152" s="99">
        <f>G152+'6'!H152</f>
        <v>339.73</v>
      </c>
      <c r="I152" s="119"/>
      <c r="J152" s="328">
        <f>H152/DAY(B2)</f>
        <v>48.532857142857146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3008.0099999998929</v>
      </c>
      <c r="H153" s="363"/>
      <c r="I153" s="119" t="s">
        <v>207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'6'!F155</f>
        <v>36477.51</v>
      </c>
      <c r="F155" s="374">
        <v>37208.25</v>
      </c>
      <c r="G155" s="112">
        <f t="shared" ref="G155:G156" si="13">F155-E155</f>
        <v>730.73999999999796</v>
      </c>
      <c r="H155" s="99">
        <f>G155+'6'!H155</f>
        <v>4263.25</v>
      </c>
      <c r="I155" s="364"/>
      <c r="J155" s="328">
        <f>H155/DAY(B2)</f>
        <v>609.03571428571433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'6'!F156</f>
        <v>3047.12</v>
      </c>
      <c r="F156" s="155">
        <v>3101.97</v>
      </c>
      <c r="G156" s="112">
        <f t="shared" si="13"/>
        <v>54.849999999999909</v>
      </c>
      <c r="H156" s="99">
        <f>G156+'6'!H156</f>
        <v>313.9699999999998</v>
      </c>
      <c r="I156" s="165"/>
      <c r="J156" s="328">
        <f>H156/DAY(B2)</f>
        <v>44.852857142857111</v>
      </c>
    </row>
    <row r="157" spans="1:10" ht="27.75">
      <c r="A157" s="844" t="s">
        <v>363</v>
      </c>
      <c r="B157" s="845"/>
      <c r="C157" s="846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'6'!F161</f>
        <v>472353.84</v>
      </c>
      <c r="F161" s="235">
        <v>472392.44</v>
      </c>
      <c r="G161" s="238">
        <f t="shared" ref="G161:G165" si="14">F161-E161</f>
        <v>38.599999999976717</v>
      </c>
      <c r="H161" s="99">
        <f>G161+'6'!H161</f>
        <v>338.88000000000466</v>
      </c>
      <c r="I161" s="236"/>
      <c r="J161" s="239">
        <f>H161/DAY(B2)</f>
        <v>48.411428571429234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'6'!F162</f>
        <v>88722.3</v>
      </c>
      <c r="F162" s="235">
        <v>88761.7</v>
      </c>
      <c r="G162" s="238">
        <f t="shared" si="14"/>
        <v>39.399999999994179</v>
      </c>
      <c r="H162" s="99">
        <f>G162+'6'!H162</f>
        <v>245.30000000000291</v>
      </c>
      <c r="I162" s="236"/>
      <c r="J162" s="239">
        <f>H162/DAY(B2)</f>
        <v>35.042857142857557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'6'!F163</f>
        <v>79418.8</v>
      </c>
      <c r="F163" s="235">
        <v>79454.600000000006</v>
      </c>
      <c r="G163" s="238">
        <f t="shared" si="14"/>
        <v>35.80000000000291</v>
      </c>
      <c r="H163" s="99">
        <f>G163+'6'!H163</f>
        <v>234.5</v>
      </c>
      <c r="I163" s="236"/>
      <c r="J163" s="239">
        <f>H163/DAY(B2)</f>
        <v>33.5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4324.7</v>
      </c>
      <c r="F164" s="235">
        <v>4326.1000000000004</v>
      </c>
      <c r="G164" s="238">
        <f t="shared" si="14"/>
        <v>1.4000000000005457</v>
      </c>
      <c r="H164" s="99">
        <f>G164+'6'!H164</f>
        <v>6.1000000000003638</v>
      </c>
      <c r="I164" s="236"/>
      <c r="J164" s="239">
        <f>H164/DAY(B2)</f>
        <v>0.8714285714286234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29906.28</v>
      </c>
      <c r="F165" s="235">
        <v>29916.62</v>
      </c>
      <c r="G165" s="238">
        <f t="shared" si="14"/>
        <v>10.340000000000146</v>
      </c>
      <c r="H165" s="99">
        <f>G165+'6'!H165</f>
        <v>59.369999999998981</v>
      </c>
      <c r="I165" s="236"/>
      <c r="J165" s="239">
        <f>H165/DAY(B2)</f>
        <v>8.4814285714284257</v>
      </c>
    </row>
    <row r="166" spans="1:10" ht="25.5" customHeight="1">
      <c r="A166" s="852"/>
      <c r="B166" s="85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'6'!F174</f>
        <v>38692</v>
      </c>
      <c r="F174" s="157">
        <v>38706</v>
      </c>
      <c r="G174" s="155">
        <f t="shared" ref="G174:G175" si="15">F174-E174</f>
        <v>14</v>
      </c>
      <c r="H174" s="99">
        <f>G174+'6'!H174</f>
        <v>91</v>
      </c>
      <c r="I174" s="155"/>
      <c r="J174" s="178">
        <f>H174/DAY(B2)</f>
        <v>13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'6'!F175</f>
        <v>21873</v>
      </c>
      <c r="F175" s="155">
        <v>21883</v>
      </c>
      <c r="G175" s="155">
        <f t="shared" si="15"/>
        <v>10</v>
      </c>
      <c r="H175" s="99">
        <f>G175+'6'!H175</f>
        <v>70</v>
      </c>
      <c r="I175" s="155"/>
      <c r="J175" s="178">
        <f>H175/DAY(B2)</f>
        <v>10</v>
      </c>
    </row>
    <row r="176" spans="1:10" ht="27.75">
      <c r="A176" s="589" t="s">
        <v>196</v>
      </c>
      <c r="B176" s="590"/>
      <c r="C176" s="333"/>
      <c r="D176" s="228" t="s">
        <v>142</v>
      </c>
      <c r="E176" s="95"/>
      <c r="F176" s="155"/>
      <c r="G176" s="155">
        <f>SUM(G173:G175)</f>
        <v>24</v>
      </c>
      <c r="H176" s="99">
        <f>G176+'6'!H176</f>
        <v>161</v>
      </c>
      <c r="I176" s="155"/>
      <c r="J176" s="178">
        <f>H176/DAY(B2)</f>
        <v>23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'6'!F178</f>
        <v>81649</v>
      </c>
      <c r="F178" s="155">
        <v>81717</v>
      </c>
      <c r="G178" s="155">
        <f>F178-E178</f>
        <v>68</v>
      </c>
      <c r="H178" s="99">
        <f>G178+'6'!H178</f>
        <v>402</v>
      </c>
      <c r="I178" s="155"/>
      <c r="J178" s="178">
        <f>H178/DAY(B2)</f>
        <v>57.428571428571431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'6'!F179</f>
        <v>35028</v>
      </c>
      <c r="F179" s="155">
        <v>35073</v>
      </c>
      <c r="G179" s="155">
        <f t="shared" ref="G179:G180" si="16">F179-E179</f>
        <v>45</v>
      </c>
      <c r="H179" s="99">
        <f>G179+'6'!H179</f>
        <v>270</v>
      </c>
      <c r="I179" s="155"/>
      <c r="J179" s="178">
        <f>H179/DAY(B2)</f>
        <v>38.571428571428569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'6'!F180</f>
        <v>5748</v>
      </c>
      <c r="F180" s="155">
        <v>5748</v>
      </c>
      <c r="G180" s="155">
        <f t="shared" si="16"/>
        <v>0</v>
      </c>
      <c r="H180" s="99">
        <f>G180+'6'!H180</f>
        <v>46</v>
      </c>
      <c r="I180" s="155"/>
      <c r="J180" s="178">
        <f>H180/DAY(B2)</f>
        <v>6.5714285714285712</v>
      </c>
    </row>
    <row r="181" spans="1:10" ht="27.7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113</v>
      </c>
      <c r="H181" s="99">
        <f>G181+'6'!H181</f>
        <v>718</v>
      </c>
      <c r="I181" s="155"/>
      <c r="J181" s="178">
        <f>H181/DAY(B2)</f>
        <v>102.57142857142857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'6'!F183</f>
        <v>15421</v>
      </c>
      <c r="F183" s="157">
        <v>15439</v>
      </c>
      <c r="G183" s="157">
        <f>F183-E183</f>
        <v>18</v>
      </c>
      <c r="H183" s="99">
        <f>G183+'6'!H183</f>
        <v>94</v>
      </c>
      <c r="I183" s="155"/>
      <c r="J183" s="178">
        <f>H183/DAY(B2)</f>
        <v>13.428571428571429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'6'!F184</f>
        <v>10561</v>
      </c>
      <c r="F184" s="157">
        <v>10575</v>
      </c>
      <c r="G184" s="157">
        <f t="shared" ref="G184:G185" si="17">F184-E184</f>
        <v>14</v>
      </c>
      <c r="H184" s="99">
        <f>G184+'6'!H184</f>
        <v>57</v>
      </c>
      <c r="I184" s="155"/>
      <c r="J184" s="178">
        <f>H184/DAY(B2)</f>
        <v>8.1428571428571423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32</v>
      </c>
      <c r="H186" s="99">
        <f>G186+'6'!H186</f>
        <v>151</v>
      </c>
      <c r="I186" s="157"/>
      <c r="J186" s="178">
        <f>H186/DAY(B2)</f>
        <v>21.571428571428573</v>
      </c>
    </row>
    <row r="187" spans="1:10" ht="27.75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194</v>
      </c>
      <c r="H187" s="99">
        <f>G187+'6'!H187</f>
        <v>1125</v>
      </c>
      <c r="I187" s="158"/>
      <c r="J187" s="179">
        <f>H187/DAY(B2)</f>
        <v>160.71428571428572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185</v>
      </c>
      <c r="H188" s="99">
        <f>G188+'6'!H188</f>
        <v>1134</v>
      </c>
      <c r="I188" s="158"/>
      <c r="J188" s="179">
        <f>H188/DAY(B2)</f>
        <v>162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113</v>
      </c>
      <c r="H189" s="99">
        <f>G189+'6'!H189</f>
        <v>718</v>
      </c>
      <c r="I189" s="158"/>
      <c r="J189" s="179">
        <f>H189/DAY(B2)</f>
        <v>102.57142857142857</v>
      </c>
    </row>
    <row r="190" spans="1:10" ht="27.7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25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'7'!F7</f>
        <v>786589.27</v>
      </c>
      <c r="F7" s="95">
        <v>252267</v>
      </c>
      <c r="G7" s="112">
        <f>F7-E7</f>
        <v>-534322.27</v>
      </c>
      <c r="H7" s="99">
        <f>G7+'7'!H7</f>
        <v>-398913.23</v>
      </c>
      <c r="I7" s="113">
        <f>'1'!I7</f>
        <v>12000</v>
      </c>
      <c r="J7" s="175">
        <f>H7/DAY(B2)</f>
        <v>-49864.153749999998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'7'!F8</f>
        <v>845323.91</v>
      </c>
      <c r="F8" s="114">
        <v>301926</v>
      </c>
      <c r="G8" s="115">
        <f>F8-E8</f>
        <v>-543397.91</v>
      </c>
      <c r="H8" s="99">
        <f>G8+'7'!H8</f>
        <v>-406622.15</v>
      </c>
      <c r="I8" s="116"/>
      <c r="J8" s="175">
        <f>H8/DAY(B2)</f>
        <v>-50827.768750000003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'7'!F9</f>
        <v>375444.15</v>
      </c>
      <c r="F9" s="117">
        <v>2357281</v>
      </c>
      <c r="G9" s="112">
        <f>F9-E9</f>
        <v>1981836.85</v>
      </c>
      <c r="H9" s="99">
        <f>G9+'7'!H9</f>
        <v>2075027.1500000001</v>
      </c>
      <c r="I9" s="124">
        <f>I7-J7</f>
        <v>61864.153749999998</v>
      </c>
      <c r="J9" s="175">
        <f>H9/DAY(B2)</f>
        <v>259378.39375000002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'7'!F10</f>
        <v>143734.95000000001</v>
      </c>
      <c r="F10" s="117">
        <v>595732</v>
      </c>
      <c r="G10" s="112">
        <f t="shared" ref="G10:G12" si="0">F10-E10</f>
        <v>451997.05</v>
      </c>
      <c r="H10" s="99">
        <f>G10+'7'!H10</f>
        <v>490473.03</v>
      </c>
      <c r="I10" s="282"/>
      <c r="J10" s="175">
        <f>H10/DAY(B2)</f>
        <v>61309.128750000003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'7'!F11</f>
        <v>37170</v>
      </c>
      <c r="F11" s="95">
        <v>37000</v>
      </c>
      <c r="G11" s="112">
        <f t="shared" si="0"/>
        <v>-170</v>
      </c>
      <c r="H11" s="99">
        <f>G11+'7'!H11</f>
        <v>-170</v>
      </c>
      <c r="I11" s="282"/>
      <c r="J11" s="175">
        <f>H11/DAY(B2)</f>
        <v>-21.25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2433663.9</v>
      </c>
      <c r="H13" s="99">
        <f>G13+'7'!H13</f>
        <v>2548575.75</v>
      </c>
      <c r="I13" s="120">
        <f>G7-G13</f>
        <v>-2967986.17</v>
      </c>
      <c r="J13" s="175">
        <f>H13/DAY(B2)</f>
        <v>318571.96875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'7'!F15</f>
        <v>1913676.82</v>
      </c>
      <c r="F15" s="123">
        <v>1885692</v>
      </c>
      <c r="G15" s="112">
        <f>(F15-E15)</f>
        <v>-27984.820000000065</v>
      </c>
      <c r="H15" s="99">
        <f>G15+'7'!H15</f>
        <v>-20944.766999999993</v>
      </c>
      <c r="I15" s="113">
        <f>'1'!I15</f>
        <v>800</v>
      </c>
      <c r="J15" s="175">
        <f>H15/DAY(B2)</f>
        <v>-2618.0958749999991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3418.0958749999991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'7'!F18</f>
        <v>19</v>
      </c>
      <c r="F18" s="122">
        <v>16</v>
      </c>
      <c r="G18" s="119">
        <f>F18*10</f>
        <v>160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'7'!F19</f>
        <v>154244</v>
      </c>
      <c r="F19" s="122">
        <v>152640</v>
      </c>
      <c r="G19" s="112">
        <f t="shared" ref="G19" si="1">F19-E19</f>
        <v>-1604</v>
      </c>
      <c r="H19" s="99">
        <f>G19+'7'!H19</f>
        <v>-1251</v>
      </c>
      <c r="I19" s="335"/>
      <c r="J19" s="175">
        <f>H19/DAY(B2)</f>
        <v>-156.375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-1444</v>
      </c>
      <c r="H20" s="99">
        <f>G20+'7'!H20</f>
        <v>279</v>
      </c>
      <c r="I20" s="336">
        <f>I18-J20</f>
        <v>30.125</v>
      </c>
      <c r="J20" s="175">
        <f>H20/DAY(B2)</f>
        <v>34.875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-543397.91</v>
      </c>
      <c r="F27" s="136">
        <v>9</v>
      </c>
      <c r="G27" s="137">
        <f>E27*F27</f>
        <v>-4890581.1900000004</v>
      </c>
      <c r="H27" s="99">
        <f>G27+'7'!H27</f>
        <v>-3659599.3500000006</v>
      </c>
      <c r="I27" s="138"/>
      <c r="J27" s="175">
        <f>H27/DAY(B2)</f>
        <v>-457449.91875000007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-27984.820000000065</v>
      </c>
      <c r="F28" s="136">
        <v>52</v>
      </c>
      <c r="G28" s="137">
        <f>E28*F28</f>
        <v>-1455210.6400000034</v>
      </c>
      <c r="H28" s="99">
        <f>G28+'7'!H28</f>
        <v>-1089127.8839999996</v>
      </c>
      <c r="I28" s="140"/>
      <c r="J28" s="175">
        <f>H28/DAY(B2)</f>
        <v>-136140.98549999995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-1604</v>
      </c>
      <c r="F30" s="136">
        <v>146</v>
      </c>
      <c r="G30" s="137">
        <f>E30*F30</f>
        <v>-234184</v>
      </c>
      <c r="H30" s="99">
        <f>G30+'7'!H30</f>
        <v>-182646</v>
      </c>
      <c r="I30" s="140"/>
      <c r="J30" s="175">
        <f>H30/DAY(B2)</f>
        <v>-22830.75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-6567175.8300000038</v>
      </c>
      <c r="H32" s="99">
        <f>G32+'7'!H32</f>
        <v>-4808973.2340000002</v>
      </c>
      <c r="I32" s="144"/>
      <c r="J32" s="175">
        <f>H32/DAY(B2)</f>
        <v>-601121.65425000002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'7'!F35</f>
        <v>42175.199999999997</v>
      </c>
      <c r="F35" s="145">
        <v>168042</v>
      </c>
      <c r="G35" s="112">
        <f t="shared" ref="G35:G46" si="3">F35-E35</f>
        <v>125866.8</v>
      </c>
      <c r="H35" s="99">
        <f>G35+'7'!H35</f>
        <v>136037.01999999999</v>
      </c>
      <c r="I35" s="95"/>
      <c r="J35" s="175">
        <f>H35/DAY(B2)</f>
        <v>17004.627499999999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'7'!F36</f>
        <v>49874.559999999998</v>
      </c>
      <c r="F36" s="145">
        <v>27971</v>
      </c>
      <c r="G36" s="112">
        <f t="shared" si="3"/>
        <v>-21903.559999999998</v>
      </c>
      <c r="H36" s="99">
        <f>G36+'7'!H36</f>
        <v>-15487.739999999998</v>
      </c>
      <c r="I36" s="95"/>
      <c r="J36" s="175">
        <f>H36/DAY(B2)</f>
        <v>-1935.9674999999997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'7'!F37</f>
        <v>46680.93</v>
      </c>
      <c r="F37" s="145">
        <v>207605</v>
      </c>
      <c r="G37" s="112">
        <f t="shared" si="3"/>
        <v>160924.07</v>
      </c>
      <c r="H37" s="99">
        <f>G37+'7'!H37</f>
        <v>172179.91</v>
      </c>
      <c r="I37" s="95"/>
      <c r="J37" s="175">
        <f>H37/DAY(B2)</f>
        <v>21522.48875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'7'!F38</f>
        <v>51154.32</v>
      </c>
      <c r="F38" s="108">
        <v>245682</v>
      </c>
      <c r="G38" s="112">
        <f t="shared" si="3"/>
        <v>194527.68</v>
      </c>
      <c r="H38" s="99">
        <f>G38+'7'!H38</f>
        <v>207305.57</v>
      </c>
      <c r="I38" s="95"/>
      <c r="J38" s="175">
        <f>H38/DAY(B2)</f>
        <v>25913.196250000001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'7'!F39</f>
        <v>78320.710000000006</v>
      </c>
      <c r="F39" s="145">
        <v>432761</v>
      </c>
      <c r="G39" s="112">
        <f t="shared" si="3"/>
        <v>354440.29</v>
      </c>
      <c r="H39" s="99">
        <f>G39+'7'!H39</f>
        <v>373587.70999999996</v>
      </c>
      <c r="I39" s="95"/>
      <c r="J39" s="175">
        <f>H39/DAY(B2)</f>
        <v>46698.463749999995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'7'!F40</f>
        <v>24204.77</v>
      </c>
      <c r="F40" s="145">
        <v>7863</v>
      </c>
      <c r="G40" s="112">
        <f t="shared" si="3"/>
        <v>-16341.77</v>
      </c>
      <c r="H40" s="99">
        <f>G40+'7'!H40</f>
        <v>-14253.990000000002</v>
      </c>
      <c r="I40" s="95"/>
      <c r="J40" s="175">
        <f>H40/DAY(B2)</f>
        <v>-1781.7487500000002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0</v>
      </c>
      <c r="G41" s="112">
        <f t="shared" si="3"/>
        <v>-62.73</v>
      </c>
      <c r="H41" s="99">
        <f>G41+'7'!H41</f>
        <v>-62.73</v>
      </c>
      <c r="I41" s="95"/>
      <c r="J41" s="175">
        <f>H41/DAY(B2)</f>
        <v>-7.8412499999999996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'7'!F42</f>
        <v>109069.15</v>
      </c>
      <c r="F42" s="145">
        <v>73808.600000000006</v>
      </c>
      <c r="G42" s="112">
        <f t="shared" si="3"/>
        <v>-35260.549999999988</v>
      </c>
      <c r="H42" s="99">
        <f>G42+'7'!H42</f>
        <v>-26321.14</v>
      </c>
      <c r="I42" s="95"/>
      <c r="J42" s="175">
        <f>H42/DAY(B2)</f>
        <v>-3290.1424999999999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'7'!F43</f>
        <v>129967.33</v>
      </c>
      <c r="F43" s="145">
        <v>66382</v>
      </c>
      <c r="G43" s="112">
        <f t="shared" si="3"/>
        <v>-63585.33</v>
      </c>
      <c r="H43" s="99">
        <f>G43+'7'!H43</f>
        <v>-48469.600000000006</v>
      </c>
      <c r="I43" s="95"/>
      <c r="J43" s="175">
        <f>H43/DAY(B2)</f>
        <v>-6058.7000000000007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698604.9</v>
      </c>
      <c r="H47" s="99">
        <f>G47+'7'!H47</f>
        <v>784515.01</v>
      </c>
      <c r="I47" s="95"/>
      <c r="J47" s="175">
        <f>H47/DAY(B2)</f>
        <v>98064.376250000001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'7'!F49</f>
        <v>33640.78</v>
      </c>
      <c r="F49" s="145">
        <v>285361</v>
      </c>
      <c r="G49" s="112">
        <f t="shared" ref="G49:G58" si="4">F49-E49</f>
        <v>251720.22</v>
      </c>
      <c r="H49" s="99">
        <f>G49+'7'!H49</f>
        <v>260364.81</v>
      </c>
      <c r="I49" s="95"/>
      <c r="J49" s="175">
        <f>H49/DAY(B2)</f>
        <v>32545.60125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'7'!F50</f>
        <v>64747.86</v>
      </c>
      <c r="F50" s="145">
        <v>33076</v>
      </c>
      <c r="G50" s="112">
        <f t="shared" si="4"/>
        <v>-31671.86</v>
      </c>
      <c r="H50" s="99">
        <f>G50+'7'!H50</f>
        <v>-23310.629999999997</v>
      </c>
      <c r="I50" s="95"/>
      <c r="J50" s="175">
        <f>H50/DAY(B2)</f>
        <v>-2913.8287499999997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'7'!F54</f>
        <v>7989.84</v>
      </c>
      <c r="F54" s="145">
        <v>2065</v>
      </c>
      <c r="G54" s="112">
        <f t="shared" si="4"/>
        <v>-5924.84</v>
      </c>
      <c r="H54" s="99">
        <f>G54+'7'!H54</f>
        <v>-3082.42</v>
      </c>
      <c r="I54" s="95"/>
      <c r="J54" s="175">
        <f>H54/DAY(B2)</f>
        <v>-385.30250000000001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'7'!F55</f>
        <v>90154.47</v>
      </c>
      <c r="F55" s="145">
        <v>28469</v>
      </c>
      <c r="G55" s="112">
        <f t="shared" si="4"/>
        <v>-61685.47</v>
      </c>
      <c r="H55" s="99">
        <f>G55+'7'!H55</f>
        <v>-45897.11</v>
      </c>
      <c r="I55" s="95"/>
      <c r="J55" s="175">
        <f>H55/DAY(B2)</f>
        <v>-5737.1387500000001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'7'!F56</f>
        <v>8723.6299999999992</v>
      </c>
      <c r="F56" s="145">
        <v>8610.5400000000009</v>
      </c>
      <c r="G56" s="112">
        <f t="shared" si="4"/>
        <v>-113.08999999999833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'7'!F58</f>
        <v>6251.99</v>
      </c>
      <c r="F58" s="145">
        <v>834</v>
      </c>
      <c r="G58" s="112">
        <f t="shared" si="4"/>
        <v>-5417.99</v>
      </c>
      <c r="H58" s="99">
        <f>G58+'7'!H58</f>
        <v>-3962.21</v>
      </c>
      <c r="I58" s="95"/>
      <c r="J58" s="175">
        <f>H58/DAY(B2)</f>
        <v>-495.27625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146906.97</v>
      </c>
      <c r="H59" s="99">
        <f>G59+'7'!H59</f>
        <v>184112.44</v>
      </c>
      <c r="I59" s="95">
        <f>G7-G60</f>
        <v>-1379834.1400000001</v>
      </c>
      <c r="J59" s="175">
        <f>H59/DAY(B2)</f>
        <v>23014.055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845511.87</v>
      </c>
      <c r="H60" s="99">
        <f>G60+'7'!H60</f>
        <v>968627.45</v>
      </c>
      <c r="I60" s="95">
        <f>G13-G60</f>
        <v>1588152.0299999998</v>
      </c>
      <c r="J60" s="175">
        <f>H60/DAY(B2)</f>
        <v>121078.43124999999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'7'!F62</f>
        <v>270288</v>
      </c>
      <c r="F62" s="122">
        <v>267670</v>
      </c>
      <c r="G62" s="112">
        <f t="shared" ref="G62:G63" si="5">F62-E62</f>
        <v>-2618</v>
      </c>
      <c r="H62" s="99">
        <f>G62+'7'!H62</f>
        <v>-1846</v>
      </c>
      <c r="I62" s="118"/>
      <c r="J62" s="175">
        <f>H62/DAY(B2)</f>
        <v>-230.75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'7'!F63</f>
        <v>216740</v>
      </c>
      <c r="F63" s="122">
        <v>213330</v>
      </c>
      <c r="G63" s="112">
        <f t="shared" si="5"/>
        <v>-3410</v>
      </c>
      <c r="H63" s="99">
        <f>G63+'7'!H63</f>
        <v>-2467</v>
      </c>
      <c r="I63" s="118"/>
      <c r="J63" s="175">
        <f>H63/DAY(B2)</f>
        <v>-308.375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'7'!F64</f>
        <v>0</v>
      </c>
      <c r="F64" s="122"/>
      <c r="G64" s="112">
        <f>G62+G63</f>
        <v>-6028</v>
      </c>
      <c r="H64" s="99">
        <f>G64+'7'!H64</f>
        <v>-4313</v>
      </c>
      <c r="I64" s="118"/>
      <c r="J64" s="175">
        <f>H64/DAY(B2)</f>
        <v>-539.125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'7'!F65</f>
        <v>435552</v>
      </c>
      <c r="F65" s="122">
        <v>433207</v>
      </c>
      <c r="G65" s="112">
        <f t="shared" ref="G65:G70" si="6">F65-E65</f>
        <v>-2345</v>
      </c>
      <c r="H65" s="99">
        <f>G65+'7'!H65</f>
        <v>-1716</v>
      </c>
      <c r="I65" s="118"/>
      <c r="J65" s="175">
        <f>H65/DAY(B2)</f>
        <v>-214.5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'7'!F66</f>
        <v>107927</v>
      </c>
      <c r="F66" s="122">
        <v>107379</v>
      </c>
      <c r="G66" s="112">
        <f t="shared" si="6"/>
        <v>-548</v>
      </c>
      <c r="H66" s="99">
        <f>G66+'7'!H66</f>
        <v>-364</v>
      </c>
      <c r="I66" s="118"/>
      <c r="J66" s="175">
        <f>H66/DAY(B2)</f>
        <v>-45.5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'7'!F67</f>
        <v>104814</v>
      </c>
      <c r="F67" s="122">
        <v>104141</v>
      </c>
      <c r="G67" s="112">
        <f t="shared" si="6"/>
        <v>-673</v>
      </c>
      <c r="H67" s="99">
        <f>G67+'7'!H67</f>
        <v>-507</v>
      </c>
      <c r="I67" s="118"/>
      <c r="J67" s="175">
        <f>H67/DAY(B2)</f>
        <v>-63.375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'7'!F68</f>
        <v>157954</v>
      </c>
      <c r="F68" s="122">
        <v>156826</v>
      </c>
      <c r="G68" s="112">
        <f t="shared" si="6"/>
        <v>-1128</v>
      </c>
      <c r="H68" s="99">
        <f>G68+'7'!H68</f>
        <v>-871</v>
      </c>
      <c r="I68" s="118"/>
      <c r="J68" s="175">
        <f>H68/DAY(B2)</f>
        <v>-108.875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'7'!F69</f>
        <v>10619</v>
      </c>
      <c r="F69" s="122">
        <v>10311</v>
      </c>
      <c r="G69" s="112">
        <f t="shared" si="6"/>
        <v>-308</v>
      </c>
      <c r="H69" s="99">
        <f>G69+'7'!H69</f>
        <v>-230</v>
      </c>
      <c r="I69" s="118"/>
      <c r="J69" s="175">
        <f>H69/DAY(B2)</f>
        <v>-28.75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'7'!F70</f>
        <v>8197</v>
      </c>
      <c r="F70" s="122">
        <v>7929</v>
      </c>
      <c r="G70" s="112">
        <f t="shared" si="6"/>
        <v>-268</v>
      </c>
      <c r="H70" s="99">
        <f>G70+'7'!H70</f>
        <v>-191</v>
      </c>
      <c r="I70" s="118"/>
      <c r="J70" s="175">
        <f>H70/DAY(B2)</f>
        <v>-23.875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-5270</v>
      </c>
      <c r="H71" s="99">
        <f>G71+'7'!H71</f>
        <v>-3879</v>
      </c>
      <c r="I71" s="154"/>
      <c r="J71" s="175">
        <f>H71/DAY(B2)</f>
        <v>-484.875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'7'!F74</f>
        <v>903429.48</v>
      </c>
      <c r="F74" s="123">
        <v>894310</v>
      </c>
      <c r="G74" s="112">
        <f t="shared" ref="G74:G78" si="7">F74-E74</f>
        <v>-9119.4799999999814</v>
      </c>
      <c r="H74" s="99">
        <f>G74+'7'!H74</f>
        <v>-6996.1489999999758</v>
      </c>
      <c r="I74" s="154"/>
      <c r="J74" s="175">
        <f>H74/DAY(B2)</f>
        <v>-874.51862499999697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'7'!F76</f>
        <v>170796.4</v>
      </c>
      <c r="F76" s="123">
        <v>167928</v>
      </c>
      <c r="G76" s="112">
        <f t="shared" si="7"/>
        <v>-2868.3999999999942</v>
      </c>
      <c r="H76" s="99">
        <f>G76+'7'!H76</f>
        <v>-2047</v>
      </c>
      <c r="I76" s="154"/>
      <c r="J76" s="175">
        <f>H76/DAY(B2)</f>
        <v>-255.875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'7'!F77</f>
        <v>41636.6</v>
      </c>
      <c r="F77" s="123">
        <v>40594</v>
      </c>
      <c r="G77" s="112">
        <f t="shared" si="7"/>
        <v>-1042.5999999999985</v>
      </c>
      <c r="H77" s="99">
        <f>G77+'7'!H77</f>
        <v>-708.19999999999709</v>
      </c>
      <c r="I77" s="154"/>
      <c r="J77" s="175">
        <f>H77/DAY(B2)</f>
        <v>-88.524999999999636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'7'!F78</f>
        <v>9526</v>
      </c>
      <c r="F78" s="123">
        <v>9493</v>
      </c>
      <c r="G78" s="112">
        <f t="shared" si="7"/>
        <v>-33</v>
      </c>
      <c r="H78" s="99">
        <f>G78+'7'!H78</f>
        <v>-23</v>
      </c>
      <c r="I78" s="118"/>
      <c r="J78" s="175">
        <f>H78/DAY(B2)</f>
        <v>-2.875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'7'!F79</f>
        <v>0</v>
      </c>
      <c r="F79" s="117"/>
      <c r="G79" s="112">
        <f>G15-SUM(G74:G78)</f>
        <v>-14921.340000000091</v>
      </c>
      <c r="H79" s="99">
        <f>G79+'7'!H79</f>
        <v>-11170.41800000002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-27984.820000000065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'7'!F85</f>
        <v>2312.4899999999998</v>
      </c>
      <c r="F85" s="164">
        <v>2096.56</v>
      </c>
      <c r="G85" s="112">
        <f t="shared" si="8"/>
        <v>-215.92999999999984</v>
      </c>
      <c r="H85" s="99">
        <f>G85+'7'!H85</f>
        <v>-163.86000000000013</v>
      </c>
      <c r="I85" s="118">
        <f>G82+G83+G84+G85</f>
        <v>-215.92999999999984</v>
      </c>
      <c r="J85" s="175">
        <f>H85/DAY(B2)</f>
        <v>-20.482500000000016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'7'!F86</f>
        <v>43560.3</v>
      </c>
      <c r="F86" s="164">
        <v>43056</v>
      </c>
      <c r="G86" s="112">
        <f t="shared" si="8"/>
        <v>-504.30000000000291</v>
      </c>
      <c r="H86" s="99">
        <f>G86+'7'!H86</f>
        <v>-386</v>
      </c>
      <c r="I86" s="118"/>
      <c r="J86" s="175">
        <f>H86/DAY(B2)</f>
        <v>-48.25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'7'!F87</f>
        <v>34599.480000000003</v>
      </c>
      <c r="F87" s="164">
        <v>34598.550000000003</v>
      </c>
      <c r="G87" s="112">
        <f t="shared" si="8"/>
        <v>-0.93000000000029104</v>
      </c>
      <c r="H87" s="99">
        <f>G87+'7'!H87</f>
        <v>5.0000000002910383E-2</v>
      </c>
      <c r="I87" s="118"/>
      <c r="J87" s="175">
        <f>H87/DAY(B2)</f>
        <v>6.2500000003637979E-3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'7'!F88</f>
        <v>24063.43</v>
      </c>
      <c r="F88" s="164">
        <v>24058</v>
      </c>
      <c r="G88" s="112">
        <f t="shared" si="8"/>
        <v>-5.430000000000291</v>
      </c>
      <c r="H88" s="99">
        <f>G88+'7'!H88</f>
        <v>-5.430000000000291</v>
      </c>
      <c r="I88" s="118">
        <f>G86+G87+G88</f>
        <v>-510.66000000000349</v>
      </c>
      <c r="J88" s="175">
        <f>H88/DAY(B2)</f>
        <v>-0.67875000000003638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'7'!F89</f>
        <v>25959.37</v>
      </c>
      <c r="F89" s="164">
        <v>25714</v>
      </c>
      <c r="G89" s="112">
        <f t="shared" si="8"/>
        <v>-245.36999999999898</v>
      </c>
      <c r="H89" s="99">
        <f>G89+'7'!H89</f>
        <v>-177.11999999999898</v>
      </c>
      <c r="I89" s="118"/>
      <c r="J89" s="175">
        <f>H89/DAY(B2)</f>
        <v>-22.139999999999873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'7'!F90</f>
        <v>71179.92</v>
      </c>
      <c r="F90" s="164">
        <v>71072</v>
      </c>
      <c r="G90" s="112">
        <f t="shared" si="8"/>
        <v>-107.91999999999825</v>
      </c>
      <c r="H90" s="99">
        <f>G90+'7'!H90</f>
        <v>-91.320000000006985</v>
      </c>
      <c r="I90" s="118">
        <f>G89+G90</f>
        <v>-353.28999999999724</v>
      </c>
      <c r="J90" s="175">
        <f>H90/DAY(B2)</f>
        <v>-11.415000000000873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'7'!F91</f>
        <v>3329.68</v>
      </c>
      <c r="F91" s="122">
        <v>3226.32</v>
      </c>
      <c r="G91" s="112">
        <f t="shared" si="8"/>
        <v>-103.35999999999967</v>
      </c>
      <c r="H91" s="99">
        <f>G91+'7'!H91</f>
        <v>-24.769999999999982</v>
      </c>
      <c r="I91" s="165"/>
      <c r="J91" s="175">
        <f>H91/DAY(B2)</f>
        <v>-3.0962499999999977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5518</v>
      </c>
      <c r="G92" s="112">
        <f t="shared" si="8"/>
        <v>-223.06999999999971</v>
      </c>
      <c r="H92" s="99">
        <f>G92+'7'!H92</f>
        <v>-223.06999999999971</v>
      </c>
      <c r="I92" s="165"/>
      <c r="J92" s="175">
        <f>H92/DAY(B2)</f>
        <v>-27.883749999999964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314001.69</v>
      </c>
      <c r="H94" s="99">
        <f>G94+'7'!H94</f>
        <v>347932.23</v>
      </c>
      <c r="I94" s="118"/>
      <c r="J94" s="175">
        <f>H94/DAY(B2)</f>
        <v>43491.528749999998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-0.58766349005067675</v>
      </c>
      <c r="H95" s="99">
        <f>G95+'7'!H95</f>
        <v>1.1660743287182858</v>
      </c>
      <c r="I95" s="167"/>
      <c r="J95" s="175">
        <f>H95/DAY(B2)</f>
        <v>0.14575929108978572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-97121.84</v>
      </c>
      <c r="H96" s="99">
        <f>G96+'7'!H96</f>
        <v>-72280.98000000001</v>
      </c>
      <c r="I96" s="118"/>
      <c r="J96" s="175">
        <f>H96/DAY(B2)</f>
        <v>-9035.1225000000013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0.18176640850099696</v>
      </c>
      <c r="H97" s="99">
        <f>G97+'7'!H97</f>
        <v>1.4701975325094505</v>
      </c>
      <c r="I97" s="167"/>
      <c r="J97" s="175">
        <f>H97/DAY(B2)</f>
        <v>0.18377469156368131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354440.29</v>
      </c>
      <c r="H98" s="99">
        <f>G98+'7'!H98</f>
        <v>373587.70999999996</v>
      </c>
      <c r="I98" s="168"/>
      <c r="J98" s="175">
        <f>H98/DAY(B2)</f>
        <v>46698.463749999995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-0.66334553115295003</v>
      </c>
      <c r="H99" s="99">
        <f>G99+'7'!H99</f>
        <v>0.32857916122661501</v>
      </c>
      <c r="I99" s="168"/>
      <c r="J99" s="175">
        <f>H99/DAY(B2)</f>
        <v>4.1072395153326877E-2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194527.68</v>
      </c>
      <c r="H100" s="99">
        <f>G100+'7'!H100</f>
        <v>207305.57</v>
      </c>
      <c r="I100" s="118"/>
      <c r="J100" s="175">
        <f>H100/DAY(B2)</f>
        <v>25913.196250000001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-0.36406433143802897</v>
      </c>
      <c r="H101" s="99">
        <f>G101+'7'!H101</f>
        <v>0.29695435272311188</v>
      </c>
      <c r="I101" s="168"/>
      <c r="J101" s="175">
        <f>H101/DAY(B2)</f>
        <v>3.7119294090388985E-2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-53575.42</v>
      </c>
      <c r="H102" s="99">
        <f>G102+'7'!H102</f>
        <v>-38798.369999999995</v>
      </c>
      <c r="I102" s="168"/>
      <c r="J102" s="175">
        <f>H102/DAY(B2)</f>
        <v>-4849.7962499999994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0.10026798995295479</v>
      </c>
      <c r="H103" s="99">
        <f>G103+'7'!H103</f>
        <v>0.86066401105522983</v>
      </c>
      <c r="I103" s="118"/>
      <c r="J103" s="175">
        <f>H103/DAY(B2)</f>
        <v>0.10758300138190373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160924.07</v>
      </c>
      <c r="H104" s="99">
        <f>G104+'7'!H104</f>
        <v>172179.91</v>
      </c>
      <c r="I104" s="118"/>
      <c r="J104" s="175">
        <f>H104/DAY(B2)</f>
        <v>21522.48875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-0.30117417714968159</v>
      </c>
      <c r="H105" s="99">
        <f>G105+'7'!H105</f>
        <v>0.28270538141607787</v>
      </c>
      <c r="I105" s="187"/>
      <c r="J105" s="188">
        <f>H105/DAY(B2)</f>
        <v>3.5338172677009734E-2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'7'!F112</f>
        <v>58586.720000000001</v>
      </c>
      <c r="F112" s="237">
        <v>56274</v>
      </c>
      <c r="G112" s="112">
        <f t="shared" ref="G112:G123" si="9">F112-E112</f>
        <v>-2312.7200000000012</v>
      </c>
      <c r="H112" s="99">
        <f>G112+'7'!H112</f>
        <v>-1780</v>
      </c>
      <c r="I112" s="165"/>
      <c r="J112" s="328">
        <f>H112/DAY(B2)</f>
        <v>-222.5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'7'!F113</f>
        <v>49699.03</v>
      </c>
      <c r="F113" s="237">
        <v>35802</v>
      </c>
      <c r="G113" s="112">
        <f t="shared" si="9"/>
        <v>-13897.029999999999</v>
      </c>
      <c r="H113" s="99">
        <f>G113+'7'!H113</f>
        <v>-10598.89</v>
      </c>
      <c r="I113" s="165"/>
      <c r="J113" s="328">
        <f>H113/DAY(B2)</f>
        <v>-1324.8612499999999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'7'!F114</f>
        <v>35418.1</v>
      </c>
      <c r="F114" s="237">
        <v>26995</v>
      </c>
      <c r="G114" s="112">
        <f t="shared" si="9"/>
        <v>-8423.0999999999985</v>
      </c>
      <c r="H114" s="99">
        <f>G114+'7'!H114</f>
        <v>-6165</v>
      </c>
      <c r="I114" s="165"/>
      <c r="J114" s="328">
        <f>H114/DAY(B2)</f>
        <v>-770.625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'7'!F115</f>
        <v>9168.2199999999993</v>
      </c>
      <c r="F115" s="237">
        <v>8871</v>
      </c>
      <c r="G115" s="112">
        <f t="shared" si="9"/>
        <v>-297.21999999999935</v>
      </c>
      <c r="H115" s="99">
        <f>G115+'7'!H115</f>
        <v>-223.64999999999964</v>
      </c>
      <c r="I115" s="165"/>
      <c r="J115" s="328">
        <f>H115/DAY(B2)</f>
        <v>-27.956249999999955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'7'!F116</f>
        <v>642.16999999999996</v>
      </c>
      <c r="F116" s="237">
        <v>0</v>
      </c>
      <c r="G116" s="112">
        <f t="shared" si="9"/>
        <v>-642.16999999999996</v>
      </c>
      <c r="H116" s="99">
        <f>G116+'7'!H116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'7'!F117</f>
        <v>3869.46</v>
      </c>
      <c r="F117" s="237">
        <v>2800</v>
      </c>
      <c r="G117" s="112">
        <f t="shared" si="9"/>
        <v>-1069.46</v>
      </c>
      <c r="H117" s="99">
        <f>G117+'7'!H117</f>
        <v>-537.94999999999982</v>
      </c>
      <c r="I117" s="165"/>
      <c r="J117" s="328">
        <f>H117/DAY(B2)</f>
        <v>-67.243749999999977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'7'!F118</f>
        <v>254777.55</v>
      </c>
      <c r="F118" s="237">
        <v>244610</v>
      </c>
      <c r="G118" s="112">
        <f t="shared" si="9"/>
        <v>-10167.549999999988</v>
      </c>
      <c r="H118" s="99">
        <f>G118+'7'!H118</f>
        <v>-7842.3099999999977</v>
      </c>
      <c r="I118" s="165"/>
      <c r="J118" s="328">
        <f>H118/DAY(B2)</f>
        <v>-980.28874999999971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'7'!F119</f>
        <v>261010.07</v>
      </c>
      <c r="F119" s="237">
        <v>248606</v>
      </c>
      <c r="G119" s="112">
        <f t="shared" si="9"/>
        <v>-12404.070000000007</v>
      </c>
      <c r="H119" s="99">
        <f>G119+'7'!H119</f>
        <v>-9542.5499999999884</v>
      </c>
      <c r="I119" s="165"/>
      <c r="J119" s="328">
        <f>H119/DAY(B2)</f>
        <v>-1192.8187499999985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'7'!F120</f>
        <v>45877.760000000002</v>
      </c>
      <c r="F120" s="237">
        <v>33445</v>
      </c>
      <c r="G120" s="112">
        <f t="shared" si="9"/>
        <v>-12432.760000000002</v>
      </c>
      <c r="H120" s="99">
        <f>G120+'7'!H120</f>
        <v>-9514.61</v>
      </c>
      <c r="I120" s="165"/>
      <c r="J120" s="328">
        <f>H120/DAY(B2)</f>
        <v>-1189.3262500000001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'7'!F121</f>
        <v>403126.07</v>
      </c>
      <c r="F121" s="237">
        <v>382527</v>
      </c>
      <c r="G121" s="112">
        <f t="shared" si="9"/>
        <v>-20599.070000000007</v>
      </c>
      <c r="H121" s="99">
        <f>G121+'7'!H121</f>
        <v>-15507.429999999993</v>
      </c>
      <c r="I121" s="165"/>
      <c r="J121" s="328">
        <f>H121/DAY(B2)</f>
        <v>-1938.4287499999991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'7'!F122</f>
        <v>127796.37</v>
      </c>
      <c r="F122" s="237">
        <v>121898</v>
      </c>
      <c r="G122" s="112">
        <f t="shared" si="9"/>
        <v>-5898.3699999999953</v>
      </c>
      <c r="H122" s="99">
        <f>G122+'7'!H122</f>
        <v>-4288.179999999993</v>
      </c>
      <c r="I122" s="165"/>
      <c r="J122" s="328">
        <f>H122/DAY(B2)</f>
        <v>-536.02249999999913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'7'!F123</f>
        <v>155830.76999999999</v>
      </c>
      <c r="F123" s="237">
        <v>147737</v>
      </c>
      <c r="G123" s="112">
        <f t="shared" si="9"/>
        <v>-8093.7699999999895</v>
      </c>
      <c r="H123" s="99">
        <f>G123+'7'!H123</f>
        <v>-6309.9500000000116</v>
      </c>
      <c r="I123" s="165"/>
      <c r="J123" s="328">
        <f>H123/DAY(B2)</f>
        <v>-788.74375000000146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-96237.289999999979</v>
      </c>
      <c r="H125" s="156"/>
      <c r="I125" s="327">
        <f>G125-(G39+G53)</f>
        <v>-450677.57999999996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'7'!F128</f>
        <v>49874.35</v>
      </c>
      <c r="F128" s="165">
        <v>40658</v>
      </c>
      <c r="G128" s="112">
        <f t="shared" ref="G128:G134" si="10">F128-E128</f>
        <v>-9216.3499999999985</v>
      </c>
      <c r="H128" s="99">
        <f>G128+'7'!H128</f>
        <v>-7088</v>
      </c>
      <c r="I128" s="165"/>
      <c r="J128" s="328">
        <f>H128/DAY(B2)</f>
        <v>-886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'7'!F129</f>
        <v>28324.45</v>
      </c>
      <c r="F129" s="165">
        <v>22071</v>
      </c>
      <c r="G129" s="112">
        <f t="shared" si="10"/>
        <v>-6253.4500000000007</v>
      </c>
      <c r="H129" s="99">
        <f>G129+'7'!H129</f>
        <v>-4839.869999999999</v>
      </c>
      <c r="I129" s="165"/>
      <c r="J129" s="328">
        <f>H129/DAY(B2)</f>
        <v>-604.98374999999987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'7'!F130</f>
        <v>39667.769999999997</v>
      </c>
      <c r="F130" s="165">
        <v>23805</v>
      </c>
      <c r="G130" s="112">
        <f t="shared" si="10"/>
        <v>-15862.769999999997</v>
      </c>
      <c r="H130" s="99">
        <f>G130+'7'!H130</f>
        <v>-11889</v>
      </c>
      <c r="I130" s="165"/>
      <c r="J130" s="328">
        <f>H130/DAY(B2)</f>
        <v>-1486.125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'7'!F131</f>
        <v>15813.91</v>
      </c>
      <c r="F131" s="165">
        <v>13770</v>
      </c>
      <c r="G131" s="112">
        <f t="shared" si="10"/>
        <v>-2043.9099999999999</v>
      </c>
      <c r="H131" s="99">
        <f>G131+'7'!H131</f>
        <v>-1537.6800000000003</v>
      </c>
      <c r="I131" s="165"/>
      <c r="J131" s="328">
        <f>H131/DAY(B2)</f>
        <v>-192.21000000000004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'7'!F132</f>
        <v>54117.24</v>
      </c>
      <c r="F132" s="165">
        <v>44731</v>
      </c>
      <c r="G132" s="112">
        <f t="shared" si="10"/>
        <v>-9386.239999999998</v>
      </c>
      <c r="H132" s="99">
        <f>G132+'7'!H132</f>
        <v>-7117.3000000000029</v>
      </c>
      <c r="I132" s="165"/>
      <c r="J132" s="328">
        <f>H132/DAY(B2)</f>
        <v>-889.66250000000036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'7'!F133</f>
        <v>109652.68</v>
      </c>
      <c r="F133" s="165">
        <v>94229</v>
      </c>
      <c r="G133" s="112">
        <f t="shared" si="10"/>
        <v>-15423.679999999993</v>
      </c>
      <c r="H133" s="99">
        <f>G133+'7'!H133</f>
        <v>-11114.699999999997</v>
      </c>
      <c r="I133" s="165"/>
      <c r="J133" s="328">
        <f>H133/DAY(B2)</f>
        <v>-1389.3374999999996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'7'!F134</f>
        <v>9919.08</v>
      </c>
      <c r="F134" s="165">
        <v>673983</v>
      </c>
      <c r="G134" s="112">
        <f t="shared" si="10"/>
        <v>664063.92000000004</v>
      </c>
      <c r="H134" s="99">
        <f>G134+'7'!H134</f>
        <v>665381.77</v>
      </c>
      <c r="I134" s="165"/>
      <c r="J134" s="328">
        <f>H134/DAY(B2)</f>
        <v>83172.721250000002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605877.52</v>
      </c>
      <c r="H135" s="99">
        <f>G135+'7'!H135</f>
        <v>621795.22</v>
      </c>
      <c r="I135" s="327">
        <f>G135-(G35+G49)</f>
        <v>228290.5</v>
      </c>
      <c r="J135" s="328" t="e">
        <f t="shared" ref="J135" si="11">H135/DAY(B54)</f>
        <v>#DIV/0!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'7'!F138</f>
        <v>866739</v>
      </c>
      <c r="F138" s="147">
        <v>864737</v>
      </c>
      <c r="G138" s="112">
        <f t="shared" ref="G138:G152" si="12">F138-E138</f>
        <v>-2002</v>
      </c>
      <c r="H138" s="99">
        <f>G138+'7'!H138</f>
        <v>-1436</v>
      </c>
      <c r="I138" s="118"/>
      <c r="J138" s="328">
        <f>H138/DAY(B2)</f>
        <v>-179.5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'7'!F139</f>
        <v>886629</v>
      </c>
      <c r="F139" s="148">
        <v>886549</v>
      </c>
      <c r="G139" s="112">
        <f t="shared" si="12"/>
        <v>-80</v>
      </c>
      <c r="H139" s="99">
        <f>G139+'7'!H139</f>
        <v>-24</v>
      </c>
      <c r="I139" s="118"/>
      <c r="J139" s="328">
        <f>H139/DAY(B2)</f>
        <v>-3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'7'!F140</f>
        <v>88938</v>
      </c>
      <c r="F140" s="149">
        <v>88898</v>
      </c>
      <c r="G140" s="112">
        <f t="shared" si="12"/>
        <v>-40</v>
      </c>
      <c r="H140" s="99">
        <f>G140+'7'!H140</f>
        <v>-24</v>
      </c>
      <c r="I140" s="118"/>
      <c r="J140" s="328">
        <f>H140/DAY(B2)</f>
        <v>-3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'7'!F141</f>
        <v>55907.86</v>
      </c>
      <c r="F141" s="149">
        <v>50714</v>
      </c>
      <c r="G141" s="112">
        <f t="shared" si="12"/>
        <v>-5193.8600000000006</v>
      </c>
      <c r="H141" s="99">
        <f>G141+'7'!H141</f>
        <v>-3971.5800000000017</v>
      </c>
      <c r="I141" s="118"/>
      <c r="J141" s="328">
        <f>H141/DAY(B2)</f>
        <v>-496.44750000000022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'7'!F142</f>
        <v>21767.8</v>
      </c>
      <c r="F142" s="680">
        <v>19567</v>
      </c>
      <c r="G142" s="112">
        <f t="shared" si="12"/>
        <v>-2200.7999999999993</v>
      </c>
      <c r="H142" s="99">
        <f>G142+'7'!H142</f>
        <v>-1717.0999999999985</v>
      </c>
      <c r="I142" s="140"/>
      <c r="J142" s="328">
        <f>H142/DAY(B2)</f>
        <v>-214.63749999999982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'7'!F143</f>
        <v>4027</v>
      </c>
      <c r="F143" s="149">
        <v>3248</v>
      </c>
      <c r="G143" s="112">
        <f t="shared" si="12"/>
        <v>-779</v>
      </c>
      <c r="H143" s="99">
        <f>G143+'7'!H143</f>
        <v>-587.38999999999987</v>
      </c>
      <c r="I143" s="140"/>
      <c r="J143" s="328">
        <f>H143/DAY(B2)</f>
        <v>-73.423749999999984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'7'!F144</f>
        <v>877957</v>
      </c>
      <c r="F144" s="149">
        <v>871484</v>
      </c>
      <c r="G144" s="112">
        <f t="shared" si="12"/>
        <v>-6473</v>
      </c>
      <c r="H144" s="99">
        <f>G144+'7'!H144</f>
        <v>-5003</v>
      </c>
      <c r="I144" s="140"/>
      <c r="J144" s="328">
        <f>H144/DAY(B2)</f>
        <v>-625.375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'7'!F145</f>
        <v>5042.8500000000004</v>
      </c>
      <c r="F145" s="149">
        <v>4694</v>
      </c>
      <c r="G145" s="112">
        <f t="shared" si="12"/>
        <v>-348.85000000000036</v>
      </c>
      <c r="H145" s="99">
        <f>G145+'7'!H145</f>
        <v>-264.84000000000015</v>
      </c>
      <c r="I145" s="140"/>
      <c r="J145" s="328">
        <f>H145/DAY(B2)</f>
        <v>-33.105000000000018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'7'!F146</f>
        <v>740287</v>
      </c>
      <c r="F146" s="148">
        <v>728434</v>
      </c>
      <c r="G146" s="112">
        <f t="shared" si="12"/>
        <v>-11853</v>
      </c>
      <c r="H146" s="99">
        <f>G146+'7'!H146</f>
        <v>-8899</v>
      </c>
      <c r="I146" s="140"/>
      <c r="J146" s="328">
        <f>H146/DAY(B2)</f>
        <v>-1112.375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'7'!F147</f>
        <v>629374.43999999994</v>
      </c>
      <c r="F147" s="148">
        <v>618444</v>
      </c>
      <c r="G147" s="112">
        <f t="shared" si="12"/>
        <v>-10930.439999999944</v>
      </c>
      <c r="H147" s="99">
        <f>G147+'7'!H147</f>
        <v>-8168.5200000000186</v>
      </c>
      <c r="I147" s="140"/>
      <c r="J147" s="328">
        <f>H147/DAY(B2)</f>
        <v>-1021.0650000000023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'7'!F148</f>
        <v>691527.76</v>
      </c>
      <c r="F148" s="150">
        <v>685202</v>
      </c>
      <c r="G148" s="112">
        <f t="shared" si="12"/>
        <v>-6325.7600000000093</v>
      </c>
      <c r="H148" s="99">
        <f>G148+'7'!H148</f>
        <v>-4240.9599999999627</v>
      </c>
      <c r="I148" s="124"/>
      <c r="J148" s="328">
        <f>H148/DAY(B2)</f>
        <v>-530.11999999999534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'7'!F149</f>
        <v>28230.75</v>
      </c>
      <c r="F149" s="146">
        <v>14107</v>
      </c>
      <c r="G149" s="112">
        <f t="shared" si="12"/>
        <v>-14123.75</v>
      </c>
      <c r="H149" s="99">
        <f>G149+'7'!H149</f>
        <v>-10571.2</v>
      </c>
      <c r="I149" s="119"/>
      <c r="J149" s="328">
        <f>H149/DAY(B2)</f>
        <v>-1321.4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'7'!F150</f>
        <v>12423.9</v>
      </c>
      <c r="F150" s="233">
        <v>5811</v>
      </c>
      <c r="G150" s="112">
        <f t="shared" si="12"/>
        <v>-6612.9</v>
      </c>
      <c r="H150" s="99">
        <f>G150+'7'!H150</f>
        <v>-5039.83</v>
      </c>
      <c r="I150" s="119"/>
      <c r="J150" s="328">
        <f>H150/DAY(B2)</f>
        <v>-629.97874999999999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'7'!F151</f>
        <v>87220</v>
      </c>
      <c r="F151" s="233">
        <v>80192</v>
      </c>
      <c r="G151" s="112">
        <f t="shared" si="12"/>
        <v>-7028</v>
      </c>
      <c r="H151" s="99">
        <f>G151+'7'!H151</f>
        <v>-5288</v>
      </c>
      <c r="I151" s="119"/>
      <c r="J151" s="328">
        <f>H151/DAY(B2)</f>
        <v>-661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'7'!F152</f>
        <v>1999.73</v>
      </c>
      <c r="F152" s="233">
        <v>1289</v>
      </c>
      <c r="G152" s="112">
        <f t="shared" si="12"/>
        <v>-710.73</v>
      </c>
      <c r="H152" s="99">
        <f>G152+'7'!H152</f>
        <v>-371</v>
      </c>
      <c r="I152" s="119"/>
      <c r="J152" s="328">
        <f>H152/DAY(B2)</f>
        <v>-46.375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-74702.089999999953</v>
      </c>
      <c r="H153" s="363"/>
      <c r="I153" s="119">
        <f>G153-(G38+G52)</f>
        <v>-269229.76999999996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'7'!F155</f>
        <v>37208.25</v>
      </c>
      <c r="F155" s="374">
        <v>17939</v>
      </c>
      <c r="G155" s="112">
        <f t="shared" ref="G155:G156" si="13">F155-E155</f>
        <v>-19269.25</v>
      </c>
      <c r="H155" s="99">
        <f>G155+'7'!H155</f>
        <v>-15006</v>
      </c>
      <c r="I155" s="364"/>
      <c r="J155" s="328">
        <f>H155/DAY(B2)</f>
        <v>-1875.75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'7'!F156</f>
        <v>3101.97</v>
      </c>
      <c r="F156" s="155">
        <v>1459</v>
      </c>
      <c r="G156" s="112">
        <f t="shared" si="13"/>
        <v>-1642.9699999999998</v>
      </c>
      <c r="H156" s="99">
        <f>G156+'7'!H156</f>
        <v>-1329</v>
      </c>
      <c r="I156" s="165"/>
      <c r="J156" s="328">
        <f>H156/DAY(B2)</f>
        <v>-166.125</v>
      </c>
    </row>
    <row r="157" spans="1:10" ht="27.7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'7'!F161</f>
        <v>472392.44</v>
      </c>
      <c r="F161" s="235">
        <v>471225</v>
      </c>
      <c r="G161" s="238">
        <f t="shared" ref="G161:G165" si="14">F161-E161</f>
        <v>-1167.4400000000023</v>
      </c>
      <c r="H161" s="99">
        <f>G161+'7'!H161</f>
        <v>-828.55999999999767</v>
      </c>
      <c r="I161" s="236"/>
      <c r="J161" s="239">
        <f>H161/DAY(B2)</f>
        <v>-103.56999999999971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'7'!F162</f>
        <v>88761.7</v>
      </c>
      <c r="F162" s="235">
        <v>87773</v>
      </c>
      <c r="G162" s="238">
        <f t="shared" si="14"/>
        <v>-988.69999999999709</v>
      </c>
      <c r="H162" s="99">
        <f>G162+'7'!H162</f>
        <v>-743.39999999999418</v>
      </c>
      <c r="I162" s="236"/>
      <c r="J162" s="239">
        <f>H162/DAY(B2)</f>
        <v>-92.924999999999272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'7'!F163</f>
        <v>79454.600000000006</v>
      </c>
      <c r="F163" s="235">
        <v>78155</v>
      </c>
      <c r="G163" s="238">
        <f t="shared" si="14"/>
        <v>-1299.6000000000058</v>
      </c>
      <c r="H163" s="99">
        <f>G163+'7'!H163</f>
        <v>-1065.1000000000058</v>
      </c>
      <c r="I163" s="236"/>
      <c r="J163" s="239">
        <f>H163/DAY(B2)</f>
        <v>-133.13750000000073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'7'!F164</f>
        <v>4326.1000000000004</v>
      </c>
      <c r="F164" s="235">
        <v>4255</v>
      </c>
      <c r="G164" s="238">
        <f t="shared" si="14"/>
        <v>-71.100000000000364</v>
      </c>
      <c r="H164" s="99">
        <f>G164+'7'!H164</f>
        <v>-65</v>
      </c>
      <c r="I164" s="236"/>
      <c r="J164" s="239">
        <f>H164/DAY(B2)</f>
        <v>-8.125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'7'!F165</f>
        <v>29916.62</v>
      </c>
      <c r="F165" s="501">
        <v>29697</v>
      </c>
      <c r="G165" s="238">
        <f t="shared" si="14"/>
        <v>-219.61999999999898</v>
      </c>
      <c r="H165" s="99">
        <f>G165+'7'!H165</f>
        <v>-160.25</v>
      </c>
      <c r="I165" s="236"/>
      <c r="J165" s="239">
        <f>H165/DAY(B2)</f>
        <v>-20.03125</v>
      </c>
    </row>
    <row r="166" spans="1:10" ht="29.25">
      <c r="A166" s="852"/>
      <c r="B166" s="85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'7'!F174</f>
        <v>38706</v>
      </c>
      <c r="F174" s="157">
        <v>38370</v>
      </c>
      <c r="G174" s="155">
        <f t="shared" ref="G174:G175" si="15">F174-E174</f>
        <v>-336</v>
      </c>
      <c r="H174" s="99">
        <f>G174+'7'!H174</f>
        <v>-245</v>
      </c>
      <c r="I174" s="155"/>
      <c r="J174" s="178">
        <f>H174/DAY(B2)</f>
        <v>-30.625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'7'!F175</f>
        <v>21883</v>
      </c>
      <c r="F175" s="155">
        <v>21596</v>
      </c>
      <c r="G175" s="155">
        <f t="shared" si="15"/>
        <v>-287</v>
      </c>
      <c r="H175" s="99">
        <f>G175+'7'!H175</f>
        <v>-217</v>
      </c>
      <c r="I175" s="155"/>
      <c r="J175" s="178">
        <f>H175/DAY(B2)</f>
        <v>-27.125</v>
      </c>
    </row>
    <row r="176" spans="1:10" ht="27.7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-623</v>
      </c>
      <c r="H176" s="99">
        <f>G176+'7'!H176</f>
        <v>-462</v>
      </c>
      <c r="I176" s="155"/>
      <c r="J176" s="178">
        <f>H176/DAY(B2)</f>
        <v>-57.75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'7'!F178</f>
        <v>81717</v>
      </c>
      <c r="F178" s="155">
        <v>80168</v>
      </c>
      <c r="G178" s="155">
        <f>F178-E178</f>
        <v>-1549</v>
      </c>
      <c r="H178" s="99">
        <f>G178+'7'!H178</f>
        <v>-1147</v>
      </c>
      <c r="I178" s="155"/>
      <c r="J178" s="178">
        <f>H178/DAY(B2)</f>
        <v>-143.375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'7'!F179</f>
        <v>35073</v>
      </c>
      <c r="F179" s="155">
        <v>34052</v>
      </c>
      <c r="G179" s="155">
        <f t="shared" ref="G179:G180" si="16">F179-E179</f>
        <v>-1021</v>
      </c>
      <c r="H179" s="99">
        <f>G179+'7'!H179</f>
        <v>-751</v>
      </c>
      <c r="I179" s="155"/>
      <c r="J179" s="178">
        <f>H179/DAY(B2)</f>
        <v>-93.875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'7'!F180</f>
        <v>5748</v>
      </c>
      <c r="F180" s="155">
        <v>5543</v>
      </c>
      <c r="G180" s="155">
        <f t="shared" si="16"/>
        <v>-205</v>
      </c>
      <c r="H180" s="99">
        <f>G180+'7'!H180</f>
        <v>-159</v>
      </c>
      <c r="I180" s="155"/>
      <c r="J180" s="178">
        <f>H180/DAY(B2)</f>
        <v>-19.875</v>
      </c>
    </row>
    <row r="181" spans="1:10" ht="27.7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-2775</v>
      </c>
      <c r="H181" s="99">
        <f>G181+'7'!H181</f>
        <v>-2057</v>
      </c>
      <c r="I181" s="155"/>
      <c r="J181" s="178">
        <f>H181/DAY(B2)</f>
        <v>-257.125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'7'!F183</f>
        <v>15439</v>
      </c>
      <c r="F183" s="157">
        <v>15064</v>
      </c>
      <c r="G183" s="157">
        <f>F183-E183</f>
        <v>-375</v>
      </c>
      <c r="H183" s="99">
        <f>G183+'7'!H183</f>
        <v>-281</v>
      </c>
      <c r="I183" s="155"/>
      <c r="J183" s="178">
        <f>H183/DAY(B2)</f>
        <v>-35.125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'7'!F184</f>
        <v>10575</v>
      </c>
      <c r="F184" s="157">
        <v>10356</v>
      </c>
      <c r="G184" s="157">
        <f t="shared" ref="G184:G185" si="17">F184-E184</f>
        <v>-219</v>
      </c>
      <c r="H184" s="99">
        <f>G184+'7'!H184</f>
        <v>-162</v>
      </c>
      <c r="I184" s="155"/>
      <c r="J184" s="178">
        <f>H184/DAY(B2)</f>
        <v>-20.25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-594</v>
      </c>
      <c r="H186" s="99">
        <f>G186+'7'!H186</f>
        <v>-443</v>
      </c>
      <c r="I186" s="157"/>
      <c r="J186" s="178">
        <f>H186/DAY(B2)</f>
        <v>-55.375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-4222</v>
      </c>
      <c r="H187" s="99">
        <f>G187+'7'!H187</f>
        <v>-3097</v>
      </c>
      <c r="I187" s="158"/>
      <c r="J187" s="179">
        <f>H187/DAY(B2)</f>
        <v>-387.125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-4142</v>
      </c>
      <c r="H188" s="99">
        <f>G188+'7'!H188</f>
        <v>-3008</v>
      </c>
      <c r="I188" s="158"/>
      <c r="J188" s="179">
        <f>H188/DAY(B2)</f>
        <v>-376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-2775</v>
      </c>
      <c r="H189" s="99">
        <f>G189+'7'!H189</f>
        <v>-2057</v>
      </c>
      <c r="I189" s="158"/>
      <c r="J189" s="179">
        <f>H189/DAY(B2)</f>
        <v>-257.125</v>
      </c>
    </row>
    <row r="190" spans="1:10" ht="27.75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0.25" customHeight="1"/>
    <row r="195" ht="20.25" customHeight="1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5" zoomScaleNormal="80" zoomScaleSheetLayoutView="55" workbookViewId="0">
      <selection activeCell="F23" sqref="F2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-381202.23</v>
      </c>
      <c r="I7" s="113">
        <f>'1'!I7</f>
        <v>12000</v>
      </c>
      <c r="J7" s="175">
        <f>H7/DAY(B2)</f>
        <v>-42355.80333333333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-388611.15</v>
      </c>
      <c r="I8" s="116"/>
      <c r="J8" s="175">
        <f>H8/DAY(B2)</f>
        <v>-43179.01666666667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2086684.1500000001</v>
      </c>
      <c r="I9" s="124">
        <f>I7-J7</f>
        <v>54355.80333333333</v>
      </c>
      <c r="J9" s="175">
        <f>H9/DAY(B2)</f>
        <v>231853.79444444447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496007.03</v>
      </c>
      <c r="I10" s="282"/>
      <c r="J10" s="175">
        <f>H10/DAY(B2)</f>
        <v>55111.892222222225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-170</v>
      </c>
      <c r="I11" s="282"/>
      <c r="J11" s="175">
        <f>H11/DAY(B2)</f>
        <v>-18.888888888888889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2565766.75</v>
      </c>
      <c r="I13" s="120">
        <f>G7-G13</f>
        <v>520</v>
      </c>
      <c r="J13" s="175">
        <f>H13/DAY(B2)</f>
        <v>285085.19444444444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598">
        <v>1886599</v>
      </c>
      <c r="G15" s="112">
        <f>(F15-E15)</f>
        <v>907</v>
      </c>
      <c r="H15" s="99">
        <f>G15+'8'!H15</f>
        <v>-20037.766999999993</v>
      </c>
      <c r="I15" s="113">
        <f>'1'!I15</f>
        <v>800</v>
      </c>
      <c r="J15" s="175">
        <f>H15/DAY(B2)</f>
        <v>-2226.4185555555546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3026.4185555555546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1680</v>
      </c>
      <c r="I18" s="113">
        <f>'1'!I18</f>
        <v>65</v>
      </c>
      <c r="J18" s="175">
        <f>H18/DAY(B2)</f>
        <v>186.66666666666666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-1196</v>
      </c>
      <c r="I19" s="335"/>
      <c r="J19" s="175">
        <f>H19/DAY(B2)</f>
        <v>-132.88888888888889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484</v>
      </c>
      <c r="I20" s="336">
        <f>I18-J20</f>
        <v>11.222222222222221</v>
      </c>
      <c r="J20" s="175">
        <f>H20/DAY(B2)</f>
        <v>53.777777777777779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-3497500.3500000006</v>
      </c>
      <c r="I27" s="138"/>
      <c r="J27" s="175">
        <f>H27/DAY(B2)</f>
        <v>-388611.15000000008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-1041963.8839999996</v>
      </c>
      <c r="I28" s="140"/>
      <c r="J28" s="175">
        <f>H28/DAY(B2)</f>
        <v>-115773.76488888885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-174616</v>
      </c>
      <c r="I30" s="140"/>
      <c r="J30" s="175">
        <f>H30/DAY(B2)</f>
        <v>-19401.777777777777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134400</v>
      </c>
      <c r="I31" s="140"/>
      <c r="J31" s="175">
        <f>H31/DAY(B2)</f>
        <v>14933.333333333334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-4579680.2340000002</v>
      </c>
      <c r="I32" s="144"/>
      <c r="J32" s="175">
        <f>H32/DAY(B2)</f>
        <v>-508853.35933333333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137820.01999999999</v>
      </c>
      <c r="I35" s="95"/>
      <c r="J35" s="175">
        <f>H35/DAY(B2)</f>
        <v>15313.335555555554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-14783.739999999998</v>
      </c>
      <c r="I36" s="95"/>
      <c r="J36" s="175">
        <f>H36/DAY(B2)</f>
        <v>-1642.6377777777775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173651.91</v>
      </c>
      <c r="I37" s="95"/>
      <c r="J37" s="175">
        <f>H37/DAY(B2)</f>
        <v>19294.656666666666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208963.57</v>
      </c>
      <c r="I38" s="95"/>
      <c r="J38" s="175">
        <f>H38/DAY(B2)</f>
        <v>23218.174444444445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376197.70999999996</v>
      </c>
      <c r="I39" s="95"/>
      <c r="J39" s="175">
        <f>H39/DAY(B2)</f>
        <v>41799.74555555555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-13633.990000000002</v>
      </c>
      <c r="I40" s="95"/>
      <c r="J40" s="175">
        <f>H40/DAY(B2)</f>
        <v>-1514.887777777778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-62.73</v>
      </c>
      <c r="I41" s="95"/>
      <c r="J41" s="175">
        <f>H41/DAY(B2)</f>
        <v>-6.97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-26321.14</v>
      </c>
      <c r="I42" s="95"/>
      <c r="J42" s="175">
        <f>H42/DAY(B2)</f>
        <v>-2924.5711111111109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-46318.600000000006</v>
      </c>
      <c r="I43" s="95"/>
      <c r="J43" s="175">
        <f>H43/DAY(B2)</f>
        <v>-5146.5111111111119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795513.01</v>
      </c>
      <c r="I47" s="95"/>
      <c r="J47" s="175">
        <f>H47/DAY(B2)</f>
        <v>88390.334444444452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261670.81</v>
      </c>
      <c r="I49" s="95"/>
      <c r="J49" s="175">
        <f>H49/DAY(B2)</f>
        <v>29074.534444444445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-22341.629999999997</v>
      </c>
      <c r="I50" s="95"/>
      <c r="J50" s="175">
        <f>H50/DAY(B2)</f>
        <v>-2482.4033333333332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-2611.42</v>
      </c>
      <c r="I54" s="95"/>
      <c r="J54" s="175">
        <f>H54/DAY(B2)</f>
        <v>-290.15777777777777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-43135.11</v>
      </c>
      <c r="I55" s="95"/>
      <c r="J55" s="175">
        <f>H55/DAY(B2)</f>
        <v>-4792.79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-3778.21</v>
      </c>
      <c r="I58" s="95"/>
      <c r="J58" s="175">
        <f>H58/DAY(B2)</f>
        <v>-419.80111111111114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189804.9</v>
      </c>
      <c r="I59" s="95">
        <f>G7-G60</f>
        <v>1020.5400000000009</v>
      </c>
      <c r="J59" s="175">
        <f>H59/DAY(B2)</f>
        <v>21089.433333333334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985317.90999999992</v>
      </c>
      <c r="I60" s="95">
        <f>G13-G60</f>
        <v>500.54000000000087</v>
      </c>
      <c r="J60" s="175">
        <f>H60/DAY(B2)</f>
        <v>109479.76777777777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-1766</v>
      </c>
      <c r="I62" s="118"/>
      <c r="J62" s="175">
        <f>H62/DAY(B2)</f>
        <v>-196.22222222222223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-2400</v>
      </c>
      <c r="I63" s="118"/>
      <c r="J63" s="175">
        <f>H63/DAY(B2)</f>
        <v>-266.66666666666669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'8'!F64</f>
        <v>0</v>
      </c>
      <c r="F64" s="122"/>
      <c r="G64" s="112">
        <f>G62+G63</f>
        <v>147</v>
      </c>
      <c r="H64" s="99">
        <f>G64+'8'!H64</f>
        <v>-4166</v>
      </c>
      <c r="I64" s="118"/>
      <c r="J64" s="175">
        <f>H64/DAY(B2)</f>
        <v>-462.88888888888891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-1638</v>
      </c>
      <c r="I65" s="118"/>
      <c r="J65" s="175">
        <f>H65/DAY(B2)</f>
        <v>-182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-347</v>
      </c>
      <c r="I66" s="118"/>
      <c r="J66" s="175">
        <f>H66/DAY(B2)</f>
        <v>-38.555555555555557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-483</v>
      </c>
      <c r="I67" s="118"/>
      <c r="J67" s="175">
        <f>H67/DAY(B2)</f>
        <v>-53.666666666666664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-844</v>
      </c>
      <c r="I68" s="118"/>
      <c r="J68" s="175">
        <f>H68/DAY(B2)</f>
        <v>-93.777777777777771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-223</v>
      </c>
      <c r="I69" s="118"/>
      <c r="J69" s="175">
        <f>H69/DAY(B2)</f>
        <v>-24.777777777777779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-177</v>
      </c>
      <c r="I70" s="118"/>
      <c r="J70" s="175">
        <f>H70/DAY(B2)</f>
        <v>-19.666666666666668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167</v>
      </c>
      <c r="H71" s="99">
        <f>G71+'8'!H71</f>
        <v>-3712</v>
      </c>
      <c r="I71" s="154"/>
      <c r="J71" s="175">
        <f>H71/DAY(B2)</f>
        <v>-412.44444444444446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-6691.1489999999758</v>
      </c>
      <c r="I74" s="154"/>
      <c r="J74" s="175">
        <f>H74/DAY(B2)</f>
        <v>-743.46099999999728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-1971</v>
      </c>
      <c r="I76" s="154"/>
      <c r="J76" s="175">
        <f>H76/DAY(B2)</f>
        <v>-219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-684.19999999999709</v>
      </c>
      <c r="I77" s="154"/>
      <c r="J77" s="175">
        <f>H77/DAY(B2)</f>
        <v>-76.022222222221899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-23</v>
      </c>
      <c r="I78" s="118"/>
      <c r="J78" s="175">
        <f>H78/DAY(B2)</f>
        <v>-2.5555555555555554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-10668.618000000017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-163.86000000000013</v>
      </c>
      <c r="I85" s="118">
        <f>G82+G83+G84+G85</f>
        <v>0</v>
      </c>
      <c r="J85" s="175">
        <f>H85/DAY(B2)</f>
        <v>-18.206666666666681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-362</v>
      </c>
      <c r="I86" s="118"/>
      <c r="J86" s="175">
        <f>H86/DAY(B2)</f>
        <v>-40.222222222222221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5.0000000002910383E-2</v>
      </c>
      <c r="I87" s="118"/>
      <c r="J87" s="175">
        <f>H87/DAY(B2)</f>
        <v>5.5555555558789316E-3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-5.430000000000291</v>
      </c>
      <c r="I88" s="118">
        <f>G86+G87+G88</f>
        <v>24</v>
      </c>
      <c r="J88" s="175">
        <f>H88/DAY(B2)</f>
        <v>-0.6033333333333657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-168.11999999999898</v>
      </c>
      <c r="I89" s="118"/>
      <c r="J89" s="175">
        <f>H89/DAY(B2)</f>
        <v>-18.679999999999886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-89.320000000006985</v>
      </c>
      <c r="I90" s="118">
        <f>G89+G90</f>
        <v>11</v>
      </c>
      <c r="J90" s="175">
        <f>H90/DAY(B2)</f>
        <v>-9.9244444444452213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-24.769999999999982</v>
      </c>
      <c r="I91" s="165"/>
      <c r="J91" s="175">
        <f>H91/DAY(B2)</f>
        <v>-2.7522222222222203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-212.06999999999971</v>
      </c>
      <c r="I92" s="165"/>
      <c r="J92" s="175">
        <f>H92/DAY(B2)</f>
        <v>-23.563333333333301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5240</v>
      </c>
      <c r="H94" s="99">
        <f>G94+'8'!H94</f>
        <v>353172.23</v>
      </c>
      <c r="I94" s="118"/>
      <c r="J94" s="175">
        <f>H94/DAY(B2)</f>
        <v>39241.358888888884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0.29586132911749757</v>
      </c>
      <c r="H95" s="99">
        <f>G95+'8'!H95</f>
        <v>1.4619356578357834</v>
      </c>
      <c r="I95" s="167"/>
      <c r="J95" s="175">
        <f>H95/DAY(B2)</f>
        <v>0.16243729531508705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-69518.520000000019</v>
      </c>
      <c r="I96" s="118"/>
      <c r="J96" s="175">
        <f>H96/DAY(B2)</f>
        <v>-7724.2800000000025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0.15597425328891645</v>
      </c>
      <c r="H97" s="99">
        <f>G97+'8'!H97</f>
        <v>1.6261717857983671</v>
      </c>
      <c r="I97" s="167"/>
      <c r="J97" s="175">
        <f>H97/DAY(B2)</f>
        <v>0.18068575397759634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2610</v>
      </c>
      <c r="H98" s="99">
        <f>G98+'8'!H98</f>
        <v>376197.70999999996</v>
      </c>
      <c r="I98" s="168"/>
      <c r="J98" s="175">
        <f>H98/DAY(B2)</f>
        <v>41799.74555555555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0.14736604370165435</v>
      </c>
      <c r="H99" s="99">
        <f>G99+'8'!H99</f>
        <v>0.47594520492826936</v>
      </c>
      <c r="I99" s="168"/>
      <c r="J99" s="175">
        <f>H99/DAY(B2)</f>
        <v>5.2882800547585485E-2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1658</v>
      </c>
      <c r="H100" s="99">
        <f>G100+'8'!H100</f>
        <v>208963.57</v>
      </c>
      <c r="I100" s="118"/>
      <c r="J100" s="175">
        <f>H100/DAY(B2)</f>
        <v>23218.174444444445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0.3905684908293735</v>
      </c>
      <c r="I101" s="168"/>
      <c r="J101" s="175">
        <f>H101/DAY(B2)</f>
        <v>4.3396498981041504E-2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1673</v>
      </c>
      <c r="H102" s="99">
        <f>G102+'8'!H102</f>
        <v>-37125.369999999995</v>
      </c>
      <c r="I102" s="168"/>
      <c r="J102" s="175">
        <f>H102/DAY(B2)</f>
        <v>-4125.0411111111107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0.95512508044713318</v>
      </c>
      <c r="I103" s="118"/>
      <c r="J103" s="175">
        <f>H103/DAY(B2)</f>
        <v>0.10612500893857035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1472</v>
      </c>
      <c r="H104" s="99">
        <f>G104+'8'!H104</f>
        <v>173651.91</v>
      </c>
      <c r="I104" s="118"/>
      <c r="J104" s="175">
        <f>H104/DAY(B2)</f>
        <v>19294.656666666666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0.36581757158038253</v>
      </c>
      <c r="I105" s="187"/>
      <c r="J105" s="188">
        <f>H105/DAY(B2)</f>
        <v>4.0646396842264725E-2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-1703</v>
      </c>
      <c r="I112" s="165"/>
      <c r="J112" s="328">
        <f>H112/DAY(B2)</f>
        <v>-189.22222222222223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-10174.89</v>
      </c>
      <c r="I113" s="165"/>
      <c r="J113" s="328">
        <f>H113/DAY(B2)</f>
        <v>-1130.5433333333333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-5903</v>
      </c>
      <c r="I114" s="165"/>
      <c r="J114" s="328">
        <f>H114/DAY(B2)</f>
        <v>-655.88888888888891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-216.64999999999964</v>
      </c>
      <c r="I115" s="165"/>
      <c r="J115" s="328">
        <f>H115/DAY(B2)</f>
        <v>-24.07222222222218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-514.94999999999982</v>
      </c>
      <c r="I117" s="165"/>
      <c r="J117" s="328">
        <f>H117/DAY(B2)</f>
        <v>-57.216666666666647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-7496.3099999999977</v>
      </c>
      <c r="I118" s="165"/>
      <c r="J118" s="328">
        <f>H118/DAY(B2)</f>
        <v>-832.92333333333306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-9100.5499999999884</v>
      </c>
      <c r="I119" s="165"/>
      <c r="J119" s="328">
        <f>H119/DAY(B2)</f>
        <v>-1011.172222222221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-9092.61</v>
      </c>
      <c r="I120" s="165"/>
      <c r="J120" s="328">
        <f>H120/DAY(B2)</f>
        <v>-1010.2900000000001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-14805.429999999993</v>
      </c>
      <c r="I121" s="165"/>
      <c r="J121" s="328">
        <f>H121/DAY(B2)</f>
        <v>-1645.0477777777769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-4103.179999999993</v>
      </c>
      <c r="I122" s="165"/>
      <c r="J122" s="328">
        <f>H122/DAY(B2)</f>
        <v>-455.9088888888881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-6003.9500000000116</v>
      </c>
      <c r="I123" s="165"/>
      <c r="J123" s="328">
        <f>H123/DAY(B2)</f>
        <v>-667.10555555555686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-6770</v>
      </c>
      <c r="I128" s="165"/>
      <c r="J128" s="328">
        <f>H128/DAY(B2)</f>
        <v>-752.22222222222217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-4629.869999999999</v>
      </c>
      <c r="I129" s="165"/>
      <c r="J129" s="328">
        <f>H129/DAY(B2)</f>
        <v>-514.42999999999984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-11307</v>
      </c>
      <c r="I130" s="165"/>
      <c r="J130" s="328">
        <f>H130/DAY(B2)</f>
        <v>-1256.3333333333333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-1482.6800000000003</v>
      </c>
      <c r="I131" s="165"/>
      <c r="J131" s="328">
        <f>H131/DAY(B2)</f>
        <v>-164.74222222222227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-6607.3000000000029</v>
      </c>
      <c r="I132" s="165"/>
      <c r="J132" s="328">
        <f>H132/DAY(B2)</f>
        <v>-734.14444444444473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-10590.699999999997</v>
      </c>
      <c r="I133" s="165"/>
      <c r="J133" s="328">
        <f>H133/DAY(B2)</f>
        <v>-1176.7444444444441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665983.77</v>
      </c>
      <c r="I134" s="165"/>
      <c r="J134" s="328">
        <f>H134/DAY(B2)</f>
        <v>73998.19666666667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2801</v>
      </c>
      <c r="H135" s="99">
        <f>G135+'8'!H135</f>
        <v>624596.22</v>
      </c>
      <c r="I135" s="327">
        <f>G135-(G35+G49)</f>
        <v>-288</v>
      </c>
      <c r="J135" s="328">
        <f>H135/DAY(B2)</f>
        <v>69399.58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-1382</v>
      </c>
      <c r="I138" s="118"/>
      <c r="J138" s="328">
        <f>H138/DAY(B2)</f>
        <v>-153.55555555555554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-24</v>
      </c>
      <c r="I139" s="118"/>
      <c r="J139" s="328">
        <f>H139/DAY(B2)</f>
        <v>-2.6666666666666665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-24</v>
      </c>
      <c r="I140" s="118"/>
      <c r="J140" s="328">
        <f>H140/DAY(B2)</f>
        <v>-2.6666666666666665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-3795.5800000000017</v>
      </c>
      <c r="I141" s="118"/>
      <c r="J141" s="328">
        <f>H141/DAY(B2)</f>
        <v>-421.73111111111132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-1645.0999999999985</v>
      </c>
      <c r="I142" s="140"/>
      <c r="J142" s="328">
        <f>H142/DAY(B2)</f>
        <v>-182.78888888888872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-562.38999999999987</v>
      </c>
      <c r="I143" s="140"/>
      <c r="J143" s="328">
        <f>H143/DAY(B2)</f>
        <v>-62.487777777777765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-4783</v>
      </c>
      <c r="I144" s="140"/>
      <c r="J144" s="328">
        <f>H144/DAY(B2)</f>
        <v>-531.44444444444446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-246.84000000000015</v>
      </c>
      <c r="I145" s="140"/>
      <c r="J145" s="328">
        <f>H145/DAY(B2)</f>
        <v>-27.426666666666684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-8517</v>
      </c>
      <c r="I146" s="140"/>
      <c r="J146" s="328">
        <f>H146/DAY(B2)</f>
        <v>-946.33333333333337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-7810.5200000000186</v>
      </c>
      <c r="I147" s="140"/>
      <c r="J147" s="328">
        <f>H147/DAY(B2)</f>
        <v>-867.83555555555768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'8'!F148</f>
        <v>685202</v>
      </c>
      <c r="F148" s="486">
        <v>685430</v>
      </c>
      <c r="G148" s="112">
        <f t="shared" si="11"/>
        <v>228</v>
      </c>
      <c r="H148" s="99">
        <f>G148+'8'!H148</f>
        <v>-4012.9599999999627</v>
      </c>
      <c r="I148" s="124"/>
      <c r="J148" s="328">
        <f>H148/DAY(B2)</f>
        <v>-445.88444444444031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-10096.200000000001</v>
      </c>
      <c r="I149" s="119"/>
      <c r="J149" s="328">
        <f>H149/DAY(B2)</f>
        <v>-1121.8000000000002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-4808.83</v>
      </c>
      <c r="I150" s="119"/>
      <c r="J150" s="328">
        <f>H150/DAY(B2)</f>
        <v>-534.31444444444446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-5072</v>
      </c>
      <c r="I151" s="119"/>
      <c r="J151" s="328">
        <f>H151/DAY(B2)</f>
        <v>-563.55555555555554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-355</v>
      </c>
      <c r="I152" s="119"/>
      <c r="J152" s="328">
        <f>H152/DAY(B2)</f>
        <v>-39.444444444444443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-14386</v>
      </c>
      <c r="I155" s="364"/>
      <c r="J155" s="328">
        <f>H155/DAY(B2)</f>
        <v>-1598.4444444444443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-1280</v>
      </c>
      <c r="I156" s="165"/>
      <c r="J156" s="328">
        <f>H156/DAY(B2)</f>
        <v>-142.22222222222223</v>
      </c>
    </row>
    <row r="157" spans="1:10" ht="27.7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1">
        <v>471231</v>
      </c>
      <c r="G161" s="238">
        <f t="shared" ref="G161:G166" si="13">F161-E161</f>
        <v>6</v>
      </c>
      <c r="H161" s="99">
        <f>G161+'8'!H161</f>
        <v>-822.55999999999767</v>
      </c>
      <c r="I161" s="236"/>
      <c r="J161" s="239">
        <f>H161/DAY(B2)</f>
        <v>-91.395555555555291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-720.39999999999418</v>
      </c>
      <c r="I162" s="236"/>
      <c r="J162" s="239">
        <f>H162/DAY(B2)</f>
        <v>-80.044444444443798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-1032.1000000000058</v>
      </c>
      <c r="I163" s="236"/>
      <c r="J163" s="239">
        <f>H163/DAY(B2)</f>
        <v>-114.67777777777843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-65</v>
      </c>
      <c r="I164" s="236"/>
      <c r="J164" s="239">
        <f>H164/DAY(B2)</f>
        <v>-7.2222222222222223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-160.25</v>
      </c>
      <c r="I165" s="236"/>
      <c r="J165" s="239">
        <f>H165/DAY(B2)</f>
        <v>-17.805555555555557</v>
      </c>
    </row>
    <row r="166" spans="1:10" ht="29.25">
      <c r="A166" s="852"/>
      <c r="B166" s="85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-227</v>
      </c>
      <c r="I174" s="155"/>
      <c r="J174" s="178">
        <f>H174/DAY(B2)</f>
        <v>-25.222222222222221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-207</v>
      </c>
      <c r="I175" s="155"/>
      <c r="J175" s="178">
        <f>H175/DAY(B2)</f>
        <v>-23</v>
      </c>
    </row>
    <row r="176" spans="1:10" ht="27.75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-434</v>
      </c>
      <c r="I176" s="155"/>
      <c r="J176" s="178">
        <f>H176/DAY(B2)</f>
        <v>-48.222222222222221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-1086</v>
      </c>
      <c r="I178" s="155"/>
      <c r="J178" s="178">
        <f>H178/DAY(B2)</f>
        <v>-120.66666666666667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-733</v>
      </c>
      <c r="I179" s="155"/>
      <c r="J179" s="178">
        <f>H179/DAY(B2)</f>
        <v>-81.444444444444443</v>
      </c>
    </row>
    <row r="180" spans="1:10" ht="31.5" customHeight="1">
      <c r="A180" s="856" t="s">
        <v>212</v>
      </c>
      <c r="B180" s="857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-158</v>
      </c>
      <c r="I180" s="155"/>
      <c r="J180" s="178">
        <f>H180/DAY(B2)</f>
        <v>-17.555555555555557</v>
      </c>
    </row>
    <row r="181" spans="1:10" ht="27.7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-1977</v>
      </c>
      <c r="I181" s="155"/>
      <c r="J181" s="178">
        <f>H181/DAY(B2)</f>
        <v>-219.66666666666666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-272</v>
      </c>
      <c r="I183" s="155"/>
      <c r="J183" s="178">
        <f>H183/DAY(B2)</f>
        <v>-30.222222222222221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-149</v>
      </c>
      <c r="I184" s="155"/>
      <c r="J184" s="178">
        <f>H184/DAY(B2)</f>
        <v>-16.555555555555557</v>
      </c>
    </row>
    <row r="185" spans="1:10" ht="35.25" customHeight="1">
      <c r="A185" s="856" t="s">
        <v>216</v>
      </c>
      <c r="B185" s="85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-421</v>
      </c>
      <c r="I186" s="157"/>
      <c r="J186" s="178">
        <f>H186/DAY(B2)</f>
        <v>-46.777777777777779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135</v>
      </c>
      <c r="H187" s="99">
        <f>G187+'8'!H187</f>
        <v>-2962</v>
      </c>
      <c r="I187" s="158"/>
      <c r="J187" s="179">
        <f>H187/DAY(B2)</f>
        <v>-329.11111111111109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140</v>
      </c>
      <c r="H188" s="99">
        <f>G188+'8'!H188</f>
        <v>-2868</v>
      </c>
      <c r="I188" s="158"/>
      <c r="J188" s="179">
        <f>H188/DAY(B2)</f>
        <v>-318.66666666666669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80</v>
      </c>
      <c r="H189" s="99">
        <f>G189+'8'!H189</f>
        <v>-1977</v>
      </c>
      <c r="I189" s="158"/>
      <c r="J189" s="179">
        <f>H189/DAY(B2)</f>
        <v>-219.66666666666666</v>
      </c>
    </row>
    <row r="190" spans="1:10" ht="29.25" customHeight="1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topLeftCell="A10" zoomScale="50" zoomScaleNormal="55" zoomScaleSheetLayoutView="50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-364341.23</v>
      </c>
      <c r="I7" s="113">
        <f>'1'!I7</f>
        <v>12000</v>
      </c>
      <c r="J7" s="175">
        <f>H7/DAY(B2)</f>
        <v>-36434.123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-371548.15</v>
      </c>
      <c r="I8" s="116"/>
      <c r="J8" s="175">
        <f>H8/DAY(B2)</f>
        <v>-37154.815000000002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'9'!F9</f>
        <v>11657</v>
      </c>
      <c r="F9" s="598">
        <v>22761</v>
      </c>
      <c r="G9" s="112">
        <f>F9-E9</f>
        <v>11104</v>
      </c>
      <c r="H9" s="99">
        <f>G9+'9'!H9</f>
        <v>2097788.1500000004</v>
      </c>
      <c r="I9" s="124">
        <f>I7-J7</f>
        <v>48434.123</v>
      </c>
      <c r="J9" s="175">
        <f>H9/DAY(B2)</f>
        <v>209778.81500000003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501279.03</v>
      </c>
      <c r="I10" s="282"/>
      <c r="J10" s="175">
        <f>H10/DAY(B2)</f>
        <v>50127.903000000006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-170</v>
      </c>
      <c r="I11" s="282"/>
      <c r="J11" s="175">
        <f>H11/DAY(B2)</f>
        <v>-17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2582142.75</v>
      </c>
      <c r="I13" s="120">
        <f>G7-G13</f>
        <v>485</v>
      </c>
      <c r="J13" s="175">
        <f>H13/DAY(B2)</f>
        <v>258214.27499999999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-19278.766999999993</v>
      </c>
      <c r="I15" s="113">
        <f>'1'!I15</f>
        <v>800</v>
      </c>
      <c r="J15" s="175">
        <f>H15/DAY(B2)</f>
        <v>-1927.8766999999993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2727.8766999999993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1750</v>
      </c>
      <c r="I18" s="113">
        <f>'1'!I18</f>
        <v>65</v>
      </c>
      <c r="J18" s="175">
        <f>H18/DAY(B2)</f>
        <v>175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-1142</v>
      </c>
      <c r="I19" s="335"/>
      <c r="J19" s="175">
        <f>H19/DAY(B2)</f>
        <v>-114.2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608</v>
      </c>
      <c r="I20" s="336">
        <f>I18-J20</f>
        <v>4.2000000000000028</v>
      </c>
      <c r="J20" s="175">
        <f>H20/DAY(B2)</f>
        <v>60.8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-3343933.3500000006</v>
      </c>
      <c r="I27" s="138"/>
      <c r="J27" s="175">
        <f>H27/DAY(B2)</f>
        <v>-334393.33500000008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-1002495.8839999996</v>
      </c>
      <c r="I28" s="140"/>
      <c r="J28" s="175">
        <f>H28/DAY(B2)</f>
        <v>-100249.58839999996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-166732</v>
      </c>
      <c r="I30" s="140"/>
      <c r="J30" s="175">
        <f>H30/DAY(B2)</f>
        <v>-16673.2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140000</v>
      </c>
      <c r="I31" s="140"/>
      <c r="J31" s="175">
        <f>H31/DAY(B2)</f>
        <v>14000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-4373161.2340000002</v>
      </c>
      <c r="I32" s="144"/>
      <c r="J32" s="175">
        <f>H32/DAY(B2)</f>
        <v>-437316.12340000004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139434.01999999999</v>
      </c>
      <c r="I35" s="95"/>
      <c r="J35" s="175">
        <f>H35/DAY(B2)</f>
        <v>13943.401999999998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-14149.739999999998</v>
      </c>
      <c r="I36" s="95"/>
      <c r="J36" s="175">
        <f>H36/DAY(B2)</f>
        <v>-1414.9739999999997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175103.91</v>
      </c>
      <c r="I37" s="95"/>
      <c r="J37" s="175">
        <f>H37/DAY(B2)</f>
        <v>17510.391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210504.57</v>
      </c>
      <c r="I38" s="95"/>
      <c r="J38" s="175">
        <f>H38/DAY(B2)</f>
        <v>21050.457000000002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378771.70999999996</v>
      </c>
      <c r="I39" s="95"/>
      <c r="J39" s="175">
        <f>H39/DAY(B2)</f>
        <v>37877.170999999995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-12874.990000000002</v>
      </c>
      <c r="I40" s="95"/>
      <c r="J40" s="175">
        <f>H40/DAY(B2)</f>
        <v>-1287.4990000000003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-62.73</v>
      </c>
      <c r="I41" s="95"/>
      <c r="J41" s="175">
        <f>H41/DAY(B2)</f>
        <v>-6.2729999999999997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-26321.14</v>
      </c>
      <c r="I42" s="95"/>
      <c r="J42" s="175">
        <f>H42/DAY(B2)</f>
        <v>-2632.114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-44195.600000000006</v>
      </c>
      <c r="I43" s="95"/>
      <c r="J43" s="175">
        <f>H43/DAY(B2)</f>
        <v>-4419.5600000000004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806210.01</v>
      </c>
      <c r="I47" s="95"/>
      <c r="J47" s="175">
        <f>H47/DAY(B2)</f>
        <v>80621.001000000004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262808.81</v>
      </c>
      <c r="I49" s="95"/>
      <c r="J49" s="175">
        <f>H49/DAY(B2)</f>
        <v>26280.881000000001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-21401.629999999997</v>
      </c>
      <c r="I50" s="95"/>
      <c r="J50" s="175">
        <f>H50/DAY(B2)</f>
        <v>-2140.1629999999996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-2139.42</v>
      </c>
      <c r="I54" s="95"/>
      <c r="J54" s="175">
        <f>H54/DAY(B2)</f>
        <v>-213.94200000000001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-40375.11</v>
      </c>
      <c r="I55" s="95"/>
      <c r="J55" s="175">
        <f>H55/DAY(B2)</f>
        <v>-4037.511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-3698.21</v>
      </c>
      <c r="I58" s="95"/>
      <c r="J58" s="175">
        <f>H58/DAY(B2)</f>
        <v>-369.82100000000003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195194.9</v>
      </c>
      <c r="I59" s="95">
        <f>G7-G60</f>
        <v>774</v>
      </c>
      <c r="J59" s="175">
        <f>H59/DAY(B2)</f>
        <v>19519.489999999998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1001404.9099999999</v>
      </c>
      <c r="I60" s="95">
        <f>G13-G60</f>
        <v>289</v>
      </c>
      <c r="J60" s="175">
        <f>H60/DAY(B2)</f>
        <v>100140.49099999999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-1705</v>
      </c>
      <c r="I62" s="118"/>
      <c r="J62" s="175">
        <f>H62/DAY(B2)</f>
        <v>-170.5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-2296</v>
      </c>
      <c r="I63" s="118"/>
      <c r="J63" s="175">
        <f>H63/DAY(B2)</f>
        <v>-229.6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'9'!F64</f>
        <v>0</v>
      </c>
      <c r="F64" s="122"/>
      <c r="G64" s="112">
        <f>G62+G63</f>
        <v>165</v>
      </c>
      <c r="H64" s="99">
        <f>G64+'9'!H64</f>
        <v>-4001</v>
      </c>
      <c r="I64" s="118"/>
      <c r="J64" s="175">
        <f>H64/DAY(B2)</f>
        <v>-400.1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-1580</v>
      </c>
      <c r="I65" s="118"/>
      <c r="J65" s="175">
        <f>H65/DAY(B2)</f>
        <v>-158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-333</v>
      </c>
      <c r="I66" s="118"/>
      <c r="J66" s="175">
        <f>H66/DAY(B2)</f>
        <v>-33.299999999999997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-462</v>
      </c>
      <c r="I67" s="118"/>
      <c r="J67" s="175">
        <f>H67/DAY(B2)</f>
        <v>-46.2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-818</v>
      </c>
      <c r="I68" s="118"/>
      <c r="J68" s="175">
        <f>H68/DAY(B2)</f>
        <v>-81.8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-214</v>
      </c>
      <c r="I69" s="118"/>
      <c r="J69" s="175">
        <f>H69/DAY(B2)</f>
        <v>-21.4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-173</v>
      </c>
      <c r="I70" s="118"/>
      <c r="J70" s="175">
        <f>H70/DAY(B2)</f>
        <v>-17.3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132</v>
      </c>
      <c r="H71" s="99">
        <f>G71+'9'!H71</f>
        <v>-3580</v>
      </c>
      <c r="I71" s="154"/>
      <c r="J71" s="175">
        <f>H71/DAY(B2)</f>
        <v>-358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-6378.1489999999758</v>
      </c>
      <c r="I74" s="154"/>
      <c r="J74" s="175">
        <f>H74/DAY(B2)</f>
        <v>-637.81489999999758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-1880</v>
      </c>
      <c r="I76" s="154"/>
      <c r="J76" s="175">
        <f>H76/DAY(B2)</f>
        <v>-188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-650.19999999999709</v>
      </c>
      <c r="I77" s="154"/>
      <c r="J77" s="175">
        <f>H77/DAY(B2)</f>
        <v>-65.019999999999712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-21.700000000000728</v>
      </c>
      <c r="I78" s="118"/>
      <c r="J78" s="175">
        <f>H78/DAY(B2)</f>
        <v>-2.1700000000000728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-10348.918000000016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-163.86999999999989</v>
      </c>
      <c r="I85" s="118">
        <f>G82+G83+G84+G85</f>
        <v>-9.9999999997635314E-3</v>
      </c>
      <c r="J85" s="175">
        <f>H85/DAY(B2)</f>
        <v>-16.38699999999999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-338</v>
      </c>
      <c r="I86" s="118"/>
      <c r="J86" s="175">
        <f>H86/DAY(B2)</f>
        <v>-33.799999999999997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5.0000000002910383E-2</v>
      </c>
      <c r="I87" s="118"/>
      <c r="J87" s="175">
        <f>H87/DAY(B2)</f>
        <v>5.0000000002910381E-3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-5.430000000000291</v>
      </c>
      <c r="I88" s="118">
        <f>G86+G87+G88</f>
        <v>24</v>
      </c>
      <c r="J88" s="175">
        <f>H88/DAY(B2)</f>
        <v>-0.54300000000002913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-168.11999999999898</v>
      </c>
      <c r="I89" s="118"/>
      <c r="J89" s="175">
        <f>H89/DAY(B2)</f>
        <v>-16.811999999999898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-76.320000000006985</v>
      </c>
      <c r="I90" s="118">
        <f>G89+G90</f>
        <v>13</v>
      </c>
      <c r="J90" s="175">
        <f>H90/DAY(B2)</f>
        <v>-7.6320000000006987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-24.769999999999982</v>
      </c>
      <c r="I91" s="165"/>
      <c r="J91" s="175">
        <f>H91/DAY(B2)</f>
        <v>-2.4769999999999981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-201.06999999999971</v>
      </c>
      <c r="I92" s="165"/>
      <c r="J92" s="175">
        <f>H92/DAY(B2)</f>
        <v>-20.106999999999971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4875</v>
      </c>
      <c r="H94" s="99">
        <f>G94+'9'!H94</f>
        <v>358047.23</v>
      </c>
      <c r="I94" s="118"/>
      <c r="J94" s="175">
        <f>H94/DAY(B2)</f>
        <v>35804.722999999998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0.28912875867386278</v>
      </c>
      <c r="H95" s="99">
        <f>G95+'9'!H95</f>
        <v>1.7510644165096463</v>
      </c>
      <c r="I95" s="167"/>
      <c r="J95" s="175">
        <f>H95/DAY(B2)</f>
        <v>0.17510644165096462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2760</v>
      </c>
      <c r="H96" s="99">
        <f>G96+'9'!H96</f>
        <v>-66758.520000000019</v>
      </c>
      <c r="I96" s="118"/>
      <c r="J96" s="175">
        <f>H96/DAY(B2)</f>
        <v>-6675.8520000000017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0.16369135875689461</v>
      </c>
      <c r="H97" s="99">
        <f>G97+'9'!H97</f>
        <v>1.7898631445552617</v>
      </c>
      <c r="I97" s="167"/>
      <c r="J97" s="175">
        <f>H97/DAY(B2)</f>
        <v>0.17898631445552618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2574</v>
      </c>
      <c r="H98" s="99">
        <f>G98+'9'!H98</f>
        <v>378771.70999999996</v>
      </c>
      <c r="I98" s="168"/>
      <c r="J98" s="175">
        <f>H98/DAY(B2)</f>
        <v>37877.170999999995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0.15265998457979954</v>
      </c>
      <c r="H99" s="99">
        <f>G99+'9'!H99</f>
        <v>0.62860518950806887</v>
      </c>
      <c r="I99" s="168"/>
      <c r="J99" s="175">
        <f>H99/DAY(B2)</f>
        <v>6.2860518950806882E-2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1541</v>
      </c>
      <c r="H100" s="99">
        <f>G100+'9'!H100</f>
        <v>210504.57</v>
      </c>
      <c r="I100" s="118"/>
      <c r="J100" s="175">
        <f>H100/DAY(B2)</f>
        <v>21050.457000000002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0.481962832801973</v>
      </c>
      <c r="I101" s="168"/>
      <c r="J101" s="175">
        <f>H101/DAY(B2)</f>
        <v>4.8196283280197302E-2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1574</v>
      </c>
      <c r="H102" s="99">
        <f>G102+'9'!H102</f>
        <v>-35551.369999999995</v>
      </c>
      <c r="I102" s="168"/>
      <c r="J102" s="175">
        <f>H102/DAY(B2)</f>
        <v>-3555.1369999999997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1.0484766017092173</v>
      </c>
      <c r="I103" s="118"/>
      <c r="J103" s="175">
        <f>H103/DAY(B2)</f>
        <v>0.10484766017092173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1452</v>
      </c>
      <c r="H104" s="99">
        <f>G104+'9'!H104</f>
        <v>175103.91</v>
      </c>
      <c r="I104" s="118"/>
      <c r="J104" s="175">
        <f>H104/DAY(B2)</f>
        <v>17510.391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0.45193346031770532</v>
      </c>
      <c r="I105" s="187"/>
      <c r="J105" s="188">
        <f>H105/DAY(B2)</f>
        <v>4.5193346031770533E-2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-1626</v>
      </c>
      <c r="I112" s="165"/>
      <c r="J112" s="328">
        <f>H112/DAY(B2)</f>
        <v>-162.6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-9722.89</v>
      </c>
      <c r="I113" s="165"/>
      <c r="J113" s="328">
        <f>H113/DAY(B2)</f>
        <v>-972.28899999999999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-5634</v>
      </c>
      <c r="I114" s="165"/>
      <c r="J114" s="328">
        <f>H114/DAY(B2)</f>
        <v>-563.4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-206.64999999999964</v>
      </c>
      <c r="I115" s="165"/>
      <c r="J115" s="328">
        <f>H115/DAY(B2)</f>
        <v>-20.664999999999964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-491.94999999999982</v>
      </c>
      <c r="I117" s="165"/>
      <c r="J117" s="328">
        <f>H117/DAY(B2)</f>
        <v>-49.194999999999979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-7134.3099999999977</v>
      </c>
      <c r="I118" s="165"/>
      <c r="J118" s="328">
        <f>H118/DAY(B2)</f>
        <v>-713.43099999999981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-8689.5499999999884</v>
      </c>
      <c r="I119" s="165"/>
      <c r="J119" s="328">
        <f>H119/DAY(B2)</f>
        <v>-868.95499999999879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-8682.61</v>
      </c>
      <c r="I120" s="165"/>
      <c r="J120" s="328">
        <f>H120/DAY(B2)</f>
        <v>-868.26100000000008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-14143.429999999993</v>
      </c>
      <c r="I121" s="165"/>
      <c r="J121" s="328">
        <f>H121/DAY(B2)</f>
        <v>-1414.3429999999994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-3928.179999999993</v>
      </c>
      <c r="I122" s="165"/>
      <c r="J122" s="328">
        <f>H122/DAY(B2)</f>
        <v>-392.8179999999993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-5701.9500000000116</v>
      </c>
      <c r="I123" s="165"/>
      <c r="J123" s="328">
        <f>H123/DAY(B2)</f>
        <v>-570.19500000000119</v>
      </c>
    </row>
    <row r="124" spans="1:18" ht="29.25" customHeight="1">
      <c r="A124" s="867"/>
      <c r="B124" s="868"/>
      <c r="C124" s="86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-6460</v>
      </c>
      <c r="I128" s="165"/>
      <c r="J128" s="328">
        <f>H128/DAY(B2)</f>
        <v>-646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-4420.869999999999</v>
      </c>
      <c r="I129" s="165"/>
      <c r="J129" s="328">
        <f>H129/DAY(B2)</f>
        <v>-442.08699999999988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-10798</v>
      </c>
      <c r="I130" s="165"/>
      <c r="J130" s="328">
        <f>H130/DAY(B2)</f>
        <v>-1079.8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-1401.6800000000003</v>
      </c>
      <c r="I131" s="165"/>
      <c r="J131" s="328">
        <f>H131/DAY(B2)</f>
        <v>-140.16800000000003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-6095.3000000000029</v>
      </c>
      <c r="I132" s="165"/>
      <c r="J132" s="328">
        <f>H132/DAY(B2)</f>
        <v>-609.53000000000031</v>
      </c>
    </row>
    <row r="133" spans="1:15" ht="27.75">
      <c r="A133" s="863" t="s">
        <v>323</v>
      </c>
      <c r="B133" s="864"/>
      <c r="C133" s="865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-10224.699999999997</v>
      </c>
      <c r="I133" s="165"/>
      <c r="J133" s="328">
        <f>H133/DAY(B2)</f>
        <v>-1022.4699999999997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v>674585</v>
      </c>
      <c r="F134" s="551">
        <v>675240</v>
      </c>
      <c r="G134" s="112">
        <f t="shared" si="10"/>
        <v>655</v>
      </c>
      <c r="H134" s="99">
        <f>G134+'9'!H134</f>
        <v>666638.77</v>
      </c>
      <c r="I134" s="165"/>
      <c r="J134" s="328">
        <f>H134/DAY(B2)</f>
        <v>66663.877000000008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2642</v>
      </c>
      <c r="H135" s="99">
        <f>G135+'9'!H135</f>
        <v>627238.22</v>
      </c>
      <c r="I135" s="327">
        <f>G135-(G35+G49)</f>
        <v>-110</v>
      </c>
      <c r="J135" s="328">
        <f>H135/DAY(B2)</f>
        <v>62723.822</v>
      </c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-1340</v>
      </c>
      <c r="I138" s="118"/>
      <c r="J138" s="328">
        <f>H138/DAY(B2)</f>
        <v>-134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-24</v>
      </c>
      <c r="I139" s="118"/>
      <c r="J139" s="328">
        <f>H139/DAY(B2)</f>
        <v>-2.4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-24</v>
      </c>
      <c r="I140" s="118"/>
      <c r="J140" s="328">
        <f>H140/DAY(B2)</f>
        <v>-2.4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-3620.5800000000017</v>
      </c>
      <c r="I141" s="118"/>
      <c r="J141" s="328">
        <f>H141/DAY(B2)</f>
        <v>-362.05800000000016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-1579.0999999999985</v>
      </c>
      <c r="I142" s="140"/>
      <c r="J142" s="328">
        <f>H142/DAY(B2)</f>
        <v>-157.90999999999985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-540.38999999999987</v>
      </c>
      <c r="I143" s="140"/>
      <c r="J143" s="328">
        <f>H143/DAY(B2)</f>
        <v>-54.038999999999987</v>
      </c>
      <c r="O143" s="148">
        <v>582206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-4555</v>
      </c>
      <c r="I144" s="140"/>
      <c r="J144" s="328">
        <f>H144/DAY(B2)</f>
        <v>-455.5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-235.84000000000015</v>
      </c>
      <c r="I145" s="140"/>
      <c r="J145" s="328">
        <f>H145/DAY(B2)</f>
        <v>-23.584000000000014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-8155</v>
      </c>
      <c r="I146" s="140"/>
      <c r="J146" s="328">
        <f>H146/DAY(B2)</f>
        <v>-815.5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-7436.5200000000186</v>
      </c>
      <c r="I147" s="140"/>
      <c r="J147" s="328">
        <f>H147/DAY(B2)</f>
        <v>-743.65200000000186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-3791.9599999999627</v>
      </c>
      <c r="I148" s="124"/>
      <c r="J148" s="328">
        <f>H148/DAY(B2)</f>
        <v>-379.19599999999627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-9672.2000000000007</v>
      </c>
      <c r="I149" s="119"/>
      <c r="J149" s="328">
        <f>H149/DAY(B2)</f>
        <v>-967.22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-4594.83</v>
      </c>
      <c r="I150" s="119"/>
      <c r="J150" s="328">
        <f>H150/DAY(B2)</f>
        <v>-459.483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-4854</v>
      </c>
      <c r="I151" s="119"/>
      <c r="J151" s="328">
        <f>H151/DAY(B2)</f>
        <v>-485.4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-340</v>
      </c>
      <c r="I152" s="119"/>
      <c r="J152" s="328">
        <f>H152/DAY(B2)</f>
        <v>-34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-13784</v>
      </c>
      <c r="I155" s="364"/>
      <c r="J155" s="328">
        <f>H155/DAY(B2)</f>
        <v>-1378.4</v>
      </c>
    </row>
    <row r="156" spans="1:10" ht="27.75">
      <c r="A156" s="843" t="s">
        <v>346</v>
      </c>
      <c r="B156" s="843"/>
      <c r="C156" s="843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-1228</v>
      </c>
      <c r="I156" s="165"/>
      <c r="J156" s="328">
        <f>H156/DAY(B2)</f>
        <v>-122.8</v>
      </c>
    </row>
    <row r="157" spans="1:10" ht="27.75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-757.55999999999767</v>
      </c>
      <c r="I161" s="236"/>
      <c r="J161" s="239">
        <f>H161/DAY(B2)</f>
        <v>-75.755999999999773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-692.39999999999418</v>
      </c>
      <c r="I162" s="236"/>
      <c r="J162" s="239">
        <f>H162/DAY(B2)</f>
        <v>-69.239999999999412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-971.10000000000582</v>
      </c>
      <c r="I163" s="236"/>
      <c r="J163" s="239">
        <f>H163/DAY(B2)</f>
        <v>-97.110000000000582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-63</v>
      </c>
      <c r="I164" s="236"/>
      <c r="J164" s="239">
        <f>H164/DAY(B2)</f>
        <v>-6.3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-149.25</v>
      </c>
      <c r="I165" s="236"/>
      <c r="J165" s="239">
        <f>H165/DAY(B2)</f>
        <v>-14.925000000000001</v>
      </c>
    </row>
    <row r="166" spans="1:10" ht="29.25">
      <c r="A166" s="852"/>
      <c r="B166" s="85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>
      <c r="A174" s="856" t="s">
        <v>75</v>
      </c>
      <c r="B174" s="857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-226</v>
      </c>
      <c r="I174" s="155"/>
      <c r="J174" s="178">
        <f>H174/DAY(B2)</f>
        <v>-22.6</v>
      </c>
    </row>
    <row r="175" spans="1:10" ht="31.5" customHeight="1">
      <c r="A175" s="856" t="s">
        <v>76</v>
      </c>
      <c r="B175" s="896"/>
      <c r="C175" s="857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-203</v>
      </c>
      <c r="I175" s="155"/>
      <c r="J175" s="178">
        <f>H175/DAY(B2)</f>
        <v>-20.3</v>
      </c>
    </row>
    <row r="176" spans="1:10" ht="21.75" customHeight="1">
      <c r="A176" s="847" t="s">
        <v>196</v>
      </c>
      <c r="B176" s="848"/>
      <c r="C176" s="333"/>
      <c r="D176" s="228"/>
      <c r="E176" s="95"/>
      <c r="F176" s="155"/>
      <c r="G176" s="155">
        <f>SUM(G173:G175)</f>
        <v>5</v>
      </c>
      <c r="H176" s="99">
        <f>G176+'9'!H176</f>
        <v>-429</v>
      </c>
      <c r="I176" s="155"/>
      <c r="J176" s="178">
        <f>H176/DAY(B2)</f>
        <v>-42.9</v>
      </c>
    </row>
    <row r="177" spans="1:10" ht="27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56" t="s">
        <v>210</v>
      </c>
      <c r="B178" s="857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-1045</v>
      </c>
      <c r="I178" s="155"/>
      <c r="J178" s="178">
        <f>H178/DAY(B2)</f>
        <v>-104.5</v>
      </c>
    </row>
    <row r="179" spans="1:10" ht="27.75" customHeight="1">
      <c r="A179" s="856" t="s">
        <v>211</v>
      </c>
      <c r="B179" s="857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-710</v>
      </c>
      <c r="I179" s="155"/>
      <c r="J179" s="178">
        <f>H179/DAY(B2)</f>
        <v>-71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-158</v>
      </c>
      <c r="I180" s="155"/>
      <c r="J180" s="178">
        <f>H180/DAY(B2)</f>
        <v>-15.8</v>
      </c>
    </row>
    <row r="181" spans="1:10" ht="27.75">
      <c r="A181" s="858" t="s">
        <v>108</v>
      </c>
      <c r="B181" s="859"/>
      <c r="C181" s="333"/>
      <c r="D181" s="228"/>
      <c r="E181" s="95"/>
      <c r="F181" s="155"/>
      <c r="G181" s="155">
        <f>SUM(G178:G180)</f>
        <v>64</v>
      </c>
      <c r="H181" s="99">
        <f>G181+'9'!H181</f>
        <v>-1913</v>
      </c>
      <c r="I181" s="155"/>
      <c r="J181" s="178">
        <f>H181/DAY(B2)</f>
        <v>-191.3</v>
      </c>
    </row>
    <row r="182" spans="1:10" ht="27.75">
      <c r="A182" s="856" t="s">
        <v>213</v>
      </c>
      <c r="B182" s="85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-261</v>
      </c>
      <c r="I183" s="155"/>
      <c r="J183" s="178">
        <f>H183/DAY(B2)</f>
        <v>-26.1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-145</v>
      </c>
      <c r="I184" s="155"/>
      <c r="J184" s="178">
        <f>H184/DAY(B2)</f>
        <v>-14.5</v>
      </c>
    </row>
    <row r="185" spans="1:10" ht="37.5" customHeight="1">
      <c r="A185" s="856" t="s">
        <v>216</v>
      </c>
      <c r="B185" s="85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47" t="s">
        <v>196</v>
      </c>
      <c r="B186" s="848"/>
      <c r="C186" s="334"/>
      <c r="D186" s="229"/>
      <c r="E186" s="95"/>
      <c r="F186" s="157"/>
      <c r="G186" s="157">
        <f>SUM(G183:G185)</f>
        <v>15</v>
      </c>
      <c r="H186" s="99">
        <f>G186+'9'!H186</f>
        <v>-406</v>
      </c>
      <c r="I186" s="157"/>
      <c r="J186" s="178">
        <f>H186/DAY(B2)</f>
        <v>-40.6</v>
      </c>
    </row>
    <row r="187" spans="1:10" ht="21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550">
        <f>G62+G19</f>
        <v>115</v>
      </c>
      <c r="H187" s="99">
        <f>G187+'9'!H187</f>
        <v>-2847</v>
      </c>
      <c r="I187" s="158"/>
      <c r="J187" s="179">
        <f>H187/DAY(B2)</f>
        <v>-284.7</v>
      </c>
    </row>
    <row r="188" spans="1:10" ht="21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550">
        <f>G65+G66+G67+G69+G70</f>
        <v>106</v>
      </c>
      <c r="H188" s="99">
        <f>G188+'9'!H188</f>
        <v>-2762</v>
      </c>
      <c r="I188" s="158"/>
      <c r="J188" s="179">
        <f>H188/DAY(B2)</f>
        <v>-276.2</v>
      </c>
    </row>
    <row r="189" spans="1:10" ht="21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530">
        <f>G181</f>
        <v>64</v>
      </c>
      <c r="H189" s="99">
        <f>G189+'9'!H189</f>
        <v>-1913</v>
      </c>
      <c r="I189" s="158"/>
      <c r="J189" s="179">
        <f>H189/DAY(B2)</f>
        <v>-191.3</v>
      </c>
    </row>
    <row r="190" spans="1:10" ht="27" customHeight="1">
      <c r="A190" s="770"/>
      <c r="B190" s="771"/>
      <c r="C190" s="473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9.25"/>
    <row r="204" ht="29.25"/>
    <row r="205" ht="29.25"/>
    <row r="206" ht="29.25"/>
    <row r="207" ht="29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topLeftCell="A10" zoomScale="55" zoomScaleNormal="55" workbookViewId="0">
      <selection activeCell="F24" sqref="F24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-347316.23</v>
      </c>
      <c r="I7" s="113">
        <f>'1'!I7</f>
        <v>12000</v>
      </c>
      <c r="J7" s="175">
        <f>H7/DAY(B2)</f>
        <v>-31574.202727272725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-354286.15</v>
      </c>
      <c r="I8" s="116"/>
      <c r="J8" s="175">
        <f>H8/DAY(B2)</f>
        <v>-32207.831818181821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'10'!F9</f>
        <v>22761</v>
      </c>
      <c r="F9" s="598">
        <v>33440</v>
      </c>
      <c r="G9" s="112">
        <f>F9-E9</f>
        <v>10679</v>
      </c>
      <c r="H9" s="99">
        <f>G9+'10'!H9</f>
        <v>2108467.1500000004</v>
      </c>
      <c r="I9" s="124">
        <f>I7-J7</f>
        <v>43574.202727272728</v>
      </c>
      <c r="J9" s="175">
        <f>H9/DAY(B2)</f>
        <v>191678.83181818185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507145.03</v>
      </c>
      <c r="I10" s="282"/>
      <c r="J10" s="175">
        <f>H10/DAY(B2)</f>
        <v>46104.093636363636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-170</v>
      </c>
      <c r="I11" s="282"/>
      <c r="J11" s="175">
        <f>H11/DAY(B2)</f>
        <v>-15.454545454545455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2598687.75</v>
      </c>
      <c r="I13" s="120">
        <f>G7-G13</f>
        <v>480</v>
      </c>
      <c r="J13" s="175">
        <f>H13/DAY(B2)</f>
        <v>236244.34090909091</v>
      </c>
      <c r="K13" s="79"/>
      <c r="L13" s="66"/>
      <c r="N13" s="87"/>
      <c r="O13" s="71"/>
    </row>
    <row r="14" spans="1:15" ht="30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598">
        <v>1888289</v>
      </c>
      <c r="G15" s="112">
        <f>(F15-E15)</f>
        <v>931</v>
      </c>
      <c r="H15" s="99">
        <f>G15+'10'!H15</f>
        <v>-18347.766999999993</v>
      </c>
      <c r="I15" s="113">
        <f>'1'!I15</f>
        <v>800</v>
      </c>
      <c r="J15" s="175">
        <f>H15/DAY(B2)</f>
        <v>-1667.9788181818176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2467.9788181818176</v>
      </c>
      <c r="J16" s="176"/>
      <c r="K16" s="79"/>
      <c r="L16" s="66"/>
      <c r="N16" s="87"/>
      <c r="O16" s="71"/>
    </row>
    <row r="17" spans="1:15" ht="30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84" t="s">
        <v>141</v>
      </c>
      <c r="B18" s="885"/>
      <c r="C18" s="886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1830</v>
      </c>
      <c r="I18" s="113">
        <f>'1'!I18</f>
        <v>65</v>
      </c>
      <c r="J18" s="175">
        <f>H18/DAY(B2)</f>
        <v>166.36363636363637</v>
      </c>
      <c r="K18" s="79"/>
      <c r="L18" s="66"/>
      <c r="N18" s="87"/>
      <c r="O18" s="71"/>
    </row>
    <row r="19" spans="1:15" ht="30.75" customHeight="1">
      <c r="A19" s="884" t="s">
        <v>69</v>
      </c>
      <c r="B19" s="885"/>
      <c r="C19" s="886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-1092</v>
      </c>
      <c r="I19" s="335"/>
      <c r="J19" s="175">
        <f>H19/DAY(B2)</f>
        <v>-99.272727272727266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738</v>
      </c>
      <c r="I20" s="336">
        <f>I18-J20</f>
        <v>-2.0909090909090935</v>
      </c>
      <c r="J20" s="175">
        <f>H20/DAY(B2)</f>
        <v>67.090909090909093</v>
      </c>
      <c r="K20" s="79"/>
      <c r="L20" s="66"/>
      <c r="N20" s="87"/>
      <c r="O20" s="71"/>
    </row>
    <row r="21" spans="1:15" ht="30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-3188575.3500000006</v>
      </c>
      <c r="I27" s="138"/>
      <c r="J27" s="175">
        <f>H27/DAY(B2)</f>
        <v>-289870.48636363639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-954083.88399999961</v>
      </c>
      <c r="I28" s="140"/>
      <c r="J28" s="175">
        <f>H28/DAY(B2)</f>
        <v>-86734.898545454504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-159432</v>
      </c>
      <c r="I30" s="140"/>
      <c r="J30" s="175">
        <f>H30/DAY(B2)</f>
        <v>-14493.818181818182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146400</v>
      </c>
      <c r="I31" s="140"/>
      <c r="J31" s="175">
        <f>H31/DAY(B2)</f>
        <v>13309.09090909091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-4155691.2340000002</v>
      </c>
      <c r="I32" s="144"/>
      <c r="J32" s="175">
        <f>H32/DAY(B2)</f>
        <v>-377790.11218181817</v>
      </c>
      <c r="K32" s="63"/>
      <c r="L32" s="89"/>
      <c r="N32" s="87"/>
      <c r="O32" s="71"/>
    </row>
    <row r="33" spans="1:15" ht="30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140897.01999999999</v>
      </c>
      <c r="I35" s="95"/>
      <c r="J35" s="175">
        <f>H35/DAY(B2)</f>
        <v>12808.82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-13559.739999999998</v>
      </c>
      <c r="I36" s="95"/>
      <c r="J36" s="175">
        <f>H36/DAY(B2)</f>
        <v>-1232.7036363636362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176548.91</v>
      </c>
      <c r="I37" s="95"/>
      <c r="J37" s="175">
        <f>H37/DAY(B2)</f>
        <v>16049.900909090909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211998.57</v>
      </c>
      <c r="I38" s="95"/>
      <c r="J38" s="175">
        <f>H38/DAY(B2)</f>
        <v>19272.597272727275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381242.70999999996</v>
      </c>
      <c r="I39" s="95"/>
      <c r="J39" s="175">
        <f>H39/DAY(B2)</f>
        <v>34658.428181818177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-12122.990000000002</v>
      </c>
      <c r="I40" s="95"/>
      <c r="J40" s="175">
        <f>H40/DAY(B2)</f>
        <v>-1102.0900000000001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-62.73</v>
      </c>
      <c r="I41" s="95"/>
      <c r="J41" s="175">
        <f>H41/DAY(B2)</f>
        <v>-5.7027272727272722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-26320.740000000005</v>
      </c>
      <c r="I42" s="95"/>
      <c r="J42" s="175">
        <f>H42/DAY(B2)</f>
        <v>-2392.7945454545461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-42155.600000000006</v>
      </c>
      <c r="I43" s="95"/>
      <c r="J43" s="175">
        <f>H43/DAY(B2)</f>
        <v>-3832.3272727272733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816465.41</v>
      </c>
      <c r="I47" s="95"/>
      <c r="J47" s="175">
        <f>H47/DAY(B2)</f>
        <v>74224.128181818189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264044.81</v>
      </c>
      <c r="I49" s="95"/>
      <c r="J49" s="175">
        <f>H49/DAY(B2)</f>
        <v>24004.073636363635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-20422.629999999997</v>
      </c>
      <c r="I50" s="95"/>
      <c r="J50" s="175">
        <f>H50/DAY(B2)</f>
        <v>-1856.602727272727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-1670.42</v>
      </c>
      <c r="I54" s="95"/>
      <c r="J54" s="175">
        <f>H54/DAY(B2)</f>
        <v>-151.85636363636365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-37469.11</v>
      </c>
      <c r="I55" s="95"/>
      <c r="J55" s="175">
        <f>H55/DAY(B2)</f>
        <v>-3406.2827272727272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-3467.21</v>
      </c>
      <c r="I58" s="95"/>
      <c r="J58" s="175">
        <f>H58/DAY(B2)</f>
        <v>-315.20090909090908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201015.9</v>
      </c>
      <c r="I59" s="95">
        <f>G7-G60</f>
        <v>948.60000000000582</v>
      </c>
      <c r="J59" s="175">
        <f>H59/DAY(B2)</f>
        <v>18274.172727272726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1017481.3099999999</v>
      </c>
      <c r="I60" s="95">
        <f>G13-G60</f>
        <v>468.60000000000582</v>
      </c>
      <c r="J60" s="175">
        <f>H60/DAY(B2)</f>
        <v>92498.300909090904</v>
      </c>
      <c r="K60" s="79"/>
      <c r="L60" s="66"/>
      <c r="N60" s="87"/>
      <c r="O60" s="71"/>
    </row>
    <row r="61" spans="1:15" s="68" customFormat="1" ht="30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84" t="s">
        <v>198</v>
      </c>
      <c r="B62" s="885"/>
      <c r="C62" s="886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-1632</v>
      </c>
      <c r="I62" s="118"/>
      <c r="J62" s="175">
        <f>H62/DAY(B2)</f>
        <v>-148.36363636363637</v>
      </c>
      <c r="K62" s="80"/>
      <c r="L62" s="66"/>
      <c r="N62" s="87"/>
      <c r="O62" s="71"/>
    </row>
    <row r="63" spans="1:15" ht="30.75" customHeight="1">
      <c r="A63" s="884" t="s">
        <v>199</v>
      </c>
      <c r="B63" s="885"/>
      <c r="C63" s="886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-2188</v>
      </c>
      <c r="I63" s="118"/>
      <c r="J63" s="175">
        <f>H63/DAY(B2)</f>
        <v>-198.90909090909091</v>
      </c>
      <c r="K63" s="69"/>
      <c r="L63" s="66"/>
      <c r="N63" s="87"/>
      <c r="O63" s="71"/>
    </row>
    <row r="64" spans="1:15" ht="30.75" customHeight="1">
      <c r="A64" s="893" t="s">
        <v>200</v>
      </c>
      <c r="B64" s="894"/>
      <c r="C64" s="895"/>
      <c r="D64" s="151"/>
      <c r="E64" s="95">
        <f>'10'!F64</f>
        <v>0</v>
      </c>
      <c r="F64" s="122"/>
      <c r="G64" s="112">
        <f>G62+G63</f>
        <v>181</v>
      </c>
      <c r="H64" s="99">
        <f>G64+'10'!H64</f>
        <v>-3820</v>
      </c>
      <c r="I64" s="118"/>
      <c r="J64" s="175">
        <f>H64/DAY(B2)</f>
        <v>-347.27272727272725</v>
      </c>
      <c r="K64" s="69"/>
      <c r="L64" s="66"/>
      <c r="N64" s="87"/>
      <c r="O64" s="71"/>
    </row>
    <row r="65" spans="1:15" ht="30.75" customHeight="1">
      <c r="A65" s="884" t="s">
        <v>201</v>
      </c>
      <c r="B65" s="885"/>
      <c r="C65" s="886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-1501</v>
      </c>
      <c r="I65" s="118"/>
      <c r="J65" s="175">
        <f>H65/DAY(B2)</f>
        <v>-136.45454545454547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-319</v>
      </c>
      <c r="I66" s="118"/>
      <c r="J66" s="175">
        <f>H66/DAY(B2)</f>
        <v>-29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-445</v>
      </c>
      <c r="I67" s="118"/>
      <c r="J67" s="175">
        <f>H67/DAY(B2)</f>
        <v>-40.454545454545453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-792</v>
      </c>
      <c r="I68" s="118"/>
      <c r="J68" s="175">
        <f>H68/DAY(B2)</f>
        <v>-72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-206</v>
      </c>
      <c r="I69" s="118"/>
      <c r="J69" s="175">
        <f>H69/DAY(B2)</f>
        <v>-18.727272727272727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-167</v>
      </c>
      <c r="I70" s="118"/>
      <c r="J70" s="175">
        <f>H70/DAY(B2)</f>
        <v>-15.181818181818182</v>
      </c>
      <c r="K70" s="69"/>
      <c r="L70" s="66"/>
      <c r="N70" s="87"/>
      <c r="O70" s="71"/>
    </row>
    <row r="71" spans="1:15" ht="30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150</v>
      </c>
      <c r="H71" s="99">
        <f>G71+'10'!H71</f>
        <v>-3430</v>
      </c>
      <c r="I71" s="154"/>
      <c r="J71" s="175">
        <f>H71/DAY(B2)</f>
        <v>-311.81818181818181</v>
      </c>
      <c r="K71" s="69"/>
      <c r="L71" s="66"/>
      <c r="N71" s="87"/>
      <c r="O71" s="71"/>
    </row>
    <row r="72" spans="1:15" s="88" customFormat="1" ht="30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84" t="s">
        <v>220</v>
      </c>
      <c r="B74" s="885"/>
      <c r="C74" s="886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-6064.1489999999758</v>
      </c>
      <c r="I74" s="154"/>
      <c r="J74" s="175">
        <f>H74/DAY(B2)</f>
        <v>-551.28627272727056</v>
      </c>
      <c r="K74" s="69"/>
      <c r="L74" s="66"/>
      <c r="N74" s="87"/>
      <c r="O74" s="71"/>
    </row>
    <row r="75" spans="1:15" ht="30.75" customHeight="1">
      <c r="A75" s="884" t="s">
        <v>221</v>
      </c>
      <c r="B75" s="885"/>
      <c r="C75" s="88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>
      <c r="A76" s="881" t="s">
        <v>222</v>
      </c>
      <c r="B76" s="882"/>
      <c r="C76" s="883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-1817</v>
      </c>
      <c r="I76" s="154"/>
      <c r="J76" s="175">
        <f>H76/DAY(B2)</f>
        <v>-165.18181818181819</v>
      </c>
      <c r="K76" s="69"/>
      <c r="L76" s="66"/>
      <c r="N76" s="87"/>
      <c r="O76" s="71"/>
    </row>
    <row r="77" spans="1:15" ht="30.75" customHeight="1">
      <c r="A77" s="881" t="s">
        <v>223</v>
      </c>
      <c r="B77" s="882"/>
      <c r="C77" s="883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-631.19999999999709</v>
      </c>
      <c r="I77" s="154"/>
      <c r="J77" s="175">
        <f>H77/DAY(B2)</f>
        <v>-57.38181818181792</v>
      </c>
      <c r="K77" s="69"/>
      <c r="L77" s="66"/>
      <c r="N77" s="87"/>
      <c r="O77" s="71"/>
    </row>
    <row r="78" spans="1:15" ht="30.75" customHeight="1">
      <c r="A78" s="881" t="s">
        <v>224</v>
      </c>
      <c r="B78" s="882"/>
      <c r="C78" s="883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-20</v>
      </c>
      <c r="I78" s="118"/>
      <c r="J78" s="175">
        <f>H78/DAY(B2)</f>
        <v>-1.8181818181818181</v>
      </c>
      <c r="K78" s="69"/>
      <c r="L78" s="66"/>
      <c r="N78" s="87"/>
      <c r="O78" s="71"/>
    </row>
    <row r="79" spans="1:15" s="57" customFormat="1" ht="30.75" customHeight="1">
      <c r="A79" s="881" t="s">
        <v>225</v>
      </c>
      <c r="B79" s="882"/>
      <c r="C79" s="883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-9815.6180000000168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-163.86999999999989</v>
      </c>
      <c r="I85" s="118">
        <f>G82+G83+G84+G85</f>
        <v>0</v>
      </c>
      <c r="J85" s="175">
        <f>H85/DAY(B2)</f>
        <v>-14.897272727272718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-314</v>
      </c>
      <c r="I86" s="118"/>
      <c r="J86" s="175">
        <f>H86/DAY(B2)</f>
        <v>-28.545454545454547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5.0000000002910383E-2</v>
      </c>
      <c r="I87" s="118"/>
      <c r="J87" s="175">
        <f>H87/DAY(B2)</f>
        <v>4.5454545457191261E-3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-5.430000000000291</v>
      </c>
      <c r="I88" s="118">
        <f>G86+G87+G88</f>
        <v>24</v>
      </c>
      <c r="J88" s="175">
        <f>H88/DAY(B2)</f>
        <v>-0.49363636363639007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-157.11999999999898</v>
      </c>
      <c r="I89" s="118"/>
      <c r="J89" s="175">
        <f>H89/DAY(B2)</f>
        <v>-14.283636363636271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-75.320000000006985</v>
      </c>
      <c r="I90" s="118">
        <f>G89+G90</f>
        <v>12</v>
      </c>
      <c r="J90" s="175">
        <f>H90/DAY(B2)</f>
        <v>-6.8472727272733627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-24.769999999999982</v>
      </c>
      <c r="I91" s="165"/>
      <c r="J91" s="175">
        <f>H91/DAY(B2)</f>
        <v>-2.2518181818181802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-190.06999999999971</v>
      </c>
      <c r="I92" s="165"/>
      <c r="J92" s="175">
        <f>H92/DAY(B2)</f>
        <v>-17.279090909090883</v>
      </c>
      <c r="O92" s="71"/>
    </row>
    <row r="93" spans="1:15" ht="30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4739</v>
      </c>
      <c r="H94" s="99">
        <f>G94+'10'!H94</f>
        <v>362786.23</v>
      </c>
      <c r="I94" s="118"/>
      <c r="J94" s="175">
        <f>H94/DAY(B2)</f>
        <v>32980.566363636361</v>
      </c>
      <c r="K94" s="69"/>
      <c r="L94" s="66"/>
      <c r="O94" s="71"/>
    </row>
    <row r="95" spans="1:15" ht="30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0.27835535976505138</v>
      </c>
      <c r="H95" s="99">
        <f>G95+'10'!H95</f>
        <v>2.0294197762746977</v>
      </c>
      <c r="I95" s="167"/>
      <c r="J95" s="175">
        <f>H95/DAY(B2)</f>
        <v>0.18449270693406342</v>
      </c>
      <c r="K95" s="69"/>
      <c r="L95" s="66"/>
      <c r="O95" s="71"/>
    </row>
    <row r="96" spans="1:15" ht="30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-63852.120000000024</v>
      </c>
      <c r="I96" s="118"/>
      <c r="J96" s="175">
        <f>H96/DAY(B2)</f>
        <v>-5804.7381818181839</v>
      </c>
      <c r="K96" s="69"/>
      <c r="L96" s="66"/>
      <c r="O96" s="71"/>
    </row>
    <row r="97" spans="1:15" ht="30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0.17071365638766486</v>
      </c>
      <c r="H97" s="99">
        <f>G97+'10'!H97</f>
        <v>1.9605768009429265</v>
      </c>
      <c r="I97" s="167"/>
      <c r="J97" s="175">
        <f>H97/DAY(B2)</f>
        <v>0.17823425463117515</v>
      </c>
      <c r="K97" s="69"/>
      <c r="L97" s="66"/>
      <c r="O97" s="71"/>
    </row>
    <row r="98" spans="1:15" ht="30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2471</v>
      </c>
      <c r="H98" s="99">
        <f>G98+'10'!H98</f>
        <v>381242.70999999996</v>
      </c>
      <c r="I98" s="168"/>
      <c r="J98" s="175">
        <f>H98/DAY(B2)</f>
        <v>34658.428181818177</v>
      </c>
      <c r="K98" s="69"/>
      <c r="L98" s="66"/>
      <c r="O98" s="71"/>
    </row>
    <row r="99" spans="1:15" ht="30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0.14513950073421439</v>
      </c>
      <c r="H99" s="99">
        <f>G99+'10'!H99</f>
        <v>0.77374469024228332</v>
      </c>
      <c r="I99" s="168"/>
      <c r="J99" s="175">
        <f>H99/DAY(B2)</f>
        <v>7.0340426385662125E-2</v>
      </c>
      <c r="O99" s="71"/>
    </row>
    <row r="100" spans="1:15" ht="30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1494</v>
      </c>
      <c r="H100" s="99">
        <f>G100+'10'!H100</f>
        <v>211998.57</v>
      </c>
      <c r="I100" s="118"/>
      <c r="J100" s="175">
        <f>H100/DAY(B2)</f>
        <v>19272.597272727275</v>
      </c>
      <c r="K100" s="70"/>
      <c r="O100" s="71"/>
    </row>
    <row r="101" spans="1:15" ht="30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0.56971613676673072</v>
      </c>
      <c r="I101" s="168"/>
      <c r="J101" s="175">
        <f>H101/DAY(B2)</f>
        <v>5.1792376069702793E-2</v>
      </c>
      <c r="O101" s="71"/>
    </row>
    <row r="102" spans="1:15" ht="30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1569</v>
      </c>
      <c r="H102" s="99">
        <f>G102+'10'!H102</f>
        <v>-33982.369999999995</v>
      </c>
      <c r="I102" s="168"/>
      <c r="J102" s="175">
        <f>H102/DAY(B2)</f>
        <v>-3089.3063636363631</v>
      </c>
      <c r="O102" s="71"/>
    </row>
    <row r="103" spans="1:15" ht="30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1.1406351920175875</v>
      </c>
      <c r="I103" s="118"/>
      <c r="J103" s="175">
        <f>H103/DAY(B2)</f>
        <v>0.10369410836523522</v>
      </c>
      <c r="O103" s="71"/>
    </row>
    <row r="104" spans="1:15" ht="30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1445</v>
      </c>
      <c r="H104" s="99">
        <f>G104+'10'!H104</f>
        <v>176548.91</v>
      </c>
      <c r="I104" s="118"/>
      <c r="J104" s="175">
        <f>H104/DAY(B2)</f>
        <v>16049.900909090909</v>
      </c>
      <c r="O104" s="71"/>
    </row>
    <row r="105" spans="1:15" ht="30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0.536808643871303</v>
      </c>
      <c r="I105" s="187"/>
      <c r="J105" s="188">
        <f>H105/DAY(B2)</f>
        <v>4.8800785806482089E-2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>
      <c r="A109" s="901"/>
      <c r="B109" s="901"/>
    </row>
    <row r="110" spans="1:15" ht="30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63" t="s">
        <v>252</v>
      </c>
      <c r="B112" s="864"/>
      <c r="C112" s="865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-1549</v>
      </c>
      <c r="I112" s="165"/>
      <c r="J112" s="328">
        <f>H112/DAY(B2)</f>
        <v>-140.81818181818181</v>
      </c>
    </row>
    <row r="113" spans="1:18" ht="30.75" customHeight="1">
      <c r="A113" s="863" t="s">
        <v>253</v>
      </c>
      <c r="B113" s="864"/>
      <c r="C113" s="865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-9260.89</v>
      </c>
      <c r="I113" s="165"/>
      <c r="J113" s="328">
        <f>H113/DAY(B2)</f>
        <v>-841.89909090909089</v>
      </c>
    </row>
    <row r="114" spans="1:18" ht="30.75" customHeight="1">
      <c r="A114" s="863" t="s">
        <v>254</v>
      </c>
      <c r="B114" s="864"/>
      <c r="C114" s="865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-5371</v>
      </c>
      <c r="I114" s="165"/>
      <c r="J114" s="328">
        <f>H114/DAY(B2)</f>
        <v>-488.27272727272725</v>
      </c>
    </row>
    <row r="115" spans="1:18" ht="30.75" customHeight="1">
      <c r="A115" s="863" t="s">
        <v>255</v>
      </c>
      <c r="B115" s="864"/>
      <c r="C115" s="865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-194.64999999999964</v>
      </c>
      <c r="I115" s="165"/>
      <c r="J115" s="328">
        <f>H115/DAY(B2)</f>
        <v>-17.695454545454513</v>
      </c>
    </row>
    <row r="116" spans="1:18" ht="30.75" customHeight="1">
      <c r="A116" s="870" t="s">
        <v>96</v>
      </c>
      <c r="B116" s="871"/>
      <c r="C116" s="872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>
      <c r="A117" s="870" t="s">
        <v>184</v>
      </c>
      <c r="B117" s="871"/>
      <c r="C117" s="872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-466.94999999999982</v>
      </c>
      <c r="I117" s="165"/>
      <c r="J117" s="328">
        <f>H117/DAY(B2)</f>
        <v>-42.449999999999982</v>
      </c>
      <c r="Q117" s="863" t="s">
        <v>312</v>
      </c>
      <c r="R117" s="865"/>
    </row>
    <row r="118" spans="1:18" ht="30.75" customHeight="1">
      <c r="A118" s="862" t="s">
        <v>97</v>
      </c>
      <c r="B118" s="862"/>
      <c r="C118" s="862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-6796.3099999999977</v>
      </c>
      <c r="I118" s="165"/>
      <c r="J118" s="328">
        <f>H118/DAY(B2)</f>
        <v>-617.84636363636344</v>
      </c>
      <c r="Q118" s="863" t="s">
        <v>311</v>
      </c>
      <c r="R118" s="865"/>
    </row>
    <row r="119" spans="1:18" ht="30.75" customHeight="1">
      <c r="A119" s="862" t="s">
        <v>98</v>
      </c>
      <c r="B119" s="862"/>
      <c r="C119" s="862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-8289.5499999999884</v>
      </c>
      <c r="I119" s="165"/>
      <c r="J119" s="328">
        <f>H119/DAY(B2)</f>
        <v>-753.59545454545344</v>
      </c>
    </row>
    <row r="120" spans="1:18" ht="30.75" customHeight="1">
      <c r="A120" s="862" t="s">
        <v>99</v>
      </c>
      <c r="B120" s="862"/>
      <c r="C120" s="862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-8303.61</v>
      </c>
      <c r="I120" s="165"/>
      <c r="J120" s="328">
        <f>H120/DAY(B2)</f>
        <v>-754.87363636363636</v>
      </c>
    </row>
    <row r="121" spans="1:18" ht="30.75" customHeight="1">
      <c r="A121" s="862" t="s">
        <v>100</v>
      </c>
      <c r="B121" s="862"/>
      <c r="C121" s="862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-13524.429999999993</v>
      </c>
      <c r="I121" s="165"/>
      <c r="J121" s="328">
        <f>H121/DAY(B2)</f>
        <v>-1229.4936363636357</v>
      </c>
    </row>
    <row r="122" spans="1:18" ht="30.75" customHeight="1">
      <c r="A122" s="862" t="s">
        <v>101</v>
      </c>
      <c r="B122" s="862"/>
      <c r="C122" s="862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-3755.179999999993</v>
      </c>
      <c r="I122" s="165"/>
      <c r="J122" s="328">
        <f>H122/DAY(B2)</f>
        <v>-341.37999999999937</v>
      </c>
    </row>
    <row r="123" spans="1:18" ht="30.75" customHeight="1">
      <c r="A123" s="862" t="s">
        <v>102</v>
      </c>
      <c r="B123" s="862"/>
      <c r="C123" s="862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-5418.9500000000116</v>
      </c>
      <c r="I123" s="165"/>
      <c r="J123" s="328">
        <f>H123/DAY(B2)</f>
        <v>-492.63181818181926</v>
      </c>
    </row>
    <row r="124" spans="1:18" ht="30.7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>
      <c r="A127" s="852"/>
      <c r="B127" s="85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63" t="s">
        <v>318</v>
      </c>
      <c r="B128" s="864"/>
      <c r="C128" s="865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-6163</v>
      </c>
      <c r="I128" s="165"/>
      <c r="J128" s="328">
        <f>H128/DAY(B2)</f>
        <v>-560.27272727272725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-4213.869999999999</v>
      </c>
      <c r="I129" s="165"/>
      <c r="J129" s="328">
        <f>H129/DAY(B2)</f>
        <v>-383.07909090909084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-10341</v>
      </c>
      <c r="I130" s="165"/>
      <c r="J130" s="328">
        <f>H130/DAY(B2)</f>
        <v>-940.09090909090912</v>
      </c>
      <c r="N130" s="240"/>
      <c r="O130" s="241"/>
    </row>
    <row r="131" spans="1:15" ht="30.75" customHeight="1">
      <c r="A131" s="863" t="s">
        <v>321</v>
      </c>
      <c r="B131" s="864"/>
      <c r="C131" s="865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-1341.6800000000003</v>
      </c>
      <c r="I131" s="165"/>
      <c r="J131" s="328">
        <f>H131/DAY(B2)</f>
        <v>-121.97090909090912</v>
      </c>
      <c r="N131" s="240"/>
      <c r="O131" s="241"/>
    </row>
    <row r="132" spans="1:15" ht="30.75" customHeight="1">
      <c r="A132" s="863" t="s">
        <v>322</v>
      </c>
      <c r="B132" s="864"/>
      <c r="C132" s="865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-5585.3000000000029</v>
      </c>
      <c r="I132" s="165"/>
      <c r="J132" s="328">
        <f>H132/DAY(B2)</f>
        <v>-507.75454545454573</v>
      </c>
    </row>
    <row r="133" spans="1:15" ht="30.75" customHeight="1">
      <c r="A133" s="863" t="s">
        <v>362</v>
      </c>
      <c r="B133" s="864"/>
      <c r="C133" s="865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-9838.6999999999971</v>
      </c>
      <c r="I133" s="165"/>
      <c r="J133" s="328">
        <f>H133/DAY(B2)</f>
        <v>-894.42727272727245</v>
      </c>
    </row>
    <row r="134" spans="1:15" ht="30.75" customHeight="1">
      <c r="A134" s="863" t="s">
        <v>340</v>
      </c>
      <c r="B134" s="864"/>
      <c r="C134" s="865"/>
      <c r="D134" s="151" t="s">
        <v>183</v>
      </c>
      <c r="E134" s="95">
        <f>'10'!F134</f>
        <v>675240</v>
      </c>
      <c r="F134" s="551">
        <v>675870</v>
      </c>
      <c r="G134" s="112">
        <f t="shared" si="10"/>
        <v>630</v>
      </c>
      <c r="H134" s="99">
        <f>G134+'10'!H134</f>
        <v>667268.77</v>
      </c>
      <c r="I134" s="165"/>
      <c r="J134" s="328">
        <f>H134/DAY(B2)</f>
        <v>60660.797272727272</v>
      </c>
    </row>
    <row r="135" spans="1:15" ht="30.7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2547</v>
      </c>
      <c r="H135" s="99">
        <f>G135+'10'!H135</f>
        <v>629785.22</v>
      </c>
      <c r="I135" s="327">
        <f>G135-(G35+G49)</f>
        <v>-152</v>
      </c>
      <c r="J135" s="328">
        <f>H135/DAY(B2)</f>
        <v>57253.201818181813</v>
      </c>
    </row>
    <row r="136" spans="1:15" ht="30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>
      <c r="A138" s="862" t="s">
        <v>185</v>
      </c>
      <c r="B138" s="862"/>
      <c r="C138" s="862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-1292</v>
      </c>
      <c r="I138" s="118"/>
      <c r="J138" s="328">
        <f>H138/DAY(B2)</f>
        <v>-117.45454545454545</v>
      </c>
    </row>
    <row r="139" spans="1:15" ht="30.75" customHeight="1">
      <c r="A139" s="862" t="s">
        <v>186</v>
      </c>
      <c r="B139" s="862"/>
      <c r="C139" s="862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-24</v>
      </c>
      <c r="I139" s="118"/>
      <c r="J139" s="328">
        <f>H139/DAY(B2)</f>
        <v>-2.1818181818181817</v>
      </c>
    </row>
    <row r="140" spans="1:15" ht="30.75" customHeight="1">
      <c r="A140" s="862" t="s">
        <v>187</v>
      </c>
      <c r="B140" s="862"/>
      <c r="C140" s="862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-24</v>
      </c>
      <c r="I140" s="118"/>
      <c r="J140" s="328">
        <f>H140/DAY(B2)</f>
        <v>-2.1818181818181817</v>
      </c>
    </row>
    <row r="141" spans="1:15" ht="30.75" customHeight="1">
      <c r="A141" s="843" t="s">
        <v>188</v>
      </c>
      <c r="B141" s="843"/>
      <c r="C141" s="843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-3453.5800000000017</v>
      </c>
      <c r="I141" s="118"/>
      <c r="J141" s="328">
        <f>H141/DAY(B2)</f>
        <v>-313.96181818181833</v>
      </c>
    </row>
    <row r="142" spans="1:15" ht="30.75" customHeight="1">
      <c r="A142" s="843" t="s">
        <v>189</v>
      </c>
      <c r="B142" s="843"/>
      <c r="C142" s="843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-1514.0999999999985</v>
      </c>
      <c r="I142" s="140"/>
      <c r="J142" s="328">
        <f>H142/DAY(B2)</f>
        <v>-137.64545454545441</v>
      </c>
    </row>
    <row r="143" spans="1:15" ht="30.75" customHeight="1">
      <c r="A143" s="862" t="s">
        <v>91</v>
      </c>
      <c r="B143" s="862"/>
      <c r="C143" s="862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-516.38999999999987</v>
      </c>
      <c r="I143" s="140"/>
      <c r="J143" s="328">
        <f>H143/DAY(B2)</f>
        <v>-46.944545454545441</v>
      </c>
    </row>
    <row r="144" spans="1:15" ht="30.75" customHeight="1">
      <c r="A144" s="843" t="s">
        <v>90</v>
      </c>
      <c r="B144" s="843"/>
      <c r="C144" s="843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-4341</v>
      </c>
      <c r="I144" s="140"/>
      <c r="J144" s="328">
        <f>H144/DAY(B2)</f>
        <v>-394.63636363636363</v>
      </c>
    </row>
    <row r="145" spans="1:10" ht="30.75" customHeight="1">
      <c r="A145" s="862" t="s">
        <v>190</v>
      </c>
      <c r="B145" s="862"/>
      <c r="C145" s="862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-225.84000000000015</v>
      </c>
      <c r="I145" s="140"/>
      <c r="J145" s="328">
        <f>H145/DAY(B2)</f>
        <v>-20.530909090909105</v>
      </c>
    </row>
    <row r="146" spans="1:10" ht="30.75" customHeight="1">
      <c r="A146" s="897" t="s">
        <v>191</v>
      </c>
      <c r="B146" s="882"/>
      <c r="C146" s="883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-7868</v>
      </c>
      <c r="I146" s="140"/>
      <c r="J146" s="328">
        <f>H146/DAY(B2)</f>
        <v>-715.27272727272725</v>
      </c>
    </row>
    <row r="147" spans="1:10" ht="30.75" customHeight="1">
      <c r="A147" s="843" t="s">
        <v>192</v>
      </c>
      <c r="B147" s="843"/>
      <c r="C147" s="843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-7083.5200000000186</v>
      </c>
      <c r="I147" s="140"/>
      <c r="J147" s="328">
        <f>H147/DAY(B2)</f>
        <v>-643.95636363636538</v>
      </c>
    </row>
    <row r="148" spans="1:10" ht="30.75" customHeight="1">
      <c r="A148" s="844" t="s">
        <v>193</v>
      </c>
      <c r="B148" s="845"/>
      <c r="C148" s="846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-3603.9599999999627</v>
      </c>
      <c r="I148" s="124"/>
      <c r="J148" s="328">
        <f>H148/DAY(B2)</f>
        <v>-327.63272727272391</v>
      </c>
    </row>
    <row r="149" spans="1:10" ht="30.75" customHeight="1">
      <c r="A149" s="844" t="s">
        <v>336</v>
      </c>
      <c r="B149" s="845"/>
      <c r="C149" s="846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-9319.2000000000007</v>
      </c>
      <c r="I149" s="119"/>
      <c r="J149" s="328">
        <f>H149/DAY(B2)</f>
        <v>-847.2</v>
      </c>
    </row>
    <row r="150" spans="1:10" ht="30.75" customHeight="1">
      <c r="A150" s="844" t="s">
        <v>337</v>
      </c>
      <c r="B150" s="845"/>
      <c r="C150" s="846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-4379.83</v>
      </c>
      <c r="I150" s="119"/>
      <c r="J150" s="328">
        <f>H150/DAY(B2)</f>
        <v>-398.16636363636366</v>
      </c>
    </row>
    <row r="151" spans="1:10" ht="30.75" customHeight="1">
      <c r="A151" s="844" t="s">
        <v>338</v>
      </c>
      <c r="B151" s="845"/>
      <c r="C151" s="846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-4641</v>
      </c>
      <c r="I151" s="119"/>
      <c r="J151" s="328">
        <f>H151/DAY(B2)</f>
        <v>-421.90909090909093</v>
      </c>
    </row>
    <row r="152" spans="1:10" ht="30.75" customHeight="1">
      <c r="A152" s="844" t="s">
        <v>339</v>
      </c>
      <c r="B152" s="845"/>
      <c r="C152" s="846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-326</v>
      </c>
      <c r="I152" s="119"/>
      <c r="J152" s="328">
        <f>H152/DAY(B2)</f>
        <v>-29.636363636363637</v>
      </c>
    </row>
    <row r="153" spans="1:10" ht="30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>
      <c r="A155" s="843" t="s">
        <v>345</v>
      </c>
      <c r="B155" s="843"/>
      <c r="C155" s="843"/>
      <c r="D155" s="117" t="s">
        <v>130</v>
      </c>
      <c r="E155" s="95">
        <f>'10'!F155</f>
        <v>19161</v>
      </c>
      <c r="F155" s="551">
        <v>19716</v>
      </c>
      <c r="G155" s="112">
        <f t="shared" ref="G155:G156" si="12">F155-E155</f>
        <v>555</v>
      </c>
      <c r="H155" s="99">
        <f>G155+'10'!H155</f>
        <v>-13229</v>
      </c>
      <c r="I155" s="364"/>
      <c r="J155" s="328">
        <f>H155/DAY(B2)</f>
        <v>-1202.6363636363637</v>
      </c>
    </row>
    <row r="156" spans="1:10" ht="30.75" customHeight="1">
      <c r="A156" s="843" t="s">
        <v>347</v>
      </c>
      <c r="B156" s="843"/>
      <c r="C156" s="843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-1177</v>
      </c>
      <c r="I156" s="165"/>
      <c r="J156" s="328">
        <f>H156/DAY(B2)</f>
        <v>-107</v>
      </c>
    </row>
    <row r="157" spans="1:10" ht="30.75" customHeight="1">
      <c r="A157" s="844" t="s">
        <v>363</v>
      </c>
      <c r="B157" s="845"/>
      <c r="C157" s="846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>
      <c r="A158" s="844" t="s">
        <v>364</v>
      </c>
      <c r="B158" s="845"/>
      <c r="C158" s="846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0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-650.55999999999767</v>
      </c>
      <c r="I161" s="236"/>
      <c r="J161" s="239">
        <f>H161/DAY(B2)</f>
        <v>-59.141818181817968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-656.39999999999418</v>
      </c>
      <c r="I162" s="236"/>
      <c r="J162" s="239">
        <f>H162/DAY(B2)</f>
        <v>-59.672727272726746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-937.10000000000582</v>
      </c>
      <c r="I163" s="236"/>
      <c r="J163" s="239">
        <f>H163/DAY(B2)</f>
        <v>-85.190909090909614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-62</v>
      </c>
      <c r="I164" s="236"/>
      <c r="J164" s="239">
        <f>H164/DAY(B2)</f>
        <v>-5.6363636363636367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-142.25</v>
      </c>
      <c r="I165" s="236"/>
      <c r="J165" s="239">
        <f>H165/DAY(B2)</f>
        <v>-12.931818181818182</v>
      </c>
    </row>
    <row r="166" spans="1:10" ht="30.75" customHeight="1">
      <c r="A166" s="852"/>
      <c r="B166" s="85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52"/>
      <c r="B167" s="85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52"/>
      <c r="B168" s="85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56" t="s">
        <v>209</v>
      </c>
      <c r="B173" s="857"/>
      <c r="C173" s="333"/>
      <c r="D173" s="228" t="s">
        <v>142</v>
      </c>
      <c r="E173" s="95">
        <f>'10'!F173</f>
        <v>8126</v>
      </c>
      <c r="F173" s="551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>
      <c r="A174" s="856" t="s">
        <v>75</v>
      </c>
      <c r="B174" s="857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-212</v>
      </c>
      <c r="I174" s="155"/>
      <c r="J174" s="178">
        <f>H174/DAY(B2)</f>
        <v>-19.272727272727273</v>
      </c>
    </row>
    <row r="175" spans="1:10" ht="30.75" customHeight="1">
      <c r="A175" s="856" t="s">
        <v>76</v>
      </c>
      <c r="B175" s="896"/>
      <c r="C175" s="857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-192</v>
      </c>
      <c r="I175" s="155"/>
      <c r="J175" s="178">
        <f>H175/DAY(B2)</f>
        <v>-17.454545454545453</v>
      </c>
    </row>
    <row r="176" spans="1:10" ht="30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25</v>
      </c>
      <c r="H176" s="99">
        <f>G176+'10'!H176</f>
        <v>-404</v>
      </c>
      <c r="I176" s="155"/>
      <c r="J176" s="178">
        <f>H176/DAY(B2)</f>
        <v>-36.727272727272727</v>
      </c>
    </row>
    <row r="177" spans="1:10" ht="30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56" t="s">
        <v>210</v>
      </c>
      <c r="B178" s="857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-1003</v>
      </c>
      <c r="I178" s="155"/>
      <c r="J178" s="178">
        <f>H178/DAY(B2)</f>
        <v>-91.181818181818187</v>
      </c>
    </row>
    <row r="179" spans="1:10" ht="30.75" customHeight="1">
      <c r="A179" s="856" t="s">
        <v>211</v>
      </c>
      <c r="B179" s="857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-676</v>
      </c>
      <c r="I179" s="155"/>
      <c r="J179" s="178">
        <f>H179/DAY(B2)</f>
        <v>-61.454545454545453</v>
      </c>
    </row>
    <row r="180" spans="1:10" ht="30.75" customHeight="1">
      <c r="A180" s="856" t="s">
        <v>212</v>
      </c>
      <c r="B180" s="857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-156</v>
      </c>
      <c r="I180" s="155"/>
      <c r="J180" s="178">
        <f>H180/DAY(B2)</f>
        <v>-14.181818181818182</v>
      </c>
    </row>
    <row r="181" spans="1:10" ht="30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78</v>
      </c>
      <c r="H181" s="99">
        <f>G181+'10'!H181</f>
        <v>-1835</v>
      </c>
      <c r="I181" s="155"/>
      <c r="J181" s="178">
        <f>H181/DAY(B2)</f>
        <v>-166.81818181818181</v>
      </c>
    </row>
    <row r="182" spans="1:10" ht="30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56" t="s">
        <v>214</v>
      </c>
      <c r="B183" s="857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-251</v>
      </c>
      <c r="I183" s="155"/>
      <c r="J183" s="178">
        <f>H183/DAY(B2)</f>
        <v>-22.818181818181817</v>
      </c>
    </row>
    <row r="184" spans="1:10" ht="30.75" customHeight="1">
      <c r="A184" s="856" t="s">
        <v>215</v>
      </c>
      <c r="B184" s="857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-138</v>
      </c>
      <c r="I184" s="155"/>
      <c r="J184" s="178">
        <f>H184/DAY(B2)</f>
        <v>-12.545454545454545</v>
      </c>
    </row>
    <row r="185" spans="1:10" ht="30.75" customHeight="1">
      <c r="A185" s="856" t="s">
        <v>216</v>
      </c>
      <c r="B185" s="85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G186+'10'!H186</f>
        <v>-389</v>
      </c>
      <c r="I186" s="157"/>
      <c r="J186" s="178">
        <f>H186/DAY(B2)</f>
        <v>-35.363636363636367</v>
      </c>
    </row>
    <row r="187" spans="1:10" ht="30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123</v>
      </c>
      <c r="H187" s="99">
        <f>G187+'10'!H187</f>
        <v>-2724</v>
      </c>
      <c r="I187" s="158"/>
      <c r="J187" s="179">
        <f>H187/DAY(B2)</f>
        <v>-247.63636363636363</v>
      </c>
    </row>
    <row r="188" spans="1:10" ht="30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124</v>
      </c>
      <c r="H188" s="99">
        <f>G188+'10'!H188</f>
        <v>-2638</v>
      </c>
      <c r="I188" s="158"/>
      <c r="J188" s="179">
        <f>H188/DAY(B2)</f>
        <v>-239.81818181818181</v>
      </c>
    </row>
    <row r="189" spans="1:10" ht="30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78</v>
      </c>
      <c r="H189" s="99">
        <f>G189+'10'!H189</f>
        <v>-1835</v>
      </c>
      <c r="I189" s="158"/>
      <c r="J189" s="179">
        <f>H189/DAY(B2)</f>
        <v>-166.81818181818181</v>
      </c>
    </row>
    <row r="190" spans="1:10" ht="30.75" customHeight="1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75" zoomScaleSheetLayoutView="50" workbookViewId="0">
      <selection activeCell="F24" sqref="F2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2.25" customHeight="1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-330785.23</v>
      </c>
      <c r="I7" s="113">
        <f>'1'!I7</f>
        <v>12000</v>
      </c>
      <c r="J7" s="175">
        <f>H7/DAY(B2)</f>
        <v>-27565.435833333333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-337573.15</v>
      </c>
      <c r="I8" s="116"/>
      <c r="J8" s="175">
        <f>H8/DAY(B2)</f>
        <v>-28131.095833333336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33440</v>
      </c>
      <c r="F9" s="598">
        <v>44230</v>
      </c>
      <c r="G9" s="112">
        <f>F9-E9</f>
        <v>10790</v>
      </c>
      <c r="H9" s="99">
        <f>G9+'11'!H9</f>
        <v>2119257.1500000004</v>
      </c>
      <c r="I9" s="124">
        <f>I7-J7</f>
        <v>39565.435833333337</v>
      </c>
      <c r="J9" s="175">
        <f>H9/DAY(B2)</f>
        <v>176604.76250000004</v>
      </c>
      <c r="K9" s="79">
        <f>K8-100</f>
        <v>1715817</v>
      </c>
      <c r="L9" s="66"/>
      <c r="N9" s="87"/>
      <c r="O9" s="71"/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512414.03</v>
      </c>
      <c r="I10" s="282"/>
      <c r="J10" s="175">
        <f>H10/DAY(B2)</f>
        <v>42701.169166666667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-170</v>
      </c>
      <c r="I11" s="282"/>
      <c r="J11" s="175">
        <f>H11/DAY(B2)</f>
        <v>-14.166666666666666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2614746.75</v>
      </c>
      <c r="I13" s="120">
        <f>G7-G13</f>
        <v>472</v>
      </c>
      <c r="J13" s="175">
        <f>H13/DAY(B2)</f>
        <v>217895.5625</v>
      </c>
      <c r="K13" s="79"/>
      <c r="L13" s="66"/>
      <c r="N13" s="87"/>
      <c r="O13" s="71"/>
    </row>
    <row r="14" spans="1:15" ht="32.2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-17703.766999999993</v>
      </c>
      <c r="I15" s="113">
        <f>'1'!I15</f>
        <v>800</v>
      </c>
      <c r="J15" s="175">
        <f>H15/DAY(B2)</f>
        <v>-1475.313916666666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2275.313916666666</v>
      </c>
      <c r="J16" s="176"/>
      <c r="K16" s="79"/>
      <c r="L16" s="66"/>
      <c r="N16" s="87"/>
      <c r="O16" s="71"/>
    </row>
    <row r="17" spans="1:15" ht="32.2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84" t="s">
        <v>141</v>
      </c>
      <c r="B18" s="885"/>
      <c r="C18" s="886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1910</v>
      </c>
      <c r="I18" s="113">
        <f>'1'!I18</f>
        <v>65</v>
      </c>
      <c r="J18" s="175">
        <f>H18/DAY(B2)</f>
        <v>159.16666666666666</v>
      </c>
      <c r="K18" s="79"/>
      <c r="L18" s="66"/>
      <c r="N18" s="87"/>
      <c r="O18" s="71"/>
    </row>
    <row r="19" spans="1:15" ht="32.25" customHeight="1">
      <c r="A19" s="884" t="s">
        <v>69</v>
      </c>
      <c r="B19" s="885"/>
      <c r="C19" s="886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-1036</v>
      </c>
      <c r="I19" s="335"/>
      <c r="J19" s="175">
        <f>H19/DAY(B2)</f>
        <v>-86.333333333333329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874</v>
      </c>
      <c r="I20" s="336">
        <f>I18-J20</f>
        <v>-7.8333333333333286</v>
      </c>
      <c r="J20" s="175">
        <f>H20/DAY(B2)</f>
        <v>72.833333333333329</v>
      </c>
      <c r="K20" s="79"/>
      <c r="L20" s="66"/>
      <c r="N20" s="87"/>
      <c r="O20" s="71"/>
    </row>
    <row r="21" spans="1:15" ht="32.2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-3038158.3500000006</v>
      </c>
      <c r="I27" s="138"/>
      <c r="J27" s="175">
        <f>H27/DAY(B2)</f>
        <v>-253179.86250000005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-920595.88399999961</v>
      </c>
      <c r="I28" s="140"/>
      <c r="J28" s="175">
        <f>H28/DAY(B2)</f>
        <v>-76716.323666666634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-151256</v>
      </c>
      <c r="I30" s="140"/>
      <c r="J30" s="175">
        <f>H30/DAY(B2)</f>
        <v>-12604.666666666666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152800</v>
      </c>
      <c r="I31" s="140"/>
      <c r="J31" s="175">
        <f>H31/DAY(B2)</f>
        <v>12733.333333333334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-3957210.2340000002</v>
      </c>
      <c r="I32" s="144"/>
      <c r="J32" s="175">
        <f>H32/DAY(B2)</f>
        <v>-329767.51949999999</v>
      </c>
      <c r="K32" s="63"/>
      <c r="L32" s="89"/>
      <c r="N32" s="87"/>
      <c r="O32" s="71"/>
    </row>
    <row r="33" spans="1:15" ht="32.2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142419.01999999999</v>
      </c>
      <c r="I35" s="95"/>
      <c r="J35" s="175">
        <f>H35/DAY(B2)</f>
        <v>11868.251666666665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-12946.739999999998</v>
      </c>
      <c r="I36" s="95"/>
      <c r="J36" s="175">
        <f>H36/DAY(B2)</f>
        <v>-1078.8949999999998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178029.91</v>
      </c>
      <c r="I37" s="95"/>
      <c r="J37" s="175">
        <f>H37/DAY(B2)</f>
        <v>14835.825833333334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213482.57</v>
      </c>
      <c r="I38" s="95"/>
      <c r="J38" s="175">
        <f>H38/DAY(B2)</f>
        <v>17790.214166666668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383703.70999999996</v>
      </c>
      <c r="I39" s="95"/>
      <c r="J39" s="175">
        <f>H39/DAY(B2)</f>
        <v>31975.309166666662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-11384.990000000002</v>
      </c>
      <c r="I40" s="95"/>
      <c r="J40" s="175">
        <f>H40/DAY(B2)</f>
        <v>-948.74916666666684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-62.73</v>
      </c>
      <c r="I41" s="95"/>
      <c r="J41" s="175">
        <f>H41/DAY(B2)</f>
        <v>-5.2275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-26320.740000000005</v>
      </c>
      <c r="I42" s="95"/>
      <c r="J42" s="175">
        <f>H42/DAY(B2)</f>
        <v>-2193.3950000000004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-40133.600000000006</v>
      </c>
      <c r="I43" s="95"/>
      <c r="J43" s="175">
        <f>H43/DAY(B2)</f>
        <v>-3344.4666666666672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826786.41</v>
      </c>
      <c r="I47" s="95"/>
      <c r="J47" s="175">
        <f>H47/DAY(B2)</f>
        <v>68898.867500000008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265278.81</v>
      </c>
      <c r="I49" s="95"/>
      <c r="J49" s="175">
        <f>H49/DAY(B2)</f>
        <v>22106.567500000001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-19574.629999999997</v>
      </c>
      <c r="I50" s="95"/>
      <c r="J50" s="175">
        <f>H50/DAY(B2)</f>
        <v>-1631.2191666666665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-1196.42</v>
      </c>
      <c r="I54" s="95"/>
      <c r="J54" s="175">
        <f>H54/DAY(B2)</f>
        <v>-99.701666666666668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-34657.11</v>
      </c>
      <c r="I55" s="95"/>
      <c r="J55" s="175">
        <f>H55/DAY(B2)</f>
        <v>-2888.0925000000002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-3454.21</v>
      </c>
      <c r="I58" s="95"/>
      <c r="J58" s="175">
        <f>H58/DAY(B2)</f>
        <v>-287.85083333333336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206396.9</v>
      </c>
      <c r="I59" s="95">
        <f>G7-G60</f>
        <v>829</v>
      </c>
      <c r="J59" s="175">
        <f>H59/DAY(B2)</f>
        <v>17199.741666666665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1033183.3099999999</v>
      </c>
      <c r="I60" s="95">
        <f>G13-G60</f>
        <v>357</v>
      </c>
      <c r="J60" s="175">
        <f>H60/DAY(B2)</f>
        <v>86098.609166666662</v>
      </c>
      <c r="K60" s="79"/>
      <c r="L60" s="66"/>
      <c r="N60" s="87"/>
      <c r="O60" s="71"/>
    </row>
    <row r="61" spans="1:15" s="68" customFormat="1" ht="32.2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84" t="s">
        <v>198</v>
      </c>
      <c r="B62" s="885"/>
      <c r="C62" s="886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-1588</v>
      </c>
      <c r="I62" s="118"/>
      <c r="J62" s="175">
        <f>H62/DAY(B2)</f>
        <v>-132.33333333333334</v>
      </c>
      <c r="K62" s="80"/>
      <c r="L62" s="66"/>
      <c r="N62" s="87"/>
      <c r="O62" s="71"/>
    </row>
    <row r="63" spans="1:15" ht="32.25" customHeight="1">
      <c r="A63" s="884" t="s">
        <v>199</v>
      </c>
      <c r="B63" s="885"/>
      <c r="C63" s="886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-2091</v>
      </c>
      <c r="I63" s="118"/>
      <c r="J63" s="175">
        <f>H63/DAY(B2)</f>
        <v>-174.25</v>
      </c>
      <c r="K63" s="69"/>
      <c r="L63" s="66"/>
      <c r="N63" s="87"/>
      <c r="O63" s="71"/>
    </row>
    <row r="64" spans="1:15" ht="32.25" customHeight="1">
      <c r="A64" s="893" t="s">
        <v>200</v>
      </c>
      <c r="B64" s="894"/>
      <c r="C64" s="895"/>
      <c r="D64" s="151"/>
      <c r="E64" s="95">
        <f>'11'!F64</f>
        <v>0</v>
      </c>
      <c r="F64" s="122"/>
      <c r="G64" s="112">
        <f>G62+G63</f>
        <v>141</v>
      </c>
      <c r="H64" s="99">
        <f>G64+'11'!H64</f>
        <v>-3679</v>
      </c>
      <c r="I64" s="118"/>
      <c r="J64" s="175">
        <f>H64/DAY(B2)</f>
        <v>-306.58333333333331</v>
      </c>
      <c r="K64" s="69"/>
      <c r="L64" s="66"/>
      <c r="N64" s="87"/>
      <c r="O64" s="71"/>
    </row>
    <row r="65" spans="1:15" ht="32.25" customHeight="1">
      <c r="A65" s="884" t="s">
        <v>201</v>
      </c>
      <c r="B65" s="885"/>
      <c r="C65" s="886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-1453</v>
      </c>
      <c r="I65" s="118"/>
      <c r="J65" s="175">
        <f>H65/DAY(B2)</f>
        <v>-121.08333333333333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-313</v>
      </c>
      <c r="I66" s="118"/>
      <c r="J66" s="175">
        <f>H66/DAY(B2)</f>
        <v>-26.083333333333332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-430</v>
      </c>
      <c r="I67" s="118"/>
      <c r="J67" s="175">
        <f>H67/DAY(B2)</f>
        <v>-35.833333333333336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-769</v>
      </c>
      <c r="I68" s="118"/>
      <c r="J68" s="175">
        <f>H68/DAY(B2)</f>
        <v>-64.083333333333329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-200</v>
      </c>
      <c r="I69" s="118"/>
      <c r="J69" s="175">
        <f>H69/DAY(B2)</f>
        <v>-16.666666666666668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-163</v>
      </c>
      <c r="I70" s="118"/>
      <c r="J70" s="175">
        <f>H70/DAY(B2)</f>
        <v>-13.583333333333334</v>
      </c>
      <c r="K70" s="69"/>
      <c r="L70" s="66"/>
      <c r="N70" s="87"/>
      <c r="O70" s="71"/>
    </row>
    <row r="71" spans="1:15" ht="32.2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102</v>
      </c>
      <c r="H71" s="99">
        <f>G71+'11'!H71</f>
        <v>-3328</v>
      </c>
      <c r="I71" s="154"/>
      <c r="J71" s="175">
        <f>H71/DAY(B2)</f>
        <v>-277.33333333333331</v>
      </c>
      <c r="K71" s="69"/>
      <c r="L71" s="66"/>
      <c r="N71" s="87"/>
      <c r="O71" s="71"/>
    </row>
    <row r="72" spans="1:15" s="88" customFormat="1" ht="32.2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84" t="s">
        <v>220</v>
      </c>
      <c r="B74" s="885"/>
      <c r="C74" s="886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-5685.1489999999758</v>
      </c>
      <c r="I74" s="154"/>
      <c r="J74" s="175">
        <f>H74/DAY(B2)</f>
        <v>-473.76241666666465</v>
      </c>
      <c r="K74" s="69"/>
      <c r="L74" s="66"/>
      <c r="N74" s="87"/>
      <c r="O74" s="71"/>
    </row>
    <row r="75" spans="1:15" ht="32.25" customHeight="1">
      <c r="A75" s="884" t="s">
        <v>221</v>
      </c>
      <c r="B75" s="885"/>
      <c r="C75" s="88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881" t="s">
        <v>222</v>
      </c>
      <c r="B76" s="882"/>
      <c r="C76" s="883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-1739</v>
      </c>
      <c r="I76" s="154"/>
      <c r="J76" s="175">
        <f>H76/DAY(B2)</f>
        <v>-144.91666666666666</v>
      </c>
      <c r="K76" s="69"/>
      <c r="L76" s="66"/>
      <c r="N76" s="87"/>
      <c r="O76" s="71"/>
    </row>
    <row r="77" spans="1:15" ht="32.25" customHeight="1">
      <c r="A77" s="881" t="s">
        <v>223</v>
      </c>
      <c r="B77" s="882"/>
      <c r="C77" s="883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-608.19999999999709</v>
      </c>
      <c r="I77" s="154"/>
      <c r="J77" s="175">
        <f>H77/DAY(B2)</f>
        <v>-50.683333333333088</v>
      </c>
      <c r="K77" s="69"/>
      <c r="L77" s="66"/>
      <c r="N77" s="87"/>
      <c r="O77" s="71"/>
    </row>
    <row r="78" spans="1:15" ht="32.25" customHeight="1">
      <c r="A78" s="881" t="s">
        <v>224</v>
      </c>
      <c r="B78" s="882"/>
      <c r="C78" s="883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-20</v>
      </c>
      <c r="I78" s="118"/>
      <c r="J78" s="175">
        <f>H78/DAY(B2)</f>
        <v>-1.6666666666666667</v>
      </c>
      <c r="K78" s="69"/>
      <c r="L78" s="66"/>
      <c r="N78" s="87"/>
      <c r="O78" s="71"/>
    </row>
    <row r="79" spans="1:15" s="57" customFormat="1" ht="32.25" customHeight="1">
      <c r="A79" s="881" t="s">
        <v>225</v>
      </c>
      <c r="B79" s="882"/>
      <c r="C79" s="883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-9651.6180000000168</v>
      </c>
      <c r="I79" s="118"/>
      <c r="J79" s="175">
        <f>H79/DAY(B2)</f>
        <v>-804.3015000000014</v>
      </c>
      <c r="K79" s="59"/>
      <c r="L79" s="58"/>
      <c r="N79" s="87"/>
      <c r="O79" s="71"/>
    </row>
    <row r="80" spans="1:15" s="57" customFormat="1" ht="32.2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-163.86999999999989</v>
      </c>
      <c r="I85" s="118">
        <f>G82+G83+G84+G85</f>
        <v>0</v>
      </c>
      <c r="J85" s="175">
        <f>H85/DAY(B2)</f>
        <v>-13.655833333333325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-290</v>
      </c>
      <c r="I86" s="118"/>
      <c r="J86" s="175">
        <f>H86/DAY(B2)</f>
        <v>-24.166666666666668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5.0000000002910383E-2</v>
      </c>
      <c r="I87" s="118"/>
      <c r="J87" s="175">
        <f>H87/DAY(B2)</f>
        <v>4.1666666669091983E-3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-5.430000000000291</v>
      </c>
      <c r="I88" s="118">
        <f>G86+G87+G88</f>
        <v>24</v>
      </c>
      <c r="J88" s="175">
        <f>H88/DAY(B2)</f>
        <v>-0.45250000000002427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-157.31999999999971</v>
      </c>
      <c r="I89" s="118"/>
      <c r="J89" s="175">
        <f>H89/DAY(B2)</f>
        <v>-13.109999999999976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-65.950000000011642</v>
      </c>
      <c r="I90" s="118">
        <f>G89+G90</f>
        <v>9.1699999999946158</v>
      </c>
      <c r="J90" s="175">
        <f>H90/DAY(B2)</f>
        <v>-5.4958333333343035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-24.769999999999982</v>
      </c>
      <c r="I91" s="165"/>
      <c r="J91" s="175">
        <f>H91/DAY(B2)</f>
        <v>-2.0641666666666652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-180.64999999999964</v>
      </c>
      <c r="I92" s="165"/>
      <c r="J92" s="175">
        <f>H92/DAY(B2)</f>
        <v>-15.054166666666637</v>
      </c>
      <c r="O92" s="71"/>
    </row>
    <row r="93" spans="1:15" ht="32.2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4778</v>
      </c>
      <c r="H94" s="99">
        <f>G94+'11'!H94</f>
        <v>367564.23</v>
      </c>
      <c r="I94" s="118"/>
      <c r="J94" s="175">
        <f>H94/DAY(B2)</f>
        <v>30630.352499999997</v>
      </c>
      <c r="K94" s="69"/>
      <c r="L94" s="66"/>
      <c r="O94" s="71"/>
    </row>
    <row r="95" spans="1:15" ht="32.2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0.28903272639283772</v>
      </c>
      <c r="H95" s="99">
        <f>G95+'11'!H95</f>
        <v>2.3184525026675353</v>
      </c>
      <c r="I95" s="167"/>
      <c r="J95" s="175">
        <f>H95/DAY(B2)</f>
        <v>0.19320437522229461</v>
      </c>
      <c r="K95" s="69"/>
      <c r="L95" s="66"/>
      <c r="O95" s="71"/>
    </row>
    <row r="96" spans="1:15" ht="32.2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2812</v>
      </c>
      <c r="H96" s="99">
        <f>G96+'11'!H96</f>
        <v>-61040.120000000024</v>
      </c>
      <c r="I96" s="118"/>
      <c r="J96" s="175">
        <f>H96/DAY(B2)</f>
        <v>-5086.676666666669</v>
      </c>
      <c r="K96" s="69"/>
      <c r="L96" s="66"/>
      <c r="O96" s="71"/>
    </row>
    <row r="97" spans="1:15" ht="32.2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0.17010465186619078</v>
      </c>
      <c r="H97" s="99">
        <f>G97+'11'!H97</f>
        <v>2.1306814528091174</v>
      </c>
      <c r="I97" s="167"/>
      <c r="J97" s="175">
        <f>H97/DAY(B2)</f>
        <v>0.17755678773409311</v>
      </c>
      <c r="K97" s="69"/>
      <c r="L97" s="66"/>
      <c r="O97" s="71"/>
    </row>
    <row r="98" spans="1:15" ht="32.2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2461</v>
      </c>
      <c r="H98" s="99">
        <f>G98+'11'!H98</f>
        <v>383703.70999999996</v>
      </c>
      <c r="I98" s="168"/>
      <c r="J98" s="175">
        <f>H98/DAY(B2)</f>
        <v>31975.309166666662</v>
      </c>
      <c r="K98" s="69"/>
      <c r="L98" s="66"/>
      <c r="O98" s="71"/>
    </row>
    <row r="99" spans="1:15" ht="32.2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0.14887181658701834</v>
      </c>
      <c r="H99" s="99">
        <f>G99+'11'!H99</f>
        <v>0.92261650682930163</v>
      </c>
      <c r="I99" s="168"/>
      <c r="J99" s="175">
        <f>H99/DAY(B2)</f>
        <v>7.6884708902441798E-2</v>
      </c>
      <c r="O99" s="71"/>
    </row>
    <row r="100" spans="1:15" ht="32.2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1484</v>
      </c>
      <c r="H100" s="99">
        <f>G100+'11'!H100</f>
        <v>213482.57</v>
      </c>
      <c r="I100" s="118"/>
      <c r="J100" s="175">
        <f>H100/DAY(B2)</f>
        <v>17790.214166666668</v>
      </c>
      <c r="K100" s="70"/>
      <c r="O100" s="71"/>
    </row>
    <row r="101" spans="1:15" ht="32.2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0.65948687053964217</v>
      </c>
      <c r="I101" s="168"/>
      <c r="J101" s="175">
        <f>H101/DAY(B2)</f>
        <v>5.4957239211636845E-2</v>
      </c>
      <c r="O101" s="71"/>
    </row>
    <row r="102" spans="1:15" ht="32.2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1461</v>
      </c>
      <c r="H102" s="99">
        <f>G102+'11'!H102</f>
        <v>-32521.369999999995</v>
      </c>
      <c r="I102" s="168"/>
      <c r="J102" s="175">
        <f>H102/DAY(B2)</f>
        <v>-2710.1141666666663</v>
      </c>
      <c r="O102" s="71"/>
    </row>
    <row r="103" spans="1:15" ht="32.2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1.2290146004018352</v>
      </c>
      <c r="I103" s="118"/>
      <c r="J103" s="175">
        <f>H103/DAY(B2)</f>
        <v>0.1024178833668196</v>
      </c>
      <c r="O103" s="71"/>
    </row>
    <row r="104" spans="1:15" ht="32.2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1481</v>
      </c>
      <c r="H104" s="99">
        <f>G104+'11'!H104</f>
        <v>178029.91</v>
      </c>
      <c r="I104" s="118"/>
      <c r="J104" s="175">
        <f>H104/DAY(B2)</f>
        <v>14835.825833333334</v>
      </c>
      <c r="O104" s="71"/>
    </row>
    <row r="105" spans="1:15" ht="32.2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0.62639790041960619</v>
      </c>
      <c r="I105" s="187"/>
      <c r="J105" s="188">
        <f>H105/DAY(B2)</f>
        <v>5.219982503496718E-2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2.25" customHeight="1">
      <c r="A109" s="901"/>
      <c r="B109" s="901"/>
    </row>
    <row r="110" spans="1:15" ht="32.2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2.2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63" t="s">
        <v>252</v>
      </c>
      <c r="B112" s="864"/>
      <c r="C112" s="865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-1473</v>
      </c>
      <c r="I112" s="165"/>
      <c r="J112" s="328">
        <f>H112/DAY(B2)</f>
        <v>-122.75</v>
      </c>
    </row>
    <row r="113" spans="1:18" ht="32.25" customHeight="1">
      <c r="A113" s="863" t="s">
        <v>253</v>
      </c>
      <c r="B113" s="864"/>
      <c r="C113" s="865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-8800.89</v>
      </c>
      <c r="I113" s="165"/>
      <c r="J113" s="328">
        <f>H113/DAY(B2)</f>
        <v>-733.40749999999991</v>
      </c>
    </row>
    <row r="114" spans="1:18" ht="32.25" customHeight="1">
      <c r="A114" s="863" t="s">
        <v>254</v>
      </c>
      <c r="B114" s="864"/>
      <c r="C114" s="865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-5103</v>
      </c>
      <c r="I114" s="165"/>
      <c r="J114" s="328">
        <f>H114/DAY(B2)</f>
        <v>-425.25</v>
      </c>
    </row>
    <row r="115" spans="1:18" ht="32.25" customHeight="1">
      <c r="A115" s="863" t="s">
        <v>255</v>
      </c>
      <c r="B115" s="864"/>
      <c r="C115" s="865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-185.64999999999964</v>
      </c>
      <c r="I115" s="165"/>
      <c r="J115" s="328">
        <f>H115/DAY(B2)</f>
        <v>-15.470833333333303</v>
      </c>
    </row>
    <row r="116" spans="1:18" ht="32.25" customHeight="1">
      <c r="A116" s="870" t="s">
        <v>96</v>
      </c>
      <c r="B116" s="871"/>
      <c r="C116" s="872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2.25" customHeight="1">
      <c r="A117" s="870" t="s">
        <v>184</v>
      </c>
      <c r="B117" s="871"/>
      <c r="C117" s="872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-449.94999999999982</v>
      </c>
      <c r="I117" s="165"/>
      <c r="J117" s="328">
        <f>H117/DAY(B2)</f>
        <v>-37.495833333333316</v>
      </c>
      <c r="Q117" s="863" t="s">
        <v>312</v>
      </c>
      <c r="R117" s="865"/>
    </row>
    <row r="118" spans="1:18" ht="32.25" customHeight="1">
      <c r="A118" s="862" t="s">
        <v>97</v>
      </c>
      <c r="B118" s="862"/>
      <c r="C118" s="862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-6457.3099999999977</v>
      </c>
      <c r="I118" s="165"/>
      <c r="J118" s="328">
        <f>H118/DAY(B2)</f>
        <v>-538.10916666666651</v>
      </c>
      <c r="Q118" s="863" t="s">
        <v>311</v>
      </c>
      <c r="R118" s="865"/>
    </row>
    <row r="119" spans="1:18" ht="32.25" customHeight="1">
      <c r="A119" s="862" t="s">
        <v>98</v>
      </c>
      <c r="B119" s="862"/>
      <c r="C119" s="862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-7888.5499999999884</v>
      </c>
      <c r="I119" s="165"/>
      <c r="J119" s="328">
        <f>H119/DAY(B2)</f>
        <v>-657.3791666666657</v>
      </c>
    </row>
    <row r="120" spans="1:18" ht="32.25" customHeight="1">
      <c r="A120" s="862" t="s">
        <v>99</v>
      </c>
      <c r="B120" s="862"/>
      <c r="C120" s="862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-7906.6100000000006</v>
      </c>
      <c r="I120" s="165"/>
      <c r="J120" s="328">
        <f>H120/DAY(B2)</f>
        <v>-658.88416666666672</v>
      </c>
    </row>
    <row r="121" spans="1:18" ht="32.25" customHeight="1">
      <c r="A121" s="862" t="s">
        <v>100</v>
      </c>
      <c r="B121" s="862"/>
      <c r="C121" s="862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-12883.429999999993</v>
      </c>
      <c r="I121" s="165"/>
      <c r="J121" s="328">
        <f>H121/DAY(B2)</f>
        <v>-1073.6191666666662</v>
      </c>
    </row>
    <row r="122" spans="1:18" ht="32.25" customHeight="1">
      <c r="A122" s="862" t="s">
        <v>101</v>
      </c>
      <c r="B122" s="862"/>
      <c r="C122" s="862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-3566.179999999993</v>
      </c>
      <c r="I122" s="165"/>
      <c r="J122" s="328">
        <f>H122/DAY(B2)</f>
        <v>-297.1816666666661</v>
      </c>
    </row>
    <row r="123" spans="1:18" ht="32.25" customHeight="1">
      <c r="A123" s="862" t="s">
        <v>102</v>
      </c>
      <c r="B123" s="862"/>
      <c r="C123" s="862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-5137.9500000000116</v>
      </c>
      <c r="I123" s="165"/>
      <c r="J123" s="328">
        <f>H123/DAY(B2)</f>
        <v>-428.16250000000099</v>
      </c>
    </row>
    <row r="124" spans="1:18" ht="32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3078</v>
      </c>
      <c r="H125" s="156"/>
      <c r="I125" s="327" t="s">
        <v>368</v>
      </c>
      <c r="J125" s="327"/>
    </row>
    <row r="126" spans="1:18" ht="32.2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2.25" customHeight="1">
      <c r="A127" s="852"/>
      <c r="B127" s="85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63" t="s">
        <v>318</v>
      </c>
      <c r="B128" s="864"/>
      <c r="C128" s="865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-5864</v>
      </c>
      <c r="I128" s="165"/>
      <c r="J128" s="328">
        <f>H128/DAY(B2)</f>
        <v>-488.66666666666669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-4004.869999999999</v>
      </c>
      <c r="I129" s="165"/>
      <c r="J129" s="328">
        <f>H129/DAY(B2)</f>
        <v>-333.73916666666656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-9817</v>
      </c>
      <c r="I130" s="165"/>
      <c r="J130" s="328">
        <f>H130/DAY(B2)</f>
        <v>-818.08333333333337</v>
      </c>
      <c r="N130" s="240"/>
      <c r="O130" s="241"/>
    </row>
    <row r="131" spans="1:15" ht="32.25" customHeight="1">
      <c r="A131" s="863" t="s">
        <v>321</v>
      </c>
      <c r="B131" s="864"/>
      <c r="C131" s="865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-1287.6800000000003</v>
      </c>
      <c r="I131" s="165"/>
      <c r="J131" s="328">
        <f>H131/DAY(B2)</f>
        <v>-107.30666666666669</v>
      </c>
      <c r="N131" s="240"/>
      <c r="O131" s="241"/>
    </row>
    <row r="132" spans="1:15" ht="32.25" customHeight="1">
      <c r="A132" s="863" t="s">
        <v>322</v>
      </c>
      <c r="B132" s="864"/>
      <c r="C132" s="865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-5070.3000000000029</v>
      </c>
      <c r="I132" s="165"/>
      <c r="J132" s="328">
        <f>H132/DAY(B2)</f>
        <v>-422.52500000000026</v>
      </c>
    </row>
    <row r="133" spans="1:15" ht="32.25" customHeight="1">
      <c r="A133" s="863" t="s">
        <v>362</v>
      </c>
      <c r="B133" s="864"/>
      <c r="C133" s="865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-9425.6999999999971</v>
      </c>
      <c r="I133" s="165"/>
      <c r="J133" s="328">
        <f>H133/DAY(B2)</f>
        <v>-785.4749999999998</v>
      </c>
    </row>
    <row r="134" spans="1:15" ht="32.25" customHeight="1">
      <c r="A134" s="863" t="s">
        <v>340</v>
      </c>
      <c r="B134" s="864"/>
      <c r="C134" s="865"/>
      <c r="D134" s="151" t="s">
        <v>183</v>
      </c>
      <c r="E134" s="551">
        <v>675870</v>
      </c>
      <c r="F134" s="165">
        <v>676505</v>
      </c>
      <c r="G134" s="112">
        <f t="shared" si="10"/>
        <v>635</v>
      </c>
      <c r="H134" s="99">
        <f>G134+'11'!H134</f>
        <v>667903.77</v>
      </c>
      <c r="I134" s="165"/>
      <c r="J134" s="328">
        <f>H134/DAY(B2)</f>
        <v>55658.647499999999</v>
      </c>
    </row>
    <row r="135" spans="1:15" ht="32.2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2649</v>
      </c>
      <c r="H135" s="99">
        <f>G135+'10'!H135</f>
        <v>629887.22</v>
      </c>
      <c r="I135" s="327">
        <f>G135-(G35+G49)</f>
        <v>-107</v>
      </c>
      <c r="J135" s="328"/>
    </row>
    <row r="136" spans="1:15" ht="32.2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62" t="s">
        <v>185</v>
      </c>
      <c r="B138" s="862"/>
      <c r="C138" s="862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-1237</v>
      </c>
      <c r="I138" s="118"/>
      <c r="J138" s="328">
        <f>H138/DAY(B2)</f>
        <v>-103.08333333333333</v>
      </c>
    </row>
    <row r="139" spans="1:15" ht="32.25" customHeight="1">
      <c r="A139" s="862" t="s">
        <v>186</v>
      </c>
      <c r="B139" s="862"/>
      <c r="C139" s="862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-24</v>
      </c>
      <c r="I139" s="118"/>
      <c r="J139" s="328">
        <f>H139/DAY(B2)</f>
        <v>-2</v>
      </c>
    </row>
    <row r="140" spans="1:15" ht="32.25" customHeight="1">
      <c r="A140" s="862" t="s">
        <v>187</v>
      </c>
      <c r="B140" s="862"/>
      <c r="C140" s="862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-24</v>
      </c>
      <c r="I140" s="118"/>
      <c r="J140" s="328">
        <f>H140/DAY(B2)</f>
        <v>-2</v>
      </c>
    </row>
    <row r="141" spans="1:15" ht="32.25" customHeight="1">
      <c r="A141" s="843" t="s">
        <v>188</v>
      </c>
      <c r="B141" s="843"/>
      <c r="C141" s="843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-3279.5800000000017</v>
      </c>
      <c r="I141" s="118"/>
      <c r="J141" s="328">
        <f>H141/DAY(B2)</f>
        <v>-273.29833333333346</v>
      </c>
    </row>
    <row r="142" spans="1:15" ht="32.25" customHeight="1">
      <c r="A142" s="843" t="s">
        <v>189</v>
      </c>
      <c r="B142" s="843"/>
      <c r="C142" s="843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-1445.0999999999985</v>
      </c>
      <c r="I142" s="140"/>
      <c r="J142" s="328">
        <f>H142/DAY(B2)</f>
        <v>-120.42499999999988</v>
      </c>
    </row>
    <row r="143" spans="1:15" ht="32.25" customHeight="1">
      <c r="A143" s="862" t="s">
        <v>91</v>
      </c>
      <c r="B143" s="862"/>
      <c r="C143" s="862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-491.38999999999987</v>
      </c>
      <c r="I143" s="140"/>
      <c r="J143" s="328">
        <f>H143/DAY(B2)</f>
        <v>-40.949166666666656</v>
      </c>
    </row>
    <row r="144" spans="1:15" ht="32.25" customHeight="1">
      <c r="A144" s="843" t="s">
        <v>90</v>
      </c>
      <c r="B144" s="843"/>
      <c r="C144" s="843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-4110</v>
      </c>
      <c r="I144" s="140"/>
      <c r="J144" s="328">
        <f>H144/DAY(B2)</f>
        <v>-342.5</v>
      </c>
    </row>
    <row r="145" spans="1:10" ht="32.25" customHeight="1">
      <c r="A145" s="862" t="s">
        <v>190</v>
      </c>
      <c r="B145" s="862"/>
      <c r="C145" s="862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-215.84000000000015</v>
      </c>
      <c r="I145" s="140"/>
      <c r="J145" s="328">
        <f>H145/DAY(B2)</f>
        <v>-17.986666666666679</v>
      </c>
    </row>
    <row r="146" spans="1:10" ht="32.25" customHeight="1">
      <c r="A146" s="897" t="s">
        <v>191</v>
      </c>
      <c r="B146" s="882"/>
      <c r="C146" s="883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-7547</v>
      </c>
      <c r="I146" s="140"/>
      <c r="J146" s="328">
        <f>H146/DAY(B2)</f>
        <v>-628.91666666666663</v>
      </c>
    </row>
    <row r="147" spans="1:10" ht="32.25" customHeight="1">
      <c r="A147" s="843" t="s">
        <v>192</v>
      </c>
      <c r="B147" s="843"/>
      <c r="C147" s="843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-6777.5200000000186</v>
      </c>
      <c r="I147" s="140"/>
      <c r="J147" s="328">
        <f>H147/DAY(B2)</f>
        <v>-564.79333333333489</v>
      </c>
    </row>
    <row r="148" spans="1:10" ht="32.25" customHeight="1">
      <c r="A148" s="844" t="s">
        <v>193</v>
      </c>
      <c r="B148" s="845"/>
      <c r="C148" s="846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-3407.9599999999627</v>
      </c>
      <c r="I148" s="124"/>
      <c r="J148" s="328">
        <f>H148/DAY(B2)</f>
        <v>-283.99666666666354</v>
      </c>
    </row>
    <row r="149" spans="1:10" ht="32.25" customHeight="1">
      <c r="A149" s="844" t="s">
        <v>336</v>
      </c>
      <c r="B149" s="845"/>
      <c r="C149" s="846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-8985.2000000000007</v>
      </c>
      <c r="I149" s="119"/>
      <c r="J149" s="328">
        <f>H149/DAY(B2)</f>
        <v>-748.76666666666677</v>
      </c>
    </row>
    <row r="150" spans="1:10" ht="32.25" customHeight="1">
      <c r="A150" s="844" t="s">
        <v>337</v>
      </c>
      <c r="B150" s="845"/>
      <c r="C150" s="846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-4169.83</v>
      </c>
      <c r="I150" s="119"/>
      <c r="J150" s="328">
        <f>H150/DAY(B2)</f>
        <v>-347.48583333333335</v>
      </c>
    </row>
    <row r="151" spans="1:10" ht="32.25" customHeight="1">
      <c r="A151" s="844" t="s">
        <v>338</v>
      </c>
      <c r="B151" s="845"/>
      <c r="C151" s="846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-4409</v>
      </c>
      <c r="I151" s="119"/>
      <c r="J151" s="328">
        <f>H151/DAY(B2)</f>
        <v>-367.41666666666669</v>
      </c>
    </row>
    <row r="152" spans="1:10" ht="32.25" customHeight="1">
      <c r="A152" s="844" t="s">
        <v>339</v>
      </c>
      <c r="B152" s="845"/>
      <c r="C152" s="846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-312</v>
      </c>
      <c r="I152" s="119"/>
      <c r="J152" s="328">
        <f>H152/DAY(B2)</f>
        <v>-26</v>
      </c>
    </row>
    <row r="153" spans="1:10" ht="32.2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2.25" customHeight="1">
      <c r="A155" s="843" t="s">
        <v>345</v>
      </c>
      <c r="B155" s="843"/>
      <c r="C155" s="843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-12642</v>
      </c>
      <c r="I155" s="364"/>
      <c r="J155" s="328">
        <f>H155/DAY(B2)</f>
        <v>-1053.5</v>
      </c>
    </row>
    <row r="156" spans="1:10" ht="32.25" customHeight="1">
      <c r="A156" s="843" t="s">
        <v>347</v>
      </c>
      <c r="B156" s="843"/>
      <c r="C156" s="843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-1121</v>
      </c>
      <c r="I156" s="165"/>
      <c r="J156" s="328">
        <f>H156/DAY(B2)</f>
        <v>-93.416666666666671</v>
      </c>
    </row>
    <row r="157" spans="1:10" ht="32.25" customHeight="1">
      <c r="A157" s="844" t="s">
        <v>363</v>
      </c>
      <c r="B157" s="845"/>
      <c r="C157" s="846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>
      <c r="A158" s="844" t="s">
        <v>364</v>
      </c>
      <c r="B158" s="845"/>
      <c r="C158" s="846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>
      <c r="A159" s="927"/>
      <c r="B159" s="928"/>
      <c r="C159" s="929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-642.55999999999767</v>
      </c>
      <c r="I161" s="236"/>
      <c r="J161" s="239">
        <f>H161/DAY(B2)</f>
        <v>-53.546666666666475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-626.39999999999418</v>
      </c>
      <c r="I162" s="236"/>
      <c r="J162" s="239">
        <f>H162/DAY(B2)</f>
        <v>-52.199999999999513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-903.10000000000582</v>
      </c>
      <c r="I163" s="236"/>
      <c r="J163" s="239">
        <f>H163/DAY(B2)</f>
        <v>-75.258333333333823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-61</v>
      </c>
      <c r="I164" s="236"/>
      <c r="J164" s="239">
        <f>H164/DAY(B2)</f>
        <v>-5.083333333333333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-135.25</v>
      </c>
      <c r="I165" s="236"/>
      <c r="J165" s="239">
        <f>H165/DAY(B2)</f>
        <v>-11.270833333333334</v>
      </c>
    </row>
    <row r="166" spans="1:10" ht="32.25" customHeight="1">
      <c r="A166" s="852"/>
      <c r="B166" s="852"/>
      <c r="C166" s="246"/>
      <c r="D166" s="244" t="s">
        <v>180</v>
      </c>
      <c r="E166" s="95" t="str">
        <f>'11'!F166</f>
        <v/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52"/>
      <c r="B167" s="85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52"/>
      <c r="B168" s="85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2.2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56" t="s">
        <v>209</v>
      </c>
      <c r="B173" s="857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>
      <c r="A174" s="856" t="s">
        <v>75</v>
      </c>
      <c r="B174" s="857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-212</v>
      </c>
      <c r="I174" s="155"/>
      <c r="J174" s="178">
        <f>H174/DAY(B2)</f>
        <v>-17.666666666666668</v>
      </c>
    </row>
    <row r="175" spans="1:10" ht="32.25" customHeight="1">
      <c r="A175" s="856" t="s">
        <v>76</v>
      </c>
      <c r="B175" s="896"/>
      <c r="C175" s="857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-187</v>
      </c>
      <c r="I175" s="155"/>
      <c r="J175" s="178">
        <f>H175/DAY(B2)</f>
        <v>-15.583333333333334</v>
      </c>
    </row>
    <row r="176" spans="1:10" ht="32.25" customHeight="1">
      <c r="A176" s="589" t="s">
        <v>196</v>
      </c>
      <c r="B176" s="590"/>
      <c r="C176" s="483"/>
      <c r="D176" s="228" t="s">
        <v>142</v>
      </c>
      <c r="E176" s="95"/>
      <c r="F176" s="155"/>
      <c r="G176" s="155">
        <f>SUM(G173:G175)</f>
        <v>5</v>
      </c>
      <c r="H176" s="99">
        <f>G176+'11'!H176</f>
        <v>-399</v>
      </c>
      <c r="I176" s="155"/>
      <c r="J176" s="178">
        <f>H176/DAY(B2)</f>
        <v>-33.25</v>
      </c>
    </row>
    <row r="177" spans="1:10" ht="32.2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56" t="s">
        <v>210</v>
      </c>
      <c r="B178" s="857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-960</v>
      </c>
      <c r="I178" s="155"/>
      <c r="J178" s="178">
        <f>H178/DAY(B2)</f>
        <v>-80</v>
      </c>
    </row>
    <row r="179" spans="1:10" ht="32.25" customHeight="1">
      <c r="A179" s="856" t="s">
        <v>211</v>
      </c>
      <c r="B179" s="857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-657</v>
      </c>
      <c r="I179" s="155"/>
      <c r="J179" s="178">
        <f>H179/DAY(B2)</f>
        <v>-54.75</v>
      </c>
    </row>
    <row r="180" spans="1:10" ht="32.25" customHeight="1">
      <c r="A180" s="856" t="s">
        <v>212</v>
      </c>
      <c r="B180" s="857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-139</v>
      </c>
      <c r="I180" s="155"/>
      <c r="J180" s="178">
        <f>H180/DAY(B2)</f>
        <v>-11.583333333333334</v>
      </c>
    </row>
    <row r="181" spans="1:10" ht="32.2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79</v>
      </c>
      <c r="H181" s="99">
        <f>G181+'11'!H181</f>
        <v>-1756</v>
      </c>
      <c r="I181" s="155"/>
      <c r="J181" s="178">
        <f>H181/DAY(B2)</f>
        <v>-146.33333333333334</v>
      </c>
    </row>
    <row r="182" spans="1:10" ht="32.2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56" t="s">
        <v>214</v>
      </c>
      <c r="B183" s="857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-244</v>
      </c>
      <c r="I183" s="155"/>
      <c r="J183" s="178">
        <f>H183/DAY(B2)</f>
        <v>-20.333333333333332</v>
      </c>
    </row>
    <row r="184" spans="1:10" ht="32.25" customHeight="1">
      <c r="A184" s="856" t="s">
        <v>215</v>
      </c>
      <c r="B184" s="857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-135</v>
      </c>
      <c r="I184" s="155"/>
      <c r="J184" s="178">
        <f>H184/DAY(B2)</f>
        <v>-11.25</v>
      </c>
    </row>
    <row r="185" spans="1:10" ht="32.25" customHeight="1">
      <c r="A185" s="856" t="s">
        <v>216</v>
      </c>
      <c r="B185" s="85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10</v>
      </c>
      <c r="H186" s="99">
        <f>G186+'11'!H186</f>
        <v>-379</v>
      </c>
      <c r="I186" s="157"/>
      <c r="J186" s="178">
        <f>H186/DAY(B2)</f>
        <v>-31.583333333333332</v>
      </c>
    </row>
    <row r="187" spans="1:10" ht="32.2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100</v>
      </c>
      <c r="H187" s="99">
        <f>G187+'11'!H187</f>
        <v>-2624</v>
      </c>
      <c r="I187" s="158"/>
      <c r="J187" s="179">
        <f>H187/DAY(B2)</f>
        <v>-218.66666666666666</v>
      </c>
    </row>
    <row r="188" spans="1:10" ht="32.2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79</v>
      </c>
      <c r="H188" s="99">
        <f>G188+'11'!H188</f>
        <v>-2559</v>
      </c>
      <c r="I188" s="158"/>
      <c r="J188" s="179">
        <f>H188/DAY(B2)</f>
        <v>-213.25</v>
      </c>
    </row>
    <row r="189" spans="1:10" ht="32.25" customHeight="1">
      <c r="A189" s="849" t="s">
        <v>219</v>
      </c>
      <c r="B189" s="850"/>
      <c r="C189" s="333"/>
      <c r="D189" s="230" t="s">
        <v>142</v>
      </c>
      <c r="E189" s="95"/>
      <c r="F189" s="157"/>
      <c r="G189" s="681">
        <f>G181</f>
        <v>79</v>
      </c>
      <c r="H189" s="99">
        <f>G189+'11'!H189</f>
        <v>-1756</v>
      </c>
      <c r="I189" s="158"/>
      <c r="J189" s="179">
        <f>H189/DAY(B2)</f>
        <v>-146.33333333333334</v>
      </c>
    </row>
    <row r="190" spans="1:10" ht="32.25" customHeight="1">
      <c r="A190" s="770"/>
      <c r="B190" s="771"/>
      <c r="C190" s="481"/>
      <c r="D190" s="478"/>
      <c r="E190" s="475"/>
      <c r="F190" s="478"/>
      <c r="G190" s="478"/>
      <c r="H190" s="484"/>
      <c r="I190" s="478"/>
      <c r="J190" s="480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SheetLayoutView="50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-313985.23</v>
      </c>
      <c r="I7" s="113">
        <f>'1'!I7</f>
        <v>12000</v>
      </c>
      <c r="J7" s="175">
        <f>H7/DAY(B2)</f>
        <v>-24152.71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-320523.15000000002</v>
      </c>
      <c r="I8" s="116"/>
      <c r="J8" s="175">
        <f>H8/DAY(B2)</f>
        <v>-24655.626923076925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44230</v>
      </c>
      <c r="F9" s="598">
        <v>54881</v>
      </c>
      <c r="G9" s="112">
        <f>F9-E9</f>
        <v>10651</v>
      </c>
      <c r="H9" s="99">
        <f>G9+'12'!H9</f>
        <v>2129908.1500000004</v>
      </c>
      <c r="I9" s="124">
        <f>I7-J7</f>
        <v>36152.71</v>
      </c>
      <c r="J9" s="175">
        <f>H9/DAY(B2)</f>
        <v>163839.08846153849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518091.03</v>
      </c>
      <c r="I10" s="282"/>
      <c r="J10" s="175">
        <f>H10/DAY(B2)</f>
        <v>39853.156153846154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-170</v>
      </c>
      <c r="I11" s="282"/>
      <c r="J11" s="175">
        <f>H11/DAY(B2)</f>
        <v>-13.076923076923077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2631074.75</v>
      </c>
      <c r="I13" s="120">
        <f>G7-G13</f>
        <v>472</v>
      </c>
      <c r="J13" s="175">
        <f>H13/DAY(B2)</f>
        <v>202390.36538461538</v>
      </c>
      <c r="K13" s="79"/>
      <c r="L13" s="66"/>
      <c r="N13" s="87"/>
      <c r="O13" s="71"/>
    </row>
    <row r="14" spans="1:15" ht="27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-16746.766999999993</v>
      </c>
      <c r="I15" s="113">
        <f>'1'!I15</f>
        <v>800</v>
      </c>
      <c r="J15" s="175">
        <f>H15/DAY(B2)</f>
        <v>-1288.2128461538455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2088.2128461538455</v>
      </c>
      <c r="J16" s="176"/>
      <c r="K16" s="79"/>
      <c r="L16" s="66"/>
      <c r="N16" s="87"/>
      <c r="O16" s="71"/>
    </row>
    <row r="17" spans="1:15" ht="27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84" t="s">
        <v>141</v>
      </c>
      <c r="B18" s="885"/>
      <c r="C18" s="886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1960</v>
      </c>
      <c r="I18" s="113">
        <f>'1'!I18</f>
        <v>65</v>
      </c>
      <c r="J18" s="175">
        <f>H18/DAY(B2)</f>
        <v>150.76923076923077</v>
      </c>
      <c r="K18" s="79"/>
      <c r="L18" s="66"/>
      <c r="N18" s="87"/>
      <c r="O18" s="71"/>
    </row>
    <row r="19" spans="1:15" ht="27.75" customHeight="1">
      <c r="A19" s="884" t="s">
        <v>69</v>
      </c>
      <c r="B19" s="885"/>
      <c r="C19" s="886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-983</v>
      </c>
      <c r="I19" s="335"/>
      <c r="J19" s="175">
        <f>H19/DAY(B2)</f>
        <v>-75.615384615384613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977</v>
      </c>
      <c r="I20" s="336">
        <f>I18-J20</f>
        <v>-10.15384615384616</v>
      </c>
      <c r="J20" s="175">
        <f>H20/DAY(B2)</f>
        <v>75.15384615384616</v>
      </c>
      <c r="K20" s="79"/>
      <c r="L20" s="66"/>
      <c r="N20" s="87"/>
      <c r="O20" s="71"/>
    </row>
    <row r="21" spans="1:15" ht="27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-2884708.3500000006</v>
      </c>
      <c r="I27" s="138"/>
      <c r="J27" s="175">
        <f>H27/DAY(B2)</f>
        <v>-221900.64230769235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-870831.88399999961</v>
      </c>
      <c r="I28" s="140"/>
      <c r="J28" s="175">
        <f>H28/DAY(B2)</f>
        <v>-66987.06799999997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-143518</v>
      </c>
      <c r="I30" s="140"/>
      <c r="J30" s="175">
        <f>H30/DAY(B2)</f>
        <v>-11039.846153846154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156800</v>
      </c>
      <c r="I31" s="140"/>
      <c r="J31" s="175">
        <f>H31/DAY(B2)</f>
        <v>12061.538461538461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-3742258.2340000002</v>
      </c>
      <c r="I32" s="144"/>
      <c r="J32" s="175">
        <f>H32/DAY(B2)</f>
        <v>-287866.01800000004</v>
      </c>
      <c r="K32" s="63"/>
      <c r="L32" s="89"/>
      <c r="N32" s="87"/>
      <c r="O32" s="71"/>
    </row>
    <row r="33" spans="1:15" ht="27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143878.01999999999</v>
      </c>
      <c r="I35" s="95"/>
      <c r="J35" s="175">
        <f>H35/DAY(B2)</f>
        <v>11067.539999999999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-12364.739999999998</v>
      </c>
      <c r="I36" s="95"/>
      <c r="J36" s="175">
        <f>H36/DAY(B2)</f>
        <v>-951.13384615384598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179500.91</v>
      </c>
      <c r="I37" s="95"/>
      <c r="J37" s="175">
        <f>H37/DAY(B2)</f>
        <v>13807.762307692308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215025.57</v>
      </c>
      <c r="I38" s="95"/>
      <c r="J38" s="175">
        <f>H38/DAY(B2)</f>
        <v>16540.42846153846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386107.70999999996</v>
      </c>
      <c r="I39" s="95"/>
      <c r="J39" s="175">
        <f>H39/DAY(B2)</f>
        <v>29700.593076923073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-10711.990000000002</v>
      </c>
      <c r="I40" s="95"/>
      <c r="J40" s="175">
        <f>H40/DAY(B2)</f>
        <v>-823.99923076923085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-62.73</v>
      </c>
      <c r="I41" s="95"/>
      <c r="J41" s="175">
        <f>H41/DAY(B2)</f>
        <v>-4.8253846153846149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-26320.740000000005</v>
      </c>
      <c r="I42" s="95"/>
      <c r="J42" s="175">
        <f>H42/DAY(B2)</f>
        <v>-2024.6723076923081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-38122.600000000006</v>
      </c>
      <c r="I43" s="95"/>
      <c r="J43" s="175">
        <f>H43/DAY(B2)</f>
        <v>-2932.5076923076927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836929.41</v>
      </c>
      <c r="I47" s="95"/>
      <c r="J47" s="175">
        <f>H47/DAY(B2)</f>
        <v>64379.18538461539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266569.81</v>
      </c>
      <c r="I49" s="95"/>
      <c r="J49" s="175">
        <f>H49/DAY(B2)</f>
        <v>20505.37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-18732.629999999997</v>
      </c>
      <c r="I50" s="95"/>
      <c r="J50" s="175">
        <f>H50/DAY(B2)</f>
        <v>-1440.9715384615383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-726.42000000000007</v>
      </c>
      <c r="I54" s="95"/>
      <c r="J54" s="175">
        <f>H54/DAY(B2)</f>
        <v>-55.878461538461544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-31796.11</v>
      </c>
      <c r="I55" s="95"/>
      <c r="J55" s="175">
        <f>H55/DAY(B2)</f>
        <v>-2445.8546153846155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-3240.21</v>
      </c>
      <c r="I58" s="95"/>
      <c r="J58" s="175">
        <f>H58/DAY(B2)</f>
        <v>-249.24692307692308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212074.9</v>
      </c>
      <c r="I59" s="95">
        <f>G7-G60</f>
        <v>979</v>
      </c>
      <c r="J59" s="175">
        <f>H59/DAY(B2)</f>
        <v>16313.453846153845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1049004.31</v>
      </c>
      <c r="I60" s="95">
        <f>G13-G60</f>
        <v>507</v>
      </c>
      <c r="J60" s="175">
        <f>H60/DAY(B2)</f>
        <v>80692.639230769229</v>
      </c>
      <c r="K60" s="79"/>
      <c r="L60" s="66"/>
      <c r="N60" s="87"/>
      <c r="O60" s="71"/>
    </row>
    <row r="61" spans="1:15" s="68" customFormat="1" ht="27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84" t="s">
        <v>198</v>
      </c>
      <c r="B62" s="885"/>
      <c r="C62" s="886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-1534</v>
      </c>
      <c r="I62" s="118"/>
      <c r="J62" s="175">
        <f>H62/DAY(B2)</f>
        <v>-118</v>
      </c>
      <c r="K62" s="80"/>
      <c r="L62" s="66"/>
      <c r="N62" s="87"/>
      <c r="O62" s="71"/>
    </row>
    <row r="63" spans="1:15" ht="27.75" customHeight="1">
      <c r="A63" s="884" t="s">
        <v>199</v>
      </c>
      <c r="B63" s="885"/>
      <c r="C63" s="886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-1998</v>
      </c>
      <c r="I63" s="118"/>
      <c r="J63" s="175">
        <f>H63/DAY(B2)</f>
        <v>-153.69230769230768</v>
      </c>
      <c r="K63" s="69"/>
      <c r="L63" s="66"/>
      <c r="N63" s="87"/>
      <c r="O63" s="71"/>
    </row>
    <row r="64" spans="1:15" ht="27.75" customHeight="1">
      <c r="A64" s="893" t="s">
        <v>200</v>
      </c>
      <c r="B64" s="894"/>
      <c r="C64" s="895"/>
      <c r="D64" s="151"/>
      <c r="E64" s="95">
        <f>'12'!F64</f>
        <v>0</v>
      </c>
      <c r="F64" s="122"/>
      <c r="G64" s="112">
        <f>G62+G63</f>
        <v>147</v>
      </c>
      <c r="H64" s="99">
        <f>G64+'12'!H64</f>
        <v>-3532</v>
      </c>
      <c r="I64" s="118"/>
      <c r="J64" s="175">
        <f>H64/DAY(B2)</f>
        <v>-271.69230769230768</v>
      </c>
      <c r="K64" s="69"/>
      <c r="L64" s="66"/>
      <c r="N64" s="87"/>
      <c r="O64" s="71"/>
    </row>
    <row r="65" spans="1:15" ht="27.75" customHeight="1">
      <c r="A65" s="884" t="s">
        <v>201</v>
      </c>
      <c r="B65" s="885"/>
      <c r="C65" s="886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-1384</v>
      </c>
      <c r="I65" s="118"/>
      <c r="J65" s="175">
        <f>H65/DAY(B2)</f>
        <v>-106.46153846153847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-301</v>
      </c>
      <c r="I66" s="118"/>
      <c r="J66" s="175">
        <f>H66/DAY(B2)</f>
        <v>-23.153846153846153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-412</v>
      </c>
      <c r="I67" s="118"/>
      <c r="J67" s="175">
        <f>H67/DAY(B2)</f>
        <v>-31.692307692307693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-749</v>
      </c>
      <c r="I68" s="118"/>
      <c r="J68" s="175">
        <f>H68/DAY(B2)</f>
        <v>-57.615384615384613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-195</v>
      </c>
      <c r="I69" s="118"/>
      <c r="J69" s="175">
        <f>H69/DAY(B2)</f>
        <v>-15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-156</v>
      </c>
      <c r="I70" s="118"/>
      <c r="J70" s="175">
        <f>H70/DAY(B2)</f>
        <v>-12</v>
      </c>
      <c r="K70" s="69"/>
      <c r="L70" s="66"/>
      <c r="N70" s="87"/>
      <c r="O70" s="71"/>
    </row>
    <row r="71" spans="1:15" ht="27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131</v>
      </c>
      <c r="H71" s="99">
        <f>G71+'12'!H71</f>
        <v>-3197</v>
      </c>
      <c r="I71" s="154"/>
      <c r="J71" s="175">
        <f>H71/DAY(B2)</f>
        <v>-245.92307692307693</v>
      </c>
      <c r="K71" s="69"/>
      <c r="L71" s="66"/>
      <c r="N71" s="87"/>
      <c r="O71" s="71"/>
    </row>
    <row r="72" spans="1:15" s="88" customFormat="1" ht="27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84" t="s">
        <v>220</v>
      </c>
      <c r="B74" s="885"/>
      <c r="C74" s="886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-5476.1489999999758</v>
      </c>
      <c r="I74" s="154"/>
      <c r="J74" s="175">
        <f>H74/DAY(B2)</f>
        <v>-421.24223076922891</v>
      </c>
      <c r="K74" s="69"/>
      <c r="L74" s="66"/>
      <c r="N74" s="87"/>
      <c r="O74" s="71"/>
    </row>
    <row r="75" spans="1:15" ht="27.75" customHeight="1">
      <c r="A75" s="884" t="s">
        <v>221</v>
      </c>
      <c r="B75" s="885"/>
      <c r="C75" s="88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>
      <c r="A76" s="881" t="s">
        <v>222</v>
      </c>
      <c r="B76" s="882"/>
      <c r="C76" s="883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-1658</v>
      </c>
      <c r="I76" s="154"/>
      <c r="J76" s="175">
        <f>H76/DAY(B2)</f>
        <v>-127.53846153846153</v>
      </c>
      <c r="K76" s="69"/>
      <c r="L76" s="66"/>
      <c r="N76" s="87"/>
      <c r="O76" s="71"/>
    </row>
    <row r="77" spans="1:15" ht="27.75" customHeight="1">
      <c r="A77" s="881" t="s">
        <v>223</v>
      </c>
      <c r="B77" s="882"/>
      <c r="C77" s="883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-584.19999999999709</v>
      </c>
      <c r="I77" s="154"/>
      <c r="J77" s="175">
        <f>H77/DAY(B2)</f>
        <v>-44.938461538461311</v>
      </c>
      <c r="K77" s="69"/>
      <c r="L77" s="66"/>
      <c r="N77" s="87"/>
      <c r="O77" s="71"/>
    </row>
    <row r="78" spans="1:15" ht="27.75" customHeight="1">
      <c r="A78" s="881" t="s">
        <v>224</v>
      </c>
      <c r="B78" s="882"/>
      <c r="C78" s="883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-20</v>
      </c>
      <c r="I78" s="118"/>
      <c r="J78" s="175">
        <f>H78/DAY(B2)</f>
        <v>-1.5384615384615385</v>
      </c>
      <c r="K78" s="69"/>
      <c r="L78" s="66"/>
      <c r="N78" s="87"/>
      <c r="O78" s="71"/>
    </row>
    <row r="79" spans="1:15" s="57" customFormat="1" ht="27.75" customHeight="1">
      <c r="A79" s="881" t="s">
        <v>225</v>
      </c>
      <c r="B79" s="882"/>
      <c r="C79" s="883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-9008.6180000000168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-163.86999999999989</v>
      </c>
      <c r="I85" s="118">
        <f>G82+G83+G84+G85</f>
        <v>0</v>
      </c>
      <c r="J85" s="175">
        <f>H85/DAY(B2)</f>
        <v>-12.605384615384606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-266</v>
      </c>
      <c r="I86" s="118"/>
      <c r="J86" s="175">
        <f>H86/DAY(B2)</f>
        <v>-20.46153846153846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5.0000000002910383E-2</v>
      </c>
      <c r="I87" s="118"/>
      <c r="J87" s="175">
        <f>H87/DAY(B2)</f>
        <v>3.846153846377722E-3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-4.1599999999998545</v>
      </c>
      <c r="I88" s="118">
        <f>G86+G87+G88</f>
        <v>25.270000000000437</v>
      </c>
      <c r="J88" s="175">
        <f>H88/DAY(B2)</f>
        <v>-0.31999999999998879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-149.93999999999869</v>
      </c>
      <c r="I89" s="118"/>
      <c r="J89" s="175">
        <f>H89/DAY(B2)</f>
        <v>-11.533846153846053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-59.020000000004075</v>
      </c>
      <c r="I90" s="118">
        <f>G89+G90</f>
        <v>14.310000000008586</v>
      </c>
      <c r="J90" s="175">
        <f>H90/DAY(B2)</f>
        <v>-4.5400000000003136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-24.769999999999982</v>
      </c>
      <c r="I91" s="165"/>
      <c r="J91" s="175">
        <f>H91/DAY(B2)</f>
        <v>-1.9053846153846139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-169.75</v>
      </c>
      <c r="I92" s="165"/>
      <c r="J92" s="175">
        <f>H92/DAY(B2)</f>
        <v>-13.057692307692308</v>
      </c>
      <c r="O92" s="71"/>
    </row>
    <row r="93" spans="1:15" ht="27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4761</v>
      </c>
      <c r="H94" s="99">
        <f>G94+'12'!H94</f>
        <v>372325.23</v>
      </c>
      <c r="I94" s="118"/>
      <c r="J94" s="175">
        <f>H94/DAY(B2)</f>
        <v>28640.402307692308</v>
      </c>
      <c r="K94" s="69"/>
      <c r="L94" s="66"/>
      <c r="O94" s="71"/>
    </row>
    <row r="95" spans="1:15" ht="27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0.28339285714285717</v>
      </c>
      <c r="H95" s="99">
        <f>G95+'12'!H95</f>
        <v>2.6018453598103926</v>
      </c>
      <c r="I95" s="167"/>
      <c r="J95" s="175">
        <f>H95/DAY(B2)</f>
        <v>0.20014195075464558</v>
      </c>
      <c r="K95" s="69"/>
      <c r="L95" s="66"/>
      <c r="O95" s="71"/>
    </row>
    <row r="96" spans="1:15" ht="27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2861</v>
      </c>
      <c r="H96" s="99">
        <f>G96+'12'!H96</f>
        <v>-58179.120000000024</v>
      </c>
      <c r="I96" s="118"/>
      <c r="J96" s="175">
        <f>H96/DAY(B2)</f>
        <v>-4475.3169230769254</v>
      </c>
      <c r="K96" s="69"/>
      <c r="L96" s="66"/>
      <c r="O96" s="71"/>
    </row>
    <row r="97" spans="1:15" ht="27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0.17029761904761906</v>
      </c>
      <c r="H97" s="99">
        <f>G97+'12'!H97</f>
        <v>2.3009790718567364</v>
      </c>
      <c r="I97" s="167"/>
      <c r="J97" s="175">
        <f>H97/DAY(B2)</f>
        <v>0.17699839014282587</v>
      </c>
      <c r="K97" s="69"/>
      <c r="L97" s="66"/>
      <c r="O97" s="71"/>
    </row>
    <row r="98" spans="1:15" ht="27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2404</v>
      </c>
      <c r="H98" s="99">
        <f>G98+'12'!H98</f>
        <v>386107.70999999996</v>
      </c>
      <c r="I98" s="168"/>
      <c r="J98" s="175">
        <f>H98/DAY(B2)</f>
        <v>29700.593076923073</v>
      </c>
      <c r="K98" s="69"/>
      <c r="L98" s="66"/>
      <c r="O98" s="71"/>
    </row>
    <row r="99" spans="1:15" ht="27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0.14309523809523811</v>
      </c>
      <c r="H99" s="99">
        <f>G99+'12'!H99</f>
        <v>1.0657117449245397</v>
      </c>
      <c r="I99" s="168"/>
      <c r="J99" s="175">
        <f>H99/DAY(B2)</f>
        <v>8.1977826532656894E-2</v>
      </c>
      <c r="O99" s="71"/>
    </row>
    <row r="100" spans="1:15" ht="27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1543</v>
      </c>
      <c r="H100" s="99">
        <f>G100+'12'!H100</f>
        <v>215025.57</v>
      </c>
      <c r="I100" s="118"/>
      <c r="J100" s="175">
        <f>H100/DAY(B2)</f>
        <v>16540.42846153846</v>
      </c>
      <c r="K100" s="70"/>
      <c r="O100" s="71"/>
    </row>
    <row r="101" spans="1:15" ht="27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0.75133210863488031</v>
      </c>
      <c r="I101" s="168"/>
      <c r="J101" s="175">
        <f>H101/DAY(B2)</f>
        <v>5.7794777587298486E-2</v>
      </c>
      <c r="O101" s="71"/>
    </row>
    <row r="102" spans="1:15" ht="27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1424</v>
      </c>
      <c r="H102" s="99">
        <f>G102+'12'!H102</f>
        <v>-31097.369999999995</v>
      </c>
      <c r="I102" s="168"/>
      <c r="J102" s="175">
        <f>H102/DAY(B2)</f>
        <v>-2392.1053846153841</v>
      </c>
      <c r="O102" s="71"/>
    </row>
    <row r="103" spans="1:15" ht="27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1.31377650516374</v>
      </c>
      <c r="I103" s="118"/>
      <c r="J103" s="175">
        <f>H103/DAY(B2)</f>
        <v>0.10105973116644154</v>
      </c>
      <c r="O103" s="71"/>
    </row>
    <row r="104" spans="1:15" ht="27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1471</v>
      </c>
      <c r="H104" s="99">
        <f>G104+'12'!H104</f>
        <v>179500.91</v>
      </c>
      <c r="I104" s="118"/>
      <c r="J104" s="175">
        <f>H104/DAY(B2)</f>
        <v>13807.762307692308</v>
      </c>
      <c r="O104" s="71"/>
    </row>
    <row r="105" spans="1:15" ht="27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0.71395742422913</v>
      </c>
      <c r="I105" s="187"/>
      <c r="J105" s="188">
        <f>H105/DAY(B2)</f>
        <v>5.4919801863779233E-2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>
      <c r="A109" s="901"/>
      <c r="B109" s="901"/>
    </row>
    <row r="110" spans="1:15" ht="27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63" t="s">
        <v>252</v>
      </c>
      <c r="B112" s="864"/>
      <c r="C112" s="865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-1403</v>
      </c>
      <c r="I112" s="165"/>
      <c r="J112" s="328">
        <f>H112/DAY(B2)</f>
        <v>-107.92307692307692</v>
      </c>
    </row>
    <row r="113" spans="1:18" ht="27.75" customHeight="1">
      <c r="A113" s="863" t="s">
        <v>253</v>
      </c>
      <c r="B113" s="864"/>
      <c r="C113" s="865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-8350.89</v>
      </c>
      <c r="I113" s="165"/>
      <c r="J113" s="328">
        <f>H113/DAY(B2)</f>
        <v>-642.37615384615378</v>
      </c>
    </row>
    <row r="114" spans="1:18" ht="27.75" customHeight="1">
      <c r="A114" s="863" t="s">
        <v>254</v>
      </c>
      <c r="B114" s="864"/>
      <c r="C114" s="865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-4839</v>
      </c>
      <c r="I114" s="165"/>
      <c r="J114" s="328">
        <f>H114/DAY(B2)</f>
        <v>-372.23076923076923</v>
      </c>
    </row>
    <row r="115" spans="1:18" ht="27.75" customHeight="1">
      <c r="A115" s="863" t="s">
        <v>255</v>
      </c>
      <c r="B115" s="864"/>
      <c r="C115" s="865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-177.64999999999964</v>
      </c>
      <c r="I115" s="165"/>
      <c r="J115" s="328">
        <f>H115/DAY(B2)</f>
        <v>-13.665384615384587</v>
      </c>
    </row>
    <row r="116" spans="1:18" ht="27.75" customHeight="1">
      <c r="A116" s="870" t="s">
        <v>96</v>
      </c>
      <c r="B116" s="871"/>
      <c r="C116" s="872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63"/>
      <c r="R116" s="865"/>
    </row>
    <row r="117" spans="1:18" ht="27.75" customHeight="1">
      <c r="A117" s="870" t="s">
        <v>184</v>
      </c>
      <c r="B117" s="871"/>
      <c r="C117" s="872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-428.94999999999982</v>
      </c>
      <c r="I117" s="165"/>
      <c r="J117" s="328">
        <f>H117/DAY(B2)</f>
        <v>-32.996153846153831</v>
      </c>
      <c r="Q117" s="863"/>
      <c r="R117" s="865"/>
    </row>
    <row r="118" spans="1:18" ht="27.75" customHeight="1">
      <c r="A118" s="862" t="s">
        <v>97</v>
      </c>
      <c r="B118" s="862"/>
      <c r="C118" s="862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-6113.3099999999977</v>
      </c>
      <c r="I118" s="165"/>
      <c r="J118" s="328">
        <f>H118/DAY(B2)</f>
        <v>-470.25461538461519</v>
      </c>
      <c r="Q118" s="863"/>
      <c r="R118" s="865"/>
    </row>
    <row r="119" spans="1:18" ht="27.75" customHeight="1">
      <c r="A119" s="862" t="s">
        <v>98</v>
      </c>
      <c r="B119" s="862"/>
      <c r="C119" s="862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-7544.5499999999884</v>
      </c>
      <c r="I119" s="165"/>
      <c r="J119" s="328">
        <f>H119/DAY(B2)</f>
        <v>-580.34999999999911</v>
      </c>
    </row>
    <row r="120" spans="1:18" ht="27.75" customHeight="1">
      <c r="A120" s="862" t="s">
        <v>99</v>
      </c>
      <c r="B120" s="862"/>
      <c r="C120" s="862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-7512.6100000000006</v>
      </c>
      <c r="I120" s="165"/>
      <c r="J120" s="328">
        <f>H120/DAY(B2)</f>
        <v>-577.89307692307693</v>
      </c>
    </row>
    <row r="121" spans="1:18" ht="27.75" customHeight="1">
      <c r="A121" s="862" t="s">
        <v>100</v>
      </c>
      <c r="B121" s="862"/>
      <c r="C121" s="862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-12267.429999999993</v>
      </c>
      <c r="I121" s="165"/>
      <c r="J121" s="328">
        <f>H121/DAY(B2)</f>
        <v>-943.64846153846099</v>
      </c>
    </row>
    <row r="122" spans="1:18" ht="27.75" customHeight="1">
      <c r="A122" s="862" t="s">
        <v>101</v>
      </c>
      <c r="B122" s="862"/>
      <c r="C122" s="862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-3378.179999999993</v>
      </c>
      <c r="I122" s="165"/>
      <c r="J122" s="328">
        <f>H122/DAY(B2)</f>
        <v>-259.85999999999945</v>
      </c>
    </row>
    <row r="123" spans="1:18" ht="27.75" customHeight="1">
      <c r="A123" s="862" t="s">
        <v>102</v>
      </c>
      <c r="B123" s="862"/>
      <c r="C123" s="862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-4863.9500000000116</v>
      </c>
      <c r="I123" s="165"/>
      <c r="J123" s="328">
        <f>H123/DAY(B2)</f>
        <v>-374.15000000000089</v>
      </c>
    </row>
    <row r="124" spans="1:18" ht="27.7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>
      <c r="A127" s="852"/>
      <c r="B127" s="85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63" t="s">
        <v>318</v>
      </c>
      <c r="B128" s="864"/>
      <c r="C128" s="865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-5560</v>
      </c>
      <c r="I128" s="165"/>
      <c r="J128" s="328">
        <f>H128/DAY(B2)</f>
        <v>-427.69230769230768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-3736.869999999999</v>
      </c>
      <c r="I129" s="165"/>
      <c r="J129" s="328">
        <f>H129/DAY(B2)</f>
        <v>-287.45153846153841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-9372</v>
      </c>
      <c r="I130" s="165"/>
      <c r="J130" s="328">
        <f>H130/DAY(B2)</f>
        <v>-720.92307692307691</v>
      </c>
      <c r="N130" s="240"/>
      <c r="O130" s="241"/>
    </row>
    <row r="131" spans="1:15" ht="27.75" customHeight="1">
      <c r="A131" s="863" t="s">
        <v>321</v>
      </c>
      <c r="B131" s="864"/>
      <c r="C131" s="865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-1230.6800000000003</v>
      </c>
      <c r="I131" s="165"/>
      <c r="J131" s="328">
        <f>H131/DAY(B2)</f>
        <v>-94.667692307692334</v>
      </c>
      <c r="N131" s="240"/>
      <c r="O131" s="241"/>
    </row>
    <row r="132" spans="1:15" ht="27.75" customHeight="1">
      <c r="A132" s="863" t="s">
        <v>322</v>
      </c>
      <c r="B132" s="864"/>
      <c r="C132" s="865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-4563.3000000000029</v>
      </c>
      <c r="I132" s="165"/>
      <c r="J132" s="328">
        <f>H132/DAY(B2)</f>
        <v>-351.02307692307716</v>
      </c>
    </row>
    <row r="133" spans="1:15" ht="27.75" customHeight="1">
      <c r="A133" s="863" t="s">
        <v>362</v>
      </c>
      <c r="B133" s="864"/>
      <c r="C133" s="865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-9019.6999999999971</v>
      </c>
      <c r="I133" s="165"/>
      <c r="J133" s="328">
        <f>H133/DAY(B2)</f>
        <v>-693.82307692307666</v>
      </c>
    </row>
    <row r="134" spans="1:15" ht="27.75" customHeight="1">
      <c r="A134" s="863" t="s">
        <v>340</v>
      </c>
      <c r="B134" s="864"/>
      <c r="C134" s="865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668137.77</v>
      </c>
      <c r="I134" s="165"/>
      <c r="J134" s="328">
        <f>H134/DAY(B2)</f>
        <v>51395.213076923079</v>
      </c>
    </row>
    <row r="135" spans="1:15" ht="27.7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2221</v>
      </c>
      <c r="H135" s="99">
        <f>G135+'12'!H135</f>
        <v>632108.22</v>
      </c>
      <c r="I135" s="327">
        <f>G135-(G35+G49)</f>
        <v>-529</v>
      </c>
      <c r="J135" s="328">
        <f>H135/DAY(B2)</f>
        <v>48623.709230769229</v>
      </c>
    </row>
    <row r="136" spans="1:15" ht="27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62" t="s">
        <v>185</v>
      </c>
      <c r="B138" s="862"/>
      <c r="C138" s="862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-1184</v>
      </c>
      <c r="I138" s="118"/>
      <c r="J138" s="328">
        <f>H138/DAY(B2)</f>
        <v>-91.07692307692308</v>
      </c>
    </row>
    <row r="139" spans="1:15" ht="27.75" customHeight="1">
      <c r="A139" s="862" t="s">
        <v>186</v>
      </c>
      <c r="B139" s="862"/>
      <c r="C139" s="862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-24</v>
      </c>
      <c r="I139" s="118"/>
      <c r="J139" s="328">
        <f>H139/DAY(B2)</f>
        <v>-1.8461538461538463</v>
      </c>
    </row>
    <row r="140" spans="1:15" ht="27.75" customHeight="1">
      <c r="A140" s="862" t="s">
        <v>187</v>
      </c>
      <c r="B140" s="862"/>
      <c r="C140" s="862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-24</v>
      </c>
      <c r="I140" s="118"/>
      <c r="J140" s="328">
        <f>H140/DAY(B2)</f>
        <v>-1.8461538461538463</v>
      </c>
    </row>
    <row r="141" spans="1:15" ht="27.75" customHeight="1">
      <c r="A141" s="843" t="s">
        <v>188</v>
      </c>
      <c r="B141" s="843"/>
      <c r="C141" s="843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-3114.5800000000017</v>
      </c>
      <c r="I141" s="118"/>
      <c r="J141" s="328">
        <f>H141/DAY(B2)</f>
        <v>-239.58307692307704</v>
      </c>
    </row>
    <row r="142" spans="1:15" ht="27.75" customHeight="1">
      <c r="A142" s="843" t="s">
        <v>189</v>
      </c>
      <c r="B142" s="843"/>
      <c r="C142" s="843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-1376.0999999999985</v>
      </c>
      <c r="I142" s="140"/>
      <c r="J142" s="328">
        <f>H142/DAY(B2)</f>
        <v>-105.85384615384604</v>
      </c>
    </row>
    <row r="143" spans="1:15" ht="27.75" customHeight="1">
      <c r="A143" s="862" t="s">
        <v>91</v>
      </c>
      <c r="B143" s="862"/>
      <c r="C143" s="862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-465.38999999999987</v>
      </c>
      <c r="I143" s="140"/>
      <c r="J143" s="328">
        <f>H143/DAY(B2)</f>
        <v>-35.799230769230761</v>
      </c>
    </row>
    <row r="144" spans="1:15" ht="27.75" customHeight="1">
      <c r="A144" s="843" t="s">
        <v>90</v>
      </c>
      <c r="B144" s="843"/>
      <c r="C144" s="843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-3890</v>
      </c>
      <c r="I144" s="140"/>
      <c r="J144" s="328">
        <f>H144/DAY(B2)</f>
        <v>-299.23076923076923</v>
      </c>
    </row>
    <row r="145" spans="1:10" ht="27.75" customHeight="1">
      <c r="A145" s="862" t="s">
        <v>190</v>
      </c>
      <c r="B145" s="862"/>
      <c r="C145" s="862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-203.84000000000015</v>
      </c>
      <c r="I145" s="140"/>
      <c r="J145" s="328">
        <f>H145/DAY(B2)</f>
        <v>-15.68000000000001</v>
      </c>
    </row>
    <row r="146" spans="1:10" ht="27.75" customHeight="1">
      <c r="A146" s="897" t="s">
        <v>191</v>
      </c>
      <c r="B146" s="882"/>
      <c r="C146" s="883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-7195</v>
      </c>
      <c r="I146" s="140"/>
      <c r="J146" s="328">
        <f>H146/DAY(B2)</f>
        <v>-553.46153846153845</v>
      </c>
    </row>
    <row r="147" spans="1:10" ht="27.75" customHeight="1">
      <c r="A147" s="843" t="s">
        <v>192</v>
      </c>
      <c r="B147" s="843"/>
      <c r="C147" s="843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-6485.5200000000186</v>
      </c>
      <c r="I147" s="140"/>
      <c r="J147" s="328">
        <f>H147/DAY(B2)</f>
        <v>-498.88615384615525</v>
      </c>
    </row>
    <row r="148" spans="1:10" ht="27.75" customHeight="1">
      <c r="A148" s="844" t="s">
        <v>193</v>
      </c>
      <c r="B148" s="845"/>
      <c r="C148" s="846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-3272.9599999999627</v>
      </c>
      <c r="I148" s="124"/>
      <c r="J148" s="328">
        <f>H148/DAY(B2)</f>
        <v>-251.76615384615098</v>
      </c>
    </row>
    <row r="149" spans="1:10" ht="27.75" customHeight="1">
      <c r="A149" s="844" t="s">
        <v>336</v>
      </c>
      <c r="B149" s="845"/>
      <c r="C149" s="846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-8597.2000000000007</v>
      </c>
      <c r="I149" s="119"/>
      <c r="J149" s="328">
        <f>H149/DAY(B2)</f>
        <v>-661.323076923077</v>
      </c>
    </row>
    <row r="150" spans="1:10" ht="27.75" customHeight="1">
      <c r="A150" s="844" t="s">
        <v>337</v>
      </c>
      <c r="B150" s="845"/>
      <c r="C150" s="846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-3951.83</v>
      </c>
      <c r="I150" s="119"/>
      <c r="J150" s="328">
        <f>H150/DAY(B2)</f>
        <v>-303.98692307692306</v>
      </c>
    </row>
    <row r="151" spans="1:10" ht="27.75" customHeight="1">
      <c r="A151" s="844" t="s">
        <v>338</v>
      </c>
      <c r="B151" s="845"/>
      <c r="C151" s="846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-4195</v>
      </c>
      <c r="I151" s="119"/>
      <c r="J151" s="328">
        <f>H151/DAY(B2)</f>
        <v>-322.69230769230768</v>
      </c>
    </row>
    <row r="152" spans="1:10" ht="27.75" customHeight="1">
      <c r="A152" s="844" t="s">
        <v>339</v>
      </c>
      <c r="B152" s="845"/>
      <c r="C152" s="846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-297</v>
      </c>
      <c r="I152" s="119"/>
      <c r="J152" s="328">
        <f>H152/DAY(B2)</f>
        <v>-22.846153846153847</v>
      </c>
    </row>
    <row r="153" spans="1:10" ht="27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>
      <c r="A155" s="843" t="s">
        <v>345</v>
      </c>
      <c r="B155" s="843"/>
      <c r="C155" s="843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-12276</v>
      </c>
      <c r="I155" s="364"/>
      <c r="J155" s="328">
        <f>H155/DAY(B2)</f>
        <v>-944.30769230769226</v>
      </c>
    </row>
    <row r="156" spans="1:10" ht="27.75" customHeight="1">
      <c r="A156" s="843" t="s">
        <v>347</v>
      </c>
      <c r="B156" s="843"/>
      <c r="C156" s="843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-1065</v>
      </c>
      <c r="I156" s="165"/>
      <c r="J156" s="328">
        <f>H156/DAY(B2)</f>
        <v>-81.92307692307692</v>
      </c>
    </row>
    <row r="157" spans="1:10" ht="27.75" customHeight="1">
      <c r="A157" s="844" t="s">
        <v>363</v>
      </c>
      <c r="B157" s="845"/>
      <c r="C157" s="846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>
      <c r="A158" s="844" t="s">
        <v>364</v>
      </c>
      <c r="B158" s="845"/>
      <c r="C158" s="846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>
      <c r="A159" s="927"/>
      <c r="B159" s="928"/>
      <c r="C159" s="929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-635.55999999999767</v>
      </c>
      <c r="I161" s="236"/>
      <c r="J161" s="239">
        <f>H161/DAY(B2)</f>
        <v>-48.889230769230593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-592.39999999999418</v>
      </c>
      <c r="I162" s="236"/>
      <c r="J162" s="239">
        <f>H162/DAY(B2)</f>
        <v>-45.569230769230323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-868.10000000000582</v>
      </c>
      <c r="I163" s="236"/>
      <c r="J163" s="239">
        <f>H163/DAY(B2)</f>
        <v>-66.776923076923524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-60</v>
      </c>
      <c r="I164" s="236"/>
      <c r="J164" s="239">
        <f>H164/DAY(B2)</f>
        <v>-4.615384615384615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-127.25</v>
      </c>
      <c r="I165" s="236"/>
      <c r="J165" s="239">
        <f>H165/DAY(B2)</f>
        <v>-9.7884615384615383</v>
      </c>
    </row>
    <row r="166" spans="1:10" ht="27.75" customHeight="1">
      <c r="A166" s="852"/>
      <c r="B166" s="85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52"/>
      <c r="B167" s="85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52"/>
      <c r="B168" s="85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56" t="s">
        <v>209</v>
      </c>
      <c r="B173" s="857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>
      <c r="A174" s="856" t="s">
        <v>75</v>
      </c>
      <c r="B174" s="857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-199</v>
      </c>
      <c r="I174" s="155"/>
      <c r="J174" s="178">
        <f>H174/DAY(B2)</f>
        <v>-15.307692307692308</v>
      </c>
    </row>
    <row r="175" spans="1:10" ht="27.75" customHeight="1">
      <c r="A175" s="856" t="s">
        <v>76</v>
      </c>
      <c r="B175" s="896"/>
      <c r="C175" s="857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-176</v>
      </c>
      <c r="I175" s="155"/>
      <c r="J175" s="178">
        <f>H175/DAY(B2)</f>
        <v>-13.538461538461538</v>
      </c>
    </row>
    <row r="176" spans="1:10" ht="27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G176+'12'!H176</f>
        <v>-375</v>
      </c>
      <c r="I176" s="155"/>
      <c r="J176" s="178">
        <f>H176/DAY(B2)</f>
        <v>-28.846153846153847</v>
      </c>
    </row>
    <row r="177" spans="1:15" ht="27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56" t="s">
        <v>210</v>
      </c>
      <c r="B178" s="857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-939</v>
      </c>
      <c r="I178" s="155"/>
      <c r="J178" s="178">
        <f>H178/DAY(B2)</f>
        <v>-72.230769230769226</v>
      </c>
    </row>
    <row r="179" spans="1:15" ht="27.75" customHeight="1">
      <c r="A179" s="856" t="s">
        <v>211</v>
      </c>
      <c r="B179" s="857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-603</v>
      </c>
      <c r="I179" s="155"/>
      <c r="J179" s="178">
        <f>H179/DAY(B2)</f>
        <v>-46.384615384615387</v>
      </c>
    </row>
    <row r="180" spans="1:15" ht="27.75" customHeight="1">
      <c r="A180" s="856" t="s">
        <v>212</v>
      </c>
      <c r="B180" s="857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-136</v>
      </c>
      <c r="I180" s="155"/>
      <c r="J180" s="178">
        <f>H180/DAY(B2)</f>
        <v>-10.461538461538462</v>
      </c>
    </row>
    <row r="181" spans="1:15" ht="27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78</v>
      </c>
      <c r="H181" s="99">
        <f>G181+'12'!H181</f>
        <v>-1678</v>
      </c>
      <c r="I181" s="155"/>
      <c r="J181" s="178">
        <f>H181/DAY(B2)</f>
        <v>-129.07692307692307</v>
      </c>
    </row>
    <row r="182" spans="1:15" ht="27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56" t="s">
        <v>214</v>
      </c>
      <c r="B183" s="857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-237</v>
      </c>
      <c r="I183" s="155"/>
      <c r="J183" s="178">
        <f>H183/DAY(B2)</f>
        <v>-18.23076923076923</v>
      </c>
    </row>
    <row r="184" spans="1:15" ht="27.75" customHeight="1">
      <c r="A184" s="856" t="s">
        <v>215</v>
      </c>
      <c r="B184" s="857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-129</v>
      </c>
      <c r="I184" s="155"/>
      <c r="J184" s="178">
        <f>H184/DAY(B2)</f>
        <v>-9.9230769230769234</v>
      </c>
      <c r="O184" s="65" t="s">
        <v>365</v>
      </c>
    </row>
    <row r="185" spans="1:15" ht="27.75" customHeight="1">
      <c r="A185" s="856" t="s">
        <v>216</v>
      </c>
      <c r="B185" s="85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G186+'12'!H186</f>
        <v>-366</v>
      </c>
      <c r="I186" s="157"/>
      <c r="J186" s="178">
        <f>H186/DAY(B2)</f>
        <v>-28.153846153846153</v>
      </c>
    </row>
    <row r="187" spans="1:15" ht="27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107</v>
      </c>
      <c r="H187" s="99">
        <f>G187+'12'!H187</f>
        <v>-2517</v>
      </c>
      <c r="I187" s="158"/>
      <c r="J187" s="179">
        <f>H187/DAY(B2)</f>
        <v>-193.61538461538461</v>
      </c>
    </row>
    <row r="188" spans="1:15" ht="27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111</v>
      </c>
      <c r="H188" s="99">
        <f>G188+'12'!H188</f>
        <v>-2448</v>
      </c>
      <c r="I188" s="158"/>
      <c r="J188" s="179">
        <f>H188/DAY(B2)</f>
        <v>-188.30769230769232</v>
      </c>
    </row>
    <row r="189" spans="1:15" ht="27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78</v>
      </c>
      <c r="H189" s="99">
        <f>G189+'12'!H189</f>
        <v>-1678</v>
      </c>
      <c r="I189" s="158"/>
      <c r="J189" s="179">
        <f>H189/DAY(B2)</f>
        <v>-129.07692307692307</v>
      </c>
    </row>
    <row r="190" spans="1:15" ht="27.75" customHeight="1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5" zoomScaleSheetLayoutView="55" workbookViewId="0">
      <selection activeCell="F24" sqref="F24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-296757.23</v>
      </c>
      <c r="I7" s="113">
        <f>'1'!I7</f>
        <v>12000</v>
      </c>
      <c r="J7" s="175">
        <f>H7/DAY(B2)</f>
        <v>-21196.945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-303093.15000000002</v>
      </c>
      <c r="I8" s="116"/>
      <c r="J8" s="175">
        <f>H8/DAY(B2)</f>
        <v>-21649.510714285716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54881</v>
      </c>
      <c r="F9" s="598">
        <v>65618</v>
      </c>
      <c r="G9" s="112">
        <f>F9-E9</f>
        <v>10737</v>
      </c>
      <c r="H9" s="99">
        <f>G9+'13'!H9</f>
        <v>2140645.1500000004</v>
      </c>
      <c r="I9" s="124">
        <f>I7-J7</f>
        <v>33196.945</v>
      </c>
      <c r="J9" s="175">
        <f>H9/DAY(B2)</f>
        <v>152903.22500000003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524118.03</v>
      </c>
      <c r="I10" s="282"/>
      <c r="J10" s="175">
        <f>H10/DAY(B2)</f>
        <v>37437.002142857142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-170</v>
      </c>
      <c r="I11" s="282"/>
      <c r="J11" s="175">
        <f>H11/DAY(B2)</f>
        <v>-12.142857142857142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2647838.75</v>
      </c>
      <c r="I13" s="120">
        <f>G7-G13</f>
        <v>464</v>
      </c>
      <c r="J13" s="175">
        <f>H13/DAY(B2)</f>
        <v>189131.33928571429</v>
      </c>
      <c r="K13" s="79"/>
      <c r="L13" s="66"/>
      <c r="N13" s="87"/>
      <c r="O13" s="71"/>
    </row>
    <row r="14" spans="1:15" ht="27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-16001.766999999993</v>
      </c>
      <c r="I15" s="113">
        <f>'1'!I15</f>
        <v>800</v>
      </c>
      <c r="J15" s="175">
        <f>H15/DAY(B2)</f>
        <v>-1142.9833571428567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1942.9833571428567</v>
      </c>
      <c r="J16" s="176"/>
      <c r="K16" s="79"/>
      <c r="L16" s="66"/>
      <c r="N16" s="87"/>
      <c r="O16" s="71"/>
    </row>
    <row r="17" spans="1:15" ht="27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84" t="s">
        <v>141</v>
      </c>
      <c r="B18" s="885"/>
      <c r="C18" s="886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2020</v>
      </c>
      <c r="I18" s="113">
        <f>'1'!I18</f>
        <v>65</v>
      </c>
      <c r="J18" s="175">
        <f>H18/DAY(B2)</f>
        <v>144.28571428571428</v>
      </c>
      <c r="K18" s="79"/>
      <c r="L18" s="66"/>
      <c r="N18" s="87"/>
      <c r="O18" s="71"/>
    </row>
    <row r="19" spans="1:15" ht="27.75" customHeight="1">
      <c r="A19" s="884" t="s">
        <v>69</v>
      </c>
      <c r="B19" s="885"/>
      <c r="C19" s="886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-929</v>
      </c>
      <c r="I19" s="335"/>
      <c r="J19" s="175">
        <f>H19/DAY(B2)</f>
        <v>-66.357142857142861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1091</v>
      </c>
      <c r="I20" s="336">
        <f>I18-J20</f>
        <v>-12.928571428571431</v>
      </c>
      <c r="J20" s="175">
        <f>H20/DAY(B2)</f>
        <v>77.928571428571431</v>
      </c>
      <c r="K20" s="79"/>
      <c r="L20" s="66"/>
      <c r="N20" s="87"/>
      <c r="O20" s="71"/>
    </row>
    <row r="21" spans="1:15" ht="27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-2727838.3500000006</v>
      </c>
      <c r="I27" s="138"/>
      <c r="J27" s="175">
        <f>H27/DAY(B2)</f>
        <v>-194845.59642857147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-832091.88399999961</v>
      </c>
      <c r="I28" s="140"/>
      <c r="J28" s="175">
        <f>H28/DAY(B2)</f>
        <v>-59435.134571428542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-135634</v>
      </c>
      <c r="I30" s="140"/>
      <c r="J30" s="175">
        <f>H30/DAY(B2)</f>
        <v>-9688.1428571428569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161600</v>
      </c>
      <c r="I31" s="140"/>
      <c r="J31" s="175">
        <f>H31/DAY(B2)</f>
        <v>11542.857142857143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-3533964.2340000002</v>
      </c>
      <c r="I32" s="144"/>
      <c r="J32" s="175">
        <f>H32/DAY(B2)</f>
        <v>-252426.01671428574</v>
      </c>
      <c r="K32" s="63"/>
      <c r="L32" s="89"/>
      <c r="N32" s="87"/>
      <c r="O32" s="71"/>
    </row>
    <row r="33" spans="1:15" ht="27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145241.01999999999</v>
      </c>
      <c r="I35" s="95"/>
      <c r="J35" s="175">
        <f>H35/DAY(B2)</f>
        <v>10374.358571428571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-11737.739999999998</v>
      </c>
      <c r="I36" s="95"/>
      <c r="J36" s="175">
        <f>H36/DAY(B2)</f>
        <v>-838.40999999999985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181009.91</v>
      </c>
      <c r="I37" s="95"/>
      <c r="J37" s="175">
        <f>H37/DAY(B2)</f>
        <v>12929.279285714287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216857.57</v>
      </c>
      <c r="I38" s="95"/>
      <c r="J38" s="175">
        <f>H38/DAY(B2)</f>
        <v>15489.826428571429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388602.70999999996</v>
      </c>
      <c r="I39" s="95"/>
      <c r="J39" s="175">
        <f>H39/DAY(B2)</f>
        <v>27757.336428571427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-10105.990000000002</v>
      </c>
      <c r="I40" s="95"/>
      <c r="J40" s="175">
        <f>H40/DAY(B2)</f>
        <v>-721.85642857142864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-62.73</v>
      </c>
      <c r="I41" s="95"/>
      <c r="J41" s="175">
        <f>H41/DAY(B2)</f>
        <v>-4.4807142857142859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-26320.740000000005</v>
      </c>
      <c r="I42" s="95"/>
      <c r="J42" s="175">
        <f>H42/DAY(B2)</f>
        <v>-1880.0528571428574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-36111.600000000006</v>
      </c>
      <c r="I43" s="95"/>
      <c r="J43" s="175">
        <f>H43/DAY(B2)</f>
        <v>-2579.4000000000005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847372.41</v>
      </c>
      <c r="I47" s="95"/>
      <c r="J47" s="175">
        <f>H47/DAY(B2)</f>
        <v>60526.60071428572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267770.81</v>
      </c>
      <c r="I49" s="95"/>
      <c r="J49" s="175">
        <f>H49/DAY(B2)</f>
        <v>19126.486428571428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-17871.629999999997</v>
      </c>
      <c r="I50" s="95"/>
      <c r="J50" s="175">
        <f>H50/DAY(B2)</f>
        <v>-1276.5449999999998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-253.42000000000007</v>
      </c>
      <c r="I54" s="95"/>
      <c r="J54" s="175">
        <f>H54/DAY(B2)</f>
        <v>-18.101428571428578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-28664.11</v>
      </c>
      <c r="I55" s="95"/>
      <c r="J55" s="175">
        <f>H55/DAY(B2)</f>
        <v>-2047.4364285714287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-3164.21</v>
      </c>
      <c r="I58" s="95"/>
      <c r="J58" s="175">
        <f>H58/DAY(B2)</f>
        <v>-226.01500000000001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217817.9</v>
      </c>
      <c r="I59" s="95">
        <f>G7-G60</f>
        <v>1042</v>
      </c>
      <c r="J59" s="175">
        <f>H59/DAY(B2)</f>
        <v>15558.421428571428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1065190.31</v>
      </c>
      <c r="I60" s="95">
        <f>G13-G60</f>
        <v>578</v>
      </c>
      <c r="J60" s="175">
        <f>H60/DAY(B2)</f>
        <v>76085.022142857153</v>
      </c>
      <c r="K60" s="79"/>
      <c r="L60" s="66"/>
      <c r="N60" s="87"/>
      <c r="O60" s="71"/>
    </row>
    <row r="61" spans="1:15" s="68" customFormat="1" ht="27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84" t="s">
        <v>198</v>
      </c>
      <c r="B62" s="885"/>
      <c r="C62" s="886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-1488</v>
      </c>
      <c r="I62" s="118"/>
      <c r="J62" s="175">
        <f>H62/DAY(B2)</f>
        <v>-106.28571428571429</v>
      </c>
      <c r="K62" s="80"/>
      <c r="L62" s="66"/>
      <c r="N62" s="87"/>
      <c r="O62" s="71"/>
    </row>
    <row r="63" spans="1:15" ht="27.75" customHeight="1">
      <c r="A63" s="884" t="s">
        <v>199</v>
      </c>
      <c r="B63" s="885"/>
      <c r="C63" s="886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-1949</v>
      </c>
      <c r="I63" s="118"/>
      <c r="J63" s="175">
        <f>H63/DAY(B2)</f>
        <v>-139.21428571428572</v>
      </c>
      <c r="K63" s="69"/>
      <c r="L63" s="66"/>
      <c r="N63" s="87"/>
      <c r="O63" s="71"/>
    </row>
    <row r="64" spans="1:15" ht="27.75" customHeight="1">
      <c r="A64" s="893" t="s">
        <v>200</v>
      </c>
      <c r="B64" s="894"/>
      <c r="C64" s="895"/>
      <c r="D64" s="151"/>
      <c r="E64" s="95">
        <f>'13'!F64</f>
        <v>0</v>
      </c>
      <c r="F64" s="122"/>
      <c r="G64" s="112">
        <f>G62+G63</f>
        <v>95</v>
      </c>
      <c r="H64" s="99">
        <f>G64+'13'!H64</f>
        <v>-3437</v>
      </c>
      <c r="I64" s="118"/>
      <c r="J64" s="175">
        <f>H64/DAY(B2)</f>
        <v>-245.5</v>
      </c>
      <c r="K64" s="69"/>
      <c r="L64" s="66"/>
      <c r="N64" s="87"/>
      <c r="O64" s="71"/>
    </row>
    <row r="65" spans="1:15" ht="27.75" customHeight="1">
      <c r="A65" s="884" t="s">
        <v>201</v>
      </c>
      <c r="B65" s="885"/>
      <c r="C65" s="886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-1328</v>
      </c>
      <c r="I65" s="118"/>
      <c r="J65" s="175">
        <f>H65/DAY(B2)</f>
        <v>-94.857142857142861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-288</v>
      </c>
      <c r="I66" s="118"/>
      <c r="J66" s="175">
        <f>H66/DAY(B2)</f>
        <v>-20.571428571428573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-394</v>
      </c>
      <c r="I67" s="118"/>
      <c r="J67" s="175">
        <f>H67/DAY(B2)</f>
        <v>-28.142857142857142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-714</v>
      </c>
      <c r="I68" s="118"/>
      <c r="J68" s="175">
        <f>H68/DAY(B2)</f>
        <v>-51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-189</v>
      </c>
      <c r="I69" s="118"/>
      <c r="J69" s="175">
        <f>H69/DAY(B2)</f>
        <v>-13.5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-150</v>
      </c>
      <c r="I70" s="118"/>
      <c r="J70" s="175">
        <f>H70/DAY(B2)</f>
        <v>-10.714285714285714</v>
      </c>
      <c r="K70" s="69"/>
      <c r="L70" s="66"/>
      <c r="N70" s="87"/>
      <c r="O70" s="71"/>
    </row>
    <row r="71" spans="1:15" ht="27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134</v>
      </c>
      <c r="H71" s="99">
        <f>G71+'13'!H71</f>
        <v>-3063</v>
      </c>
      <c r="I71" s="154"/>
      <c r="J71" s="175">
        <f>H71/DAY(B2)</f>
        <v>-218.78571428571428</v>
      </c>
      <c r="K71" s="69"/>
      <c r="L71" s="66"/>
      <c r="N71" s="87"/>
      <c r="O71" s="71"/>
    </row>
    <row r="72" spans="1:15" s="88" customFormat="1" ht="27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84" t="s">
        <v>220</v>
      </c>
      <c r="B74" s="885"/>
      <c r="C74" s="886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-5150.1489999999758</v>
      </c>
      <c r="I74" s="154"/>
      <c r="J74" s="175">
        <f>H74/DAY(B2)</f>
        <v>-367.86778571428397</v>
      </c>
      <c r="K74" s="69"/>
      <c r="L74" s="66"/>
      <c r="N74" s="87"/>
      <c r="O74" s="71"/>
    </row>
    <row r="75" spans="1:15" ht="27.75" customHeight="1">
      <c r="A75" s="884" t="s">
        <v>221</v>
      </c>
      <c r="B75" s="885"/>
      <c r="C75" s="88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>
      <c r="A76" s="881" t="s">
        <v>222</v>
      </c>
      <c r="B76" s="882"/>
      <c r="C76" s="883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-1583</v>
      </c>
      <c r="I76" s="154"/>
      <c r="J76" s="175">
        <f>H76/DAY(B2)</f>
        <v>-113.07142857142857</v>
      </c>
      <c r="K76" s="69"/>
      <c r="L76" s="66"/>
      <c r="N76" s="87"/>
      <c r="O76" s="71"/>
    </row>
    <row r="77" spans="1:15" ht="27.75" customHeight="1">
      <c r="A77" s="881" t="s">
        <v>223</v>
      </c>
      <c r="B77" s="882"/>
      <c r="C77" s="883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-557.19999999999709</v>
      </c>
      <c r="I77" s="154"/>
      <c r="J77" s="175">
        <f>H77/DAY(B2)</f>
        <v>-39.799999999999791</v>
      </c>
      <c r="K77" s="69"/>
      <c r="L77" s="66"/>
      <c r="N77" s="87"/>
      <c r="O77" s="71"/>
    </row>
    <row r="78" spans="1:15" ht="27.75" customHeight="1">
      <c r="A78" s="881" t="s">
        <v>224</v>
      </c>
      <c r="B78" s="882"/>
      <c r="C78" s="883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-19</v>
      </c>
      <c r="I78" s="118"/>
      <c r="J78" s="175">
        <f>H78/DAY(B2)</f>
        <v>-1.3571428571428572</v>
      </c>
      <c r="K78" s="69"/>
      <c r="L78" s="66"/>
      <c r="N78" s="87"/>
      <c r="O78" s="71"/>
    </row>
    <row r="79" spans="1:15" s="57" customFormat="1" ht="27.75" customHeight="1">
      <c r="A79" s="881" t="s">
        <v>225</v>
      </c>
      <c r="B79" s="882"/>
      <c r="C79" s="883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-8692.6180000000168</v>
      </c>
      <c r="I79" s="118"/>
      <c r="J79" s="175">
        <f>H79/DAY(B2)</f>
        <v>-620.90128571428693</v>
      </c>
      <c r="K79" s="59"/>
      <c r="L79" s="58"/>
      <c r="N79" s="87"/>
      <c r="O79" s="71"/>
    </row>
    <row r="80" spans="1:15" s="57" customFormat="1" ht="27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-163.86999999999989</v>
      </c>
      <c r="I85" s="118">
        <f>G82+G83+G84+G85</f>
        <v>0</v>
      </c>
      <c r="J85" s="175">
        <f>H85/DAY(B2)</f>
        <v>-11.704999999999993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-242</v>
      </c>
      <c r="I86" s="118"/>
      <c r="J86" s="175">
        <f>H86/DAY(B2)</f>
        <v>-17.285714285714285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5.0000000002910383E-2</v>
      </c>
      <c r="I87" s="118"/>
      <c r="J87" s="175">
        <f>H87/DAY(B2)</f>
        <v>3.5714285716364558E-3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-4.1599999999998545</v>
      </c>
      <c r="I88" s="118">
        <f>G86+G87+G88</f>
        <v>24</v>
      </c>
      <c r="J88" s="175">
        <f>H88/DAY(B2)</f>
        <v>-0.29714285714284677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-148.12999999999738</v>
      </c>
      <c r="I89" s="118"/>
      <c r="J89" s="175">
        <f>H89/DAY(B2)</f>
        <v>-10.580714285714098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-49.790000000008149</v>
      </c>
      <c r="I90" s="118">
        <f>G89+G90</f>
        <v>11.039999999997235</v>
      </c>
      <c r="J90" s="175">
        <f>H90/DAY(B2)</f>
        <v>-3.5564285714291537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-24.769999999999982</v>
      </c>
      <c r="I91" s="165"/>
      <c r="J91" s="175">
        <f>H91/DAY(B2)</f>
        <v>-1.769285714285713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-158.29999999999927</v>
      </c>
      <c r="I92" s="165"/>
      <c r="J92" s="175">
        <f>H92/DAY(B2)</f>
        <v>-11.307142857142805</v>
      </c>
      <c r="O92" s="71"/>
    </row>
    <row r="93" spans="1:15" ht="27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4575</v>
      </c>
      <c r="H94" s="99">
        <f>G94+'13'!H94</f>
        <v>376900.23</v>
      </c>
      <c r="I94" s="118"/>
      <c r="J94" s="175">
        <f>H94/DAY(B2)</f>
        <v>26921.445</v>
      </c>
      <c r="K94" s="69"/>
      <c r="L94" s="66"/>
      <c r="O94" s="71"/>
    </row>
    <row r="95" spans="1:15" ht="27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0.26555607151149291</v>
      </c>
      <c r="H95" s="99">
        <f>G95+'13'!H95</f>
        <v>2.8674014313218854</v>
      </c>
      <c r="I95" s="167"/>
      <c r="J95" s="175">
        <f>H95/DAY(B2)</f>
        <v>0.20481438795156323</v>
      </c>
      <c r="K95" s="69"/>
      <c r="L95" s="66"/>
      <c r="O95" s="71"/>
    </row>
    <row r="96" spans="1:15" ht="27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3132</v>
      </c>
      <c r="H96" s="99">
        <f>G96+'13'!H96</f>
        <v>-55047.120000000024</v>
      </c>
      <c r="I96" s="118"/>
      <c r="J96" s="175">
        <f>H96/DAY(B2)</f>
        <v>-3931.9371428571444</v>
      </c>
      <c r="K96" s="69"/>
      <c r="L96" s="66"/>
      <c r="O96" s="71"/>
    </row>
    <row r="97" spans="1:15" ht="27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0.18179707452983515</v>
      </c>
      <c r="H97" s="99">
        <f>G97+'13'!H97</f>
        <v>2.4827761463865716</v>
      </c>
      <c r="I97" s="167"/>
      <c r="J97" s="175">
        <f>H97/DAY(B2)</f>
        <v>0.17734115331332653</v>
      </c>
      <c r="K97" s="69"/>
      <c r="L97" s="66"/>
      <c r="O97" s="71"/>
    </row>
    <row r="98" spans="1:15" ht="27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2495</v>
      </c>
      <c r="H98" s="99">
        <f>G98+'13'!H98</f>
        <v>388602.70999999996</v>
      </c>
      <c r="I98" s="168"/>
      <c r="J98" s="175">
        <f>H98/DAY(B2)</f>
        <v>27757.336428571427</v>
      </c>
      <c r="K98" s="69"/>
      <c r="L98" s="66"/>
      <c r="O98" s="71"/>
    </row>
    <row r="99" spans="1:15" ht="27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0.1448223821685628</v>
      </c>
      <c r="H99" s="99">
        <f>G99+'13'!H99</f>
        <v>1.2105341270931025</v>
      </c>
      <c r="I99" s="168"/>
      <c r="J99" s="175">
        <f>H99/DAY(B2)</f>
        <v>8.6466723363793033E-2</v>
      </c>
      <c r="O99" s="71"/>
    </row>
    <row r="100" spans="1:15" ht="27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1832</v>
      </c>
      <c r="H100" s="99">
        <f>G100+'13'!H100</f>
        <v>216857.57</v>
      </c>
      <c r="I100" s="118"/>
      <c r="J100" s="175">
        <f>H100/DAY(B2)</f>
        <v>15489.826428571429</v>
      </c>
      <c r="K100" s="70"/>
      <c r="O100" s="71"/>
    </row>
    <row r="101" spans="1:15" ht="27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0.85767062732538413</v>
      </c>
      <c r="I101" s="168"/>
      <c r="J101" s="175">
        <f>H101/DAY(B2)</f>
        <v>6.1262187666098866E-2</v>
      </c>
      <c r="O101" s="71"/>
    </row>
    <row r="102" spans="1:15" ht="27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1488</v>
      </c>
      <c r="H102" s="99">
        <f>G102+'13'!H102</f>
        <v>-29609.369999999995</v>
      </c>
      <c r="I102" s="168"/>
      <c r="J102" s="175">
        <f>H102/DAY(B2)</f>
        <v>-2114.9549999999995</v>
      </c>
      <c r="O102" s="71"/>
    </row>
    <row r="103" spans="1:15" ht="27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1.4001475290782976</v>
      </c>
      <c r="I103" s="118"/>
      <c r="J103" s="175">
        <f>H103/DAY(B2)</f>
        <v>0.10001053779130697</v>
      </c>
      <c r="O103" s="71"/>
    </row>
    <row r="104" spans="1:15" ht="27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1509</v>
      </c>
      <c r="H104" s="99">
        <f>G104+'13'!H104</f>
        <v>181009.91</v>
      </c>
      <c r="I104" s="118"/>
      <c r="J104" s="175">
        <f>H104/DAY(B2)</f>
        <v>12929.279285714287</v>
      </c>
      <c r="O104" s="71"/>
    </row>
    <row r="105" spans="1:15" ht="27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0.80154739404570763</v>
      </c>
      <c r="I105" s="187"/>
      <c r="J105" s="188">
        <f>H105/DAY(B2)</f>
        <v>5.7253385288979115E-2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>
      <c r="A109" s="901"/>
      <c r="B109" s="901"/>
    </row>
    <row r="110" spans="1:15" ht="27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63" t="s">
        <v>252</v>
      </c>
      <c r="B112" s="864"/>
      <c r="C112" s="865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-1321</v>
      </c>
      <c r="I112" s="165"/>
      <c r="J112" s="328">
        <f>H112/DAY(B2)</f>
        <v>-94.357142857142861</v>
      </c>
    </row>
    <row r="113" spans="1:18" ht="27.75" customHeight="1">
      <c r="A113" s="863" t="s">
        <v>253</v>
      </c>
      <c r="B113" s="864"/>
      <c r="C113" s="865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-7900.8899999999994</v>
      </c>
      <c r="I113" s="165"/>
      <c r="J113" s="328">
        <f>H113/DAY(B2)</f>
        <v>-564.34928571428566</v>
      </c>
    </row>
    <row r="114" spans="1:18" ht="27.75" customHeight="1">
      <c r="A114" s="863" t="s">
        <v>254</v>
      </c>
      <c r="B114" s="864"/>
      <c r="C114" s="865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-4575</v>
      </c>
      <c r="I114" s="165"/>
      <c r="J114" s="328">
        <f>H114/DAY(B2)</f>
        <v>-326.78571428571428</v>
      </c>
    </row>
    <row r="115" spans="1:18" ht="27.75" customHeight="1">
      <c r="A115" s="863" t="s">
        <v>255</v>
      </c>
      <c r="B115" s="864"/>
      <c r="C115" s="865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-168.64999999999964</v>
      </c>
      <c r="I115" s="165"/>
      <c r="J115" s="328">
        <f>H115/DAY(B2)</f>
        <v>-12.046428571428546</v>
      </c>
    </row>
    <row r="116" spans="1:18" ht="27.75" customHeight="1">
      <c r="A116" s="870" t="s">
        <v>96</v>
      </c>
      <c r="B116" s="871"/>
      <c r="C116" s="872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>
      <c r="A117" s="870" t="s">
        <v>184</v>
      </c>
      <c r="B117" s="871"/>
      <c r="C117" s="872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-407.94999999999982</v>
      </c>
      <c r="I117" s="165"/>
      <c r="J117" s="328">
        <f>H117/DAY(B2)</f>
        <v>-29.139285714285702</v>
      </c>
      <c r="Q117" s="863" t="s">
        <v>312</v>
      </c>
      <c r="R117" s="865"/>
    </row>
    <row r="118" spans="1:18" ht="27.75" customHeight="1">
      <c r="A118" s="862" t="s">
        <v>97</v>
      </c>
      <c r="B118" s="862"/>
      <c r="C118" s="862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-5736.3099999999977</v>
      </c>
      <c r="I118" s="165"/>
      <c r="J118" s="328">
        <f>H118/DAY(B2)</f>
        <v>-409.73642857142841</v>
      </c>
      <c r="Q118" s="863" t="s">
        <v>311</v>
      </c>
      <c r="R118" s="865"/>
    </row>
    <row r="119" spans="1:18" ht="27.75" customHeight="1">
      <c r="A119" s="862" t="s">
        <v>98</v>
      </c>
      <c r="B119" s="862"/>
      <c r="C119" s="862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-7167.5499999999884</v>
      </c>
      <c r="I119" s="165"/>
      <c r="J119" s="328">
        <f>H119/DAY(B2)</f>
        <v>-511.9678571428563</v>
      </c>
    </row>
    <row r="120" spans="1:18" ht="27.75" customHeight="1">
      <c r="A120" s="862" t="s">
        <v>99</v>
      </c>
      <c r="B120" s="862"/>
      <c r="C120" s="862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-7101.6100000000006</v>
      </c>
      <c r="I120" s="165"/>
      <c r="J120" s="328">
        <f>H120/DAY(B2)</f>
        <v>-507.25785714285718</v>
      </c>
    </row>
    <row r="121" spans="1:18" ht="27.75" customHeight="1">
      <c r="A121" s="862" t="s">
        <v>100</v>
      </c>
      <c r="B121" s="862"/>
      <c r="C121" s="862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-11612.429999999993</v>
      </c>
      <c r="I121" s="165"/>
      <c r="J121" s="328">
        <f>H121/DAY(B2)</f>
        <v>-829.45928571428522</v>
      </c>
    </row>
    <row r="122" spans="1:18" ht="27.75" customHeight="1">
      <c r="A122" s="862" t="s">
        <v>101</v>
      </c>
      <c r="B122" s="862"/>
      <c r="C122" s="862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-3190.179999999993</v>
      </c>
      <c r="I122" s="165"/>
      <c r="J122" s="328">
        <f>H122/DAY(B2)</f>
        <v>-227.86999999999949</v>
      </c>
    </row>
    <row r="123" spans="1:18" ht="27.75" customHeight="1">
      <c r="A123" s="862" t="s">
        <v>102</v>
      </c>
      <c r="B123" s="862"/>
      <c r="C123" s="862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-4566.9500000000116</v>
      </c>
      <c r="I123" s="165"/>
      <c r="J123" s="328">
        <f>H123/DAY(B2)</f>
        <v>-326.21071428571514</v>
      </c>
    </row>
    <row r="124" spans="1:18" ht="27.7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>
      <c r="A127" s="852"/>
      <c r="B127" s="85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63" t="s">
        <v>318</v>
      </c>
      <c r="B128" s="864"/>
      <c r="C128" s="865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-5261</v>
      </c>
      <c r="I128" s="165"/>
      <c r="J128" s="328">
        <f>H128/DAY(B2)</f>
        <v>-375.78571428571428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-3548.869999999999</v>
      </c>
      <c r="I129" s="165"/>
      <c r="J129" s="328">
        <f>H129/DAY(B2)</f>
        <v>-253.4907142857142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-8809</v>
      </c>
      <c r="I130" s="165"/>
      <c r="J130" s="328">
        <f>H130/DAY(B2)</f>
        <v>-629.21428571428567</v>
      </c>
      <c r="N130" s="240"/>
      <c r="O130" s="241"/>
    </row>
    <row r="131" spans="1:15" ht="27.75" customHeight="1">
      <c r="A131" s="863" t="s">
        <v>321</v>
      </c>
      <c r="B131" s="864"/>
      <c r="C131" s="865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-1140.6800000000003</v>
      </c>
      <c r="I131" s="165"/>
      <c r="J131" s="328">
        <f>H131/DAY(B2)</f>
        <v>-81.47714285714288</v>
      </c>
      <c r="N131" s="240"/>
      <c r="O131" s="241"/>
    </row>
    <row r="132" spans="1:15" ht="27.75" customHeight="1">
      <c r="A132" s="863" t="s">
        <v>322</v>
      </c>
      <c r="B132" s="864"/>
      <c r="C132" s="865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-4053.3000000000029</v>
      </c>
      <c r="I132" s="165"/>
      <c r="J132" s="328">
        <f>H132/DAY(B2)</f>
        <v>-289.52142857142877</v>
      </c>
    </row>
    <row r="133" spans="1:15" ht="27.75" customHeight="1">
      <c r="A133" s="863" t="s">
        <v>341</v>
      </c>
      <c r="B133" s="864"/>
      <c r="C133" s="865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-8616.6999999999971</v>
      </c>
      <c r="I133" s="165"/>
      <c r="J133" s="328">
        <f>H133/DAY(B2)</f>
        <v>-615.47857142857117</v>
      </c>
    </row>
    <row r="134" spans="1:15" ht="27.75" customHeight="1">
      <c r="A134" s="863" t="s">
        <v>340</v>
      </c>
      <c r="B134" s="864"/>
      <c r="C134" s="865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668291.77</v>
      </c>
      <c r="I134" s="165"/>
      <c r="J134" s="328">
        <f>H134/DAY(B2)</f>
        <v>47735.126428571428</v>
      </c>
    </row>
    <row r="135" spans="1:15" ht="27.7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2207</v>
      </c>
      <c r="H135" s="119">
        <f>H128+H134</f>
        <v>663030.77</v>
      </c>
      <c r="I135" s="327">
        <f>G135-(G35+G49)</f>
        <v>-357</v>
      </c>
      <c r="J135" s="328">
        <f>H135/DAY(B2)</f>
        <v>47359.340714285718</v>
      </c>
    </row>
    <row r="136" spans="1:15" ht="27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62" t="s">
        <v>185</v>
      </c>
      <c r="B138" s="862"/>
      <c r="C138" s="862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-1119</v>
      </c>
      <c r="I138" s="118"/>
      <c r="J138" s="328">
        <f>H138/DAY(B2)</f>
        <v>-79.928571428571431</v>
      </c>
    </row>
    <row r="139" spans="1:15" ht="27.75" customHeight="1">
      <c r="A139" s="862" t="s">
        <v>186</v>
      </c>
      <c r="B139" s="862"/>
      <c r="C139" s="862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-24</v>
      </c>
      <c r="I139" s="118"/>
      <c r="J139" s="328">
        <f>H139/DAY(B2)</f>
        <v>-1.7142857142857142</v>
      </c>
    </row>
    <row r="140" spans="1:15" ht="27.75" customHeight="1">
      <c r="A140" s="862" t="s">
        <v>187</v>
      </c>
      <c r="B140" s="862"/>
      <c r="C140" s="862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-24</v>
      </c>
      <c r="I140" s="118"/>
      <c r="J140" s="328">
        <f>H140/DAY(B2)</f>
        <v>-1.7142857142857142</v>
      </c>
    </row>
    <row r="141" spans="1:15" ht="27.75" customHeight="1">
      <c r="A141" s="843" t="s">
        <v>188</v>
      </c>
      <c r="B141" s="843"/>
      <c r="C141" s="843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-2950.5800000000017</v>
      </c>
      <c r="I141" s="118"/>
      <c r="J141" s="328">
        <f>H141/DAY(B2)</f>
        <v>-210.75571428571442</v>
      </c>
    </row>
    <row r="142" spans="1:15" ht="27.75" customHeight="1">
      <c r="A142" s="843" t="s">
        <v>189</v>
      </c>
      <c r="B142" s="843"/>
      <c r="C142" s="843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-1313.0999999999985</v>
      </c>
      <c r="I142" s="140"/>
      <c r="J142" s="328">
        <f>H142/DAY(B2)</f>
        <v>-93.792857142857045</v>
      </c>
    </row>
    <row r="143" spans="1:15" ht="27.75" customHeight="1">
      <c r="A143" s="862" t="s">
        <v>91</v>
      </c>
      <c r="B143" s="862"/>
      <c r="C143" s="862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-445.38999999999987</v>
      </c>
      <c r="I143" s="140"/>
      <c r="J143" s="328">
        <f>H143/DAY(B2)</f>
        <v>-31.813571428571418</v>
      </c>
    </row>
    <row r="144" spans="1:15" ht="27.75" customHeight="1">
      <c r="A144" s="843" t="s">
        <v>90</v>
      </c>
      <c r="B144" s="843"/>
      <c r="C144" s="843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-3654</v>
      </c>
      <c r="I144" s="140"/>
      <c r="J144" s="328">
        <f>H144/DAY(B2)</f>
        <v>-261</v>
      </c>
    </row>
    <row r="145" spans="1:10" ht="27.75" customHeight="1">
      <c r="A145" s="862" t="s">
        <v>190</v>
      </c>
      <c r="B145" s="862"/>
      <c r="C145" s="862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-190.84000000000015</v>
      </c>
      <c r="I145" s="140"/>
      <c r="J145" s="328">
        <f>H145/DAY(B2)</f>
        <v>-13.631428571428582</v>
      </c>
    </row>
    <row r="146" spans="1:10" ht="27.75" customHeight="1">
      <c r="A146" s="897" t="s">
        <v>191</v>
      </c>
      <c r="B146" s="882"/>
      <c r="C146" s="883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-6827</v>
      </c>
      <c r="I146" s="140"/>
      <c r="J146" s="328">
        <f>H146/DAY(B2)</f>
        <v>-487.64285714285717</v>
      </c>
    </row>
    <row r="147" spans="1:10" ht="27.75" customHeight="1">
      <c r="A147" s="843" t="s">
        <v>192</v>
      </c>
      <c r="B147" s="843"/>
      <c r="C147" s="843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-6160.5200000000186</v>
      </c>
      <c r="I147" s="140"/>
      <c r="J147" s="328">
        <f>H147/DAY(B2)</f>
        <v>-440.0371428571442</v>
      </c>
    </row>
    <row r="148" spans="1:10" ht="27.75" customHeight="1">
      <c r="A148" s="844" t="s">
        <v>193</v>
      </c>
      <c r="B148" s="845"/>
      <c r="C148" s="846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-3091.9599999999627</v>
      </c>
      <c r="I148" s="124"/>
      <c r="J148" s="328">
        <f>H148/DAY(B2)</f>
        <v>-220.85428571428307</v>
      </c>
    </row>
    <row r="149" spans="1:10" ht="27.75" customHeight="1">
      <c r="A149" s="844" t="s">
        <v>336</v>
      </c>
      <c r="B149" s="845"/>
      <c r="C149" s="846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-8213.2000000000007</v>
      </c>
      <c r="I149" s="119"/>
      <c r="J149" s="328">
        <f>H149/DAY(B2)</f>
        <v>-586.65714285714296</v>
      </c>
    </row>
    <row r="150" spans="1:10" ht="27.75" customHeight="1">
      <c r="A150" s="844" t="s">
        <v>337</v>
      </c>
      <c r="B150" s="845"/>
      <c r="C150" s="846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-3746.83</v>
      </c>
      <c r="I150" s="119"/>
      <c r="J150" s="328">
        <f>H150/DAY(B2)</f>
        <v>-267.6307142857143</v>
      </c>
    </row>
    <row r="151" spans="1:10" ht="27.75" customHeight="1">
      <c r="A151" s="844" t="s">
        <v>338</v>
      </c>
      <c r="B151" s="845"/>
      <c r="C151" s="846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-3999</v>
      </c>
      <c r="I151" s="119"/>
      <c r="J151" s="328">
        <f>H151/DAY(B2)</f>
        <v>-285.64285714285717</v>
      </c>
    </row>
    <row r="152" spans="1:10" ht="27.75" customHeight="1">
      <c r="A152" s="844" t="s">
        <v>339</v>
      </c>
      <c r="B152" s="845"/>
      <c r="C152" s="846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-284</v>
      </c>
      <c r="I152" s="119"/>
      <c r="J152" s="328">
        <f>H152/DAY(B2)</f>
        <v>-20.285714285714285</v>
      </c>
    </row>
    <row r="153" spans="1:10" ht="27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>
      <c r="A154" s="851"/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>
      <c r="A155" s="843" t="s">
        <v>345</v>
      </c>
      <c r="B155" s="843"/>
      <c r="C155" s="843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-11595</v>
      </c>
      <c r="I155" s="364"/>
      <c r="J155" s="328">
        <f>H155/DAY(B2)</f>
        <v>-828.21428571428567</v>
      </c>
    </row>
    <row r="156" spans="1:10" ht="27.75" customHeight="1">
      <c r="A156" s="843" t="s">
        <v>347</v>
      </c>
      <c r="B156" s="843"/>
      <c r="C156" s="843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-1003</v>
      </c>
      <c r="I156" s="165"/>
      <c r="J156" s="328">
        <f>H156/DAY(B2)</f>
        <v>-71.642857142857139</v>
      </c>
    </row>
    <row r="157" spans="1:10" ht="27.75" customHeight="1">
      <c r="A157" s="844" t="s">
        <v>363</v>
      </c>
      <c r="B157" s="845"/>
      <c r="C157" s="846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>
      <c r="A158" s="844" t="s">
        <v>364</v>
      </c>
      <c r="B158" s="845"/>
      <c r="C158" s="846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>
      <c r="A159" s="927"/>
      <c r="B159" s="928"/>
      <c r="C159" s="929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-629.55999999999767</v>
      </c>
      <c r="I161" s="236"/>
      <c r="J161" s="239">
        <f>H161/DAY(B2)</f>
        <v>-44.968571428571259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-552.39999999999418</v>
      </c>
      <c r="I162" s="236"/>
      <c r="J162" s="239">
        <f>H162/DAY(B2)</f>
        <v>-39.457142857142443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-798.10000000000582</v>
      </c>
      <c r="I163" s="236"/>
      <c r="J163" s="239">
        <f>H163/DAY(B2)</f>
        <v>-57.007142857143272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-57</v>
      </c>
      <c r="I164" s="236"/>
      <c r="J164" s="239">
        <f>H164/DAY(B2)</f>
        <v>-4.0714285714285712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-120.25</v>
      </c>
      <c r="I165" s="236"/>
      <c r="J165" s="239">
        <f>H165/DAY(B2)</f>
        <v>-8.5892857142857135</v>
      </c>
    </row>
    <row r="166" spans="1:10" ht="27.75" customHeight="1">
      <c r="A166" s="852"/>
      <c r="B166" s="85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52"/>
      <c r="B167" s="85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52"/>
      <c r="B168" s="85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56" t="s">
        <v>209</v>
      </c>
      <c r="B173" s="857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>
      <c r="A174" s="856" t="s">
        <v>75</v>
      </c>
      <c r="B174" s="857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-194</v>
      </c>
      <c r="I174" s="155"/>
      <c r="J174" s="178">
        <f>H174/DAY(B2)</f>
        <v>-13.857142857142858</v>
      </c>
    </row>
    <row r="175" spans="1:10" ht="27.75" customHeight="1">
      <c r="A175" s="856" t="s">
        <v>76</v>
      </c>
      <c r="B175" s="896"/>
      <c r="C175" s="857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-170</v>
      </c>
      <c r="I175" s="155"/>
      <c r="J175" s="178">
        <f>H175/DAY(B2)</f>
        <v>-12.142857142857142</v>
      </c>
    </row>
    <row r="176" spans="1:10" ht="27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11</v>
      </c>
      <c r="H176" s="99">
        <f>G176+'13'!H176</f>
        <v>-364</v>
      </c>
      <c r="I176" s="155"/>
      <c r="J176" s="178">
        <f>H176/DAY(B2)</f>
        <v>-26</v>
      </c>
    </row>
    <row r="177" spans="1:10" ht="27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56" t="s">
        <v>210</v>
      </c>
      <c r="B178" s="857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-918</v>
      </c>
      <c r="I178" s="155"/>
      <c r="J178" s="178">
        <f>H178/DAY(B2)</f>
        <v>-65.571428571428569</v>
      </c>
    </row>
    <row r="179" spans="1:10" ht="27.75" customHeight="1">
      <c r="A179" s="856" t="s">
        <v>211</v>
      </c>
      <c r="B179" s="857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-600</v>
      </c>
      <c r="I179" s="155"/>
      <c r="J179" s="178">
        <f>H179/DAY(B2)</f>
        <v>-42.857142857142854</v>
      </c>
    </row>
    <row r="180" spans="1:10" ht="27.75" customHeight="1">
      <c r="A180" s="856" t="s">
        <v>212</v>
      </c>
      <c r="B180" s="857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-121</v>
      </c>
      <c r="I180" s="155"/>
      <c r="J180" s="178">
        <f>H180/DAY(B2)</f>
        <v>-8.6428571428571423</v>
      </c>
    </row>
    <row r="181" spans="1:10" ht="27.75" customHeight="1">
      <c r="A181" s="858" t="s">
        <v>108</v>
      </c>
      <c r="B181" s="859"/>
      <c r="C181" s="483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-1639</v>
      </c>
      <c r="I181" s="155"/>
      <c r="J181" s="178">
        <f>H181/DAY(B2)</f>
        <v>-117.07142857142857</v>
      </c>
    </row>
    <row r="182" spans="1:10" ht="27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56" t="s">
        <v>214</v>
      </c>
      <c r="B183" s="857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-224</v>
      </c>
      <c r="I183" s="155"/>
      <c r="J183" s="178">
        <f>H183/DAY(B2)</f>
        <v>-16</v>
      </c>
    </row>
    <row r="184" spans="1:10" ht="27.75" customHeight="1">
      <c r="A184" s="856" t="s">
        <v>215</v>
      </c>
      <c r="B184" s="857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-125</v>
      </c>
      <c r="I184" s="155"/>
      <c r="J184" s="178">
        <f>H184/DAY(B2)</f>
        <v>-8.9285714285714288</v>
      </c>
    </row>
    <row r="185" spans="1:10" ht="27.75" customHeight="1">
      <c r="A185" s="856" t="s">
        <v>216</v>
      </c>
      <c r="B185" s="85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G186+'13'!H186</f>
        <v>-349</v>
      </c>
      <c r="I186" s="157"/>
      <c r="J186" s="178">
        <f>H186/DAY(B2)</f>
        <v>-24.928571428571427</v>
      </c>
    </row>
    <row r="187" spans="1:10" ht="27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100</v>
      </c>
      <c r="H187" s="99">
        <f>G187+'13'!H187</f>
        <v>-2417</v>
      </c>
      <c r="I187" s="158"/>
      <c r="J187" s="179">
        <f>H187/DAY(B2)</f>
        <v>-172.64285714285714</v>
      </c>
    </row>
    <row r="188" spans="1:10" ht="27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99</v>
      </c>
      <c r="H188" s="99"/>
      <c r="I188" s="158"/>
      <c r="J188" s="487">
        <f>H188/DAY(B2)</f>
        <v>0</v>
      </c>
    </row>
    <row r="189" spans="1:10" ht="27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39</v>
      </c>
      <c r="H189" s="99">
        <f>G189+'13'!H189</f>
        <v>-1639</v>
      </c>
      <c r="I189" s="158"/>
      <c r="J189" s="179">
        <f>H189/DAY(B2)</f>
        <v>-117.07142857142857</v>
      </c>
    </row>
    <row r="190" spans="1:10" ht="27.75" customHeight="1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8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26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-279540.47999999998</v>
      </c>
      <c r="I7" s="113">
        <f>'1'!I7</f>
        <v>12000</v>
      </c>
      <c r="J7" s="175">
        <f>H7/DAY(B2)</f>
        <v>-18636.031999999999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682">
        <f>F8-E8</f>
        <v>17328.710000000021</v>
      </c>
      <c r="H8" s="99">
        <f>G8+'14'!H8</f>
        <v>-285764.44</v>
      </c>
      <c r="I8" s="116"/>
      <c r="J8" s="175">
        <f>H8/DAY(B2)</f>
        <v>-19050.962666666666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'14'!F9</f>
        <v>65618</v>
      </c>
      <c r="F9" s="598">
        <v>76355.41</v>
      </c>
      <c r="G9" s="112">
        <f>F9-E9</f>
        <v>10737.410000000003</v>
      </c>
      <c r="H9" s="99">
        <f>G9+'14'!H9</f>
        <v>2151382.5600000005</v>
      </c>
      <c r="I9" s="124">
        <f>I7-J7</f>
        <v>30636.031999999999</v>
      </c>
      <c r="J9" s="175">
        <f>H9/DAY(B2)</f>
        <v>143425.50400000004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530150.25</v>
      </c>
      <c r="I10" s="282"/>
      <c r="J10" s="175">
        <f>H10/DAY(B2)</f>
        <v>35343.35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-170</v>
      </c>
      <c r="I11" s="282"/>
      <c r="J11" s="175">
        <f>H11/DAY(B2)</f>
        <v>-11.333333333333334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2664608.38</v>
      </c>
      <c r="I13" s="120">
        <f>G7-G13</f>
        <v>447.11999999999534</v>
      </c>
      <c r="J13" s="175">
        <f>H13/DAY(B2)</f>
        <v>177640.55866666665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-15036.766999999993</v>
      </c>
      <c r="I15" s="113">
        <f>'1'!I15</f>
        <v>800</v>
      </c>
      <c r="J15" s="175">
        <f>H15/DAY(B2)</f>
        <v>-1002.4511333333328</v>
      </c>
      <c r="K15" s="79"/>
      <c r="L15" s="66"/>
      <c r="N15" s="87">
        <v>720584</v>
      </c>
      <c r="O15" s="71">
        <f>N15-F15</f>
        <v>-1171016</v>
      </c>
    </row>
    <row r="16" spans="1:15" ht="29.25">
      <c r="A16" s="203"/>
      <c r="B16" s="204"/>
      <c r="C16" s="204"/>
      <c r="D16" s="152"/>
      <c r="E16" s="123"/>
      <c r="G16" s="112"/>
      <c r="H16" s="124"/>
      <c r="I16" s="120">
        <f>I15-J15</f>
        <v>1802.4511333333328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2120</v>
      </c>
      <c r="I18" s="113">
        <f>'1'!I18</f>
        <v>65</v>
      </c>
      <c r="J18" s="175">
        <f>H18/DAY(B2)</f>
        <v>141.33333333333334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-874</v>
      </c>
      <c r="I19" s="335"/>
      <c r="J19" s="175">
        <f>H19/DAY(B2)</f>
        <v>-58.266666666666666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1246</v>
      </c>
      <c r="I20" s="336">
        <f>I18-J20</f>
        <v>-18.066666666666663</v>
      </c>
      <c r="J20" s="175">
        <f>H20/DAY(B2)</f>
        <v>83.066666666666663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-2571879.9600000004</v>
      </c>
      <c r="I27" s="138"/>
      <c r="J27" s="175">
        <f>H27/DAY(B2)</f>
        <v>-171458.66400000002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-781911.88399999961</v>
      </c>
      <c r="I28" s="140"/>
      <c r="J28" s="175">
        <f>H28/DAY(B2)</f>
        <v>-52127.458933333306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-127604</v>
      </c>
      <c r="I30" s="140"/>
      <c r="J30" s="175">
        <f>H30/DAY(B2)</f>
        <v>-8506.9333333333325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169600</v>
      </c>
      <c r="I31" s="140"/>
      <c r="J31" s="175">
        <f>H31/DAY(B2)</f>
        <v>11306.666666666666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-3311795.844</v>
      </c>
      <c r="I32" s="144"/>
      <c r="J32" s="175">
        <f>H32/DAY(B2)</f>
        <v>-220786.38959999999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146542.85999999999</v>
      </c>
      <c r="I35" s="95"/>
      <c r="J35" s="175">
        <f>H35/DAY(B2)</f>
        <v>9769.5239999999994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-11164.05</v>
      </c>
      <c r="I36" s="95"/>
      <c r="J36" s="175">
        <f>H36/DAY(B2)</f>
        <v>-744.27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182507.65</v>
      </c>
      <c r="I37" s="95"/>
      <c r="J37" s="175">
        <f>H37/DAY(B2)</f>
        <v>12167.176666666666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218244.52000000002</v>
      </c>
      <c r="I38" s="95"/>
      <c r="J38" s="175">
        <f>H38/DAY(B2)</f>
        <v>14549.634666666669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391097.61</v>
      </c>
      <c r="I39" s="95"/>
      <c r="J39" s="175">
        <f>H39/DAY(B2)</f>
        <v>26073.173999999999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-9612.9900000000016</v>
      </c>
      <c r="I40" s="95"/>
      <c r="J40" s="175">
        <f>H40/DAY(B2)</f>
        <v>-640.8660000000001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-62.73</v>
      </c>
      <c r="I41" s="95"/>
      <c r="J41" s="175">
        <f>H41/DAY(B2)</f>
        <v>-4.1819999999999995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-26321.14</v>
      </c>
      <c r="I42" s="95"/>
      <c r="J42" s="175">
        <f>H42/DAY(B2)</f>
        <v>-1754.7426666666665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-34098.89</v>
      </c>
      <c r="I43" s="95"/>
      <c r="J43" s="175">
        <f>H43/DAY(B2)</f>
        <v>-2273.2593333333334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857132.84000000008</v>
      </c>
      <c r="I47" s="95"/>
      <c r="J47" s="175">
        <f>H47/DAY(B2)</f>
        <v>57142.189333333336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269021.40000000002</v>
      </c>
      <c r="I49" s="95"/>
      <c r="J49" s="175">
        <f>H49/DAY(B2)</f>
        <v>17934.760000000002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-16968.899999999994</v>
      </c>
      <c r="I50" s="95"/>
      <c r="J50" s="175">
        <f>H50/DAY(B2)</f>
        <v>-1131.2599999999995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267.09000000000015</v>
      </c>
      <c r="I54" s="95"/>
      <c r="J54" s="175">
        <f>H54/DAY(B2)</f>
        <v>17.806000000000008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-25654.879999999997</v>
      </c>
      <c r="I55" s="95"/>
      <c r="J55" s="175">
        <f>H55/DAY(B2)</f>
        <v>-1710.3253333333332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-2985.17</v>
      </c>
      <c r="I58" s="95"/>
      <c r="J58" s="175">
        <f>H58/DAY(B2)</f>
        <v>-199.01133333333334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223679.54</v>
      </c>
      <c r="I59" s="95">
        <f>G7-G60</f>
        <v>1594.6799999999785</v>
      </c>
      <c r="J59" s="175">
        <f>H59/DAY(B2)</f>
        <v>14911.969333333334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1080812.3800000001</v>
      </c>
      <c r="I60" s="95">
        <f>G13-G60</f>
        <v>1147.5599999999831</v>
      </c>
      <c r="J60" s="175">
        <f>H60/DAY(B2)</f>
        <v>72054.15866666667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-1409</v>
      </c>
      <c r="I62" s="118"/>
      <c r="J62" s="175">
        <f>H62/DAY(B2)</f>
        <v>-93.933333333333337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-1854</v>
      </c>
      <c r="I63" s="118"/>
      <c r="J63" s="175">
        <f>H63/DAY(B2)</f>
        <v>-123.6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'14'!F64</f>
        <v>0</v>
      </c>
      <c r="F64" s="122"/>
      <c r="G64" s="112">
        <f>G62+G63</f>
        <v>174</v>
      </c>
      <c r="H64" s="99">
        <f>G64+'14'!H64</f>
        <v>-3263</v>
      </c>
      <c r="I64" s="118"/>
      <c r="J64" s="175">
        <f>H64/DAY(B2)</f>
        <v>-217.53333333333333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-1258</v>
      </c>
      <c r="I65" s="118"/>
      <c r="J65" s="175">
        <f>H65/DAY(B2)</f>
        <v>-83.86666666666666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-271</v>
      </c>
      <c r="I66" s="118"/>
      <c r="J66" s="175">
        <f>H66/DAY(B2)</f>
        <v>-18.066666666666666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-371</v>
      </c>
      <c r="I67" s="118"/>
      <c r="J67" s="175">
        <f>H67/DAY(B2)</f>
        <v>-24.733333333333334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-691</v>
      </c>
      <c r="I68" s="118"/>
      <c r="J68" s="175">
        <f>H68/DAY(B2)</f>
        <v>-46.06666666666667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-178</v>
      </c>
      <c r="I69" s="118"/>
      <c r="J69" s="175">
        <f>H69/DAY(B2)</f>
        <v>-11.866666666666667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-143</v>
      </c>
      <c r="I70" s="118"/>
      <c r="J70" s="175">
        <f>H70/DAY(B2)</f>
        <v>-9.5333333333333332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151</v>
      </c>
      <c r="H71" s="99">
        <f>G71+'14'!H71</f>
        <v>-2912</v>
      </c>
      <c r="I71" s="154"/>
      <c r="J71" s="175">
        <f>H71/DAY(B2)</f>
        <v>-194.13333333333333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-4837.1489999999758</v>
      </c>
      <c r="I74" s="154"/>
      <c r="J74" s="175">
        <f>H74/DAY(B2)</f>
        <v>-322.47659999999837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-1508</v>
      </c>
      <c r="I76" s="154"/>
      <c r="J76" s="175">
        <f>H76/DAY(B2)</f>
        <v>-100.53333333333333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-530.79999999999563</v>
      </c>
      <c r="I77" s="154"/>
      <c r="J77" s="175">
        <f>H77/DAY(B2)</f>
        <v>-35.386666666666379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-18</v>
      </c>
      <c r="I78" s="118"/>
      <c r="J78" s="175">
        <f>H78/DAY(B2)</f>
        <v>-1.2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-8143.0180000000182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-163.86999999999989</v>
      </c>
      <c r="I85" s="118">
        <f>G82+G83+G84+G85</f>
        <v>0</v>
      </c>
      <c r="J85" s="175">
        <f>H85/DAY(B2)</f>
        <v>-10.92466666666666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-217.51000000000204</v>
      </c>
      <c r="I86" s="118"/>
      <c r="J86" s="175">
        <f>H86/DAY(B2)</f>
        <v>-14.500666666666802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5.0000000002910383E-2</v>
      </c>
      <c r="I87" s="118"/>
      <c r="J87" s="175">
        <f>H87/DAY(B2)</f>
        <v>3.3333333335273589E-3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-4.1399999999994179</v>
      </c>
      <c r="I88" s="118">
        <f>G86+G87+G88</f>
        <v>24.509999999998399</v>
      </c>
      <c r="J88" s="175">
        <f>H88/DAY(B2)</f>
        <v>-0.27599999999996122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-138.16999999999825</v>
      </c>
      <c r="I89" s="118"/>
      <c r="J89" s="175">
        <f>H89/DAY(B2)</f>
        <v>-9.2113333333332168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-46.850000000005821</v>
      </c>
      <c r="I90" s="118">
        <f>G89+G90</f>
        <v>12.900000000001455</v>
      </c>
      <c r="J90" s="175">
        <f>H90/DAY(B2)</f>
        <v>-3.1233333333337212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-24.769999999999982</v>
      </c>
      <c r="I91" s="165"/>
      <c r="J91" s="175">
        <f>H91/DAY(B2)</f>
        <v>-1.6513333333333322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-147.27999999999975</v>
      </c>
      <c r="I92" s="165"/>
      <c r="J92" s="175">
        <f>H92/DAY(B2)</f>
        <v>-9.8186666666666493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381465.37</v>
      </c>
      <c r="I94" s="118"/>
      <c r="J94" s="175">
        <f>H94/DAY(B2)</f>
        <v>25431.024666666668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0.26515689662683184</v>
      </c>
      <c r="H95" s="99">
        <f>G95+'14'!H95</f>
        <v>3.1325583279487175</v>
      </c>
      <c r="I95" s="167"/>
      <c r="J95" s="175">
        <f>H95/DAY(B2)</f>
        <v>0.20883722186324782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-52038.750000000015</v>
      </c>
      <c r="I96" s="118"/>
      <c r="J96" s="175">
        <f>H96/DAY(B2)</f>
        <v>-3469.2500000000009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0.17473506904613298</v>
      </c>
      <c r="H97" s="99">
        <f>G97+'14'!H97</f>
        <v>2.6575112154327045</v>
      </c>
      <c r="I97" s="167"/>
      <c r="J97" s="175">
        <f>H97/DAY(B2)</f>
        <v>0.17716741436218031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2494.9000000000015</v>
      </c>
      <c r="H98" s="99">
        <f>G98+'14'!H98</f>
        <v>391097.61</v>
      </c>
      <c r="I98" s="168"/>
      <c r="J98" s="175">
        <f>H98/DAY(B2)</f>
        <v>26073.173999999999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0.14491120565728152</v>
      </c>
      <c r="H99" s="99">
        <f>G99+'14'!H99</f>
        <v>1.3554453327503839</v>
      </c>
      <c r="I99" s="168"/>
      <c r="J99" s="175">
        <f>H99/DAY(B2)</f>
        <v>9.0363022183358926E-2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218244.52000000002</v>
      </c>
      <c r="I100" s="118"/>
      <c r="J100" s="175">
        <f>H100/DAY(B2)</f>
        <v>14549.634666666669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0.93822880468173775</v>
      </c>
      <c r="I101" s="168"/>
      <c r="J101" s="175">
        <f>H101/DAY(B2)</f>
        <v>6.2548586978782517E-2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-28132.949999999993</v>
      </c>
      <c r="I102" s="168"/>
      <c r="J102" s="175">
        <f>H102/DAY(B2)</f>
        <v>-1875.5299999999995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1.4859023898969772</v>
      </c>
      <c r="I103" s="118"/>
      <c r="J103" s="175">
        <f>H103/DAY(B2)</f>
        <v>9.9060159326465141E-2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182507.65</v>
      </c>
      <c r="I104" s="118"/>
      <c r="J104" s="175">
        <f>H104/DAY(B2)</f>
        <v>12167.176666666666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0.88854058381729639</v>
      </c>
      <c r="I105" s="187"/>
      <c r="J105" s="188">
        <f>H105/DAY(B2)</f>
        <v>5.9236038921153096E-2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-1244.3000000000029</v>
      </c>
      <c r="I112" s="165"/>
      <c r="J112" s="328">
        <f>H112/DAY(B2)</f>
        <v>-82.953333333333532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-7446.57</v>
      </c>
      <c r="I113" s="165"/>
      <c r="J113" s="328">
        <f>H113/DAY(B2)</f>
        <v>-496.43799999999999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-4312.5</v>
      </c>
      <c r="I114" s="165"/>
      <c r="J114" s="328">
        <f>H114/DAY(B2)</f>
        <v>-287.5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-158.02000000000044</v>
      </c>
      <c r="I115" s="165"/>
      <c r="J115" s="328">
        <f>H115/DAY(B2)</f>
        <v>-10.534666666666697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-384.07600000000002</v>
      </c>
      <c r="I117" s="165"/>
      <c r="J117" s="328">
        <f>H117/DAY(B2)</f>
        <v>-25.605066666666669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-5412.1199999999953</v>
      </c>
      <c r="I118" s="165"/>
      <c r="J118" s="328">
        <f>H118/DAY(B2)</f>
        <v>-360.80799999999971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-6822.2799999999988</v>
      </c>
      <c r="I119" s="165"/>
      <c r="J119" s="328">
        <f>H119/DAY(B2)</f>
        <v>-454.81866666666662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-6683.6100000000006</v>
      </c>
      <c r="I120" s="165"/>
      <c r="J120" s="328">
        <f>H120/DAY(B2)</f>
        <v>-445.57400000000001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-10967.239999999991</v>
      </c>
      <c r="I121" s="165"/>
      <c r="J121" s="328">
        <f>H121/DAY(B2)</f>
        <v>-731.14933333333272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-3006.3399999999965</v>
      </c>
      <c r="I122" s="165"/>
      <c r="J122" s="328">
        <f>H122/DAY(B2)</f>
        <v>-200.42266666666643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-4336.3099999999977</v>
      </c>
      <c r="I123" s="165"/>
      <c r="J123" s="328">
        <f>H123/DAY(B2)</f>
        <v>-289.08733333333316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-4960.43</v>
      </c>
      <c r="I128" s="165"/>
      <c r="J128" s="328">
        <f>H128/DAY(B2)</f>
        <v>-330.69533333333334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-3279.7299999999996</v>
      </c>
      <c r="I129" s="165"/>
      <c r="J129" s="328">
        <f>H129/DAY(B2)</f>
        <v>-218.64866666666663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-8279.68</v>
      </c>
      <c r="I130" s="165"/>
      <c r="J130" s="328">
        <f>H130/DAY(B2)</f>
        <v>-551.97866666666664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-1070.67</v>
      </c>
      <c r="I131" s="165"/>
      <c r="J131" s="328">
        <f>H131/DAY(B2)</f>
        <v>-71.378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-3551.9000000000015</v>
      </c>
      <c r="I132" s="165"/>
      <c r="J132" s="328">
        <f>H132/DAY(B2)</f>
        <v>-236.79333333333344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-8218.429999999993</v>
      </c>
      <c r="I133" s="165"/>
      <c r="J133" s="328">
        <f>H133/DAY(B2)</f>
        <v>-547.89533333333281</v>
      </c>
    </row>
    <row r="134" spans="1:15" s="491" customFormat="1" ht="27.75">
      <c r="A134" s="937" t="s">
        <v>340</v>
      </c>
      <c r="B134" s="938"/>
      <c r="C134" s="939"/>
      <c r="D134" s="233" t="s">
        <v>183</v>
      </c>
      <c r="E134" s="488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668443.34</v>
      </c>
      <c r="I134" s="158"/>
      <c r="J134" s="490">
        <f>H134/DAY(B2)</f>
        <v>44562.889333333333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629458.5</v>
      </c>
      <c r="I135" s="327">
        <f>G135-(G35+G49)</f>
        <v>-332.149999999996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-1063</v>
      </c>
      <c r="I138" s="118"/>
      <c r="J138" s="328">
        <f>H138/DAY(B2)</f>
        <v>-70.86666666666666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-23</v>
      </c>
      <c r="I139" s="118"/>
      <c r="J139" s="328">
        <f>H139/DAY(B2)</f>
        <v>-1.5333333333333334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-24</v>
      </c>
      <c r="I140" s="118"/>
      <c r="J140" s="328">
        <f>H140/DAY(B2)</f>
        <v>-1.6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-2774.5999999999985</v>
      </c>
      <c r="I141" s="118"/>
      <c r="J141" s="328">
        <f>H141/DAY(B2)</f>
        <v>-184.97333333333324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-1241.1800000000003</v>
      </c>
      <c r="I142" s="140"/>
      <c r="J142" s="328">
        <f>H142/DAY(B2)</f>
        <v>-82.745333333333349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-419.31999999999971</v>
      </c>
      <c r="I143" s="140"/>
      <c r="J143" s="328">
        <f>H143/DAY(B2)</f>
        <v>-27.954666666666647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-3423</v>
      </c>
      <c r="I144" s="140"/>
      <c r="J144" s="328">
        <f>H144/DAY(B2)</f>
        <v>-228.2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-176.42000000000007</v>
      </c>
      <c r="I145" s="140"/>
      <c r="J145" s="328">
        <f>H145/DAY(B2)</f>
        <v>-11.761333333333338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-6446</v>
      </c>
      <c r="I146" s="140"/>
      <c r="J146" s="328">
        <f>H146/DAY(B2)</f>
        <v>-429.73333333333335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-5769.6800000000512</v>
      </c>
      <c r="I147" s="140"/>
      <c r="J147" s="328">
        <f>H147/DAY(B2)</f>
        <v>-384.64533333333674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-2910.3999999999069</v>
      </c>
      <c r="I148" s="124"/>
      <c r="J148" s="328">
        <f>H148/DAY(B2)</f>
        <v>-194.02666666666045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-7762.8600000000006</v>
      </c>
      <c r="I149" s="119"/>
      <c r="J149" s="328">
        <f>H149/DAY(B2)</f>
        <v>-517.524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-3528.71</v>
      </c>
      <c r="I150" s="119"/>
      <c r="J150" s="328">
        <f>H150/DAY(B2)</f>
        <v>-235.24733333333333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-3761</v>
      </c>
      <c r="I151" s="119"/>
      <c r="J151" s="328">
        <f>H151/DAY(B2)</f>
        <v>-250.73333333333332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-269.80999999999995</v>
      </c>
      <c r="I152" s="119"/>
      <c r="J152" s="328">
        <f>H152/DAY(B2)</f>
        <v>-17.987333333333329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-10860.740000000002</v>
      </c>
      <c r="I155" s="364"/>
      <c r="J155" s="328">
        <f>H155/DAY(B2)</f>
        <v>-724.04933333333349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-946.75</v>
      </c>
      <c r="I156" s="165"/>
      <c r="J156" s="328">
        <f>H156/DAY(B2)</f>
        <v>-63.116666666666667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>
      <c r="A159" s="927"/>
      <c r="B159" s="928"/>
      <c r="C159" s="929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-621.52000000001863</v>
      </c>
      <c r="I161" s="236"/>
      <c r="J161" s="239">
        <f>H161/DAY(B2)</f>
        <v>-41.434666666667908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-514.09999999999127</v>
      </c>
      <c r="I162" s="236"/>
      <c r="J162" s="239">
        <f>H162/DAY(B2)</f>
        <v>-34.273333333332751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-741</v>
      </c>
      <c r="I163" s="236"/>
      <c r="J163" s="239">
        <f>H163/DAY(B2)</f>
        <v>-49.4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-54.5</v>
      </c>
      <c r="I164" s="236"/>
      <c r="J164" s="239">
        <f>H164/DAY(B2)</f>
        <v>-3.6333333333333333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-113.72000000000116</v>
      </c>
      <c r="I165" s="236"/>
      <c r="J165" s="239">
        <f>H165/DAY(B2)</f>
        <v>-7.5813333333334105</v>
      </c>
    </row>
    <row r="166" spans="1:10" ht="29.25">
      <c r="A166" s="852"/>
      <c r="B166" s="85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56" t="s">
        <v>209</v>
      </c>
      <c r="B173" s="857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>
      <c r="A174" s="856" t="s">
        <v>75</v>
      </c>
      <c r="B174" s="857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-184</v>
      </c>
      <c r="I174" s="155"/>
      <c r="J174" s="178">
        <f>H174/DAY(B2)</f>
        <v>-12.266666666666667</v>
      </c>
    </row>
    <row r="175" spans="1:10" ht="21.75" customHeight="1">
      <c r="A175" s="856" t="s">
        <v>76</v>
      </c>
      <c r="B175" s="896"/>
      <c r="C175" s="857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-157</v>
      </c>
      <c r="I175" s="155"/>
      <c r="J175" s="178">
        <f>H175/DAY(B2)</f>
        <v>-10.466666666666667</v>
      </c>
    </row>
    <row r="176" spans="1:10" ht="21.75" customHeight="1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-341</v>
      </c>
      <c r="I176" s="155"/>
      <c r="J176" s="178">
        <f>H176/DAY(B2)</f>
        <v>-22.733333333333334</v>
      </c>
    </row>
    <row r="177" spans="1:10" ht="21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56" t="s">
        <v>210</v>
      </c>
      <c r="B178" s="857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-846</v>
      </c>
      <c r="I178" s="155"/>
      <c r="J178" s="178">
        <f>H178/DAY(B2)</f>
        <v>-56.4</v>
      </c>
    </row>
    <row r="179" spans="1:10" ht="24" customHeight="1">
      <c r="A179" s="856" t="s">
        <v>211</v>
      </c>
      <c r="B179" s="857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-580</v>
      </c>
      <c r="I179" s="155"/>
      <c r="J179" s="178">
        <f>H179/DAY(B2)</f>
        <v>-38.666666666666664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-110</v>
      </c>
      <c r="I180" s="155"/>
      <c r="J180" s="178">
        <f>H180/DAY(B2)</f>
        <v>-7.333333333333333</v>
      </c>
    </row>
    <row r="181" spans="1:10" ht="27.75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-1536</v>
      </c>
      <c r="I181" s="155"/>
      <c r="J181" s="178">
        <f>H181/DAY(B2)</f>
        <v>-102.4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-216</v>
      </c>
      <c r="I183" s="155"/>
      <c r="J183" s="178">
        <f>H183/DAY(B2)</f>
        <v>-14.4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-120</v>
      </c>
      <c r="I184" s="155"/>
      <c r="J184" s="178">
        <f>H184/DAY(B2)</f>
        <v>-8</v>
      </c>
    </row>
    <row r="185" spans="1:10" ht="32.25" customHeight="1">
      <c r="A185" s="856" t="s">
        <v>216</v>
      </c>
      <c r="B185" s="85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-336</v>
      </c>
      <c r="I186" s="157"/>
      <c r="J186" s="178">
        <f>H186/DAY(B2)</f>
        <v>-22.4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134</v>
      </c>
      <c r="H187" s="99">
        <f>G187+'14'!H187</f>
        <v>-2283</v>
      </c>
      <c r="I187" s="158"/>
      <c r="J187" s="179">
        <f>H187/DAY(B2)</f>
        <v>-152.19999999999999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103</v>
      </c>
      <c r="H189" s="99">
        <f>G189+'14'!H189</f>
        <v>-1536</v>
      </c>
      <c r="I189" s="158"/>
      <c r="J189" s="179">
        <f>H189/DAY(B2)</f>
        <v>-102.4</v>
      </c>
    </row>
    <row r="190" spans="1:10" ht="27" customHeight="1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F24" sqref="F2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6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6" s="57" customFormat="1" ht="27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6" s="57" customFormat="1" ht="27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>
      <c r="A6" s="905" t="s">
        <v>128</v>
      </c>
      <c r="B6" s="906"/>
      <c r="C6" s="90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-262226.23</v>
      </c>
      <c r="I7" s="113">
        <f>'1'!I7</f>
        <v>12000</v>
      </c>
      <c r="J7" s="175">
        <f>H7/DAY(B2)</f>
        <v>-16389.139374999999</v>
      </c>
      <c r="K7" s="172">
        <v>1375467</v>
      </c>
      <c r="L7" s="66"/>
      <c r="N7" s="87"/>
      <c r="O7" s="71"/>
    </row>
    <row r="8" spans="1:16" ht="27.75" thickBot="1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-268358.15000000002</v>
      </c>
      <c r="I8" s="116"/>
      <c r="J8" s="175">
        <f>H8/DAY(B2)</f>
        <v>-16772.384375000001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>
      <c r="A9" s="199" t="s">
        <v>132</v>
      </c>
      <c r="B9" s="200"/>
      <c r="C9" s="200"/>
      <c r="D9" s="151" t="s">
        <v>130</v>
      </c>
      <c r="E9" s="95">
        <f>'15'!F9</f>
        <v>76355.41</v>
      </c>
      <c r="F9" s="598">
        <v>87159</v>
      </c>
      <c r="G9" s="112">
        <f>F9-E9</f>
        <v>10803.589999999997</v>
      </c>
      <c r="H9" s="99">
        <f>G9+'15'!H9</f>
        <v>2162186.1500000004</v>
      </c>
      <c r="I9" s="124">
        <f>I7-J7</f>
        <v>28389.139374999999</v>
      </c>
      <c r="J9" s="175">
        <f>H9/DAY(B2)</f>
        <v>135136.63437500002</v>
      </c>
      <c r="K9" s="79">
        <f>K8-100</f>
        <v>1715817</v>
      </c>
      <c r="L9" s="66"/>
      <c r="N9" s="87"/>
      <c r="O9" s="71"/>
    </row>
    <row r="10" spans="1:16" ht="29.25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536122.03</v>
      </c>
      <c r="I10" s="282"/>
      <c r="J10" s="175">
        <f>H10/DAY(B2)</f>
        <v>33507.626875000002</v>
      </c>
      <c r="K10" s="79"/>
      <c r="L10" s="66"/>
      <c r="N10" s="87"/>
      <c r="O10" s="71"/>
    </row>
    <row r="11" spans="1:16" ht="29.25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-170</v>
      </c>
      <c r="I11" s="282"/>
      <c r="J11" s="175">
        <f>H11/DAY(B2)</f>
        <v>-10.625</v>
      </c>
      <c r="K11" s="79"/>
      <c r="L11" s="66"/>
      <c r="N11" s="87"/>
      <c r="O11" s="71"/>
    </row>
    <row r="12" spans="1:16" ht="29.25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2681383.75</v>
      </c>
      <c r="I13" s="120">
        <f>G7-G13</f>
        <v>538.88000000000466</v>
      </c>
      <c r="J13" s="175">
        <f>H13/DAY(B2)</f>
        <v>167586.484375</v>
      </c>
      <c r="K13" s="79"/>
      <c r="L13" s="66"/>
      <c r="N13" s="87"/>
      <c r="O13" s="71"/>
    </row>
    <row r="14" spans="1:16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-14030.766999999993</v>
      </c>
      <c r="I15" s="113">
        <f>'1'!I15</f>
        <v>800</v>
      </c>
      <c r="J15" s="175">
        <f>H15/DAY(B2)</f>
        <v>-876.92293749999953</v>
      </c>
      <c r="K15" s="79"/>
      <c r="L15" s="66"/>
      <c r="N15" s="87">
        <v>735868</v>
      </c>
      <c r="O15" s="71">
        <v>719798</v>
      </c>
      <c r="P15" s="552">
        <f>O15-N15</f>
        <v>-16070</v>
      </c>
    </row>
    <row r="16" spans="1:16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1676.9229374999995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2200</v>
      </c>
      <c r="I18" s="113">
        <f>'1'!I18</f>
        <v>65</v>
      </c>
      <c r="J18" s="175">
        <f>H18/DAY(B2)</f>
        <v>137.5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-819</v>
      </c>
      <c r="I19" s="335"/>
      <c r="J19" s="175">
        <f>H19/DAY(B2)</f>
        <v>-51.1875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1381</v>
      </c>
      <c r="I20" s="336">
        <f>I18-J20</f>
        <v>-21.3125</v>
      </c>
      <c r="J20" s="175">
        <f>H20/DAY(B2)</f>
        <v>86.3125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-2415223.3500000006</v>
      </c>
      <c r="I27" s="138"/>
      <c r="J27" s="175">
        <f>H27/DAY(B2)</f>
        <v>-150951.45937500003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-729599.88399999961</v>
      </c>
      <c r="I28" s="140"/>
      <c r="J28" s="175">
        <f>H28/DAY(B2)</f>
        <v>-45599.992749999976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-119574</v>
      </c>
      <c r="I30" s="140"/>
      <c r="J30" s="175">
        <f>H30/DAY(B2)</f>
        <v>-7473.375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176000</v>
      </c>
      <c r="I31" s="140"/>
      <c r="J31" s="175">
        <f>H31/DAY(B2)</f>
        <v>11000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-3088397.2340000002</v>
      </c>
      <c r="I32" s="144"/>
      <c r="J32" s="175">
        <f>H32/DAY(B2)</f>
        <v>-193024.82712500001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493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147812.01999999999</v>
      </c>
      <c r="I35" s="95"/>
      <c r="J35" s="175">
        <f>H35/DAY(B2)</f>
        <v>9238.2512499999993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-10576.739999999998</v>
      </c>
      <c r="I36" s="95"/>
      <c r="J36" s="175">
        <f>H36/DAY(B2)</f>
        <v>-661.04624999999987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183990.91</v>
      </c>
      <c r="I37" s="95"/>
      <c r="J37" s="175">
        <f>H37/DAY(B2)</f>
        <v>11499.431875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219869.57</v>
      </c>
      <c r="I38" s="95"/>
      <c r="J38" s="175">
        <f>H38/DAY(B2)</f>
        <v>13741.848125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393697.70999999996</v>
      </c>
      <c r="I39" s="95"/>
      <c r="J39" s="175">
        <f>H39/DAY(B2)</f>
        <v>24606.106874999998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-9205.9900000000016</v>
      </c>
      <c r="I40" s="95"/>
      <c r="J40" s="175">
        <f>H40/DAY(B2)</f>
        <v>-575.3743750000001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-62.73</v>
      </c>
      <c r="I41" s="95"/>
      <c r="J41" s="175">
        <f>H41/DAY(B2)</f>
        <v>-3.9206249999999998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-26321.14</v>
      </c>
      <c r="I42" s="95"/>
      <c r="J42" s="175">
        <f>H42/DAY(B2)</f>
        <v>-1645.07125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-32027.600000000006</v>
      </c>
      <c r="I43" s="95"/>
      <c r="J43" s="175">
        <f>H43/DAY(B2)</f>
        <v>-2001.7250000000004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867176.01000000013</v>
      </c>
      <c r="I47" s="95"/>
      <c r="J47" s="175">
        <f>H47/DAY(B2)</f>
        <v>54198.500625000008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270341.81</v>
      </c>
      <c r="I49" s="95"/>
      <c r="J49" s="175">
        <f>H49/DAY(B2)</f>
        <v>16896.363125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-16100.629999999997</v>
      </c>
      <c r="I50" s="95"/>
      <c r="J50" s="175">
        <f>H50/DAY(B2)</f>
        <v>-1006.2893749999998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2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488">
        <f>'15'!F54</f>
        <v>3661.51</v>
      </c>
      <c r="F54" s="600">
        <v>4227</v>
      </c>
      <c r="G54" s="236">
        <f t="shared" si="4"/>
        <v>565.48999999999978</v>
      </c>
      <c r="H54" s="99">
        <f>G54+'15'!H54</f>
        <v>832.57999999999993</v>
      </c>
      <c r="I54" s="95"/>
      <c r="J54" s="175">
        <f>H54/DAY(B2)</f>
        <v>52.036249999999995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488">
        <f>'15'!F55</f>
        <v>48711.23</v>
      </c>
      <c r="F55" s="492">
        <v>51744</v>
      </c>
      <c r="G55" s="236">
        <f t="shared" si="4"/>
        <v>3032.7699999999968</v>
      </c>
      <c r="H55" s="99">
        <f>G55+'15'!H55</f>
        <v>-22622.11</v>
      </c>
      <c r="I55" s="95"/>
      <c r="J55" s="175">
        <f>H55/DAY(B2)</f>
        <v>-1413.881875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-2797.21</v>
      </c>
      <c r="I58" s="95"/>
      <c r="J58" s="175">
        <f>H58/DAY(B2)</f>
        <v>-174.825625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229654.44</v>
      </c>
      <c r="I59" s="95">
        <f>G7-G60</f>
        <v>1296.1800000000148</v>
      </c>
      <c r="J59" s="175">
        <f>H59/DAY(B2)</f>
        <v>14353.4025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1096830.4500000002</v>
      </c>
      <c r="I60" s="95">
        <f>G13-G60</f>
        <v>757.30000000001019</v>
      </c>
      <c r="J60" s="175">
        <f>H60/DAY(B2)</f>
        <v>68551.903125000012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-1343</v>
      </c>
      <c r="I62" s="118"/>
      <c r="J62" s="175">
        <f>H62/DAY(B2)</f>
        <v>-83.9375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-1763</v>
      </c>
      <c r="I63" s="118"/>
      <c r="J63" s="175">
        <f>H63/DAY(B2)</f>
        <v>-110.1875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v>0</v>
      </c>
      <c r="F64" s="122"/>
      <c r="G64" s="112">
        <f>G62+G63</f>
        <v>157</v>
      </c>
      <c r="H64" s="99">
        <f>G64+'15'!H64</f>
        <v>-3106</v>
      </c>
      <c r="I64" s="118"/>
      <c r="J64" s="175">
        <f>H64/DAY(B2)</f>
        <v>-194.125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-1196</v>
      </c>
      <c r="I65" s="118"/>
      <c r="J65" s="175">
        <f>H65/DAY(B2)</f>
        <v>-74.75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-250</v>
      </c>
      <c r="I66" s="118"/>
      <c r="J66" s="175">
        <f>H66/DAY(B2)</f>
        <v>-15.625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-345</v>
      </c>
      <c r="I67" s="118"/>
      <c r="J67" s="175">
        <f>H67/DAY(B2)</f>
        <v>-21.5625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-660</v>
      </c>
      <c r="I68" s="118"/>
      <c r="J68" s="175">
        <f>H68/DAY(B2)</f>
        <v>-41.25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-136</v>
      </c>
      <c r="I70" s="118"/>
      <c r="J70" s="175">
        <f>H70/DAY(B2)</f>
        <v>-8.5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153</v>
      </c>
      <c r="H71" s="99">
        <f>G71+'15'!H71</f>
        <v>-2759</v>
      </c>
      <c r="I71" s="154"/>
      <c r="J71" s="175">
        <f>H71/DAY(B2)</f>
        <v>-172.4375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494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-4533.1489999999758</v>
      </c>
      <c r="I74" s="154"/>
      <c r="J74" s="175">
        <f>H74/DAY(B2)</f>
        <v>-283.32181249999849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-1418</v>
      </c>
      <c r="I76" s="154"/>
      <c r="J76" s="175">
        <f>H76/DAY(B2)</f>
        <v>-88.625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-504.19999999999709</v>
      </c>
      <c r="I77" s="154"/>
      <c r="J77" s="175">
        <f>H77/DAY(B2)</f>
        <v>-31.512499999999818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-17</v>
      </c>
      <c r="I78" s="118"/>
      <c r="J78" s="175">
        <f>H78/DAY(B2)</f>
        <v>-1.0625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-7558.6180000000168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1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-163.86999999999989</v>
      </c>
      <c r="I85" s="118">
        <f>G82+G83+G84+G85</f>
        <v>0</v>
      </c>
      <c r="J85" s="175">
        <f>H85/DAY(B2)</f>
        <v>-10.241874999999993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-194</v>
      </c>
      <c r="I86" s="118"/>
      <c r="J86" s="175">
        <f>H86/DAY(B2)</f>
        <v>-12.125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5.0000000002910383E-2</v>
      </c>
      <c r="I87" s="118"/>
      <c r="J87" s="175">
        <f>H87/DAY(B2)</f>
        <v>3.1250000001818989E-3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-4.1399999999994179</v>
      </c>
      <c r="I88" s="118">
        <f>G86+G87+G88</f>
        <v>23.510000000002037</v>
      </c>
      <c r="J88" s="175">
        <f>H88/DAY(B2)</f>
        <v>-0.25874999999996362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-130.02999999999884</v>
      </c>
      <c r="I89" s="118"/>
      <c r="J89" s="175">
        <f>H89/DAY(B2)</f>
        <v>-8.1268749999999272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-37.160000000003492</v>
      </c>
      <c r="I90" s="118">
        <f>G89+G90</f>
        <v>17.830000000001746</v>
      </c>
      <c r="J90" s="175">
        <f>H90/DAY(B2)</f>
        <v>-2.3225000000002183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-24.769999999999982</v>
      </c>
      <c r="I91" s="165"/>
      <c r="J91" s="175">
        <f>H91/DAY(B2)</f>
        <v>-1.5481249999999989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-136.65999999999985</v>
      </c>
      <c r="I92" s="165"/>
      <c r="J92" s="175">
        <f>H92/DAY(B2)</f>
        <v>-8.5412499999999909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386126.23</v>
      </c>
      <c r="I94" s="118"/>
      <c r="J94" s="175">
        <f>H94/DAY(B2)</f>
        <v>24132.889374999999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51"/>
      <c r="G95" s="166">
        <f>G94/G7</f>
        <v>0.26919213942272946</v>
      </c>
      <c r="H95" s="99">
        <f>G95+'15'!H95</f>
        <v>3.4017504673714472</v>
      </c>
      <c r="I95" s="167"/>
      <c r="J95" s="175">
        <f>H95/DAY(B2)</f>
        <v>0.21260940421071545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-49005.980000000018</v>
      </c>
      <c r="I96" s="118"/>
      <c r="J96" s="175">
        <f>H96/DAY(B2)</f>
        <v>-3062.8737500000011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0.17516034480269124</v>
      </c>
      <c r="H97" s="99">
        <f>G97+'15'!H97</f>
        <v>2.8326715602353958</v>
      </c>
      <c r="I97" s="167"/>
      <c r="J97" s="175">
        <f>H97/DAY(B2)</f>
        <v>0.17704197251471224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2600.0999999999985</v>
      </c>
      <c r="H98" s="99">
        <f>G98+'15'!H98</f>
        <v>393697.70999999996</v>
      </c>
      <c r="I98" s="168"/>
      <c r="J98" s="175">
        <f>H98/DAY(B2)</f>
        <v>24606.106874999998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0.15017110183808127</v>
      </c>
      <c r="H99" s="99">
        <f>G99+'15'!H99</f>
        <v>1.5056164345884653</v>
      </c>
      <c r="I99" s="168"/>
      <c r="J99" s="175">
        <f>H99/DAY(B2)</f>
        <v>9.410102716177908E-2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219869.57</v>
      </c>
      <c r="I100" s="118"/>
      <c r="J100" s="175">
        <f>H100/DAY(B2)</f>
        <v>13741.848125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1.0320850213818547</v>
      </c>
      <c r="I101" s="168"/>
      <c r="J101" s="175">
        <f>H101/DAY(B2)</f>
        <v>6.4505313836365916E-2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-26677.369999999995</v>
      </c>
      <c r="I102" s="168"/>
      <c r="J102" s="175">
        <f>H102/DAY(B2)</f>
        <v>-1667.3356249999997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1.5699707151204203</v>
      </c>
      <c r="I103" s="118"/>
      <c r="J103" s="175">
        <f>H103/DAY(B2)</f>
        <v>9.8123169695026269E-2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183990.91</v>
      </c>
      <c r="I104" s="118"/>
      <c r="J104" s="175">
        <f>H104/DAY(B2)</f>
        <v>11499.431875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0.97420759220634012</v>
      </c>
      <c r="I105" s="187"/>
      <c r="J105" s="188">
        <f>H105/DAY(B2)</f>
        <v>6.0887974512896258E-2</v>
      </c>
      <c r="O105" s="71"/>
    </row>
    <row r="106" spans="1:15" ht="29.25">
      <c r="A106" s="105"/>
      <c r="B106" s="96"/>
      <c r="C106" s="96"/>
      <c r="D106" s="169"/>
      <c r="E106" s="169"/>
      <c r="F106" s="495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5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-1168</v>
      </c>
      <c r="I112" s="165"/>
      <c r="J112" s="328">
        <f>H112/DAY(B2)</f>
        <v>-73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-6991.8899999999994</v>
      </c>
      <c r="I113" s="165"/>
      <c r="J113" s="328">
        <f>H113/DAY(B2)</f>
        <v>-436.99312499999996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488">
        <f>'15'!F114</f>
        <v>28847.5</v>
      </c>
      <c r="F114" s="499">
        <v>29108</v>
      </c>
      <c r="G114" s="236">
        <v>126.9</v>
      </c>
      <c r="H114" s="99">
        <f>G114+'15'!H114</f>
        <v>-4185.6000000000004</v>
      </c>
      <c r="I114" s="165"/>
      <c r="J114" s="328">
        <f>H114/DAY(B2)</f>
        <v>-261.60000000000002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488">
        <f>'15'!F115</f>
        <v>8936.6299999999992</v>
      </c>
      <c r="F115" s="499">
        <v>8944</v>
      </c>
      <c r="G115" s="236">
        <f t="shared" si="9"/>
        <v>7.3700000000008004</v>
      </c>
      <c r="H115" s="99">
        <f>G115+'15'!H115</f>
        <v>-150.64999999999964</v>
      </c>
      <c r="I115" s="165"/>
      <c r="J115" s="328">
        <f>H115/DAY(B2)</f>
        <v>-9.4156249999999773</v>
      </c>
      <c r="N115" s="599" t="s">
        <v>366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-360.94999999999982</v>
      </c>
      <c r="I117" s="165"/>
      <c r="J117" s="328">
        <f>H117/DAY(B2)</f>
        <v>-22.559374999999989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-5105.3099999999977</v>
      </c>
      <c r="I118" s="165"/>
      <c r="J118" s="328">
        <f>H118/DAY(B2)</f>
        <v>-319.08187499999985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488">
        <f>'15'!F119</f>
        <v>251326.27</v>
      </c>
      <c r="F119" s="499">
        <v>251784</v>
      </c>
      <c r="G119" s="112">
        <f t="shared" si="9"/>
        <v>457.73000000001048</v>
      </c>
      <c r="H119" s="99">
        <f>G119+'15'!H119</f>
        <v>-6364.5499999999884</v>
      </c>
      <c r="I119" s="165"/>
      <c r="J119" s="328">
        <f>H119/DAY(B2)</f>
        <v>-397.78437499999927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-6248.6100000000006</v>
      </c>
      <c r="I120" s="165"/>
      <c r="J120" s="328">
        <f>H120/DAY(B2)</f>
        <v>-390.53812500000004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-10297.429999999993</v>
      </c>
      <c r="I121" s="165"/>
      <c r="J121" s="328">
        <f>H121/DAY(B2)</f>
        <v>-643.58937499999956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-2838.179999999993</v>
      </c>
      <c r="I122" s="165"/>
      <c r="J122" s="328">
        <f>H122/DAY(B2)</f>
        <v>-177.38624999999956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-4065.9500000000116</v>
      </c>
      <c r="I123" s="165"/>
      <c r="J123" s="328">
        <f>H123/DAY(B2)</f>
        <v>-254.12187500000073</v>
      </c>
    </row>
    <row r="124" spans="1:18" ht="29.25" customHeight="1">
      <c r="A124" s="867"/>
      <c r="B124" s="868"/>
      <c r="C124" s="869"/>
      <c r="D124" s="165"/>
      <c r="E124" s="165"/>
      <c r="F124" s="15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-4639</v>
      </c>
      <c r="I128" s="165"/>
      <c r="J128" s="328">
        <f>H128/DAY(B2)</f>
        <v>-289.9375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-3080.869999999999</v>
      </c>
      <c r="I129" s="165"/>
      <c r="J129" s="328">
        <f>H129/DAY(B2)</f>
        <v>-192.55437499999994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-7789</v>
      </c>
      <c r="I130" s="165"/>
      <c r="J130" s="328">
        <f>H130/DAY(B2)</f>
        <v>-486.8125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-1012.6800000000003</v>
      </c>
      <c r="I131" s="165"/>
      <c r="J131" s="328">
        <f>H131/DAY(B2)</f>
        <v>-63.292500000000018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-3044.3000000000029</v>
      </c>
      <c r="I132" s="165"/>
      <c r="J132" s="328">
        <f>H132/DAY(B2)</f>
        <v>-190.26875000000018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-7749.6999999999971</v>
      </c>
      <c r="I133" s="165"/>
      <c r="J133" s="328">
        <f>H133/DAY(B2)</f>
        <v>-484.35624999999982</v>
      </c>
    </row>
    <row r="134" spans="1:15" s="491" customFormat="1" ht="27.75">
      <c r="A134" s="937" t="s">
        <v>340</v>
      </c>
      <c r="B134" s="938"/>
      <c r="C134" s="939"/>
      <c r="D134" s="233" t="s">
        <v>183</v>
      </c>
      <c r="E134" s="488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668599.77</v>
      </c>
      <c r="I134" s="158"/>
      <c r="J134" s="490">
        <f>H134/DAY(B2)</f>
        <v>41787.485625000001</v>
      </c>
    </row>
    <row r="135" spans="1:15" ht="27.75">
      <c r="A135" s="847" t="s">
        <v>196</v>
      </c>
      <c r="B135" s="848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629439.93999999994</v>
      </c>
      <c r="I135" s="327">
        <f>G135-(G35+G49)</f>
        <v>-387.850000000004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1" customFormat="1" ht="27.75">
      <c r="A138" s="942" t="s">
        <v>185</v>
      </c>
      <c r="B138" s="942"/>
      <c r="C138" s="942"/>
      <c r="D138" s="233" t="s">
        <v>183</v>
      </c>
      <c r="E138" s="488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-1004</v>
      </c>
      <c r="I138" s="489"/>
      <c r="J138" s="490">
        <f>H138/DAY(B2)</f>
        <v>-62.75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-23</v>
      </c>
      <c r="I139" s="118"/>
      <c r="J139" s="328">
        <f>H139/DAY(B2)</f>
        <v>-1.4375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-24</v>
      </c>
      <c r="I140" s="118"/>
      <c r="J140" s="328">
        <f>H140/DAY(B2)</f>
        <v>-1.5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-2609.5800000000017</v>
      </c>
      <c r="I141" s="118"/>
      <c r="J141" s="328">
        <f>H141/DAY(B2)</f>
        <v>-163.09875000000011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-1165.0999999999985</v>
      </c>
      <c r="I142" s="140"/>
      <c r="J142" s="328">
        <f>H142/DAY(B2)</f>
        <v>-72.818749999999909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-396.38999999999987</v>
      </c>
      <c r="I143" s="140"/>
      <c r="J143" s="328">
        <f>H143/DAY(B2)</f>
        <v>-24.774374999999992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-3197</v>
      </c>
      <c r="I144" s="140"/>
      <c r="J144" s="328">
        <f>H144/DAY(B2)</f>
        <v>-199.8125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-160.84000000000015</v>
      </c>
      <c r="I145" s="140"/>
      <c r="J145" s="328">
        <f>H145/DAY(B2)</f>
        <v>-10.052500000000009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-6005</v>
      </c>
      <c r="I146" s="140"/>
      <c r="J146" s="328">
        <f>H146/DAY(B2)</f>
        <v>-375.3125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-5433.5200000000186</v>
      </c>
      <c r="I147" s="140"/>
      <c r="J147" s="328">
        <f>H147/DAY(B2)</f>
        <v>-339.59500000000116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-2746.9599999999627</v>
      </c>
      <c r="I148" s="124"/>
      <c r="J148" s="328">
        <f>H148/DAY(B2)</f>
        <v>-171.68499999999767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-7333.2000000000007</v>
      </c>
      <c r="I149" s="119"/>
      <c r="J149" s="328">
        <f>H149/DAY(B2)</f>
        <v>-458.32500000000005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-3305.83</v>
      </c>
      <c r="I150" s="119"/>
      <c r="J150" s="328">
        <f>H150/DAY(B2)</f>
        <v>-206.614375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-3537</v>
      </c>
      <c r="I151" s="119"/>
      <c r="J151" s="328">
        <f>H151/DAY(B2)</f>
        <v>-221.0625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-255</v>
      </c>
      <c r="I152" s="119"/>
      <c r="J152" s="328">
        <f>H152/DAY(B2)</f>
        <v>-15.9375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488">
        <f>'15'!F155</f>
        <v>22084.26</v>
      </c>
      <c r="F155" s="530">
        <v>22693</v>
      </c>
      <c r="G155" s="236">
        <f>F155-E155</f>
        <v>608.7400000000016</v>
      </c>
      <c r="H155" s="99">
        <f>G155+'15'!H155</f>
        <v>-10252</v>
      </c>
      <c r="I155" s="364"/>
      <c r="J155" s="328">
        <f>H155/DAY(B2)</f>
        <v>-640.75</v>
      </c>
    </row>
    <row r="156" spans="1:10" ht="27.75">
      <c r="A156" s="843" t="s">
        <v>347</v>
      </c>
      <c r="B156" s="843"/>
      <c r="C156" s="843"/>
      <c r="D156" s="117" t="s">
        <v>130</v>
      </c>
      <c r="E156" s="488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-890</v>
      </c>
      <c r="I156" s="165"/>
      <c r="J156" s="328">
        <f>H156/DAY(B2)</f>
        <v>-55.625</v>
      </c>
    </row>
    <row r="157" spans="1:10" ht="27.75">
      <c r="A157" s="844" t="s">
        <v>363</v>
      </c>
      <c r="B157" s="845"/>
      <c r="C157" s="846"/>
      <c r="D157" s="117" t="s">
        <v>130</v>
      </c>
      <c r="E157" s="488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>
      <c r="A158" s="844" t="s">
        <v>364</v>
      </c>
      <c r="B158" s="845"/>
      <c r="C158" s="846"/>
      <c r="D158" s="117" t="s">
        <v>130</v>
      </c>
      <c r="E158" s="488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>
      <c r="A159" s="927"/>
      <c r="B159" s="928"/>
      <c r="C159" s="929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-614.55999999999767</v>
      </c>
      <c r="I161" s="236"/>
      <c r="J161" s="239">
        <f>H161/DAY(B2)</f>
        <v>-38.409999999999854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-500.39999999999418</v>
      </c>
      <c r="I162" s="236"/>
      <c r="J162" s="239">
        <f>H162/DAY(B2)</f>
        <v>-31.274999999999636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-705.10000000000582</v>
      </c>
      <c r="I163" s="236"/>
      <c r="J163" s="239">
        <f>H163/DAY(B2)</f>
        <v>-44.068750000000364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-54</v>
      </c>
      <c r="I164" s="236"/>
      <c r="J164" s="239">
        <f>H164/DAY(B2)</f>
        <v>-3.375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-111.25</v>
      </c>
      <c r="I165" s="236"/>
      <c r="J165" s="239">
        <f>H165/DAY(B2)</f>
        <v>-6.953125</v>
      </c>
    </row>
    <row r="166" spans="1:10" ht="29.25">
      <c r="A166" s="852"/>
      <c r="B166" s="85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-171</v>
      </c>
      <c r="I174" s="155"/>
      <c r="J174" s="178">
        <f>H174/DAY(B2)</f>
        <v>-10.6875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-147</v>
      </c>
      <c r="I175" s="155"/>
      <c r="J175" s="178">
        <f>H175/DAY(B2)</f>
        <v>-9.1875</v>
      </c>
    </row>
    <row r="176" spans="1:10" ht="27.75">
      <c r="A176" s="847" t="s">
        <v>196</v>
      </c>
      <c r="B176" s="848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-318</v>
      </c>
      <c r="I176" s="155"/>
      <c r="J176" s="178">
        <f>H176/DAY(B2)</f>
        <v>-19.875</v>
      </c>
    </row>
    <row r="177" spans="1:11" ht="27.75">
      <c r="A177" s="856" t="s">
        <v>77</v>
      </c>
      <c r="B177" s="85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>
      <c r="A178" s="856" t="s">
        <v>210</v>
      </c>
      <c r="B178" s="857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-786</v>
      </c>
      <c r="I178" s="155"/>
      <c r="J178" s="178">
        <f>H178/DAY(B2)</f>
        <v>-49.125</v>
      </c>
    </row>
    <row r="179" spans="1:11" ht="27.75">
      <c r="A179" s="856" t="s">
        <v>211</v>
      </c>
      <c r="B179" s="857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-552</v>
      </c>
      <c r="I179" s="155"/>
      <c r="J179" s="178">
        <f>H179/DAY(B2)</f>
        <v>-34.5</v>
      </c>
    </row>
    <row r="180" spans="1:11" ht="27.75">
      <c r="A180" s="856" t="s">
        <v>212</v>
      </c>
      <c r="B180" s="857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-107</v>
      </c>
      <c r="I180" s="155"/>
      <c r="J180" s="178">
        <f>H180/DAY(B2)</f>
        <v>-6.6875</v>
      </c>
    </row>
    <row r="181" spans="1:11" ht="27.75">
      <c r="A181" s="858" t="s">
        <v>108</v>
      </c>
      <c r="B181" s="859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-1445</v>
      </c>
      <c r="I181" s="155"/>
      <c r="J181" s="178">
        <f>H181/DAY(B2)</f>
        <v>-90.3125</v>
      </c>
    </row>
    <row r="182" spans="1:11" ht="27.75">
      <c r="A182" s="856" t="s">
        <v>213</v>
      </c>
      <c r="B182" s="85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>
      <c r="A183" s="856" t="s">
        <v>214</v>
      </c>
      <c r="B183" s="857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-208</v>
      </c>
      <c r="I183" s="155"/>
      <c r="J183" s="178">
        <f>H183/DAY(B2)</f>
        <v>-13</v>
      </c>
    </row>
    <row r="184" spans="1:11" ht="27.75">
      <c r="A184" s="856" t="s">
        <v>215</v>
      </c>
      <c r="B184" s="857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-114</v>
      </c>
      <c r="I184" s="155"/>
      <c r="J184" s="178">
        <f>H184/DAY(B2)</f>
        <v>-7.125</v>
      </c>
    </row>
    <row r="185" spans="1:11" ht="32.25" customHeight="1">
      <c r="A185" s="856" t="s">
        <v>216</v>
      </c>
      <c r="B185" s="85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>
      <c r="A186" s="847" t="s">
        <v>196</v>
      </c>
      <c r="B186" s="848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-322</v>
      </c>
      <c r="I186" s="157"/>
      <c r="J186" s="178">
        <f>H186/DAY(B2)</f>
        <v>-20.125</v>
      </c>
    </row>
    <row r="187" spans="1:11" ht="27.75">
      <c r="A187" s="849" t="s">
        <v>217</v>
      </c>
      <c r="B187" s="850"/>
      <c r="C187" s="333"/>
      <c r="D187" s="230" t="s">
        <v>142</v>
      </c>
      <c r="E187" s="95">
        <f>'15'!F187</f>
        <v>0</v>
      </c>
      <c r="F187" s="159"/>
      <c r="G187" s="460">
        <f>G62+G19</f>
        <v>121</v>
      </c>
      <c r="H187" s="99">
        <f>G187+'15'!H187</f>
        <v>-2162</v>
      </c>
      <c r="I187" s="158"/>
      <c r="J187" s="179">
        <f>H187/DAY(B2)</f>
        <v>-135.125</v>
      </c>
    </row>
    <row r="188" spans="1:11" ht="27.75">
      <c r="A188" s="849" t="s">
        <v>218</v>
      </c>
      <c r="B188" s="850"/>
      <c r="C188" s="333"/>
      <c r="D188" s="230" t="s">
        <v>142</v>
      </c>
      <c r="E188" s="95">
        <f>'15'!F188</f>
        <v>0</v>
      </c>
      <c r="F188" s="159"/>
      <c r="G188" s="460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>
      <c r="A189" s="849" t="s">
        <v>219</v>
      </c>
      <c r="B189" s="850"/>
      <c r="C189" s="333"/>
      <c r="D189" s="230" t="s">
        <v>142</v>
      </c>
      <c r="E189" s="95">
        <f>'15'!F189</f>
        <v>0</v>
      </c>
      <c r="F189" s="157"/>
      <c r="G189" s="457">
        <f>G181</f>
        <v>91</v>
      </c>
      <c r="H189" s="99">
        <f>G189+'15'!H189</f>
        <v>-1445</v>
      </c>
      <c r="I189" s="158"/>
      <c r="J189" s="179">
        <f>H189/DAY(B2)</f>
        <v>-90.3125</v>
      </c>
    </row>
    <row r="190" spans="1:11" ht="23.25" customHeight="1">
      <c r="A190" s="940"/>
      <c r="B190" s="941"/>
      <c r="C190" s="553"/>
      <c r="D190" s="478"/>
      <c r="E190" s="478" t="s">
        <v>207</v>
      </c>
      <c r="F190" s="497"/>
      <c r="G190" s="478"/>
      <c r="H190" s="479"/>
      <c r="I190" s="478"/>
      <c r="J190" s="480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96">
        <v>0</v>
      </c>
      <c r="G192" s="160" t="s">
        <v>369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1"/>
  <sheetViews>
    <sheetView view="pageBreakPreview" zoomScale="55" zoomScaleSheetLayoutView="55" zoomScalePageLayoutView="60" workbookViewId="0">
      <selection activeCell="G166" sqref="G16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-244772.22999999998</v>
      </c>
      <c r="I7" s="113">
        <f>'1'!I7</f>
        <v>12000</v>
      </c>
      <c r="J7" s="175">
        <f>H7/DAY(B2)</f>
        <v>-14398.366470588235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-250815.15000000002</v>
      </c>
      <c r="I8" s="116"/>
      <c r="J8" s="175">
        <f>H8/DAY(B2)</f>
        <v>-14753.832352941177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87159</v>
      </c>
      <c r="F9" s="598">
        <v>98294.9</v>
      </c>
      <c r="G9" s="112">
        <f>F9-E9</f>
        <v>11135.899999999994</v>
      </c>
      <c r="H9" s="99">
        <f>G9+'16'!H9</f>
        <v>2173322.0500000003</v>
      </c>
      <c r="I9" s="124">
        <f>I7-J7</f>
        <v>26398.366470588233</v>
      </c>
      <c r="J9" s="175">
        <f>H9/DAY(B2)</f>
        <v>127842.47352941179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541954.77</v>
      </c>
      <c r="I10" s="282"/>
      <c r="J10" s="175">
        <f>H10/DAY(B2)</f>
        <v>31879.692352941176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-170</v>
      </c>
      <c r="I11" s="282"/>
      <c r="J11" s="175">
        <f>H11/DAY(B2)</f>
        <v>-10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2698352.39</v>
      </c>
      <c r="I13" s="120">
        <f>G7-G13</f>
        <v>485.36000000000786</v>
      </c>
      <c r="J13" s="175">
        <f>H13/DAY(B2)</f>
        <v>158726.61117647059</v>
      </c>
      <c r="K13" s="79"/>
      <c r="L13" s="66"/>
      <c r="N13" s="87"/>
      <c r="O13" s="71"/>
    </row>
    <row r="14" spans="1:15" ht="27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-13296.493999999948</v>
      </c>
      <c r="I15" s="113">
        <f>'1'!I15</f>
        <v>800</v>
      </c>
      <c r="J15" s="175">
        <f>H15/DAY(B2)</f>
        <v>-782.14670588234992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1582.14670588235</v>
      </c>
      <c r="J16" s="176"/>
      <c r="K16" s="79"/>
      <c r="L16" s="66"/>
      <c r="N16" s="87"/>
      <c r="O16" s="71"/>
    </row>
    <row r="17" spans="1:15" ht="27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84" t="s">
        <v>141</v>
      </c>
      <c r="B18" s="885"/>
      <c r="C18" s="886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2280</v>
      </c>
      <c r="I18" s="113">
        <f>'1'!I18</f>
        <v>65</v>
      </c>
      <c r="J18" s="175">
        <f>H18/DAY(B2)</f>
        <v>134.11764705882354</v>
      </c>
      <c r="K18" s="79"/>
      <c r="L18" s="66"/>
      <c r="N18" s="87"/>
      <c r="O18" s="71"/>
    </row>
    <row r="19" spans="1:15" ht="27.75" customHeight="1">
      <c r="A19" s="884" t="s">
        <v>69</v>
      </c>
      <c r="B19" s="885"/>
      <c r="C19" s="886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-766</v>
      </c>
      <c r="I19" s="335"/>
      <c r="J19" s="175">
        <f>H19/DAY(B2)</f>
        <v>-45.058823529411768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1514</v>
      </c>
      <c r="I20" s="336">
        <f>I18-J20</f>
        <v>-24.058823529411768</v>
      </c>
      <c r="J20" s="175">
        <f>H20/DAY(B2)</f>
        <v>89.058823529411768</v>
      </c>
      <c r="K20" s="79"/>
      <c r="L20" s="66"/>
      <c r="N20" s="87"/>
      <c r="O20" s="71"/>
    </row>
    <row r="21" spans="1:15" ht="27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-2257336.3500000006</v>
      </c>
      <c r="I27" s="138"/>
      <c r="J27" s="175">
        <f>H27/DAY(B2)</f>
        <v>-132784.49117647062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-691417.68799999729</v>
      </c>
      <c r="I28" s="140"/>
      <c r="J28" s="175">
        <f>H28/DAY(B2)</f>
        <v>-40671.628705882191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-111836</v>
      </c>
      <c r="I30" s="140"/>
      <c r="J30" s="175">
        <f>H30/DAY(B2)</f>
        <v>-6578.588235294118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182400</v>
      </c>
      <c r="I31" s="140"/>
      <c r="J31" s="175">
        <f>H31/DAY(B2)</f>
        <v>10729.411764705883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-2878190.0379999978</v>
      </c>
      <c r="I32" s="144"/>
      <c r="J32" s="175">
        <f>H32/DAY(B2)</f>
        <v>-169305.29635294105</v>
      </c>
      <c r="K32" s="63"/>
      <c r="L32" s="89"/>
      <c r="N32" s="87"/>
      <c r="O32" s="71"/>
    </row>
    <row r="33" spans="1:15" ht="27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149130.62</v>
      </c>
      <c r="I35" s="95"/>
      <c r="J35" s="175">
        <f>H35/DAY(B2)</f>
        <v>8772.3894117647051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-9984.2799999999988</v>
      </c>
      <c r="I36" s="95"/>
      <c r="J36" s="175">
        <f>H36/DAY(B2)</f>
        <v>-587.31058823529406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185501.33000000002</v>
      </c>
      <c r="I37" s="95"/>
      <c r="J37" s="175">
        <f>H37/DAY(B2)</f>
        <v>10911.842941176472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221473.73</v>
      </c>
      <c r="I38" s="95"/>
      <c r="J38" s="175">
        <f>H38/DAY(B2)</f>
        <v>13027.866470588237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396395.70999999996</v>
      </c>
      <c r="I39" s="95"/>
      <c r="J39" s="175">
        <f>H39/DAY(B2)</f>
        <v>23317.394705882351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49">
        <v>13361</v>
      </c>
      <c r="G40" s="112">
        <f t="shared" si="3"/>
        <v>450</v>
      </c>
      <c r="H40" s="99">
        <f>G40+'16'!H40</f>
        <v>-8755.9900000000016</v>
      </c>
      <c r="I40" s="95"/>
      <c r="J40" s="175">
        <f>H40/DAY(B2)</f>
        <v>-515.05823529411771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-62.73</v>
      </c>
      <c r="I41" s="95"/>
      <c r="J41" s="175">
        <f>H41/DAY(B2)</f>
        <v>-3.69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-26321.14</v>
      </c>
      <c r="I42" s="95"/>
      <c r="J42" s="175">
        <f>H42/DAY(B2)</f>
        <v>-1548.3023529411764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-29808.450000000012</v>
      </c>
      <c r="I43" s="95"/>
      <c r="J43" s="175">
        <f>H43/DAY(B2)</f>
        <v>-1753.4382352941184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877568.80000000016</v>
      </c>
      <c r="I47" s="95"/>
      <c r="J47" s="175">
        <f>H47/DAY(B2)</f>
        <v>51621.694117647072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271709.42</v>
      </c>
      <c r="I49" s="95"/>
      <c r="J49" s="175">
        <f>H49/DAY(B2)</f>
        <v>15982.907058823528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-15262.099999999999</v>
      </c>
      <c r="I50" s="95"/>
      <c r="J50" s="175">
        <f>H50/DAY(B2)</f>
        <v>-897.77058823529399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1395.2799999999997</v>
      </c>
      <c r="I54" s="95"/>
      <c r="J54" s="175">
        <f>H54/DAY(B2)</f>
        <v>82.075294117647047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-19616.940000000002</v>
      </c>
      <c r="I55" s="95"/>
      <c r="J55" s="175">
        <f>H55/DAY(B2)</f>
        <v>-1153.9376470588236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-2779.61</v>
      </c>
      <c r="I58" s="95"/>
      <c r="J58" s="175">
        <f>H58/DAY(B2)</f>
        <v>-163.50647058823529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235446.05</v>
      </c>
      <c r="I59" s="95">
        <f>G7-G60</f>
        <v>1269.6000000000095</v>
      </c>
      <c r="J59" s="175">
        <f>H59/DAY(B2)</f>
        <v>13849.767647058823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1113014.8500000001</v>
      </c>
      <c r="I60" s="95">
        <f>G13-G60</f>
        <v>784.2400000000016</v>
      </c>
      <c r="J60" s="175">
        <f>H60/DAY(B2)</f>
        <v>65471.461764705891</v>
      </c>
      <c r="K60" s="79"/>
      <c r="L60" s="66"/>
      <c r="N60" s="87"/>
      <c r="O60" s="71"/>
    </row>
    <row r="61" spans="1:15" s="68" customFormat="1" ht="27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84" t="s">
        <v>198</v>
      </c>
      <c r="B62" s="885"/>
      <c r="C62" s="886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-1277</v>
      </c>
      <c r="I62" s="118"/>
      <c r="J62" s="175">
        <f>H62/DAY(B2)</f>
        <v>-75.117647058823536</v>
      </c>
      <c r="K62" s="80"/>
      <c r="L62" s="66"/>
      <c r="N62" s="87"/>
      <c r="O62" s="71"/>
    </row>
    <row r="63" spans="1:15" ht="27.75" customHeight="1">
      <c r="A63" s="884" t="s">
        <v>199</v>
      </c>
      <c r="B63" s="885"/>
      <c r="C63" s="886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-1679</v>
      </c>
      <c r="I63" s="118"/>
      <c r="J63" s="175">
        <f>H63/DAY(B2)</f>
        <v>-98.764705882352942</v>
      </c>
      <c r="K63" s="69"/>
      <c r="L63" s="66"/>
      <c r="N63" s="87"/>
      <c r="O63" s="71"/>
    </row>
    <row r="64" spans="1:15" ht="27.75" customHeight="1">
      <c r="A64" s="893" t="s">
        <v>200</v>
      </c>
      <c r="B64" s="894"/>
      <c r="C64" s="895"/>
      <c r="D64" s="151"/>
      <c r="E64" s="95">
        <f>'16'!F64</f>
        <v>0</v>
      </c>
      <c r="F64" s="122"/>
      <c r="G64" s="112">
        <f>G62+G63</f>
        <v>150</v>
      </c>
      <c r="H64" s="99">
        <f>G64+'16'!H64</f>
        <v>-2956</v>
      </c>
      <c r="I64" s="118"/>
      <c r="J64" s="175">
        <f>H64/DAY(B2)</f>
        <v>-173.88235294117646</v>
      </c>
      <c r="K64" s="69"/>
      <c r="L64" s="66"/>
      <c r="N64" s="87"/>
      <c r="O64" s="71"/>
    </row>
    <row r="65" spans="1:15" ht="27.75" customHeight="1">
      <c r="A65" s="884" t="s">
        <v>201</v>
      </c>
      <c r="B65" s="885"/>
      <c r="C65" s="886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-1131</v>
      </c>
      <c r="I65" s="118"/>
      <c r="J65" s="175">
        <f>H65/DAY(B2)</f>
        <v>-66.529411764705884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-235</v>
      </c>
      <c r="I66" s="118"/>
      <c r="J66" s="175">
        <f>H66/DAY(B2)</f>
        <v>-13.823529411764707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-326</v>
      </c>
      <c r="I67" s="118"/>
      <c r="J67" s="175">
        <f>H67/DAY(B2)</f>
        <v>-19.176470588235293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-639</v>
      </c>
      <c r="I68" s="118"/>
      <c r="J68" s="175">
        <f>H68/DAY(B2)</f>
        <v>-37.588235294117645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-164</v>
      </c>
      <c r="I69" s="118"/>
      <c r="J69" s="175">
        <f>H69/DAY(B2)</f>
        <v>-9.6470588235294112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-129</v>
      </c>
      <c r="I70" s="118"/>
      <c r="J70" s="175">
        <f>H70/DAY(B2)</f>
        <v>-7.5882352941176467</v>
      </c>
      <c r="K70" s="69"/>
      <c r="L70" s="66"/>
      <c r="N70" s="87"/>
      <c r="O70" s="71"/>
    </row>
    <row r="71" spans="1:15" ht="27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135</v>
      </c>
      <c r="H71" s="99">
        <f>G71+'16'!H71</f>
        <v>-2624</v>
      </c>
      <c r="I71" s="154"/>
      <c r="J71" s="175">
        <f>H71/DAY(B2)</f>
        <v>-154.35294117647058</v>
      </c>
      <c r="K71" s="69"/>
      <c r="L71" s="66"/>
      <c r="N71" s="87"/>
      <c r="O71" s="71"/>
    </row>
    <row r="72" spans="1:15" s="88" customFormat="1" ht="27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84" t="s">
        <v>220</v>
      </c>
      <c r="B74" s="885"/>
      <c r="C74" s="886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-4225.2489999999525</v>
      </c>
      <c r="I74" s="154"/>
      <c r="J74" s="175">
        <f>H74/DAY(B2)</f>
        <v>-248.54405882352663</v>
      </c>
      <c r="K74" s="69"/>
      <c r="L74" s="66"/>
      <c r="N74" s="87"/>
      <c r="O74" s="71"/>
    </row>
    <row r="75" spans="1:15" ht="27.75" customHeight="1">
      <c r="A75" s="884" t="s">
        <v>221</v>
      </c>
      <c r="B75" s="885"/>
      <c r="C75" s="886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81" t="s">
        <v>222</v>
      </c>
      <c r="B76" s="882"/>
      <c r="C76" s="883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-1344.5</v>
      </c>
      <c r="I76" s="154"/>
      <c r="J76" s="175">
        <f>H76/DAY(B2)</f>
        <v>-79.088235294117652</v>
      </c>
      <c r="K76" s="69"/>
      <c r="L76" s="66"/>
      <c r="N76" s="87"/>
      <c r="O76" s="71"/>
    </row>
    <row r="77" spans="1:15" ht="27.75" customHeight="1">
      <c r="A77" s="881" t="s">
        <v>223</v>
      </c>
      <c r="B77" s="882"/>
      <c r="C77" s="883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-480.89999999999418</v>
      </c>
      <c r="I77" s="154"/>
      <c r="J77" s="175">
        <f>H77/DAY(B2)</f>
        <v>-28.288235294117303</v>
      </c>
      <c r="K77" s="69"/>
      <c r="L77" s="66"/>
      <c r="N77" s="87"/>
      <c r="O77" s="71"/>
    </row>
    <row r="78" spans="1:15" ht="27.75" customHeight="1">
      <c r="A78" s="881" t="s">
        <v>224</v>
      </c>
      <c r="B78" s="882"/>
      <c r="C78" s="883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-17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customHeight="1">
      <c r="A79" s="881" t="s">
        <v>225</v>
      </c>
      <c r="B79" s="882"/>
      <c r="C79" s="883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-7228.8450000000012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-163.86999999999989</v>
      </c>
      <c r="I85" s="118">
        <f>G82+G83+G84+G85</f>
        <v>0.26000000000203727</v>
      </c>
      <c r="J85" s="175">
        <f>H85/DAY(B2)</f>
        <v>-9.6394117647058764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-169.95999999999913</v>
      </c>
      <c r="I86" s="118"/>
      <c r="J86" s="175">
        <f>H86/DAY(B2)</f>
        <v>-9.9976470588234783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5.0000000002910383E-2</v>
      </c>
      <c r="I87" s="118"/>
      <c r="J87" s="175">
        <f>H87/DAY(B2)</f>
        <v>2.9411764707594342E-3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-4.1399999999994179</v>
      </c>
      <c r="I88" s="118">
        <f>G86+G87+G88</f>
        <v>24.040000000000873</v>
      </c>
      <c r="J88" s="175">
        <f>H88/DAY(B2)</f>
        <v>-0.24352941176467163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-126.48999999999796</v>
      </c>
      <c r="I89" s="118"/>
      <c r="J89" s="175">
        <f>H89/DAY(B2)</f>
        <v>-7.4405882352939976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-32.320000000006985</v>
      </c>
      <c r="I90" s="118">
        <f>G89+G90</f>
        <v>8.3799999999973807</v>
      </c>
      <c r="J90" s="175">
        <f>H90/DAY(B2)</f>
        <v>-1.9011764705886463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-24.769999999999982</v>
      </c>
      <c r="I91" s="165"/>
      <c r="J91" s="175">
        <f>H91/DAY(B2)</f>
        <v>-1.4570588235294106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-125.80999999999949</v>
      </c>
      <c r="I92" s="165"/>
      <c r="J92" s="175">
        <f>H92/DAY(B2)</f>
        <v>-7.4005882352940873</v>
      </c>
      <c r="O92" s="71"/>
    </row>
    <row r="93" spans="1:15" ht="27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391031.58999999997</v>
      </c>
      <c r="I94" s="118"/>
      <c r="J94" s="175">
        <f>H94/DAY(B2)</f>
        <v>23001.858235294116</v>
      </c>
      <c r="K94" s="69"/>
      <c r="L94" s="66"/>
      <c r="O94" s="71"/>
    </row>
    <row r="95" spans="1:15" ht="27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0.28104503265727027</v>
      </c>
      <c r="H95" s="99">
        <f>G95+'16'!H95</f>
        <v>3.6827955000287176</v>
      </c>
      <c r="I95" s="167"/>
      <c r="J95" s="175">
        <f>H95/DAY(B2)</f>
        <v>0.21663502941345397</v>
      </c>
      <c r="K95" s="69"/>
      <c r="L95" s="66"/>
      <c r="O95" s="71"/>
    </row>
    <row r="96" spans="1:15" ht="27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-46000.810000000019</v>
      </c>
      <c r="I96" s="118"/>
      <c r="J96" s="175">
        <f>H96/DAY(B2)</f>
        <v>-2705.9300000000012</v>
      </c>
      <c r="K96" s="69"/>
      <c r="L96" s="66"/>
      <c r="O96" s="71"/>
    </row>
    <row r="97" spans="1:15" ht="27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0.17217657843474266</v>
      </c>
      <c r="H97" s="99">
        <f>G97+'16'!H97</f>
        <v>3.0048481386701384</v>
      </c>
      <c r="I97" s="167"/>
      <c r="J97" s="175">
        <f>H97/DAY(B2)</f>
        <v>0.17675577286294933</v>
      </c>
      <c r="K97" s="69"/>
      <c r="L97" s="66"/>
      <c r="O97" s="71"/>
    </row>
    <row r="98" spans="1:15" ht="27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2698</v>
      </c>
      <c r="H98" s="99">
        <f>G98+'16'!H98</f>
        <v>396395.70999999996</v>
      </c>
      <c r="I98" s="168"/>
      <c r="J98" s="175">
        <f>H98/DAY(B2)</f>
        <v>23317.394705882351</v>
      </c>
      <c r="K98" s="69"/>
      <c r="L98" s="66"/>
      <c r="O98" s="71"/>
    </row>
    <row r="99" spans="1:15" ht="27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0.15457774722126733</v>
      </c>
      <c r="H99" s="99">
        <f>G99+'16'!H99</f>
        <v>1.6601941818097325</v>
      </c>
      <c r="I99" s="168"/>
      <c r="J99" s="175">
        <f>H99/DAY(B2)</f>
        <v>9.7658481282925438E-2</v>
      </c>
      <c r="O99" s="71"/>
    </row>
    <row r="100" spans="1:15" ht="27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221473.73</v>
      </c>
      <c r="I100" s="118"/>
      <c r="J100" s="175">
        <f>H100/DAY(B2)</f>
        <v>13027.866470588237</v>
      </c>
      <c r="K100" s="70"/>
      <c r="O100" s="71"/>
    </row>
    <row r="101" spans="1:15" ht="27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1.1239928935028585</v>
      </c>
      <c r="I101" s="168"/>
      <c r="J101" s="175">
        <f>H101/DAY(B2)</f>
        <v>6.6117229029579908E-2</v>
      </c>
      <c r="O101" s="71"/>
    </row>
    <row r="102" spans="1:15" ht="27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-25246.379999999997</v>
      </c>
      <c r="I102" s="168"/>
      <c r="J102" s="175">
        <f>H102/DAY(B2)</f>
        <v>-1485.0811764705882</v>
      </c>
      <c r="O102" s="71"/>
    </row>
    <row r="103" spans="1:15" ht="27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1.6519570792776335</v>
      </c>
      <c r="I103" s="118"/>
      <c r="J103" s="175">
        <f>H103/DAY(B2)</f>
        <v>9.717394583986079E-2</v>
      </c>
      <c r="O103" s="71"/>
    </row>
    <row r="104" spans="1:15" ht="27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1510.42</v>
      </c>
      <c r="H104" s="99">
        <f>G104+'16'!H104</f>
        <v>185501.33000000002</v>
      </c>
      <c r="I104" s="118"/>
      <c r="J104" s="175">
        <f>H104/DAY(B2)</f>
        <v>10911.842941176472</v>
      </c>
      <c r="O104" s="71"/>
    </row>
    <row r="105" spans="1:15" ht="27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1.0607447756599897</v>
      </c>
      <c r="I105" s="187"/>
      <c r="J105" s="188">
        <f>H105/DAY(B2)</f>
        <v>6.2396751509411159E-2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>
      <c r="A109" s="901"/>
      <c r="B109" s="901"/>
    </row>
    <row r="110" spans="1:15" ht="27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63" t="s">
        <v>252</v>
      </c>
      <c r="B112" s="864"/>
      <c r="C112" s="865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-1090</v>
      </c>
      <c r="I112" s="165"/>
      <c r="J112" s="328">
        <f>H112/DAY(B2)</f>
        <v>-64.117647058823536</v>
      </c>
    </row>
    <row r="113" spans="1:18" ht="27.75" customHeight="1">
      <c r="A113" s="863" t="s">
        <v>253</v>
      </c>
      <c r="B113" s="864"/>
      <c r="C113" s="865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-6540.0500000000029</v>
      </c>
      <c r="I113" s="165"/>
      <c r="J113" s="328">
        <f>H113/DAY(B2)</f>
        <v>-384.70882352941192</v>
      </c>
    </row>
    <row r="114" spans="1:18" ht="27.75" customHeight="1">
      <c r="A114" s="863" t="s">
        <v>254</v>
      </c>
      <c r="B114" s="864"/>
      <c r="C114" s="865"/>
      <c r="D114" s="146" t="s">
        <v>183</v>
      </c>
      <c r="E114" s="95">
        <f>'16'!F114</f>
        <v>29108</v>
      </c>
      <c r="F114" s="499">
        <v>29371</v>
      </c>
      <c r="G114" s="112">
        <f t="shared" si="9"/>
        <v>263</v>
      </c>
      <c r="H114" s="99">
        <f>G114+'16'!H114</f>
        <v>-3922.6000000000004</v>
      </c>
      <c r="I114" s="165"/>
      <c r="J114" s="328">
        <f>H114/DAY(B2)</f>
        <v>-230.74117647058824</v>
      </c>
    </row>
    <row r="115" spans="1:18" ht="27.75" customHeight="1">
      <c r="A115" s="863" t="s">
        <v>255</v>
      </c>
      <c r="B115" s="864"/>
      <c r="C115" s="865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-136.44999999999891</v>
      </c>
      <c r="I115" s="165"/>
      <c r="J115" s="328">
        <f>H115/DAY(B2)</f>
        <v>-8.0264705882352292</v>
      </c>
    </row>
    <row r="116" spans="1:18" ht="27.75" customHeight="1">
      <c r="A116" s="870" t="s">
        <v>96</v>
      </c>
      <c r="B116" s="871"/>
      <c r="C116" s="872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63"/>
      <c r="R116" s="865"/>
    </row>
    <row r="117" spans="1:18" ht="27.75" customHeight="1">
      <c r="A117" s="870" t="s">
        <v>184</v>
      </c>
      <c r="B117" s="871"/>
      <c r="C117" s="872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-337.98</v>
      </c>
      <c r="I117" s="165"/>
      <c r="J117" s="328">
        <f>H117/DAY(B2)</f>
        <v>-19.881176470588237</v>
      </c>
      <c r="Q117" s="863"/>
      <c r="R117" s="865"/>
    </row>
    <row r="118" spans="1:18" ht="27.75" customHeight="1">
      <c r="A118" s="862" t="s">
        <v>97</v>
      </c>
      <c r="B118" s="862"/>
      <c r="C118" s="862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-4768.3099999999977</v>
      </c>
      <c r="I118" s="165"/>
      <c r="J118" s="328">
        <f>H118/DAY(B2)</f>
        <v>-280.4888235294116</v>
      </c>
      <c r="Q118" s="863"/>
      <c r="R118" s="865"/>
    </row>
    <row r="119" spans="1:18" ht="27.75" customHeight="1">
      <c r="A119" s="862" t="s">
        <v>98</v>
      </c>
      <c r="B119" s="862"/>
      <c r="C119" s="862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-5907.5499999999884</v>
      </c>
      <c r="I119" s="165"/>
      <c r="J119" s="328">
        <f>H119/DAY(B2)</f>
        <v>-347.5029411764699</v>
      </c>
    </row>
    <row r="120" spans="1:18" ht="27.75" customHeight="1">
      <c r="A120" s="862" t="s">
        <v>99</v>
      </c>
      <c r="B120" s="862"/>
      <c r="C120" s="862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-5814.2099999999991</v>
      </c>
      <c r="I120" s="165"/>
      <c r="J120" s="328">
        <f>H120/DAY(B2)</f>
        <v>-342.0123529411764</v>
      </c>
    </row>
    <row r="121" spans="1:18" ht="27.75" customHeight="1">
      <c r="A121" s="862" t="s">
        <v>100</v>
      </c>
      <c r="B121" s="862"/>
      <c r="C121" s="862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-9606.429999999993</v>
      </c>
      <c r="I121" s="165"/>
      <c r="J121" s="328">
        <f>H121/DAY(B2)</f>
        <v>-565.08411764705841</v>
      </c>
    </row>
    <row r="122" spans="1:18" ht="27.75" customHeight="1">
      <c r="A122" s="862" t="s">
        <v>101</v>
      </c>
      <c r="B122" s="862"/>
      <c r="C122" s="862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-2652.7399999999907</v>
      </c>
      <c r="I122" s="165"/>
      <c r="J122" s="328">
        <f>H122/DAY(B2)</f>
        <v>-156.04352941176415</v>
      </c>
    </row>
    <row r="123" spans="1:18" ht="27.75" customHeight="1">
      <c r="A123" s="862" t="s">
        <v>102</v>
      </c>
      <c r="B123" s="862"/>
      <c r="C123" s="862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-3809.320000000007</v>
      </c>
      <c r="I123" s="165"/>
      <c r="J123" s="328">
        <f>H123/DAY(B2)</f>
        <v>-224.07764705882394</v>
      </c>
    </row>
    <row r="124" spans="1:18" ht="27.75" customHeight="1">
      <c r="A124" s="867"/>
      <c r="B124" s="868"/>
      <c r="C124" s="869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>
      <c r="A127" s="852"/>
      <c r="B127" s="85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63" t="s">
        <v>318</v>
      </c>
      <c r="B128" s="864"/>
      <c r="C128" s="865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-4342.0999999999985</v>
      </c>
      <c r="I128" s="165"/>
      <c r="J128" s="328">
        <f>H128/DAY(B2)</f>
        <v>-255.41764705882343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-2826.9699999999975</v>
      </c>
      <c r="I129" s="165"/>
      <c r="J129" s="328">
        <f>H129/DAY(B2)</f>
        <v>-166.29235294117632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-7244.5499999999993</v>
      </c>
      <c r="I130" s="165"/>
      <c r="J130" s="328">
        <f>H130/DAY(B2)</f>
        <v>-426.15</v>
      </c>
      <c r="N130" s="240"/>
      <c r="O130" s="241"/>
    </row>
    <row r="131" spans="1:15" ht="27.75" customHeight="1">
      <c r="A131" s="863" t="s">
        <v>321</v>
      </c>
      <c r="B131" s="864"/>
      <c r="C131" s="865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-941.71000000000095</v>
      </c>
      <c r="I131" s="165"/>
      <c r="J131" s="328">
        <f>H131/DAY(B2)</f>
        <v>-55.394705882352994</v>
      </c>
      <c r="N131" s="240"/>
      <c r="O131" s="241"/>
    </row>
    <row r="132" spans="1:15" ht="27.75" customHeight="1">
      <c r="A132" s="863" t="s">
        <v>322</v>
      </c>
      <c r="B132" s="864"/>
      <c r="C132" s="865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-2544.3000000000029</v>
      </c>
      <c r="I132" s="165"/>
      <c r="J132" s="328">
        <f>H132/DAY(B2)</f>
        <v>-149.6647058823531</v>
      </c>
    </row>
    <row r="133" spans="1:15" ht="27.75" customHeight="1">
      <c r="A133" s="863" t="s">
        <v>362</v>
      </c>
      <c r="B133" s="864"/>
      <c r="C133" s="865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-7261.0999999999913</v>
      </c>
      <c r="I133" s="165"/>
      <c r="J133" s="328">
        <f>H133/DAY(B2)</f>
        <v>-427.1235294117642</v>
      </c>
    </row>
    <row r="134" spans="1:15" ht="27.75" customHeight="1">
      <c r="A134" s="863" t="s">
        <v>340</v>
      </c>
      <c r="B134" s="864"/>
      <c r="C134" s="865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668751.77</v>
      </c>
      <c r="I134" s="165"/>
      <c r="J134" s="328">
        <f>H134/DAY(B2)</f>
        <v>39338.339411764704</v>
      </c>
    </row>
    <row r="135" spans="1:15" ht="27.7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629545.04</v>
      </c>
      <c r="I135" s="327">
        <f>G135-(G35+G49)</f>
        <v>-379.38999999999214</v>
      </c>
      <c r="J135" s="328"/>
    </row>
    <row r="136" spans="1:15" ht="27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62" t="s">
        <v>185</v>
      </c>
      <c r="B138" s="862"/>
      <c r="C138" s="862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-944</v>
      </c>
      <c r="I138" s="118"/>
      <c r="J138" s="328">
        <f>H138/DAY(B2)</f>
        <v>-55.529411764705884</v>
      </c>
    </row>
    <row r="139" spans="1:15" ht="27.75" customHeight="1">
      <c r="A139" s="862" t="s">
        <v>186</v>
      </c>
      <c r="B139" s="862"/>
      <c r="C139" s="862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-23</v>
      </c>
      <c r="I139" s="118"/>
      <c r="J139" s="328">
        <f>H139/DAY(B2)</f>
        <v>-1.3529411764705883</v>
      </c>
    </row>
    <row r="140" spans="1:15" ht="27.75" customHeight="1">
      <c r="A140" s="862" t="s">
        <v>187</v>
      </c>
      <c r="B140" s="862"/>
      <c r="C140" s="862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-24</v>
      </c>
      <c r="I140" s="118"/>
      <c r="J140" s="328">
        <f>H140/DAY(B2)</f>
        <v>-1.411764705882353</v>
      </c>
    </row>
    <row r="141" spans="1:15" ht="27.75" customHeight="1">
      <c r="A141" s="843" t="s">
        <v>188</v>
      </c>
      <c r="B141" s="843"/>
      <c r="C141" s="843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-2450.7799999999988</v>
      </c>
      <c r="I141" s="118"/>
      <c r="J141" s="328">
        <f>H141/DAY(B2)</f>
        <v>-144.16352941176464</v>
      </c>
    </row>
    <row r="142" spans="1:15" ht="27.75" customHeight="1">
      <c r="A142" s="843" t="s">
        <v>189</v>
      </c>
      <c r="B142" s="843"/>
      <c r="C142" s="843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-1087.0099999999984</v>
      </c>
      <c r="I142" s="140"/>
      <c r="J142" s="328">
        <f>H142/DAY(B2)</f>
        <v>-63.941764705882257</v>
      </c>
    </row>
    <row r="143" spans="1:15" ht="27.75" customHeight="1">
      <c r="A143" s="862" t="s">
        <v>91</v>
      </c>
      <c r="B143" s="862"/>
      <c r="C143" s="862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-368.87999999999965</v>
      </c>
      <c r="I143" s="140"/>
      <c r="J143" s="328">
        <f>H143/DAY(B2)</f>
        <v>-21.698823529411744</v>
      </c>
    </row>
    <row r="144" spans="1:15" ht="27.75" customHeight="1">
      <c r="A144" s="843" t="s">
        <v>90</v>
      </c>
      <c r="B144" s="843"/>
      <c r="C144" s="843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-2964</v>
      </c>
      <c r="I144" s="140"/>
      <c r="J144" s="328">
        <f>H144/DAY(B2)</f>
        <v>-174.35294117647058</v>
      </c>
    </row>
    <row r="145" spans="1:10" ht="27.75" customHeight="1">
      <c r="A145" s="862" t="s">
        <v>190</v>
      </c>
      <c r="B145" s="862"/>
      <c r="C145" s="862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-146.5</v>
      </c>
      <c r="I145" s="140"/>
      <c r="J145" s="328">
        <f>H145/DAY(B2)</f>
        <v>-8.617647058823529</v>
      </c>
    </row>
    <row r="146" spans="1:10" ht="27.75" customHeight="1">
      <c r="A146" s="897" t="s">
        <v>191</v>
      </c>
      <c r="B146" s="882"/>
      <c r="C146" s="883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-5577</v>
      </c>
      <c r="I146" s="140"/>
      <c r="J146" s="328">
        <f>H146/DAY(B2)</f>
        <v>-328.05882352941177</v>
      </c>
    </row>
    <row r="147" spans="1:10" ht="27.75" customHeight="1">
      <c r="A147" s="843" t="s">
        <v>192</v>
      </c>
      <c r="B147" s="843"/>
      <c r="C147" s="843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-5103.5200000000186</v>
      </c>
      <c r="I147" s="140"/>
      <c r="J147" s="328">
        <f>H147/DAY(B2)</f>
        <v>-300.20705882353053</v>
      </c>
    </row>
    <row r="148" spans="1:10" ht="27.75" customHeight="1">
      <c r="A148" s="844" t="s">
        <v>193</v>
      </c>
      <c r="B148" s="845"/>
      <c r="C148" s="846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-2582.9599999999627</v>
      </c>
      <c r="I148" s="124"/>
      <c r="J148" s="328">
        <f>H148/DAY(B2)</f>
        <v>-151.93882352940958</v>
      </c>
    </row>
    <row r="149" spans="1:10" ht="27.75" customHeight="1">
      <c r="A149" s="844" t="s">
        <v>336</v>
      </c>
      <c r="B149" s="845"/>
      <c r="C149" s="846"/>
      <c r="D149" s="227" t="s">
        <v>130</v>
      </c>
      <c r="E149" s="95">
        <f>'16'!F149</f>
        <v>17345</v>
      </c>
      <c r="F149" s="498">
        <v>17791.439999999999</v>
      </c>
      <c r="G149" s="112">
        <f t="shared" si="11"/>
        <v>446.43999999999869</v>
      </c>
      <c r="H149" s="99">
        <f>G149+'16'!H149</f>
        <v>-6886.760000000002</v>
      </c>
      <c r="I149" s="119"/>
      <c r="J149" s="328">
        <f>H149/DAY(B2)</f>
        <v>-405.10352941176484</v>
      </c>
    </row>
    <row r="150" spans="1:10" ht="27.75" customHeight="1">
      <c r="A150" s="844" t="s">
        <v>337</v>
      </c>
      <c r="B150" s="845"/>
      <c r="C150" s="846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-3098.4300000000003</v>
      </c>
      <c r="I150" s="119"/>
      <c r="J150" s="328">
        <f>H150/DAY(B2)</f>
        <v>-182.26058823529414</v>
      </c>
    </row>
    <row r="151" spans="1:10" ht="27.75" customHeight="1">
      <c r="A151" s="844" t="s">
        <v>338</v>
      </c>
      <c r="B151" s="845"/>
      <c r="C151" s="846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-3324</v>
      </c>
      <c r="I151" s="119"/>
      <c r="J151" s="328">
        <f>H151/DAY(B2)</f>
        <v>-195.52941176470588</v>
      </c>
    </row>
    <row r="152" spans="1:10" ht="27.75" customHeight="1">
      <c r="A152" s="844" t="s">
        <v>339</v>
      </c>
      <c r="B152" s="845"/>
      <c r="C152" s="846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-240.09999999999991</v>
      </c>
      <c r="I152" s="119"/>
      <c r="J152" s="328">
        <f>H152/DAY(B2)</f>
        <v>-14.1235294117647</v>
      </c>
    </row>
    <row r="153" spans="1:10" ht="27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>
      <c r="A155" s="843" t="s">
        <v>345</v>
      </c>
      <c r="B155" s="843"/>
      <c r="C155" s="843"/>
      <c r="D155" s="117" t="s">
        <v>130</v>
      </c>
      <c r="E155" s="95">
        <f>'16'!F155</f>
        <v>22693</v>
      </c>
      <c r="F155" s="471">
        <v>23303</v>
      </c>
      <c r="G155" s="112">
        <f t="shared" ref="G155:G156" si="12">F155-E155</f>
        <v>610</v>
      </c>
      <c r="H155" s="99">
        <f>G155+'16'!H155</f>
        <v>-9642</v>
      </c>
      <c r="I155" s="364"/>
      <c r="J155" s="328">
        <f>H155/DAY(B2)</f>
        <v>-567.17647058823525</v>
      </c>
    </row>
    <row r="156" spans="1:10" ht="27.75" customHeight="1">
      <c r="A156" s="843" t="s">
        <v>347</v>
      </c>
      <c r="B156" s="843"/>
      <c r="C156" s="843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-834</v>
      </c>
      <c r="I156" s="165"/>
      <c r="J156" s="328">
        <f>H156/DAY(B2)</f>
        <v>-49.058823529411768</v>
      </c>
    </row>
    <row r="157" spans="1:10" ht="27.75" customHeight="1">
      <c r="A157" s="844" t="s">
        <v>363</v>
      </c>
      <c r="B157" s="845"/>
      <c r="C157" s="846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>
      <c r="A158" s="844" t="s">
        <v>364</v>
      </c>
      <c r="B158" s="845"/>
      <c r="C158" s="846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27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-607.55999999999767</v>
      </c>
      <c r="I161" s="236"/>
      <c r="J161" s="239">
        <f>H161/DAY(B2)</f>
        <v>-35.738823529411626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-463.39999999999418</v>
      </c>
      <c r="I162" s="236"/>
      <c r="J162" s="239">
        <f>H162/DAY(B2)</f>
        <v>-27.258823529411423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-647.40000000000873</v>
      </c>
      <c r="I163" s="236"/>
      <c r="J163" s="239">
        <f>H163/DAY(B2)</f>
        <v>-38.082352941176985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-49.100000000000364</v>
      </c>
      <c r="I164" s="236"/>
      <c r="J164" s="239">
        <f>H164/DAY(B2)</f>
        <v>-2.8882352941176683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-102.79999999999927</v>
      </c>
      <c r="I165" s="236"/>
      <c r="J165" s="239">
        <f>H165/DAY(B2)</f>
        <v>-6.047058823529369</v>
      </c>
    </row>
    <row r="166" spans="1:10" ht="27.75" customHeight="1">
      <c r="A166" s="852"/>
      <c r="B166" s="85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>
      <c r="A167" s="852"/>
      <c r="B167" s="85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>
      <c r="A168" s="852"/>
      <c r="B168" s="85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56" t="s">
        <v>209</v>
      </c>
      <c r="B173" s="857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>
      <c r="A174" s="856" t="s">
        <v>75</v>
      </c>
      <c r="B174" s="857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-171</v>
      </c>
      <c r="I174" s="155"/>
      <c r="J174" s="178">
        <f>H174/DAY(B2)</f>
        <v>-10.058823529411764</v>
      </c>
    </row>
    <row r="175" spans="1:10" ht="27.75" customHeight="1">
      <c r="A175" s="856" t="s">
        <v>76</v>
      </c>
      <c r="B175" s="896"/>
      <c r="C175" s="857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-140</v>
      </c>
      <c r="I175" s="155"/>
      <c r="J175" s="178">
        <f>H175/DAY(B2)</f>
        <v>-8.235294117647058</v>
      </c>
    </row>
    <row r="176" spans="1:10" ht="27.75" customHeight="1">
      <c r="A176" s="847" t="s">
        <v>196</v>
      </c>
      <c r="B176" s="848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-311</v>
      </c>
      <c r="I176" s="155"/>
      <c r="J176" s="178">
        <f>H176/DAY(B2)</f>
        <v>-18.294117647058822</v>
      </c>
    </row>
    <row r="177" spans="1:11" ht="27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56" t="s">
        <v>210</v>
      </c>
      <c r="B178" s="857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-726</v>
      </c>
      <c r="I178" s="155"/>
      <c r="J178" s="178">
        <f>H178/DAY(B2)</f>
        <v>-42.705882352941174</v>
      </c>
    </row>
    <row r="179" spans="1:11" ht="27.75" customHeight="1">
      <c r="A179" s="856" t="s">
        <v>211</v>
      </c>
      <c r="B179" s="857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-525</v>
      </c>
      <c r="I179" s="155"/>
      <c r="J179" s="178">
        <f>H179/DAY(B2)</f>
        <v>-30.882352941176471</v>
      </c>
    </row>
    <row r="180" spans="1:11" ht="27.75" customHeight="1">
      <c r="A180" s="856" t="s">
        <v>212</v>
      </c>
      <c r="B180" s="857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-106</v>
      </c>
      <c r="I180" s="155"/>
      <c r="J180" s="178">
        <f>H180/DAY(B2)</f>
        <v>-6.2352941176470589</v>
      </c>
    </row>
    <row r="181" spans="1:11" ht="27.75" customHeight="1">
      <c r="A181" s="858" t="s">
        <v>108</v>
      </c>
      <c r="B181" s="859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-1357</v>
      </c>
      <c r="I181" s="155"/>
      <c r="J181" s="178">
        <f>H181/DAY(B2)</f>
        <v>-79.82352941176471</v>
      </c>
    </row>
    <row r="182" spans="1:11" ht="27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56" t="s">
        <v>214</v>
      </c>
      <c r="B183" s="857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-199</v>
      </c>
      <c r="I183" s="155"/>
      <c r="J183" s="178">
        <f>H183/DAY(B2)</f>
        <v>-11.705882352941176</v>
      </c>
    </row>
    <row r="184" spans="1:11" ht="27.75" customHeight="1">
      <c r="A184" s="856" t="s">
        <v>215</v>
      </c>
      <c r="B184" s="857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-107</v>
      </c>
      <c r="I184" s="155"/>
      <c r="J184" s="178">
        <f>H184/DAY(B2)</f>
        <v>-6.2941176470588234</v>
      </c>
    </row>
    <row r="185" spans="1:11" ht="27.75" customHeight="1">
      <c r="A185" s="856" t="s">
        <v>216</v>
      </c>
      <c r="B185" s="857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47" t="s">
        <v>196</v>
      </c>
      <c r="B186" s="848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-306</v>
      </c>
      <c r="I186" s="157"/>
      <c r="J186" s="178">
        <f>H186/DAY(B2)</f>
        <v>-18</v>
      </c>
    </row>
    <row r="187" spans="1:11" ht="27.75" customHeight="1">
      <c r="A187" s="849" t="s">
        <v>217</v>
      </c>
      <c r="B187" s="850"/>
      <c r="C187" s="333"/>
      <c r="D187" s="228" t="s">
        <v>142</v>
      </c>
      <c r="E187" s="95"/>
      <c r="F187" s="159"/>
      <c r="G187" s="460">
        <f>G62+G19</f>
        <v>119</v>
      </c>
      <c r="H187" s="99">
        <f>G187+'16'!H187</f>
        <v>-2043</v>
      </c>
      <c r="I187" s="158"/>
      <c r="J187" s="179">
        <f>H187/DAY(B2)</f>
        <v>-120.17647058823529</v>
      </c>
    </row>
    <row r="188" spans="1:11" ht="27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88</v>
      </c>
      <c r="H189" s="99">
        <f>G189+'16'!H189</f>
        <v>-1357</v>
      </c>
      <c r="I189" s="158"/>
      <c r="J189" s="179">
        <f>H189/DAY(B2)</f>
        <v>-79.82352941176471</v>
      </c>
    </row>
    <row r="190" spans="1:11" ht="27.75" customHeight="1">
      <c r="A190" s="770"/>
      <c r="B190" s="771"/>
      <c r="C190" s="481"/>
      <c r="D190" s="478"/>
      <c r="E190" s="478"/>
      <c r="F190" s="478"/>
      <c r="G190" s="478"/>
      <c r="H190" s="479"/>
      <c r="I190" s="478"/>
      <c r="J190" s="480"/>
    </row>
    <row r="191" spans="1:11" ht="23.25" customHeight="1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156" sqref="G156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7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.75" customHeight="1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11" t="s">
        <v>119</v>
      </c>
      <c r="F3" s="912"/>
      <c r="G3" s="555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0.9</v>
      </c>
      <c r="E4" s="103"/>
      <c r="F4" s="103"/>
      <c r="G4" s="555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05" t="s">
        <v>128</v>
      </c>
      <c r="B6" s="906"/>
      <c r="C6" s="907"/>
      <c r="D6" s="110"/>
      <c r="E6" s="110"/>
      <c r="F6" s="110"/>
      <c r="G6" s="557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58">
        <f>F7-E7</f>
        <v>17765</v>
      </c>
      <c r="H7" s="99">
        <f>G7+'17'!H7</f>
        <v>-227007.22999999998</v>
      </c>
      <c r="I7" s="113">
        <f>'1'!I7</f>
        <v>12000</v>
      </c>
      <c r="J7" s="175">
        <f>H7/DAY(B2)</f>
        <v>-12611.512777777776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59">
        <f>F8-E8</f>
        <v>18064.830000000016</v>
      </c>
      <c r="H8" s="99">
        <f>G8+'17'!H8</f>
        <v>-232750.32</v>
      </c>
      <c r="I8" s="116"/>
      <c r="J8" s="175">
        <f>H8/DAY(B2)</f>
        <v>-12930.573333333334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98294.9</v>
      </c>
      <c r="F9" s="598">
        <v>109695.53</v>
      </c>
      <c r="G9" s="558">
        <f>F9-E9</f>
        <v>11400.630000000005</v>
      </c>
      <c r="H9" s="99">
        <f>G9+'17'!H9</f>
        <v>2184722.6800000002</v>
      </c>
      <c r="I9" s="124">
        <f>I7-J7</f>
        <v>24611.512777777774</v>
      </c>
      <c r="J9" s="175">
        <f>H9/DAY(B2)</f>
        <v>121373.48222222223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58">
        <f>F10-E10</f>
        <v>5940.4400000000023</v>
      </c>
      <c r="H10" s="99">
        <f>G10+'17'!H10</f>
        <v>547895.21</v>
      </c>
      <c r="I10" s="282"/>
      <c r="J10" s="175">
        <f>H10/DAY(B2)</f>
        <v>30438.622777777775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58">
        <f t="shared" ref="G11:G12" si="0">F11-E11</f>
        <v>170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58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560">
        <f>G9+G10+G11+G12</f>
        <v>17511.070000000007</v>
      </c>
      <c r="H13" s="99">
        <f>G13+'17'!H13</f>
        <v>2715863.46</v>
      </c>
      <c r="I13" s="120">
        <f>G7-G13</f>
        <v>253.92999999999302</v>
      </c>
      <c r="J13" s="175">
        <f>H13/DAY(B2)</f>
        <v>150881.30333333334</v>
      </c>
      <c r="K13" s="79"/>
      <c r="L13" s="66"/>
      <c r="N13" s="87"/>
      <c r="O13" s="71"/>
    </row>
    <row r="14" spans="1:15" ht="27.75" customHeight="1">
      <c r="A14" s="908" t="s">
        <v>137</v>
      </c>
      <c r="B14" s="909"/>
      <c r="C14" s="910"/>
      <c r="D14" s="111"/>
      <c r="E14" s="111"/>
      <c r="F14" s="111"/>
      <c r="G14" s="56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58">
        <f>(F15-E15)</f>
        <v>881.7269999999553</v>
      </c>
      <c r="H15" s="99">
        <f>G15+'17'!H15</f>
        <v>-12414.766999999993</v>
      </c>
      <c r="I15" s="113">
        <f>'1'!I15</f>
        <v>800</v>
      </c>
      <c r="J15" s="175">
        <f>H15/DAY(B2)</f>
        <v>-689.7092777777774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558"/>
      <c r="H16" s="124"/>
      <c r="I16" s="120">
        <f>I15-J15</f>
        <v>1489.7092777777775</v>
      </c>
      <c r="J16" s="176"/>
      <c r="K16" s="79"/>
      <c r="L16" s="66"/>
      <c r="N16" s="87"/>
      <c r="O16" s="71"/>
    </row>
    <row r="17" spans="1:15" ht="27.75" customHeight="1">
      <c r="A17" s="908" t="s">
        <v>140</v>
      </c>
      <c r="B17" s="909"/>
      <c r="C17" s="910"/>
      <c r="D17" s="111"/>
      <c r="E17" s="111"/>
      <c r="F17" s="111"/>
      <c r="G17" s="561"/>
      <c r="H17" s="111"/>
      <c r="I17" s="111"/>
      <c r="J17" s="174"/>
      <c r="K17" s="79"/>
      <c r="L17" s="66"/>
      <c r="N17" s="87"/>
      <c r="O17" s="71"/>
    </row>
    <row r="18" spans="1:15" ht="27.75" customHeight="1">
      <c r="A18" s="884" t="s">
        <v>141</v>
      </c>
      <c r="B18" s="885"/>
      <c r="C18" s="886"/>
      <c r="D18" s="151" t="s">
        <v>142</v>
      </c>
      <c r="E18" s="95">
        <f>'17'!F18</f>
        <v>8</v>
      </c>
      <c r="F18" s="122">
        <v>10</v>
      </c>
      <c r="G18" s="560">
        <f>F18*10</f>
        <v>100</v>
      </c>
      <c r="H18" s="99">
        <f>G18+'17'!H18</f>
        <v>2380</v>
      </c>
      <c r="I18" s="113">
        <f>'1'!I18</f>
        <v>65</v>
      </c>
      <c r="J18" s="175">
        <f>H18/DAY(B2)</f>
        <v>132.22222222222223</v>
      </c>
      <c r="K18" s="79"/>
      <c r="L18" s="66"/>
      <c r="N18" s="87"/>
      <c r="O18" s="71"/>
    </row>
    <row r="19" spans="1:15" ht="27.75" customHeight="1">
      <c r="A19" s="884" t="s">
        <v>69</v>
      </c>
      <c r="B19" s="885"/>
      <c r="C19" s="886"/>
      <c r="D19" s="151" t="s">
        <v>142</v>
      </c>
      <c r="E19" s="95">
        <f>'17'!F19</f>
        <v>153125</v>
      </c>
      <c r="F19" s="122">
        <v>153179</v>
      </c>
      <c r="G19" s="558">
        <f t="shared" ref="G19" si="1">F19-E19</f>
        <v>54</v>
      </c>
      <c r="H19" s="99">
        <f>G19+'17'!H19</f>
        <v>-712</v>
      </c>
      <c r="I19" s="335"/>
      <c r="J19" s="175">
        <f>H19/DAY(B2)</f>
        <v>-39.555555555555557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562">
        <f>G18+G19</f>
        <v>154</v>
      </c>
      <c r="H20" s="99">
        <f>G20+'17'!H20</f>
        <v>1668</v>
      </c>
      <c r="I20" s="336">
        <f>I18-J20</f>
        <v>-27.666666666666671</v>
      </c>
      <c r="J20" s="175">
        <f>H20/DAY(B2)</f>
        <v>92.666666666666671</v>
      </c>
      <c r="K20" s="79"/>
      <c r="L20" s="66"/>
      <c r="N20" s="87"/>
      <c r="O20" s="71"/>
    </row>
    <row r="21" spans="1:15" ht="27.75" customHeight="1">
      <c r="A21" s="908" t="s">
        <v>144</v>
      </c>
      <c r="B21" s="909"/>
      <c r="C21" s="910"/>
      <c r="D21" s="111"/>
      <c r="E21" s="111"/>
      <c r="F21" s="111"/>
      <c r="G21" s="56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0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601">
        <f>'17'!F23</f>
        <v>1500</v>
      </c>
      <c r="F23" s="486">
        <v>1390</v>
      </c>
      <c r="G23" s="68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685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0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>
      <c r="A25" s="913" t="s">
        <v>149</v>
      </c>
      <c r="B25" s="914"/>
      <c r="C25" s="915"/>
      <c r="D25" s="110"/>
      <c r="E25" s="110"/>
      <c r="F25" s="110"/>
      <c r="G25" s="56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56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5">
        <f>E27*F27</f>
        <v>162583.47000000015</v>
      </c>
      <c r="H27" s="99">
        <f>G27+'17'!H27</f>
        <v>-2094752.8800000004</v>
      </c>
      <c r="I27" s="138"/>
      <c r="J27" s="175">
        <f>H27/DAY(B2)</f>
        <v>-116375.16000000002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5">
        <f>E28*F28</f>
        <v>45849.803999997675</v>
      </c>
      <c r="H28" s="99">
        <f>G28+'17'!H28</f>
        <v>-645567.88399999961</v>
      </c>
      <c r="I28" s="140"/>
      <c r="J28" s="175">
        <f>H28/DAY(B2)</f>
        <v>-35864.882444444425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5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5">
        <f>E30*F30</f>
        <v>7884</v>
      </c>
      <c r="H30" s="99">
        <f>G30+'17'!H30</f>
        <v>-103952</v>
      </c>
      <c r="I30" s="140"/>
      <c r="J30" s="175">
        <f>H30/DAY(B2)</f>
        <v>-5775.1111111111113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5">
        <f>E31*F31</f>
        <v>8000</v>
      </c>
      <c r="H31" s="99">
        <f>G31+'17'!H31</f>
        <v>190400</v>
      </c>
      <c r="I31" s="140"/>
      <c r="J31" s="175">
        <f>H31/DAY(B2)</f>
        <v>10577.777777777777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566">
        <f>G27+G28+G29+G30+G31</f>
        <v>231907.27399999782</v>
      </c>
      <c r="H32" s="99">
        <f>G32+'17'!H32</f>
        <v>-2646282.764</v>
      </c>
      <c r="I32" s="144"/>
      <c r="J32" s="175">
        <f>H32/DAY(B2)</f>
        <v>-147015.70911111112</v>
      </c>
      <c r="K32" s="63"/>
      <c r="L32" s="89"/>
      <c r="N32" s="87"/>
      <c r="O32" s="71"/>
    </row>
    <row r="33" spans="1:15" ht="27.75" customHeight="1">
      <c r="A33" s="916" t="s">
        <v>331</v>
      </c>
      <c r="B33" s="917"/>
      <c r="C33" s="917"/>
      <c r="D33" s="337"/>
      <c r="E33" s="337"/>
      <c r="F33" s="337"/>
      <c r="G33" s="56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568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58">
        <f t="shared" ref="G35:G46" si="2">F35-E35</f>
        <v>1391.7600000000002</v>
      </c>
      <c r="H35" s="99">
        <f>G35+'17'!H35</f>
        <v>150522.38</v>
      </c>
      <c r="I35" s="95"/>
      <c r="J35" s="175">
        <f>H35/DAY(B2)</f>
        <v>8362.3544444444451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58">
        <f t="shared" si="2"/>
        <v>600.90000000000146</v>
      </c>
      <c r="H36" s="99">
        <f>G36+'17'!H36</f>
        <v>-9383.3799999999974</v>
      </c>
      <c r="I36" s="95"/>
      <c r="J36" s="175">
        <f>H36/DAY(B2)</f>
        <v>-521.29888888888877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58">
        <f t="shared" si="2"/>
        <v>1562.5499999999993</v>
      </c>
      <c r="H37" s="99">
        <f>G37+'17'!H37</f>
        <v>187063.88</v>
      </c>
      <c r="I37" s="95"/>
      <c r="J37" s="175">
        <f>H37/DAY(B2)</f>
        <v>10392.437777777777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58">
        <f t="shared" si="2"/>
        <v>1696.2999999999993</v>
      </c>
      <c r="H38" s="99">
        <f>G38+'17'!H38</f>
        <v>223170.03</v>
      </c>
      <c r="I38" s="95"/>
      <c r="J38" s="175">
        <f>H38/DAY(B2)</f>
        <v>12398.334999999999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58">
        <f t="shared" si="2"/>
        <v>2546.4900000000016</v>
      </c>
      <c r="H39" s="99">
        <f>G39+'17'!H39</f>
        <v>398942.19999999995</v>
      </c>
      <c r="I39" s="95"/>
      <c r="J39" s="175">
        <f>H39/DAY(B2)</f>
        <v>22163.455555555553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488">
        <f>'17'!F40</f>
        <v>13361</v>
      </c>
      <c r="F40" s="549">
        <v>13643.14</v>
      </c>
      <c r="G40" s="683">
        <f t="shared" si="2"/>
        <v>282.13999999999942</v>
      </c>
      <c r="H40" s="99">
        <f>G40+'17'!H40</f>
        <v>-8473.8500000000022</v>
      </c>
      <c r="I40" s="95"/>
      <c r="J40" s="175">
        <f>H40/DAY(B2)</f>
        <v>-470.76944444444456</v>
      </c>
      <c r="K40" s="80"/>
      <c r="L40" s="66"/>
      <c r="N40" s="87">
        <v>7285</v>
      </c>
      <c r="O40" s="71" t="s">
        <v>367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58">
        <f t="shared" si="2"/>
        <v>0</v>
      </c>
      <c r="H41" s="99">
        <f>G41+'17'!H41</f>
        <v>-62.73</v>
      </c>
      <c r="I41" s="95"/>
      <c r="J41" s="175">
        <f>H41/DAY(B2)</f>
        <v>-3.4849999999999999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58">
        <f t="shared" si="2"/>
        <v>0</v>
      </c>
      <c r="H42" s="99">
        <f>G42+'17'!H42</f>
        <v>-26321.14</v>
      </c>
      <c r="I42" s="95"/>
      <c r="J42" s="175">
        <f>H42/DAY(B2)</f>
        <v>-1462.2855555555554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58">
        <f t="shared" si="2"/>
        <v>2338</v>
      </c>
      <c r="H43" s="99">
        <f>G43+'17'!H43</f>
        <v>-27470.450000000012</v>
      </c>
      <c r="I43" s="95"/>
      <c r="J43" s="175">
        <f>H43/DAY(B2)</f>
        <v>-1526.1361111111119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58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58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58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560">
        <f>G35+G36+G37+G38+G39+G40+G41+G42+G43+G44+G45+G46</f>
        <v>10418.140000000001</v>
      </c>
      <c r="H47" s="99">
        <f>G47+'17'!H47</f>
        <v>887986.94000000018</v>
      </c>
      <c r="I47" s="95"/>
      <c r="J47" s="175">
        <f>H47/DAY(B2)</f>
        <v>49332.60777777779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568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58">
        <f t="shared" ref="G49:G58" si="3">F49-E49</f>
        <v>1242.7199999999993</v>
      </c>
      <c r="H49" s="99">
        <f>G49+'17'!H49</f>
        <v>272952.13999999996</v>
      </c>
      <c r="I49" s="95"/>
      <c r="J49" s="175">
        <f>H49/DAY(B2)</f>
        <v>15164.007777777775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58">
        <f t="shared" si="3"/>
        <v>921.40000000000146</v>
      </c>
      <c r="H50" s="99">
        <f>G50+'17'!H50</f>
        <v>-14340.699999999997</v>
      </c>
      <c r="I50" s="95"/>
      <c r="J50" s="175">
        <f>H50/DAY(B2)</f>
        <v>-796.70555555555541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58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58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58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58">
        <f t="shared" si="3"/>
        <v>357.72000000000025</v>
      </c>
      <c r="H54" s="99">
        <f>G54+'17'!H54</f>
        <v>1753</v>
      </c>
      <c r="I54" s="95"/>
      <c r="J54" s="175">
        <f>H54/DAY(B2)</f>
        <v>97.388888888888886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58">
        <f t="shared" si="3"/>
        <v>3090.5200000000041</v>
      </c>
      <c r="H55" s="99">
        <f>G55+'17'!H55</f>
        <v>-16526.419999999998</v>
      </c>
      <c r="I55" s="95"/>
      <c r="J55" s="175">
        <f>H55/DAY(B2)</f>
        <v>-918.1344444444444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58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58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58">
        <f t="shared" si="3"/>
        <v>131.88000000000011</v>
      </c>
      <c r="H58" s="99">
        <f>G58+'17'!H58</f>
        <v>-2647.73</v>
      </c>
      <c r="I58" s="95"/>
      <c r="J58" s="175">
        <f>H58/DAY(B2)</f>
        <v>-147.0961111111111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560">
        <f>G49+G50+G51+G52+G53+G54+G55+G56+G57+G58</f>
        <v>5744.2400000000052</v>
      </c>
      <c r="H59" s="99">
        <f>G59+'17'!H59</f>
        <v>241190.28999999998</v>
      </c>
      <c r="I59" s="95">
        <f>G7-G60</f>
        <v>1602.6199999999935</v>
      </c>
      <c r="J59" s="175">
        <f>H59/DAY(B2)</f>
        <v>13399.460555555554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560">
        <f>G47+G59</f>
        <v>16162.380000000006</v>
      </c>
      <c r="H60" s="99">
        <f>G60+'17'!H60</f>
        <v>1129177.2300000002</v>
      </c>
      <c r="I60" s="95">
        <f>G13-G60</f>
        <v>1348.6900000000005</v>
      </c>
      <c r="J60" s="175">
        <f>H60/DAY(B2)</f>
        <v>62732.068333333344</v>
      </c>
      <c r="K60" s="79"/>
      <c r="L60" s="66"/>
      <c r="N60" s="87"/>
      <c r="O60" s="71"/>
    </row>
    <row r="61" spans="1:15" s="68" customFormat="1" ht="27.75" customHeight="1">
      <c r="A61" s="918" t="s">
        <v>332</v>
      </c>
      <c r="B61" s="919"/>
      <c r="C61" s="920"/>
      <c r="D61" s="339"/>
      <c r="E61" s="339"/>
      <c r="F61" s="339"/>
      <c r="G61" s="569"/>
      <c r="H61" s="339"/>
      <c r="I61" s="339"/>
      <c r="J61" s="341"/>
      <c r="K61" s="69"/>
      <c r="L61" s="67"/>
      <c r="N61" s="87"/>
      <c r="O61" s="71"/>
    </row>
    <row r="62" spans="1:15" ht="27.75" customHeight="1">
      <c r="A62" s="884" t="s">
        <v>198</v>
      </c>
      <c r="B62" s="885"/>
      <c r="C62" s="886"/>
      <c r="D62" s="151" t="s">
        <v>142</v>
      </c>
      <c r="E62" s="95">
        <f>'17'!F62</f>
        <v>268239</v>
      </c>
      <c r="F62" s="122">
        <v>268308</v>
      </c>
      <c r="G62" s="558">
        <f t="shared" ref="G62:G63" si="4">F62-E62</f>
        <v>69</v>
      </c>
      <c r="H62" s="99">
        <f>G62+'17'!H62</f>
        <v>-1208</v>
      </c>
      <c r="I62" s="118"/>
      <c r="J62" s="175">
        <f>H62/DAY(B2)</f>
        <v>-67.111111111111114</v>
      </c>
      <c r="K62" s="80"/>
      <c r="L62" s="66"/>
      <c r="N62" s="87"/>
      <c r="O62" s="71"/>
    </row>
    <row r="63" spans="1:15" ht="27.75" customHeight="1">
      <c r="A63" s="884" t="s">
        <v>199</v>
      </c>
      <c r="B63" s="885"/>
      <c r="C63" s="886"/>
      <c r="D63" s="151" t="s">
        <v>142</v>
      </c>
      <c r="E63" s="95">
        <f>'17'!F63</f>
        <v>214118</v>
      </c>
      <c r="F63" s="122">
        <v>214242</v>
      </c>
      <c r="G63" s="558">
        <f t="shared" si="4"/>
        <v>124</v>
      </c>
      <c r="H63" s="99">
        <f>G63+'17'!H63</f>
        <v>-1555</v>
      </c>
      <c r="I63" s="118"/>
      <c r="J63" s="175">
        <f>H63/DAY(B2)</f>
        <v>-86.388888888888886</v>
      </c>
      <c r="K63" s="69"/>
      <c r="L63" s="66"/>
      <c r="N63" s="87"/>
      <c r="O63" s="71"/>
    </row>
    <row r="64" spans="1:15" ht="27.75" customHeight="1">
      <c r="A64" s="893" t="s">
        <v>200</v>
      </c>
      <c r="B64" s="894"/>
      <c r="C64" s="895"/>
      <c r="D64" s="151"/>
      <c r="E64" s="95">
        <f>'17'!F64</f>
        <v>0</v>
      </c>
      <c r="F64" s="122"/>
      <c r="G64" s="558">
        <f>G62+G63</f>
        <v>193</v>
      </c>
      <c r="H64" s="99">
        <f>G64+'17'!H64</f>
        <v>-2763</v>
      </c>
      <c r="I64" s="118"/>
      <c r="J64" s="175">
        <f>H64/DAY(B2)</f>
        <v>-153.5</v>
      </c>
      <c r="K64" s="69"/>
      <c r="L64" s="66"/>
      <c r="N64" s="87"/>
      <c r="O64" s="71"/>
    </row>
    <row r="65" spans="1:15" ht="27.75" customHeight="1">
      <c r="A65" s="884" t="s">
        <v>201</v>
      </c>
      <c r="B65" s="885"/>
      <c r="C65" s="886"/>
      <c r="D65" s="151" t="s">
        <v>142</v>
      </c>
      <c r="E65" s="95">
        <f>'17'!F65</f>
        <v>433792</v>
      </c>
      <c r="F65" s="122">
        <v>433856</v>
      </c>
      <c r="G65" s="558">
        <f t="shared" ref="G65:G70" si="5">F65-E65</f>
        <v>64</v>
      </c>
      <c r="H65" s="99">
        <f>G65+'17'!H65</f>
        <v>-1067</v>
      </c>
      <c r="I65" s="118"/>
      <c r="J65" s="175">
        <f>H65/DAY(B2)</f>
        <v>-59.277777777777779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58">
        <f t="shared" si="5"/>
        <v>11</v>
      </c>
      <c r="H66" s="99">
        <f>G66+'17'!H66</f>
        <v>-224</v>
      </c>
      <c r="I66" s="118"/>
      <c r="J66" s="175">
        <f>H66/DAY(B2)</f>
        <v>-12.444444444444445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58">
        <f t="shared" si="5"/>
        <v>22</v>
      </c>
      <c r="H67" s="99">
        <f>G67+'17'!H67</f>
        <v>-304</v>
      </c>
      <c r="I67" s="118"/>
      <c r="J67" s="175">
        <f>H67/DAY(B2)</f>
        <v>-16.888888888888889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58">
        <f t="shared" si="5"/>
        <v>55</v>
      </c>
      <c r="H68" s="99">
        <f>G68+'17'!H68</f>
        <v>-584</v>
      </c>
      <c r="I68" s="118"/>
      <c r="J68" s="175">
        <f>H68/DAY(B2)</f>
        <v>-32.444444444444443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58">
        <f t="shared" si="5"/>
        <v>12</v>
      </c>
      <c r="H69" s="99">
        <f>G69+'17'!H69</f>
        <v>-152</v>
      </c>
      <c r="I69" s="118"/>
      <c r="J69" s="175">
        <f>H69/DAY(B2)</f>
        <v>-8.4444444444444446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58">
        <f t="shared" si="5"/>
        <v>4</v>
      </c>
      <c r="H70" s="99">
        <f>G70+'17'!H70</f>
        <v>-125</v>
      </c>
      <c r="I70" s="118"/>
      <c r="J70" s="175">
        <f>H70/DAY(B2)</f>
        <v>-6.9444444444444446</v>
      </c>
      <c r="K70" s="69"/>
      <c r="L70" s="66"/>
      <c r="N70" s="87"/>
      <c r="O70" s="71"/>
    </row>
    <row r="71" spans="1:15" ht="27.75" customHeight="1">
      <c r="A71" s="893" t="s">
        <v>208</v>
      </c>
      <c r="B71" s="894"/>
      <c r="C71" s="895"/>
      <c r="D71" s="152"/>
      <c r="E71" s="152"/>
      <c r="F71" s="152"/>
      <c r="G71" s="570">
        <f>SUM(G65:G70)</f>
        <v>168</v>
      </c>
      <c r="H71" s="99">
        <f>G71+'17'!H71</f>
        <v>-2456</v>
      </c>
      <c r="I71" s="154"/>
      <c r="J71" s="175">
        <f>H71/DAY(B2)</f>
        <v>-136.44444444444446</v>
      </c>
      <c r="K71" s="69"/>
      <c r="L71" s="66"/>
      <c r="N71" s="87"/>
      <c r="O71" s="71"/>
    </row>
    <row r="72" spans="1:15" s="88" customFormat="1" ht="27.75" customHeight="1">
      <c r="A72" s="880"/>
      <c r="B72" s="865"/>
      <c r="C72" s="347"/>
      <c r="D72" s="180"/>
      <c r="E72" s="180" t="s">
        <v>207</v>
      </c>
      <c r="F72" s="180"/>
      <c r="G72" s="571"/>
      <c r="H72" s="181"/>
      <c r="I72" s="180"/>
      <c r="J72" s="182"/>
      <c r="N72" s="87"/>
      <c r="O72" s="71"/>
    </row>
    <row r="73" spans="1:15" ht="27.75" customHeight="1">
      <c r="A73" s="890" t="s">
        <v>333</v>
      </c>
      <c r="B73" s="891"/>
      <c r="C73" s="892"/>
      <c r="D73" s="339"/>
      <c r="E73" s="339"/>
      <c r="F73" s="339"/>
      <c r="G73" s="569"/>
      <c r="H73" s="342"/>
      <c r="I73" s="342"/>
      <c r="J73" s="343"/>
      <c r="K73" s="69"/>
      <c r="L73" s="66"/>
      <c r="N73" s="87"/>
      <c r="O73" s="71"/>
    </row>
    <row r="74" spans="1:15" ht="27.75" customHeight="1">
      <c r="A74" s="884" t="s">
        <v>220</v>
      </c>
      <c r="B74" s="885"/>
      <c r="C74" s="886"/>
      <c r="D74" s="151" t="s">
        <v>139</v>
      </c>
      <c r="E74" s="95">
        <f>'17'!F74</f>
        <v>897080.9</v>
      </c>
      <c r="F74" s="123">
        <v>897366.15</v>
      </c>
      <c r="G74" s="558">
        <f>F74-E74</f>
        <v>285.25</v>
      </c>
      <c r="H74" s="99">
        <f>G74+'17'!H74</f>
        <v>-3939.9989999999525</v>
      </c>
      <c r="I74" s="154"/>
      <c r="J74" s="175">
        <f>H74/DAY(B2)</f>
        <v>-218.88883333333069</v>
      </c>
      <c r="K74" s="69"/>
      <c r="L74" s="66"/>
      <c r="N74" s="87"/>
      <c r="O74" s="71"/>
    </row>
    <row r="75" spans="1:15" ht="27.75" customHeight="1">
      <c r="A75" s="884" t="s">
        <v>221</v>
      </c>
      <c r="B75" s="885"/>
      <c r="C75" s="886"/>
      <c r="D75" s="151" t="s">
        <v>139</v>
      </c>
      <c r="E75" s="95">
        <f>'17'!F75</f>
        <v>73586.8</v>
      </c>
      <c r="F75" s="492">
        <v>73586.8</v>
      </c>
      <c r="G75" s="558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881" t="s">
        <v>222</v>
      </c>
      <c r="B76" s="882"/>
      <c r="C76" s="883"/>
      <c r="D76" s="151" t="s">
        <v>139</v>
      </c>
      <c r="E76" s="95">
        <f>'17'!F76</f>
        <v>168630.5</v>
      </c>
      <c r="F76" s="123">
        <v>168711</v>
      </c>
      <c r="G76" s="558">
        <f>F76-E76</f>
        <v>80.5</v>
      </c>
      <c r="H76" s="99">
        <f>G76+'17'!H76</f>
        <v>-1264</v>
      </c>
      <c r="I76" s="154"/>
      <c r="J76" s="175">
        <f>H76/DAY(B2)</f>
        <v>-70.222222222222229</v>
      </c>
      <c r="K76" s="69"/>
      <c r="L76" s="66"/>
      <c r="N76" s="87"/>
      <c r="O76" s="71"/>
    </row>
    <row r="77" spans="1:15" ht="27.75" customHeight="1">
      <c r="A77" s="881" t="s">
        <v>223</v>
      </c>
      <c r="B77" s="882"/>
      <c r="C77" s="883"/>
      <c r="D77" s="151" t="s">
        <v>139</v>
      </c>
      <c r="E77" s="95">
        <f>'17'!F77</f>
        <v>40821.300000000003</v>
      </c>
      <c r="F77" s="123">
        <v>40844</v>
      </c>
      <c r="G77" s="558">
        <f t="shared" si="6"/>
        <v>22.69999999999709</v>
      </c>
      <c r="H77" s="99">
        <f>G77+'17'!H77</f>
        <v>-458.19999999999709</v>
      </c>
      <c r="I77" s="154"/>
      <c r="J77" s="175">
        <f>H77/DAY(B2)</f>
        <v>-25.455555555555392</v>
      </c>
      <c r="K77" s="69"/>
      <c r="L77" s="66"/>
      <c r="N77" s="87"/>
      <c r="O77" s="71"/>
    </row>
    <row r="78" spans="1:15" ht="27.75" customHeight="1">
      <c r="A78" s="881" t="s">
        <v>224</v>
      </c>
      <c r="B78" s="882"/>
      <c r="C78" s="883"/>
      <c r="D78" s="151" t="s">
        <v>139</v>
      </c>
      <c r="E78" s="95">
        <f>'17'!F78</f>
        <v>9499</v>
      </c>
      <c r="F78" s="123">
        <v>9500</v>
      </c>
      <c r="G78" s="558">
        <f t="shared" si="6"/>
        <v>1</v>
      </c>
      <c r="H78" s="99">
        <f>G78+'17'!H78</f>
        <v>-16</v>
      </c>
      <c r="I78" s="118"/>
      <c r="J78" s="175">
        <f>H78/DAY(B2)</f>
        <v>-0.88888888888888884</v>
      </c>
      <c r="K78" s="69"/>
      <c r="L78" s="66"/>
      <c r="N78" s="87"/>
      <c r="O78" s="71"/>
    </row>
    <row r="79" spans="1:15" s="57" customFormat="1" ht="27.75" customHeight="1">
      <c r="A79" s="881" t="s">
        <v>225</v>
      </c>
      <c r="B79" s="882"/>
      <c r="C79" s="883"/>
      <c r="D79" s="151"/>
      <c r="E79" s="95">
        <f>'17'!F79</f>
        <v>0</v>
      </c>
      <c r="F79" s="123">
        <v>0</v>
      </c>
      <c r="G79" s="558">
        <f>G15-SUM(G74:G78)</f>
        <v>492.27699999995821</v>
      </c>
      <c r="H79" s="99">
        <f>G79+'17'!H79</f>
        <v>-6736.568000000043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93" t="s">
        <v>329</v>
      </c>
      <c r="B80" s="894"/>
      <c r="C80" s="895"/>
      <c r="D80" s="151"/>
      <c r="E80" s="117"/>
      <c r="F80" s="117"/>
      <c r="G80" s="558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>
      <c r="A81" s="898" t="s">
        <v>226</v>
      </c>
      <c r="B81" s="899"/>
      <c r="C81" s="900"/>
      <c r="D81" s="110"/>
      <c r="E81" s="110"/>
      <c r="F81" s="110"/>
      <c r="G81" s="572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58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58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58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58">
        <f t="shared" si="7"/>
        <v>0</v>
      </c>
      <c r="H85" s="99">
        <f>G85+'17'!H85</f>
        <v>-163.86999999999989</v>
      </c>
      <c r="I85" s="118">
        <f>G82+G83+G84+G85</f>
        <v>0</v>
      </c>
      <c r="J85" s="175">
        <f>H85/DAY(B2)</f>
        <v>-9.103888888888882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58">
        <f t="shared" si="7"/>
        <v>24.019999999996799</v>
      </c>
      <c r="H86" s="99">
        <f>G86+'17'!H86</f>
        <v>-145.94000000000233</v>
      </c>
      <c r="I86" s="118"/>
      <c r="J86" s="175">
        <f>H86/DAY(B2)</f>
        <v>-8.1077777777779065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58">
        <f t="shared" si="7"/>
        <v>0</v>
      </c>
      <c r="H87" s="99">
        <f>G87+'17'!H87</f>
        <v>5.0000000002910383E-2</v>
      </c>
      <c r="I87" s="118"/>
      <c r="J87" s="175">
        <f>H87/DAY(B2)</f>
        <v>2.7777777779394658E-3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58">
        <f t="shared" si="7"/>
        <v>1.8699999999989814</v>
      </c>
      <c r="H88" s="99">
        <f>G88+'17'!H88</f>
        <v>-2.2700000000004366</v>
      </c>
      <c r="I88" s="118">
        <f>G86+G87+G88</f>
        <v>25.88999999999578</v>
      </c>
      <c r="J88" s="175">
        <f>H88/DAY(B2)</f>
        <v>-0.12611111111113538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58">
        <f t="shared" si="7"/>
        <v>7.4199999999982538</v>
      </c>
      <c r="H89" s="99">
        <f>G89+'17'!H89</f>
        <v>-119.06999999999971</v>
      </c>
      <c r="I89" s="118"/>
      <c r="J89" s="175">
        <f>H89/DAY(B2)</f>
        <v>-6.6149999999999842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58">
        <f t="shared" si="7"/>
        <v>0.71000000000640284</v>
      </c>
      <c r="H90" s="99">
        <f>G90+'17'!H90</f>
        <v>-31.610000000000582</v>
      </c>
      <c r="I90" s="118">
        <f>G89+G90</f>
        <v>8.1300000000046566</v>
      </c>
      <c r="J90" s="175">
        <f>H90/DAY(B2)</f>
        <v>-1.7561111111111434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58">
        <f t="shared" si="7"/>
        <v>0</v>
      </c>
      <c r="H91" s="99">
        <f>G91+'17'!H91</f>
        <v>-24.769999999999982</v>
      </c>
      <c r="I91" s="165"/>
      <c r="J91" s="175">
        <f>H91/DAY(B2)</f>
        <v>-1.3761111111111102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58">
        <f t="shared" si="7"/>
        <v>10.069999999999709</v>
      </c>
      <c r="H92" s="99">
        <f>G92+'17'!H92</f>
        <v>-115.73999999999978</v>
      </c>
      <c r="I92" s="165"/>
      <c r="J92" s="175">
        <f>H92/DAY(B2)</f>
        <v>-6.4299999999999882</v>
      </c>
      <c r="O92" s="71"/>
    </row>
    <row r="93" spans="1:15" ht="27.75" customHeight="1">
      <c r="A93" s="887" t="s">
        <v>239</v>
      </c>
      <c r="B93" s="888"/>
      <c r="C93" s="889"/>
      <c r="D93" s="111"/>
      <c r="E93" s="111"/>
      <c r="F93" s="111"/>
      <c r="G93" s="561"/>
      <c r="H93" s="121"/>
      <c r="I93" s="121"/>
      <c r="J93" s="183"/>
      <c r="K93" s="69"/>
      <c r="L93" s="66"/>
      <c r="O93" s="71"/>
    </row>
    <row r="94" spans="1:15" ht="27.75" customHeight="1">
      <c r="A94" s="884" t="s">
        <v>240</v>
      </c>
      <c r="B94" s="885"/>
      <c r="C94" s="886"/>
      <c r="D94" s="151" t="s">
        <v>130</v>
      </c>
      <c r="E94" s="151"/>
      <c r="F94" s="151"/>
      <c r="G94" s="573">
        <f>G35+G43+G49+G57</f>
        <v>4972.4799999999996</v>
      </c>
      <c r="H94" s="99">
        <f>G94+'17'!H94</f>
        <v>396004.06999999995</v>
      </c>
      <c r="I94" s="118"/>
      <c r="J94" s="175">
        <f>H94/DAY(B2)</f>
        <v>22000.226111111107</v>
      </c>
      <c r="K94" s="69"/>
      <c r="L94" s="66"/>
      <c r="O94" s="71"/>
    </row>
    <row r="95" spans="1:15" ht="27.75" customHeight="1">
      <c r="A95" s="884" t="s">
        <v>241</v>
      </c>
      <c r="B95" s="885"/>
      <c r="C95" s="886"/>
      <c r="D95" s="151" t="s">
        <v>23</v>
      </c>
      <c r="E95" s="146"/>
      <c r="F95" s="146"/>
      <c r="G95" s="574">
        <f>G94/G7</f>
        <v>0.27990318041092033</v>
      </c>
      <c r="H95" s="99">
        <f>G95+'17'!H95</f>
        <v>3.962698680439638</v>
      </c>
      <c r="I95" s="167"/>
      <c r="J95" s="175">
        <f>H95/DAY(B2)</f>
        <v>0.22014992669109101</v>
      </c>
      <c r="K95" s="69"/>
      <c r="L95" s="66"/>
      <c r="O95" s="71"/>
    </row>
    <row r="96" spans="1:15" ht="27.75" customHeight="1">
      <c r="A96" s="884" t="s">
        <v>242</v>
      </c>
      <c r="B96" s="885"/>
      <c r="C96" s="886"/>
      <c r="D96" s="151" t="s">
        <v>130</v>
      </c>
      <c r="E96" s="95"/>
      <c r="F96" s="95"/>
      <c r="G96" s="573">
        <f>G41+G42+G55+G56</f>
        <v>3090.5200000000041</v>
      </c>
      <c r="H96" s="99">
        <f>G96+'17'!H96</f>
        <v>-42910.290000000015</v>
      </c>
      <c r="I96" s="118"/>
      <c r="J96" s="175">
        <f>H96/DAY(B2)</f>
        <v>-2383.9050000000007</v>
      </c>
      <c r="K96" s="69"/>
      <c r="L96" s="66"/>
      <c r="O96" s="71"/>
    </row>
    <row r="97" spans="1:15" ht="27.75" customHeight="1">
      <c r="A97" s="884" t="s">
        <v>243</v>
      </c>
      <c r="B97" s="885"/>
      <c r="C97" s="886"/>
      <c r="D97" s="151" t="s">
        <v>23</v>
      </c>
      <c r="E97" s="95"/>
      <c r="F97" s="95"/>
      <c r="G97" s="574">
        <f>G96/G7</f>
        <v>0.17396678862932755</v>
      </c>
      <c r="H97" s="99">
        <f>G97+'17'!H97</f>
        <v>3.1788149272994661</v>
      </c>
      <c r="I97" s="167"/>
      <c r="J97" s="175">
        <f>H97/DAY(B2)</f>
        <v>0.17660082929441479</v>
      </c>
      <c r="K97" s="69"/>
      <c r="L97" s="66"/>
      <c r="O97" s="71"/>
    </row>
    <row r="98" spans="1:15" ht="27.75" customHeight="1">
      <c r="A98" s="884" t="s">
        <v>244</v>
      </c>
      <c r="B98" s="885"/>
      <c r="C98" s="886"/>
      <c r="D98" s="151" t="s">
        <v>130</v>
      </c>
      <c r="E98" s="95"/>
      <c r="F98" s="95"/>
      <c r="G98" s="573">
        <f>G39+G53</f>
        <v>2546.4900000000016</v>
      </c>
      <c r="H98" s="99">
        <f>G98+'17'!H98</f>
        <v>398942.19999999995</v>
      </c>
      <c r="I98" s="168"/>
      <c r="J98" s="175">
        <f>H98/DAY(B2)</f>
        <v>22163.455555555553</v>
      </c>
      <c r="K98" s="69"/>
      <c r="L98" s="66"/>
      <c r="O98" s="71"/>
    </row>
    <row r="99" spans="1:15" ht="27.75" customHeight="1">
      <c r="A99" s="884" t="s">
        <v>245</v>
      </c>
      <c r="B99" s="885"/>
      <c r="C99" s="886"/>
      <c r="D99" s="151" t="s">
        <v>23</v>
      </c>
      <c r="E99" s="95"/>
      <c r="F99" s="95"/>
      <c r="G99" s="574">
        <f>G98/G7</f>
        <v>0.14334309034618642</v>
      </c>
      <c r="H99" s="99">
        <f>G99+'17'!H99</f>
        <v>1.8035372721559191</v>
      </c>
      <c r="I99" s="168"/>
      <c r="J99" s="175">
        <f>H99/DAY(B2)</f>
        <v>0.10019651511977329</v>
      </c>
      <c r="O99" s="71"/>
    </row>
    <row r="100" spans="1:15" ht="27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573">
        <f>G38+G52</f>
        <v>1696.2999999999993</v>
      </c>
      <c r="H100" s="99">
        <f>G100+'17'!H100</f>
        <v>223170.03</v>
      </c>
      <c r="I100" s="118"/>
      <c r="J100" s="175">
        <f>H100/DAY(B2)</f>
        <v>12398.334999999999</v>
      </c>
      <c r="K100" s="70"/>
      <c r="O100" s="71"/>
    </row>
    <row r="101" spans="1:15" ht="27.75" customHeight="1">
      <c r="A101" s="884" t="s">
        <v>247</v>
      </c>
      <c r="B101" s="885"/>
      <c r="C101" s="886"/>
      <c r="D101" s="151" t="s">
        <v>23</v>
      </c>
      <c r="E101" s="95"/>
      <c r="F101" s="95"/>
      <c r="G101" s="574">
        <f>G100/G7</f>
        <v>9.5485505206867397E-2</v>
      </c>
      <c r="H101" s="99">
        <f>G101+'17'!H101</f>
        <v>1.219478398709726</v>
      </c>
      <c r="I101" s="168"/>
      <c r="J101" s="175">
        <f>H101/DAY(B2)</f>
        <v>6.7748799928318115E-2</v>
      </c>
      <c r="O101" s="71"/>
    </row>
    <row r="102" spans="1:15" ht="27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573">
        <f>G36+G50</f>
        <v>1522.3000000000029</v>
      </c>
      <c r="H102" s="99">
        <f>G102+'17'!H102</f>
        <v>-23724.079999999994</v>
      </c>
      <c r="I102" s="168"/>
      <c r="J102" s="175">
        <f>H102/DAY(B2)</f>
        <v>-1318.0044444444441</v>
      </c>
      <c r="O102" s="71"/>
    </row>
    <row r="103" spans="1:15" ht="27.75" customHeight="1">
      <c r="A103" s="884" t="s">
        <v>249</v>
      </c>
      <c r="B103" s="885"/>
      <c r="C103" s="886"/>
      <c r="D103" s="151" t="s">
        <v>23</v>
      </c>
      <c r="E103" s="95"/>
      <c r="F103" s="95"/>
      <c r="G103" s="574">
        <f>G102/G7</f>
        <v>8.5690965381368028E-2</v>
      </c>
      <c r="H103" s="99">
        <f>G103+'17'!H103</f>
        <v>1.7376480446590015</v>
      </c>
      <c r="I103" s="118"/>
      <c r="J103" s="175">
        <f>H103/DAY(B2)</f>
        <v>9.6536002481055636E-2</v>
      </c>
      <c r="O103" s="71"/>
    </row>
    <row r="104" spans="1:15" ht="27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573">
        <f>G37+G51</f>
        <v>1562.5499999999993</v>
      </c>
      <c r="H104" s="99">
        <f>G104+'17'!H104</f>
        <v>187063.88</v>
      </c>
      <c r="I104" s="118"/>
      <c r="J104" s="175">
        <f>H104/DAY(B2)</f>
        <v>10392.437777777777</v>
      </c>
      <c r="O104" s="71"/>
    </row>
    <row r="105" spans="1:15" ht="27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575">
        <f>G104/G7</f>
        <v>8.7956656346749179E-2</v>
      </c>
      <c r="H105" s="99">
        <f>G105+'17'!H105</f>
        <v>1.1487014320067388</v>
      </c>
      <c r="I105" s="187"/>
      <c r="J105" s="188">
        <f>H105/DAY(B2)</f>
        <v>6.3816746222596601E-2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576"/>
      <c r="H106" s="170"/>
      <c r="I106" s="169"/>
      <c r="J106" s="171"/>
      <c r="O106" s="71"/>
    </row>
    <row r="108" spans="1:15" ht="27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7.75" customHeight="1">
      <c r="A109" s="901"/>
      <c r="B109" s="901"/>
    </row>
    <row r="110" spans="1:15" ht="27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 customHeight="1">
      <c r="A111" s="867"/>
      <c r="B111" s="868"/>
      <c r="C111" s="869"/>
      <c r="D111" s="165"/>
      <c r="E111" s="165"/>
      <c r="F111" s="165"/>
      <c r="G111" s="578"/>
      <c r="H111" s="156"/>
      <c r="I111" s="165"/>
      <c r="J111" s="327"/>
    </row>
    <row r="112" spans="1:15" ht="27.75" customHeight="1">
      <c r="A112" s="863" t="s">
        <v>252</v>
      </c>
      <c r="B112" s="864"/>
      <c r="C112" s="865"/>
      <c r="D112" s="146" t="s">
        <v>183</v>
      </c>
      <c r="E112" s="95">
        <f>'17'!F112</f>
        <v>56964</v>
      </c>
      <c r="F112" s="237">
        <v>57044.5</v>
      </c>
      <c r="G112" s="558">
        <f t="shared" ref="G112:G123" si="8">F112-E112</f>
        <v>80.5</v>
      </c>
      <c r="H112" s="99">
        <f>G112+'17'!H112</f>
        <v>-1009.5</v>
      </c>
      <c r="I112" s="165"/>
      <c r="J112" s="328">
        <f>H112/DAY(B2)</f>
        <v>-56.083333333333336</v>
      </c>
    </row>
    <row r="113" spans="1:18" ht="27.75" customHeight="1">
      <c r="A113" s="863" t="s">
        <v>253</v>
      </c>
      <c r="B113" s="864"/>
      <c r="C113" s="865"/>
      <c r="D113" s="146" t="s">
        <v>183</v>
      </c>
      <c r="E113" s="95">
        <f>'17'!F113</f>
        <v>39860.839999999997</v>
      </c>
      <c r="F113" s="237">
        <v>40324.26</v>
      </c>
      <c r="G113" s="558">
        <f t="shared" si="8"/>
        <v>463.42000000000553</v>
      </c>
      <c r="H113" s="99">
        <f>G113+'17'!H113</f>
        <v>-6076.6299999999974</v>
      </c>
      <c r="I113" s="165"/>
      <c r="J113" s="328">
        <f>H113/DAY(B2)</f>
        <v>-337.5905555555554</v>
      </c>
    </row>
    <row r="114" spans="1:18" ht="27.75" customHeight="1">
      <c r="A114" s="863" t="s">
        <v>254</v>
      </c>
      <c r="B114" s="864"/>
      <c r="C114" s="865"/>
      <c r="D114" s="146" t="s">
        <v>183</v>
      </c>
      <c r="E114" s="95">
        <f>'17'!F114</f>
        <v>29371</v>
      </c>
      <c r="F114" s="237">
        <v>29635.1</v>
      </c>
      <c r="G114" s="558">
        <f t="shared" si="8"/>
        <v>264.09999999999854</v>
      </c>
      <c r="H114" s="99">
        <f>G114+'17'!H114</f>
        <v>-3658.5000000000018</v>
      </c>
      <c r="I114" s="165"/>
      <c r="J114" s="328">
        <f>H114/DAY(B2)</f>
        <v>-203.25000000000011</v>
      </c>
    </row>
    <row r="115" spans="1:18" ht="27.75" customHeight="1">
      <c r="A115" s="863" t="s">
        <v>255</v>
      </c>
      <c r="B115" s="864"/>
      <c r="C115" s="865"/>
      <c r="D115" s="146" t="s">
        <v>183</v>
      </c>
      <c r="E115" s="95">
        <f>'17'!F115</f>
        <v>8958.2000000000007</v>
      </c>
      <c r="F115" s="237">
        <v>8969.3700000000008</v>
      </c>
      <c r="G115" s="558">
        <f t="shared" si="8"/>
        <v>11.170000000000073</v>
      </c>
      <c r="H115" s="99">
        <f>G115+'17'!H115</f>
        <v>-125.27999999999884</v>
      </c>
      <c r="I115" s="165"/>
      <c r="J115" s="328">
        <f>H115/DAY(B2)</f>
        <v>-6.9599999999999351</v>
      </c>
    </row>
    <row r="116" spans="1:18" ht="27.75" customHeight="1">
      <c r="A116" s="870" t="s">
        <v>96</v>
      </c>
      <c r="B116" s="871"/>
      <c r="C116" s="872"/>
      <c r="D116" s="146" t="s">
        <v>183</v>
      </c>
      <c r="E116" s="95">
        <f>'17'!F116</f>
        <v>0</v>
      </c>
      <c r="F116" s="237">
        <v>0</v>
      </c>
      <c r="G116" s="558">
        <f t="shared" si="8"/>
        <v>0</v>
      </c>
      <c r="H116" s="99">
        <f>G116+'17'!H116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 customHeight="1">
      <c r="A117" s="870" t="s">
        <v>184</v>
      </c>
      <c r="B117" s="871"/>
      <c r="C117" s="872"/>
      <c r="D117" s="146" t="s">
        <v>183</v>
      </c>
      <c r="E117" s="95">
        <f>'17'!F117</f>
        <v>2999.97</v>
      </c>
      <c r="F117" s="237">
        <v>3023.11</v>
      </c>
      <c r="G117" s="558">
        <f t="shared" si="8"/>
        <v>23.140000000000327</v>
      </c>
      <c r="H117" s="99">
        <f>G117+'17'!H117</f>
        <v>-314.83999999999969</v>
      </c>
      <c r="I117" s="165"/>
      <c r="J117" s="328">
        <f>H117/DAY(B2)</f>
        <v>-17.491111111111096</v>
      </c>
      <c r="Q117" s="863" t="s">
        <v>312</v>
      </c>
      <c r="R117" s="865"/>
    </row>
    <row r="118" spans="1:18" ht="27.75" customHeight="1">
      <c r="A118" s="862" t="s">
        <v>97</v>
      </c>
      <c r="B118" s="862"/>
      <c r="C118" s="862"/>
      <c r="D118" s="151" t="s">
        <v>183</v>
      </c>
      <c r="E118" s="95">
        <f>'17'!F118</f>
        <v>247684</v>
      </c>
      <c r="F118" s="237">
        <v>248035.49</v>
      </c>
      <c r="G118" s="558">
        <f t="shared" si="8"/>
        <v>351.48999999999069</v>
      </c>
      <c r="H118" s="99">
        <f>G118+'17'!H118</f>
        <v>-4416.820000000007</v>
      </c>
      <c r="I118" s="165"/>
      <c r="J118" s="328">
        <f>H118/DAY(B2)</f>
        <v>-245.37888888888926</v>
      </c>
      <c r="Q118" s="863" t="s">
        <v>311</v>
      </c>
      <c r="R118" s="865"/>
    </row>
    <row r="119" spans="1:18" ht="27.75" customHeight="1">
      <c r="A119" s="862" t="s">
        <v>98</v>
      </c>
      <c r="B119" s="862"/>
      <c r="C119" s="862"/>
      <c r="D119" s="151" t="s">
        <v>183</v>
      </c>
      <c r="E119" s="95">
        <f>'17'!F119</f>
        <v>252241</v>
      </c>
      <c r="F119" s="237">
        <v>252682.05</v>
      </c>
      <c r="G119" s="558">
        <f t="shared" si="8"/>
        <v>441.04999999998836</v>
      </c>
      <c r="H119" s="99">
        <f>G119+'17'!H119</f>
        <v>-5466.5</v>
      </c>
      <c r="I119" s="165"/>
      <c r="J119" s="328">
        <f>H119/DAY(B2)</f>
        <v>-303.69444444444446</v>
      </c>
    </row>
    <row r="120" spans="1:18" ht="27.75" customHeight="1">
      <c r="A120" s="862" t="s">
        <v>99</v>
      </c>
      <c r="B120" s="862"/>
      <c r="C120" s="862"/>
      <c r="D120" s="151" t="s">
        <v>183</v>
      </c>
      <c r="E120" s="95">
        <f>'17'!F120</f>
        <v>37145.4</v>
      </c>
      <c r="F120" s="237">
        <v>37580.07</v>
      </c>
      <c r="G120" s="558">
        <f t="shared" si="8"/>
        <v>434.66999999999825</v>
      </c>
      <c r="H120" s="99">
        <f>G120+'17'!H120</f>
        <v>-5379.5400000000009</v>
      </c>
      <c r="I120" s="165"/>
      <c r="J120" s="328">
        <f>H120/DAY(B2)</f>
        <v>-298.8633333333334</v>
      </c>
    </row>
    <row r="121" spans="1:18" ht="27.75" customHeight="1">
      <c r="A121" s="862" t="s">
        <v>100</v>
      </c>
      <c r="B121" s="862"/>
      <c r="C121" s="862"/>
      <c r="D121" s="151" t="s">
        <v>183</v>
      </c>
      <c r="E121" s="95">
        <f>'17'!F121</f>
        <v>388428</v>
      </c>
      <c r="F121" s="237">
        <v>389079</v>
      </c>
      <c r="G121" s="558">
        <f t="shared" si="8"/>
        <v>651</v>
      </c>
      <c r="H121" s="99">
        <f>G121+'17'!H121</f>
        <v>-8955.429999999993</v>
      </c>
      <c r="I121" s="165"/>
      <c r="J121" s="328">
        <f>H121/DAY(B2)</f>
        <v>-497.52388888888851</v>
      </c>
    </row>
    <row r="122" spans="1:18" ht="27.75" customHeight="1">
      <c r="A122" s="862" t="s">
        <v>101</v>
      </c>
      <c r="B122" s="862"/>
      <c r="C122" s="862"/>
      <c r="D122" s="151" t="s">
        <v>183</v>
      </c>
      <c r="E122" s="95">
        <f>'17'!F122</f>
        <v>123533.44</v>
      </c>
      <c r="F122" s="237">
        <v>123702</v>
      </c>
      <c r="G122" s="558">
        <f t="shared" si="8"/>
        <v>168.55999999999767</v>
      </c>
      <c r="H122" s="99">
        <f>G122+'17'!H122</f>
        <v>-2484.179999999993</v>
      </c>
      <c r="I122" s="165"/>
      <c r="J122" s="328">
        <f>H122/DAY(B2)</f>
        <v>-138.00999999999962</v>
      </c>
    </row>
    <row r="123" spans="1:18" ht="27.75" customHeight="1">
      <c r="A123" s="862" t="s">
        <v>102</v>
      </c>
      <c r="B123" s="862"/>
      <c r="C123" s="862"/>
      <c r="D123" s="151" t="s">
        <v>183</v>
      </c>
      <c r="E123" s="95">
        <f>'17'!F123</f>
        <v>150237.63</v>
      </c>
      <c r="F123" s="237">
        <v>150502.59</v>
      </c>
      <c r="G123" s="558">
        <f t="shared" si="8"/>
        <v>264.95999999999185</v>
      </c>
      <c r="H123" s="99">
        <f>G123+'17'!H123</f>
        <v>-3544.3600000000151</v>
      </c>
      <c r="I123" s="165"/>
      <c r="J123" s="328">
        <f>H123/DAY(B2)</f>
        <v>-196.90888888888972</v>
      </c>
    </row>
    <row r="124" spans="1:18" ht="27.75" customHeight="1">
      <c r="A124" s="867"/>
      <c r="B124" s="868"/>
      <c r="C124" s="869"/>
      <c r="D124" s="165"/>
      <c r="E124" s="95">
        <f>'17'!F124</f>
        <v>0</v>
      </c>
      <c r="F124" s="165"/>
      <c r="G124" s="578"/>
      <c r="H124" s="99">
        <f>G124+'17'!H124</f>
        <v>0</v>
      </c>
      <c r="I124" s="165"/>
      <c r="J124" s="327"/>
    </row>
    <row r="125" spans="1:18" ht="27.75" customHeight="1">
      <c r="A125" s="847" t="s">
        <v>196</v>
      </c>
      <c r="B125" s="848"/>
      <c r="C125" s="245"/>
      <c r="D125" s="307"/>
      <c r="E125" s="308"/>
      <c r="F125" s="308"/>
      <c r="G125" s="579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 customHeight="1">
      <c r="A127" s="852"/>
      <c r="B127" s="852"/>
      <c r="C127" s="245"/>
      <c r="D127" s="307"/>
      <c r="E127" s="308"/>
      <c r="F127" s="308"/>
      <c r="G127" s="579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63" t="s">
        <v>318</v>
      </c>
      <c r="B128" s="864"/>
      <c r="C128" s="865"/>
      <c r="D128" s="151" t="s">
        <v>183</v>
      </c>
      <c r="E128" s="95">
        <f>'17'!F128</f>
        <v>43403.9</v>
      </c>
      <c r="F128" s="165">
        <v>43694.22</v>
      </c>
      <c r="G128" s="558">
        <f t="shared" ref="G128:G134" si="9">F128-E128</f>
        <v>290.31999999999971</v>
      </c>
      <c r="H128" s="99">
        <f>G128+'17'!H128</f>
        <v>-4051.7799999999988</v>
      </c>
      <c r="I128" s="165"/>
      <c r="J128" s="328">
        <f>H128/DAY(B2)</f>
        <v>-225.09888888888884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58">
        <f t="shared" si="9"/>
        <v>257.11999999999898</v>
      </c>
      <c r="H129" s="99">
        <f>G129+'17'!H129</f>
        <v>-2569.8499999999985</v>
      </c>
      <c r="I129" s="165"/>
      <c r="J129" s="328">
        <f>H129/DAY(B2)</f>
        <v>-142.76944444444436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58">
        <f t="shared" si="9"/>
        <v>516.80999999999767</v>
      </c>
      <c r="H130" s="99">
        <f>G130+'17'!H130</f>
        <v>-6727.7400000000016</v>
      </c>
      <c r="I130" s="165"/>
      <c r="J130" s="328">
        <f>H130/DAY(B2)</f>
        <v>-373.76333333333343</v>
      </c>
      <c r="N130" s="240"/>
      <c r="O130" s="241"/>
    </row>
    <row r="131" spans="1:15" ht="27.75" customHeight="1">
      <c r="A131" s="863" t="s">
        <v>321</v>
      </c>
      <c r="B131" s="864"/>
      <c r="C131" s="865"/>
      <c r="D131" s="151" t="s">
        <v>183</v>
      </c>
      <c r="E131" s="95">
        <f>'17'!F131</f>
        <v>14365.97</v>
      </c>
      <c r="F131" s="158">
        <v>14447.42</v>
      </c>
      <c r="G131" s="558">
        <f t="shared" si="9"/>
        <v>81.450000000000728</v>
      </c>
      <c r="H131" s="99">
        <f>G131+'17'!H131</f>
        <v>-860.26000000000022</v>
      </c>
      <c r="I131" s="165"/>
      <c r="J131" s="328">
        <f>H131/DAY(B2)</f>
        <v>-47.792222222222236</v>
      </c>
      <c r="N131" s="240"/>
      <c r="O131" s="241"/>
    </row>
    <row r="132" spans="1:15" ht="27.75" customHeight="1">
      <c r="A132" s="863" t="s">
        <v>322</v>
      </c>
      <c r="B132" s="864"/>
      <c r="C132" s="865"/>
      <c r="D132" s="151" t="s">
        <v>183</v>
      </c>
      <c r="E132" s="95">
        <f>'17'!F132</f>
        <v>49304</v>
      </c>
      <c r="F132" s="158">
        <v>49682.7</v>
      </c>
      <c r="G132" s="558">
        <f t="shared" si="9"/>
        <v>378.69999999999709</v>
      </c>
      <c r="H132" s="99">
        <f>G132+'17'!H132</f>
        <v>-2165.6000000000058</v>
      </c>
      <c r="I132" s="165"/>
      <c r="J132" s="328">
        <f>H132/DAY(B2)</f>
        <v>-120.31111111111143</v>
      </c>
    </row>
    <row r="133" spans="1:15" ht="27.75" customHeight="1">
      <c r="A133" s="863" t="s">
        <v>362</v>
      </c>
      <c r="B133" s="864"/>
      <c r="C133" s="865"/>
      <c r="D133" s="151" t="s">
        <v>183</v>
      </c>
      <c r="E133" s="95">
        <f>'17'!F133</f>
        <v>98082.6</v>
      </c>
      <c r="F133" s="165">
        <v>98583.4</v>
      </c>
      <c r="G133" s="558">
        <f t="shared" si="9"/>
        <v>500.79999999998836</v>
      </c>
      <c r="H133" s="99">
        <f>G133+'17'!H133</f>
        <v>-6760.3000000000029</v>
      </c>
      <c r="I133" s="165"/>
      <c r="J133" s="328">
        <f>H133/DAY(B2)</f>
        <v>-375.57222222222236</v>
      </c>
    </row>
    <row r="134" spans="1:15" ht="27.75" customHeight="1">
      <c r="A134" s="863" t="s">
        <v>340</v>
      </c>
      <c r="B134" s="864"/>
      <c r="C134" s="865"/>
      <c r="D134" s="151" t="s">
        <v>183</v>
      </c>
      <c r="E134" s="95">
        <f>'17'!F134</f>
        <v>6179</v>
      </c>
      <c r="F134" s="158">
        <v>6368.93</v>
      </c>
      <c r="G134" s="558">
        <f t="shared" si="9"/>
        <v>189.93000000000029</v>
      </c>
      <c r="H134" s="99">
        <f>G134+'17'!H134</f>
        <v>668941.70000000007</v>
      </c>
      <c r="I134" s="165"/>
      <c r="J134" s="328">
        <f>H134/DAY(B2)</f>
        <v>37163.427777777782</v>
      </c>
    </row>
    <row r="135" spans="1:15" ht="27.75" customHeight="1">
      <c r="A135" s="847" t="s">
        <v>196</v>
      </c>
      <c r="B135" s="848"/>
      <c r="C135" s="331"/>
      <c r="D135" s="151"/>
      <c r="E135" s="95"/>
      <c r="F135" s="165"/>
      <c r="G135" s="558">
        <f>SUM(G128:G134)</f>
        <v>2215.1299999999828</v>
      </c>
      <c r="H135" s="99">
        <f>G135+'10'!H135</f>
        <v>629453.35</v>
      </c>
      <c r="I135" s="327">
        <f>G135-(G35+G49)</f>
        <v>-419.35000000001673</v>
      </c>
      <c r="J135" s="328"/>
    </row>
    <row r="136" spans="1:15" ht="27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7.75" customHeight="1">
      <c r="A137" s="245"/>
      <c r="B137" s="246"/>
      <c r="C137" s="246"/>
      <c r="D137" s="165"/>
      <c r="E137" s="165"/>
      <c r="F137" s="165"/>
      <c r="G137" s="578"/>
      <c r="H137" s="156"/>
      <c r="I137" s="165"/>
      <c r="J137" s="327"/>
    </row>
    <row r="138" spans="1:15" ht="27.75" customHeight="1">
      <c r="A138" s="862" t="s">
        <v>185</v>
      </c>
      <c r="B138" s="862"/>
      <c r="C138" s="862"/>
      <c r="D138" s="151" t="s">
        <v>183</v>
      </c>
      <c r="E138" s="95">
        <f>'17'!F138</f>
        <v>865229</v>
      </c>
      <c r="F138" s="147">
        <v>865289</v>
      </c>
      <c r="G138" s="558">
        <f t="shared" ref="G138:G152" si="10">F138-E138</f>
        <v>60</v>
      </c>
      <c r="H138" s="99">
        <f>G138+'17'!H138</f>
        <v>-884</v>
      </c>
      <c r="I138" s="118"/>
      <c r="J138" s="328">
        <f>H138/DAY(B2)</f>
        <v>-49.111111111111114</v>
      </c>
    </row>
    <row r="139" spans="1:15" ht="27.75" customHeight="1">
      <c r="A139" s="862" t="s">
        <v>186</v>
      </c>
      <c r="B139" s="862"/>
      <c r="C139" s="862"/>
      <c r="D139" s="151" t="s">
        <v>183</v>
      </c>
      <c r="E139" s="95">
        <f>'17'!F139</f>
        <v>886550</v>
      </c>
      <c r="F139" s="148">
        <v>886551</v>
      </c>
      <c r="G139" s="558">
        <f t="shared" si="10"/>
        <v>1</v>
      </c>
      <c r="H139" s="99">
        <f>G139+'17'!H139</f>
        <v>-22</v>
      </c>
      <c r="I139" s="118"/>
      <c r="J139" s="328">
        <f>H139/DAY(B2)</f>
        <v>-1.2222222222222223</v>
      </c>
    </row>
    <row r="140" spans="1:15" ht="27.75" customHeight="1">
      <c r="A140" s="862" t="s">
        <v>187</v>
      </c>
      <c r="B140" s="862"/>
      <c r="C140" s="862"/>
      <c r="D140" s="151" t="s">
        <v>183</v>
      </c>
      <c r="E140" s="95">
        <f>'17'!F140</f>
        <v>88898</v>
      </c>
      <c r="F140" s="149">
        <v>88898</v>
      </c>
      <c r="G140" s="558">
        <f t="shared" si="10"/>
        <v>0</v>
      </c>
      <c r="H140" s="99">
        <f>G140+'17'!H140</f>
        <v>-24</v>
      </c>
      <c r="I140" s="118"/>
      <c r="J140" s="328">
        <f>H140/DAY(B2)</f>
        <v>-1.3333333333333333</v>
      </c>
    </row>
    <row r="141" spans="1:15" ht="27.75" customHeight="1">
      <c r="A141" s="843" t="s">
        <v>188</v>
      </c>
      <c r="B141" s="843"/>
      <c r="C141" s="843"/>
      <c r="D141" s="151" t="s">
        <v>183</v>
      </c>
      <c r="E141" s="95">
        <f>'17'!F141</f>
        <v>52234.8</v>
      </c>
      <c r="F141" s="149">
        <v>52406.65</v>
      </c>
      <c r="G141" s="558">
        <f t="shared" si="10"/>
        <v>171.84999999999854</v>
      </c>
      <c r="H141" s="99">
        <f>G141+'17'!H141</f>
        <v>-2278.9300000000003</v>
      </c>
      <c r="I141" s="118"/>
      <c r="J141" s="328">
        <f>H141/DAY(B2)</f>
        <v>-126.60722222222223</v>
      </c>
    </row>
    <row r="142" spans="1:15" ht="27.75" customHeight="1">
      <c r="A142" s="843" t="s">
        <v>189</v>
      </c>
      <c r="B142" s="843"/>
      <c r="C142" s="843"/>
      <c r="D142" s="151" t="s">
        <v>183</v>
      </c>
      <c r="E142" s="95">
        <f>'17'!F142</f>
        <v>20197.09</v>
      </c>
      <c r="F142" s="148">
        <v>20277.63</v>
      </c>
      <c r="G142" s="558">
        <f t="shared" si="10"/>
        <v>80.540000000000873</v>
      </c>
      <c r="H142" s="99">
        <f>G142+'17'!H142</f>
        <v>-1006.4699999999975</v>
      </c>
      <c r="I142" s="140"/>
      <c r="J142" s="328">
        <f>H142/DAY(B2)</f>
        <v>-55.914999999999864</v>
      </c>
    </row>
    <row r="143" spans="1:15" ht="27.75" customHeight="1">
      <c r="A143" s="862" t="s">
        <v>91</v>
      </c>
      <c r="B143" s="862"/>
      <c r="C143" s="862"/>
      <c r="D143" s="151" t="s">
        <v>183</v>
      </c>
      <c r="E143" s="95">
        <f>'17'!F143</f>
        <v>3466.51</v>
      </c>
      <c r="F143" s="149">
        <v>3491.46</v>
      </c>
      <c r="G143" s="558">
        <f t="shared" si="10"/>
        <v>24.949999999999818</v>
      </c>
      <c r="H143" s="99">
        <f>G143+'17'!H143</f>
        <v>-343.92999999999984</v>
      </c>
      <c r="I143" s="140"/>
      <c r="J143" s="328">
        <f>H143/DAY(B2)</f>
        <v>-19.107222222222212</v>
      </c>
    </row>
    <row r="144" spans="1:15" ht="27.75" customHeight="1">
      <c r="A144" s="843" t="s">
        <v>90</v>
      </c>
      <c r="B144" s="843"/>
      <c r="C144" s="843"/>
      <c r="D144" s="151" t="s">
        <v>183</v>
      </c>
      <c r="E144" s="95">
        <f>'17'!F144</f>
        <v>873523</v>
      </c>
      <c r="F144" s="149">
        <v>873743</v>
      </c>
      <c r="G144" s="558">
        <f t="shared" si="10"/>
        <v>220</v>
      </c>
      <c r="H144" s="99">
        <f>G144+'17'!H144</f>
        <v>-2744</v>
      </c>
      <c r="I144" s="140"/>
      <c r="J144" s="328">
        <f>H144/DAY(B2)</f>
        <v>-152.44444444444446</v>
      </c>
    </row>
    <row r="145" spans="1:10" ht="27.75" customHeight="1">
      <c r="A145" s="862" t="s">
        <v>190</v>
      </c>
      <c r="B145" s="862"/>
      <c r="C145" s="862"/>
      <c r="D145" s="152" t="s">
        <v>183</v>
      </c>
      <c r="E145" s="95">
        <f>'17'!F145</f>
        <v>4812.34</v>
      </c>
      <c r="F145" s="149">
        <v>4827.1899999999996</v>
      </c>
      <c r="G145" s="558">
        <f t="shared" si="10"/>
        <v>14.849999999999454</v>
      </c>
      <c r="H145" s="99">
        <f>G145+'17'!H145</f>
        <v>-131.65000000000055</v>
      </c>
      <c r="I145" s="140"/>
      <c r="J145" s="328">
        <f>H145/DAY(B2)</f>
        <v>-7.3138888888889193</v>
      </c>
    </row>
    <row r="146" spans="1:10" ht="27.75" customHeight="1">
      <c r="A146" s="897" t="s">
        <v>191</v>
      </c>
      <c r="B146" s="882"/>
      <c r="C146" s="883"/>
      <c r="D146" s="152" t="s">
        <v>183</v>
      </c>
      <c r="E146" s="95">
        <f>'17'!F146</f>
        <v>731756</v>
      </c>
      <c r="F146" s="148">
        <v>732122</v>
      </c>
      <c r="G146" s="558">
        <f t="shared" si="10"/>
        <v>366</v>
      </c>
      <c r="H146" s="99">
        <f>G146+'17'!H146</f>
        <v>-5211</v>
      </c>
      <c r="I146" s="140"/>
      <c r="J146" s="328">
        <f>H146/DAY(B2)</f>
        <v>-289.5</v>
      </c>
    </row>
    <row r="147" spans="1:10" ht="27.75" customHeight="1">
      <c r="A147" s="843" t="s">
        <v>192</v>
      </c>
      <c r="B147" s="843"/>
      <c r="C147" s="843"/>
      <c r="D147" s="152" t="s">
        <v>183</v>
      </c>
      <c r="E147" s="95">
        <f>'17'!F147</f>
        <v>621509</v>
      </c>
      <c r="F147" s="148">
        <v>621813.56000000006</v>
      </c>
      <c r="G147" s="558">
        <f t="shared" si="10"/>
        <v>304.56000000005588</v>
      </c>
      <c r="H147" s="99">
        <f>G147+'17'!H147</f>
        <v>-4798.9599999999627</v>
      </c>
      <c r="I147" s="140"/>
      <c r="J147" s="328">
        <f>H147/DAY(B2)</f>
        <v>-266.60888888888684</v>
      </c>
    </row>
    <row r="148" spans="1:10" ht="27.75" customHeight="1">
      <c r="A148" s="844" t="s">
        <v>193</v>
      </c>
      <c r="B148" s="845"/>
      <c r="C148" s="846"/>
      <c r="D148" s="123" t="s">
        <v>130</v>
      </c>
      <c r="E148" s="95">
        <f>'17'!F148</f>
        <v>686860</v>
      </c>
      <c r="F148" s="150">
        <v>687015.44</v>
      </c>
      <c r="G148" s="558">
        <f t="shared" si="10"/>
        <v>155.43999999994412</v>
      </c>
      <c r="H148" s="99">
        <f>G148+'17'!H148</f>
        <v>-2427.5200000000186</v>
      </c>
      <c r="I148" s="124"/>
      <c r="J148" s="328">
        <f>H148/DAY(B2)</f>
        <v>-134.86222222222327</v>
      </c>
    </row>
    <row r="149" spans="1:10" ht="27.75" customHeight="1">
      <c r="A149" s="844" t="s">
        <v>336</v>
      </c>
      <c r="B149" s="845"/>
      <c r="C149" s="846"/>
      <c r="D149" s="227" t="s">
        <v>130</v>
      </c>
      <c r="E149" s="95">
        <f>'17'!F149</f>
        <v>17791.439999999999</v>
      </c>
      <c r="F149" s="146">
        <v>18255.259999999998</v>
      </c>
      <c r="G149" s="558">
        <f t="shared" si="10"/>
        <v>463.81999999999971</v>
      </c>
      <c r="H149" s="99">
        <f>G149+'17'!H149</f>
        <v>-6422.9400000000023</v>
      </c>
      <c r="I149" s="119"/>
      <c r="J149" s="328">
        <f>H149/DAY(B2)</f>
        <v>-356.83000000000015</v>
      </c>
    </row>
    <row r="150" spans="1:10" ht="27.75" customHeight="1">
      <c r="A150" s="844" t="s">
        <v>337</v>
      </c>
      <c r="B150" s="845"/>
      <c r="C150" s="846"/>
      <c r="D150" s="117" t="s">
        <v>130</v>
      </c>
      <c r="E150" s="95">
        <f>'17'!F150</f>
        <v>7752.4</v>
      </c>
      <c r="F150" s="233">
        <v>7974.99</v>
      </c>
      <c r="G150" s="558">
        <f t="shared" si="10"/>
        <v>222.59000000000015</v>
      </c>
      <c r="H150" s="99">
        <f>G150+'17'!H150</f>
        <v>-2875.84</v>
      </c>
      <c r="I150" s="119"/>
      <c r="J150" s="328">
        <f>H150/DAY(B2)</f>
        <v>-159.76888888888891</v>
      </c>
    </row>
    <row r="151" spans="1:10" ht="27.75" customHeight="1">
      <c r="A151" s="844" t="s">
        <v>338</v>
      </c>
      <c r="B151" s="845"/>
      <c r="C151" s="846"/>
      <c r="D151" s="117" t="s">
        <v>130</v>
      </c>
      <c r="E151" s="95">
        <f>'17'!F151</f>
        <v>82156</v>
      </c>
      <c r="F151" s="233">
        <v>82410</v>
      </c>
      <c r="G151" s="558">
        <f t="shared" si="10"/>
        <v>254</v>
      </c>
      <c r="H151" s="99">
        <f>G151+'17'!H151</f>
        <v>-3070</v>
      </c>
      <c r="I151" s="119"/>
      <c r="J151" s="328">
        <f>H151/DAY(B2)</f>
        <v>-170.55555555555554</v>
      </c>
    </row>
    <row r="152" spans="1:10" ht="27.75" customHeight="1">
      <c r="A152" s="844" t="s">
        <v>339</v>
      </c>
      <c r="B152" s="845"/>
      <c r="C152" s="846"/>
      <c r="D152" s="117" t="s">
        <v>130</v>
      </c>
      <c r="E152" s="95">
        <f>'17'!F152</f>
        <v>1419.9</v>
      </c>
      <c r="F152" s="233">
        <v>1435.92</v>
      </c>
      <c r="G152" s="558">
        <f t="shared" si="10"/>
        <v>16.019999999999982</v>
      </c>
      <c r="H152" s="99">
        <f>G152+'17'!H152</f>
        <v>-224.07999999999993</v>
      </c>
      <c r="I152" s="119"/>
      <c r="J152" s="328">
        <f>H152/DAY(B2)</f>
        <v>-12.448888888888884</v>
      </c>
    </row>
    <row r="153" spans="1:10" ht="27.75" customHeight="1">
      <c r="A153" s="847" t="s">
        <v>196</v>
      </c>
      <c r="B153" s="848"/>
      <c r="C153" s="365"/>
      <c r="D153" s="358"/>
      <c r="E153" s="360"/>
      <c r="F153" s="361"/>
      <c r="G153" s="580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27.75" customHeight="1">
      <c r="A155" s="843" t="s">
        <v>345</v>
      </c>
      <c r="B155" s="843"/>
      <c r="C155" s="843"/>
      <c r="D155" s="117" t="s">
        <v>130</v>
      </c>
      <c r="E155" s="95">
        <f>'17'!F155</f>
        <v>23303</v>
      </c>
      <c r="F155" s="471">
        <v>23908.77</v>
      </c>
      <c r="G155" s="558">
        <f t="shared" ref="G155:G157" si="11">F155-E155</f>
        <v>605.77000000000044</v>
      </c>
      <c r="H155" s="99">
        <f>G155+'17'!H155</f>
        <v>-9036.23</v>
      </c>
      <c r="I155" s="364"/>
      <c r="J155" s="328">
        <f>H155/DAY(B2)</f>
        <v>-502.01277777777773</v>
      </c>
    </row>
    <row r="156" spans="1:10" ht="27.75" customHeight="1">
      <c r="A156" s="843" t="s">
        <v>347</v>
      </c>
      <c r="B156" s="843"/>
      <c r="C156" s="843"/>
      <c r="D156" s="117" t="s">
        <v>130</v>
      </c>
      <c r="E156" s="95">
        <f>'17'!F156</f>
        <v>1954</v>
      </c>
      <c r="F156" s="165">
        <v>2010.05</v>
      </c>
      <c r="G156" s="558">
        <f t="shared" si="11"/>
        <v>56.049999999999955</v>
      </c>
      <c r="H156" s="99">
        <f>G156+'17'!H156</f>
        <v>-777.95</v>
      </c>
      <c r="I156" s="165"/>
      <c r="J156" s="328">
        <f>H156/DAY(B2)</f>
        <v>-43.219444444444449</v>
      </c>
    </row>
    <row r="157" spans="1:10" ht="27.75" customHeight="1">
      <c r="A157" s="844" t="s">
        <v>363</v>
      </c>
      <c r="B157" s="845"/>
      <c r="C157" s="846"/>
      <c r="D157" s="117" t="s">
        <v>130</v>
      </c>
      <c r="E157" s="95">
        <f>'17'!F157</f>
        <v>2516.1329999999998</v>
      </c>
      <c r="F157" s="165">
        <v>2598.1799999999998</v>
      </c>
      <c r="G157" s="558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>
      <c r="A158" s="844" t="s">
        <v>364</v>
      </c>
      <c r="B158" s="845"/>
      <c r="C158" s="846"/>
      <c r="D158" s="117" t="s">
        <v>130</v>
      </c>
      <c r="E158" s="95">
        <f>'17'!F158</f>
        <v>23.34</v>
      </c>
      <c r="F158" s="165">
        <v>23.34</v>
      </c>
      <c r="G158" s="558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>
      <c r="A159" s="927"/>
      <c r="B159" s="928"/>
      <c r="C159" s="929"/>
      <c r="D159" s="117"/>
      <c r="E159" s="95"/>
      <c r="F159" s="165"/>
      <c r="G159" s="558"/>
      <c r="H159" s="99"/>
      <c r="I159" s="165"/>
      <c r="J159" s="328"/>
    </row>
    <row r="160" spans="1:10" ht="27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1">
        <f t="shared" ref="G161:G165" si="13">F161-E161</f>
        <v>7.5599999999976717</v>
      </c>
      <c r="H161" s="99">
        <f>G161+'17'!H161</f>
        <v>-600</v>
      </c>
      <c r="I161" s="236"/>
      <c r="J161" s="239">
        <f>H161/DAY(B2)</f>
        <v>-33.333333333333336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1">
        <f t="shared" si="13"/>
        <v>40.30000000000291</v>
      </c>
      <c r="H162" s="99">
        <f>G162+'17'!H162</f>
        <v>-423.09999999999127</v>
      </c>
      <c r="I162" s="236"/>
      <c r="J162" s="239">
        <f>H162/DAY(B2)</f>
        <v>-23.50555555555507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1">
        <f t="shared" si="13"/>
        <v>62.80000000000291</v>
      </c>
      <c r="H163" s="99">
        <f>G163+'17'!H163</f>
        <v>-584.60000000000582</v>
      </c>
      <c r="I163" s="236"/>
      <c r="J163" s="239">
        <f>H163/DAY(B2)</f>
        <v>-32.477777777778101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1">
        <f t="shared" si="13"/>
        <v>9.1000000000003638</v>
      </c>
      <c r="H164" s="99">
        <f>G164+'17'!H164</f>
        <v>-40</v>
      </c>
      <c r="I164" s="236"/>
      <c r="J164" s="239">
        <f>H164/DAY(B2)</f>
        <v>-2.2222222222222223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1">
        <f t="shared" si="13"/>
        <v>9.4500000000007276</v>
      </c>
      <c r="H165" s="99">
        <f>G165+'17'!H165</f>
        <v>-93.349999999998545</v>
      </c>
      <c r="I165" s="236"/>
      <c r="J165" s="239">
        <f>H165/DAY(B2)</f>
        <v>-5.1861111111110301</v>
      </c>
    </row>
    <row r="166" spans="1:10" ht="27.75" customHeight="1">
      <c r="A166" s="852"/>
      <c r="B166" s="852"/>
      <c r="C166" s="246"/>
      <c r="D166" s="244" t="s">
        <v>180</v>
      </c>
      <c r="E166" s="95">
        <f>'17'!F166</f>
        <v>0</v>
      </c>
      <c r="F166" s="165"/>
      <c r="G166" s="578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52"/>
      <c r="B167" s="852"/>
      <c r="C167" s="246"/>
      <c r="D167" s="244" t="s">
        <v>180</v>
      </c>
      <c r="E167" s="95">
        <f>'17'!F167</f>
        <v>0</v>
      </c>
      <c r="F167" s="165"/>
      <c r="G167" s="578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52"/>
      <c r="B168" s="852"/>
      <c r="C168" s="246"/>
      <c r="D168" s="244" t="s">
        <v>180</v>
      </c>
      <c r="E168" s="95">
        <f>'17'!F168</f>
        <v>0</v>
      </c>
      <c r="F168" s="165"/>
      <c r="G168" s="578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 customHeight="1">
      <c r="A172" s="860"/>
      <c r="B172" s="861"/>
      <c r="C172" s="332"/>
      <c r="D172" s="228"/>
      <c r="E172" s="155"/>
      <c r="F172" s="155"/>
      <c r="G172" s="582"/>
      <c r="H172" s="156"/>
      <c r="I172" s="155"/>
      <c r="J172" s="178"/>
    </row>
    <row r="173" spans="1:10" ht="27.75" customHeight="1">
      <c r="A173" s="856" t="s">
        <v>209</v>
      </c>
      <c r="B173" s="857"/>
      <c r="C173" s="333"/>
      <c r="D173" s="228" t="s">
        <v>142</v>
      </c>
      <c r="E173" s="95">
        <f>'17'!F173</f>
        <v>8126</v>
      </c>
      <c r="F173" s="155">
        <v>8126</v>
      </c>
      <c r="G173" s="582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>
      <c r="A174" s="856" t="s">
        <v>75</v>
      </c>
      <c r="B174" s="857"/>
      <c r="C174" s="333"/>
      <c r="D174" s="228" t="s">
        <v>142</v>
      </c>
      <c r="E174" s="95">
        <f>'17'!F174</f>
        <v>38444</v>
      </c>
      <c r="F174" s="157">
        <v>38457</v>
      </c>
      <c r="G174" s="582">
        <f t="shared" ref="G174:G175" si="14">F174-E174</f>
        <v>13</v>
      </c>
      <c r="H174" s="99">
        <f>G174+'17'!H174</f>
        <v>-158</v>
      </c>
      <c r="I174" s="155"/>
      <c r="J174" s="178">
        <f>H174/DAY(B2)</f>
        <v>-8.7777777777777786</v>
      </c>
    </row>
    <row r="175" spans="1:10" ht="27.75" customHeight="1">
      <c r="A175" s="856" t="s">
        <v>76</v>
      </c>
      <c r="B175" s="896"/>
      <c r="C175" s="857"/>
      <c r="D175" s="228" t="s">
        <v>142</v>
      </c>
      <c r="E175" s="95">
        <f>'17'!F175</f>
        <v>21673</v>
      </c>
      <c r="F175" s="155">
        <v>21683</v>
      </c>
      <c r="G175" s="582">
        <f t="shared" si="14"/>
        <v>10</v>
      </c>
      <c r="H175" s="99">
        <f>G175+'17'!H175</f>
        <v>-130</v>
      </c>
      <c r="I175" s="155"/>
      <c r="J175" s="178">
        <f>H175/DAY(B2)</f>
        <v>-7.2222222222222223</v>
      </c>
    </row>
    <row r="176" spans="1:10" ht="27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582">
        <f>SUM(G173:G175)</f>
        <v>23</v>
      </c>
      <c r="H176" s="99">
        <f>G176+'17'!H176</f>
        <v>-288</v>
      </c>
      <c r="I176" s="155"/>
      <c r="J176" s="178">
        <f>H176/DAY(B2)</f>
        <v>-16</v>
      </c>
    </row>
    <row r="177" spans="1:11" ht="27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582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56" t="s">
        <v>210</v>
      </c>
      <c r="B178" s="857"/>
      <c r="C178" s="333"/>
      <c r="D178" s="228" t="s">
        <v>142</v>
      </c>
      <c r="E178" s="95">
        <f>'17'!F178</f>
        <v>80589</v>
      </c>
      <c r="F178" s="155">
        <v>80653</v>
      </c>
      <c r="G178" s="582">
        <f>F178-E178</f>
        <v>64</v>
      </c>
      <c r="H178" s="99">
        <f>G178+'17'!H178</f>
        <v>-662</v>
      </c>
      <c r="I178" s="155"/>
      <c r="J178" s="178">
        <f>H178/DAY(B2)</f>
        <v>-36.777777777777779</v>
      </c>
    </row>
    <row r="179" spans="1:11" ht="27.75" customHeight="1">
      <c r="A179" s="856" t="s">
        <v>211</v>
      </c>
      <c r="B179" s="857"/>
      <c r="C179" s="333"/>
      <c r="D179" s="228" t="s">
        <v>142</v>
      </c>
      <c r="E179" s="95">
        <f>'17'!F179</f>
        <v>34278</v>
      </c>
      <c r="F179" s="155">
        <v>34332</v>
      </c>
      <c r="G179" s="582">
        <f t="shared" ref="G179:G180" si="15">F179-E179</f>
        <v>54</v>
      </c>
      <c r="H179" s="99">
        <f>G179+'17'!H179</f>
        <v>-471</v>
      </c>
      <c r="I179" s="155"/>
      <c r="J179" s="178">
        <f>H179/DAY(B2)</f>
        <v>-26.166666666666668</v>
      </c>
    </row>
    <row r="180" spans="1:11" ht="27.75" customHeight="1">
      <c r="A180" s="856" t="s">
        <v>212</v>
      </c>
      <c r="B180" s="857"/>
      <c r="C180" s="333"/>
      <c r="D180" s="228" t="s">
        <v>142</v>
      </c>
      <c r="E180" s="95">
        <f>'17'!F180</f>
        <v>5596</v>
      </c>
      <c r="F180" s="155">
        <v>5611</v>
      </c>
      <c r="G180" s="582">
        <f t="shared" si="15"/>
        <v>15</v>
      </c>
      <c r="H180" s="99">
        <f>G180+'17'!H180</f>
        <v>-91</v>
      </c>
      <c r="I180" s="155"/>
      <c r="J180" s="178">
        <f>H180/DAY(B2)</f>
        <v>-5.0555555555555554</v>
      </c>
    </row>
    <row r="181" spans="1:11" ht="27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582">
        <f>SUM(G178:G180)</f>
        <v>133</v>
      </c>
      <c r="H181" s="99">
        <f>G181+'17'!H181</f>
        <v>-1224</v>
      </c>
      <c r="I181" s="155"/>
      <c r="J181" s="178">
        <f>H181/DAY(B2)</f>
        <v>-68</v>
      </c>
    </row>
    <row r="182" spans="1:11" ht="27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582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56" t="s">
        <v>214</v>
      </c>
      <c r="B183" s="857"/>
      <c r="C183" s="334"/>
      <c r="D183" s="228" t="s">
        <v>142</v>
      </c>
      <c r="E183" s="95">
        <f>'17'!F183</f>
        <v>15146</v>
      </c>
      <c r="F183" s="157">
        <v>15161</v>
      </c>
      <c r="G183" s="583">
        <f>F183-E183</f>
        <v>15</v>
      </c>
      <c r="H183" s="99">
        <f>G183+'17'!H183</f>
        <v>-184</v>
      </c>
      <c r="I183" s="155"/>
      <c r="J183" s="178">
        <f>H183/DAY(B2)</f>
        <v>-10.222222222222221</v>
      </c>
    </row>
    <row r="184" spans="1:11" ht="27.75" customHeight="1">
      <c r="A184" s="856" t="s">
        <v>215</v>
      </c>
      <c r="B184" s="857"/>
      <c r="C184" s="334"/>
      <c r="D184" s="228" t="s">
        <v>142</v>
      </c>
      <c r="E184" s="95">
        <f>'17'!F184</f>
        <v>10411</v>
      </c>
      <c r="F184" s="157">
        <v>10415</v>
      </c>
      <c r="G184" s="583">
        <f t="shared" ref="G184:G185" si="16">F184-E184</f>
        <v>4</v>
      </c>
      <c r="H184" s="99">
        <f>G184+'17'!H184</f>
        <v>-103</v>
      </c>
      <c r="I184" s="155"/>
      <c r="J184" s="178">
        <f>H184/DAY(B2)</f>
        <v>-5.7222222222222223</v>
      </c>
    </row>
    <row r="185" spans="1:11" ht="27.75" customHeight="1">
      <c r="A185" s="856" t="s">
        <v>216</v>
      </c>
      <c r="B185" s="857"/>
      <c r="C185" s="334"/>
      <c r="D185" s="228" t="s">
        <v>142</v>
      </c>
      <c r="E185" s="95">
        <f>'17'!F185</f>
        <v>0</v>
      </c>
      <c r="F185" s="157"/>
      <c r="G185" s="583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47" t="s">
        <v>196</v>
      </c>
      <c r="B186" s="848"/>
      <c r="C186" s="482"/>
      <c r="D186" s="228" t="s">
        <v>142</v>
      </c>
      <c r="E186" s="95"/>
      <c r="F186" s="157"/>
      <c r="G186" s="583">
        <f>SUM(G183:G185)</f>
        <v>19</v>
      </c>
      <c r="H186" s="99">
        <f>G186+'17'!H186</f>
        <v>-287</v>
      </c>
      <c r="I186" s="157"/>
      <c r="J186" s="178">
        <f>H186/DAY(B2)</f>
        <v>-15.944444444444445</v>
      </c>
    </row>
    <row r="187" spans="1:11" ht="27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584">
        <f>G62+G19</f>
        <v>123</v>
      </c>
      <c r="H187" s="99">
        <f>G187+'17'!H187</f>
        <v>-1920</v>
      </c>
      <c r="I187" s="158"/>
      <c r="J187" s="179">
        <f>H187/DAY(B2)</f>
        <v>-106.66666666666667</v>
      </c>
    </row>
    <row r="188" spans="1:11" ht="27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584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584">
        <f>G181</f>
        <v>133</v>
      </c>
      <c r="H189" s="99">
        <f>G189+'17'!H189</f>
        <v>-1224</v>
      </c>
      <c r="I189" s="158"/>
      <c r="J189" s="179">
        <f>H189/DAY(B2)</f>
        <v>-68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78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603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6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605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6">
        <f>F7-E7</f>
        <v>18033</v>
      </c>
      <c r="H7" s="99">
        <f>G7+'18 '!H7</f>
        <v>-208974.22999999998</v>
      </c>
      <c r="I7" s="113">
        <f>'1'!I7</f>
        <v>12000</v>
      </c>
      <c r="J7" s="175">
        <f>H7/DAY(B2)</f>
        <v>-10998.643684210525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07">
        <f>F8-E8</f>
        <v>18721.169999999984</v>
      </c>
      <c r="H8" s="99">
        <f>G8+'18 '!H8</f>
        <v>-214029.15000000002</v>
      </c>
      <c r="I8" s="116"/>
      <c r="J8" s="175">
        <f>H8/DAY(B2)</f>
        <v>-11264.692105263159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598">
        <v>121587.8</v>
      </c>
      <c r="G9" s="606">
        <f>F9-E9</f>
        <v>11892.270000000004</v>
      </c>
      <c r="H9" s="99">
        <f>G9+'18 '!H9</f>
        <v>2196614.9500000002</v>
      </c>
      <c r="I9" s="124">
        <f>I7-J7</f>
        <v>22998.643684210525</v>
      </c>
      <c r="J9" s="175">
        <f>H9/DAY(B2)</f>
        <v>115611.31315789475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6">
        <f t="shared" ref="G10:G12" si="0">F10-E10</f>
        <v>5563.2200000000012</v>
      </c>
      <c r="H10" s="99">
        <f>G10+'18 '!H10</f>
        <v>553458.42999999993</v>
      </c>
      <c r="I10" s="282"/>
      <c r="J10" s="175">
        <f>H10/DAY(B2)</f>
        <v>29129.391052631574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608">
        <f>G9+G10+G11+G12</f>
        <v>17455.490000000005</v>
      </c>
      <c r="H13" s="99">
        <f>G13+'18 '!H13</f>
        <v>2733318.95</v>
      </c>
      <c r="I13" s="120">
        <f>G7-G13</f>
        <v>577.50999999999476</v>
      </c>
      <c r="J13" s="175">
        <f>H13/DAY(B2)</f>
        <v>143858.89210526316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609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598">
        <v>1895056.3</v>
      </c>
      <c r="G15" s="606">
        <f>(F15-E15)</f>
        <v>834.30000000004657</v>
      </c>
      <c r="H15" s="99">
        <f>G15+'18 '!H15</f>
        <v>-11580.466999999946</v>
      </c>
      <c r="I15" s="113">
        <f>'1'!I15</f>
        <v>800</v>
      </c>
      <c r="J15" s="175">
        <f>H15/DAY(B2)</f>
        <v>-609.49826315789187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606"/>
      <c r="H16" s="124"/>
      <c r="I16" s="120">
        <f>I15-J15</f>
        <v>1409.4982631578919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609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'18 '!F18</f>
        <v>10</v>
      </c>
      <c r="F18" s="122">
        <v>10</v>
      </c>
      <c r="G18" s="608">
        <f>F18*10</f>
        <v>100</v>
      </c>
      <c r="H18" s="99">
        <f>G18+'18 '!H18</f>
        <v>2480</v>
      </c>
      <c r="I18" s="113">
        <f>'1'!I18</f>
        <v>65</v>
      </c>
      <c r="J18" s="175">
        <f>H18/DAY(B2)</f>
        <v>130.52631578947367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'18 '!F19</f>
        <v>153179</v>
      </c>
      <c r="F19" s="122">
        <v>153236</v>
      </c>
      <c r="G19" s="606">
        <f t="shared" ref="G19" si="1">F19-E19</f>
        <v>57</v>
      </c>
      <c r="H19" s="99">
        <f>G19+'18 '!H19</f>
        <v>-655</v>
      </c>
      <c r="I19" s="335"/>
      <c r="J19" s="175">
        <f>H19/DAY(B2)</f>
        <v>-34.473684210526315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610">
        <f>G18+G19</f>
        <v>157</v>
      </c>
      <c r="H20" s="99">
        <f>G20+'18 '!H20</f>
        <v>1825</v>
      </c>
      <c r="I20" s="336">
        <f>I18-J20</f>
        <v>-31.05263157894737</v>
      </c>
      <c r="J20" s="175">
        <f>H20/DAY(B2)</f>
        <v>96.05263157894737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609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0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08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08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611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612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3">
        <f>E27*F27</f>
        <v>168490.52999999985</v>
      </c>
      <c r="H27" s="99">
        <f>G27+'18 '!H27</f>
        <v>-1926262.3500000006</v>
      </c>
      <c r="I27" s="138"/>
      <c r="J27" s="175">
        <f>H27/DAY(B2)</f>
        <v>-101382.22894736845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3">
        <f>E28*F28</f>
        <v>43383.600000002421</v>
      </c>
      <c r="H28" s="99">
        <f>G28+'18 '!H28</f>
        <v>-602184.28399999719</v>
      </c>
      <c r="I28" s="140"/>
      <c r="J28" s="175">
        <f>H28/DAY(B2)</f>
        <v>-31693.909684210379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3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3">
        <f>E30*F30</f>
        <v>8322</v>
      </c>
      <c r="H30" s="99">
        <f>G30+'18 '!H30</f>
        <v>-95630</v>
      </c>
      <c r="I30" s="140"/>
      <c r="J30" s="175">
        <f>H30/DAY(B2)</f>
        <v>-5033.1578947368425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3">
        <f>E31*F31</f>
        <v>8000</v>
      </c>
      <c r="H31" s="99">
        <f>G31+'18 '!H31</f>
        <v>198400</v>
      </c>
      <c r="I31" s="140"/>
      <c r="J31" s="175">
        <f>H31/DAY(B2)</f>
        <v>10442.105263157895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614">
        <f>G27+G28+G29+G30+G31</f>
        <v>228196.13000000227</v>
      </c>
      <c r="H32" s="99">
        <f>G32+'18 '!H32</f>
        <v>-2418086.6339999977</v>
      </c>
      <c r="I32" s="144"/>
      <c r="J32" s="175">
        <f>H32/DAY(B2)</f>
        <v>-127267.71757894725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615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616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6">
        <f t="shared" ref="G35:G46" si="3">F35-E35</f>
        <v>1817.1599999999999</v>
      </c>
      <c r="H35" s="99">
        <f>G35+'18 '!H35</f>
        <v>152339.54</v>
      </c>
      <c r="I35" s="95"/>
      <c r="J35" s="175">
        <f>H35/DAY(B2)</f>
        <v>8017.8705263157899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6">
        <f t="shared" si="3"/>
        <v>661.59999999999854</v>
      </c>
      <c r="H36" s="99">
        <f>G36+'18 '!H36</f>
        <v>-8721.7799999999988</v>
      </c>
      <c r="I36" s="95"/>
      <c r="J36" s="175">
        <f>H36/DAY(B2)</f>
        <v>-459.04105263157891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6">
        <f t="shared" si="3"/>
        <v>1596.17</v>
      </c>
      <c r="H37" s="99">
        <f>G37+'18 '!H37</f>
        <v>188660.05000000002</v>
      </c>
      <c r="I37" s="95"/>
      <c r="J37" s="175">
        <f>H37/DAY(B2)</f>
        <v>9929.476315789474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6">
        <f t="shared" si="3"/>
        <v>1623.5400000000009</v>
      </c>
      <c r="H38" s="99">
        <f>G38+'18 '!H38</f>
        <v>224793.57</v>
      </c>
      <c r="I38" s="95"/>
      <c r="J38" s="175">
        <f>H38/DAY(B2)</f>
        <v>11831.240526315791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6">
        <f t="shared" si="3"/>
        <v>2646.0699999999997</v>
      </c>
      <c r="H39" s="99">
        <f>G39+'18 '!H39</f>
        <v>401588.26999999996</v>
      </c>
      <c r="I39" s="95"/>
      <c r="J39" s="175">
        <f>H39/DAY(B2)</f>
        <v>21136.224736842105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601">
        <f>'18 '!F40</f>
        <v>13643.14</v>
      </c>
      <c r="F40" s="376">
        <v>14058.37</v>
      </c>
      <c r="G40" s="617">
        <f t="shared" si="3"/>
        <v>415.23000000000138</v>
      </c>
      <c r="H40" s="99">
        <f>G40+'18 '!H40</f>
        <v>-8058.6200000000008</v>
      </c>
      <c r="I40" s="95"/>
      <c r="J40" s="175">
        <f>H40/DAY(B2)</f>
        <v>-424.13789473684216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6">
        <f t="shared" si="3"/>
        <v>0</v>
      </c>
      <c r="H41" s="99">
        <f>G41+'18 '!H41</f>
        <v>-62.73</v>
      </c>
      <c r="I41" s="95"/>
      <c r="J41" s="175">
        <f>H41/DAY(B2)</f>
        <v>-3.3015789473684207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6">
        <f t="shared" si="3"/>
        <v>0</v>
      </c>
      <c r="H42" s="99">
        <f>G42+'18 '!H42</f>
        <v>-26321.14</v>
      </c>
      <c r="I42" s="95"/>
      <c r="J42" s="175">
        <f>H42/DAY(B2)</f>
        <v>-1385.3231578947368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6">
        <f t="shared" si="3"/>
        <v>2372.3700000000099</v>
      </c>
      <c r="H43" s="99">
        <f>G43+'18 '!H43</f>
        <v>-25098.080000000002</v>
      </c>
      <c r="I43" s="95"/>
      <c r="J43" s="175">
        <f>H43/DAY(B2)</f>
        <v>-1320.9515789473685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608">
        <f>G35+G36+G37+G38+G39+G40+G41+G42+G43+G44+G45+G46</f>
        <v>11132.14000000001</v>
      </c>
      <c r="H47" s="99">
        <f>G47+'18 '!H47</f>
        <v>899119.08000000019</v>
      </c>
      <c r="I47" s="95"/>
      <c r="J47" s="175">
        <f>H47/DAY(B2)</f>
        <v>47322.056842105274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616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6">
        <f t="shared" ref="G49:G58" si="4">F49-E49</f>
        <v>1124.4899999999998</v>
      </c>
      <c r="H49" s="99">
        <f>G49+'18 '!H49</f>
        <v>274076.62999999995</v>
      </c>
      <c r="I49" s="95"/>
      <c r="J49" s="175">
        <f>H49/DAY(B2)</f>
        <v>14425.085789473682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6">
        <f t="shared" si="4"/>
        <v>975.76000000000204</v>
      </c>
      <c r="H50" s="99">
        <f>G50+'18 '!H50</f>
        <v>-13364.939999999995</v>
      </c>
      <c r="I50" s="95"/>
      <c r="J50" s="175">
        <f>H50/DAY(B2)</f>
        <v>-703.41789473684184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6">
        <f t="shared" si="4"/>
        <v>0</v>
      </c>
      <c r="H54" s="99">
        <f>G54+'18 '!H54</f>
        <v>1753</v>
      </c>
      <c r="I54" s="95"/>
      <c r="J54" s="175">
        <f>H54/DAY(B2)</f>
        <v>92.263157894736835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6">
        <f t="shared" si="4"/>
        <v>2846.1399999999994</v>
      </c>
      <c r="H55" s="99">
        <f>G55+'18 '!H55</f>
        <v>-13680.279999999999</v>
      </c>
      <c r="I55" s="95"/>
      <c r="J55" s="175">
        <f>H55/DAY(B2)</f>
        <v>-720.01473684210521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6">
        <f t="shared" si="4"/>
        <v>161.78999999999996</v>
      </c>
      <c r="H58" s="99">
        <f>G58+'18 '!H58</f>
        <v>-2485.94</v>
      </c>
      <c r="I58" s="95"/>
      <c r="J58" s="175">
        <f>H58/DAY(B2)</f>
        <v>-130.83894736842106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608">
        <f>G49+G50+G51+G52+G53+G54+G55+G56+G57+G58</f>
        <v>5108.1800000000012</v>
      </c>
      <c r="H59" s="99">
        <f>G59+'18 '!H59</f>
        <v>246298.46999999997</v>
      </c>
      <c r="I59" s="95">
        <f>G7-G60</f>
        <v>1792.6799999999894</v>
      </c>
      <c r="J59" s="175">
        <f>H59/DAY(B2)</f>
        <v>12963.077368421051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608">
        <f>G47+G59</f>
        <v>16240.320000000011</v>
      </c>
      <c r="H60" s="99">
        <f>G60+'18 '!H60</f>
        <v>1145417.5500000003</v>
      </c>
      <c r="I60" s="95">
        <f>G13-G60</f>
        <v>1215.1699999999946</v>
      </c>
      <c r="J60" s="175">
        <f>H60/DAY(B2)</f>
        <v>60285.134210526332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618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'18 '!F62</f>
        <v>268308</v>
      </c>
      <c r="F62" s="122">
        <v>268368</v>
      </c>
      <c r="G62" s="606">
        <f t="shared" ref="G62:G63" si="5">F62-E62</f>
        <v>60</v>
      </c>
      <c r="H62" s="99">
        <f>G62+'18 '!H62</f>
        <v>-1148</v>
      </c>
      <c r="I62" s="118"/>
      <c r="J62" s="175">
        <f>H62/DAY(B2)</f>
        <v>-60.421052631578945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'18 '!F63</f>
        <v>214242</v>
      </c>
      <c r="F63" s="122">
        <v>214335</v>
      </c>
      <c r="G63" s="606">
        <f t="shared" si="5"/>
        <v>93</v>
      </c>
      <c r="H63" s="99">
        <f>G63+'18 '!H63</f>
        <v>-1462</v>
      </c>
      <c r="I63" s="118"/>
      <c r="J63" s="175">
        <f>H63/DAY(B2)</f>
        <v>-76.94736842105263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'18 '!F64</f>
        <v>0</v>
      </c>
      <c r="F64" s="122"/>
      <c r="G64" s="606">
        <f>G62+G63</f>
        <v>153</v>
      </c>
      <c r="H64" s="99">
        <f>G64+'18 '!H64</f>
        <v>-2610</v>
      </c>
      <c r="I64" s="118"/>
      <c r="J64" s="175">
        <f>H64/DAY(B2)</f>
        <v>-137.36842105263159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'18 '!F65</f>
        <v>433856</v>
      </c>
      <c r="F65" s="122">
        <v>433919</v>
      </c>
      <c r="G65" s="606">
        <f t="shared" ref="G65:G70" si="6">F65-E65</f>
        <v>63</v>
      </c>
      <c r="H65" s="99">
        <f>G65+'18 '!H65</f>
        <v>-1004</v>
      </c>
      <c r="I65" s="118"/>
      <c r="J65" s="175">
        <f>H65/DAY(B2)</f>
        <v>-52.842105263157897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6">
        <f t="shared" si="6"/>
        <v>15</v>
      </c>
      <c r="H66" s="99">
        <f>G66+'18 '!H66</f>
        <v>-209</v>
      </c>
      <c r="I66" s="118"/>
      <c r="J66" s="175">
        <f>H66/DAY(B2)</f>
        <v>-11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6">
        <f t="shared" si="6"/>
        <v>23</v>
      </c>
      <c r="H67" s="99">
        <f>G67+'18 '!H67</f>
        <v>-281</v>
      </c>
      <c r="I67" s="118"/>
      <c r="J67" s="175">
        <f>H67/DAY(B2)</f>
        <v>-14.789473684210526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6">
        <f t="shared" si="6"/>
        <v>30</v>
      </c>
      <c r="H68" s="99">
        <f>G68+'18 '!H68</f>
        <v>-554</v>
      </c>
      <c r="I68" s="118"/>
      <c r="J68" s="175">
        <f>H68/DAY(B2)</f>
        <v>-29.157894736842106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6">
        <f t="shared" si="6"/>
        <v>8</v>
      </c>
      <c r="H69" s="99">
        <f>G69+'18 '!H69</f>
        <v>-144</v>
      </c>
      <c r="I69" s="118"/>
      <c r="J69" s="175">
        <f>H69/DAY(B2)</f>
        <v>-7.5789473684210522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6">
        <f t="shared" si="6"/>
        <v>6.1000000000003638</v>
      </c>
      <c r="H70" s="99">
        <f>G70+'18 '!H70</f>
        <v>-118.89999999999964</v>
      </c>
      <c r="I70" s="118"/>
      <c r="J70" s="175">
        <f>H70/DAY(B2)</f>
        <v>-6.2578947368420863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95">
        <f>'18 '!F71</f>
        <v>0</v>
      </c>
      <c r="F71" s="152"/>
      <c r="G71" s="619">
        <f>SUM(G65:G70)</f>
        <v>145.10000000000036</v>
      </c>
      <c r="H71" s="99">
        <f>G71+'18 '!H71</f>
        <v>-2310.8999999999996</v>
      </c>
      <c r="I71" s="154"/>
      <c r="J71" s="175">
        <f>H71/DAY(B2)</f>
        <v>-121.62631578947367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62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618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'18 '!F74</f>
        <v>897366.15</v>
      </c>
      <c r="F74" s="117">
        <v>897672.5</v>
      </c>
      <c r="G74" s="606">
        <f t="shared" ref="G74:G78" si="7">F74-E74</f>
        <v>306.34999999997672</v>
      </c>
      <c r="H74" s="99">
        <f>G74+'18 '!H74</f>
        <v>-3633.6489999999758</v>
      </c>
      <c r="I74" s="154"/>
      <c r="J74" s="175">
        <f>H74/DAY(B2)</f>
        <v>-191.24468421052504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'18 '!F75</f>
        <v>73586.8</v>
      </c>
      <c r="F75" s="123">
        <v>73586.8</v>
      </c>
      <c r="G75" s="60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'18 '!F76</f>
        <v>168711</v>
      </c>
      <c r="F76" s="123">
        <v>168794.9</v>
      </c>
      <c r="G76" s="606">
        <f t="shared" si="7"/>
        <v>83.899999999994179</v>
      </c>
      <c r="H76" s="99">
        <f>G76+'18 '!H76</f>
        <v>-1180.1000000000058</v>
      </c>
      <c r="I76" s="154"/>
      <c r="J76" s="175">
        <f>H76/DAY(B2)</f>
        <v>-62.110526315789777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'18 '!F77</f>
        <v>40844</v>
      </c>
      <c r="F77" s="123">
        <v>40871.1</v>
      </c>
      <c r="G77" s="606">
        <f t="shared" si="7"/>
        <v>27.099999999998545</v>
      </c>
      <c r="H77" s="99">
        <f>G77+'18 '!H77</f>
        <v>-431.09999999999854</v>
      </c>
      <c r="I77" s="154"/>
      <c r="J77" s="175">
        <f>H77/DAY(B2)</f>
        <v>-22.689473684210451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'18 '!F78</f>
        <v>9500</v>
      </c>
      <c r="F78" s="123">
        <v>9501.2999999999993</v>
      </c>
      <c r="G78" s="606">
        <f t="shared" si="7"/>
        <v>1.2999999999992724</v>
      </c>
      <c r="H78" s="99">
        <f>G78+'18 '!H78</f>
        <v>-14.700000000000728</v>
      </c>
      <c r="I78" s="118"/>
      <c r="J78" s="175">
        <f>H78/DAY(B2)</f>
        <v>-0.77368421052635405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'18 '!F79</f>
        <v>0</v>
      </c>
      <c r="F79" s="123"/>
      <c r="G79" s="606">
        <f>G15-SUM(G74:G78)</f>
        <v>415.65000000007785</v>
      </c>
      <c r="H79" s="99">
        <f>G79+'18 '!H79</f>
        <v>-6320.9179999999651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606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621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6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6">
        <f t="shared" si="8"/>
        <v>0</v>
      </c>
      <c r="H85" s="99">
        <f>G85+'18 '!H85</f>
        <v>-163.86999999999989</v>
      </c>
      <c r="I85" s="118">
        <f>G82+G83+G84+G85</f>
        <v>0.13999999999941792</v>
      </c>
      <c r="J85" s="175">
        <f>H85/DAY(B2)</f>
        <v>-8.624736842105257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6">
        <f t="shared" si="8"/>
        <v>24.940000000002328</v>
      </c>
      <c r="H86" s="99">
        <f>G86+'18 '!H86</f>
        <v>-121</v>
      </c>
      <c r="I86" s="118"/>
      <c r="J86" s="175">
        <f>H86/DAY(B2)</f>
        <v>-6.3684210526315788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6">
        <f t="shared" si="8"/>
        <v>0</v>
      </c>
      <c r="H87" s="99">
        <f>G87+'18 '!H87</f>
        <v>5.0000000002910383E-2</v>
      </c>
      <c r="I87" s="118"/>
      <c r="J87" s="175">
        <f>H87/DAY(B2)</f>
        <v>2.6315789475215992E-3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6">
        <f t="shared" si="8"/>
        <v>0.20999999999912689</v>
      </c>
      <c r="H88" s="99">
        <f>G88+'18 '!H88</f>
        <v>-2.0600000000013097</v>
      </c>
      <c r="I88" s="118">
        <f>G86+G87+G88</f>
        <v>25.150000000001455</v>
      </c>
      <c r="J88" s="175">
        <f>H88/DAY(B2)</f>
        <v>-0.10842105263164788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6">
        <f t="shared" si="8"/>
        <v>7.0200000000004366</v>
      </c>
      <c r="H89" s="99">
        <f>G89+'18 '!H89</f>
        <v>-112.04999999999927</v>
      </c>
      <c r="I89" s="118"/>
      <c r="J89" s="175">
        <f>H89/DAY(B2)</f>
        <v>-5.897368421052593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6">
        <f t="shared" si="8"/>
        <v>1.8600000000005821</v>
      </c>
      <c r="H90" s="99">
        <f>G90+'18 '!H90</f>
        <v>-29.75</v>
      </c>
      <c r="I90" s="118">
        <f>G89+G90</f>
        <v>8.8800000000010186</v>
      </c>
      <c r="J90" s="175">
        <f>H90/DAY(B2)</f>
        <v>-1.5657894736842106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6">
        <f t="shared" si="8"/>
        <v>0</v>
      </c>
      <c r="H91" s="99">
        <f>G91+'18 '!H91</f>
        <v>-24.769999999999982</v>
      </c>
      <c r="I91" s="165"/>
      <c r="J91" s="175">
        <f>H91/DAY(B2)</f>
        <v>-1.3036842105263149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6">
        <f t="shared" si="8"/>
        <v>10.730000000000473</v>
      </c>
      <c r="H92" s="99">
        <f>G92+'18 '!H92</f>
        <v>-105.00999999999931</v>
      </c>
      <c r="I92" s="165"/>
      <c r="J92" s="175">
        <f>H92/DAY(B2)</f>
        <v>-5.5268421052631211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609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622">
        <f>G35+G43+G49+G57</f>
        <v>5314.0200000000095</v>
      </c>
      <c r="H94" s="99">
        <f>G94+'18 '!H94</f>
        <v>401318.08999999997</v>
      </c>
      <c r="I94" s="118"/>
      <c r="J94" s="175">
        <f>H94/DAY(B2)</f>
        <v>21122.004736842104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623">
        <f>G94/G7</f>
        <v>0.29468308101813395</v>
      </c>
      <c r="H95" s="99">
        <f>G95+'18 '!H95</f>
        <v>4.257381761457772</v>
      </c>
      <c r="I95" s="167"/>
      <c r="J95" s="175">
        <f>H95/DAY(B2)</f>
        <v>0.22407272428725117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622">
        <f>G41+G42+G55+G56</f>
        <v>2846.1399999999994</v>
      </c>
      <c r="H96" s="99">
        <f>G96+'18 '!H96</f>
        <v>-40064.150000000016</v>
      </c>
      <c r="I96" s="118"/>
      <c r="J96" s="175">
        <f>H96/DAY(B2)</f>
        <v>-2108.6394736842112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623">
        <f>G96/G7</f>
        <v>0.15782953474186212</v>
      </c>
      <c r="H97" s="99">
        <f>G97+'18 '!H97</f>
        <v>3.3366444620413285</v>
      </c>
      <c r="I97" s="167"/>
      <c r="J97" s="175">
        <f>H97/DAY(B2)</f>
        <v>0.17561286642322782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622">
        <f>G39+G53</f>
        <v>2646.0699999999997</v>
      </c>
      <c r="H98" s="99">
        <f>G98+'18 '!H98</f>
        <v>401588.26999999996</v>
      </c>
      <c r="I98" s="168"/>
      <c r="J98" s="175">
        <f>H98/DAY(B2)</f>
        <v>21136.224736842105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623">
        <f>G98/G7</f>
        <v>0.14673487495147783</v>
      </c>
      <c r="H99" s="99">
        <f>G99+'18 '!H99</f>
        <v>1.9502721471073969</v>
      </c>
      <c r="I99" s="168"/>
      <c r="J99" s="175">
        <f>H99/DAY(B2)</f>
        <v>0.10264590247933668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622">
        <f>G38+G52</f>
        <v>1623.5400000000009</v>
      </c>
      <c r="H100" s="99">
        <f>G100+'18 '!H100</f>
        <v>224793.57</v>
      </c>
      <c r="I100" s="118"/>
      <c r="J100" s="175">
        <f>H100/DAY(B2)</f>
        <v>11831.240526315791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623">
        <f>G100/G7</f>
        <v>9.0031608717351566E-2</v>
      </c>
      <c r="H101" s="99">
        <f>G101+'18 '!H101</f>
        <v>1.3095100074270776</v>
      </c>
      <c r="I101" s="168"/>
      <c r="J101" s="175">
        <f>H101/DAY(B2)</f>
        <v>6.8921579338267244E-2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622">
        <f>G36+G50</f>
        <v>1637.3600000000006</v>
      </c>
      <c r="H102" s="99">
        <f>G102+'18 '!H102</f>
        <v>-22086.719999999994</v>
      </c>
      <c r="I102" s="168"/>
      <c r="J102" s="175">
        <f>H102/DAY(B2)</f>
        <v>-1162.4589473684207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623">
        <f>G102/G7</f>
        <v>9.0797981478400736E-2</v>
      </c>
      <c r="H103" s="99">
        <f>G103+'18 '!H103</f>
        <v>1.8284460261374023</v>
      </c>
      <c r="I103" s="118"/>
      <c r="J103" s="175">
        <f>H103/DAY(B2)</f>
        <v>9.6234001375652745E-2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622">
        <f>G37+G51</f>
        <v>1596.17</v>
      </c>
      <c r="H104" s="99">
        <f>G104+'18 '!H104</f>
        <v>188660.05000000002</v>
      </c>
      <c r="I104" s="118"/>
      <c r="J104" s="175">
        <f>H104/DAY(B2)</f>
        <v>9929.476315789474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624">
        <f>G104/G7</f>
        <v>8.8513835745577557E-2</v>
      </c>
      <c r="H105" s="99">
        <f>G105+'18 '!H105</f>
        <v>1.2372152677523163</v>
      </c>
      <c r="I105" s="187"/>
      <c r="J105" s="188">
        <f>H105/DAY(B2)</f>
        <v>6.5116593039595591E-2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625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627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'18 '!F112</f>
        <v>57044.5</v>
      </c>
      <c r="F112" s="237">
        <v>57125.98</v>
      </c>
      <c r="G112" s="606">
        <f t="shared" ref="G112:G123" si="9">F112-E112</f>
        <v>81.480000000003201</v>
      </c>
      <c r="H112" s="99">
        <f>G112+'18 '!H112</f>
        <v>-928.0199999999968</v>
      </c>
      <c r="I112" s="165"/>
      <c r="J112" s="328">
        <f>H112/DAY(B2)</f>
        <v>-48.84315789473667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'18 '!F113</f>
        <v>40324.26</v>
      </c>
      <c r="F113" s="237">
        <v>40787.379999999997</v>
      </c>
      <c r="G113" s="606">
        <f t="shared" si="9"/>
        <v>463.11999999999534</v>
      </c>
      <c r="H113" s="99">
        <f>G113+'18 '!H113</f>
        <v>-5613.510000000002</v>
      </c>
      <c r="I113" s="165"/>
      <c r="J113" s="328">
        <f>H113/DAY(B2)</f>
        <v>-295.44789473684222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'18 '!F114</f>
        <v>29635.1</v>
      </c>
      <c r="F114" s="237">
        <v>29901.7</v>
      </c>
      <c r="G114" s="606">
        <f t="shared" si="9"/>
        <v>266.60000000000218</v>
      </c>
      <c r="H114" s="99">
        <f>G114+'18 '!H114</f>
        <v>-3391.8999999999996</v>
      </c>
      <c r="I114" s="165"/>
      <c r="J114" s="328">
        <f>H114/DAY(B2)</f>
        <v>-178.52105263157893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'18 '!F115</f>
        <v>8969.3700000000008</v>
      </c>
      <c r="F115" s="237">
        <v>8979.4500000000007</v>
      </c>
      <c r="G115" s="606">
        <f t="shared" si="9"/>
        <v>10.079999999999927</v>
      </c>
      <c r="H115" s="99">
        <f>G115+'18 '!H115</f>
        <v>-115.19999999999891</v>
      </c>
      <c r="I115" s="165"/>
      <c r="J115" s="328">
        <f>H115/DAY(B2)</f>
        <v>-6.0631578947367846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'18 '!F116</f>
        <v>0</v>
      </c>
      <c r="F116" s="237">
        <v>0</v>
      </c>
      <c r="G116" s="606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'18 '!F117</f>
        <v>3023.11</v>
      </c>
      <c r="F117" s="237">
        <v>3046.45</v>
      </c>
      <c r="G117" s="606">
        <f t="shared" si="9"/>
        <v>23.339999999999691</v>
      </c>
      <c r="H117" s="99">
        <f>G117+'18 '!H117</f>
        <v>-291.5</v>
      </c>
      <c r="I117" s="165"/>
      <c r="J117" s="328">
        <f>H117/DAY(B2)</f>
        <v>-15.342105263157896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'18 '!F118</f>
        <v>248035.49</v>
      </c>
      <c r="F118" s="237">
        <v>248401.09</v>
      </c>
      <c r="G118" s="606">
        <f t="shared" si="9"/>
        <v>365.60000000000582</v>
      </c>
      <c r="H118" s="99">
        <f>G118+'18 '!H118</f>
        <v>-4051.2200000000012</v>
      </c>
      <c r="I118" s="165"/>
      <c r="J118" s="328">
        <f>H118/DAY(B2)</f>
        <v>-213.22210526315794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'18 '!F119</f>
        <v>252682.05</v>
      </c>
      <c r="F119" s="237">
        <v>253125.45</v>
      </c>
      <c r="G119" s="606">
        <f t="shared" si="9"/>
        <v>443.40000000002328</v>
      </c>
      <c r="H119" s="99">
        <f>G119+'18 '!H119</f>
        <v>-5023.0999999999767</v>
      </c>
      <c r="I119" s="165"/>
      <c r="J119" s="328">
        <f>H119/DAY(B2)</f>
        <v>-264.37368421052508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'18 '!F120</f>
        <v>37580.07</v>
      </c>
      <c r="F120" s="237">
        <v>37987.129999999997</v>
      </c>
      <c r="G120" s="606">
        <f t="shared" si="9"/>
        <v>407.05999999999767</v>
      </c>
      <c r="H120" s="99">
        <f>G120+'18 '!H120</f>
        <v>-4972.4800000000032</v>
      </c>
      <c r="I120" s="165"/>
      <c r="J120" s="328">
        <f>H120/DAY(B2)</f>
        <v>-261.70947368421071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'18 '!F121</f>
        <v>389079</v>
      </c>
      <c r="F121" s="237">
        <v>389744.43</v>
      </c>
      <c r="G121" s="606">
        <f t="shared" si="9"/>
        <v>665.42999999999302</v>
      </c>
      <c r="H121" s="99">
        <f>G121+'18 '!H121</f>
        <v>-8290</v>
      </c>
      <c r="I121" s="165"/>
      <c r="J121" s="328">
        <f>H121/DAY(B2)</f>
        <v>-436.31578947368422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'18 '!F122</f>
        <v>123702</v>
      </c>
      <c r="F122" s="237">
        <v>123875.49</v>
      </c>
      <c r="G122" s="606">
        <f t="shared" si="9"/>
        <v>173.49000000000524</v>
      </c>
      <c r="H122" s="99">
        <f>G122+'18 '!H122</f>
        <v>-2310.6899999999878</v>
      </c>
      <c r="I122" s="165"/>
      <c r="J122" s="328">
        <f>H122/DAY(B2)</f>
        <v>-121.61526315789409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'18 '!F123</f>
        <v>150502.59</v>
      </c>
      <c r="F123" s="237">
        <v>150781.35</v>
      </c>
      <c r="G123" s="606">
        <f t="shared" si="9"/>
        <v>278.76000000000931</v>
      </c>
      <c r="H123" s="99">
        <f>G123+'18 '!H123</f>
        <v>-3265.6000000000058</v>
      </c>
      <c r="I123" s="165"/>
      <c r="J123" s="328">
        <f>H123/DAY(B2)</f>
        <v>-171.87368421052662</v>
      </c>
    </row>
    <row r="124" spans="1:18" ht="29.25" customHeight="1">
      <c r="A124" s="867"/>
      <c r="B124" s="868"/>
      <c r="C124" s="869"/>
      <c r="D124" s="165"/>
      <c r="E124" s="95">
        <f>'18 '!F124</f>
        <v>0</v>
      </c>
      <c r="F124" s="165"/>
      <c r="G124" s="6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628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628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'18 '!F128</f>
        <v>43694.22</v>
      </c>
      <c r="F128" s="165">
        <v>44007</v>
      </c>
      <c r="G128" s="606">
        <f t="shared" ref="G128:G134" si="10">F128-E128</f>
        <v>312.77999999999884</v>
      </c>
      <c r="H128" s="99">
        <f>G128+'18 '!H128</f>
        <v>-3739</v>
      </c>
      <c r="I128" s="165"/>
      <c r="J128" s="328">
        <f>H128/DAY(B2)</f>
        <v>-196.78947368421052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6">
        <f t="shared" si="10"/>
        <v>198.02999999999884</v>
      </c>
      <c r="H129" s="99">
        <f>G129+'18 '!H129</f>
        <v>-2371.8199999999997</v>
      </c>
      <c r="I129" s="165"/>
      <c r="J129" s="328">
        <f>H129/DAY(B2)</f>
        <v>-124.83263157894736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6">
        <f t="shared" si="10"/>
        <v>752.9800000000032</v>
      </c>
      <c r="H130" s="99">
        <f>G130+'18 '!H130</f>
        <v>-5974.7599999999984</v>
      </c>
      <c r="I130" s="165"/>
      <c r="J130" s="328">
        <f>H130/DAY(B2)</f>
        <v>-314.46105263157887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'18 '!F131</f>
        <v>14447.42</v>
      </c>
      <c r="F131" s="165">
        <v>14534.22</v>
      </c>
      <c r="G131" s="606">
        <f t="shared" si="10"/>
        <v>86.799999999999272</v>
      </c>
      <c r="H131" s="99">
        <f>G131+'18 '!H131</f>
        <v>-773.46000000000095</v>
      </c>
      <c r="I131" s="165"/>
      <c r="J131" s="328">
        <f>H131/DAY(B2)</f>
        <v>-40.708421052631628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'18 '!F132</f>
        <v>49682.7</v>
      </c>
      <c r="F132" s="165">
        <v>49852.15</v>
      </c>
      <c r="G132" s="606">
        <f t="shared" si="10"/>
        <v>169.45000000000437</v>
      </c>
      <c r="H132" s="99">
        <f>G132+'18 '!H132</f>
        <v>-1996.1500000000015</v>
      </c>
      <c r="I132" s="165"/>
      <c r="J132" s="328">
        <f>H132/DAY(B2)</f>
        <v>-105.06052631578955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'18 '!F133</f>
        <v>98583.4</v>
      </c>
      <c r="F133" s="165">
        <v>99251.43</v>
      </c>
      <c r="G133" s="606">
        <f t="shared" si="10"/>
        <v>668.02999999999884</v>
      </c>
      <c r="H133" s="99">
        <f>G133+'18 '!H133</f>
        <v>-6092.2700000000041</v>
      </c>
      <c r="I133" s="165"/>
      <c r="J133" s="328">
        <f>H133/DAY(B2)</f>
        <v>-320.64578947368443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'18 '!F134</f>
        <v>6368.93</v>
      </c>
      <c r="F134" s="165">
        <v>6620</v>
      </c>
      <c r="G134" s="606">
        <f t="shared" si="10"/>
        <v>251.06999999999971</v>
      </c>
      <c r="H134" s="99">
        <f>G134+'18 '!H134</f>
        <v>669192.77</v>
      </c>
      <c r="I134" s="165"/>
      <c r="J134" s="328">
        <f>H134/DAY(B2)</f>
        <v>35220.672105263162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606">
        <f>SUM(G128:G134)</f>
        <v>2439.1400000000031</v>
      </c>
      <c r="H135" s="99">
        <f>G135+'10'!H135</f>
        <v>629677.36</v>
      </c>
      <c r="I135" s="327">
        <f>G135-(G35+G49)</f>
        <v>-502.50999999999658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627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'18 '!F138</f>
        <v>865289</v>
      </c>
      <c r="F138" s="147">
        <v>865348</v>
      </c>
      <c r="G138" s="606">
        <f t="shared" ref="G138:G152" si="11">F138-E138</f>
        <v>59</v>
      </c>
      <c r="H138" s="99">
        <f>G138+'18 '!H138</f>
        <v>-825</v>
      </c>
      <c r="I138" s="118"/>
      <c r="J138" s="328">
        <f>H138/DAY(B2)</f>
        <v>-43.421052631578945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'18 '!F139</f>
        <v>886551</v>
      </c>
      <c r="F139" s="148">
        <v>886551</v>
      </c>
      <c r="G139" s="606">
        <f t="shared" si="11"/>
        <v>0</v>
      </c>
      <c r="H139" s="99">
        <f>G139+'18 '!H139</f>
        <v>-22</v>
      </c>
      <c r="I139" s="118"/>
      <c r="J139" s="328">
        <f>H139/DAY(B2)</f>
        <v>-1.1578947368421053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'18 '!F140</f>
        <v>88898</v>
      </c>
      <c r="F140" s="149">
        <v>88898</v>
      </c>
      <c r="G140" s="606">
        <f t="shared" si="11"/>
        <v>0</v>
      </c>
      <c r="H140" s="99">
        <f>G140+'18 '!H140</f>
        <v>-24</v>
      </c>
      <c r="I140" s="118"/>
      <c r="J140" s="328">
        <f>H140/DAY(B2)</f>
        <v>-1.263157894736842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'18 '!F141</f>
        <v>52406.65</v>
      </c>
      <c r="F141" s="149">
        <v>52577.7</v>
      </c>
      <c r="G141" s="606">
        <f t="shared" si="11"/>
        <v>171.04999999999563</v>
      </c>
      <c r="H141" s="99">
        <f>G141+'18 '!H141</f>
        <v>-2107.8800000000047</v>
      </c>
      <c r="I141" s="118"/>
      <c r="J141" s="328">
        <f>H141/DAY(B2)</f>
        <v>-110.9410526315792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'18 '!F142</f>
        <v>20277.63</v>
      </c>
      <c r="F142" s="148">
        <v>20344.240000000002</v>
      </c>
      <c r="G142" s="606">
        <f t="shared" si="11"/>
        <v>66.610000000000582</v>
      </c>
      <c r="H142" s="99">
        <f>G142+'18 '!H142</f>
        <v>-939.85999999999694</v>
      </c>
      <c r="I142" s="140"/>
      <c r="J142" s="328">
        <f>H142/DAY(B2)</f>
        <v>-49.466315789473526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'18 '!F143</f>
        <v>3491.46</v>
      </c>
      <c r="F143" s="149">
        <v>3515.52</v>
      </c>
      <c r="G143" s="606">
        <f t="shared" si="11"/>
        <v>24.059999999999945</v>
      </c>
      <c r="H143" s="99">
        <f>G143+'18 '!H143</f>
        <v>-319.86999999999989</v>
      </c>
      <c r="I143" s="140"/>
      <c r="J143" s="328">
        <f>H143/DAY(B2)</f>
        <v>-16.83526315789473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'18 '!F144</f>
        <v>873743</v>
      </c>
      <c r="F144" s="149">
        <v>873963</v>
      </c>
      <c r="G144" s="606">
        <f t="shared" si="11"/>
        <v>220</v>
      </c>
      <c r="H144" s="99">
        <f>G144+'18 '!H144</f>
        <v>-2524</v>
      </c>
      <c r="I144" s="140"/>
      <c r="J144" s="328">
        <f>H144/DAY(B2)</f>
        <v>-132.84210526315789</v>
      </c>
    </row>
    <row r="145" spans="1:17" ht="27.75">
      <c r="A145" s="862" t="s">
        <v>190</v>
      </c>
      <c r="B145" s="862"/>
      <c r="C145" s="862"/>
      <c r="D145" s="152" t="s">
        <v>183</v>
      </c>
      <c r="E145" s="95">
        <f>'18 '!F145</f>
        <v>4827.1899999999996</v>
      </c>
      <c r="F145" s="149">
        <v>4843.3999999999996</v>
      </c>
      <c r="G145" s="606">
        <f t="shared" si="11"/>
        <v>16.210000000000036</v>
      </c>
      <c r="H145" s="99">
        <f>G145+'18 '!H145</f>
        <v>-115.44000000000051</v>
      </c>
      <c r="I145" s="140"/>
      <c r="J145" s="328">
        <f>H145/DAY(B2)</f>
        <v>-6.0757894736842371</v>
      </c>
    </row>
    <row r="146" spans="1:17" ht="27.75">
      <c r="A146" s="897" t="s">
        <v>191</v>
      </c>
      <c r="B146" s="882"/>
      <c r="C146" s="883"/>
      <c r="D146" s="152" t="s">
        <v>183</v>
      </c>
      <c r="E146" s="95">
        <f>'18 '!F146</f>
        <v>732122</v>
      </c>
      <c r="F146" s="148">
        <v>732529</v>
      </c>
      <c r="G146" s="606">
        <f t="shared" si="11"/>
        <v>407</v>
      </c>
      <c r="H146" s="99">
        <f>G146+'18 '!H146</f>
        <v>-4804</v>
      </c>
      <c r="I146" s="140"/>
      <c r="J146" s="328">
        <f>H146/DAY(B2)</f>
        <v>-252.84210526315789</v>
      </c>
    </row>
    <row r="147" spans="1:17" ht="27.75">
      <c r="A147" s="843" t="s">
        <v>192</v>
      </c>
      <c r="B147" s="843"/>
      <c r="C147" s="843"/>
      <c r="D147" s="152" t="s">
        <v>183</v>
      </c>
      <c r="E147" s="95">
        <f>'18 '!F147</f>
        <v>621813.56000000006</v>
      </c>
      <c r="F147" s="148">
        <v>622164.64</v>
      </c>
      <c r="G147" s="606">
        <f t="shared" si="11"/>
        <v>351.07999999995809</v>
      </c>
      <c r="H147" s="99">
        <f>G147+'18 '!H147</f>
        <v>-4447.8800000000047</v>
      </c>
      <c r="I147" s="140"/>
      <c r="J147" s="328">
        <f>H147/DAY(B2)</f>
        <v>-234.09894736842131</v>
      </c>
    </row>
    <row r="148" spans="1:17" ht="27.75">
      <c r="A148" s="844" t="s">
        <v>193</v>
      </c>
      <c r="B148" s="845"/>
      <c r="C148" s="846"/>
      <c r="D148" s="123" t="s">
        <v>130</v>
      </c>
      <c r="E148" s="95">
        <f>'18 '!F148</f>
        <v>687015.44</v>
      </c>
      <c r="F148" s="150">
        <v>687181.52</v>
      </c>
      <c r="G148" s="606">
        <f t="shared" si="11"/>
        <v>166.08000000007451</v>
      </c>
      <c r="H148" s="99">
        <f>G148+'18 '!H148</f>
        <v>-2261.4399999999441</v>
      </c>
      <c r="I148" s="124"/>
      <c r="J148" s="328">
        <f>H148/DAY(B2)</f>
        <v>-119.0231578947339</v>
      </c>
    </row>
    <row r="149" spans="1:17" ht="27.75">
      <c r="A149" s="844" t="s">
        <v>336</v>
      </c>
      <c r="B149" s="845"/>
      <c r="C149" s="846"/>
      <c r="D149" s="227" t="s">
        <v>130</v>
      </c>
      <c r="E149" s="95">
        <f>'18 '!F149</f>
        <v>18255.259999999998</v>
      </c>
      <c r="F149" s="498">
        <v>18705.96</v>
      </c>
      <c r="G149" s="606">
        <f t="shared" si="11"/>
        <v>450.70000000000073</v>
      </c>
      <c r="H149" s="99">
        <f>G149+'18 '!H149</f>
        <v>-5972.2400000000016</v>
      </c>
      <c r="I149" s="119"/>
      <c r="J149" s="328">
        <f>H149/DAY(B2)</f>
        <v>-314.32842105263165</v>
      </c>
    </row>
    <row r="150" spans="1:17" ht="27.75">
      <c r="A150" s="844" t="s">
        <v>337</v>
      </c>
      <c r="B150" s="845"/>
      <c r="C150" s="846"/>
      <c r="D150" s="117" t="s">
        <v>130</v>
      </c>
      <c r="E150" s="95">
        <f>'18 '!F150</f>
        <v>7974.99</v>
      </c>
      <c r="F150" s="233">
        <v>8195.51</v>
      </c>
      <c r="G150" s="606">
        <f t="shared" si="11"/>
        <v>220.52000000000044</v>
      </c>
      <c r="H150" s="99">
        <f>G150+'18 '!H150</f>
        <v>-2655.3199999999997</v>
      </c>
      <c r="I150" s="119"/>
      <c r="J150" s="328">
        <f>H150/DAY(B2)</f>
        <v>-139.7536842105263</v>
      </c>
    </row>
    <row r="151" spans="1:17" ht="27.75">
      <c r="A151" s="844" t="s">
        <v>338</v>
      </c>
      <c r="B151" s="845"/>
      <c r="C151" s="846"/>
      <c r="D151" s="117" t="s">
        <v>130</v>
      </c>
      <c r="E151" s="95">
        <f>'18 '!F151</f>
        <v>82410</v>
      </c>
      <c r="F151" s="233">
        <v>82600</v>
      </c>
      <c r="G151" s="606">
        <f t="shared" si="11"/>
        <v>190</v>
      </c>
      <c r="H151" s="99">
        <f>G151+'18 '!H151</f>
        <v>-2880</v>
      </c>
      <c r="I151" s="119"/>
      <c r="J151" s="328">
        <f>H151/DAY(B2)</f>
        <v>-151.57894736842104</v>
      </c>
    </row>
    <row r="152" spans="1:17" ht="27.75">
      <c r="A152" s="844" t="s">
        <v>339</v>
      </c>
      <c r="B152" s="845"/>
      <c r="C152" s="846"/>
      <c r="D152" s="117" t="s">
        <v>130</v>
      </c>
      <c r="E152" s="95">
        <f>'18 '!F152</f>
        <v>1435.92</v>
      </c>
      <c r="F152" s="233">
        <v>1452.1</v>
      </c>
      <c r="G152" s="606">
        <f t="shared" si="11"/>
        <v>16.179999999999836</v>
      </c>
      <c r="H152" s="99">
        <f>G152+'18 '!H152</f>
        <v>-207.90000000000009</v>
      </c>
      <c r="I152" s="119"/>
      <c r="J152" s="328">
        <f>H152/DAY(B2)</f>
        <v>-10.942105263157899</v>
      </c>
    </row>
    <row r="153" spans="1:17" ht="27.75">
      <c r="A153" s="847" t="s">
        <v>196</v>
      </c>
      <c r="B153" s="848"/>
      <c r="C153" s="365"/>
      <c r="D153" s="358"/>
      <c r="E153" s="360"/>
      <c r="F153" s="361"/>
      <c r="G153" s="629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7" ht="31.5">
      <c r="A155" s="843" t="s">
        <v>345</v>
      </c>
      <c r="B155" s="843"/>
      <c r="C155" s="843"/>
      <c r="D155" s="117" t="s">
        <v>130</v>
      </c>
      <c r="E155" s="95">
        <f>'18 '!F155</f>
        <v>23908.77</v>
      </c>
      <c r="F155" s="157">
        <v>24510</v>
      </c>
      <c r="G155" s="606">
        <f t="shared" ref="G155:G158" si="12">F155-E155</f>
        <v>601.22999999999956</v>
      </c>
      <c r="H155" s="99">
        <f>G155+'18 '!H155</f>
        <v>-8435</v>
      </c>
      <c r="I155" s="364"/>
      <c r="J155" s="328">
        <f>H155/DAY(B2)</f>
        <v>-443.94736842105266</v>
      </c>
    </row>
    <row r="156" spans="1:17" ht="27.75">
      <c r="A156" s="843" t="s">
        <v>347</v>
      </c>
      <c r="B156" s="843"/>
      <c r="C156" s="843"/>
      <c r="D156" s="117" t="s">
        <v>130</v>
      </c>
      <c r="E156" s="95">
        <f>'18 '!F156</f>
        <v>2010.05</v>
      </c>
      <c r="F156" s="157">
        <v>2070</v>
      </c>
      <c r="G156" s="606">
        <f t="shared" si="12"/>
        <v>59.950000000000045</v>
      </c>
      <c r="H156" s="99">
        <f>G156+'18 '!H156</f>
        <v>-718</v>
      </c>
      <c r="I156" s="165"/>
      <c r="J156" s="328">
        <f>H156/DAY(B2)</f>
        <v>-37.789473684210527</v>
      </c>
      <c r="P156" s="65">
        <v>164.5</v>
      </c>
      <c r="Q156" s="65" t="s">
        <v>370</v>
      </c>
    </row>
    <row r="157" spans="1:17" ht="27.75">
      <c r="A157" s="844" t="s">
        <v>363</v>
      </c>
      <c r="B157" s="845"/>
      <c r="C157" s="846"/>
      <c r="D157" s="117" t="s">
        <v>130</v>
      </c>
      <c r="E157" s="95">
        <f>'18 '!F157</f>
        <v>2598.1799999999998</v>
      </c>
      <c r="F157" s="374">
        <v>2720.16</v>
      </c>
      <c r="G157" s="606">
        <f t="shared" si="12"/>
        <v>121.98000000000002</v>
      </c>
      <c r="H157" s="99"/>
      <c r="I157" s="165"/>
      <c r="J157" s="328"/>
    </row>
    <row r="158" spans="1:17" ht="27.75">
      <c r="A158" s="844" t="s">
        <v>364</v>
      </c>
      <c r="B158" s="845"/>
      <c r="C158" s="846"/>
      <c r="D158" s="117" t="s">
        <v>130</v>
      </c>
      <c r="E158" s="95">
        <f>'18 '!F158</f>
        <v>23.34</v>
      </c>
      <c r="F158" s="374">
        <v>24.34</v>
      </c>
      <c r="G158" s="606">
        <f t="shared" si="12"/>
        <v>1</v>
      </c>
      <c r="H158" s="99"/>
      <c r="I158" s="165"/>
      <c r="J158" s="328"/>
    </row>
    <row r="159" spans="1:17" ht="27.75">
      <c r="A159" s="927"/>
      <c r="B159" s="928"/>
      <c r="C159" s="929"/>
      <c r="D159" s="117"/>
      <c r="E159" s="95"/>
      <c r="F159" s="165"/>
      <c r="G159" s="606"/>
      <c r="H159" s="99"/>
      <c r="I159" s="165"/>
      <c r="J159" s="328"/>
    </row>
    <row r="160" spans="1:17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0">
        <f t="shared" ref="G161:G165" si="13">F161-E161</f>
        <v>7.2000000000116415</v>
      </c>
      <c r="H161" s="99">
        <f>G161+'18 '!H161</f>
        <v>-592.79999999998836</v>
      </c>
      <c r="I161" s="236"/>
      <c r="J161" s="239">
        <f>H161/DAY(B2)</f>
        <v>-31.199999999999388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0">
        <f t="shared" si="13"/>
        <v>42.099999999991269</v>
      </c>
      <c r="H162" s="99">
        <f>G162+'18 '!H162</f>
        <v>-381</v>
      </c>
      <c r="I162" s="236"/>
      <c r="J162" s="239">
        <f>H162/DAY(B2)</f>
        <v>-20.05263157894737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0">
        <f t="shared" si="13"/>
        <v>64.30000000000291</v>
      </c>
      <c r="H163" s="99">
        <f>G163+'18 '!H163</f>
        <v>-520.30000000000291</v>
      </c>
      <c r="I163" s="236"/>
      <c r="J163" s="239">
        <f>H163/DAY(B2)</f>
        <v>-27.384210526315943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0">
        <f t="shared" si="13"/>
        <v>4.5</v>
      </c>
      <c r="H164" s="99">
        <f>G164+'18 '!H164</f>
        <v>-35.5</v>
      </c>
      <c r="I164" s="236"/>
      <c r="J164" s="239">
        <f>H164/DAY(B2)</f>
        <v>-1.868421052631579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0">
        <f t="shared" si="13"/>
        <v>7.819999999999709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>
      <c r="A166" s="852"/>
      <c r="B166" s="852"/>
      <c r="C166" s="246"/>
      <c r="D166" s="244"/>
      <c r="E166" s="95"/>
      <c r="F166" s="165"/>
      <c r="G166" s="627"/>
      <c r="H166" s="99"/>
      <c r="I166" s="165"/>
      <c r="J166" s="239"/>
    </row>
    <row r="167" spans="1:10" ht="29.25">
      <c r="A167" s="852"/>
      <c r="B167" s="852"/>
      <c r="C167" s="246"/>
      <c r="D167" s="244"/>
      <c r="E167" s="95"/>
      <c r="F167" s="165"/>
      <c r="G167" s="627"/>
      <c r="H167" s="99"/>
      <c r="I167" s="165"/>
      <c r="J167" s="239"/>
    </row>
    <row r="168" spans="1:10" ht="29.25">
      <c r="A168" s="852"/>
      <c r="B168" s="852"/>
      <c r="C168" s="246"/>
      <c r="D168" s="244"/>
      <c r="E168" s="95"/>
      <c r="F168" s="165"/>
      <c r="G168" s="627"/>
      <c r="H168" s="99"/>
      <c r="I168" s="165"/>
      <c r="J168" s="239"/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631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'18 '!F173</f>
        <v>8126</v>
      </c>
      <c r="F173" s="157">
        <v>8126</v>
      </c>
      <c r="G173" s="631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'18 '!F174</f>
        <v>38457</v>
      </c>
      <c r="F174" s="157">
        <v>38466</v>
      </c>
      <c r="G174" s="631">
        <f t="shared" ref="G174:G175" si="14">F174-E174</f>
        <v>9</v>
      </c>
      <c r="H174" s="99">
        <f>G174+'18 '!H174</f>
        <v>-149</v>
      </c>
      <c r="I174" s="155"/>
      <c r="J174" s="178">
        <f>H174/DAY(B2)</f>
        <v>-7.8421052631578947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'18 '!F175</f>
        <v>21683</v>
      </c>
      <c r="F175" s="155">
        <v>21692</v>
      </c>
      <c r="G175" s="631">
        <f t="shared" si="14"/>
        <v>9</v>
      </c>
      <c r="H175" s="99">
        <f>G175+'18 '!H175</f>
        <v>-121</v>
      </c>
      <c r="I175" s="155"/>
      <c r="J175" s="178">
        <f>H175/DAY(B2)</f>
        <v>-6.3684210526315788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631">
        <f>SUM(G173:G175)</f>
        <v>18</v>
      </c>
      <c r="H176" s="99">
        <f>G176+'18 '!H176</f>
        <v>-270</v>
      </c>
      <c r="I176" s="155"/>
      <c r="J176" s="178">
        <f>H176/DAY(B2)</f>
        <v>-14.210526315789474</v>
      </c>
    </row>
    <row r="177" spans="1:11" ht="27.75">
      <c r="A177" s="856" t="s">
        <v>77</v>
      </c>
      <c r="B177" s="857"/>
      <c r="C177" s="333"/>
      <c r="D177" s="228" t="s">
        <v>142</v>
      </c>
      <c r="E177" s="95"/>
      <c r="F177" s="155"/>
      <c r="G177" s="631"/>
      <c r="H177" s="99">
        <f>G177+'18 '!H177</f>
        <v>0</v>
      </c>
      <c r="I177" s="155"/>
      <c r="J177" s="178">
        <f>H177/DAY(B2)</f>
        <v>0</v>
      </c>
    </row>
    <row r="178" spans="1:11" ht="27.75">
      <c r="A178" s="856" t="s">
        <v>210</v>
      </c>
      <c r="B178" s="857"/>
      <c r="C178" s="333"/>
      <c r="D178" s="228" t="s">
        <v>142</v>
      </c>
      <c r="E178" s="95">
        <f>'18 '!F178</f>
        <v>80653</v>
      </c>
      <c r="F178" s="155">
        <v>80688</v>
      </c>
      <c r="G178" s="631">
        <f>F178-E178</f>
        <v>35</v>
      </c>
      <c r="H178" s="99">
        <f>G178+'18 '!H178</f>
        <v>-627</v>
      </c>
      <c r="I178" s="155"/>
      <c r="J178" s="178">
        <f>H178/DAY(B2)</f>
        <v>-33</v>
      </c>
    </row>
    <row r="179" spans="1:11" ht="27.75">
      <c r="A179" s="856" t="s">
        <v>211</v>
      </c>
      <c r="B179" s="857"/>
      <c r="C179" s="333"/>
      <c r="D179" s="228" t="s">
        <v>142</v>
      </c>
      <c r="E179" s="95">
        <f>'18 '!F179</f>
        <v>34332</v>
      </c>
      <c r="F179" s="155">
        <v>34336</v>
      </c>
      <c r="G179" s="631">
        <f t="shared" ref="G179:G180" si="15">F179-E179</f>
        <v>4</v>
      </c>
      <c r="H179" s="99">
        <f>G179+'18 '!H179</f>
        <v>-467</v>
      </c>
      <c r="I179" s="155"/>
      <c r="J179" s="178">
        <f>H179/DAY(B2)</f>
        <v>-24.578947368421051</v>
      </c>
    </row>
    <row r="180" spans="1:11" ht="27.75">
      <c r="A180" s="856" t="s">
        <v>212</v>
      </c>
      <c r="B180" s="857"/>
      <c r="C180" s="333"/>
      <c r="D180" s="228" t="s">
        <v>142</v>
      </c>
      <c r="E180" s="95">
        <f>'18 '!F180</f>
        <v>5611</v>
      </c>
      <c r="F180" s="155">
        <v>5611</v>
      </c>
      <c r="G180" s="631">
        <f t="shared" si="15"/>
        <v>0</v>
      </c>
      <c r="H180" s="99">
        <f>G180+'18 '!H180</f>
        <v>-91</v>
      </c>
      <c r="I180" s="155"/>
      <c r="J180" s="178">
        <f>H180/DAY(B2)</f>
        <v>-4.7894736842105265</v>
      </c>
    </row>
    <row r="181" spans="1:11" ht="27.75">
      <c r="A181" s="858" t="s">
        <v>108</v>
      </c>
      <c r="B181" s="859"/>
      <c r="C181" s="483"/>
      <c r="D181" s="228" t="s">
        <v>142</v>
      </c>
      <c r="E181" s="95"/>
      <c r="F181" s="155"/>
      <c r="G181" s="631">
        <f>SUM(G178:G180)</f>
        <v>39</v>
      </c>
      <c r="H181" s="99">
        <f>G181+'18 '!H181</f>
        <v>-1185</v>
      </c>
      <c r="I181" s="155"/>
      <c r="J181" s="178">
        <f>H181/DAY(B2)</f>
        <v>-62.368421052631582</v>
      </c>
    </row>
    <row r="182" spans="1:11" ht="27.75">
      <c r="A182" s="856" t="s">
        <v>213</v>
      </c>
      <c r="B182" s="857"/>
      <c r="C182" s="333"/>
      <c r="D182" s="228" t="s">
        <v>142</v>
      </c>
      <c r="E182" s="95"/>
      <c r="F182" s="155"/>
      <c r="G182" s="631"/>
      <c r="H182" s="99">
        <f>G182+'18 '!H182</f>
        <v>0</v>
      </c>
      <c r="I182" s="155"/>
      <c r="J182" s="178">
        <f>H182/DAY(B2)</f>
        <v>0</v>
      </c>
    </row>
    <row r="183" spans="1:11" ht="27.75">
      <c r="A183" s="856" t="s">
        <v>214</v>
      </c>
      <c r="B183" s="857"/>
      <c r="C183" s="334"/>
      <c r="D183" s="228" t="s">
        <v>142</v>
      </c>
      <c r="E183" s="95">
        <f>'18 '!F183</f>
        <v>15161</v>
      </c>
      <c r="F183" s="157">
        <v>15172</v>
      </c>
      <c r="G183" s="632">
        <f>F183-E183</f>
        <v>11</v>
      </c>
      <c r="H183" s="99">
        <f>G183+'18 '!H183</f>
        <v>-173</v>
      </c>
      <c r="I183" s="155"/>
      <c r="J183" s="178">
        <f>H183/DAY(B2)</f>
        <v>-9.1052631578947363</v>
      </c>
    </row>
    <row r="184" spans="1:11" ht="27.75">
      <c r="A184" s="856" t="s">
        <v>215</v>
      </c>
      <c r="B184" s="857"/>
      <c r="C184" s="334"/>
      <c r="D184" s="228" t="s">
        <v>142</v>
      </c>
      <c r="E184" s="95">
        <f>'18 '!F184</f>
        <v>10415</v>
      </c>
      <c r="F184" s="157">
        <v>10420</v>
      </c>
      <c r="G184" s="632">
        <f t="shared" ref="G184:G185" si="16">F184-E184</f>
        <v>5</v>
      </c>
      <c r="H184" s="99">
        <f>G184+'18 '!H184</f>
        <v>-98</v>
      </c>
      <c r="I184" s="155"/>
      <c r="J184" s="178">
        <f>H184/DAY(B2)</f>
        <v>-5.1578947368421053</v>
      </c>
    </row>
    <row r="185" spans="1:11" ht="30.75" customHeight="1">
      <c r="A185" s="856" t="s">
        <v>216</v>
      </c>
      <c r="B185" s="857"/>
      <c r="C185" s="334"/>
      <c r="D185" s="228" t="s">
        <v>142</v>
      </c>
      <c r="E185" s="95">
        <f>'18 '!F185</f>
        <v>0</v>
      </c>
      <c r="F185" s="157"/>
      <c r="G185" s="63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>
      <c r="A186" s="847" t="s">
        <v>196</v>
      </c>
      <c r="B186" s="848"/>
      <c r="C186" s="482"/>
      <c r="D186" s="228" t="s">
        <v>142</v>
      </c>
      <c r="E186" s="95"/>
      <c r="F186" s="157"/>
      <c r="G186" s="632">
        <f>SUM(G183:G185)</f>
        <v>16</v>
      </c>
      <c r="H186" s="99">
        <f>G186+'18 '!H186</f>
        <v>-271</v>
      </c>
      <c r="I186" s="157"/>
      <c r="J186" s="178">
        <f>H186/DAY(B2)</f>
        <v>-14.263157894736842</v>
      </c>
    </row>
    <row r="187" spans="1:11" ht="27.75">
      <c r="A187" s="849" t="s">
        <v>217</v>
      </c>
      <c r="B187" s="850"/>
      <c r="C187" s="333"/>
      <c r="D187" s="230" t="s">
        <v>142</v>
      </c>
      <c r="E187" s="95"/>
      <c r="F187" s="159"/>
      <c r="G187" s="633">
        <f>G62+G19</f>
        <v>117</v>
      </c>
      <c r="H187" s="99">
        <f>G187+'18 '!H187</f>
        <v>-1803</v>
      </c>
      <c r="I187" s="158"/>
      <c r="J187" s="179">
        <f>H187/DAY(B2)</f>
        <v>-94.89473684210526</v>
      </c>
    </row>
    <row r="188" spans="1:11" ht="27.75">
      <c r="A188" s="849" t="s">
        <v>218</v>
      </c>
      <c r="B188" s="850"/>
      <c r="C188" s="333"/>
      <c r="D188" s="230" t="s">
        <v>142</v>
      </c>
      <c r="E188" s="95"/>
      <c r="F188" s="159"/>
      <c r="G188" s="633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>
      <c r="A189" s="849" t="s">
        <v>219</v>
      </c>
      <c r="B189" s="850"/>
      <c r="C189" s="333"/>
      <c r="D189" s="230" t="s">
        <v>142</v>
      </c>
      <c r="E189" s="95"/>
      <c r="F189" s="157"/>
      <c r="G189" s="633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>
      <c r="A190" s="245" t="s">
        <v>360</v>
      </c>
      <c r="B190" s="246"/>
      <c r="C190" s="246"/>
      <c r="D190" s="165"/>
      <c r="E190" s="165"/>
      <c r="F190" s="582">
        <f>'18 '!G190</f>
        <v>52871</v>
      </c>
      <c r="G190" s="62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/>
    <row r="192" spans="1:11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SheetLayoutView="55" zoomScalePageLayoutView="78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-192251.07999999996</v>
      </c>
      <c r="I7" s="113">
        <v>24000</v>
      </c>
      <c r="J7" s="175">
        <f>H7/DAY(B2)</f>
        <v>-9612.5539999999983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-196692.44</v>
      </c>
      <c r="I8" s="116"/>
      <c r="J8" s="175">
        <f>H8/DAY(B2)</f>
        <v>-9834.6219999999994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'19'!F9</f>
        <v>121587.8</v>
      </c>
      <c r="F9" s="598">
        <v>132779.53</v>
      </c>
      <c r="G9" s="112">
        <f>F9-E9</f>
        <v>11191.729999999996</v>
      </c>
      <c r="H9" s="99">
        <f>G9+'19'!H9</f>
        <v>2207806.6800000002</v>
      </c>
      <c r="I9" s="124">
        <f>I7-J7</f>
        <v>33612.553999999996</v>
      </c>
      <c r="J9" s="175">
        <f>H9/DAY(B2)</f>
        <v>110390.334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558529.1</v>
      </c>
      <c r="I10" s="282"/>
      <c r="J10" s="175">
        <f>H10/DAY(B2)</f>
        <v>27926.454999999998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2749581.35</v>
      </c>
      <c r="I13" s="120">
        <f>G7-G13</f>
        <v>460.75000000002183</v>
      </c>
      <c r="J13" s="175">
        <f>H13/DAY(B2)</f>
        <v>137479.0675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-10593.516999999993</v>
      </c>
      <c r="I15" s="113">
        <f>'1'!I15</f>
        <v>800</v>
      </c>
      <c r="J15" s="175">
        <f>H15/DAY(B2)</f>
        <v>-529.67584999999963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1329.6758499999996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2640</v>
      </c>
      <c r="I18" s="113">
        <f>'1'!I18</f>
        <v>65</v>
      </c>
      <c r="J18" s="175">
        <f>H18/DAY(B2)</f>
        <v>132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-599</v>
      </c>
      <c r="I19" s="335"/>
      <c r="J19" s="175">
        <f>H19/DAY(B2)</f>
        <v>-29.95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2041</v>
      </c>
      <c r="I20" s="336">
        <f>I18-J20</f>
        <v>-37.049999999999997</v>
      </c>
      <c r="J20" s="175">
        <f>H20/DAY(B2)</f>
        <v>102.05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-1770231.9600000004</v>
      </c>
      <c r="I27" s="138"/>
      <c r="J27" s="175">
        <f>H27/DAY(B2)</f>
        <v>-88511.598000000027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-550862.88399999961</v>
      </c>
      <c r="I28" s="140"/>
      <c r="J28" s="175">
        <f>H28/DAY(B2)</f>
        <v>-27543.144199999981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-87454</v>
      </c>
      <c r="I30" s="140"/>
      <c r="J30" s="175">
        <f>H30/DAY(B2)</f>
        <v>-4372.7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211200</v>
      </c>
      <c r="I31" s="140"/>
      <c r="J31" s="175">
        <f>H31/DAY(B2)</f>
        <v>10560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-2189758.844</v>
      </c>
      <c r="I32" s="144"/>
      <c r="J32" s="175">
        <f>H32/DAY(B2)</f>
        <v>-109487.9422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153830.83000000002</v>
      </c>
      <c r="I35" s="95"/>
      <c r="J35" s="175">
        <f>H35/DAY(B2)</f>
        <v>7691.5415000000012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-8126.9199999999983</v>
      </c>
      <c r="I36" s="95"/>
      <c r="J36" s="175">
        <f>H36/DAY(B2)</f>
        <v>-406.34599999999989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2">
        <v>18017.919999999998</v>
      </c>
      <c r="G37" s="112">
        <f t="shared" si="3"/>
        <v>1537.7799999999988</v>
      </c>
      <c r="H37" s="99">
        <f>G37+'19'!H37</f>
        <v>190197.83000000002</v>
      </c>
      <c r="I37" s="95"/>
      <c r="J37" s="175">
        <f>H37/DAY(B2)</f>
        <v>9509.8915000000015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226406.42</v>
      </c>
      <c r="I38" s="95"/>
      <c r="J38" s="175">
        <f>H38/DAY(B2)</f>
        <v>11320.321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2">
        <v>30507.61</v>
      </c>
      <c r="G39" s="112">
        <f t="shared" si="3"/>
        <v>2507.0499999999993</v>
      </c>
      <c r="H39" s="99">
        <f>G39+'19'!H39</f>
        <v>404095.31999999995</v>
      </c>
      <c r="I39" s="95"/>
      <c r="J39" s="175">
        <f>H39/DAY(B2)</f>
        <v>20204.765999999996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-7615.9400000000023</v>
      </c>
      <c r="I40" s="95"/>
      <c r="J40" s="175">
        <f>H40/DAY(B2)</f>
        <v>-380.79700000000014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-62.73</v>
      </c>
      <c r="I41" s="95"/>
      <c r="J41" s="175">
        <f>H41/DAY(B2)</f>
        <v>-3.1364999999999998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-26321.14</v>
      </c>
      <c r="I42" s="95"/>
      <c r="J42" s="175">
        <f>H42/DAY(B2)</f>
        <v>-1316.057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-22784.61</v>
      </c>
      <c r="I43" s="95"/>
      <c r="J43" s="175">
        <f>H43/DAY(B2)</f>
        <v>-1139.2305000000001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909619.06000000017</v>
      </c>
      <c r="I47" s="95"/>
      <c r="J47" s="175">
        <f>H47/DAY(B2)</f>
        <v>45480.953000000009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275155.90999999997</v>
      </c>
      <c r="I49" s="95"/>
      <c r="J49" s="175">
        <f>H49/DAY(B2)</f>
        <v>13757.795499999998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-12450.279999999999</v>
      </c>
      <c r="I50" s="95"/>
      <c r="J50" s="175">
        <f>H50/DAY(B2)</f>
        <v>-622.5139999999999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1753</v>
      </c>
      <c r="I54" s="95"/>
      <c r="J54" s="175">
        <f>H54/DAY(B2)</f>
        <v>87.65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-11091.64</v>
      </c>
      <c r="I55" s="95"/>
      <c r="J55" s="175">
        <f>H55/DAY(B2)</f>
        <v>-554.58199999999999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-2229.2200000000003</v>
      </c>
      <c r="I58" s="95"/>
      <c r="J58" s="175">
        <f>H58/DAY(B2)</f>
        <v>-111.46100000000001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251137.76999999996</v>
      </c>
      <c r="I59" s="95">
        <f>G7-G60</f>
        <v>1383.8700000000299</v>
      </c>
      <c r="J59" s="175">
        <f>H59/DAY(B2)</f>
        <v>12556.888499999997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1160756.8300000003</v>
      </c>
      <c r="I60" s="95">
        <f>G13-G60</f>
        <v>923.12000000000808</v>
      </c>
      <c r="J60" s="175">
        <f>H60/DAY(B2)</f>
        <v>58037.841500000017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-1079</v>
      </c>
      <c r="I62" s="118"/>
      <c r="J62" s="175">
        <f>H62/DAY(B2)</f>
        <v>-53.95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-1357</v>
      </c>
      <c r="I63" s="118"/>
      <c r="J63" s="175">
        <f>H63/DAY(B2)</f>
        <v>-67.849999999999994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'19'!F64</f>
        <v>0</v>
      </c>
      <c r="F64" s="122"/>
      <c r="G64" s="112">
        <f>G62+G63</f>
        <v>174</v>
      </c>
      <c r="H64" s="99">
        <f>G64+'19'!H64</f>
        <v>-2436</v>
      </c>
      <c r="I64" s="118"/>
      <c r="J64" s="175">
        <f>H64/DAY(B2)</f>
        <v>-121.8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-932</v>
      </c>
      <c r="I65" s="118"/>
      <c r="J65" s="175">
        <f>H65/DAY(B2)</f>
        <v>-46.6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-199</v>
      </c>
      <c r="I66" s="118"/>
      <c r="J66" s="175">
        <f>H66/DAY(B2)</f>
        <v>-9.9499999999999993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-258</v>
      </c>
      <c r="I67" s="118"/>
      <c r="J67" s="175">
        <f>H67/DAY(B2)</f>
        <v>-12.9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-504</v>
      </c>
      <c r="I68" s="118"/>
      <c r="J68" s="175">
        <f>H68/DAY(B2)</f>
        <v>-25.2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-130</v>
      </c>
      <c r="I69" s="118"/>
      <c r="J69" s="175">
        <f>H69/DAY(B2)</f>
        <v>-6.5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-114</v>
      </c>
      <c r="I70" s="118"/>
      <c r="J70" s="175">
        <f>H70/DAY(B2)</f>
        <v>-5.7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173.89999999999964</v>
      </c>
      <c r="H71" s="99">
        <f>G71+'19'!H71</f>
        <v>-2137</v>
      </c>
      <c r="I71" s="154"/>
      <c r="J71" s="175">
        <f>H71/DAY(B2)</f>
        <v>-106.85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-3338.4989999999525</v>
      </c>
      <c r="I74" s="154"/>
      <c r="J74" s="175">
        <f>H74/DAY(B2)</f>
        <v>-166.92494999999764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-1096.4599999999919</v>
      </c>
      <c r="I76" s="154"/>
      <c r="J76" s="175">
        <f>H76/DAY(B2)</f>
        <v>-54.822999999999595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-405.5</v>
      </c>
      <c r="I77" s="154"/>
      <c r="J77" s="175">
        <f>H77/DAY(B2)</f>
        <v>-20.274999999999999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-14.100000000000364</v>
      </c>
      <c r="I78" s="118"/>
      <c r="J78" s="175">
        <f>H78/DAY(B2)</f>
        <v>-0.70500000000001817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-5738.9580000000478</v>
      </c>
      <c r="I79" s="118"/>
      <c r="J79" s="175"/>
      <c r="K79" s="59"/>
      <c r="L79" s="58"/>
      <c r="N79" s="87"/>
      <c r="O79" s="71"/>
    </row>
    <row r="80" spans="1:15" s="57" customFormat="1" ht="29.25">
      <c r="A80" s="945" t="s">
        <v>329</v>
      </c>
      <c r="B80" s="946"/>
      <c r="C80" s="94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-163.86000000000013</v>
      </c>
      <c r="I85" s="118">
        <f>G82+G83+G84+G85</f>
        <v>-0.12999999999965439</v>
      </c>
      <c r="J85" s="175">
        <f>H85/DAY(B2)</f>
        <v>-8.1930000000000067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-96.629999999997381</v>
      </c>
      <c r="I86" s="118"/>
      <c r="J86" s="175">
        <f>H86/DAY(B2)</f>
        <v>-4.8314999999998687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5.0000000002910383E-2</v>
      </c>
      <c r="I87" s="118"/>
      <c r="J87" s="175">
        <f>H87/DAY(B2)</f>
        <v>2.5000000001455191E-3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-2.0600000000013097</v>
      </c>
      <c r="I88" s="118">
        <f>G86+G87+G88</f>
        <v>24.370000000002619</v>
      </c>
      <c r="J88" s="175">
        <f>H88/DAY(B2)</f>
        <v>-0.10300000000006548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-100.86000000000058</v>
      </c>
      <c r="I89" s="118"/>
      <c r="J89" s="175">
        <f>H89/DAY(B2)</f>
        <v>-5.0430000000000295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-27.010000000009313</v>
      </c>
      <c r="I90" s="118">
        <f>G89+G90</f>
        <v>13.929999999989377</v>
      </c>
      <c r="J90" s="175">
        <f>H90/DAY(B2)</f>
        <v>-1.3505000000004657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-24.769999999999982</v>
      </c>
      <c r="I91" s="165"/>
      <c r="J91" s="175">
        <f>H91/DAY(B2)</f>
        <v>-1.238499999999999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-94.679999999999382</v>
      </c>
      <c r="I92" s="165"/>
      <c r="J92" s="175">
        <f>H92/DAY(B2)</f>
        <v>-4.7339999999999689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406202.12999999995</v>
      </c>
      <c r="I94" s="118"/>
      <c r="J94" s="175">
        <f>H94/DAY(B2)</f>
        <v>20310.106499999998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0.29205263362464584</v>
      </c>
      <c r="H95" s="99">
        <f>G95+'19'!H95</f>
        <v>4.5494343950824181</v>
      </c>
      <c r="I95" s="167"/>
      <c r="J95" s="175">
        <f>H95/DAY(B2)</f>
        <v>0.22747171975412089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-37475.510000000017</v>
      </c>
      <c r="I96" s="118"/>
      <c r="J96" s="175">
        <f>H96/DAY(B2)</f>
        <v>-1873.7755000000009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0.15479380379892518</v>
      </c>
      <c r="H97" s="99">
        <f>G97+'19'!H97</f>
        <v>3.4914382658402539</v>
      </c>
      <c r="I97" s="167"/>
      <c r="J97" s="175">
        <f>H97/DAY(B2)</f>
        <v>0.17457191329201269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2507.0499999999993</v>
      </c>
      <c r="H98" s="99">
        <f>G98+'19'!H98</f>
        <v>404095.31999999995</v>
      </c>
      <c r="I98" s="168"/>
      <c r="J98" s="175">
        <f>H98/DAY(B2)</f>
        <v>20204.765999999996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0.14991493827418853</v>
      </c>
      <c r="H99" s="99">
        <f>G99+'19'!H99</f>
        <v>2.1001870853815854</v>
      </c>
      <c r="I99" s="168"/>
      <c r="J99" s="175">
        <f>H99/DAY(B2)</f>
        <v>0.10500935426907927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226406.42</v>
      </c>
      <c r="I100" s="118"/>
      <c r="J100" s="175">
        <f>H100/DAY(B2)</f>
        <v>11320.321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1.4059541582001076</v>
      </c>
      <c r="I101" s="168"/>
      <c r="J101" s="175">
        <f>H101/DAY(B2)</f>
        <v>7.0297707910005378E-2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-20577.199999999997</v>
      </c>
      <c r="I102" s="168"/>
      <c r="J102" s="175">
        <f>H102/DAY(B2)</f>
        <v>-1028.8599999999999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1.9187113170664434</v>
      </c>
      <c r="I103" s="118"/>
      <c r="J103" s="175">
        <f>H103/DAY(B2)</f>
        <v>9.5935565853322163E-2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190197.83000000002</v>
      </c>
      <c r="I104" s="118"/>
      <c r="J104" s="175">
        <f>H104/DAY(B2)</f>
        <v>9509.8915000000015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1.3291704317016917</v>
      </c>
      <c r="I105" s="187"/>
      <c r="J105" s="188">
        <f>H105/DAY(B2)</f>
        <v>6.6458521585084585E-2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-849.87999999999738</v>
      </c>
      <c r="I112" s="165"/>
      <c r="J112" s="328">
        <f>H112/DAY(B2)</f>
        <v>-42.493999999999872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-5164.0199999999968</v>
      </c>
      <c r="I113" s="165"/>
      <c r="J113" s="328">
        <f>H113/DAY(B2)</f>
        <v>-258.20099999999985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-3131.9499999999989</v>
      </c>
      <c r="I114" s="165"/>
      <c r="J114" s="328">
        <f>H114/DAY(B2)</f>
        <v>-156.59749999999994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-105.98999999999978</v>
      </c>
      <c r="I115" s="165"/>
      <c r="J115" s="328">
        <f>H115/DAY(B2)</f>
        <v>-5.2994999999999894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-268.81999999999971</v>
      </c>
      <c r="I117" s="165"/>
      <c r="J117" s="328">
        <f>H117/DAY(B2)</f>
        <v>-13.440999999999985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-3707.9800000000105</v>
      </c>
      <c r="I118" s="165"/>
      <c r="J118" s="328">
        <f>H118/DAY(B2)</f>
        <v>-185.39900000000051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-4590.6199999999953</v>
      </c>
      <c r="I119" s="165"/>
      <c r="J119" s="328">
        <f>H119/DAY(B2)</f>
        <v>-229.53099999999978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-4569.739999999998</v>
      </c>
      <c r="I120" s="165"/>
      <c r="J120" s="328">
        <f>H120/DAY(B2)</f>
        <v>-228.48699999999991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-7682.9199999999837</v>
      </c>
      <c r="I121" s="165"/>
      <c r="J121" s="328">
        <f>H121/DAY(B2)</f>
        <v>-384.14599999999916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-2156.5599999999977</v>
      </c>
      <c r="I122" s="165"/>
      <c r="J122" s="328">
        <f>H122/DAY(B2)</f>
        <v>-107.82799999999989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-2992.5299999999988</v>
      </c>
      <c r="I123" s="165"/>
      <c r="J123" s="328">
        <f>H123/DAY(B2)</f>
        <v>-149.62649999999994</v>
      </c>
    </row>
    <row r="124" spans="1:18" ht="29.25" customHeight="1">
      <c r="A124" s="867"/>
      <c r="B124" s="868"/>
      <c r="C124" s="86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>
      <c r="A125" s="935" t="s">
        <v>108</v>
      </c>
      <c r="B125" s="935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-3440.739999999998</v>
      </c>
      <c r="I128" s="165"/>
      <c r="J128" s="328">
        <f>H128/DAY(B2)</f>
        <v>-172.03699999999989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-2188.8899999999994</v>
      </c>
      <c r="I129" s="165"/>
      <c r="J129" s="328">
        <f>H129/DAY(B2)</f>
        <v>-109.44449999999998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-5487.0999999999985</v>
      </c>
      <c r="I130" s="165"/>
      <c r="J130" s="328">
        <f>H130/DAY(B2)</f>
        <v>-274.3549999999999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-695.53000000000065</v>
      </c>
      <c r="I131" s="165"/>
      <c r="J131" s="328">
        <f>H131/DAY(B2)</f>
        <v>-34.776500000000034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-1830.3600000000006</v>
      </c>
      <c r="I132" s="165"/>
      <c r="J132" s="328">
        <f>H132/DAY(B2)</f>
        <v>-91.518000000000029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-5436.8799999999901</v>
      </c>
      <c r="I133" s="165"/>
      <c r="J133" s="328">
        <f>H133/DAY(B2)</f>
        <v>-271.84399999999948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'19'!F134</f>
        <v>6620</v>
      </c>
      <c r="F134" s="591">
        <v>6866.21</v>
      </c>
      <c r="G134" s="112">
        <f t="shared" si="10"/>
        <v>246.21000000000004</v>
      </c>
      <c r="H134" s="99">
        <f>G134+'19'!H134</f>
        <v>669438.98</v>
      </c>
      <c r="I134" s="165"/>
      <c r="J134" s="328">
        <f>H134/DAY(B2)</f>
        <v>33471.949000000001</v>
      </c>
    </row>
    <row r="135" spans="1:15" ht="27.75">
      <c r="A135" s="943" t="s">
        <v>108</v>
      </c>
      <c r="B135" s="944"/>
      <c r="C135" s="859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-768</v>
      </c>
      <c r="I138" s="118"/>
      <c r="J138" s="328">
        <f>H138/DAY(B2)</f>
        <v>-38.4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-21</v>
      </c>
      <c r="I139" s="118"/>
      <c r="J139" s="328">
        <f>H139/DAY(B2)</f>
        <v>-1.05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-5</v>
      </c>
      <c r="I140" s="118"/>
      <c r="J140" s="328">
        <f>H140/DAY(B2)</f>
        <v>-0.25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-1944.5600000000049</v>
      </c>
      <c r="I141" s="118"/>
      <c r="J141" s="328">
        <f>H141/DAY(B2)</f>
        <v>-97.22800000000025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-864.96999999999753</v>
      </c>
      <c r="I142" s="140"/>
      <c r="J142" s="328">
        <f>H142/DAY(B2)</f>
        <v>-43.248499999999879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-293.61999999999989</v>
      </c>
      <c r="I143" s="140"/>
      <c r="J143" s="328">
        <f>H143/DAY(B2)</f>
        <v>-14.680999999999994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-2298</v>
      </c>
      <c r="I144" s="140"/>
      <c r="J144" s="328">
        <f>H144/DAY(B2)</f>
        <v>-114.9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-100.5600000000004</v>
      </c>
      <c r="I145" s="140"/>
      <c r="J145" s="328">
        <f>H145/DAY(B2)</f>
        <v>-5.02800000000002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-4458</v>
      </c>
      <c r="I146" s="140"/>
      <c r="J146" s="328">
        <f>H146/DAY(B2)</f>
        <v>-222.9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-4100.5200000000186</v>
      </c>
      <c r="I147" s="140"/>
      <c r="J147" s="328">
        <f>H147/DAY(B2)</f>
        <v>-205.02600000000092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-2100.9599999999627</v>
      </c>
      <c r="I148" s="124"/>
      <c r="J148" s="328">
        <f>H148/DAY(B2)</f>
        <v>-105.04799999999814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-5512.2000000000007</v>
      </c>
      <c r="I149" s="119"/>
      <c r="J149" s="328">
        <f>H149/DAY(B2)</f>
        <v>-275.61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-2433.7199999999993</v>
      </c>
      <c r="I150" s="119"/>
      <c r="J150" s="328">
        <f>H150/DAY(B2)</f>
        <v>-121.68599999999996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-2668</v>
      </c>
      <c r="I151" s="119"/>
      <c r="J151" s="328">
        <f>H151/DAY(B2)</f>
        <v>-133.4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-193.78999999999996</v>
      </c>
      <c r="I152" s="119"/>
      <c r="J152" s="328">
        <f>H152/DAY(B2)</f>
        <v>-9.6894999999999989</v>
      </c>
    </row>
    <row r="153" spans="1:10" ht="27.75">
      <c r="A153" s="585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-7798.2999999999993</v>
      </c>
      <c r="I155" s="364"/>
      <c r="J155" s="328">
        <f>H155/DAY(B2)</f>
        <v>-389.91499999999996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-669.75</v>
      </c>
      <c r="I156" s="165"/>
      <c r="J156" s="328">
        <f>H156/DAY(B2)</f>
        <v>-33.487499999999997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-586.32000000000698</v>
      </c>
      <c r="I161" s="236"/>
      <c r="J161" s="239">
        <f>H161/DAY(B2)</f>
        <v>-29.316000000000351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-344.89999999999418</v>
      </c>
      <c r="I162" s="236"/>
      <c r="J162" s="239">
        <f>H162/DAY(B2)</f>
        <v>-17.24499999999971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-470.5</v>
      </c>
      <c r="I163" s="236"/>
      <c r="J163" s="239">
        <f>H163/DAY(B2)</f>
        <v>-23.524999999999999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-32</v>
      </c>
      <c r="I164" s="236"/>
      <c r="J164" s="239">
        <f>H164/DAY(B2)</f>
        <v>-1.6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-77.540000000000873</v>
      </c>
      <c r="I165" s="236"/>
      <c r="J165" s="239">
        <f>H165/DAY(B2)</f>
        <v>-3.8770000000000437</v>
      </c>
    </row>
    <row r="166" spans="1:10" ht="29.25">
      <c r="A166" s="852"/>
      <c r="B166" s="85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-137</v>
      </c>
      <c r="I174" s="155"/>
      <c r="J174" s="178">
        <f>H174/DAY(B2)</f>
        <v>-6.85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-109</v>
      </c>
      <c r="I175" s="155"/>
      <c r="J175" s="178">
        <f>H175/DAY(B2)</f>
        <v>-5.45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G176+'19'!H176</f>
        <v>-246</v>
      </c>
      <c r="I176" s="155"/>
      <c r="J176" s="178">
        <f>H176/DAY(B2)</f>
        <v>-12.3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-586</v>
      </c>
      <c r="I178" s="155"/>
      <c r="J178" s="178">
        <f>H178/DAY(B2)</f>
        <v>-29.3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-467</v>
      </c>
      <c r="I179" s="155"/>
      <c r="J179" s="178">
        <f>H179/DAY(B2)</f>
        <v>-23.35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53</v>
      </c>
      <c r="H181" s="99">
        <f>G181+'19'!H181</f>
        <v>-1132</v>
      </c>
      <c r="I181" s="155"/>
      <c r="J181" s="178">
        <f>H181/DAY(B2)</f>
        <v>-56.6</v>
      </c>
    </row>
    <row r="182" spans="1:10" ht="24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56" t="s">
        <v>214</v>
      </c>
      <c r="B183" s="857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-156</v>
      </c>
      <c r="I183" s="155"/>
      <c r="J183" s="178">
        <f>H183/DAY(B2)</f>
        <v>-7.8</v>
      </c>
    </row>
    <row r="184" spans="1:10" ht="24.75" customHeight="1">
      <c r="A184" s="856" t="s">
        <v>215</v>
      </c>
      <c r="B184" s="857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-93</v>
      </c>
      <c r="I184" s="155"/>
      <c r="J184" s="178">
        <f>H184/DAY(B2)</f>
        <v>-4.6500000000000004</v>
      </c>
    </row>
    <row r="185" spans="1:10" ht="24.75" customHeight="1">
      <c r="A185" s="856" t="s">
        <v>216</v>
      </c>
      <c r="B185" s="85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22</v>
      </c>
      <c r="H186" s="99">
        <f>G186+'19'!H186</f>
        <v>-249</v>
      </c>
      <c r="I186" s="157"/>
      <c r="J186" s="178">
        <f>H186/DAY(B2)</f>
        <v>-12.45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125</v>
      </c>
      <c r="H187" s="99">
        <f>G187+'19'!H187</f>
        <v>-1678</v>
      </c>
      <c r="I187" s="158"/>
      <c r="J187" s="179">
        <f>H187/DAY(B2)</f>
        <v>-83.9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60" zoomScalePageLayoutView="20" workbookViewId="0">
      <selection activeCell="D3" sqref="D3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-174382.51999999996</v>
      </c>
      <c r="I7" s="113">
        <f>'1'!I7</f>
        <v>12000</v>
      </c>
      <c r="J7" s="175">
        <f>H7/DAY(B2)</f>
        <v>-8303.9295238095219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-178144.40000000002</v>
      </c>
      <c r="I8" s="116"/>
      <c r="J8" s="175">
        <f>H8/DAY(B2)</f>
        <v>-8483.0666666666675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'20'!F9</f>
        <v>132779.53</v>
      </c>
      <c r="F9" s="598">
        <v>144338.41</v>
      </c>
      <c r="G9" s="112">
        <f>F9-E9</f>
        <v>11558.880000000005</v>
      </c>
      <c r="H9" s="99">
        <f>G9+'20'!H9</f>
        <v>2219365.56</v>
      </c>
      <c r="I9" s="124">
        <f>I7-J7</f>
        <v>20303.929523809522</v>
      </c>
      <c r="J9" s="175">
        <f>H9/DAY(B2)</f>
        <v>105684.07428571429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564318.82999999996</v>
      </c>
      <c r="I10" s="282"/>
      <c r="J10" s="175">
        <f>H10/DAY(B2)</f>
        <v>26872.325238095236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2766929.96</v>
      </c>
      <c r="I13" s="120">
        <f>G7-G13</f>
        <v>519.94999999999709</v>
      </c>
      <c r="J13" s="175">
        <f>H13/DAY(B2)</f>
        <v>131758.56952380954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-9576.1769999999087</v>
      </c>
      <c r="I15" s="113">
        <f>'1'!I15</f>
        <v>800</v>
      </c>
      <c r="J15" s="175">
        <f>H15/DAY(B2)</f>
        <v>-456.00842857142425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1256.0084285714242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2750</v>
      </c>
      <c r="I18" s="113">
        <f>'1'!I18</f>
        <v>65</v>
      </c>
      <c r="J18" s="175">
        <f>H18/DAY(B2)</f>
        <v>130.95238095238096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-542</v>
      </c>
      <c r="I19" s="335"/>
      <c r="J19" s="175">
        <f>H19/DAY(B2)</f>
        <v>-25.80952380952381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2208</v>
      </c>
      <c r="I20" s="336">
        <f>I18-J20</f>
        <v>-40.142857142857139</v>
      </c>
      <c r="J20" s="175">
        <f>H20/DAY(B2)</f>
        <v>105.14285714285714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-1603299.6000000006</v>
      </c>
      <c r="I27" s="138"/>
      <c r="J27" s="175">
        <f>H27/DAY(B2)</f>
        <v>-76347.60000000002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-497961.20399999525</v>
      </c>
      <c r="I28" s="140"/>
      <c r="J28" s="175">
        <f>H28/DAY(B2)</f>
        <v>-23712.438285714059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-79132</v>
      </c>
      <c r="I30" s="140"/>
      <c r="J30" s="175">
        <f>H30/DAY(B2)</f>
        <v>-3768.1904761904761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220000</v>
      </c>
      <c r="I31" s="140"/>
      <c r="J31" s="175">
        <f>H31/DAY(B2)</f>
        <v>10476.190476190477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-1952802.8039999958</v>
      </c>
      <c r="I32" s="144"/>
      <c r="J32" s="175">
        <f>H32/DAY(B2)</f>
        <v>-92990.609714285514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155284.80000000002</v>
      </c>
      <c r="I35" s="95"/>
      <c r="J35" s="175">
        <f>H35/DAY(B2)</f>
        <v>7394.5142857142864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-7465.0099999999948</v>
      </c>
      <c r="I36" s="95"/>
      <c r="J36" s="175">
        <f>H36/DAY(B2)</f>
        <v>-355.4766666666664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2">
        <v>19583.419999999998</v>
      </c>
      <c r="G37" s="112">
        <f t="shared" si="3"/>
        <v>1565.5</v>
      </c>
      <c r="H37" s="99">
        <f>G37+'20'!H37</f>
        <v>191763.33000000002</v>
      </c>
      <c r="I37" s="95"/>
      <c r="J37" s="175">
        <f>H37/DAY(B2)</f>
        <v>9131.5871428571445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228077.87000000002</v>
      </c>
      <c r="I38" s="95"/>
      <c r="J38" s="175">
        <f>H38/DAY(B2)</f>
        <v>10860.850952380953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2">
        <v>33105.85</v>
      </c>
      <c r="G39" s="112">
        <f t="shared" si="3"/>
        <v>2598.239999999998</v>
      </c>
      <c r="H39" s="99">
        <f>G39+'20'!H39</f>
        <v>406693.55999999994</v>
      </c>
      <c r="I39" s="95"/>
      <c r="J39" s="175">
        <f>H39/DAY(B2)</f>
        <v>19366.359999999997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-7260.6100000000024</v>
      </c>
      <c r="I40" s="95"/>
      <c r="J40" s="175">
        <f>H40/DAY(B2)</f>
        <v>-345.74333333333345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-62.73</v>
      </c>
      <c r="I41" s="95"/>
      <c r="J41" s="175">
        <f>H41/DAY(B2)</f>
        <v>-2.9871428571428571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-26321.14</v>
      </c>
      <c r="I42" s="95"/>
      <c r="J42" s="175">
        <f>H42/DAY(B2)</f>
        <v>-1253.387619047619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-20444.670000000013</v>
      </c>
      <c r="I43" s="95"/>
      <c r="J43" s="175">
        <f>H43/DAY(B2)</f>
        <v>-973.55571428571488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920265.40000000014</v>
      </c>
      <c r="I47" s="95"/>
      <c r="J47" s="175">
        <f>H47/DAY(B2)</f>
        <v>43822.16190476191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276257.70999999996</v>
      </c>
      <c r="I49" s="95"/>
      <c r="J49" s="175">
        <f>H49/DAY(B2)</f>
        <v>13155.129047619046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-11290.229999999996</v>
      </c>
      <c r="I50" s="95"/>
      <c r="J50" s="175">
        <f>H50/DAY(B2)</f>
        <v>-537.62999999999977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1753</v>
      </c>
      <c r="I54" s="95"/>
      <c r="J54" s="175">
        <f>H54/DAY(B2)</f>
        <v>83.476190476190482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-8253.2400000000052</v>
      </c>
      <c r="I55" s="95"/>
      <c r="J55" s="175">
        <f>H55/DAY(B2)</f>
        <v>-393.01142857142884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2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-1995.0300000000002</v>
      </c>
      <c r="I58" s="95"/>
      <c r="J58" s="175">
        <f>H58/DAY(B2)</f>
        <v>-95.001428571428576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256472.20999999996</v>
      </c>
      <c r="I59" s="95">
        <f>G7-G60</f>
        <v>1887.7800000000134</v>
      </c>
      <c r="J59" s="175">
        <f>H59/DAY(B2)</f>
        <v>12212.96238095238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1176737.6100000003</v>
      </c>
      <c r="I60" s="95">
        <f>G13-G60</f>
        <v>1367.8300000000163</v>
      </c>
      <c r="J60" s="175">
        <f>H60/DAY(B2)</f>
        <v>56035.124285714301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-1019</v>
      </c>
      <c r="I62" s="118"/>
      <c r="J62" s="175">
        <f>H62/DAY(B2)</f>
        <v>-48.523809523809526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-1261</v>
      </c>
      <c r="I63" s="118"/>
      <c r="J63" s="175">
        <f>H63/DAY(B2)</f>
        <v>-60.047619047619051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'20'!F64</f>
        <v>0</v>
      </c>
      <c r="F64" s="122"/>
      <c r="G64" s="112">
        <f>G62+G63</f>
        <v>156</v>
      </c>
      <c r="H64" s="99">
        <f>G64+'20'!H64</f>
        <v>-2280</v>
      </c>
      <c r="I64" s="118"/>
      <c r="J64" s="175">
        <f>H64/DAY(B2)</f>
        <v>-108.57142857142857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-860</v>
      </c>
      <c r="I65" s="118"/>
      <c r="J65" s="175">
        <f>H65/DAY(B2)</f>
        <v>-40.952380952380949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-187</v>
      </c>
      <c r="I66" s="118"/>
      <c r="J66" s="175">
        <f>H66/DAY(B2)</f>
        <v>-8.9047619047619051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-238</v>
      </c>
      <c r="I67" s="118"/>
      <c r="J67" s="175">
        <f>H67/DAY(B2)</f>
        <v>-11.333333333333334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-470</v>
      </c>
      <c r="I68" s="118"/>
      <c r="J68" s="175">
        <f>H68/DAY(B2)</f>
        <v>-22.38095238095238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-122</v>
      </c>
      <c r="I69" s="118"/>
      <c r="J69" s="175">
        <f>H69/DAY(B2)</f>
        <v>-5.8095238095238093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-110</v>
      </c>
      <c r="I70" s="118"/>
      <c r="J70" s="175">
        <f>H70/DAY(B2)</f>
        <v>-5.2380952380952381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150</v>
      </c>
      <c r="H71" s="99">
        <f>G71+'20'!H71</f>
        <v>-1987</v>
      </c>
      <c r="I71" s="154"/>
      <c r="J71" s="175">
        <f>H71/DAY(B2)</f>
        <v>-94.61904761904762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-3043.7389999999432</v>
      </c>
      <c r="I74" s="154"/>
      <c r="J74" s="175">
        <f>H74/DAY(B2)</f>
        <v>-144.93995238094968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-991.67999999999302</v>
      </c>
      <c r="I76" s="154"/>
      <c r="J76" s="175">
        <f>H76/DAY(B2)</f>
        <v>-47.22285714285681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-355.19999999999709</v>
      </c>
      <c r="I77" s="154"/>
      <c r="J77" s="175">
        <f>H77/DAY(B2)</f>
        <v>-16.914285714285576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-13</v>
      </c>
      <c r="I78" s="118"/>
      <c r="J78" s="175">
        <f>H78/DAY(B2)</f>
        <v>-0.61904761904761907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-5172.5579999999754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-163.86000000000013</v>
      </c>
      <c r="I85" s="118">
        <f>G82+G83+G84+G85</f>
        <v>0.13999999999941792</v>
      </c>
      <c r="J85" s="175">
        <f>H85/DAY(B2)</f>
        <v>-7.8028571428571487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-72.55000000000291</v>
      </c>
      <c r="I86" s="118"/>
      <c r="J86" s="175">
        <f>H86/DAY(B2)</f>
        <v>-3.4547619047620435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5.0000000002910383E-2</v>
      </c>
      <c r="I87" s="118"/>
      <c r="J87" s="175">
        <f>H87/DAY(B2)</f>
        <v>2.3809523810909708E-3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-2.0600000000013097</v>
      </c>
      <c r="I88" s="118">
        <f>G86+G87+G88</f>
        <v>24.07999999999447</v>
      </c>
      <c r="J88" s="175">
        <f>H88/DAY(B2)</f>
        <v>-9.8095238095300463E-2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-90.559999999997672</v>
      </c>
      <c r="I89" s="118"/>
      <c r="J89" s="175">
        <f>H89/DAY(B2)</f>
        <v>-4.3123809523808418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-24.89000000001397</v>
      </c>
      <c r="I90" s="118">
        <f>G89+G90</f>
        <v>12.419999999998254</v>
      </c>
      <c r="J90" s="175">
        <f>H90/DAY(B2)</f>
        <v>-1.1852380952387604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-24.769999999999982</v>
      </c>
      <c r="I91" s="165"/>
      <c r="J91" s="175">
        <f>H91/DAY(B2)</f>
        <v>-1.1795238095238088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-84.369999999999891</v>
      </c>
      <c r="I92" s="165"/>
      <c r="J92" s="175">
        <f>H92/DAY(B2)</f>
        <v>-4.0176190476190428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411097.83999999991</v>
      </c>
      <c r="I94" s="118"/>
      <c r="J94" s="175">
        <f>H94/DAY(B2)</f>
        <v>19576.087619047616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0.27398458521559571</v>
      </c>
      <c r="H95" s="99">
        <f>G95+'20'!H95</f>
        <v>4.8234189802980136</v>
      </c>
      <c r="I95" s="167"/>
      <c r="J95" s="175">
        <f>H95/DAY(B2)</f>
        <v>0.22968661810942922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-34637.110000000022</v>
      </c>
      <c r="I96" s="118"/>
      <c r="J96" s="175">
        <f>H96/DAY(B2)</f>
        <v>-1649.3861904761916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0.15884883840667599</v>
      </c>
      <c r="H97" s="99">
        <f>G97+'20'!H97</f>
        <v>3.6502871042469298</v>
      </c>
      <c r="I97" s="167"/>
      <c r="J97" s="175">
        <f>H97/DAY(B2)</f>
        <v>0.17382319544032998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2598.239999999998</v>
      </c>
      <c r="H98" s="99">
        <f>G98+'20'!H98</f>
        <v>406693.55999999994</v>
      </c>
      <c r="I98" s="168"/>
      <c r="J98" s="175">
        <f>H98/DAY(B2)</f>
        <v>19366.359999999997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0.14540847163957243</v>
      </c>
      <c r="H99" s="99">
        <f>G99+'20'!H99</f>
        <v>2.2455955570211579</v>
      </c>
      <c r="I99" s="168"/>
      <c r="J99" s="175">
        <f>H99/DAY(B2)</f>
        <v>0.10693312176291228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228077.87000000002</v>
      </c>
      <c r="I100" s="118"/>
      <c r="J100" s="175">
        <f>H100/DAY(B2)</f>
        <v>10860.850952380953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1.4994955515748396</v>
      </c>
      <c r="I101" s="168"/>
      <c r="J101" s="175">
        <f>H101/DAY(B2)</f>
        <v>7.1404550074992357E-2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-18755.239999999991</v>
      </c>
      <c r="I102" s="168"/>
      <c r="J102" s="175">
        <f>H102/DAY(B2)</f>
        <v>-893.10666666666623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2.0206758850002897</v>
      </c>
      <c r="I103" s="118"/>
      <c r="J103" s="175">
        <f>H103/DAY(B2)</f>
        <v>9.6222661190489986E-2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1565.5</v>
      </c>
      <c r="H104" s="99">
        <f>G104+'20'!H104</f>
        <v>191763.33000000002</v>
      </c>
      <c r="I104" s="118"/>
      <c r="J104" s="175">
        <f>H104/DAY(B2)</f>
        <v>9131.5871428571445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1.4167824161033447</v>
      </c>
      <c r="I105" s="187"/>
      <c r="J105" s="188">
        <f>H105/DAY(B2)</f>
        <v>6.7465829338254513E-2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-772.69999999999709</v>
      </c>
      <c r="I112" s="165"/>
      <c r="J112" s="328">
        <f>H112/DAY(B2)</f>
        <v>-36.795238095237956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'20'!F113</f>
        <v>41236.870000000003</v>
      </c>
      <c r="F113" s="597">
        <v>41726.75</v>
      </c>
      <c r="G113" s="112">
        <f t="shared" si="9"/>
        <v>489.87999999999738</v>
      </c>
      <c r="H113" s="99">
        <f>G113+'20'!H113</f>
        <v>-4674.1399999999994</v>
      </c>
      <c r="I113" s="165"/>
      <c r="J113" s="328">
        <f>H113/DAY(B2)</f>
        <v>-222.57809523809522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-2832.9300000000021</v>
      </c>
      <c r="I114" s="165"/>
      <c r="J114" s="328">
        <f>H114/DAY(B2)</f>
        <v>-134.90142857142868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-96.319999999999709</v>
      </c>
      <c r="I115" s="165"/>
      <c r="J115" s="328">
        <f>H115/DAY(B2)</f>
        <v>-4.5866666666666527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-245.67999999999984</v>
      </c>
      <c r="I117" s="165"/>
      <c r="J117" s="328">
        <f>H117/DAY(B2)</f>
        <v>-11.699047619047612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-3374.5400000000081</v>
      </c>
      <c r="I118" s="165"/>
      <c r="J118" s="328">
        <f>H118/DAY(B2)</f>
        <v>-160.69238095238134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-4149.7599999999802</v>
      </c>
      <c r="I119" s="165"/>
      <c r="J119" s="328">
        <f>H119/DAY(B2)</f>
        <v>-197.6076190476181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'20'!F120</f>
        <v>38389.870000000003</v>
      </c>
      <c r="F120" s="597">
        <v>38801.230000000003</v>
      </c>
      <c r="G120" s="112">
        <f t="shared" si="9"/>
        <v>411.36000000000058</v>
      </c>
      <c r="H120" s="99">
        <f>G120+'20'!H120</f>
        <v>-4158.3799999999974</v>
      </c>
      <c r="I120" s="165"/>
      <c r="J120" s="328">
        <f>H120/DAY(B2)</f>
        <v>-198.0180952380951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-7009.7199999999721</v>
      </c>
      <c r="I121" s="165"/>
      <c r="J121" s="328">
        <f>H121/DAY(B2)</f>
        <v>-333.79619047618917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-1953.2099999999919</v>
      </c>
      <c r="I122" s="165"/>
      <c r="J122" s="328">
        <f>H122/DAY(B2)</f>
        <v>-93.009999999999607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-2726.9500000000116</v>
      </c>
      <c r="I123" s="165"/>
      <c r="J123" s="328">
        <f>H123/DAY(B2)</f>
        <v>-129.85476190476246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-3131.489999999998</v>
      </c>
      <c r="I128" s="165"/>
      <c r="J128" s="328">
        <f>H128/DAY(B2)</f>
        <v>-149.11857142857133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-1999.9199999999983</v>
      </c>
      <c r="I129" s="165"/>
      <c r="J129" s="328">
        <f>H129/DAY(B2)</f>
        <v>-95.234285714285633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1">
        <v>30726.03</v>
      </c>
      <c r="G130" s="112">
        <f t="shared" si="10"/>
        <v>519.12999999999738</v>
      </c>
      <c r="H130" s="99">
        <f>G130+'20'!H130</f>
        <v>-4967.9700000000012</v>
      </c>
      <c r="I130" s="165"/>
      <c r="J130" s="328">
        <f>H130/DAY(B2)</f>
        <v>-236.57000000000005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-615.03000000000065</v>
      </c>
      <c r="I131" s="165"/>
      <c r="J131" s="328">
        <f>H131/DAY(B2)</f>
        <v>-29.287142857142889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-1662.9700000000012</v>
      </c>
      <c r="I132" s="165"/>
      <c r="J132" s="328">
        <f>H132/DAY(B2)</f>
        <v>-79.18904761904767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-4781.0399999999936</v>
      </c>
      <c r="I133" s="165"/>
      <c r="J133" s="328">
        <f>H133/DAY(B2)</f>
        <v>-227.66857142857111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669654.56999999995</v>
      </c>
      <c r="I134" s="165"/>
      <c r="J134" s="328">
        <f>H134/DAY(B2)</f>
        <v>31888.312857142853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629374.89</v>
      </c>
      <c r="I135" s="327">
        <f>G135-(G35+G49)</f>
        <v>-419.10000000000218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-700</v>
      </c>
      <c r="I138" s="118"/>
      <c r="J138" s="328">
        <f>H138/DAY(B2)</f>
        <v>-33.333333333333336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-19</v>
      </c>
      <c r="I139" s="118"/>
      <c r="J139" s="328">
        <f>H139/DAY(B2)</f>
        <v>-0.90476190476190477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-3.5</v>
      </c>
      <c r="I140" s="118"/>
      <c r="J140" s="328">
        <f>H140/DAY(B2)</f>
        <v>-0.16666666666666666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-1760.5999999999985</v>
      </c>
      <c r="I141" s="118"/>
      <c r="J141" s="328">
        <f>H141/DAY(B2)</f>
        <v>-83.838095238095164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-782.18999999999869</v>
      </c>
      <c r="I142" s="140"/>
      <c r="J142" s="328">
        <f>H142/DAY(B2)</f>
        <v>-37.247142857142798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-269.84999999999991</v>
      </c>
      <c r="I143" s="140"/>
      <c r="J143" s="328">
        <f>H143/DAY(B2)</f>
        <v>-12.849999999999996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-2071</v>
      </c>
      <c r="I144" s="140"/>
      <c r="J144" s="328">
        <f>H144/DAY(B2)</f>
        <v>-98.61904761904762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-85.440000000000509</v>
      </c>
      <c r="I145" s="140"/>
      <c r="J145" s="328">
        <f>H145/DAY(B2)</f>
        <v>-4.0685714285714525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-4089</v>
      </c>
      <c r="I146" s="140"/>
      <c r="J146" s="328">
        <f>H146/DAY(B2)</f>
        <v>-194.71428571428572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-3724.4000000000233</v>
      </c>
      <c r="I147" s="140"/>
      <c r="J147" s="328">
        <f>H147/DAY(B2)</f>
        <v>-177.35238095238205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-1946.0799999999581</v>
      </c>
      <c r="I148" s="124"/>
      <c r="J148" s="328">
        <f>H148/DAY(B2)</f>
        <v>-92.67047619047419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-5077.7400000000016</v>
      </c>
      <c r="I149" s="119"/>
      <c r="J149" s="328">
        <f>H149/DAY(B2)</f>
        <v>-241.79714285714294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-2211.17</v>
      </c>
      <c r="I150" s="119"/>
      <c r="J150" s="328">
        <f>H150/DAY(B2)</f>
        <v>-105.29380952380953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-2442</v>
      </c>
      <c r="I151" s="119"/>
      <c r="J151" s="328">
        <f>H151/DAY(B2)</f>
        <v>-116.28571428571429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-177.93000000000006</v>
      </c>
      <c r="I152" s="119"/>
      <c r="J152" s="328">
        <f>H152/DAY(B2)</f>
        <v>-8.472857142857146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-7185.0600000000013</v>
      </c>
      <c r="I155" s="364"/>
      <c r="J155" s="328">
        <f>H155/DAY(B2)</f>
        <v>-342.14571428571435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-612.67999999999984</v>
      </c>
      <c r="I156" s="165"/>
      <c r="J156" s="328">
        <f>H156/DAY(B2)</f>
        <v>-29.175238095238086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-484.55999999999767</v>
      </c>
      <c r="I161" s="236"/>
      <c r="J161" s="239">
        <f>H161/DAY(B2)</f>
        <v>-23.074285714285605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-303.09999999999127</v>
      </c>
      <c r="I162" s="236"/>
      <c r="J162" s="239">
        <f>H162/DAY(B2)</f>
        <v>-14.433333333332918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4">
        <v>78800.600000000006</v>
      </c>
      <c r="G163" s="238">
        <f t="shared" si="13"/>
        <v>51</v>
      </c>
      <c r="H163" s="99">
        <f>G163+'20'!H163</f>
        <v>-419.5</v>
      </c>
      <c r="I163" s="236"/>
      <c r="J163" s="239">
        <f>H163/DAY(B2)</f>
        <v>-19.976190476190474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4">
        <v>4291.1000000000004</v>
      </c>
      <c r="G164" s="238">
        <f t="shared" si="13"/>
        <v>3.1000000000003638</v>
      </c>
      <c r="H164" s="99">
        <f>G164+'20'!H164</f>
        <v>-28.899999999999636</v>
      </c>
      <c r="I164" s="236"/>
      <c r="J164" s="239">
        <f>H164/DAY(B2)</f>
        <v>-1.3761904761904589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-68.340000000000146</v>
      </c>
      <c r="I165" s="236"/>
      <c r="J165" s="239">
        <f>H165/DAY(B2)</f>
        <v>-3.2542857142857211</v>
      </c>
    </row>
    <row r="166" spans="1:10" ht="29.25">
      <c r="A166" s="852"/>
      <c r="B166" s="85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-126</v>
      </c>
      <c r="I174" s="155"/>
      <c r="J174" s="178">
        <f>H174/DAY(B2)</f>
        <v>-6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-99</v>
      </c>
      <c r="I175" s="155"/>
      <c r="J175" s="178">
        <f>H175/DAY(B2)</f>
        <v>-4.7142857142857144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21</v>
      </c>
      <c r="H176" s="99">
        <f>G176+'20'!H176</f>
        <v>-225</v>
      </c>
      <c r="I176" s="155"/>
      <c r="J176" s="178">
        <f>H176/DAY(B2)</f>
        <v>-10.714285714285714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-525</v>
      </c>
      <c r="I178" s="155"/>
      <c r="J178" s="178">
        <f>H178/DAY(B2)</f>
        <v>-25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-447</v>
      </c>
      <c r="I179" s="155"/>
      <c r="J179" s="178">
        <f>H179/DAY(B2)</f>
        <v>-21.285714285714285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-65</v>
      </c>
      <c r="I180" s="155"/>
      <c r="J180" s="178">
        <f>H180/DAY(B2)</f>
        <v>-3.0952380952380953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95</v>
      </c>
      <c r="H181" s="99">
        <f>G181+'20'!H181</f>
        <v>-1037</v>
      </c>
      <c r="I181" s="155"/>
      <c r="J181" s="178">
        <f>H181/DAY(B2)</f>
        <v>-49.38095238095238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-146</v>
      </c>
      <c r="I183" s="155"/>
      <c r="J183" s="178">
        <f>H183/DAY(B2)</f>
        <v>-6.9523809523809526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-89</v>
      </c>
      <c r="I184" s="155"/>
      <c r="J184" s="178">
        <f>H184/DAY(B2)</f>
        <v>-4.2380952380952381</v>
      </c>
    </row>
    <row r="185" spans="1:10" ht="32.25" customHeight="1">
      <c r="A185" s="856" t="s">
        <v>216</v>
      </c>
      <c r="B185" s="85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G186+'20'!H186</f>
        <v>-235</v>
      </c>
      <c r="I186" s="157"/>
      <c r="J186" s="178">
        <f>H186/DAY(B2)</f>
        <v>-11.19047619047619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117</v>
      </c>
      <c r="H187" s="99">
        <f>G187+'20'!H187</f>
        <v>-1561</v>
      </c>
      <c r="I187" s="158"/>
      <c r="J187" s="179">
        <f>H187/DAY(B2)</f>
        <v>-74.333333333333329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-155166.56</v>
      </c>
      <c r="I7" s="113">
        <f>'1'!I7</f>
        <v>12000</v>
      </c>
      <c r="J7" s="175">
        <f>H7/DAY(B2)</f>
        <v>-7053.0254545454545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-158221.64000000001</v>
      </c>
      <c r="I8" s="116"/>
      <c r="J8" s="175">
        <f>H8/DAY(B2)</f>
        <v>-7191.8927272727278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'21'!F9</f>
        <v>144338.41</v>
      </c>
      <c r="F9" s="598">
        <v>156266.35</v>
      </c>
      <c r="G9" s="112">
        <f>F9-E9</f>
        <v>11927.940000000002</v>
      </c>
      <c r="H9" s="99">
        <f>G9+'21'!H9</f>
        <v>2231293.5</v>
      </c>
      <c r="I9" s="124">
        <f>I7-J7</f>
        <v>19053.025454545455</v>
      </c>
      <c r="J9" s="175">
        <f>H9/DAY(B2)</f>
        <v>101422.43181818182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571080.32999999996</v>
      </c>
      <c r="I10" s="282"/>
      <c r="J10" s="175">
        <f>H10/DAY(B2)</f>
        <v>25958.196818181816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2785619.4</v>
      </c>
      <c r="I13" s="120">
        <f>G7-G13</f>
        <v>526.51999999996042</v>
      </c>
      <c r="J13" s="175">
        <f>H13/DAY(B2)</f>
        <v>126619.06363636363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-8539.7669999999925</v>
      </c>
      <c r="I15" s="113">
        <f>'1'!I15</f>
        <v>800</v>
      </c>
      <c r="J15" s="175">
        <f>H15/DAY(B2)</f>
        <v>-388.17122727272692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1188.1712272727268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2870</v>
      </c>
      <c r="I18" s="113">
        <f>'1'!I18</f>
        <v>65</v>
      </c>
      <c r="J18" s="175">
        <f>H18/DAY(B2)</f>
        <v>130.45454545454547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-486</v>
      </c>
      <c r="I19" s="335"/>
      <c r="J19" s="175">
        <f>H19/DAY(B2)</f>
        <v>-22.09090909090909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2384</v>
      </c>
      <c r="I20" s="336">
        <f>I18-J20</f>
        <v>-43.36363636363636</v>
      </c>
      <c r="J20" s="175">
        <f>H20/DAY(B2)</f>
        <v>108.36363636363636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-1423994.7600000005</v>
      </c>
      <c r="I27" s="138"/>
      <c r="J27" s="175">
        <f>H27/DAY(B2)</f>
        <v>-64727.034545454568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-444067.88399999961</v>
      </c>
      <c r="I28" s="140"/>
      <c r="J28" s="175">
        <f>H28/DAY(B2)</f>
        <v>-20184.9038181818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-70956</v>
      </c>
      <c r="I30" s="140"/>
      <c r="J30" s="175">
        <f>H30/DAY(B2)</f>
        <v>-3225.2727272727275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229600</v>
      </c>
      <c r="I31" s="140"/>
      <c r="J31" s="175">
        <f>H31/DAY(B2)</f>
        <v>10436.363636363636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-1701828.6440000001</v>
      </c>
      <c r="I32" s="144"/>
      <c r="J32" s="175">
        <f>H32/DAY(B2)</f>
        <v>-77355.847454545452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2">
        <v>20670.580000000002</v>
      </c>
      <c r="G35" s="112">
        <f t="shared" ref="G35:G46" si="3">F35-E35</f>
        <v>1422.8000000000029</v>
      </c>
      <c r="H35" s="99">
        <f>G35+'21'!H35</f>
        <v>156707.60000000003</v>
      </c>
      <c r="I35" s="95"/>
      <c r="J35" s="175">
        <f>H35/DAY(B2)</f>
        <v>7123.072727272729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-6630.7200000000012</v>
      </c>
      <c r="I36" s="95"/>
      <c r="J36" s="175">
        <f>H36/DAY(B2)</f>
        <v>-301.39636363636367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2">
        <v>21170.51</v>
      </c>
      <c r="G37" s="112">
        <f t="shared" si="3"/>
        <v>1587.0900000000001</v>
      </c>
      <c r="H37" s="99">
        <f>G37+'21'!H37</f>
        <v>193350.42</v>
      </c>
      <c r="I37" s="95"/>
      <c r="J37" s="175">
        <f>H37/DAY(B2)</f>
        <v>8788.6554545454546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229865.11000000002</v>
      </c>
      <c r="I38" s="95"/>
      <c r="J38" s="175">
        <f>H38/DAY(B2)</f>
        <v>10448.414090909091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2">
        <v>35754.550000000003</v>
      </c>
      <c r="G39" s="112">
        <f t="shared" si="3"/>
        <v>2648.7000000000044</v>
      </c>
      <c r="H39" s="99">
        <f>G39+'21'!H39</f>
        <v>409342.25999999995</v>
      </c>
      <c r="I39" s="95"/>
      <c r="J39" s="175">
        <f>H39/DAY(B2)</f>
        <v>18606.466363636362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-6967.130000000001</v>
      </c>
      <c r="I40" s="95"/>
      <c r="J40" s="175">
        <f>H40/DAY(B2)</f>
        <v>-316.68772727272733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-62.73</v>
      </c>
      <c r="I41" s="95"/>
      <c r="J41" s="175">
        <f>H41/DAY(B2)</f>
        <v>-2.8513636363636361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-26321.14</v>
      </c>
      <c r="I42" s="95"/>
      <c r="J42" s="175">
        <f>H42/DAY(B2)</f>
        <v>-1196.4154545454546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-18111.25</v>
      </c>
      <c r="I43" s="95"/>
      <c r="J43" s="175">
        <f>H43/DAY(B2)</f>
        <v>-823.23863636363637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931172.42000000016</v>
      </c>
      <c r="I47" s="95"/>
      <c r="J47" s="175">
        <f>H47/DAY(B2)</f>
        <v>42326.019090909096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277431.53999999998</v>
      </c>
      <c r="I49" s="95"/>
      <c r="J49" s="175">
        <f>H49/DAY(B2)</f>
        <v>12610.524545454544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-9779.5299999999988</v>
      </c>
      <c r="I50" s="95"/>
      <c r="J50" s="175">
        <f>H50/DAY(B2)</f>
        <v>-444.52409090909083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1753</v>
      </c>
      <c r="I54" s="95"/>
      <c r="J54" s="175">
        <f>H54/DAY(B2)</f>
        <v>79.681818181818187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2">
        <v>69186.45</v>
      </c>
      <c r="G55" s="112">
        <f t="shared" si="4"/>
        <v>3073.5800000000017</v>
      </c>
      <c r="H55" s="99">
        <f>G55+'21'!H55</f>
        <v>-5179.6600000000035</v>
      </c>
      <c r="I55" s="95"/>
      <c r="J55" s="175">
        <f>H55/DAY(B2)</f>
        <v>-235.43909090909108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2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-1751.58</v>
      </c>
      <c r="I58" s="95"/>
      <c r="J58" s="175">
        <f>H58/DAY(B2)</f>
        <v>-79.61727272727272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262473.76999999996</v>
      </c>
      <c r="I59" s="95">
        <f>G7-G60</f>
        <v>2307.3799999999464</v>
      </c>
      <c r="J59" s="175">
        <f>H59/DAY(B2)</f>
        <v>11930.625909090908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1193646.1900000004</v>
      </c>
      <c r="I60" s="95">
        <f>G13-G60</f>
        <v>1780.859999999986</v>
      </c>
      <c r="J60" s="175">
        <f>H60/DAY(B2)</f>
        <v>54256.645000000019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-947</v>
      </c>
      <c r="I62" s="118"/>
      <c r="J62" s="175">
        <f>H62/DAY(B2)</f>
        <v>-43.045454545454547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-1153</v>
      </c>
      <c r="I63" s="118"/>
      <c r="J63" s="175">
        <f>H63/DAY(B2)</f>
        <v>-52.409090909090907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'21'!F64</f>
        <v>0</v>
      </c>
      <c r="F64" s="122"/>
      <c r="G64" s="112">
        <f>G62+G63</f>
        <v>180</v>
      </c>
      <c r="H64" s="99">
        <f>G64+'21'!H64</f>
        <v>-2100</v>
      </c>
      <c r="I64" s="118"/>
      <c r="J64" s="175">
        <f>H64/DAY(B2)</f>
        <v>-95.454545454545453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-785</v>
      </c>
      <c r="I65" s="118"/>
      <c r="J65" s="175">
        <f>H65/DAY(B2)</f>
        <v>-35.68181818181818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-173</v>
      </c>
      <c r="I66" s="118"/>
      <c r="J66" s="175">
        <f>H66/DAY(B2)</f>
        <v>-7.8636363636363633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-218</v>
      </c>
      <c r="I67" s="118"/>
      <c r="J67" s="175">
        <f>H67/DAY(B2)</f>
        <v>-9.9090909090909083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-425</v>
      </c>
      <c r="I68" s="118"/>
      <c r="J68" s="175">
        <f>H68/DAY(B2)</f>
        <v>-19.318181818181817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-114</v>
      </c>
      <c r="I69" s="118"/>
      <c r="J69" s="175">
        <f>H69/DAY(B2)</f>
        <v>-5.1818181818181817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-104</v>
      </c>
      <c r="I70" s="118"/>
      <c r="J70" s="175">
        <f>H70/DAY(B2)</f>
        <v>-4.7272727272727275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168</v>
      </c>
      <c r="H71" s="99">
        <f>G71+'21'!H71</f>
        <v>-1819</v>
      </c>
      <c r="I71" s="154"/>
      <c r="J71" s="175">
        <f>H71/DAY(B2)</f>
        <v>-82.681818181818187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-2736.0289999999804</v>
      </c>
      <c r="I74" s="154"/>
      <c r="J74" s="175">
        <f>H74/DAY(B2)</f>
        <v>-124.36495454545366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-872.32999999998719</v>
      </c>
      <c r="I76" s="154"/>
      <c r="J76" s="175">
        <f>H76/DAY(B2)</f>
        <v>-39.651363636363051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-315.19999999999709</v>
      </c>
      <c r="I77" s="154"/>
      <c r="J77" s="175">
        <f>H77/DAY(B2)</f>
        <v>-14.327272727272595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-10</v>
      </c>
      <c r="I78" s="118"/>
      <c r="J78" s="175">
        <f>H78/DAY(B2)</f>
        <v>-0.45454545454545453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-4606.2080000000278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-163.86000000000013</v>
      </c>
      <c r="I85" s="118">
        <f>G82+G83+G84+G85</f>
        <v>0</v>
      </c>
      <c r="J85" s="175">
        <f>H85/DAY(B2)</f>
        <v>-7.4481818181818236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-48.139999999999418</v>
      </c>
      <c r="I86" s="118"/>
      <c r="J86" s="175">
        <f>H86/DAY(B2)</f>
        <v>-2.1881818181817918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5.0000000002910383E-2</v>
      </c>
      <c r="I87" s="118"/>
      <c r="J87" s="175">
        <f>H87/DAY(B2)</f>
        <v>2.2727272728595631E-3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-2.0600000000013097</v>
      </c>
      <c r="I88" s="118">
        <f>G86+G87+G88</f>
        <v>24.410000000003492</v>
      </c>
      <c r="J88" s="175">
        <f>H88/DAY(B2)</f>
        <v>-9.3636363636423164E-2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-80.680000000000291</v>
      </c>
      <c r="I89" s="118"/>
      <c r="J89" s="175">
        <f>H89/DAY(B2)</f>
        <v>-3.6672727272727403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-21.440000000002328</v>
      </c>
      <c r="I90" s="118">
        <f>G89+G90</f>
        <v>13.330000000009022</v>
      </c>
      <c r="J90" s="175">
        <f>H90/DAY(B2)</f>
        <v>-0.97454545454556041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-24.769999999999982</v>
      </c>
      <c r="I91" s="165"/>
      <c r="J91" s="175">
        <f>H91/DAY(B2)</f>
        <v>-1.1259090909090901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-73.619999999999891</v>
      </c>
      <c r="I92" s="165"/>
      <c r="J92" s="175">
        <f>H92/DAY(B2)</f>
        <v>-3.3463636363636313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416027.8899999999</v>
      </c>
      <c r="I94" s="118"/>
      <c r="J94" s="175">
        <f>H94/DAY(B2)</f>
        <v>18910.358636363631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0.25656017185714508</v>
      </c>
      <c r="H95" s="99">
        <f>G95+'21'!H95</f>
        <v>5.0799791521551585</v>
      </c>
      <c r="I95" s="167"/>
      <c r="J95" s="175">
        <f>H95/DAY(B2)</f>
        <v>0.23090814327977993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-31563.530000000021</v>
      </c>
      <c r="I96" s="118"/>
      <c r="J96" s="175">
        <f>H96/DAY(B2)</f>
        <v>-1434.7059090909099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0.15994933378295997</v>
      </c>
      <c r="H97" s="99">
        <f>G97+'21'!H97</f>
        <v>3.8102364380298899</v>
      </c>
      <c r="I97" s="167"/>
      <c r="J97" s="175">
        <f>H97/DAY(B2)</f>
        <v>0.173192565364995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2648.7000000000044</v>
      </c>
      <c r="H98" s="99">
        <f>G98+'21'!H98</f>
        <v>409342.25999999995</v>
      </c>
      <c r="I98" s="168"/>
      <c r="J98" s="175">
        <f>H98/DAY(B2)</f>
        <v>18606.466363636362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0.13783854670804943</v>
      </c>
      <c r="H99" s="99">
        <f>G99+'21'!H99</f>
        <v>2.3834341037292073</v>
      </c>
      <c r="I99" s="168"/>
      <c r="J99" s="175">
        <f>H99/DAY(B2)</f>
        <v>0.10833791380587306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229865.11000000002</v>
      </c>
      <c r="I100" s="118"/>
      <c r="J100" s="175">
        <f>H100/DAY(B2)</f>
        <v>10448.414090909091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1.5925036552553222</v>
      </c>
      <c r="I101" s="168"/>
      <c r="J101" s="175">
        <f>H101/DAY(B2)</f>
        <v>7.2386529784332826E-2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-16410.25</v>
      </c>
      <c r="I102" s="168"/>
      <c r="J102" s="175">
        <f>H102/DAY(B2)</f>
        <v>-745.9204545454545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2.142709340523719</v>
      </c>
      <c r="I103" s="118"/>
      <c r="J103" s="175">
        <f>H103/DAY(B2)</f>
        <v>9.7395879114714493E-2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193350.42</v>
      </c>
      <c r="I104" s="118"/>
      <c r="J104" s="175">
        <f>H104/DAY(B2)</f>
        <v>8788.6554545454546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1.4993746987683796</v>
      </c>
      <c r="I105" s="187"/>
      <c r="J105" s="188">
        <f>H105/DAY(B2)</f>
        <v>6.8153395398562702E-2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-695.94000000000233</v>
      </c>
      <c r="I112" s="165"/>
      <c r="J112" s="328">
        <f>H112/DAY(B2)</f>
        <v>-31.633636363636469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-4187.2099999999991</v>
      </c>
      <c r="I113" s="165"/>
      <c r="J113" s="328">
        <f>H113/DAY(B2)</f>
        <v>-190.32772727272723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-2472.9100000000017</v>
      </c>
      <c r="I114" s="165"/>
      <c r="J114" s="328">
        <f>H114/DAY(B2)</f>
        <v>-112.40500000000007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-85.770000000000437</v>
      </c>
      <c r="I115" s="165"/>
      <c r="J115" s="328">
        <f>H115/DAY(B2)</f>
        <v>-3.8986363636363834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-222.56999999999971</v>
      </c>
      <c r="I117" s="165"/>
      <c r="J117" s="328">
        <f>H117/DAY(B2)</f>
        <v>-10.116818181818168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-3061.5799999999872</v>
      </c>
      <c r="I118" s="165"/>
      <c r="J118" s="328">
        <f>H118/DAY(B2)</f>
        <v>-139.1627272727267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-3740.8999999999942</v>
      </c>
      <c r="I119" s="165"/>
      <c r="J119" s="328">
        <f>H119/DAY(B2)</f>
        <v>-170.04090909090883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-3734.1999999999971</v>
      </c>
      <c r="I120" s="165"/>
      <c r="J120" s="328">
        <f>H120/DAY(B2)</f>
        <v>-169.73636363636351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-6304.5200000000186</v>
      </c>
      <c r="I121" s="165"/>
      <c r="J121" s="328">
        <f>H121/DAY(B2)</f>
        <v>-286.56909090909176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-1730.5599999999977</v>
      </c>
      <c r="I122" s="165"/>
      <c r="J122" s="328">
        <f>H122/DAY(B2)</f>
        <v>-78.661818181818077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-2455.1500000000233</v>
      </c>
      <c r="I123" s="165"/>
      <c r="J123" s="328">
        <f>H123/DAY(B2)</f>
        <v>-111.59772727272833</v>
      </c>
    </row>
    <row r="124" spans="1:18" ht="29.25" customHeight="1">
      <c r="A124" s="867"/>
      <c r="B124" s="868"/>
      <c r="C124" s="86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-2816.9700000000012</v>
      </c>
      <c r="I128" s="165"/>
      <c r="J128" s="328">
        <f>H128/DAY(B2)</f>
        <v>-128.04409090909095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-1740.9500000000007</v>
      </c>
      <c r="I129" s="165"/>
      <c r="J129" s="328">
        <f>H129/DAY(B2)</f>
        <v>-79.134090909090943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-4320.1899999999987</v>
      </c>
      <c r="I130" s="165"/>
      <c r="J130" s="328">
        <f>H130/DAY(B2)</f>
        <v>-196.37227272727267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-549.53000000000065</v>
      </c>
      <c r="I131" s="165"/>
      <c r="J131" s="328">
        <f>H131/DAY(B2)</f>
        <v>-24.978636363636394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-1496.9700000000012</v>
      </c>
      <c r="I132" s="165"/>
      <c r="J132" s="328">
        <f>H132/DAY(B2)</f>
        <v>-68.044090909090968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-4127.5999999999913</v>
      </c>
      <c r="I133" s="165"/>
      <c r="J133" s="328">
        <f>H133/DAY(B2)</f>
        <v>-187.61818181818143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669809.55999999994</v>
      </c>
      <c r="I134" s="165"/>
      <c r="J134" s="328">
        <f>H134/DAY(B2)</f>
        <v>30445.889090909088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629499.41999999993</v>
      </c>
      <c r="I135" s="327">
        <f>G135-(G35+G49)</f>
        <v>-335.43000000000393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-593</v>
      </c>
      <c r="I138" s="118"/>
      <c r="J138" s="328">
        <f>H138/DAY(B2)</f>
        <v>-26.954545454545453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-10</v>
      </c>
      <c r="I139" s="118"/>
      <c r="J139" s="328">
        <f>H139/DAY(B2)</f>
        <v>-0.45454545454545453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-1.9700000000011642</v>
      </c>
      <c r="I140" s="118"/>
      <c r="J140" s="328">
        <f>H140/DAY(B2)</f>
        <v>-8.9545454545507455E-2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-1567.9599999999991</v>
      </c>
      <c r="I141" s="118"/>
      <c r="J141" s="328">
        <f>H141/DAY(B2)</f>
        <v>-71.270909090909058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-702.36999999999898</v>
      </c>
      <c r="I142" s="140"/>
      <c r="J142" s="328">
        <f>H142/DAY(B2)</f>
        <v>-31.925909090909045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-241.88999999999987</v>
      </c>
      <c r="I143" s="140"/>
      <c r="J143" s="328">
        <f>H143/DAY(B2)</f>
        <v>-10.994999999999994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-1842</v>
      </c>
      <c r="I144" s="140"/>
      <c r="J144" s="328">
        <f>H144/DAY(B2)</f>
        <v>-83.727272727272734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-70.640000000000327</v>
      </c>
      <c r="I145" s="140"/>
      <c r="J145" s="328">
        <f>H145/DAY(B2)</f>
        <v>-3.2109090909091056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-3643</v>
      </c>
      <c r="I146" s="140"/>
      <c r="J146" s="328">
        <f>H146/DAY(B2)</f>
        <v>-165.59090909090909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-3232.4000000000233</v>
      </c>
      <c r="I147" s="140"/>
      <c r="J147" s="328">
        <f>H147/DAY(B2)</f>
        <v>-146.92727272727379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-1743.5200000000186</v>
      </c>
      <c r="I148" s="124"/>
      <c r="J148" s="328">
        <f>H148/DAY(B2)</f>
        <v>-79.250909090909943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-4612.4000000000015</v>
      </c>
      <c r="I149" s="119"/>
      <c r="J149" s="328">
        <f>H149/DAY(B2)</f>
        <v>-209.65454545454551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-1984.2700000000004</v>
      </c>
      <c r="I150" s="119"/>
      <c r="J150" s="328">
        <f>H150/DAY(B2)</f>
        <v>-90.194090909090932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-2223</v>
      </c>
      <c r="I151" s="119"/>
      <c r="J151" s="328">
        <f>H151/DAY(B2)</f>
        <v>-101.04545454545455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-162.05999999999995</v>
      </c>
      <c r="I152" s="119"/>
      <c r="J152" s="328">
        <f>H152/DAY(B2)</f>
        <v>-7.3663636363636336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-6525.2799999999988</v>
      </c>
      <c r="I155" s="364"/>
      <c r="J155" s="328">
        <f>H155/DAY(B2)</f>
        <v>-296.60363636363633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-559.61000000000013</v>
      </c>
      <c r="I156" s="165"/>
      <c r="J156" s="328">
        <f>H156/DAY(B2)</f>
        <v>-25.436818181818186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-266.55999999999767</v>
      </c>
      <c r="I161" s="236"/>
      <c r="J161" s="239">
        <f>H161/DAY(B2)</f>
        <v>-12.116363636363531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-273.79999999998836</v>
      </c>
      <c r="I162" s="236"/>
      <c r="J162" s="239">
        <f>H162/DAY(B2)</f>
        <v>-12.445454545454016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-382.80000000000291</v>
      </c>
      <c r="I163" s="236"/>
      <c r="J163" s="239">
        <f>H163/DAY(B2)</f>
        <v>-17.400000000000134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-28</v>
      </c>
      <c r="I164" s="236"/>
      <c r="J164" s="239">
        <f>H164/DAY(B2)</f>
        <v>-1.2727272727272727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-66.56000000000131</v>
      </c>
      <c r="I165" s="236"/>
      <c r="J165" s="239">
        <f>H165/DAY(B2)</f>
        <v>-3.0254545454546049</v>
      </c>
    </row>
    <row r="166" spans="1:10" ht="21.95" customHeight="1">
      <c r="A166" s="852"/>
      <c r="B166" s="85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52"/>
      <c r="B167" s="85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52"/>
      <c r="B168" s="85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-114</v>
      </c>
      <c r="I174" s="155"/>
      <c r="J174" s="178">
        <f>H174/DAY(B2)</f>
        <v>-5.1818181818181817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-89</v>
      </c>
      <c r="I175" s="155"/>
      <c r="J175" s="178">
        <f>H175/DAY(B2)</f>
        <v>-4.0454545454545459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G176+'21'!H176</f>
        <v>-203</v>
      </c>
      <c r="I176" s="155"/>
      <c r="J176" s="178">
        <f>H176/DAY(B2)</f>
        <v>-9.2272727272727266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-525</v>
      </c>
      <c r="I178" s="155"/>
      <c r="J178" s="178">
        <f>H178/DAY(B2)</f>
        <v>-23.863636363636363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-433</v>
      </c>
      <c r="I179" s="155"/>
      <c r="J179" s="178">
        <f>H179/DAY(B2)</f>
        <v>-19.681818181818183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-60</v>
      </c>
      <c r="I180" s="155"/>
      <c r="J180" s="178">
        <f>H180/DAY(B2)</f>
        <v>-2.7272727272727271</v>
      </c>
    </row>
    <row r="181" spans="1:10" ht="27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19</v>
      </c>
      <c r="H181" s="99">
        <f>G181+'21'!H181</f>
        <v>-1018</v>
      </c>
      <c r="I181" s="155"/>
      <c r="J181" s="178">
        <f>H181/DAY(B2)</f>
        <v>-46.272727272727273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-137</v>
      </c>
      <c r="I183" s="155"/>
      <c r="J183" s="178">
        <f>H183/DAY(B2)</f>
        <v>-6.2272727272727275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-85</v>
      </c>
      <c r="I184" s="155"/>
      <c r="J184" s="178">
        <f>H184/DAY(B2)</f>
        <v>-3.8636363636363638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13</v>
      </c>
      <c r="H186" s="99">
        <f>G186+'21'!H186</f>
        <v>-222</v>
      </c>
      <c r="I186" s="157"/>
      <c r="J186" s="178">
        <f>H186/DAY(B2)</f>
        <v>-10.090909090909092</v>
      </c>
    </row>
    <row r="187" spans="1:10" ht="27.75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128</v>
      </c>
      <c r="H187" s="99">
        <f>G187+'21'!H187</f>
        <v>-1433</v>
      </c>
      <c r="I187" s="158"/>
      <c r="J187" s="179">
        <f>H187/DAY(B2)</f>
        <v>-65.13636363636364</v>
      </c>
    </row>
    <row r="188" spans="1:10" ht="27.75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90"/>
  <sheetViews>
    <sheetView view="pageBreakPreview" zoomScale="50" zoomScaleNormal="80" zoomScaleSheetLayoutView="50" workbookViewId="0">
      <selection activeCell="I143" sqref="I143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-136463.39999999997</v>
      </c>
      <c r="I7" s="113">
        <f>'1'!I7</f>
        <v>12000</v>
      </c>
      <c r="J7" s="175">
        <f>H7/DAY(B2)</f>
        <v>-5933.1913043478244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-138833.32000000007</v>
      </c>
      <c r="I8" s="116"/>
      <c r="J8" s="175">
        <f>H8/DAY(B2)</f>
        <v>-6036.2313043478289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156266.35</v>
      </c>
      <c r="F9" s="598">
        <v>168518.39</v>
      </c>
      <c r="G9" s="112">
        <f>F9-E9</f>
        <v>12252.040000000008</v>
      </c>
      <c r="H9" s="99">
        <f>G9+'22'!H9</f>
        <v>2243545.54</v>
      </c>
      <c r="I9" s="124">
        <f>I7-J7</f>
        <v>17933.191304347823</v>
      </c>
      <c r="J9" s="175">
        <f>H9/DAY(B2)</f>
        <v>97545.458260869564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577012.71</v>
      </c>
      <c r="I10" s="282"/>
      <c r="J10" s="175">
        <f>H10/DAY(B2)</f>
        <v>25087.509130434781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2803803.82</v>
      </c>
      <c r="I13" s="120">
        <f>G7-G13</f>
        <v>518.74000000003434</v>
      </c>
      <c r="J13" s="175">
        <f>H13/DAY(B2)</f>
        <v>121904.51391304347</v>
      </c>
      <c r="K13" s="79"/>
      <c r="L13" s="66"/>
      <c r="N13" s="87"/>
      <c r="O13" s="71"/>
    </row>
    <row r="14" spans="1:15" ht="30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-7559.8470000000671</v>
      </c>
      <c r="I15" s="113">
        <f>'1'!I15</f>
        <v>800</v>
      </c>
      <c r="J15" s="175">
        <f>H15/DAY(B2)</f>
        <v>-328.68900000000292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1128.689000000003</v>
      </c>
      <c r="J16" s="176"/>
      <c r="K16" s="79"/>
      <c r="L16" s="66"/>
      <c r="N16" s="87"/>
      <c r="O16" s="71"/>
    </row>
    <row r="17" spans="1:15" ht="30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84" t="s">
        <v>141</v>
      </c>
      <c r="B18" s="885"/>
      <c r="C18" s="886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3030</v>
      </c>
      <c r="I18" s="113">
        <f>'1'!I18</f>
        <v>65</v>
      </c>
      <c r="J18" s="175">
        <f>H18/DAY(B2)</f>
        <v>131.7391304347826</v>
      </c>
      <c r="K18" s="79"/>
      <c r="L18" s="66"/>
      <c r="N18" s="87"/>
      <c r="O18" s="71"/>
    </row>
    <row r="19" spans="1:15" ht="30.75" customHeight="1">
      <c r="A19" s="884" t="s">
        <v>69</v>
      </c>
      <c r="B19" s="885"/>
      <c r="C19" s="886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-430</v>
      </c>
      <c r="I19" s="335"/>
      <c r="J19" s="175">
        <f>H19/DAY(B2)</f>
        <v>-18.695652173913043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2600</v>
      </c>
      <c r="I20" s="336">
        <f>I18-J20</f>
        <v>-48.043478260869563</v>
      </c>
      <c r="J20" s="175">
        <f>H20/DAY(B2)</f>
        <v>113.04347826086956</v>
      </c>
      <c r="K20" s="79"/>
      <c r="L20" s="66"/>
      <c r="N20" s="87"/>
      <c r="O20" s="71"/>
    </row>
    <row r="21" spans="1:15" ht="30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-1249499.8800000008</v>
      </c>
      <c r="I27" s="138"/>
      <c r="J27" s="175">
        <f>H27/DAY(B2)</f>
        <v>-54326.081739130474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-393112.04400000349</v>
      </c>
      <c r="I28" s="140"/>
      <c r="J28" s="175">
        <f>H28/DAY(B2)</f>
        <v>-17091.82800000015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-62780</v>
      </c>
      <c r="I30" s="140"/>
      <c r="J30" s="175">
        <f>H30/DAY(B2)</f>
        <v>-2729.5652173913045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242400</v>
      </c>
      <c r="I31" s="140"/>
      <c r="J31" s="175">
        <f>H31/DAY(B2)</f>
        <v>10539.130434782608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-1455401.9240000043</v>
      </c>
      <c r="I32" s="144"/>
      <c r="J32" s="175">
        <f>H32/DAY(B2)</f>
        <v>-63278.344521739316</v>
      </c>
      <c r="K32" s="63"/>
      <c r="L32" s="89"/>
      <c r="N32" s="87"/>
      <c r="O32" s="71"/>
    </row>
    <row r="33" spans="1:15" ht="30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158063.31000000003</v>
      </c>
      <c r="I35" s="95"/>
      <c r="J35" s="175">
        <f>H35/DAY(B2)</f>
        <v>6872.3178260869581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-5475.4399999999951</v>
      </c>
      <c r="I36" s="95"/>
      <c r="J36" s="175">
        <f>H36/DAY(B2)</f>
        <v>-238.06260869565196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194922.40000000002</v>
      </c>
      <c r="I37" s="95"/>
      <c r="J37" s="175">
        <f>H37/DAY(B2)</f>
        <v>8474.886956521741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231797.18000000002</v>
      </c>
      <c r="I38" s="95"/>
      <c r="J38" s="175">
        <f>H38/DAY(B2)</f>
        <v>10078.138260869566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411918.50999999995</v>
      </c>
      <c r="I39" s="95"/>
      <c r="J39" s="175">
        <f>H39/DAY(B2)</f>
        <v>17909.500434782607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-6583.2300000000014</v>
      </c>
      <c r="I40" s="95"/>
      <c r="J40" s="175">
        <f>H40/DAY(B2)</f>
        <v>-286.22739130434786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-62.73</v>
      </c>
      <c r="I41" s="95"/>
      <c r="J41" s="175">
        <f>H41/DAY(B2)</f>
        <v>-2.727391304347826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-26321.14</v>
      </c>
      <c r="I42" s="95"/>
      <c r="J42" s="175">
        <f>H42/DAY(B2)</f>
        <v>-1144.3973913043478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-15772.010000000009</v>
      </c>
      <c r="I43" s="95"/>
      <c r="J43" s="175">
        <f>H43/DAY(B2)</f>
        <v>-685.73956521739171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942486.85000000021</v>
      </c>
      <c r="I47" s="95"/>
      <c r="J47" s="175">
        <f>H47/DAY(B2)</f>
        <v>40977.689130434788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278524.51</v>
      </c>
      <c r="I49" s="95"/>
      <c r="J49" s="175">
        <f>H49/DAY(B2)</f>
        <v>12109.761304347827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-8152.2699999999968</v>
      </c>
      <c r="I50" s="95"/>
      <c r="J50" s="175">
        <f>H50/DAY(B2)</f>
        <v>-354.44652173913028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1753</v>
      </c>
      <c r="I54" s="95"/>
      <c r="J54" s="175">
        <f>H54/DAY(B2)</f>
        <v>76.217391304347828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-2484.4400000000023</v>
      </c>
      <c r="I55" s="95"/>
      <c r="J55" s="175">
        <f>H55/DAY(B2)</f>
        <v>-108.01913043478271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-1525.62</v>
      </c>
      <c r="I58" s="95"/>
      <c r="J58" s="175">
        <f>H58/DAY(B2)</f>
        <v>-66.331304347826077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268115.18</v>
      </c>
      <c r="I59" s="95">
        <f>G7-G60</f>
        <v>1747.3200000000288</v>
      </c>
      <c r="J59" s="175">
        <f>H59/DAY(B2)</f>
        <v>11657.181739130434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1210602.0300000005</v>
      </c>
      <c r="I60" s="95">
        <f>G13-G60</f>
        <v>1228.5799999999945</v>
      </c>
      <c r="J60" s="175">
        <f>H60/DAY(B2)</f>
        <v>52634.870869565239</v>
      </c>
      <c r="K60" s="79"/>
      <c r="L60" s="66"/>
      <c r="N60" s="87"/>
      <c r="O60" s="71"/>
    </row>
    <row r="61" spans="1:15" s="68" customFormat="1" ht="30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84" t="s">
        <v>198</v>
      </c>
      <c r="B62" s="885"/>
      <c r="C62" s="886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-828</v>
      </c>
      <c r="I62" s="118"/>
      <c r="J62" s="175">
        <f>H62/DAY(B2)</f>
        <v>-36</v>
      </c>
      <c r="K62" s="80"/>
      <c r="L62" s="66"/>
      <c r="N62" s="87"/>
      <c r="O62" s="71"/>
    </row>
    <row r="63" spans="1:15" ht="30.75" customHeight="1">
      <c r="A63" s="884" t="s">
        <v>199</v>
      </c>
      <c r="B63" s="885"/>
      <c r="C63" s="886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-1027</v>
      </c>
      <c r="I63" s="118"/>
      <c r="J63" s="175">
        <f>H63/DAY(B2)</f>
        <v>-44.652173913043477</v>
      </c>
      <c r="K63" s="69"/>
      <c r="L63" s="66"/>
      <c r="N63" s="87"/>
      <c r="O63" s="71"/>
    </row>
    <row r="64" spans="1:15" ht="30.75" customHeight="1">
      <c r="A64" s="893" t="s">
        <v>200</v>
      </c>
      <c r="B64" s="894"/>
      <c r="C64" s="895"/>
      <c r="D64" s="151"/>
      <c r="E64" s="95">
        <f>'22'!F64</f>
        <v>0</v>
      </c>
      <c r="F64" s="122"/>
      <c r="G64" s="112">
        <f>G62+G63</f>
        <v>245</v>
      </c>
      <c r="H64" s="99">
        <f>G64+'22'!H64</f>
        <v>-1855</v>
      </c>
      <c r="I64" s="118"/>
      <c r="J64" s="175">
        <f>H64/DAY(B2)</f>
        <v>-80.652173913043484</v>
      </c>
      <c r="K64" s="69"/>
      <c r="L64" s="66"/>
      <c r="N64" s="87"/>
      <c r="O64" s="71"/>
    </row>
    <row r="65" spans="1:15" ht="30.75" customHeight="1">
      <c r="A65" s="884" t="s">
        <v>201</v>
      </c>
      <c r="B65" s="885"/>
      <c r="C65" s="886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-697</v>
      </c>
      <c r="I65" s="118"/>
      <c r="J65" s="175">
        <f>H65/DAY(B2)</f>
        <v>-30.304347826086957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-150</v>
      </c>
      <c r="I66" s="118"/>
      <c r="J66" s="175">
        <f>H66/DAY(B2)</f>
        <v>-6.5217391304347823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-193</v>
      </c>
      <c r="I67" s="118"/>
      <c r="J67" s="175">
        <f>H67/DAY(B2)</f>
        <v>-8.3913043478260878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-383</v>
      </c>
      <c r="I68" s="118"/>
      <c r="J68" s="175">
        <f>H68/DAY(B2)</f>
        <v>-16.652173913043477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-83</v>
      </c>
      <c r="I69" s="118"/>
      <c r="J69" s="175">
        <f>H69/DAY(B2)</f>
        <v>-3.6086956521739131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-98</v>
      </c>
      <c r="I70" s="118"/>
      <c r="J70" s="175">
        <f>H70/DAY(B2)</f>
        <v>-4.2608695652173916</v>
      </c>
      <c r="K70" s="69"/>
      <c r="L70" s="66"/>
      <c r="N70" s="87"/>
      <c r="O70" s="71"/>
    </row>
    <row r="71" spans="1:15" ht="30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215</v>
      </c>
      <c r="H71" s="99">
        <f>G71+'22'!H71</f>
        <v>-1604</v>
      </c>
      <c r="I71" s="154"/>
      <c r="J71" s="175">
        <f>H71/DAY(B2)</f>
        <v>-69.739130434782609</v>
      </c>
      <c r="K71" s="69"/>
      <c r="L71" s="66"/>
      <c r="N71" s="87"/>
      <c r="O71" s="71"/>
    </row>
    <row r="72" spans="1:15" s="88" customFormat="1" ht="30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84" t="s">
        <v>220</v>
      </c>
      <c r="B74" s="885"/>
      <c r="C74" s="886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-2443.3389999999199</v>
      </c>
      <c r="I74" s="154"/>
      <c r="J74" s="175">
        <f>H74/DAY(B2)</f>
        <v>-106.23213043477912</v>
      </c>
      <c r="K74" s="69"/>
      <c r="L74" s="66"/>
      <c r="N74" s="87"/>
      <c r="O74" s="71"/>
    </row>
    <row r="75" spans="1:15" ht="30.75" customHeight="1">
      <c r="A75" s="884" t="s">
        <v>221</v>
      </c>
      <c r="B75" s="885"/>
      <c r="C75" s="88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81" t="s">
        <v>222</v>
      </c>
      <c r="B76" s="882"/>
      <c r="C76" s="883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-771</v>
      </c>
      <c r="I76" s="154"/>
      <c r="J76" s="175">
        <f>H76/DAY(B2)</f>
        <v>-33.521739130434781</v>
      </c>
      <c r="K76" s="69"/>
      <c r="L76" s="66"/>
      <c r="N76" s="87"/>
      <c r="O76" s="71"/>
    </row>
    <row r="77" spans="1:15" ht="30.75" customHeight="1">
      <c r="A77" s="881" t="s">
        <v>223</v>
      </c>
      <c r="B77" s="882"/>
      <c r="C77" s="883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-279.19999999999709</v>
      </c>
      <c r="I77" s="154"/>
      <c r="J77" s="175">
        <f>H77/DAY(B2)</f>
        <v>-12.139130434782482</v>
      </c>
      <c r="K77" s="69"/>
      <c r="L77" s="66"/>
      <c r="N77" s="87"/>
      <c r="O77" s="71"/>
    </row>
    <row r="78" spans="1:15" ht="30.75" customHeight="1">
      <c r="A78" s="881" t="s">
        <v>224</v>
      </c>
      <c r="B78" s="882"/>
      <c r="C78" s="883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-9</v>
      </c>
      <c r="I78" s="118"/>
      <c r="J78" s="175">
        <f>H78/DAY(B2)</f>
        <v>-0.39130434782608697</v>
      </c>
      <c r="K78" s="69"/>
      <c r="L78" s="66"/>
      <c r="N78" s="87"/>
      <c r="O78" s="71"/>
    </row>
    <row r="79" spans="1:15" s="57" customFormat="1" ht="30.75" customHeight="1">
      <c r="A79" s="881" t="s">
        <v>225</v>
      </c>
      <c r="B79" s="882"/>
      <c r="C79" s="883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-4057.3080000001501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-163.86000000000013</v>
      </c>
      <c r="I85" s="118">
        <f>G82+G83+G84+G85</f>
        <v>0</v>
      </c>
      <c r="J85" s="175">
        <f>H85/DAY(B2)</f>
        <v>-7.1243478260869617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-23.889999999999418</v>
      </c>
      <c r="I86" s="118"/>
      <c r="J86" s="175">
        <f>H86/DAY(B2)</f>
        <v>-1.0386956521738877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5.0000000002910383E-2</v>
      </c>
      <c r="I87" s="118"/>
      <c r="J87" s="175">
        <f>H87/DAY(B2)</f>
        <v>2.1739130436047994E-3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-4.9999999999272404E-2</v>
      </c>
      <c r="I88" s="118">
        <f>G86+G87+G88</f>
        <v>26.260000000002037</v>
      </c>
      <c r="J88" s="175">
        <f>H88/DAY(B2)</f>
        <v>-2.1739130434466265E-3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-72.509999999998399</v>
      </c>
      <c r="I89" s="118"/>
      <c r="J89" s="175">
        <f>H89/DAY(B2)</f>
        <v>-3.1526086956521042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-19.950000000011642</v>
      </c>
      <c r="I90" s="118">
        <f>G89+G90</f>
        <v>9.6599999999925785</v>
      </c>
      <c r="J90" s="175">
        <f>H90/DAY(B2)</f>
        <v>-0.86739130434833223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-24.769999999999982</v>
      </c>
      <c r="I91" s="165"/>
      <c r="J91" s="175">
        <f>H91/DAY(B2)</f>
        <v>-1.0769565217391297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-63.399999999999636</v>
      </c>
      <c r="I92" s="165"/>
      <c r="J92" s="175">
        <f>H92/DAY(B2)</f>
        <v>-2.7565217391304189</v>
      </c>
      <c r="O92" s="71"/>
    </row>
    <row r="93" spans="1:15" ht="30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420815.80999999988</v>
      </c>
      <c r="I94" s="118"/>
      <c r="J94" s="175">
        <f>H94/DAY(B2)</f>
        <v>18296.339565217386</v>
      </c>
      <c r="K94" s="69"/>
      <c r="L94" s="66"/>
      <c r="O94" s="71"/>
    </row>
    <row r="95" spans="1:15" ht="30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0.25599524358450565</v>
      </c>
      <c r="H95" s="99">
        <f>G95+'22'!H95</f>
        <v>5.3359743957396644</v>
      </c>
      <c r="I95" s="167"/>
      <c r="J95" s="175">
        <f>H95/DAY(B2)</f>
        <v>0.23199888677128974</v>
      </c>
      <c r="K95" s="69"/>
      <c r="L95" s="66"/>
      <c r="O95" s="71"/>
    </row>
    <row r="96" spans="1:15" ht="30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-28868.310000000019</v>
      </c>
      <c r="I96" s="118"/>
      <c r="J96" s="175">
        <f>H96/DAY(B2)</f>
        <v>-1255.1439130434792</v>
      </c>
      <c r="K96" s="69"/>
      <c r="L96" s="66"/>
      <c r="O96" s="71"/>
    </row>
    <row r="97" spans="1:15" ht="30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0.14410506032135728</v>
      </c>
      <c r="H97" s="99">
        <f>G97+'22'!H97</f>
        <v>3.9543414983512473</v>
      </c>
      <c r="I97" s="167"/>
      <c r="J97" s="175">
        <f>H97/DAY(B2)</f>
        <v>0.17192789123266292</v>
      </c>
      <c r="K97" s="69"/>
      <c r="L97" s="66"/>
      <c r="O97" s="71"/>
    </row>
    <row r="98" spans="1:15" ht="30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2576.25</v>
      </c>
      <c r="H98" s="99">
        <f>G98+'22'!H98</f>
        <v>411918.50999999995</v>
      </c>
      <c r="I98" s="168"/>
      <c r="J98" s="175">
        <f>H98/DAY(B2)</f>
        <v>17909.500434782607</v>
      </c>
      <c r="K98" s="69"/>
      <c r="L98" s="66"/>
      <c r="O98" s="71"/>
    </row>
    <row r="99" spans="1:15" ht="30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0.13774410313551269</v>
      </c>
      <c r="H99" s="99">
        <f>G99+'22'!H99</f>
        <v>2.5211782068647199</v>
      </c>
      <c r="I99" s="168"/>
      <c r="J99" s="175">
        <f>H99/DAY(B2)</f>
        <v>0.10961644377672695</v>
      </c>
      <c r="O99" s="71"/>
    </row>
    <row r="100" spans="1:15" ht="30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231797.18000000002</v>
      </c>
      <c r="I100" s="118"/>
      <c r="J100" s="175">
        <f>H100/DAY(B2)</f>
        <v>10078.138260869566</v>
      </c>
      <c r="K100" s="70"/>
      <c r="O100" s="71"/>
    </row>
    <row r="101" spans="1:15" ht="30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1.6958054502461151</v>
      </c>
      <c r="I101" s="168"/>
      <c r="J101" s="175">
        <f>H101/DAY(B2)</f>
        <v>7.3730671749831084E-2</v>
      </c>
      <c r="O101" s="71"/>
    </row>
    <row r="102" spans="1:15" ht="30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-13627.709999999992</v>
      </c>
      <c r="I102" s="168"/>
      <c r="J102" s="175">
        <f>H102/DAY(B2)</f>
        <v>-592.50913043478226</v>
      </c>
      <c r="O102" s="71"/>
    </row>
    <row r="103" spans="1:15" ht="30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2.2914831306212213</v>
      </c>
      <c r="I103" s="118"/>
      <c r="J103" s="175">
        <f>H103/DAY(B2)</f>
        <v>9.9629701331357443E-2</v>
      </c>
      <c r="O103" s="71"/>
    </row>
    <row r="104" spans="1:15" ht="30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194922.40000000002</v>
      </c>
      <c r="I104" s="118"/>
      <c r="J104" s="175">
        <f>H104/DAY(B2)</f>
        <v>8474.886956521741</v>
      </c>
      <c r="O104" s="71"/>
    </row>
    <row r="105" spans="1:15" ht="30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1.5834235974571573</v>
      </c>
      <c r="I105" s="187"/>
      <c r="J105" s="188">
        <f>H105/DAY(B2)</f>
        <v>6.8844504237267706E-2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>
      <c r="A109" s="901"/>
      <c r="B109" s="901"/>
    </row>
    <row r="110" spans="1:15" ht="30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63" t="s">
        <v>252</v>
      </c>
      <c r="B112" s="864"/>
      <c r="C112" s="865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-619.55000000000291</v>
      </c>
      <c r="I112" s="165"/>
      <c r="J112" s="328">
        <f>H112/DAY(B2)</f>
        <v>-26.936956521739258</v>
      </c>
    </row>
    <row r="113" spans="1:18" ht="30.75" customHeight="1">
      <c r="A113" s="863" t="s">
        <v>253</v>
      </c>
      <c r="B113" s="864"/>
      <c r="C113" s="865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-3718.5899999999965</v>
      </c>
      <c r="I113" s="165"/>
      <c r="J113" s="328">
        <f>H113/DAY(B2)</f>
        <v>-161.67782608695637</v>
      </c>
    </row>
    <row r="114" spans="1:18" ht="30.75" customHeight="1">
      <c r="A114" s="863" t="s">
        <v>254</v>
      </c>
      <c r="B114" s="864"/>
      <c r="C114" s="865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-2209.2500000000018</v>
      </c>
      <c r="I114" s="165"/>
      <c r="J114" s="328">
        <f>H114/DAY(B2)</f>
        <v>-96.054347826087039</v>
      </c>
    </row>
    <row r="115" spans="1:18" ht="30.75" customHeight="1">
      <c r="A115" s="863" t="s">
        <v>255</v>
      </c>
      <c r="B115" s="864"/>
      <c r="C115" s="865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-73.869999999998981</v>
      </c>
      <c r="I115" s="165"/>
      <c r="J115" s="328">
        <f>H115/DAY(B2)</f>
        <v>-3.2117391304347382</v>
      </c>
    </row>
    <row r="116" spans="1:18" ht="30.75" customHeight="1">
      <c r="A116" s="870" t="s">
        <v>96</v>
      </c>
      <c r="B116" s="871"/>
      <c r="C116" s="872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>
      <c r="A117" s="870" t="s">
        <v>184</v>
      </c>
      <c r="B117" s="871"/>
      <c r="C117" s="872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-199.4699999999998</v>
      </c>
      <c r="I117" s="165"/>
      <c r="J117" s="328">
        <f>H117/DAY(B2)</f>
        <v>-8.6726086956521655</v>
      </c>
      <c r="Q117" s="863" t="s">
        <v>312</v>
      </c>
      <c r="R117" s="865"/>
    </row>
    <row r="118" spans="1:18" ht="30.75" customHeight="1">
      <c r="A118" s="862" t="s">
        <v>97</v>
      </c>
      <c r="B118" s="862"/>
      <c r="C118" s="862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-2721.3999999999942</v>
      </c>
      <c r="I118" s="165"/>
      <c r="J118" s="328">
        <f>H118/DAY(B2)</f>
        <v>-118.32173913043452</v>
      </c>
      <c r="Q118" s="863" t="s">
        <v>311</v>
      </c>
      <c r="R118" s="865"/>
    </row>
    <row r="119" spans="1:18" ht="30.75" customHeight="1">
      <c r="A119" s="862" t="s">
        <v>98</v>
      </c>
      <c r="B119" s="862"/>
      <c r="C119" s="862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-3323.7200000000012</v>
      </c>
      <c r="I119" s="165"/>
      <c r="J119" s="328">
        <f>H119/DAY(B2)</f>
        <v>-144.50956521739135</v>
      </c>
    </row>
    <row r="120" spans="1:18" ht="30.75" customHeight="1">
      <c r="A120" s="862" t="s">
        <v>99</v>
      </c>
      <c r="B120" s="862"/>
      <c r="C120" s="862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-3327.739999999998</v>
      </c>
      <c r="I120" s="165"/>
      <c r="J120" s="328">
        <f>H120/DAY(B2)</f>
        <v>-144.68434782608688</v>
      </c>
    </row>
    <row r="121" spans="1:18" ht="30.75" customHeight="1">
      <c r="A121" s="862" t="s">
        <v>100</v>
      </c>
      <c r="B121" s="862"/>
      <c r="C121" s="862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-5640.359999999986</v>
      </c>
      <c r="I121" s="165"/>
      <c r="J121" s="328">
        <f>H121/DAY(B2)</f>
        <v>-245.23304347826027</v>
      </c>
    </row>
    <row r="122" spans="1:18" ht="30.75" customHeight="1">
      <c r="A122" s="862" t="s">
        <v>101</v>
      </c>
      <c r="B122" s="862"/>
      <c r="C122" s="862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-1520.5899999999965</v>
      </c>
      <c r="I122" s="165"/>
      <c r="J122" s="328">
        <f>H122/DAY(B2)</f>
        <v>-66.112608695652028</v>
      </c>
    </row>
    <row r="123" spans="1:18" ht="30.75" customHeight="1">
      <c r="A123" s="862" t="s">
        <v>102</v>
      </c>
      <c r="B123" s="862"/>
      <c r="C123" s="862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-2181.8400000000256</v>
      </c>
      <c r="I123" s="165"/>
      <c r="J123" s="328">
        <f>H123/DAY(B2)</f>
        <v>-94.862608695653293</v>
      </c>
    </row>
    <row r="124" spans="1:18" ht="30.75" customHeight="1">
      <c r="A124" s="867"/>
      <c r="B124" s="868"/>
      <c r="C124" s="86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>
      <c r="A127" s="852"/>
      <c r="B127" s="85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63" t="s">
        <v>318</v>
      </c>
      <c r="B128" s="864"/>
      <c r="C128" s="865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-2468.9000000000015</v>
      </c>
      <c r="I128" s="165"/>
      <c r="J128" s="328">
        <f>H128/DAY(B2)</f>
        <v>-107.34347826086963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-1560.6800000000003</v>
      </c>
      <c r="I129" s="165"/>
      <c r="J129" s="328">
        <f>H129/DAY(B2)</f>
        <v>-67.855652173913057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-3774.5499999999993</v>
      </c>
      <c r="I130" s="165"/>
      <c r="J130" s="328">
        <f>H130/DAY(B2)</f>
        <v>-164.11086956521737</v>
      </c>
      <c r="N130" s="240"/>
      <c r="O130" s="241"/>
    </row>
    <row r="131" spans="1:15" ht="30.75" customHeight="1">
      <c r="A131" s="863" t="s">
        <v>321</v>
      </c>
      <c r="B131" s="864"/>
      <c r="C131" s="865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-473.61000000000058</v>
      </c>
      <c r="I131" s="165"/>
      <c r="J131" s="328">
        <f>H131/DAY(B2)</f>
        <v>-20.591739130434807</v>
      </c>
      <c r="N131" s="240"/>
      <c r="O131" s="241"/>
    </row>
    <row r="132" spans="1:15" ht="30.75" customHeight="1">
      <c r="A132" s="863" t="s">
        <v>322</v>
      </c>
      <c r="B132" s="864"/>
      <c r="C132" s="865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-1330.0900000000038</v>
      </c>
      <c r="I132" s="165"/>
      <c r="J132" s="328">
        <f>H132/DAY(B2)</f>
        <v>-57.830000000000162</v>
      </c>
    </row>
    <row r="133" spans="1:15" ht="30.75" customHeight="1">
      <c r="A133" s="863" t="s">
        <v>362</v>
      </c>
      <c r="B133" s="864"/>
      <c r="C133" s="865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-3466.2700000000041</v>
      </c>
      <c r="I133" s="165"/>
      <c r="J133" s="328">
        <f>H133/DAY(B2)</f>
        <v>-150.70739130434799</v>
      </c>
    </row>
    <row r="134" spans="1:15" ht="30.75" customHeight="1">
      <c r="A134" s="863" t="s">
        <v>340</v>
      </c>
      <c r="B134" s="864"/>
      <c r="C134" s="865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669967.62</v>
      </c>
      <c r="I134" s="165"/>
      <c r="J134" s="328">
        <f>H134/DAY(B2)</f>
        <v>29129.026956521739</v>
      </c>
    </row>
    <row r="135" spans="1:15" ht="30.75" customHeight="1">
      <c r="A135" s="847" t="s">
        <v>196</v>
      </c>
      <c r="B135" s="848"/>
      <c r="C135" s="331"/>
      <c r="D135" s="151"/>
      <c r="E135" s="95"/>
      <c r="F135" s="591"/>
      <c r="G135" s="112">
        <f>SUM(G128:G134)</f>
        <v>2136.1699999999846</v>
      </c>
      <c r="H135" s="99">
        <f>G135+'10'!H135</f>
        <v>629374.39</v>
      </c>
      <c r="I135" s="327">
        <f>G135-(G35+G49)</f>
        <v>-312.51000000001568</v>
      </c>
      <c r="J135" s="328"/>
    </row>
    <row r="136" spans="1:15" ht="30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62" t="s">
        <v>185</v>
      </c>
      <c r="B138" s="862"/>
      <c r="C138" s="862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-484</v>
      </c>
      <c r="I138" s="118"/>
      <c r="J138" s="328">
        <f>H138/DAY(B2)</f>
        <v>-21.043478260869566</v>
      </c>
    </row>
    <row r="139" spans="1:15" ht="30.75" customHeight="1">
      <c r="A139" s="862" t="s">
        <v>186</v>
      </c>
      <c r="B139" s="862"/>
      <c r="C139" s="862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-5</v>
      </c>
      <c r="I139" s="118"/>
      <c r="J139" s="328">
        <f>H139/DAY(B2)</f>
        <v>-0.21739130434782608</v>
      </c>
    </row>
    <row r="140" spans="1:15" ht="30.75" customHeight="1">
      <c r="A140" s="862" t="s">
        <v>187</v>
      </c>
      <c r="B140" s="862"/>
      <c r="C140" s="862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2.9999999998835847E-2</v>
      </c>
      <c r="I140" s="118"/>
      <c r="J140" s="328">
        <f>H140/DAY(B2)</f>
        <v>1.3043478260363411E-3</v>
      </c>
    </row>
    <row r="141" spans="1:15" ht="30.75" customHeight="1">
      <c r="A141" s="843" t="s">
        <v>188</v>
      </c>
      <c r="B141" s="843"/>
      <c r="C141" s="843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-1384.25</v>
      </c>
      <c r="I141" s="118"/>
      <c r="J141" s="328">
        <f>H141/DAY(B2)</f>
        <v>-60.184782608695649</v>
      </c>
    </row>
    <row r="142" spans="1:15" ht="30.75" customHeight="1">
      <c r="A142" s="843" t="s">
        <v>189</v>
      </c>
      <c r="B142" s="843"/>
      <c r="C142" s="843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-623.82999999999811</v>
      </c>
      <c r="I142" s="140"/>
      <c r="J142" s="328">
        <f>H142/DAY(B2)</f>
        <v>-27.123043478260787</v>
      </c>
    </row>
    <row r="143" spans="1:15" ht="30.75" customHeight="1">
      <c r="A143" s="862" t="s">
        <v>91</v>
      </c>
      <c r="B143" s="862"/>
      <c r="C143" s="862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-214.76999999999998</v>
      </c>
      <c r="I143" s="140"/>
      <c r="J143" s="328">
        <f>H143/DAY(B2)</f>
        <v>-9.3378260869565217</v>
      </c>
    </row>
    <row r="144" spans="1:15" ht="30.75" customHeight="1">
      <c r="A144" s="843" t="s">
        <v>90</v>
      </c>
      <c r="B144" s="843"/>
      <c r="C144" s="843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-1621</v>
      </c>
      <c r="I144" s="140"/>
      <c r="J144" s="328">
        <f>H144/DAY(B2)</f>
        <v>-70.478260869565219</v>
      </c>
    </row>
    <row r="145" spans="1:10" ht="30.75" customHeight="1">
      <c r="A145" s="862" t="s">
        <v>190</v>
      </c>
      <c r="B145" s="862"/>
      <c r="C145" s="862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-56.579999999999927</v>
      </c>
      <c r="I145" s="140"/>
      <c r="J145" s="328">
        <f>H145/DAY(B2)</f>
        <v>-2.4599999999999969</v>
      </c>
    </row>
    <row r="146" spans="1:10" ht="30.75" customHeight="1">
      <c r="A146" s="897" t="s">
        <v>191</v>
      </c>
      <c r="B146" s="882"/>
      <c r="C146" s="883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-3226</v>
      </c>
      <c r="I146" s="140"/>
      <c r="J146" s="328">
        <f>H146/DAY(B2)</f>
        <v>-140.2608695652174</v>
      </c>
    </row>
    <row r="147" spans="1:10" ht="30.75" customHeight="1">
      <c r="A147" s="843" t="s">
        <v>192</v>
      </c>
      <c r="B147" s="843"/>
      <c r="C147" s="843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-2810.5600000000559</v>
      </c>
      <c r="I147" s="140"/>
      <c r="J147" s="328">
        <f>H147/DAY(B2)</f>
        <v>-122.19826086956765</v>
      </c>
    </row>
    <row r="148" spans="1:10" ht="30.75" customHeight="1">
      <c r="A148" s="844" t="s">
        <v>193</v>
      </c>
      <c r="B148" s="845"/>
      <c r="C148" s="846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-1476</v>
      </c>
      <c r="I148" s="124"/>
      <c r="J148" s="328">
        <f>H148/DAY(B2)</f>
        <v>-64.173913043478265</v>
      </c>
    </row>
    <row r="149" spans="1:10" ht="30.75" customHeight="1">
      <c r="A149" s="844" t="s">
        <v>336</v>
      </c>
      <c r="B149" s="845"/>
      <c r="C149" s="846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-4054.0800000000017</v>
      </c>
      <c r="I149" s="119"/>
      <c r="J149" s="328">
        <f>H149/DAY(B2)</f>
        <v>-176.26434782608703</v>
      </c>
    </row>
    <row r="150" spans="1:10" ht="30.75" customHeight="1">
      <c r="A150" s="844" t="s">
        <v>337</v>
      </c>
      <c r="B150" s="845"/>
      <c r="C150" s="846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-1763.1000000000004</v>
      </c>
      <c r="I150" s="119"/>
      <c r="J150" s="328">
        <f>H150/DAY(B2)</f>
        <v>-76.656521739130454</v>
      </c>
    </row>
    <row r="151" spans="1:10" ht="30.75" customHeight="1">
      <c r="A151" s="844" t="s">
        <v>338</v>
      </c>
      <c r="B151" s="845"/>
      <c r="C151" s="846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-1985</v>
      </c>
      <c r="I151" s="119"/>
      <c r="J151" s="328">
        <f>H151/DAY(B2)</f>
        <v>-86.304347826086953</v>
      </c>
    </row>
    <row r="152" spans="1:10" ht="30.75" customHeight="1">
      <c r="A152" s="844" t="s">
        <v>339</v>
      </c>
      <c r="B152" s="845"/>
      <c r="C152" s="846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-144.01999999999998</v>
      </c>
      <c r="I152" s="119"/>
      <c r="J152" s="328">
        <f>H152/DAY(B2)</f>
        <v>-6.2617391304347816</v>
      </c>
    </row>
    <row r="153" spans="1:10" ht="30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>
      <c r="A155" s="843" t="s">
        <v>345</v>
      </c>
      <c r="B155" s="843"/>
      <c r="C155" s="843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-5862</v>
      </c>
      <c r="I155" s="364"/>
      <c r="J155" s="161">
        <v>329</v>
      </c>
    </row>
    <row r="156" spans="1:10" ht="30.75" customHeight="1">
      <c r="A156" s="843" t="s">
        <v>347</v>
      </c>
      <c r="B156" s="843"/>
      <c r="C156" s="843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-508.86999999999989</v>
      </c>
      <c r="I156" s="165"/>
      <c r="J156" s="328">
        <f>H156/DAY(B2)</f>
        <v>-22.124782608695647</v>
      </c>
    </row>
    <row r="157" spans="1:10" ht="30.75" customHeight="1">
      <c r="A157" s="844" t="s">
        <v>363</v>
      </c>
      <c r="B157" s="845"/>
      <c r="C157" s="846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>
      <c r="A158" s="844" t="s">
        <v>364</v>
      </c>
      <c r="B158" s="845"/>
      <c r="C158" s="846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-250.55999999999767</v>
      </c>
      <c r="I161" s="236"/>
      <c r="J161" s="239">
        <f>H161/DAY(B2)</f>
        <v>-10.893913043478159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-259.5</v>
      </c>
      <c r="I162" s="236"/>
      <c r="J162" s="239">
        <f>H162/DAY(B2)</f>
        <v>-11.282608695652174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-349.10000000000582</v>
      </c>
      <c r="I163" s="236"/>
      <c r="J163" s="239">
        <f>H163/DAY(B2)</f>
        <v>-15.17826086956547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-26.600000000000364</v>
      </c>
      <c r="I164" s="236"/>
      <c r="J164" s="239">
        <f>H164/DAY(B2)</f>
        <v>-1.1565217391304505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-64.590000000000146</v>
      </c>
      <c r="I165" s="236"/>
      <c r="J165" s="239">
        <f>H165/DAY(B2)</f>
        <v>-2.8082608695652236</v>
      </c>
    </row>
    <row r="166" spans="1:10" ht="30.75" customHeight="1">
      <c r="A166" s="852"/>
      <c r="B166" s="85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52"/>
      <c r="B167" s="85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52"/>
      <c r="B168" s="85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56" t="s">
        <v>209</v>
      </c>
      <c r="B173" s="857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>
      <c r="A174" s="856" t="s">
        <v>75</v>
      </c>
      <c r="B174" s="857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-101</v>
      </c>
      <c r="I174" s="155"/>
      <c r="J174" s="178">
        <f>H174/DAY(B2)</f>
        <v>-4.3913043478260869</v>
      </c>
    </row>
    <row r="175" spans="1:10" ht="30.75" customHeight="1">
      <c r="A175" s="856" t="s">
        <v>76</v>
      </c>
      <c r="B175" s="896"/>
      <c r="C175" s="857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-78</v>
      </c>
      <c r="I175" s="155"/>
      <c r="J175" s="178">
        <f>H175/DAY(B2)</f>
        <v>-3.3913043478260869</v>
      </c>
    </row>
    <row r="176" spans="1:10" ht="30.75" customHeight="1">
      <c r="A176" s="847" t="s">
        <v>196</v>
      </c>
      <c r="B176" s="848"/>
      <c r="C176" s="483"/>
      <c r="D176" s="228"/>
      <c r="E176" s="95"/>
      <c r="F176" s="155"/>
      <c r="G176" s="155">
        <f>SUM(G173:G175)</f>
        <v>24</v>
      </c>
      <c r="H176" s="99">
        <f>G176+'22'!H176</f>
        <v>-179</v>
      </c>
      <c r="I176" s="155"/>
      <c r="J176" s="178">
        <f>H176/DAY(B2)</f>
        <v>-7.7826086956521738</v>
      </c>
    </row>
    <row r="177" spans="1:10" ht="30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56" t="s">
        <v>210</v>
      </c>
      <c r="B178" s="857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-421</v>
      </c>
      <c r="I178" s="155"/>
      <c r="J178" s="178">
        <f>H178/DAY(B2)</f>
        <v>-18.304347826086957</v>
      </c>
    </row>
    <row r="179" spans="1:10" ht="30.75" customHeight="1">
      <c r="A179" s="856" t="s">
        <v>211</v>
      </c>
      <c r="B179" s="857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-381</v>
      </c>
      <c r="I179" s="155"/>
      <c r="J179" s="178">
        <f>H179/DAY(B2)</f>
        <v>-16.565217391304348</v>
      </c>
    </row>
    <row r="180" spans="1:10" ht="30.75" customHeight="1">
      <c r="A180" s="856" t="s">
        <v>212</v>
      </c>
      <c r="B180" s="857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-58</v>
      </c>
      <c r="I180" s="155"/>
      <c r="J180" s="178">
        <f>H180/DAY(B2)</f>
        <v>-2.5217391304347827</v>
      </c>
    </row>
    <row r="181" spans="1:10" ht="30.75" customHeight="1">
      <c r="A181" s="858" t="s">
        <v>108</v>
      </c>
      <c r="B181" s="859"/>
      <c r="C181" s="483"/>
      <c r="D181" s="228"/>
      <c r="E181" s="95"/>
      <c r="F181" s="155"/>
      <c r="G181" s="155">
        <f>SUM(G178:G180)</f>
        <v>158</v>
      </c>
      <c r="H181" s="99">
        <f>G181+'22'!H181</f>
        <v>-860</v>
      </c>
      <c r="I181" s="155"/>
      <c r="J181" s="178">
        <f>H181/DAY(B2)</f>
        <v>-37.391304347826086</v>
      </c>
    </row>
    <row r="182" spans="1:10" ht="30.75" customHeight="1">
      <c r="A182" s="856" t="s">
        <v>213</v>
      </c>
      <c r="B182" s="85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56" t="s">
        <v>214</v>
      </c>
      <c r="B183" s="857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-101</v>
      </c>
      <c r="I183" s="155"/>
      <c r="J183" s="178">
        <f>H183/DAY(B2)</f>
        <v>-4.3913043478260869</v>
      </c>
    </row>
    <row r="184" spans="1:10" ht="30.75" customHeight="1">
      <c r="A184" s="856" t="s">
        <v>215</v>
      </c>
      <c r="B184" s="857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-79</v>
      </c>
      <c r="I184" s="155"/>
      <c r="J184" s="178">
        <f>H184/DAY(B2)</f>
        <v>-3.4347826086956523</v>
      </c>
    </row>
    <row r="185" spans="1:10" ht="30.75" customHeight="1">
      <c r="A185" s="856" t="s">
        <v>216</v>
      </c>
      <c r="B185" s="85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47" t="s">
        <v>196</v>
      </c>
      <c r="B186" s="848"/>
      <c r="C186" s="482"/>
      <c r="D186" s="229"/>
      <c r="E186" s="95"/>
      <c r="F186" s="157"/>
      <c r="G186" s="157">
        <f>SUM(G183:G185)</f>
        <v>42</v>
      </c>
      <c r="H186" s="99">
        <f>G186+'22'!H186</f>
        <v>-180</v>
      </c>
      <c r="I186" s="157"/>
      <c r="J186" s="178">
        <f>H186/DAY(B2)</f>
        <v>-7.8260869565217392</v>
      </c>
    </row>
    <row r="187" spans="1:10" ht="30.75" customHeight="1">
      <c r="A187" s="849" t="s">
        <v>217</v>
      </c>
      <c r="B187" s="850"/>
      <c r="C187" s="333"/>
      <c r="D187" s="230" t="s">
        <v>142</v>
      </c>
      <c r="E187" s="95"/>
      <c r="F187" s="159"/>
      <c r="G187" s="460">
        <f>G62+G19</f>
        <v>175</v>
      </c>
      <c r="H187" s="99">
        <f>G187+'22'!H187</f>
        <v>-1258</v>
      </c>
      <c r="I187" s="158"/>
      <c r="J187" s="179">
        <f>H187/DAY(B2)</f>
        <v>-54.695652173913047</v>
      </c>
    </row>
    <row r="188" spans="1:10" ht="30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460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457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zoomScaleNormal="44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21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-120100.22999999998</v>
      </c>
      <c r="I7" s="113">
        <f>'1'!I7</f>
        <v>12000</v>
      </c>
      <c r="J7" s="175">
        <f>H7/DAY(B2)</f>
        <v>-5004.1762499999995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-121957.15000000002</v>
      </c>
      <c r="I8" s="116"/>
      <c r="J8" s="175">
        <f>H8/DAY(B2)</f>
        <v>-5081.5479166666673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'23'!F9</f>
        <v>168518.39</v>
      </c>
      <c r="F9" s="598">
        <v>179760</v>
      </c>
      <c r="G9" s="112">
        <f>F9-E9</f>
        <v>11241.609999999986</v>
      </c>
      <c r="H9" s="99">
        <f>G9+'23'!H9</f>
        <v>2254787.15</v>
      </c>
      <c r="I9" s="124">
        <f>I7-J7</f>
        <v>17004.17625</v>
      </c>
      <c r="J9" s="175">
        <f>H9/DAY(B2)</f>
        <v>93949.464583333334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581655.03</v>
      </c>
      <c r="I10" s="282"/>
      <c r="J10" s="175">
        <f>H10/DAY(B2)</f>
        <v>24235.626250000001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2819687.75</v>
      </c>
      <c r="I13" s="120">
        <f>G7-G13</f>
        <v>479.23999999999069</v>
      </c>
      <c r="J13" s="175">
        <f>H13/DAY(B2)</f>
        <v>117486.98958333333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-6522.7669999999925</v>
      </c>
      <c r="I15" s="113">
        <f>'1'!I15</f>
        <v>800</v>
      </c>
      <c r="J15" s="175">
        <f>H15/DAY(B2)</f>
        <v>-271.78195833333302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1071.781958333333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3190</v>
      </c>
      <c r="I18" s="113">
        <f>'1'!I18</f>
        <v>65</v>
      </c>
      <c r="J18" s="175">
        <f>H18/DAY(B2)</f>
        <v>132.91666666666666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-378</v>
      </c>
      <c r="I19" s="335"/>
      <c r="J19" s="175">
        <f>H19/DAY(B2)</f>
        <v>-15.75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2812</v>
      </c>
      <c r="I20" s="336">
        <f>I18-J20</f>
        <v>-52.166666666666671</v>
      </c>
      <c r="J20" s="175">
        <f>H20/DAY(B2)</f>
        <v>117.16666666666667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-1097614.3500000006</v>
      </c>
      <c r="I27" s="138"/>
      <c r="J27" s="175">
        <f>H27/DAY(B2)</f>
        <v>-45733.931250000023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-339183.88399999961</v>
      </c>
      <c r="I28" s="140"/>
      <c r="J28" s="175">
        <f>H28/DAY(B2)</f>
        <v>-14132.661833333317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-55188</v>
      </c>
      <c r="I30" s="140"/>
      <c r="J30" s="175">
        <f>H30/DAY(B2)</f>
        <v>-2299.5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255200</v>
      </c>
      <c r="I31" s="140"/>
      <c r="J31" s="175">
        <f>H31/DAY(B2)</f>
        <v>10633.333333333334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-1229196.2340000002</v>
      </c>
      <c r="I32" s="144"/>
      <c r="J32" s="175">
        <f>H32/DAY(B2)</f>
        <v>-51216.509750000005</v>
      </c>
      <c r="K32" s="63"/>
      <c r="L32" s="89"/>
      <c r="N32" s="87"/>
      <c r="O32" s="71"/>
    </row>
    <row r="33" spans="1:15" ht="25.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159245.02000000002</v>
      </c>
      <c r="I35" s="95"/>
      <c r="J35" s="175">
        <f>H35/DAY(B2)</f>
        <v>6635.2091666666674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-4818.739999999998</v>
      </c>
      <c r="I36" s="95"/>
      <c r="J36" s="175">
        <f>H36/DAY(B2)</f>
        <v>-200.78083333333325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196567.91000000003</v>
      </c>
      <c r="I37" s="95"/>
      <c r="J37" s="175">
        <f>H37/DAY(B2)</f>
        <v>8190.329583333335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233623.57</v>
      </c>
      <c r="I38" s="95"/>
      <c r="J38" s="175">
        <f>H38/DAY(B2)</f>
        <v>9734.3154166666664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414525.70999999996</v>
      </c>
      <c r="I39" s="95"/>
      <c r="J39" s="175">
        <f>H39/DAY(B2)</f>
        <v>17271.904583333333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-5932.9900000000016</v>
      </c>
      <c r="I40" s="95"/>
      <c r="J40" s="175">
        <f>H40/DAY(B2)</f>
        <v>-247.20791666666673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-62.73</v>
      </c>
      <c r="I41" s="95"/>
      <c r="J41" s="175">
        <f>H41/DAY(B2)</f>
        <v>-2.61375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-26321.14</v>
      </c>
      <c r="I42" s="95"/>
      <c r="J42" s="175">
        <f>H42/DAY(B2)</f>
        <v>-1096.7141666666666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-13684.600000000006</v>
      </c>
      <c r="I43" s="95"/>
      <c r="J43" s="175">
        <f>H43/DAY(B2)</f>
        <v>-570.19166666666695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953142.01000000024</v>
      </c>
      <c r="I47" s="95"/>
      <c r="J47" s="175">
        <f>H47/DAY(B2)</f>
        <v>39714.250416666677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279379.81</v>
      </c>
      <c r="I49" s="95"/>
      <c r="J49" s="175">
        <f>H49/DAY(B2)</f>
        <v>11640.825416666667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-7137.6299999999974</v>
      </c>
      <c r="I50" s="95"/>
      <c r="J50" s="175">
        <f>H50/DAY(B2)</f>
        <v>-297.40124999999989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1752.58</v>
      </c>
      <c r="I54" s="95"/>
      <c r="J54" s="175">
        <f>H54/DAY(B2)</f>
        <v>73.024166666666659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-0.11000000000058208</v>
      </c>
      <c r="I55" s="95"/>
      <c r="J55" s="175">
        <f>H55/DAY(B2)</f>
        <v>-4.5833333333575865E-3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-1311.21</v>
      </c>
      <c r="I58" s="95"/>
      <c r="J58" s="175">
        <f>H58/DAY(B2)</f>
        <v>-54.633749999999999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272683.44</v>
      </c>
      <c r="I59" s="95">
        <f>G7-G60</f>
        <v>1139.7499999999891</v>
      </c>
      <c r="J59" s="175">
        <f>H59/DAY(B2)</f>
        <v>11361.81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1225825.4500000004</v>
      </c>
      <c r="I60" s="95">
        <f>G13-G60</f>
        <v>660.5099999999984</v>
      </c>
      <c r="J60" s="175">
        <f>H60/DAY(B2)</f>
        <v>51076.060416666682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-704</v>
      </c>
      <c r="I62" s="118"/>
      <c r="J62" s="175">
        <f>H62/DAY(B2)</f>
        <v>-29.333333333333332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-959</v>
      </c>
      <c r="I63" s="118"/>
      <c r="J63" s="175">
        <f>H63/DAY(B2)</f>
        <v>-39.958333333333336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'23'!F64</f>
        <v>0</v>
      </c>
      <c r="F64" s="122"/>
      <c r="G64" s="112">
        <f>G62+G63</f>
        <v>192</v>
      </c>
      <c r="H64" s="99">
        <f>G64+'23'!H64</f>
        <v>-1663</v>
      </c>
      <c r="I64" s="118"/>
      <c r="J64" s="175">
        <f>H64/DAY(B2)</f>
        <v>-69.291666666666671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-594</v>
      </c>
      <c r="I65" s="118"/>
      <c r="J65" s="175">
        <f>H65/DAY(B2)</f>
        <v>-24.75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-136</v>
      </c>
      <c r="I66" s="118"/>
      <c r="J66" s="175">
        <f>H66/DAY(B2)</f>
        <v>-5.666666666666667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-168</v>
      </c>
      <c r="I67" s="118"/>
      <c r="J67" s="175">
        <f>H67/DAY(B2)</f>
        <v>-7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-350</v>
      </c>
      <c r="I68" s="118"/>
      <c r="J68" s="175">
        <f>H68/DAY(B2)</f>
        <v>-14.583333333333334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-52</v>
      </c>
      <c r="I69" s="118"/>
      <c r="J69" s="175">
        <f>H69/DAY(B2)</f>
        <v>-2.1666666666666665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-90</v>
      </c>
      <c r="I70" s="118"/>
      <c r="J70" s="175">
        <f>H70/DAY(B2)</f>
        <v>-3.75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214</v>
      </c>
      <c r="H71" s="99">
        <f>G71+'23'!H71</f>
        <v>-1390</v>
      </c>
      <c r="I71" s="154"/>
      <c r="J71" s="175">
        <f>H71/DAY(B2)</f>
        <v>-57.916666666666664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-2132.1489999999758</v>
      </c>
      <c r="I74" s="154"/>
      <c r="J74" s="175">
        <f>H74/DAY(B2)</f>
        <v>-88.839541666665653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-657</v>
      </c>
      <c r="I76" s="154"/>
      <c r="J76" s="175">
        <f>H76/DAY(B2)</f>
        <v>-27.375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-245.19999999999709</v>
      </c>
      <c r="I77" s="154"/>
      <c r="J77" s="175">
        <f>H77/DAY(B2)</f>
        <v>-10.216666666666546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-8</v>
      </c>
      <c r="I78" s="118"/>
      <c r="J78" s="175">
        <f>H78/DAY(B2)</f>
        <v>-0.33333333333333331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-3480.4180000000197</v>
      </c>
      <c r="I79" s="118"/>
      <c r="J79" s="175">
        <f>H79/DAY(B2)</f>
        <v>-145.01741666666749</v>
      </c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-163.86000000000013</v>
      </c>
      <c r="I85" s="118">
        <f>G82+G83+G84+G85</f>
        <v>-0.40000000000145519</v>
      </c>
      <c r="J85" s="175">
        <f>H85/DAY(B2)</f>
        <v>-6.827500000000005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5.0000000002910383E-2</v>
      </c>
      <c r="I87" s="118"/>
      <c r="J87" s="175">
        <f>H87/DAY(B2)</f>
        <v>2.0833333334545991E-3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-0.43000000000029104</v>
      </c>
      <c r="I88" s="118">
        <f>G86+G87+G88</f>
        <v>23.509999999998399</v>
      </c>
      <c r="J88" s="175">
        <f>H88/DAY(B2)</f>
        <v>-1.7916666666678793E-2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-62.119999999998981</v>
      </c>
      <c r="I89" s="118"/>
      <c r="J89" s="175">
        <f>H89/DAY(B2)</f>
        <v>-2.5883333333332907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-17.320000000006985</v>
      </c>
      <c r="I90" s="118">
        <f>G89+G90</f>
        <v>13.020000000004075</v>
      </c>
      <c r="J90" s="175">
        <f>H90/DAY(B2)</f>
        <v>-0.72166666666695767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-24.769999999999982</v>
      </c>
      <c r="I91" s="165"/>
      <c r="J91" s="175">
        <f>H91/DAY(B2)</f>
        <v>-1.0320833333333326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-52.069999999999709</v>
      </c>
      <c r="I92" s="165"/>
      <c r="J92" s="175">
        <f>H92/DAY(B2)</f>
        <v>-2.1695833333333212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424940.22999999986</v>
      </c>
      <c r="I94" s="118"/>
      <c r="J94" s="175">
        <f>H94/DAY(B2)</f>
        <v>17705.842916666661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0.25205507245845432</v>
      </c>
      <c r="H95" s="99">
        <f>G95+'23'!H95</f>
        <v>5.5880294681981191</v>
      </c>
      <c r="I95" s="167"/>
      <c r="J95" s="175">
        <f>H95/DAY(B2)</f>
        <v>0.23283456117492163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-26383.980000000018</v>
      </c>
      <c r="I96" s="118"/>
      <c r="J96" s="175">
        <f>H96/DAY(B2)</f>
        <v>-1099.3325000000007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0.15182449366473638</v>
      </c>
      <c r="H97" s="99">
        <f>G97+'23'!H97</f>
        <v>4.1061659920159839</v>
      </c>
      <c r="I97" s="167"/>
      <c r="J97" s="175">
        <f>H97/DAY(B2)</f>
        <v>0.17109024966733266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2607.1999999999971</v>
      </c>
      <c r="H98" s="99">
        <f>G98+'23'!H98</f>
        <v>414525.70999999996</v>
      </c>
      <c r="I98" s="168"/>
      <c r="J98" s="175">
        <f>H98/DAY(B2)</f>
        <v>17271.904583333333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0.15933342989164079</v>
      </c>
      <c r="H99" s="99">
        <f>G99+'23'!H99</f>
        <v>2.6805116367563606</v>
      </c>
      <c r="I99" s="168"/>
      <c r="J99" s="175">
        <f>H99/DAY(B2)</f>
        <v>0.11168798486484836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233623.57</v>
      </c>
      <c r="I100" s="118"/>
      <c r="J100" s="175">
        <f>H100/DAY(B2)</f>
        <v>9734.3154166666664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1.8074213535215806</v>
      </c>
      <c r="I101" s="168"/>
      <c r="J101" s="175">
        <f>H101/DAY(B2)</f>
        <v>7.5309223063399197E-2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-11956.369999999995</v>
      </c>
      <c r="I102" s="168"/>
      <c r="J102" s="175">
        <f>H102/DAY(B2)</f>
        <v>-498.18208333333314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2.3936234860657959</v>
      </c>
      <c r="I103" s="118"/>
      <c r="J103" s="175">
        <f>H103/DAY(B2)</f>
        <v>9.9734311919408167E-2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196567.91000000003</v>
      </c>
      <c r="I104" s="118"/>
      <c r="J104" s="175">
        <f>H104/DAY(B2)</f>
        <v>8190.329583333335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1.6839854079131997</v>
      </c>
      <c r="I105" s="187"/>
      <c r="J105" s="188">
        <f>H105/DAY(B2)</f>
        <v>7.0166058663049993E-2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-544</v>
      </c>
      <c r="I112" s="165"/>
      <c r="J112" s="328">
        <f>H112/DAY(B2)</f>
        <v>-22.666666666666668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-3246.8899999999994</v>
      </c>
      <c r="I113" s="165"/>
      <c r="J113" s="328">
        <f>H113/DAY(B2)</f>
        <v>-135.2870833333333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-1947.6000000000004</v>
      </c>
      <c r="I114" s="165"/>
      <c r="J114" s="328">
        <f>H114/DAY(B2)</f>
        <v>-81.15000000000002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-65.649999999999636</v>
      </c>
      <c r="I115" s="165"/>
      <c r="J115" s="328">
        <f>H115/DAY(B2)</f>
        <v>-2.7354166666666515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-176.94999999999982</v>
      </c>
      <c r="I117" s="165"/>
      <c r="J117" s="328">
        <f>H117/DAY(B2)</f>
        <v>-7.3729166666666588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-2345.3099999999977</v>
      </c>
      <c r="I118" s="165"/>
      <c r="J118" s="328">
        <f>H118/DAY(B2)</f>
        <v>-97.721249999999898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-2916.5499999999884</v>
      </c>
      <c r="I119" s="165"/>
      <c r="J119" s="328">
        <f>H119/DAY(B2)</f>
        <v>-121.52291666666618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-2913.8400000000038</v>
      </c>
      <c r="I120" s="165"/>
      <c r="J120" s="328">
        <f>H120/DAY(B2)</f>
        <v>-121.41000000000015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-4980.429999999993</v>
      </c>
      <c r="I121" s="165"/>
      <c r="J121" s="328">
        <f>H121/DAY(B2)</f>
        <v>-207.51791666666637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-1333.179999999993</v>
      </c>
      <c r="I122" s="165"/>
      <c r="J122" s="328">
        <f>H122/DAY(B2)</f>
        <v>-55.549166666666373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-1915.9500000000116</v>
      </c>
      <c r="I123" s="165"/>
      <c r="J123" s="328">
        <f>H123/DAY(B2)</f>
        <v>-79.83125000000048</v>
      </c>
    </row>
    <row r="124" spans="1:18" ht="29.25" customHeight="1">
      <c r="A124" s="867"/>
      <c r="B124" s="868"/>
      <c r="C124" s="86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-2135</v>
      </c>
      <c r="I128" s="165"/>
      <c r="J128" s="328">
        <f>H128/DAY(B2)</f>
        <v>-88.958333333333329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-1382.869999999999</v>
      </c>
      <c r="I129" s="165"/>
      <c r="J129" s="328">
        <f>H129/DAY(B2)</f>
        <v>-57.619583333333289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-3380</v>
      </c>
      <c r="I130" s="165"/>
      <c r="J130" s="328">
        <f>H130/DAY(B2)</f>
        <v>-140.83333333333334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-404.68000000000029</v>
      </c>
      <c r="I131" s="165"/>
      <c r="J131" s="328">
        <f>H131/DAY(B2)</f>
        <v>-16.861666666666679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-1166.3000000000029</v>
      </c>
      <c r="I132" s="165"/>
      <c r="J132" s="328">
        <f>H132/DAY(B2)</f>
        <v>-48.595833333333452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-3028.6999999999971</v>
      </c>
      <c r="I133" s="165"/>
      <c r="J133" s="328">
        <f>H133/DAY(B2)</f>
        <v>-126.19583333333321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'23'!F134</f>
        <v>7394.85</v>
      </c>
      <c r="F134" s="500">
        <v>7550</v>
      </c>
      <c r="G134" s="112">
        <f t="shared" si="10"/>
        <v>155.14999999999964</v>
      </c>
      <c r="H134" s="99">
        <f>G134+'23'!H134</f>
        <v>670122.77</v>
      </c>
      <c r="I134" s="165"/>
      <c r="J134" s="328">
        <f>H134/DAY(B2)</f>
        <v>27921.782083333335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631106.09</v>
      </c>
      <c r="I135" s="327">
        <f>G135-(G35+G49)</f>
        <v>-305.30999999998858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-420</v>
      </c>
      <c r="I138" s="118"/>
      <c r="J138" s="328">
        <f>H138/DAY(B2)</f>
        <v>-17.5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-5</v>
      </c>
      <c r="I139" s="118"/>
      <c r="J139" s="328">
        <f>H139/DAY(B2)</f>
        <v>-0.20833333333333334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-1210.5800000000017</v>
      </c>
      <c r="I141" s="118"/>
      <c r="J141" s="328">
        <f>H141/DAY(B2)</f>
        <v>-50.440833333333408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-542.09999999999854</v>
      </c>
      <c r="I142" s="140"/>
      <c r="J142" s="328">
        <f>H142/DAY(B2)</f>
        <v>-22.587499999999938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-180.38999999999987</v>
      </c>
      <c r="I143" s="140"/>
      <c r="J143" s="328">
        <f>H143/DAY(B2)</f>
        <v>-7.516249999999995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-1408</v>
      </c>
      <c r="I144" s="140"/>
      <c r="J144" s="328">
        <f>H144/DAY(B2)</f>
        <v>-58.666666666666664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-49.840000000000146</v>
      </c>
      <c r="I145" s="140"/>
      <c r="J145" s="328">
        <f>H145/DAY(B2)</f>
        <v>-2.0766666666666729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-2828</v>
      </c>
      <c r="I146" s="140"/>
      <c r="J146" s="328">
        <f>H146/DAY(B2)</f>
        <v>-117.83333333333333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-2492.5200000000186</v>
      </c>
      <c r="I147" s="140"/>
      <c r="J147" s="328">
        <f>H147/DAY(B2)</f>
        <v>-103.85500000000077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-1321.9599999999627</v>
      </c>
      <c r="I148" s="124"/>
      <c r="J148" s="328">
        <f>H148/DAY(B2)</f>
        <v>-55.081666666665114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-3498.2000000000007</v>
      </c>
      <c r="I149" s="119"/>
      <c r="J149" s="328">
        <f>H149/DAY(B2)</f>
        <v>-145.75833333333335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-1543.83</v>
      </c>
      <c r="I150" s="119"/>
      <c r="J150" s="328">
        <f>H150/DAY(B2)</f>
        <v>-64.326250000000002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-1778</v>
      </c>
      <c r="I151" s="119"/>
      <c r="J151" s="328">
        <f>H151/DAY(B2)</f>
        <v>-74.083333333333329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-129</v>
      </c>
      <c r="I152" s="119"/>
      <c r="J152" s="328">
        <f>H152/DAY(B2)</f>
        <v>-5.375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'23'!F155</f>
        <v>27083</v>
      </c>
      <c r="F155" s="503">
        <v>27719</v>
      </c>
      <c r="G155" s="112">
        <f t="shared" ref="G155:G158" si="12">F155-E155</f>
        <v>636</v>
      </c>
      <c r="H155" s="99">
        <f>G155+'23'!H155</f>
        <v>-5226</v>
      </c>
      <c r="I155" s="364"/>
      <c r="J155" s="328">
        <f>H155/DAY(B2)</f>
        <v>-217.75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-455</v>
      </c>
      <c r="I156" s="165"/>
      <c r="J156" s="328">
        <f>H156/DAY(B2)</f>
        <v>-18.958333333333332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-181.03999999997905</v>
      </c>
      <c r="I161" s="236"/>
      <c r="J161" s="239">
        <f>H161/DAY(B2)</f>
        <v>-7.5433333333324599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-225.39999999999418</v>
      </c>
      <c r="I162" s="236"/>
      <c r="J162" s="239">
        <f>H162/DAY(B2)</f>
        <v>-9.3916666666664241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-291.10000000000582</v>
      </c>
      <c r="I163" s="236"/>
      <c r="J163" s="239">
        <f>H163/DAY(B2)</f>
        <v>-12.12916666666691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-13</v>
      </c>
      <c r="I164" s="236"/>
      <c r="J164" s="239">
        <f>H164/DAY(B2)</f>
        <v>-0.54166666666666663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-56.25</v>
      </c>
      <c r="I165" s="236"/>
      <c r="J165" s="239">
        <f>H165/DAY(B2)</f>
        <v>-2.34375</v>
      </c>
    </row>
    <row r="166" spans="1:10" ht="29.25">
      <c r="A166" s="852"/>
      <c r="B166" s="85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/>
    <row r="170" spans="1:10" ht="21.75" customHeight="1"/>
    <row r="171" spans="1:10" ht="21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56" t="s">
        <v>209</v>
      </c>
      <c r="B173" s="857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>
      <c r="A174" s="856" t="s">
        <v>75</v>
      </c>
      <c r="B174" s="857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-87</v>
      </c>
      <c r="I174" s="155"/>
      <c r="J174" s="178">
        <f>H174/DAY(B2)</f>
        <v>-3.625</v>
      </c>
    </row>
    <row r="175" spans="1:10" ht="27" customHeight="1">
      <c r="A175" s="856" t="s">
        <v>76</v>
      </c>
      <c r="B175" s="896"/>
      <c r="C175" s="857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-68</v>
      </c>
      <c r="I175" s="155"/>
      <c r="J175" s="178">
        <f>H175/DAY(B2)</f>
        <v>-2.8333333333333335</v>
      </c>
    </row>
    <row r="176" spans="1:10" ht="21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G176+'23'!H176</f>
        <v>-155</v>
      </c>
      <c r="I176" s="155"/>
      <c r="J176" s="178">
        <f>H176/DAY(B2)</f>
        <v>-6.458333333333333</v>
      </c>
    </row>
    <row r="177" spans="1:10" ht="21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-379</v>
      </c>
      <c r="I178" s="155"/>
      <c r="J178" s="178">
        <f>H178/DAY(B2)</f>
        <v>-15.791666666666666</v>
      </c>
    </row>
    <row r="179" spans="1:10" ht="24" customHeight="1">
      <c r="A179" s="856" t="s">
        <v>211</v>
      </c>
      <c r="B179" s="857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-351</v>
      </c>
      <c r="I179" s="155"/>
      <c r="J179" s="178">
        <f>H179/DAY(B2)</f>
        <v>-14.625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-51</v>
      </c>
      <c r="I180" s="155"/>
      <c r="J180" s="178">
        <f>H180/DAY(B2)</f>
        <v>-2.125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79</v>
      </c>
      <c r="H181" s="99">
        <f>G181+'23'!H181</f>
        <v>-781</v>
      </c>
      <c r="I181" s="155"/>
      <c r="J181" s="178">
        <f>H181/DAY(B2)</f>
        <v>-32.541666666666664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-66</v>
      </c>
      <c r="I183" s="155"/>
      <c r="J183" s="178">
        <f>H183/DAY(B2)</f>
        <v>-2.75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-76</v>
      </c>
      <c r="I184" s="155"/>
      <c r="J184" s="178">
        <f>H184/DAY(B2)</f>
        <v>-3.1666666666666665</v>
      </c>
    </row>
    <row r="185" spans="1:10" ht="26.25" customHeight="1">
      <c r="A185" s="856" t="s">
        <v>216</v>
      </c>
      <c r="B185" s="85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38</v>
      </c>
      <c r="H186" s="99">
        <f>G186+'23'!H186</f>
        <v>-142</v>
      </c>
      <c r="I186" s="157"/>
      <c r="J186" s="178">
        <f>H186/DAY(B2)</f>
        <v>-5.916666666666667</v>
      </c>
    </row>
    <row r="187" spans="1:10" ht="27.75">
      <c r="A187" s="849" t="s">
        <v>217</v>
      </c>
      <c r="B187" s="850"/>
      <c r="C187" s="333"/>
      <c r="D187" s="230" t="s">
        <v>142</v>
      </c>
      <c r="E187" s="95">
        <f>'23'!F187</f>
        <v>0</v>
      </c>
      <c r="F187" s="159"/>
      <c r="G187" s="460">
        <f>G62+G19</f>
        <v>176</v>
      </c>
      <c r="H187" s="99">
        <f>G187+'23'!H187</f>
        <v>-1082</v>
      </c>
      <c r="I187" s="158"/>
      <c r="J187" s="179">
        <f>H187/DAY(B2)</f>
        <v>-45.083333333333336</v>
      </c>
    </row>
    <row r="188" spans="1:10" ht="27.75">
      <c r="A188" s="849" t="s">
        <v>218</v>
      </c>
      <c r="B188" s="850"/>
      <c r="C188" s="333"/>
      <c r="D188" s="230" t="s">
        <v>142</v>
      </c>
      <c r="E188" s="95">
        <f>'23'!F188</f>
        <v>0</v>
      </c>
      <c r="F188" s="159"/>
      <c r="G188" s="460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'23'!F189</f>
        <v>0</v>
      </c>
      <c r="F189" s="157"/>
      <c r="G189" s="457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49" zoomScaleSheetLayoutView="55" workbookViewId="0">
      <selection activeCell="G69" sqref="G6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-103771.22999999998</v>
      </c>
      <c r="I7" s="113">
        <f>'1'!I7</f>
        <v>12000</v>
      </c>
      <c r="J7" s="175">
        <f>H7/DAY(B2)</f>
        <v>-4150.8491999999997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'24'!F8</f>
        <v>586591</v>
      </c>
      <c r="F8" s="601">
        <v>603218</v>
      </c>
      <c r="G8" s="115">
        <f>F8-E8</f>
        <v>16627</v>
      </c>
      <c r="H8" s="99">
        <f>G8+'24'!H8</f>
        <v>-105330.15000000002</v>
      </c>
      <c r="I8" s="116"/>
      <c r="J8" s="175">
        <f>H8/DAY(B2)</f>
        <v>-4213.206000000001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'24'!F9</f>
        <v>179760</v>
      </c>
      <c r="F9" s="598">
        <v>193704</v>
      </c>
      <c r="G9" s="112">
        <f>F9-E9</f>
        <v>13944</v>
      </c>
      <c r="H9" s="99">
        <f>G9+'24'!H9</f>
        <v>2268731.15</v>
      </c>
      <c r="I9" s="124">
        <f>I7-J7</f>
        <v>16150.849200000001</v>
      </c>
      <c r="J9" s="175">
        <f>H9/DAY(B2)</f>
        <v>90749.245999999999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583556.03</v>
      </c>
      <c r="I10" s="282"/>
      <c r="J10" s="175">
        <f>H10/DAY(B2)</f>
        <v>23342.2412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2835532.75</v>
      </c>
      <c r="I13" s="120">
        <f>G7-G13</f>
        <v>484</v>
      </c>
      <c r="J13" s="175">
        <f>H13/DAY(B2)</f>
        <v>113421.31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-5707.7669999999925</v>
      </c>
      <c r="I15" s="113">
        <f>'1'!I15</f>
        <v>800</v>
      </c>
      <c r="J15" s="175">
        <f>H15/DAY(B2)</f>
        <v>-228.31067999999971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1028.3106799999996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3330</v>
      </c>
      <c r="I18" s="113">
        <f>'1'!I18</f>
        <v>65</v>
      </c>
      <c r="J18" s="175">
        <f>H18/DAY(B2)</f>
        <v>133.19999999999999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-328</v>
      </c>
      <c r="I19" s="335"/>
      <c r="J19" s="175">
        <f>H19/DAY(B2)</f>
        <v>-13.12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3002</v>
      </c>
      <c r="I20" s="336">
        <f>I18-J20</f>
        <v>-55.08</v>
      </c>
      <c r="J20" s="175">
        <f>H20/DAY(B2)</f>
        <v>120.08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-947971.35000000056</v>
      </c>
      <c r="I27" s="138"/>
      <c r="J27" s="175">
        <f>H27/DAY(B2)</f>
        <v>-37918.854000000021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-296803.88399999961</v>
      </c>
      <c r="I28" s="140"/>
      <c r="J28" s="175">
        <f>H28/DAY(B2)</f>
        <v>-11872.155359999984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-47888</v>
      </c>
      <c r="I30" s="140"/>
      <c r="J30" s="175">
        <f>H30/DAY(B2)</f>
        <v>-1915.52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266400</v>
      </c>
      <c r="I31" s="140"/>
      <c r="J31" s="175">
        <f>H31/DAY(B2)</f>
        <v>10656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-1018673.2340000002</v>
      </c>
      <c r="I32" s="144"/>
      <c r="J32" s="175">
        <f>H32/DAY(B2)</f>
        <v>-40746.929360000009</v>
      </c>
      <c r="K32" s="63"/>
      <c r="L32" s="89"/>
      <c r="N32" s="87"/>
      <c r="O32" s="71"/>
    </row>
    <row r="33" spans="1:15" ht="25.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160553.02000000002</v>
      </c>
      <c r="I35" s="95"/>
      <c r="J35" s="175">
        <f>H35/DAY(B2)</f>
        <v>6422.1208000000006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-4218.739999999998</v>
      </c>
      <c r="I36" s="95"/>
      <c r="J36" s="175">
        <f>H36/DAY(B2)</f>
        <v>-168.74959999999993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198175.91000000003</v>
      </c>
      <c r="I37" s="95"/>
      <c r="J37" s="175">
        <f>H37/DAY(B2)</f>
        <v>7927.0364000000009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235384.57</v>
      </c>
      <c r="I38" s="95"/>
      <c r="J38" s="175">
        <f>H38/DAY(B2)</f>
        <v>9415.3827999999994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417116.70999999996</v>
      </c>
      <c r="I39" s="95"/>
      <c r="J39" s="175">
        <f>H39/DAY(B2)</f>
        <v>16684.668399999999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-5339.9900000000016</v>
      </c>
      <c r="I40" s="95"/>
      <c r="J40" s="175">
        <f>H40/DAY(B2)</f>
        <v>-213.59960000000007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-62.73</v>
      </c>
      <c r="I41" s="95"/>
      <c r="J41" s="175">
        <f>H41/DAY(B2)</f>
        <v>-2.5091999999999999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-23292.740000000005</v>
      </c>
      <c r="I42" s="95"/>
      <c r="J42" s="175">
        <f>H42/DAY(B2)</f>
        <v>-931.70960000000025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-11726.600000000006</v>
      </c>
      <c r="I43" s="95"/>
      <c r="J43" s="175">
        <f>H43/DAY(B2)</f>
        <v>-469.06400000000025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966589.41000000027</v>
      </c>
      <c r="I47" s="95"/>
      <c r="J47" s="175">
        <f>H47/DAY(B2)</f>
        <v>38663.576400000013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280211.81</v>
      </c>
      <c r="I49" s="95"/>
      <c r="J49" s="175">
        <f>H49/DAY(B2)</f>
        <v>11208.472400000001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-6126.6299999999974</v>
      </c>
      <c r="I50" s="95"/>
      <c r="J50" s="175">
        <f>H50/DAY(B2)</f>
        <v>-245.06519999999989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1752.58</v>
      </c>
      <c r="I54" s="95"/>
      <c r="J54" s="175">
        <f>H54/DAY(B2)</f>
        <v>70.103200000000001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-0.11000000000058208</v>
      </c>
      <c r="I55" s="95"/>
      <c r="J55" s="175">
        <f>H55/DAY(B2)</f>
        <v>-4.4000000000232829E-3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-1201.21</v>
      </c>
      <c r="I58" s="95"/>
      <c r="J58" s="175">
        <f>H58/DAY(B2)</f>
        <v>-48.048400000000001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274636.44</v>
      </c>
      <c r="I59" s="95">
        <f>G7-G60</f>
        <v>928.60000000000582</v>
      </c>
      <c r="J59" s="175">
        <f>H59/DAY(B2)</f>
        <v>10985.4576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1241225.8500000003</v>
      </c>
      <c r="I60" s="95">
        <f>G13-G60</f>
        <v>444.60000000000582</v>
      </c>
      <c r="J60" s="175">
        <f>H60/DAY(B2)</f>
        <v>49649.034000000014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-602</v>
      </c>
      <c r="I62" s="118"/>
      <c r="J62" s="175">
        <f>H62/DAY(B2)</f>
        <v>-24.08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-795</v>
      </c>
      <c r="I63" s="118"/>
      <c r="J63" s="175">
        <f>H63/DAY(B2)</f>
        <v>-31.8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'24'!F64</f>
        <v>0</v>
      </c>
      <c r="F64" s="122"/>
      <c r="G64" s="112">
        <f>G62+G63</f>
        <v>266</v>
      </c>
      <c r="H64" s="99">
        <f>G64+'24'!H64</f>
        <v>-1397</v>
      </c>
      <c r="I64" s="118"/>
      <c r="J64" s="175">
        <f>H64/DAY(B2)</f>
        <v>-55.88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-508</v>
      </c>
      <c r="I65" s="118"/>
      <c r="J65" s="175">
        <f>H65/DAY(B2)</f>
        <v>-20.32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-125</v>
      </c>
      <c r="I66" s="118"/>
      <c r="J66" s="175">
        <f>H66/DAY(B2)</f>
        <v>-5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-148</v>
      </c>
      <c r="I67" s="118"/>
      <c r="J67" s="175">
        <f>H67/DAY(B2)</f>
        <v>-5.92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-277</v>
      </c>
      <c r="I68" s="118"/>
      <c r="J68" s="175">
        <f>H68/DAY(B2)</f>
        <v>-11.08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-47</v>
      </c>
      <c r="I69" s="118"/>
      <c r="J69" s="175">
        <f>H69/DAY(B2)</f>
        <v>-1.88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-78</v>
      </c>
      <c r="I70" s="118"/>
      <c r="J70" s="175">
        <f>H70/DAY(B2)</f>
        <v>-3.12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207</v>
      </c>
      <c r="H71" s="99">
        <f>G71+'24'!H71</f>
        <v>-1183</v>
      </c>
      <c r="I71" s="154"/>
      <c r="J71" s="175">
        <f>H71/DAY(B2)</f>
        <v>-47.32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-1836.1489999999758</v>
      </c>
      <c r="I74" s="154"/>
      <c r="J74" s="175">
        <f>H74/DAY(B2)</f>
        <v>-73.445959999999033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-555</v>
      </c>
      <c r="I76" s="154"/>
      <c r="J76" s="175">
        <f>H76/DAY(B2)</f>
        <v>-22.2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-217.19999999999709</v>
      </c>
      <c r="I77" s="154"/>
      <c r="J77" s="175">
        <f>H77/DAY(B2)</f>
        <v>-8.6879999999998834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-8</v>
      </c>
      <c r="I78" s="118"/>
      <c r="J78" s="175">
        <f>H78/DAY(B2)</f>
        <v>-0.32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-3091.4180000000197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-142.42000000000007</v>
      </c>
      <c r="I85" s="118">
        <f>G82+G83+G84+G85</f>
        <v>21.84000000000151</v>
      </c>
      <c r="J85" s="175">
        <f>H85/DAY(B2)</f>
        <v>-5.6968000000000032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5.0000000002910383E-2</v>
      </c>
      <c r="I87" s="118"/>
      <c r="J87" s="175">
        <f>H87/DAY(B2)</f>
        <v>2.0000000001164152E-3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-0.43000000000029104</v>
      </c>
      <c r="I88" s="118">
        <f>G86+G87+G88</f>
        <v>0</v>
      </c>
      <c r="J88" s="175">
        <f>H88/DAY(B2)</f>
        <v>-1.720000000001164E-2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-57.139999999999418</v>
      </c>
      <c r="I89" s="118"/>
      <c r="J89" s="175">
        <f>H89/DAY(B2)</f>
        <v>-2.2855999999999765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-13.320000000006985</v>
      </c>
      <c r="I90" s="118">
        <f>G89+G90</f>
        <v>8.9799999999995634</v>
      </c>
      <c r="J90" s="175">
        <f>H90/DAY(B2)</f>
        <v>-0.53280000000027938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-25.090000000000146</v>
      </c>
      <c r="I91" s="165"/>
      <c r="J91" s="175">
        <f>H91/DAY(B2)</f>
        <v>-1.0036000000000058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-42.069999999999709</v>
      </c>
      <c r="I92" s="165"/>
      <c r="J92" s="175">
        <f>H92/DAY(B2)</f>
        <v>-1.6827999999999883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4098</v>
      </c>
      <c r="H94" s="99">
        <f>G94+'24'!H94</f>
        <v>429038.22999999986</v>
      </c>
      <c r="I94" s="118"/>
      <c r="J94" s="175">
        <f>H94/DAY(B2)</f>
        <v>17161.529199999994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0.25096454161308102</v>
      </c>
      <c r="H95" s="99">
        <f>G95+'24'!H95</f>
        <v>5.8389940098112003</v>
      </c>
      <c r="I95" s="167"/>
      <c r="J95" s="175">
        <f>H95/DAY(B2)</f>
        <v>0.23355976039244802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-23355.580000000024</v>
      </c>
      <c r="I96" s="118"/>
      <c r="J96" s="175">
        <f>H96/DAY(B2)</f>
        <v>-934.22320000000093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0.18546144895584507</v>
      </c>
      <c r="H97" s="99">
        <f>G97+'24'!H97</f>
        <v>4.2916274409718289</v>
      </c>
      <c r="I97" s="167"/>
      <c r="J97" s="175">
        <f>H97/DAY(B2)</f>
        <v>0.17166509763887317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2591</v>
      </c>
      <c r="H98" s="99">
        <f>G98+'24'!H98</f>
        <v>417116.70999999996</v>
      </c>
      <c r="I98" s="168"/>
      <c r="J98" s="175">
        <f>H98/DAY(B2)</f>
        <v>16684.668399999999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0.15867475044399534</v>
      </c>
      <c r="H99" s="99">
        <f>G99+'24'!H99</f>
        <v>2.839186387200356</v>
      </c>
      <c r="I99" s="168"/>
      <c r="J99" s="175">
        <f>H99/DAY(B2)</f>
        <v>0.11356745548801424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1761</v>
      </c>
      <c r="H100" s="99">
        <f>G100+'24'!H100</f>
        <v>235384.57</v>
      </c>
      <c r="I100" s="118"/>
      <c r="J100" s="175">
        <f>H100/DAY(B2)</f>
        <v>9415.3827999999994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1.9152662919746395</v>
      </c>
      <c r="I101" s="168"/>
      <c r="J101" s="175">
        <f>H101/DAY(B2)</f>
        <v>7.6610651678985578E-2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1611</v>
      </c>
      <c r="H102" s="99">
        <f>G102+'24'!H102</f>
        <v>-10345.369999999995</v>
      </c>
      <c r="I102" s="168"/>
      <c r="J102" s="175">
        <f>H102/DAY(B2)</f>
        <v>-413.81479999999982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2.4922823139180834</v>
      </c>
      <c r="I103" s="118"/>
      <c r="J103" s="175">
        <f>H103/DAY(B2)</f>
        <v>9.9691292556723335E-2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1608</v>
      </c>
      <c r="H104" s="99">
        <f>G104+'24'!H104</f>
        <v>198175.91000000003</v>
      </c>
      <c r="I104" s="118"/>
      <c r="J104" s="175">
        <f>H104/DAY(B2)</f>
        <v>7927.0364000000009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1.7824605135534717</v>
      </c>
      <c r="I105" s="187"/>
      <c r="J105" s="188">
        <f>H105/DAY(B2)</f>
        <v>7.1298420542138863E-2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-466</v>
      </c>
      <c r="I112" s="165"/>
      <c r="J112" s="328">
        <f>H112/DAY(B2)</f>
        <v>-18.64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-2776.8899999999994</v>
      </c>
      <c r="I113" s="165"/>
      <c r="J113" s="328">
        <f>H113/DAY(B2)</f>
        <v>-111.07559999999998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-1685.6000000000004</v>
      </c>
      <c r="I114" s="165"/>
      <c r="J114" s="328">
        <f>H114/DAY(B2)</f>
        <v>-67.424000000000021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-56.649999999999636</v>
      </c>
      <c r="I115" s="165"/>
      <c r="J115" s="328">
        <f>H115/DAY(B2)</f>
        <v>-2.2659999999999854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-153.94999999999982</v>
      </c>
      <c r="I117" s="165"/>
      <c r="J117" s="328">
        <f>H117/DAY(B2)</f>
        <v>-6.1579999999999924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-2007.3099999999977</v>
      </c>
      <c r="I118" s="165"/>
      <c r="J118" s="328">
        <f>H118/DAY(B2)</f>
        <v>-80.292399999999901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-2497.5499999999884</v>
      </c>
      <c r="I119" s="165"/>
      <c r="J119" s="328">
        <f>H119/DAY(B2)</f>
        <v>-99.901999999999532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-2507.6100000000006</v>
      </c>
      <c r="I120" s="165"/>
      <c r="J120" s="328">
        <f>H120/DAY(B2)</f>
        <v>-100.30440000000003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-4270.429999999993</v>
      </c>
      <c r="I121" s="165"/>
      <c r="J121" s="328">
        <f>H121/DAY(B2)</f>
        <v>-170.81719999999973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-1154.179999999993</v>
      </c>
      <c r="I122" s="165"/>
      <c r="J122" s="328">
        <f>H122/DAY(B2)</f>
        <v>-46.167199999999724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-1652.9500000000116</v>
      </c>
      <c r="I123" s="165"/>
      <c r="J123" s="328">
        <f>H123/DAY(B2)</f>
        <v>-66.118000000000464</v>
      </c>
    </row>
    <row r="124" spans="1:18" ht="29.25" customHeight="1">
      <c r="A124" s="867"/>
      <c r="B124" s="868"/>
      <c r="C124" s="869"/>
      <c r="D124" s="165"/>
      <c r="E124" s="165"/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-1826</v>
      </c>
      <c r="I128" s="165"/>
      <c r="J128" s="328">
        <f>H128/DAY(B2)</f>
        <v>-73.040000000000006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-1171.869999999999</v>
      </c>
      <c r="I129" s="165"/>
      <c r="J129" s="328">
        <f>H129/DAY(B2)</f>
        <v>-46.874799999999958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-2846</v>
      </c>
      <c r="I130" s="165"/>
      <c r="J130" s="328">
        <f>H130/DAY(B2)</f>
        <v>-113.84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-346.68000000000029</v>
      </c>
      <c r="I131" s="165"/>
      <c r="J131" s="328">
        <f>H131/DAY(B2)</f>
        <v>-13.867200000000011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-999.30000000000291</v>
      </c>
      <c r="I132" s="165"/>
      <c r="J132" s="328">
        <f>H132/DAY(B2)</f>
        <v>-39.972000000000115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-2631.6999999999971</v>
      </c>
      <c r="I133" s="165"/>
      <c r="J133" s="328">
        <f>H133/DAY(B2)</f>
        <v>-105.26799999999989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'24'!F134</f>
        <v>7550</v>
      </c>
      <c r="F134" s="551">
        <v>7700</v>
      </c>
      <c r="G134" s="112">
        <f t="shared" si="10"/>
        <v>150</v>
      </c>
      <c r="H134" s="99">
        <f>G134+'24'!H134</f>
        <v>670272.77</v>
      </c>
      <c r="I134" s="165"/>
      <c r="J134" s="328">
        <f>H134/DAY(B2)</f>
        <v>26810.910800000001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1826</v>
      </c>
      <c r="H135" s="99">
        <f>G135+'23'!H135</f>
        <v>631200.39</v>
      </c>
      <c r="I135" s="327">
        <f>G135-(G35+G49)</f>
        <v>-314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-344</v>
      </c>
      <c r="I138" s="118"/>
      <c r="J138" s="328">
        <f>H138/DAY(B2)</f>
        <v>-13.76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-4</v>
      </c>
      <c r="I139" s="118"/>
      <c r="J139" s="328">
        <f>H139/DAY(B2)</f>
        <v>-0.16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-1037.5800000000017</v>
      </c>
      <c r="I141" s="118"/>
      <c r="J141" s="328">
        <f>H141/DAY(B2)</f>
        <v>-41.503200000000071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-477.09999999999854</v>
      </c>
      <c r="I142" s="140"/>
      <c r="J142" s="328">
        <f>H142/DAY(B2)</f>
        <v>-19.083999999999943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-154.38999999999987</v>
      </c>
      <c r="I143" s="140"/>
      <c r="J143" s="328">
        <f>H143/DAY(B2)</f>
        <v>-6.1755999999999949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-1204</v>
      </c>
      <c r="I144" s="140"/>
      <c r="J144" s="328">
        <f>H144/DAY(B2)</f>
        <v>-48.16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-43.840000000000146</v>
      </c>
      <c r="I145" s="140"/>
      <c r="J145" s="328">
        <f>H145/DAY(B2)</f>
        <v>-1.7536000000000058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-2426</v>
      </c>
      <c r="I146" s="140"/>
      <c r="J146" s="328">
        <f>H146/DAY(B2)</f>
        <v>-97.04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-2127.5200000000186</v>
      </c>
      <c r="I147" s="140"/>
      <c r="J147" s="328">
        <f>H147/DAY(B2)</f>
        <v>-85.100800000000746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'24'!F148</f>
        <v>688121</v>
      </c>
      <c r="F148" s="486">
        <v>688279</v>
      </c>
      <c r="G148" s="112">
        <f t="shared" si="11"/>
        <v>158</v>
      </c>
      <c r="H148" s="99">
        <f>G148+'24'!H148</f>
        <v>-1163.9599999999627</v>
      </c>
      <c r="I148" s="124"/>
      <c r="J148" s="328">
        <f>H148/DAY(B2)</f>
        <v>-46.558399999998507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-2979.2000000000007</v>
      </c>
      <c r="I149" s="119"/>
      <c r="J149" s="328">
        <f>H149/DAY(B2)</f>
        <v>-119.16800000000003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-1326.83</v>
      </c>
      <c r="I150" s="119"/>
      <c r="J150" s="328">
        <f>H150/DAY(B2)</f>
        <v>-53.0732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-1528</v>
      </c>
      <c r="I151" s="119"/>
      <c r="J151" s="328">
        <f>H151/DAY(B2)</f>
        <v>-61.12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-113</v>
      </c>
      <c r="I152" s="119"/>
      <c r="J152" s="328">
        <f>H152/DAY(B2)</f>
        <v>-4.5199999999999996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-4564</v>
      </c>
      <c r="I155" s="364"/>
      <c r="J155" s="328">
        <f>H155/DAY(B2)</f>
        <v>-182.56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-397</v>
      </c>
      <c r="I156" s="165"/>
      <c r="J156" s="328">
        <f>H156/DAY(B2)</f>
        <v>-15.88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-160.55999999999767</v>
      </c>
      <c r="I161" s="236"/>
      <c r="J161" s="239">
        <f>H161/DAY(B2)</f>
        <v>-6.4223999999999073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-187.39999999999418</v>
      </c>
      <c r="I162" s="236"/>
      <c r="J162" s="239">
        <f>H162/DAY(B2)</f>
        <v>-7.4959999999997668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-256.10000000000582</v>
      </c>
      <c r="I163" s="236"/>
      <c r="J163" s="239">
        <f>H163/DAY(B2)</f>
        <v>-10.244000000000232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-12</v>
      </c>
      <c r="I164" s="236"/>
      <c r="J164" s="239">
        <f>H164/DAY(B2)</f>
        <v>-0.48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-48.25</v>
      </c>
      <c r="I165" s="236"/>
      <c r="J165" s="239">
        <f>H165/DAY(B2)</f>
        <v>-1.93</v>
      </c>
    </row>
    <row r="166" spans="1:10" ht="29.25">
      <c r="A166" s="852"/>
      <c r="B166" s="85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1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56" t="s">
        <v>209</v>
      </c>
      <c r="B173" s="857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>
      <c r="A174" s="856" t="s">
        <v>75</v>
      </c>
      <c r="B174" s="857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-79</v>
      </c>
      <c r="I174" s="155"/>
      <c r="J174" s="178">
        <f>H174/DAY(B2)</f>
        <v>-3.16</v>
      </c>
    </row>
    <row r="175" spans="1:10" ht="21.75" customHeight="1">
      <c r="A175" s="856" t="s">
        <v>76</v>
      </c>
      <c r="B175" s="896"/>
      <c r="C175" s="857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-60</v>
      </c>
      <c r="I175" s="155"/>
      <c r="J175" s="178">
        <f>H175/DAY(B2)</f>
        <v>-2.4</v>
      </c>
    </row>
    <row r="176" spans="1:10" ht="23.2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16</v>
      </c>
      <c r="H176" s="99">
        <f>G176+'24'!H176</f>
        <v>-139</v>
      </c>
      <c r="I176" s="155"/>
      <c r="J176" s="178">
        <f>H176/DAY(B2)</f>
        <v>-5.56</v>
      </c>
    </row>
    <row r="177" spans="1:10" ht="21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-358</v>
      </c>
      <c r="I178" s="155"/>
      <c r="J178" s="178">
        <f>H178/DAY(B2)</f>
        <v>-14.32</v>
      </c>
    </row>
    <row r="179" spans="1:10" ht="24" customHeight="1">
      <c r="A179" s="856" t="s">
        <v>211</v>
      </c>
      <c r="B179" s="857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-271</v>
      </c>
      <c r="I179" s="155"/>
      <c r="J179" s="178">
        <f>H179/DAY(B2)</f>
        <v>-10.84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-44</v>
      </c>
      <c r="I180" s="155"/>
      <c r="J180" s="178">
        <f>H180/DAY(B2)</f>
        <v>-1.76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108</v>
      </c>
      <c r="H181" s="99">
        <f>G181+'24'!H181</f>
        <v>-673</v>
      </c>
      <c r="I181" s="155"/>
      <c r="J181" s="178">
        <f>H181/DAY(B2)</f>
        <v>-26.92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-59</v>
      </c>
      <c r="I183" s="155"/>
      <c r="J183" s="178">
        <f>H183/DAY(B2)</f>
        <v>-2.36</v>
      </c>
    </row>
    <row r="184" spans="1:10" ht="30.75" customHeight="1">
      <c r="A184" s="856" t="s">
        <v>215</v>
      </c>
      <c r="B184" s="857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-64</v>
      </c>
      <c r="I184" s="155"/>
      <c r="J184" s="178">
        <f>H184/DAY(B2)</f>
        <v>-2.56</v>
      </c>
    </row>
    <row r="185" spans="1:10" ht="23.25" customHeight="1">
      <c r="A185" s="856" t="s">
        <v>216</v>
      </c>
      <c r="B185" s="85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-123</v>
      </c>
      <c r="I186" s="157"/>
      <c r="J186" s="178">
        <f>H186/DAY(B2)</f>
        <v>-4.92</v>
      </c>
    </row>
    <row r="187" spans="1:10" ht="27.75">
      <c r="A187" s="849" t="s">
        <v>217</v>
      </c>
      <c r="B187" s="850"/>
      <c r="C187" s="333"/>
      <c r="D187" s="228" t="s">
        <v>142</v>
      </c>
      <c r="E187" s="95">
        <f>'24'!F187</f>
        <v>0</v>
      </c>
      <c r="F187" s="159"/>
      <c r="G187" s="460">
        <f>G62+G19</f>
        <v>152</v>
      </c>
      <c r="H187" s="99">
        <f>G187+'24'!H187</f>
        <v>-930</v>
      </c>
      <c r="I187" s="158"/>
      <c r="J187" s="179">
        <f>H187/DAY(B2)</f>
        <v>-37.200000000000003</v>
      </c>
    </row>
    <row r="188" spans="1:10" ht="27.75">
      <c r="A188" s="849" t="s">
        <v>218</v>
      </c>
      <c r="B188" s="850"/>
      <c r="C188" s="333"/>
      <c r="D188" s="230" t="s">
        <v>142</v>
      </c>
      <c r="E188" s="95">
        <f>'24'!F188</f>
        <v>0</v>
      </c>
      <c r="F188" s="159"/>
      <c r="G188" s="460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'24'!F189</f>
        <v>0</v>
      </c>
      <c r="F189" s="157"/>
      <c r="G189" s="457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-87317.229999999981</v>
      </c>
      <c r="I7" s="113">
        <f>'1'!I7</f>
        <v>12000</v>
      </c>
      <c r="J7" s="175">
        <f>H7/DAY(B2)</f>
        <v>-3358.3549999999991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-88438.150000000023</v>
      </c>
      <c r="I8" s="116"/>
      <c r="J8" s="175">
        <f>H8/DAY(B2)</f>
        <v>-3401.4673076923086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'25'!F9</f>
        <v>193704</v>
      </c>
      <c r="F9" s="598">
        <v>207852</v>
      </c>
      <c r="G9" s="112">
        <f>F9-E9</f>
        <v>14148</v>
      </c>
      <c r="H9" s="99">
        <f>G9+'25'!H9</f>
        <v>2282879.15</v>
      </c>
      <c r="I9" s="124">
        <f>I7-J7</f>
        <v>15358.355</v>
      </c>
      <c r="J9" s="175">
        <f>H9/DAY(B2)</f>
        <v>87803.044230769228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585554.03</v>
      </c>
      <c r="I10" s="282"/>
      <c r="J10" s="175">
        <f>H10/DAY(B2)</f>
        <v>22521.308846153846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2851678.75</v>
      </c>
      <c r="I13" s="120">
        <f>G7-G13</f>
        <v>308</v>
      </c>
      <c r="J13" s="175">
        <f>H13/DAY(B2)</f>
        <v>109679.95192307692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-4771.7669999999925</v>
      </c>
      <c r="I15" s="113">
        <f>'1'!I15</f>
        <v>800</v>
      </c>
      <c r="J15" s="175">
        <f>H15/DAY(B2)</f>
        <v>-183.5294999999997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983.52949999999964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3450</v>
      </c>
      <c r="I18" s="113">
        <f>'1'!I18</f>
        <v>65</v>
      </c>
      <c r="J18" s="175">
        <f>H18/DAY(B2)</f>
        <v>132.69230769230768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-273</v>
      </c>
      <c r="I19" s="335"/>
      <c r="J19" s="175">
        <f>H19/DAY(B2)</f>
        <v>-10.5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3177</v>
      </c>
      <c r="I20" s="336">
        <f>I18-J20</f>
        <v>-57.192307692307693</v>
      </c>
      <c r="J20" s="175">
        <f>H20/DAY(B2)</f>
        <v>122.19230769230769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-795943.35000000056</v>
      </c>
      <c r="I27" s="138"/>
      <c r="J27" s="175">
        <f>H27/DAY(B2)</f>
        <v>-30613.20576923079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-248131.88399999961</v>
      </c>
      <c r="I28" s="140"/>
      <c r="J28" s="175">
        <f>H28/DAY(B2)</f>
        <v>-9543.5339999999851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-39858</v>
      </c>
      <c r="I30" s="140"/>
      <c r="J30" s="175">
        <f>H30/DAY(B2)</f>
        <v>-1533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276000</v>
      </c>
      <c r="I31" s="140"/>
      <c r="J31" s="175">
        <f>H31/DAY(B2)</f>
        <v>10615.384615384615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-800343.23400000017</v>
      </c>
      <c r="I32" s="144"/>
      <c r="J32" s="175">
        <f>H32/DAY(B2)</f>
        <v>-30782.432076923084</v>
      </c>
      <c r="K32" s="63"/>
      <c r="L32" s="89"/>
      <c r="N32" s="87"/>
      <c r="O32" s="71"/>
    </row>
    <row r="33" spans="1:15" ht="25.5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161801.02000000002</v>
      </c>
      <c r="I35" s="95"/>
      <c r="J35" s="175">
        <f>H35/DAY(B2)</f>
        <v>6223.1161538461547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-3575.739999999998</v>
      </c>
      <c r="I36" s="95"/>
      <c r="J36" s="175">
        <f>H36/DAY(B2)</f>
        <v>-137.52846153846147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199694.91000000003</v>
      </c>
      <c r="I37" s="95"/>
      <c r="J37" s="175">
        <f>H37/DAY(B2)</f>
        <v>7680.5734615384627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237130.57</v>
      </c>
      <c r="I38" s="95"/>
      <c r="J38" s="175">
        <f>H38/DAY(B2)</f>
        <v>9120.4065384615387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419673.70999999996</v>
      </c>
      <c r="I39" s="95"/>
      <c r="J39" s="175">
        <f>H39/DAY(B2)</f>
        <v>16141.296538461536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-4647.9900000000016</v>
      </c>
      <c r="I40" s="95"/>
      <c r="J40" s="175">
        <f>H40/DAY(B2)</f>
        <v>-178.76884615384623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-62.73</v>
      </c>
      <c r="I41" s="95"/>
      <c r="J41" s="175">
        <f>H41/DAY(B2)</f>
        <v>-2.4126923076923075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-19844.740000000005</v>
      </c>
      <c r="I42" s="95"/>
      <c r="J42" s="175">
        <f>H42/DAY(B2)</f>
        <v>-763.25923076923095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-9778.6000000000058</v>
      </c>
      <c r="I43" s="95"/>
      <c r="J43" s="175">
        <f>H43/DAY(B2)</f>
        <v>-376.10000000000025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980390.41000000027</v>
      </c>
      <c r="I47" s="95"/>
      <c r="J47" s="175">
        <f>H47/DAY(B2)</f>
        <v>37707.323461538472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281042.81</v>
      </c>
      <c r="I49" s="95"/>
      <c r="J49" s="175">
        <f>H49/DAY(B2)</f>
        <v>10809.338846153845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-5117.6299999999974</v>
      </c>
      <c r="I50" s="95"/>
      <c r="J50" s="175">
        <f>H50/DAY(B2)</f>
        <v>-196.83192307692298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1752.58</v>
      </c>
      <c r="I54" s="95"/>
      <c r="J54" s="175">
        <f>H54/DAY(B2)</f>
        <v>67.406923076923078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-0.11000000000058208</v>
      </c>
      <c r="I55" s="95"/>
      <c r="J55" s="175">
        <f>H55/DAY(B2)</f>
        <v>-4.2307692307916181E-3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-999.21</v>
      </c>
      <c r="I58" s="95"/>
      <c r="J58" s="175">
        <f>H58/DAY(B2)</f>
        <v>-38.431153846153848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276678.44</v>
      </c>
      <c r="I59" s="95">
        <f>G7-G60</f>
        <v>611</v>
      </c>
      <c r="J59" s="175">
        <f>H59/DAY(B2)</f>
        <v>10641.478461538461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1257068.8500000003</v>
      </c>
      <c r="I60" s="95">
        <f>G13-G60</f>
        <v>303</v>
      </c>
      <c r="J60" s="175">
        <f>H60/DAY(B2)</f>
        <v>48348.801923076935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-509</v>
      </c>
      <c r="I62" s="118"/>
      <c r="J62" s="175">
        <f>H62/DAY(B2)</f>
        <v>-19.576923076923077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-668</v>
      </c>
      <c r="I63" s="118"/>
      <c r="J63" s="175">
        <f>H63/DAY(B2)</f>
        <v>-25.692307692307693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'25'!F64</f>
        <v>0</v>
      </c>
      <c r="F64" s="122"/>
      <c r="G64" s="112">
        <f>G62+G63</f>
        <v>220</v>
      </c>
      <c r="H64" s="99">
        <f>G64+'25'!H64</f>
        <v>-1177</v>
      </c>
      <c r="I64" s="118"/>
      <c r="J64" s="175">
        <f>H64/DAY(B2)</f>
        <v>-45.269230769230766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-424</v>
      </c>
      <c r="I65" s="118"/>
      <c r="J65" s="175">
        <f>H65/DAY(B2)</f>
        <v>-16.307692307692307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-106</v>
      </c>
      <c r="I66" s="118"/>
      <c r="J66" s="175">
        <f>H66/DAY(B2)</f>
        <v>-4.0769230769230766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-122</v>
      </c>
      <c r="I67" s="118"/>
      <c r="J67" s="175">
        <f>H67/DAY(B2)</f>
        <v>-4.6923076923076925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-227</v>
      </c>
      <c r="I68" s="118"/>
      <c r="J68" s="175">
        <f>H68/DAY(B2)</f>
        <v>-8.7307692307692299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-39</v>
      </c>
      <c r="I69" s="118"/>
      <c r="J69" s="175">
        <f>H69/DAY(B2)</f>
        <v>-1.5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-65</v>
      </c>
      <c r="I70" s="118"/>
      <c r="J70" s="175">
        <f>H70/DAY(B2)</f>
        <v>-2.5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200</v>
      </c>
      <c r="H71" s="99">
        <f>G71+'25'!H71</f>
        <v>-983</v>
      </c>
      <c r="I71" s="154"/>
      <c r="J71" s="175">
        <f>H71/DAY(B2)</f>
        <v>-37.807692307692307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-1550.1489999999758</v>
      </c>
      <c r="I74" s="154"/>
      <c r="J74" s="175">
        <f>H74/DAY(B2)</f>
        <v>-59.621115384614455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-450</v>
      </c>
      <c r="I76" s="154"/>
      <c r="J76" s="175">
        <f>H76/DAY(B2)</f>
        <v>-17.307692307692307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-186.19999999999709</v>
      </c>
      <c r="I77" s="154"/>
      <c r="J77" s="175">
        <f>H77/DAY(B2)</f>
        <v>-7.1615384615383499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-7</v>
      </c>
      <c r="I78" s="118"/>
      <c r="J78" s="175">
        <f>H78/DAY(B2)</f>
        <v>-0.26923076923076922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-2578.4180000000197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-118.42000000000007</v>
      </c>
      <c r="I85" s="118">
        <f>G82+G83+G84+G85</f>
        <v>24</v>
      </c>
      <c r="J85" s="175">
        <f>H85/DAY(B2)</f>
        <v>-4.5546153846153876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5.0000000002910383E-2</v>
      </c>
      <c r="I87" s="118"/>
      <c r="J87" s="175">
        <f>H87/DAY(B2)</f>
        <v>1.923076923188861E-3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-0.43000000000029104</v>
      </c>
      <c r="I88" s="118">
        <f>G86+G87+G88</f>
        <v>0</v>
      </c>
      <c r="J88" s="175">
        <f>H88/DAY(B2)</f>
        <v>-1.6538461538472733E-2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-48.119999999998981</v>
      </c>
      <c r="I89" s="118"/>
      <c r="J89" s="175">
        <f>H89/DAY(B2)</f>
        <v>-1.8507692307691916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-10.320000000006985</v>
      </c>
      <c r="I90" s="118">
        <f>G89+G90</f>
        <v>12.020000000000437</v>
      </c>
      <c r="J90" s="175">
        <f>H90/DAY(B2)</f>
        <v>-0.39692307692334555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-25.090000000000146</v>
      </c>
      <c r="I91" s="165"/>
      <c r="J91" s="175">
        <f>H91/DAY(B2)</f>
        <v>-0.96500000000000563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-31.069999999999709</v>
      </c>
      <c r="I92" s="165"/>
      <c r="J92" s="175">
        <f>H92/DAY(B2)</f>
        <v>-1.1949999999999887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4027</v>
      </c>
      <c r="H94" s="99">
        <f>G94+'25'!H94</f>
        <v>433065.22999999986</v>
      </c>
      <c r="I94" s="118"/>
      <c r="J94" s="175">
        <f>H94/DAY(B2)</f>
        <v>16656.354999999996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0.24474291965479519</v>
      </c>
      <c r="H95" s="99">
        <f>G95+'25'!H95</f>
        <v>6.0837369294659958</v>
      </c>
      <c r="I95" s="167"/>
      <c r="J95" s="175">
        <f>H95/DAY(B2)</f>
        <v>0.2339898819025383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3448</v>
      </c>
      <c r="H96" s="99">
        <f>G96+'25'!H96</f>
        <v>-19907.580000000024</v>
      </c>
      <c r="I96" s="118"/>
      <c r="J96" s="175">
        <f>H96/DAY(B2)</f>
        <v>-765.67615384615476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0.2095539078643491</v>
      </c>
      <c r="H97" s="99">
        <f>G97+'25'!H97</f>
        <v>4.5011813488361776</v>
      </c>
      <c r="I97" s="167"/>
      <c r="J97" s="175">
        <f>H97/DAY(B2)</f>
        <v>0.17312235957062222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2557</v>
      </c>
      <c r="H98" s="99">
        <f>G98+'25'!H98</f>
        <v>419673.70999999996</v>
      </c>
      <c r="I98" s="168"/>
      <c r="J98" s="175">
        <f>H98/DAY(B2)</f>
        <v>16141.296538461536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0.15540294153397349</v>
      </c>
      <c r="H99" s="99">
        <f>G99+'25'!H99</f>
        <v>2.9945893287343295</v>
      </c>
      <c r="I99" s="168"/>
      <c r="J99" s="175">
        <f>H99/DAY(B2)</f>
        <v>0.11517651264362806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1746</v>
      </c>
      <c r="H100" s="99">
        <f>G100+'25'!H100</f>
        <v>237130.57</v>
      </c>
      <c r="I100" s="118"/>
      <c r="J100" s="175">
        <f>H100/DAY(B2)</f>
        <v>9120.4065384615387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2.0213803068038603</v>
      </c>
      <c r="I101" s="168"/>
      <c r="J101" s="175">
        <f>H101/DAY(B2)</f>
        <v>7.7745396415533088E-2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1652</v>
      </c>
      <c r="H102" s="99">
        <f>G102+'25'!H102</f>
        <v>-8693.3699999999953</v>
      </c>
      <c r="I102" s="168"/>
      <c r="J102" s="175">
        <f>H102/DAY(B2)</f>
        <v>-334.36038461538442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2.5926834321871972</v>
      </c>
      <c r="I103" s="118"/>
      <c r="J103" s="175">
        <f>H103/DAY(B2)</f>
        <v>9.9718593545661427E-2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1519</v>
      </c>
      <c r="H104" s="99">
        <f>G104+'25'!H104</f>
        <v>199694.91000000003</v>
      </c>
      <c r="I104" s="118"/>
      <c r="J104" s="175">
        <f>H104/DAY(B2)</f>
        <v>7680.5734615384627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1.8747784909449874</v>
      </c>
      <c r="I105" s="187"/>
      <c r="J105" s="188">
        <f>H105/DAY(B2)</f>
        <v>7.2106865036345669E-2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-382</v>
      </c>
      <c r="I112" s="165"/>
      <c r="J112" s="328">
        <f>H112/DAY(B2)</f>
        <v>-14.692307692307692</v>
      </c>
    </row>
    <row r="113" spans="1:18" ht="27.75">
      <c r="A113" s="863" t="s">
        <v>253</v>
      </c>
      <c r="B113" s="864"/>
      <c r="C113" s="865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-2302.8899999999994</v>
      </c>
      <c r="I113" s="165"/>
      <c r="J113" s="328">
        <f>H113/DAY(B2)</f>
        <v>-88.572692307692279</v>
      </c>
    </row>
    <row r="114" spans="1:18" ht="27.75">
      <c r="A114" s="863" t="s">
        <v>254</v>
      </c>
      <c r="B114" s="864"/>
      <c r="C114" s="865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-1420.6000000000004</v>
      </c>
      <c r="I114" s="165"/>
      <c r="J114" s="328">
        <f>H114/DAY(B2)</f>
        <v>-54.638461538461556</v>
      </c>
    </row>
    <row r="115" spans="1:18" ht="27.75">
      <c r="A115" s="863" t="s">
        <v>255</v>
      </c>
      <c r="B115" s="864"/>
      <c r="C115" s="865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-47.649999999999636</v>
      </c>
      <c r="I115" s="165"/>
      <c r="J115" s="328">
        <f>H115/DAY(B2)</f>
        <v>-1.8326923076922936</v>
      </c>
    </row>
    <row r="116" spans="1:18" ht="27.75">
      <c r="A116" s="870" t="s">
        <v>96</v>
      </c>
      <c r="B116" s="871"/>
      <c r="C116" s="872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>
      <c r="A117" s="870" t="s">
        <v>184</v>
      </c>
      <c r="B117" s="871"/>
      <c r="C117" s="872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-126.94999999999982</v>
      </c>
      <c r="I117" s="165"/>
      <c r="J117" s="328">
        <f>H117/DAY(B2)</f>
        <v>-4.8826923076923006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-1670.3099999999977</v>
      </c>
      <c r="I118" s="165"/>
      <c r="J118" s="328">
        <f>H118/DAY(B2)</f>
        <v>-64.242692307692224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-2070.5499999999884</v>
      </c>
      <c r="I119" s="165"/>
      <c r="J119" s="328">
        <f>H119/DAY(B2)</f>
        <v>-79.636538461538009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-2084.6100000000006</v>
      </c>
      <c r="I120" s="165"/>
      <c r="J120" s="328">
        <f>H120/DAY(B2)</f>
        <v>-80.177307692307721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-3433.429999999993</v>
      </c>
      <c r="I121" s="165"/>
      <c r="J121" s="328">
        <f>H121/DAY(B2)</f>
        <v>-132.05499999999972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-997.17999999999302</v>
      </c>
      <c r="I122" s="165"/>
      <c r="J122" s="328">
        <f>H122/DAY(B2)</f>
        <v>-38.353076923076657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-1386.9500000000116</v>
      </c>
      <c r="I123" s="165"/>
      <c r="J123" s="328">
        <f>H123/DAY(B2)</f>
        <v>-53.344230769231217</v>
      </c>
    </row>
    <row r="124" spans="1:18" ht="27.75">
      <c r="A124" s="867"/>
      <c r="B124" s="868"/>
      <c r="C124" s="86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>
      <c r="A128" s="863" t="s">
        <v>318</v>
      </c>
      <c r="B128" s="864"/>
      <c r="C128" s="865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-1502</v>
      </c>
      <c r="I128" s="165"/>
      <c r="J128" s="328">
        <f>H128/DAY(B2)</f>
        <v>-57.769230769230766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-953.86999999999898</v>
      </c>
      <c r="I129" s="165"/>
      <c r="J129" s="328">
        <f>H129/DAY(B2)</f>
        <v>-36.687307692307655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-2334</v>
      </c>
      <c r="I130" s="165"/>
      <c r="J130" s="328">
        <f>H130/DAY(B2)</f>
        <v>-89.769230769230774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-287.68000000000029</v>
      </c>
      <c r="I131" s="165"/>
      <c r="J131" s="328">
        <f>H131/DAY(B2)</f>
        <v>-11.064615384615395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-803.30000000000291</v>
      </c>
      <c r="I132" s="165"/>
      <c r="J132" s="328">
        <f>H132/DAY(B2)</f>
        <v>-30.896153846153958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-2203.6999999999971</v>
      </c>
      <c r="I133" s="165"/>
      <c r="J133" s="328">
        <f>H133/DAY(B2)</f>
        <v>-84.757692307692196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670444.77</v>
      </c>
      <c r="I134" s="165"/>
      <c r="J134" s="328">
        <f>H134/DAY(B2)</f>
        <v>25786.337307692309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1909</v>
      </c>
      <c r="H135" s="99">
        <f>G135+'23'!H135</f>
        <v>631283.39</v>
      </c>
      <c r="I135" s="327">
        <f>G135-(G35+G49)</f>
        <v>-170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-282</v>
      </c>
      <c r="I138" s="118"/>
      <c r="J138" s="328">
        <f>H138/DAY(B2)</f>
        <v>-10.846153846153847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-4</v>
      </c>
      <c r="I139" s="118"/>
      <c r="J139" s="328">
        <f>H139/DAY(B2)</f>
        <v>-0.15384615384615385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-848.58000000000175</v>
      </c>
      <c r="I141" s="118"/>
      <c r="J141" s="328">
        <f>H141/DAY(B2)</f>
        <v>-32.637692307692376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-382.09999999999854</v>
      </c>
      <c r="I142" s="140"/>
      <c r="J142" s="328">
        <f>H142/DAY(B2)</f>
        <v>-14.69615384615379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-124.38999999999987</v>
      </c>
      <c r="I143" s="140"/>
      <c r="J143" s="328">
        <f>H143/DAY(B2)</f>
        <v>-4.7842307692307644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-1010</v>
      </c>
      <c r="I144" s="140"/>
      <c r="J144" s="328">
        <f>H144/DAY(B2)</f>
        <v>-38.846153846153847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-37.840000000000146</v>
      </c>
      <c r="I145" s="140"/>
      <c r="J145" s="328">
        <f>H145/DAY(B2)</f>
        <v>-1.455384615384621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-2046</v>
      </c>
      <c r="I146" s="140"/>
      <c r="J146" s="328">
        <f>H146/DAY(B2)</f>
        <v>-78.692307692307693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-1779.5200000000186</v>
      </c>
      <c r="I147" s="140"/>
      <c r="J147" s="328">
        <f>H147/DAY(B2)</f>
        <v>-68.443076923077641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-972.95999999996275</v>
      </c>
      <c r="I148" s="124"/>
      <c r="J148" s="328">
        <f>H148/DAY(B2)</f>
        <v>-37.421538461537025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-2410.2000000000007</v>
      </c>
      <c r="I149" s="119"/>
      <c r="J149" s="328">
        <f>H149/DAY(B2)</f>
        <v>-92.700000000000031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-1068.83</v>
      </c>
      <c r="I150" s="119"/>
      <c r="J150" s="328">
        <f>H150/DAY(B2)</f>
        <v>-41.108846153846152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-1296</v>
      </c>
      <c r="I151" s="119"/>
      <c r="J151" s="328">
        <f>H151/DAY(B2)</f>
        <v>-49.846153846153847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-87</v>
      </c>
      <c r="I152" s="119"/>
      <c r="J152" s="328">
        <f>H152/DAY(B2)</f>
        <v>-3.3461538461538463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'25'!F155</f>
        <v>28381</v>
      </c>
      <c r="F155" s="592">
        <v>28985</v>
      </c>
      <c r="G155" s="112">
        <f t="shared" ref="G155:G158" si="12">F155-E155</f>
        <v>604</v>
      </c>
      <c r="H155" s="99">
        <f>G155+'25'!H155</f>
        <v>-3960</v>
      </c>
      <c r="I155" s="364"/>
      <c r="J155" s="328">
        <f>H155/DAY(B2)</f>
        <v>-152.30769230769232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-328</v>
      </c>
      <c r="I156" s="165"/>
      <c r="J156" s="328">
        <f>H156/DAY(B2)</f>
        <v>-12.615384615384615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-144.55999999999767</v>
      </c>
      <c r="I161" s="236"/>
      <c r="J161" s="239">
        <f>H161/DAY(B2)</f>
        <v>-5.5599999999999108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-157.39999999999418</v>
      </c>
      <c r="I162" s="236"/>
      <c r="J162" s="239">
        <f>H162/DAY(B2)</f>
        <v>-6.0538461538459298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-223.10000000000582</v>
      </c>
      <c r="I163" s="236"/>
      <c r="J163" s="239">
        <f>H163/DAY(B2)</f>
        <v>-8.5807692307694552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-11</v>
      </c>
      <c r="I164" s="236"/>
      <c r="J164" s="239">
        <f>H164/DAY(B2)</f>
        <v>-0.42307692307692307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-46.25</v>
      </c>
      <c r="I165" s="236"/>
      <c r="J165" s="239">
        <f>H165/DAY(B2)</f>
        <v>-1.7788461538461537</v>
      </c>
    </row>
    <row r="166" spans="1:10" ht="29.25">
      <c r="A166" s="852"/>
      <c r="B166" s="85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-67</v>
      </c>
      <c r="I174" s="155"/>
      <c r="J174" s="178">
        <f>H174/DAY(B2)</f>
        <v>-2.5769230769230771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-50</v>
      </c>
      <c r="I175" s="155"/>
      <c r="J175" s="178">
        <f>H175/DAY(B2)</f>
        <v>-1.9230769230769231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G176+'25'!H176</f>
        <v>-117</v>
      </c>
      <c r="I176" s="155"/>
      <c r="J176" s="178">
        <f>H176/DAY(B2)</f>
        <v>-4.5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-303</v>
      </c>
      <c r="I178" s="155"/>
      <c r="J178" s="178">
        <f>H178/DAY(B2)</f>
        <v>-11.653846153846153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-223</v>
      </c>
      <c r="I179" s="155"/>
      <c r="J179" s="178">
        <f>H179/DAY(B2)</f>
        <v>-8.5769230769230766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-44</v>
      </c>
      <c r="I180" s="155"/>
      <c r="J180" s="178">
        <f>H180/DAY(B2)</f>
        <v>-1.6923076923076923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103</v>
      </c>
      <c r="H181" s="99">
        <f>G181+'25'!H181</f>
        <v>-570</v>
      </c>
      <c r="I181" s="155"/>
      <c r="J181" s="178">
        <f>H181/DAY(B2)</f>
        <v>-21.923076923076923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-49</v>
      </c>
      <c r="I183" s="155"/>
      <c r="J183" s="178">
        <f>H183/DAY(B2)</f>
        <v>-1.8846153846153846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-57</v>
      </c>
      <c r="I184" s="155"/>
      <c r="J184" s="178">
        <f>H184/DAY(B2)</f>
        <v>-2.1923076923076925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17</v>
      </c>
      <c r="H186" s="99">
        <f>G186+'25'!H186</f>
        <v>-106</v>
      </c>
      <c r="I186" s="157"/>
      <c r="J186" s="178">
        <f>H186/DAY(B2)</f>
        <v>-4.0769230769230766</v>
      </c>
    </row>
    <row r="187" spans="1:10" ht="27.75">
      <c r="A187" s="849" t="s">
        <v>217</v>
      </c>
      <c r="B187" s="850"/>
      <c r="C187" s="333"/>
      <c r="D187" s="228" t="s">
        <v>142</v>
      </c>
      <c r="E187" s="95">
        <f>'25'!F187</f>
        <v>0</v>
      </c>
      <c r="F187" s="159"/>
      <c r="G187" s="460">
        <f>G62+G19</f>
        <v>148</v>
      </c>
      <c r="H187" s="99">
        <f>G187+'25'!H187</f>
        <v>-782</v>
      </c>
      <c r="I187" s="158"/>
      <c r="J187" s="179">
        <f>H187/DAY(B2)</f>
        <v>-30.076923076923077</v>
      </c>
    </row>
    <row r="188" spans="1:10" ht="27.75">
      <c r="A188" s="849" t="s">
        <v>218</v>
      </c>
      <c r="B188" s="850"/>
      <c r="C188" s="333"/>
      <c r="D188" s="228" t="s">
        <v>142</v>
      </c>
      <c r="E188" s="95">
        <f>'25'!F188</f>
        <v>0</v>
      </c>
      <c r="F188" s="159"/>
      <c r="G188" s="460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>
      <c r="A189" s="849" t="s">
        <v>219</v>
      </c>
      <c r="B189" s="850"/>
      <c r="C189" s="333"/>
      <c r="D189" s="228" t="s">
        <v>142</v>
      </c>
      <c r="E189" s="95">
        <f>'25'!F189</f>
        <v>0</v>
      </c>
      <c r="F189" s="157"/>
      <c r="G189" s="457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R1701"/>
  <sheetViews>
    <sheetView view="pageBreakPreview" zoomScale="55" zoomScaleSheetLayoutView="55" workbookViewId="0">
      <selection activeCell="G188" sqref="G18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22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-69709.229999999981</v>
      </c>
      <c r="I7" s="113">
        <f>'1'!I7</f>
        <v>12000</v>
      </c>
      <c r="J7" s="175">
        <f>H7/DAY(B2)</f>
        <v>-2581.8233333333328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-70737.150000000023</v>
      </c>
      <c r="I8" s="116"/>
      <c r="J8" s="175">
        <f>H8/DAY(B2)</f>
        <v>-2619.8944444444455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>
      <c r="A9" s="199" t="s">
        <v>132</v>
      </c>
      <c r="B9" s="200"/>
      <c r="C9" s="200"/>
      <c r="D9" s="151" t="s">
        <v>130</v>
      </c>
      <c r="E9" s="95">
        <f>'26'!F9</f>
        <v>207852</v>
      </c>
      <c r="F9" s="598">
        <v>222801</v>
      </c>
      <c r="G9" s="112">
        <f>F9-E9</f>
        <v>14949</v>
      </c>
      <c r="H9" s="99">
        <f>G9+'26'!H9</f>
        <v>2297828.15</v>
      </c>
      <c r="I9" s="124">
        <f>I7-J7</f>
        <v>14581.823333333334</v>
      </c>
      <c r="J9" s="175">
        <f>H9/DAY(B2)</f>
        <v>85104.746296296289</v>
      </c>
      <c r="K9" s="79">
        <f>K8-100</f>
        <v>1715817</v>
      </c>
      <c r="L9" s="66"/>
      <c r="N9" s="87"/>
      <c r="O9" s="71">
        <f>G8-G7</f>
        <v>93</v>
      </c>
    </row>
    <row r="10" spans="1:15" ht="29.25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587510.03</v>
      </c>
      <c r="I10" s="282"/>
      <c r="J10" s="175">
        <f>H10/DAY(B2)</f>
        <v>21759.63074074074</v>
      </c>
      <c r="K10" s="79"/>
      <c r="L10" s="66"/>
      <c r="N10" s="87"/>
      <c r="O10" s="71"/>
    </row>
    <row r="11" spans="1:15" ht="29.25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2868583.75</v>
      </c>
      <c r="I13" s="120">
        <f>G7-G13</f>
        <v>703</v>
      </c>
      <c r="J13" s="175">
        <f>H13/DAY(B2)</f>
        <v>106243.8425925926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-3817.7669999999925</v>
      </c>
      <c r="I15" s="113">
        <f>'1'!I15</f>
        <v>800</v>
      </c>
      <c r="J15" s="175">
        <f>H15/DAY(B2)</f>
        <v>-141.3987777777775</v>
      </c>
      <c r="K15" s="79"/>
      <c r="L15" s="66"/>
      <c r="N15" s="87"/>
      <c r="O15" s="71"/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941.39877777777747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3570</v>
      </c>
      <c r="I18" s="113">
        <f>'1'!I18</f>
        <v>65</v>
      </c>
      <c r="J18" s="175">
        <f>H18/DAY(B2)</f>
        <v>132.22222222222223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-216</v>
      </c>
      <c r="I19" s="335"/>
      <c r="J19" s="175">
        <f>H19/DAY(B2)</f>
        <v>-8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3354</v>
      </c>
      <c r="I20" s="336">
        <f>I18-J20</f>
        <v>-59.222222222222229</v>
      </c>
      <c r="J20" s="175">
        <f>H20/DAY(B2)</f>
        <v>124.22222222222223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-636634.35000000056</v>
      </c>
      <c r="I27" s="138"/>
      <c r="J27" s="175">
        <f>H27/DAY(B2)</f>
        <v>-23579.050000000021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-198523.88399999961</v>
      </c>
      <c r="I28" s="140"/>
      <c r="J28" s="175">
        <f>H28/DAY(B2)</f>
        <v>-7352.7364444444302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-31536</v>
      </c>
      <c r="I30" s="140"/>
      <c r="J30" s="175">
        <f>H30/DAY(B2)</f>
        <v>-1168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285600</v>
      </c>
      <c r="I31" s="140"/>
      <c r="J31" s="175">
        <f>H31/DAY(B2)</f>
        <v>10577.777777777777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-573504.23400000017</v>
      </c>
      <c r="I32" s="144"/>
      <c r="J32" s="175">
        <f>H32/DAY(B2)</f>
        <v>-21240.897555555563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163075.02000000002</v>
      </c>
      <c r="I35" s="95"/>
      <c r="J35" s="175">
        <f>H35/DAY(B2)</f>
        <v>6039.8155555555559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-2868.739999999998</v>
      </c>
      <c r="I36" s="95"/>
      <c r="J36" s="175">
        <f>H36/DAY(B2)</f>
        <v>-106.24962962962955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201276.91000000003</v>
      </c>
      <c r="I37" s="95"/>
      <c r="J37" s="175">
        <f>H37/DAY(B2)</f>
        <v>7454.7003703703713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238922.57</v>
      </c>
      <c r="I38" s="95"/>
      <c r="J38" s="175">
        <f>H38/DAY(B2)</f>
        <v>8848.9840740740747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422285.70999999996</v>
      </c>
      <c r="I39" s="95"/>
      <c r="J39" s="175">
        <f>H39/DAY(B2)</f>
        <v>15640.211481481479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-3833.9900000000016</v>
      </c>
      <c r="I40" s="95"/>
      <c r="J40" s="175">
        <f>H40/DAY(B2)</f>
        <v>-141.99962962962968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-62.73</v>
      </c>
      <c r="I41" s="95"/>
      <c r="J41" s="175">
        <f>H41/DAY(B2)</f>
        <v>-2.3233333333333333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-15910.740000000005</v>
      </c>
      <c r="I42" s="95"/>
      <c r="J42" s="175">
        <f>H42/DAY(B2)</f>
        <v>-589.28666666666686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-7809.6000000000058</v>
      </c>
      <c r="I43" s="95"/>
      <c r="J43" s="175">
        <f>H43/DAY(B2)</f>
        <v>-289.24444444444464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995074.41000000027</v>
      </c>
      <c r="I47" s="95"/>
      <c r="J47" s="175">
        <f>H47/DAY(B2)</f>
        <v>36854.60777777779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281879.81</v>
      </c>
      <c r="I49" s="95"/>
      <c r="J49" s="175">
        <f>H49/DAY(B2)</f>
        <v>10439.992962962962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-4140.6299999999974</v>
      </c>
      <c r="I50" s="95"/>
      <c r="J50" s="175">
        <f>H50/DAY(B2)</f>
        <v>-153.35666666666657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1752.58</v>
      </c>
      <c r="I54" s="95"/>
      <c r="J54" s="175">
        <f>H54/DAY(B2)</f>
        <v>64.910370370370373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-0.11000000000058208</v>
      </c>
      <c r="I55" s="95"/>
      <c r="J55" s="175">
        <f>H55/DAY(B2)</f>
        <v>-4.0740740740956329E-3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-801.21</v>
      </c>
      <c r="I58" s="95"/>
      <c r="J58" s="175">
        <f>H58/DAY(B2)</f>
        <v>-29.674444444444447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278690.44</v>
      </c>
      <c r="I59" s="95">
        <f>G7-G60</f>
        <v>912</v>
      </c>
      <c r="J59" s="175">
        <f>H59/DAY(B2)</f>
        <v>10321.868148148149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1273764.8500000003</v>
      </c>
      <c r="I60" s="95">
        <f>G13-G60</f>
        <v>209</v>
      </c>
      <c r="J60" s="175">
        <f>H60/DAY(B2)</f>
        <v>47176.475925925937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-389</v>
      </c>
      <c r="I62" s="118"/>
      <c r="J62" s="175">
        <f>H62/DAY(B2)</f>
        <v>-14.407407407407407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-518</v>
      </c>
      <c r="I63" s="118"/>
      <c r="J63" s="175">
        <f>H63/DAY(B2)</f>
        <v>-19.185185185185187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'26'!F64</f>
        <v>0</v>
      </c>
      <c r="F64" s="122"/>
      <c r="G64" s="112">
        <f>G62+G63</f>
        <v>270</v>
      </c>
      <c r="H64" s="99">
        <f>G64+'26'!H64</f>
        <v>-907</v>
      </c>
      <c r="I64" s="118"/>
      <c r="J64" s="175">
        <f>H64/DAY(B2)</f>
        <v>-33.592592592592595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-327</v>
      </c>
      <c r="I65" s="118"/>
      <c r="J65" s="175">
        <f>H65/DAY(B2)</f>
        <v>-12.111111111111111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-81</v>
      </c>
      <c r="I66" s="118"/>
      <c r="J66" s="175">
        <f>H66/DAY(B2)</f>
        <v>-3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-100</v>
      </c>
      <c r="I67" s="118"/>
      <c r="J67" s="175">
        <f>H67/DAY(B2)</f>
        <v>-3.7037037037037037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-170</v>
      </c>
      <c r="I68" s="118"/>
      <c r="J68" s="175">
        <f>H68/DAY(B2)</f>
        <v>-6.2962962962962967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-30</v>
      </c>
      <c r="I69" s="118"/>
      <c r="J69" s="175">
        <f>H69/DAY(B2)</f>
        <v>-1.1111111111111112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-54</v>
      </c>
      <c r="I70" s="118"/>
      <c r="J70" s="175">
        <f>H70/DAY(B2)</f>
        <v>-2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221</v>
      </c>
      <c r="H71" s="99">
        <f>G71+'26'!H71</f>
        <v>-762</v>
      </c>
      <c r="I71" s="154"/>
      <c r="J71" s="175">
        <f>H71/DAY(B2)</f>
        <v>-28.222222222222221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-1257.1489999999758</v>
      </c>
      <c r="I74" s="154"/>
      <c r="J74" s="175">
        <f>H74/DAY(B2)</f>
        <v>-46.561074074073176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-351</v>
      </c>
      <c r="I76" s="154"/>
      <c r="J76" s="175">
        <f>H76/DAY(B2)</f>
        <v>-13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-159.19999999999709</v>
      </c>
      <c r="I77" s="154"/>
      <c r="J77" s="175">
        <f>H77/DAY(B2)</f>
        <v>-5.8962962962961889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-6</v>
      </c>
      <c r="I78" s="118"/>
      <c r="J78" s="175">
        <f>H78/DAY(B2)</f>
        <v>-0.22222222222222221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-2044.4180000000197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-94.420000000000073</v>
      </c>
      <c r="I85" s="118">
        <f>G82+G83+G84+G85</f>
        <v>24</v>
      </c>
      <c r="J85" s="175">
        <f>H85/DAY(B2)</f>
        <v>-3.4970370370370398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5.0000000002910383E-2</v>
      </c>
      <c r="I87" s="118"/>
      <c r="J87" s="175">
        <f>H87/DAY(B2)</f>
        <v>1.8518518519596437E-3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-0.43000000000029104</v>
      </c>
      <c r="I88" s="118">
        <f>G86+G87+G88</f>
        <v>0</v>
      </c>
      <c r="J88" s="175">
        <f>H88/DAY(B2)</f>
        <v>-1.5925925925936706E-2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-38.119999999998981</v>
      </c>
      <c r="I89" s="118"/>
      <c r="J89" s="175">
        <f>H89/DAY(B2)</f>
        <v>-1.4118518518518142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-25.090000000000146</v>
      </c>
      <c r="I91" s="165"/>
      <c r="J91" s="175">
        <f>H91/DAY(B2)</f>
        <v>-0.92925925925926467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-20.069999999999709</v>
      </c>
      <c r="I92" s="165"/>
      <c r="J92" s="175">
        <f>H92/DAY(B2)</f>
        <v>-0.74333333333332252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4080</v>
      </c>
      <c r="H94" s="99">
        <f>G94+'26'!H94</f>
        <v>437145.22999999986</v>
      </c>
      <c r="I94" s="118"/>
      <c r="J94" s="175">
        <f>H94/DAY(B2)</f>
        <v>16190.564074074069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0.23171285779191278</v>
      </c>
      <c r="H95" s="99">
        <f>G95+'26'!H95</f>
        <v>6.3154497872579087</v>
      </c>
      <c r="I95" s="167"/>
      <c r="J95" s="175">
        <f>H95/DAY(B2)</f>
        <v>0.23390554767621885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3934</v>
      </c>
      <c r="H96" s="99">
        <f>G96+'26'!H96</f>
        <v>-15973.580000000024</v>
      </c>
      <c r="I96" s="118"/>
      <c r="J96" s="175">
        <f>H96/DAY(B2)</f>
        <v>-591.61407407407489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0.22342117219445706</v>
      </c>
      <c r="H97" s="99">
        <f>G97+'26'!H97</f>
        <v>4.7246025210306346</v>
      </c>
      <c r="I97" s="167"/>
      <c r="J97" s="175">
        <f>H97/DAY(B2)</f>
        <v>0.17498527855669016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2612</v>
      </c>
      <c r="H98" s="99">
        <f>G98+'26'!H98</f>
        <v>422285.70999999996</v>
      </c>
      <c r="I98" s="168"/>
      <c r="J98" s="175">
        <f>H98/DAY(B2)</f>
        <v>15640.211481481479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0.14834166288050887</v>
      </c>
      <c r="H99" s="99">
        <f>G99+'26'!H99</f>
        <v>3.1429309916148385</v>
      </c>
      <c r="I99" s="168"/>
      <c r="J99" s="175">
        <f>H99/DAY(B2)</f>
        <v>0.11640485154129031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1792</v>
      </c>
      <c r="H100" s="99">
        <f>G100+'26'!H100</f>
        <v>238922.57</v>
      </c>
      <c r="I100" s="118"/>
      <c r="J100" s="175">
        <f>H100/DAY(B2)</f>
        <v>8848.9840740740747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2.1231522286575633</v>
      </c>
      <c r="I101" s="168"/>
      <c r="J101" s="175">
        <f>H101/DAY(B2)</f>
        <v>7.86352677280579E-2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1684</v>
      </c>
      <c r="H102" s="99">
        <f>G102+'26'!H102</f>
        <v>-7009.3699999999953</v>
      </c>
      <c r="I102" s="168"/>
      <c r="J102" s="175">
        <f>H102/DAY(B2)</f>
        <v>-259.60629629629614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2.6883217783934672</v>
      </c>
      <c r="I103" s="118"/>
      <c r="J103" s="175">
        <f>H103/DAY(B2)</f>
        <v>9.9567473273832113E-2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1582</v>
      </c>
      <c r="H104" s="99">
        <f>G104+'26'!H104</f>
        <v>201276.91000000003</v>
      </c>
      <c r="I104" s="118"/>
      <c r="J104" s="175">
        <f>H104/DAY(B2)</f>
        <v>7454.7003703703713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1.9646240157064594</v>
      </c>
      <c r="I105" s="187"/>
      <c r="J105" s="188">
        <f>H105/DAY(B2)</f>
        <v>7.2763852433572571E-2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-309</v>
      </c>
      <c r="I112" s="165"/>
      <c r="J112" s="328">
        <f>H112/DAY(B2)</f>
        <v>-11.444444444444445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-1864.8899999999994</v>
      </c>
      <c r="I113" s="165"/>
      <c r="J113" s="328">
        <f>H113/DAY(B2)</f>
        <v>-69.069999999999979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-1169.6000000000004</v>
      </c>
      <c r="I114" s="165"/>
      <c r="J114" s="328">
        <f>H114/DAY(B2)</f>
        <v>-43.31851851851853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-39.649999999999636</v>
      </c>
      <c r="I115" s="165"/>
      <c r="J115" s="328">
        <f>H115/DAY(B2)</f>
        <v>-1.468518518518505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-107.94999999999982</v>
      </c>
      <c r="I117" s="165"/>
      <c r="J117" s="328">
        <f>H117/DAY(B2)</f>
        <v>-3.9981481481481413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-1315.3099999999977</v>
      </c>
      <c r="I118" s="165"/>
      <c r="J118" s="328">
        <f>H118/DAY(B2)</f>
        <v>-48.715185185185099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-1684.5499999999884</v>
      </c>
      <c r="I119" s="165"/>
      <c r="J119" s="328">
        <f>H119/DAY(B2)</f>
        <v>-62.390740740740313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-1684.6100000000006</v>
      </c>
      <c r="I120" s="165"/>
      <c r="J120" s="328">
        <f>H120/DAY(B2)</f>
        <v>-62.392962962962983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-2881.429999999993</v>
      </c>
      <c r="I121" s="165"/>
      <c r="J121" s="328">
        <f>H121/DAY(B2)</f>
        <v>-106.71962962962937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-802.17999999999302</v>
      </c>
      <c r="I122" s="165"/>
      <c r="J122" s="328">
        <f>H122/DAY(B2)</f>
        <v>-29.710370370370111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-1103.9500000000116</v>
      </c>
      <c r="I123" s="165"/>
      <c r="J123" s="328">
        <f>H123/DAY(B2)</f>
        <v>-40.887037037037466</v>
      </c>
    </row>
    <row r="124" spans="1:18" ht="29.25" customHeight="1">
      <c r="A124" s="867"/>
      <c r="B124" s="868"/>
      <c r="C124" s="86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-1224</v>
      </c>
      <c r="I128" s="165"/>
      <c r="J128" s="328">
        <f>H128/DAY(B2)</f>
        <v>-45.333333333333336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-750.86999999999898</v>
      </c>
      <c r="I129" s="165"/>
      <c r="J129" s="328">
        <f>H129/DAY(B2)</f>
        <v>-27.809999999999963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-1842</v>
      </c>
      <c r="I130" s="165"/>
      <c r="J130" s="328">
        <f>H130/DAY(B2)</f>
        <v>-68.222222222222229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-236.68000000000029</v>
      </c>
      <c r="I131" s="165"/>
      <c r="J131" s="328">
        <f>H131/DAY(B2)</f>
        <v>-8.7659259259259361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-659.30000000000291</v>
      </c>
      <c r="I132" s="165"/>
      <c r="J132" s="328">
        <f>H132/DAY(B2)</f>
        <v>-24.418518518518628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-1834.6999999999971</v>
      </c>
      <c r="I133" s="165"/>
      <c r="J133" s="328">
        <f>H133/DAY(B2)</f>
        <v>-67.951851851851742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670565.77</v>
      </c>
      <c r="I134" s="165"/>
      <c r="J134" s="328">
        <f>H134/DAY(B2)</f>
        <v>24835.769259259261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1658</v>
      </c>
      <c r="H135" s="99">
        <f>G135+'23'!H135</f>
        <v>631032.39</v>
      </c>
      <c r="I135" s="327">
        <f>G135-(G35+G49)</f>
        <v>-453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-224</v>
      </c>
      <c r="I138" s="118"/>
      <c r="J138" s="328">
        <f>H138/DAY(B2)</f>
        <v>-8.2962962962962958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-3</v>
      </c>
      <c r="I139" s="118"/>
      <c r="J139" s="328">
        <f>H139/DAY(B2)</f>
        <v>-0.1111111111111111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-703.58000000000175</v>
      </c>
      <c r="I141" s="118"/>
      <c r="J141" s="328">
        <f>H141/DAY(B2)</f>
        <v>-26.058518518518582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-312.09999999999854</v>
      </c>
      <c r="I142" s="140"/>
      <c r="J142" s="328">
        <f>H142/DAY(B2)</f>
        <v>-11.559259259259205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-101.38999999999987</v>
      </c>
      <c r="I143" s="140"/>
      <c r="J143" s="328">
        <f>H143/DAY(B2)</f>
        <v>-3.7551851851851805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-812</v>
      </c>
      <c r="I144" s="140"/>
      <c r="J144" s="328">
        <f>H144/DAY(B2)</f>
        <v>-30.074074074074073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-32.840000000000146</v>
      </c>
      <c r="I145" s="140"/>
      <c r="J145" s="328">
        <f>H145/DAY(B2)</f>
        <v>-1.2162962962963018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-1656</v>
      </c>
      <c r="I146" s="140"/>
      <c r="J146" s="328">
        <f>H146/DAY(B2)</f>
        <v>-61.333333333333336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-1440.5200000000186</v>
      </c>
      <c r="I147" s="140"/>
      <c r="J147" s="328">
        <f>H147/DAY(B2)</f>
        <v>-53.352592592593282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-747.95999999996275</v>
      </c>
      <c r="I148" s="124"/>
      <c r="J148" s="328">
        <f>H148/DAY(B2)</f>
        <v>-27.702222222220843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-1906.2000000000007</v>
      </c>
      <c r="I149" s="119"/>
      <c r="J149" s="328">
        <f>H149/DAY(B2)</f>
        <v>-70.600000000000023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-889.82999999999993</v>
      </c>
      <c r="I150" s="119"/>
      <c r="J150" s="328">
        <f>H150/DAY(B2)</f>
        <v>-32.956666666666663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-1031</v>
      </c>
      <c r="I151" s="119"/>
      <c r="J151" s="328">
        <f>H151/DAY(B2)</f>
        <v>-38.185185185185183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-61</v>
      </c>
      <c r="I152" s="119"/>
      <c r="J152" s="328">
        <f>H152/DAY(B2)</f>
        <v>-2.2592592592592591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'26'!F155</f>
        <v>28985</v>
      </c>
      <c r="F155" s="471">
        <v>29684</v>
      </c>
      <c r="G155" s="112">
        <f t="shared" ref="G155:G158" si="12">F155-E155</f>
        <v>699</v>
      </c>
      <c r="H155" s="99">
        <f>G155+'26'!H155</f>
        <v>-3261</v>
      </c>
      <c r="I155" s="364"/>
      <c r="J155" s="328">
        <f>H155/DAY(B2)</f>
        <v>-120.77777777777777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-280</v>
      </c>
      <c r="I156" s="165"/>
      <c r="J156" s="328">
        <f>H156/DAY(B2)</f>
        <v>-10.37037037037037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>
      <c r="A159" s="927"/>
      <c r="B159" s="928"/>
      <c r="C159" s="929"/>
      <c r="D159" s="117"/>
      <c r="E159" s="95"/>
      <c r="F159" s="15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-122.55999999999767</v>
      </c>
      <c r="I161" s="236"/>
      <c r="J161" s="239">
        <f>H161/DAY(B2)</f>
        <v>-4.5392592592591727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-116.39999999999418</v>
      </c>
      <c r="I162" s="236"/>
      <c r="J162" s="239">
        <f>H162/DAY(B2)</f>
        <v>-4.311111111110896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-158.10000000000582</v>
      </c>
      <c r="I163" s="236"/>
      <c r="J163" s="239">
        <f>H163/DAY(B2)</f>
        <v>-5.855555555555771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-8</v>
      </c>
      <c r="I164" s="236"/>
      <c r="J164" s="239">
        <f>H164/DAY(B2)</f>
        <v>-0.29629629629629628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-38.25</v>
      </c>
      <c r="I165" s="236"/>
      <c r="J165" s="239">
        <f>H165/DAY(B2)</f>
        <v>-1.4166666666666667</v>
      </c>
    </row>
    <row r="166" spans="1:10" ht="29.25">
      <c r="A166" s="852"/>
      <c r="B166" s="85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-54</v>
      </c>
      <c r="I174" s="155"/>
      <c r="J174" s="178">
        <f>H174/DAY(B2)</f>
        <v>-2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-39</v>
      </c>
      <c r="I175" s="155"/>
      <c r="J175" s="178">
        <f>H175/DAY(B2)</f>
        <v>-1.4444444444444444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G176+'26'!H176</f>
        <v>-93</v>
      </c>
      <c r="I176" s="155"/>
      <c r="J176" s="178">
        <f>H176/DAY(B2)</f>
        <v>-3.4444444444444446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-264</v>
      </c>
      <c r="I178" s="155"/>
      <c r="J178" s="178">
        <f>H178/DAY(B2)</f>
        <v>-9.7777777777777786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-161</v>
      </c>
      <c r="I179" s="155"/>
      <c r="J179" s="178">
        <f>H179/DAY(B2)</f>
        <v>-5.9629629629629628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-30</v>
      </c>
      <c r="I180" s="155"/>
      <c r="J180" s="178">
        <f>H180/DAY(B2)</f>
        <v>-1.1111111111111112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115</v>
      </c>
      <c r="H181" s="99">
        <f>G181+'26'!H181</f>
        <v>-455</v>
      </c>
      <c r="I181" s="155"/>
      <c r="J181" s="178">
        <f>H181/DAY(B2)</f>
        <v>-16.851851851851851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-37</v>
      </c>
      <c r="I183" s="155"/>
      <c r="J183" s="178">
        <f>H183/DAY(B2)</f>
        <v>-1.3703703703703705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-42</v>
      </c>
      <c r="I184" s="155"/>
      <c r="J184" s="178">
        <f>H184/DAY(B2)</f>
        <v>-1.5555555555555556</v>
      </c>
    </row>
    <row r="185" spans="1:10" ht="25.5" customHeight="1">
      <c r="A185" s="856" t="s">
        <v>216</v>
      </c>
      <c r="B185" s="85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27</v>
      </c>
      <c r="H186" s="99">
        <f>G186+'26'!H186</f>
        <v>-79</v>
      </c>
      <c r="I186" s="157"/>
      <c r="J186" s="178">
        <f>H186/DAY(B2)</f>
        <v>-2.925925925925926</v>
      </c>
    </row>
    <row r="187" spans="1:10" ht="27.75">
      <c r="A187" s="849" t="s">
        <v>217</v>
      </c>
      <c r="B187" s="850"/>
      <c r="C187" s="333"/>
      <c r="D187" s="228" t="s">
        <v>142</v>
      </c>
      <c r="E187" s="95">
        <f>'26'!F187</f>
        <v>0</v>
      </c>
      <c r="F187" s="159"/>
      <c r="G187" s="460">
        <f>G62+G19</f>
        <v>177</v>
      </c>
      <c r="H187" s="99">
        <f>G187+'26'!H187</f>
        <v>-605</v>
      </c>
      <c r="I187" s="158"/>
      <c r="J187" s="179">
        <f>H187/DAY(B2)</f>
        <v>-22.407407407407408</v>
      </c>
    </row>
    <row r="188" spans="1:10" ht="27.75">
      <c r="A188" s="849" t="s">
        <v>218</v>
      </c>
      <c r="B188" s="850"/>
      <c r="C188" s="333"/>
      <c r="D188" s="228" t="s">
        <v>142</v>
      </c>
      <c r="E188" s="95">
        <f>'26'!F188</f>
        <v>0</v>
      </c>
      <c r="F188" s="159"/>
      <c r="G188" s="460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'26'!F189</f>
        <v>0</v>
      </c>
      <c r="F189" s="157"/>
      <c r="G189" s="457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80" zoomScaleSheetLayoutView="55" workbookViewId="0">
      <selection activeCell="G112" sqref="G112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-52055.229999999981</v>
      </c>
      <c r="I7" s="113">
        <f>'1'!I7</f>
        <v>12000</v>
      </c>
      <c r="J7" s="175">
        <f>H7/DAY(B2)</f>
        <v>-1859.1153571428565</v>
      </c>
      <c r="K7" s="172">
        <v>1375467</v>
      </c>
      <c r="L7" s="66"/>
      <c r="N7" s="87"/>
      <c r="O7" s="71"/>
    </row>
    <row r="8" spans="1:15" ht="27.75" thickBot="1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-52851.150000000023</v>
      </c>
      <c r="I8" s="116"/>
      <c r="J8" s="175">
        <f>H8/DAY(B2)</f>
        <v>-1887.5410714285722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>
      <c r="A9" s="199" t="s">
        <v>132</v>
      </c>
      <c r="B9" s="200"/>
      <c r="C9" s="200"/>
      <c r="D9" s="151" t="s">
        <v>130</v>
      </c>
      <c r="E9" s="95">
        <f>'27'!F9</f>
        <v>222801</v>
      </c>
      <c r="F9" s="598">
        <v>237905</v>
      </c>
      <c r="G9" s="112">
        <f>F9-E9</f>
        <v>15104</v>
      </c>
      <c r="H9" s="99">
        <f>G9+'27'!H9</f>
        <v>2312932.15</v>
      </c>
      <c r="I9" s="124">
        <f>I7-J7</f>
        <v>13859.115357142857</v>
      </c>
      <c r="J9" s="175">
        <f>H9/DAY(B2)</f>
        <v>82604.719642857133</v>
      </c>
      <c r="K9" s="79">
        <f>K8-100</f>
        <v>1715817</v>
      </c>
      <c r="L9" s="66"/>
      <c r="N9" s="87"/>
      <c r="O9" s="71"/>
    </row>
    <row r="10" spans="1:15" ht="29.25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589534.03</v>
      </c>
      <c r="I10" s="282"/>
      <c r="J10" s="175">
        <f>H10/DAY(B2)</f>
        <v>21054.786785714288</v>
      </c>
      <c r="K10" s="79"/>
      <c r="L10" s="66"/>
      <c r="N10" s="87"/>
      <c r="O10" s="71">
        <f>F7-O8</f>
        <v>574224</v>
      </c>
    </row>
    <row r="11" spans="1:15" ht="29.25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2885711.75</v>
      </c>
      <c r="I13" s="120">
        <f>G7-G13</f>
        <v>526</v>
      </c>
      <c r="J13" s="175">
        <f>H13/DAY(B2)</f>
        <v>103061.13392857143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-2846.7669999999925</v>
      </c>
      <c r="I15" s="113">
        <f>'1'!I15</f>
        <v>800</v>
      </c>
      <c r="J15" s="175">
        <f>H15/DAY(B2)</f>
        <v>-101.67024999999974</v>
      </c>
      <c r="K15" s="79"/>
      <c r="L15" s="66"/>
      <c r="N15" s="87"/>
      <c r="O15" s="71">
        <f>G8-200</f>
        <v>17686</v>
      </c>
    </row>
    <row r="16" spans="1:15" ht="29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901.67024999999978</v>
      </c>
      <c r="J16" s="176"/>
      <c r="K16" s="79"/>
      <c r="L16" s="66"/>
      <c r="N16" s="87"/>
      <c r="O16" s="71"/>
    </row>
    <row r="17" spans="1:16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>
      <c r="A18" s="884" t="s">
        <v>141</v>
      </c>
      <c r="B18" s="885"/>
      <c r="C18" s="886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3610</v>
      </c>
      <c r="I18" s="113">
        <f>'1'!I18</f>
        <v>65</v>
      </c>
      <c r="J18" s="175">
        <f>H18/DAY(B2)</f>
        <v>128.92857142857142</v>
      </c>
      <c r="K18" s="79"/>
      <c r="L18" s="66"/>
      <c r="N18" s="87"/>
      <c r="O18" s="71"/>
    </row>
    <row r="19" spans="1:16" ht="27.75">
      <c r="A19" s="884" t="s">
        <v>69</v>
      </c>
      <c r="B19" s="885"/>
      <c r="C19" s="886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-164</v>
      </c>
      <c r="I19" s="335"/>
      <c r="J19" s="175">
        <f>H19/DAY(B2)</f>
        <v>-5.8571428571428568</v>
      </c>
      <c r="K19" s="79"/>
      <c r="L19" s="66"/>
      <c r="N19" s="87"/>
      <c r="O19" s="71"/>
    </row>
    <row r="20" spans="1:16" ht="29.2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3446</v>
      </c>
      <c r="I20" s="336">
        <f>I18-J20</f>
        <v>-58.071428571428569</v>
      </c>
      <c r="J20" s="175">
        <f>H20/DAY(B2)</f>
        <v>123.07142857142857</v>
      </c>
      <c r="K20" s="79"/>
      <c r="L20" s="66"/>
      <c r="N20" s="87"/>
      <c r="O20" s="71"/>
    </row>
    <row r="21" spans="1:16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-475660.35000000056</v>
      </c>
      <c r="I27" s="138"/>
      <c r="J27" s="175">
        <f>H27/DAY(B2)</f>
        <v>-16987.869642857164</v>
      </c>
      <c r="K27" s="63"/>
      <c r="L27" s="89"/>
      <c r="N27" s="87"/>
      <c r="O27" s="71"/>
    </row>
    <row r="28" spans="1:16" s="88" customFormat="1" ht="27.7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-129728.53399999962</v>
      </c>
      <c r="I28" s="140"/>
      <c r="J28" s="175">
        <f>H28/DAY(B2)</f>
        <v>-4633.161928571415</v>
      </c>
      <c r="K28" s="63"/>
      <c r="L28" s="89"/>
      <c r="N28" s="87"/>
      <c r="O28" s="71"/>
    </row>
    <row r="29" spans="1:16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-23656.44</v>
      </c>
      <c r="I30" s="140"/>
      <c r="J30" s="175">
        <f>H30/DAY(B2)</f>
        <v>-844.87285714285713</v>
      </c>
      <c r="K30" s="63"/>
      <c r="L30" s="89"/>
      <c r="N30" s="87"/>
      <c r="O30" s="71"/>
    </row>
    <row r="31" spans="1:16" s="88" customFormat="1" ht="27.7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288800</v>
      </c>
      <c r="I31" s="140"/>
      <c r="J31" s="175">
        <f>H31/DAY(B2)</f>
        <v>10314.285714285714</v>
      </c>
      <c r="K31" s="63"/>
      <c r="L31" s="89"/>
      <c r="N31" s="87"/>
      <c r="O31" s="71"/>
    </row>
    <row r="32" spans="1:16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-332655.3240000002</v>
      </c>
      <c r="I32" s="144"/>
      <c r="J32" s="175">
        <f>H32/DAY(B2)</f>
        <v>-11880.547285714292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164391.02000000002</v>
      </c>
      <c r="I35" s="95"/>
      <c r="J35" s="175">
        <f>H35/DAY(B2)</f>
        <v>5871.1078571428579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-2179.739999999998</v>
      </c>
      <c r="I36" s="95"/>
      <c r="J36" s="175">
        <f>H36/DAY(B2)</f>
        <v>-77.847857142857066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202852.91000000003</v>
      </c>
      <c r="I37" s="95"/>
      <c r="J37" s="175">
        <f>H37/DAY(B2)</f>
        <v>7244.7467857142865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240675.57</v>
      </c>
      <c r="I38" s="95"/>
      <c r="J38" s="175">
        <f>H38/DAY(B2)</f>
        <v>8595.5560714285712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424889.70999999996</v>
      </c>
      <c r="I39" s="95"/>
      <c r="J39" s="175">
        <f>H39/DAY(B2)</f>
        <v>15174.632499999998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-3189.9900000000016</v>
      </c>
      <c r="I40" s="95"/>
      <c r="J40" s="175">
        <f>H40/DAY(B2)</f>
        <v>-113.92821428571435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-62.73</v>
      </c>
      <c r="I41" s="95"/>
      <c r="J41" s="175">
        <f>H41/DAY(B2)</f>
        <v>-2.2403571428571429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-11774.740000000005</v>
      </c>
      <c r="I42" s="95"/>
      <c r="J42" s="175">
        <f>H42/DAY(B2)</f>
        <v>-420.52642857142877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-5848.6000000000058</v>
      </c>
      <c r="I43" s="95"/>
      <c r="J43" s="175">
        <f>H43/DAY(B2)</f>
        <v>-208.87857142857163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1009753.4100000003</v>
      </c>
      <c r="I47" s="95"/>
      <c r="J47" s="175">
        <f>H47/DAY(B2)</f>
        <v>36062.621785714298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282716.81</v>
      </c>
      <c r="I49" s="95"/>
      <c r="J49" s="175">
        <f>H49/DAY(B2)</f>
        <v>10097.028928571428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-3104.6299999999974</v>
      </c>
      <c r="I50" s="95"/>
      <c r="J50" s="175">
        <f>H50/DAY(B2)</f>
        <v>-110.87964285714277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1752.58</v>
      </c>
      <c r="I54" s="95"/>
      <c r="J54" s="175">
        <f>H54/DAY(B2)</f>
        <v>62.592142857142854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-0.11000000000058208</v>
      </c>
      <c r="I55" s="95"/>
      <c r="J55" s="175">
        <f>H55/DAY(B2)</f>
        <v>-3.9285714285922169E-3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-598.21</v>
      </c>
      <c r="I58" s="95"/>
      <c r="J58" s="175">
        <f>H58/DAY(B2)</f>
        <v>-21.364642857142858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280766.44</v>
      </c>
      <c r="I59" s="95">
        <f>G7-G60</f>
        <v>899</v>
      </c>
      <c r="J59" s="175">
        <f>H59/DAY(B2)</f>
        <v>10027.372857142856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1290519.8500000003</v>
      </c>
      <c r="I60" s="95">
        <f>G13-G60</f>
        <v>373</v>
      </c>
      <c r="J60" s="175">
        <f>H60/DAY(B2)</f>
        <v>46089.994642857157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-299</v>
      </c>
      <c r="I62" s="118"/>
      <c r="J62" s="175">
        <f>H62/DAY(B2)</f>
        <v>-10.678571428571429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-379</v>
      </c>
      <c r="I63" s="118"/>
      <c r="J63" s="175">
        <f>H63/DAY(B2)</f>
        <v>-13.535714285714286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'27'!F64</f>
        <v>0</v>
      </c>
      <c r="F64" s="122"/>
      <c r="G64" s="112">
        <f>G62+G63</f>
        <v>229</v>
      </c>
      <c r="H64" s="99">
        <f>G64+'27'!H64</f>
        <v>-678</v>
      </c>
      <c r="I64" s="118"/>
      <c r="J64" s="175">
        <f>H64/DAY(B2)</f>
        <v>-24.214285714285715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-238</v>
      </c>
      <c r="I65" s="118"/>
      <c r="J65" s="175">
        <f>H65/DAY(B2)</f>
        <v>-8.5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-64</v>
      </c>
      <c r="I66" s="118"/>
      <c r="J66" s="175">
        <f>H66/DAY(B2)</f>
        <v>-2.2857142857142856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-77</v>
      </c>
      <c r="I67" s="118"/>
      <c r="J67" s="175">
        <f>H67/DAY(B2)</f>
        <v>-2.75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-102</v>
      </c>
      <c r="I68" s="118"/>
      <c r="J68" s="175">
        <f>H68/DAY(B2)</f>
        <v>-3.6428571428571428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-24</v>
      </c>
      <c r="I69" s="118"/>
      <c r="J69" s="175">
        <f>H69/DAY(B2)</f>
        <v>-0.8571428571428571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-45</v>
      </c>
      <c r="I70" s="118"/>
      <c r="J70" s="175">
        <f>H70/DAY(B2)</f>
        <v>-1.6071428571428572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152"/>
      <c r="F71" s="152"/>
      <c r="G71" s="153">
        <f>SUM(G65:G70)</f>
        <v>212</v>
      </c>
      <c r="H71" s="99">
        <f>G71+'27'!H71</f>
        <v>-550</v>
      </c>
      <c r="I71" s="154"/>
      <c r="J71" s="175">
        <f>H71/DAY(B2)</f>
        <v>-19.642857142857142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-905.14899999997579</v>
      </c>
      <c r="I74" s="154"/>
      <c r="J74" s="175">
        <f>H74/DAY(B2)</f>
        <v>-32.326749999999137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-268</v>
      </c>
      <c r="I76" s="154"/>
      <c r="J76" s="175">
        <f>H76/DAY(B2)</f>
        <v>-9.5714285714285712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-109.19999999999709</v>
      </c>
      <c r="I77" s="154"/>
      <c r="J77" s="175">
        <f>H77/DAY(B2)</f>
        <v>-3.899999999999896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-5</v>
      </c>
      <c r="I78" s="118"/>
      <c r="J78" s="175">
        <f>H78/DAY(B2)</f>
        <v>-0.17857142857142858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-1559.4180000000197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488">
        <f>'27'!F85</f>
        <v>2166</v>
      </c>
      <c r="F85" s="164">
        <v>2190</v>
      </c>
      <c r="G85" s="236">
        <f t="shared" si="8"/>
        <v>24</v>
      </c>
      <c r="H85" s="99">
        <f>G85+'27'!H85</f>
        <v>-70.420000000000073</v>
      </c>
      <c r="I85" s="118">
        <f>G82+G83+G84+G85</f>
        <v>24</v>
      </c>
      <c r="J85" s="175">
        <f>H85/DAY(B2)</f>
        <v>-2.5150000000000028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5.0000000002910383E-2</v>
      </c>
      <c r="I87" s="118"/>
      <c r="J87" s="175">
        <f>H87/DAY(B2)</f>
        <v>1.7857142858182279E-3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0</v>
      </c>
      <c r="I88" s="118">
        <f>G86+G87+G88</f>
        <v>0.43000000000029104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-28.43999999999869</v>
      </c>
      <c r="I89" s="118"/>
      <c r="J89" s="175">
        <f>H89/DAY(B2)</f>
        <v>-1.0157142857142389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-25.090000000000146</v>
      </c>
      <c r="I91" s="165"/>
      <c r="J91" s="175">
        <f>H91/DAY(B2)</f>
        <v>-0.89607142857143374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-8.9899999999997817</v>
      </c>
      <c r="I92" s="165"/>
      <c r="J92" s="175">
        <f>H92/DAY(B2)</f>
        <v>-0.32107142857142079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4114</v>
      </c>
      <c r="H94" s="99">
        <f>G94+'27'!H94</f>
        <v>441259.22999999986</v>
      </c>
      <c r="I94" s="118"/>
      <c r="J94" s="175">
        <f>H94/DAY(B2)</f>
        <v>15759.25821428571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0.23303500623088252</v>
      </c>
      <c r="H95" s="99">
        <f>G95+'27'!H95</f>
        <v>6.5484847934887913</v>
      </c>
      <c r="I95" s="167"/>
      <c r="J95" s="175">
        <f>H95/DAY(B2)</f>
        <v>0.23387445691031397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4136</v>
      </c>
      <c r="H96" s="99">
        <f>G96+'27'!H96</f>
        <v>-11837.580000000024</v>
      </c>
      <c r="I96" s="118"/>
      <c r="J96" s="175">
        <f>H96/DAY(B2)</f>
        <v>-422.77071428571514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0.23428118273479098</v>
      </c>
      <c r="H97" s="99">
        <f>G97+'27'!H97</f>
        <v>4.9588837037654256</v>
      </c>
      <c r="I97" s="167"/>
      <c r="J97" s="175">
        <f>H97/DAY(B2)</f>
        <v>0.17710298942019378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2604</v>
      </c>
      <c r="H98" s="99">
        <f>G98+'27'!H98</f>
        <v>424889.70999999996</v>
      </c>
      <c r="I98" s="168"/>
      <c r="J98" s="175">
        <f>H98/DAY(B2)</f>
        <v>15174.632499999998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0.14750198255352895</v>
      </c>
      <c r="H99" s="99">
        <f>G99+'27'!H99</f>
        <v>3.2904329741683673</v>
      </c>
      <c r="I99" s="168"/>
      <c r="J99" s="175">
        <f>H99/DAY(B2)</f>
        <v>0.11751546336315598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1753</v>
      </c>
      <c r="H100" s="99">
        <f>G100+'27'!H100</f>
        <v>240675.57</v>
      </c>
      <c r="I100" s="118"/>
      <c r="J100" s="175">
        <f>H100/DAY(B2)</f>
        <v>8595.5560714285712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2.2224498382644513</v>
      </c>
      <c r="I101" s="168"/>
      <c r="J101" s="175">
        <f>H101/DAY(B2)</f>
        <v>7.9373208509444695E-2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1725</v>
      </c>
      <c r="H102" s="99">
        <f>G102+'27'!H102</f>
        <v>-5284.3699999999953</v>
      </c>
      <c r="I102" s="168"/>
      <c r="J102" s="175">
        <f>H102/DAY(B2)</f>
        <v>-188.72749999999982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2.786033345177199</v>
      </c>
      <c r="I103" s="118"/>
      <c r="J103" s="175">
        <f>H103/DAY(B2)</f>
        <v>9.9501190899185674E-2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1576</v>
      </c>
      <c r="H104" s="99">
        <f>G104+'27'!H104</f>
        <v>202852.91000000003</v>
      </c>
      <c r="I104" s="118"/>
      <c r="J104" s="175">
        <f>H104/DAY(B2)</f>
        <v>7244.7467857142865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2.0538955688955385</v>
      </c>
      <c r="I105" s="187"/>
      <c r="J105" s="188">
        <f>H105/DAY(B2)</f>
        <v>7.3353413174840662E-2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-230</v>
      </c>
      <c r="I112" s="165"/>
      <c r="J112" s="328">
        <f>H112/DAY(B2)</f>
        <v>-8.2142857142857135</v>
      </c>
    </row>
    <row r="113" spans="1:18" ht="29.25" customHeight="1">
      <c r="A113" s="863" t="s">
        <v>253</v>
      </c>
      <c r="B113" s="864"/>
      <c r="C113" s="865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-1385.8899999999994</v>
      </c>
      <c r="I113" s="165"/>
      <c r="J113" s="328">
        <f>H113/DAY(B2)</f>
        <v>-49.496071428571405</v>
      </c>
    </row>
    <row r="114" spans="1:18" ht="29.25" customHeight="1">
      <c r="A114" s="863" t="s">
        <v>254</v>
      </c>
      <c r="B114" s="864"/>
      <c r="C114" s="865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-906.60000000000036</v>
      </c>
      <c r="I114" s="165"/>
      <c r="J114" s="328">
        <f>H114/DAY(B2)</f>
        <v>-32.378571428571441</v>
      </c>
    </row>
    <row r="115" spans="1:18" ht="29.25" customHeight="1">
      <c r="A115" s="863" t="s">
        <v>255</v>
      </c>
      <c r="B115" s="864"/>
      <c r="C115" s="865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-31.649999999999636</v>
      </c>
      <c r="I115" s="165"/>
      <c r="J115" s="328">
        <f>H115/DAY(B2)</f>
        <v>-1.13035714285713</v>
      </c>
    </row>
    <row r="116" spans="1:18" ht="29.25" customHeight="1">
      <c r="A116" s="870" t="s">
        <v>96</v>
      </c>
      <c r="B116" s="871"/>
      <c r="C116" s="872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63"/>
      <c r="R116" s="865"/>
    </row>
    <row r="117" spans="1:18" ht="29.25" customHeight="1">
      <c r="A117" s="870" t="s">
        <v>184</v>
      </c>
      <c r="B117" s="871"/>
      <c r="C117" s="872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-84.949999999999818</v>
      </c>
      <c r="I117" s="165"/>
      <c r="J117" s="328">
        <f>H117/DAY(B2)</f>
        <v>-3.0339285714285649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-966.30999999999767</v>
      </c>
      <c r="I118" s="165"/>
      <c r="J118" s="328">
        <f>H118/DAY(B2)</f>
        <v>-34.511071428571348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-1262.5499999999884</v>
      </c>
      <c r="I119" s="165"/>
      <c r="J119" s="328">
        <f>H119/DAY(B2)</f>
        <v>-45.091071428571013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-1269.6100000000006</v>
      </c>
      <c r="I120" s="165"/>
      <c r="J120" s="328">
        <f>H120/DAY(B2)</f>
        <v>-45.343214285714303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-2173.429999999993</v>
      </c>
      <c r="I121" s="165"/>
      <c r="J121" s="328">
        <f>H121/DAY(B2)</f>
        <v>-77.622499999999746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-612.17999999999302</v>
      </c>
      <c r="I122" s="165"/>
      <c r="J122" s="328">
        <f>H122/DAY(B2)</f>
        <v>-21.863571428571181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-826.95000000001164</v>
      </c>
      <c r="I123" s="165"/>
      <c r="J123" s="328">
        <f>H123/DAY(B2)</f>
        <v>-29.533928571428987</v>
      </c>
    </row>
    <row r="124" spans="1:18" ht="29.25" customHeight="1">
      <c r="A124" s="867"/>
      <c r="B124" s="868"/>
      <c r="C124" s="86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63" t="s">
        <v>318</v>
      </c>
      <c r="B128" s="864"/>
      <c r="C128" s="865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-911</v>
      </c>
      <c r="I128" s="165"/>
      <c r="J128" s="328">
        <f>H128/DAY(B2)</f>
        <v>-32.535714285714285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-541.86999999999898</v>
      </c>
      <c r="I129" s="165"/>
      <c r="J129" s="328">
        <f>H129/DAY(B2)</f>
        <v>-19.352499999999964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-1328</v>
      </c>
      <c r="I130" s="165"/>
      <c r="J130" s="328">
        <f>H130/DAY(B2)</f>
        <v>-47.428571428571431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-152.68000000000029</v>
      </c>
      <c r="I131" s="165"/>
      <c r="J131" s="328">
        <f>H131/DAY(B2)</f>
        <v>-5.4528571428571535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-495.30000000000291</v>
      </c>
      <c r="I132" s="165"/>
      <c r="J132" s="328">
        <f>H132/DAY(B2)</f>
        <v>-17.68928571428582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-1427.6999999999971</v>
      </c>
      <c r="I133" s="165"/>
      <c r="J133" s="328">
        <f>H133/DAY(B2)</f>
        <v>-50.989285714285607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670711.77</v>
      </c>
      <c r="I134" s="165"/>
      <c r="J134" s="328">
        <f>H134/DAY(B2)</f>
        <v>23953.991785714286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SUM(G128:G134)</f>
        <v>1837</v>
      </c>
      <c r="H135" s="99">
        <f>G135+'23'!H135</f>
        <v>631211.39</v>
      </c>
      <c r="I135" s="327">
        <f>G135-(G35+G49)</f>
        <v>-316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-176</v>
      </c>
      <c r="I138" s="118"/>
      <c r="J138" s="328">
        <f>H138/DAY(B2)</f>
        <v>-6.2857142857142856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-3</v>
      </c>
      <c r="I139" s="118"/>
      <c r="J139" s="328">
        <f>H139/DAY(B2)</f>
        <v>-0.10714285714285714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-531.58000000000175</v>
      </c>
      <c r="I141" s="118"/>
      <c r="J141" s="328">
        <f>H141/DAY(B2)</f>
        <v>-18.985000000000063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-235.09999999999854</v>
      </c>
      <c r="I142" s="140"/>
      <c r="J142" s="328">
        <f>H142/DAY(B2)</f>
        <v>-8.3964285714285189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-73.389999999999873</v>
      </c>
      <c r="I143" s="140"/>
      <c r="J143" s="328">
        <f>H143/DAY(B2)</f>
        <v>-2.6210714285714238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-617</v>
      </c>
      <c r="I144" s="140"/>
      <c r="J144" s="328">
        <f>H144/DAY(B2)</f>
        <v>-22.035714285714285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-23.840000000000146</v>
      </c>
      <c r="I145" s="140"/>
      <c r="J145" s="328">
        <f>H145/DAY(B2)</f>
        <v>-0.85142857142857664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-1255</v>
      </c>
      <c r="I146" s="140"/>
      <c r="J146" s="328">
        <f>H146/DAY(B2)</f>
        <v>-44.821428571428569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-1061.5200000000186</v>
      </c>
      <c r="I147" s="140"/>
      <c r="J147" s="328">
        <f>H147/DAY(B2)</f>
        <v>-37.911428571429234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-562.95999999996275</v>
      </c>
      <c r="I148" s="124"/>
      <c r="J148" s="328">
        <f>H148/DAY(B2)</f>
        <v>-20.105714285712956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-1389.2000000000007</v>
      </c>
      <c r="I149" s="119"/>
      <c r="J149" s="328">
        <f>H149/DAY(B2)</f>
        <v>-49.614285714285742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-671.82999999999993</v>
      </c>
      <c r="I150" s="119"/>
      <c r="J150" s="328">
        <f>H150/DAY(B2)</f>
        <v>-23.993928571428569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-777</v>
      </c>
      <c r="I151" s="119"/>
      <c r="J151" s="328">
        <f>H151/DAY(B2)</f>
        <v>-27.75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-46</v>
      </c>
      <c r="I152" s="119"/>
      <c r="J152" s="328">
        <f>H152/DAY(B2)</f>
        <v>-1.6428571428571428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689">
        <f>'27'!F155</f>
        <v>29684</v>
      </c>
      <c r="F155" s="690">
        <v>30396</v>
      </c>
      <c r="G155" s="112">
        <f t="shared" ref="G155:G158" si="12">F155-E155</f>
        <v>712</v>
      </c>
      <c r="H155" s="99">
        <f>G155+'27'!H155</f>
        <v>-2549</v>
      </c>
      <c r="I155" s="364"/>
      <c r="J155" s="328">
        <f>H155/DAY(B2)</f>
        <v>-91.035714285714292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-224</v>
      </c>
      <c r="I156" s="165"/>
      <c r="J156" s="328">
        <f>H156/DAY(B2)</f>
        <v>-8</v>
      </c>
    </row>
    <row r="157" spans="1:10" ht="27.75">
      <c r="A157" s="844" t="s">
        <v>363</v>
      </c>
      <c r="B157" s="845"/>
      <c r="C157" s="846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>
      <c r="A158" s="844" t="s">
        <v>364</v>
      </c>
      <c r="B158" s="845"/>
      <c r="C158" s="846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-93.559999999997672</v>
      </c>
      <c r="I161" s="236"/>
      <c r="J161" s="239">
        <f>H161/DAY(B2)</f>
        <v>-3.3414285714284881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-77.399999999994179</v>
      </c>
      <c r="I162" s="236"/>
      <c r="J162" s="239">
        <f>H162/DAY(B2)</f>
        <v>-2.7642857142855064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-117.60000000000582</v>
      </c>
      <c r="I163" s="236"/>
      <c r="J163" s="239">
        <f>H163/DAY(B2)</f>
        <v>-4.200000000000208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-2.6000000000003638</v>
      </c>
      <c r="I164" s="236"/>
      <c r="J164" s="239">
        <f>H164/DAY(B2)</f>
        <v>-9.285714285715585E-2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-29.25</v>
      </c>
      <c r="I165" s="236"/>
      <c r="J165" s="239">
        <f>H165/DAY(B2)</f>
        <v>-1.0446428571428572</v>
      </c>
    </row>
    <row r="166" spans="1:10" ht="29.25">
      <c r="A166" s="852"/>
      <c r="B166" s="85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-39</v>
      </c>
      <c r="I174" s="155"/>
      <c r="J174" s="178">
        <f>H174/DAY(B2)</f>
        <v>-1.3928571428571428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-30</v>
      </c>
      <c r="I175" s="155"/>
      <c r="J175" s="178">
        <f>H175/DAY(B2)</f>
        <v>-1.0714285714285714</v>
      </c>
    </row>
    <row r="176" spans="1:10" ht="27.75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24</v>
      </c>
      <c r="H176" s="99">
        <f>G176+'27'!H176</f>
        <v>-69</v>
      </c>
      <c r="I176" s="155"/>
      <c r="J176" s="178">
        <f>H176/DAY(B2)</f>
        <v>-2.4642857142857144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-214</v>
      </c>
      <c r="I178" s="155"/>
      <c r="J178" s="178">
        <f>H178/DAY(B2)</f>
        <v>-7.6428571428571432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-92</v>
      </c>
      <c r="I179" s="155"/>
      <c r="J179" s="178">
        <f>H179/DAY(B2)</f>
        <v>-3.2857142857142856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-27</v>
      </c>
      <c r="I180" s="155"/>
      <c r="J180" s="178">
        <f>H180/DAY(B2)</f>
        <v>-0.9642857142857143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122</v>
      </c>
      <c r="H181" s="99">
        <f>G181+'27'!H181</f>
        <v>-333</v>
      </c>
      <c r="I181" s="155"/>
      <c r="J181" s="178">
        <f>H181/DAY(B2)</f>
        <v>-11.892857142857142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-29</v>
      </c>
      <c r="I183" s="155"/>
      <c r="J183" s="178">
        <f>H183/DAY(B2)</f>
        <v>-1.0357142857142858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-36</v>
      </c>
      <c r="I184" s="155"/>
      <c r="J184" s="178">
        <f>H184/DAY(B2)</f>
        <v>-1.2857142857142858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14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>
      <c r="A187" s="849" t="s">
        <v>217</v>
      </c>
      <c r="B187" s="850"/>
      <c r="C187" s="333"/>
      <c r="D187" s="230" t="s">
        <v>142</v>
      </c>
      <c r="E187" s="95">
        <f>'27'!F187</f>
        <v>0</v>
      </c>
      <c r="F187" s="159"/>
      <c r="G187" s="460">
        <f>G62+G19</f>
        <v>142</v>
      </c>
      <c r="H187" s="99">
        <f>G187+'27'!H187</f>
        <v>-463</v>
      </c>
      <c r="I187" s="158"/>
      <c r="J187" s="179">
        <f>H187/DAY(B2)</f>
        <v>-16.535714285714285</v>
      </c>
    </row>
    <row r="188" spans="1:10" ht="27.75">
      <c r="A188" s="849" t="s">
        <v>218</v>
      </c>
      <c r="B188" s="850"/>
      <c r="C188" s="333"/>
      <c r="D188" s="230" t="s">
        <v>142</v>
      </c>
      <c r="E188" s="95">
        <f>'27'!F188</f>
        <v>0</v>
      </c>
      <c r="F188" s="159"/>
      <c r="G188" s="460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'27'!F189</f>
        <v>0</v>
      </c>
      <c r="F189" s="157"/>
      <c r="G189" s="457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01"/>
  <sheetViews>
    <sheetView view="pageBreakPreview" zoomScale="55" zoomScaleNormal="78" zoomScaleSheetLayoutView="55" workbookViewId="0">
      <selection activeCell="G78" sqref="G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-34888.229999999981</v>
      </c>
      <c r="I7" s="113">
        <f>'1'!I7</f>
        <v>12000</v>
      </c>
      <c r="J7" s="175">
        <f>H7/DAY(B2)</f>
        <v>-1203.0424137931027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-35359.150000000023</v>
      </c>
      <c r="I8" s="116"/>
      <c r="J8" s="175">
        <f>H8/DAY(B2)</f>
        <v>-1219.2810344827594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237905</v>
      </c>
      <c r="F9" s="598">
        <v>252509</v>
      </c>
      <c r="G9" s="112">
        <f>F9-E9</f>
        <v>14604</v>
      </c>
      <c r="H9" s="99">
        <f>G9+'28'!H9</f>
        <v>2327536.15</v>
      </c>
      <c r="I9" s="124">
        <f>I7-J7</f>
        <v>13203.042413793102</v>
      </c>
      <c r="J9" s="175">
        <f>H9/DAY(B2)</f>
        <v>80259.86724137931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591594.03</v>
      </c>
      <c r="I10" s="282"/>
      <c r="J10" s="175">
        <f>H10/DAY(B2)</f>
        <v>20399.794137931036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2902375.75</v>
      </c>
      <c r="I13" s="120">
        <f>G7-G13</f>
        <v>503</v>
      </c>
      <c r="J13" s="175">
        <f>H13/DAY(B2)</f>
        <v>100081.9224137931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-1844.7669999999925</v>
      </c>
      <c r="I15" s="113">
        <f>'1'!I15</f>
        <v>800</v>
      </c>
      <c r="J15" s="175">
        <f>H15/DAY(B2)</f>
        <v>-63.61265517241354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863.6126551724135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3870</v>
      </c>
      <c r="I18" s="113">
        <f>'1'!I18</f>
        <v>65</v>
      </c>
      <c r="J18" s="175">
        <f>H18/DAY(B2)</f>
        <v>133.44827586206895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-112</v>
      </c>
      <c r="I19" s="335"/>
      <c r="J19" s="175">
        <f>H19/DAY(B2)</f>
        <v>-3.8620689655172415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3758</v>
      </c>
      <c r="I20" s="336">
        <f>I18-J20</f>
        <v>-64.586206896551715</v>
      </c>
      <c r="J20" s="175">
        <f>H20/DAY(B2)</f>
        <v>129.58620689655172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-318232.35000000056</v>
      </c>
      <c r="I27" s="138"/>
      <c r="J27" s="175">
        <f>H27/DAY(B2)</f>
        <v>-10973.529310344848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-77624.533999999621</v>
      </c>
      <c r="I28" s="140"/>
      <c r="J28" s="175">
        <f>H28/DAY(B2)</f>
        <v>-2676.708068965504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-16064.439999999999</v>
      </c>
      <c r="I30" s="140"/>
      <c r="J30" s="175">
        <f>H30/DAY(B2)</f>
        <v>-553.94620689655164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309600</v>
      </c>
      <c r="I31" s="140"/>
      <c r="J31" s="175">
        <f>H31/DAY(B2)</f>
        <v>10675.862068965518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-94731.324000000197</v>
      </c>
      <c r="I32" s="144"/>
      <c r="J32" s="175">
        <f>H32/DAY(B2)</f>
        <v>-3266.5973793103517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165583.02000000002</v>
      </c>
      <c r="I35" s="95"/>
      <c r="J35" s="175">
        <f>H35/DAY(B2)</f>
        <v>5709.759310344828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-1484.739999999998</v>
      </c>
      <c r="I36" s="95"/>
      <c r="J36" s="175">
        <f>H36/DAY(B2)</f>
        <v>-51.197931034482686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204463.91000000003</v>
      </c>
      <c r="I37" s="95"/>
      <c r="J37" s="175">
        <f>H37/DAY(B2)</f>
        <v>7050.4796551724148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242425.57</v>
      </c>
      <c r="I38" s="95"/>
      <c r="J38" s="175">
        <f>H38/DAY(B2)</f>
        <v>8359.5024137931032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427495.70999999996</v>
      </c>
      <c r="I39" s="95"/>
      <c r="J39" s="175">
        <f>H39/DAY(B2)</f>
        <v>14741.231379310344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-2636.9900000000016</v>
      </c>
      <c r="I40" s="95"/>
      <c r="J40" s="175">
        <f>H40/DAY(B2)</f>
        <v>-90.930689655172472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-62.73</v>
      </c>
      <c r="I41" s="95"/>
      <c r="J41" s="175">
        <f>H41/DAY(B2)</f>
        <v>-2.1631034482758618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-8202.7400000000052</v>
      </c>
      <c r="I42" s="95"/>
      <c r="J42" s="175">
        <f>H42/DAY(B2)</f>
        <v>-282.85310344827604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-3783.6000000000058</v>
      </c>
      <c r="I43" s="95"/>
      <c r="J43" s="175">
        <f>H43/DAY(B2)</f>
        <v>-130.46896551724157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1023797.4100000003</v>
      </c>
      <c r="I47" s="95"/>
      <c r="J47" s="175">
        <f>H47/DAY(B2)</f>
        <v>35303.358965517247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283632.81</v>
      </c>
      <c r="I49" s="95"/>
      <c r="J49" s="175">
        <f>H49/DAY(B2)</f>
        <v>9780.4417241379306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-2121.6299999999974</v>
      </c>
      <c r="I50" s="95"/>
      <c r="J50" s="175">
        <f>H50/DAY(B2)</f>
        <v>-73.159655172413707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1752.58</v>
      </c>
      <c r="I54" s="95"/>
      <c r="J54" s="175">
        <f>H54/DAY(B2)</f>
        <v>60.433793103448274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-0.11000000000058208</v>
      </c>
      <c r="I55" s="95"/>
      <c r="J55" s="175">
        <f>H55/DAY(B2)</f>
        <v>-3.7931034482959337E-3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-387.21000000000004</v>
      </c>
      <c r="I58" s="95"/>
      <c r="J58" s="175">
        <f>H58/DAY(B2)</f>
        <v>-13.352068965517242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282876.44</v>
      </c>
      <c r="I59" s="95">
        <f>G7-G60</f>
        <v>1013</v>
      </c>
      <c r="J59" s="175">
        <f>H59/DAY(B2)</f>
        <v>9754.36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1306673.8500000003</v>
      </c>
      <c r="I60" s="95">
        <f>G13-G60</f>
        <v>510</v>
      </c>
      <c r="J60" s="175">
        <f>H60/DAY(B2)</f>
        <v>45057.718965517255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-197</v>
      </c>
      <c r="I62" s="118"/>
      <c r="J62" s="175">
        <f>H62/DAY(B2)</f>
        <v>-6.7931034482758621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-240</v>
      </c>
      <c r="I63" s="118"/>
      <c r="J63" s="175">
        <f>H63/DAY(B2)</f>
        <v>-8.2758620689655178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'28'!F64</f>
        <v>0</v>
      </c>
      <c r="F64" s="122"/>
      <c r="G64" s="112">
        <f>G62+G63</f>
        <v>241</v>
      </c>
      <c r="H64" s="99">
        <f>G64+'28'!H64</f>
        <v>-437</v>
      </c>
      <c r="I64" s="118"/>
      <c r="J64" s="175">
        <f>H64/DAY(B2)</f>
        <v>-15.068965517241379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-154</v>
      </c>
      <c r="I65" s="118"/>
      <c r="J65" s="175">
        <f>H65/DAY(B2)</f>
        <v>-5.3103448275862073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-42</v>
      </c>
      <c r="I66" s="118"/>
      <c r="J66" s="175">
        <f>H66/DAY(B2)</f>
        <v>-1.4482758620689655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-52</v>
      </c>
      <c r="I67" s="118"/>
      <c r="J67" s="175">
        <f>H67/DAY(B2)</f>
        <v>-1.7931034482758621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-54</v>
      </c>
      <c r="I68" s="118"/>
      <c r="J68" s="175">
        <f>H68/DAY(B2)</f>
        <v>-1.8620689655172413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-17</v>
      </c>
      <c r="I69" s="118"/>
      <c r="J69" s="175">
        <f>H69/DAY(B2)</f>
        <v>-0.58620689655172409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-30</v>
      </c>
      <c r="I70" s="118"/>
      <c r="J70" s="175">
        <f>H70/DAY(B2)</f>
        <v>-1.0344827586206897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-349</v>
      </c>
      <c r="I71" s="154"/>
      <c r="J71" s="175">
        <f>H71/DAY(B2)</f>
        <v>-12.03448275862069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-602.14899999997579</v>
      </c>
      <c r="I74" s="154"/>
      <c r="J74" s="175">
        <f>H74/DAY(B2)</f>
        <v>-20.763758620688819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-170</v>
      </c>
      <c r="I76" s="154"/>
      <c r="J76" s="175">
        <f>H76/DAY(B2)</f>
        <v>-5.8620689655172411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-63.19999999999709</v>
      </c>
      <c r="I77" s="154"/>
      <c r="J77" s="175">
        <f>H77/DAY(B2)</f>
        <v>-2.1793103448274858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-3</v>
      </c>
      <c r="I78" s="118"/>
      <c r="J78" s="175">
        <f>H78/DAY(B2)</f>
        <v>-0.10344827586206896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-1006.4180000000197</v>
      </c>
      <c r="I79" s="118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-46.420000000000073</v>
      </c>
      <c r="I85" s="118">
        <f>G82+G83+G84+G85</f>
        <v>23.860000000000582</v>
      </c>
      <c r="J85" s="175">
        <f>H85/DAY(B2)</f>
        <v>-1.6006896551724163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5.0000000002910383E-2</v>
      </c>
      <c r="I87" s="118"/>
      <c r="J87" s="175">
        <f>H87/DAY(B2)</f>
        <v>1.7241379311348408E-3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0</v>
      </c>
      <c r="I88" s="118">
        <f>G86+G87+G88</f>
        <v>0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-18.509999999998399</v>
      </c>
      <c r="I89" s="118"/>
      <c r="J89" s="175">
        <f>H89/DAY(B2)</f>
        <v>-0.63827586206891029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-23.079999999999927</v>
      </c>
      <c r="I91" s="165"/>
      <c r="J91" s="175">
        <f>H91/DAY(B2)</f>
        <v>-0.7958620689655147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0</v>
      </c>
      <c r="I92" s="16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4173</v>
      </c>
      <c r="H94" s="99">
        <f>G94+'28'!H94</f>
        <v>445432.22999999986</v>
      </c>
      <c r="I94" s="118"/>
      <c r="J94" s="175">
        <f>H94/DAY(B2)</f>
        <v>15359.732068965513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0.24308265858915362</v>
      </c>
      <c r="H95" s="99">
        <f>G95+'28'!H95</f>
        <v>6.7915674520779445</v>
      </c>
      <c r="I95" s="167"/>
      <c r="J95" s="175">
        <f>H95/DAY(B2)</f>
        <v>0.23419198110613601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3572</v>
      </c>
      <c r="H96" s="99">
        <f>G96+'28'!H96</f>
        <v>-8265.5800000000236</v>
      </c>
      <c r="I96" s="118"/>
      <c r="J96" s="175">
        <f>H96/DAY(B2)</f>
        <v>-285.02000000000083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0.20807362963825946</v>
      </c>
      <c r="H97" s="99">
        <f>G97+'28'!H97</f>
        <v>5.1669573334036851</v>
      </c>
      <c r="I97" s="167"/>
      <c r="J97" s="175">
        <f>H97/DAY(B2)</f>
        <v>0.17817094253116156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2606</v>
      </c>
      <c r="H98" s="99">
        <f>G98+'28'!H98</f>
        <v>427495.70999999996</v>
      </c>
      <c r="I98" s="168"/>
      <c r="J98" s="175">
        <f>H98/DAY(B2)</f>
        <v>14741.231379310344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0.15180287761402692</v>
      </c>
      <c r="H99" s="99">
        <f>G99+'28'!H99</f>
        <v>3.4422358517823941</v>
      </c>
      <c r="I99" s="168"/>
      <c r="J99" s="175">
        <f>H99/DAY(B2)</f>
        <v>0.11869778799249635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1750</v>
      </c>
      <c r="H100" s="99">
        <f>G100+'28'!H100</f>
        <v>242425.57</v>
      </c>
      <c r="I100" s="118"/>
      <c r="J100" s="175">
        <f>H100/DAY(B2)</f>
        <v>8359.5024137931032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2.324389606424293</v>
      </c>
      <c r="I101" s="168"/>
      <c r="J101" s="175">
        <f>H101/DAY(B2)</f>
        <v>8.0151365738768729E-2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1678</v>
      </c>
      <c r="H102" s="99">
        <f>G102+'28'!H102</f>
        <v>-3606.3699999999953</v>
      </c>
      <c r="I102" s="168"/>
      <c r="J102" s="175">
        <f>H102/DAY(B2)</f>
        <v>-124.35758620689639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2.8837790200184643</v>
      </c>
      <c r="I103" s="118"/>
      <c r="J103" s="175">
        <f>H103/DAY(B2)</f>
        <v>9.944065586270566E-2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1611</v>
      </c>
      <c r="H104" s="99">
        <f>G104+'28'!H104</f>
        <v>204463.91000000003</v>
      </c>
      <c r="I104" s="118"/>
      <c r="J104" s="175">
        <f>H104/DAY(B2)</f>
        <v>7050.4796551724148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2.147738406898684</v>
      </c>
      <c r="I105" s="187"/>
      <c r="J105" s="188">
        <f>H105/DAY(B2)</f>
        <v>7.4059945065471866E-2</v>
      </c>
      <c r="O105" s="71"/>
    </row>
    <row r="106" spans="1:15" ht="29.2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27.75">
      <c r="A112" s="863" t="s">
        <v>252</v>
      </c>
      <c r="B112" s="864"/>
      <c r="C112" s="865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-153</v>
      </c>
      <c r="I112" s="165"/>
      <c r="J112" s="328">
        <f>H112/DAY(B2)</f>
        <v>-5.2758620689655169</v>
      </c>
    </row>
    <row r="113" spans="1:18" ht="27.75">
      <c r="A113" s="863" t="s">
        <v>253</v>
      </c>
      <c r="B113" s="864"/>
      <c r="C113" s="865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-918.88999999999942</v>
      </c>
      <c r="I113" s="165"/>
      <c r="J113" s="328">
        <f>H113/DAY(B2)</f>
        <v>-31.685862068965498</v>
      </c>
    </row>
    <row r="114" spans="1:18" ht="27.75">
      <c r="A114" s="863" t="s">
        <v>254</v>
      </c>
      <c r="B114" s="864"/>
      <c r="C114" s="865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-648.60000000000036</v>
      </c>
      <c r="I114" s="165"/>
      <c r="J114" s="328">
        <f>H114/DAY(B2)</f>
        <v>-22.365517241379322</v>
      </c>
    </row>
    <row r="115" spans="1:18" ht="27.75">
      <c r="A115" s="863" t="s">
        <v>255</v>
      </c>
      <c r="B115" s="864"/>
      <c r="C115" s="865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-23.649999999999636</v>
      </c>
      <c r="I115" s="165"/>
      <c r="J115" s="328">
        <f>H115/DAY(B2)</f>
        <v>-0.81551724137929782</v>
      </c>
    </row>
    <row r="116" spans="1:18" ht="27.75">
      <c r="A116" s="870" t="s">
        <v>96</v>
      </c>
      <c r="B116" s="871"/>
      <c r="C116" s="872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27.75">
      <c r="A117" s="870" t="s">
        <v>184</v>
      </c>
      <c r="B117" s="871"/>
      <c r="C117" s="872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-60.949999999999818</v>
      </c>
      <c r="I117" s="165"/>
      <c r="J117" s="328">
        <f>H117/DAY(B2)</f>
        <v>-2.1017241379310283</v>
      </c>
      <c r="Q117" s="863" t="s">
        <v>312</v>
      </c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-630.30999999999767</v>
      </c>
      <c r="I118" s="165"/>
      <c r="J118" s="328">
        <f>H118/DAY(B2)</f>
        <v>-21.734827586206816</v>
      </c>
      <c r="Q118" s="863" t="s">
        <v>311</v>
      </c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-845.54999999998836</v>
      </c>
      <c r="I119" s="165"/>
      <c r="J119" s="328">
        <f>H119/DAY(B2)</f>
        <v>-29.156896551723737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-845.61000000000058</v>
      </c>
      <c r="I120" s="165"/>
      <c r="J120" s="328">
        <f>H120/DAY(B2)</f>
        <v>-29.158965517241398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-1463.429999999993</v>
      </c>
      <c r="I121" s="165"/>
      <c r="J121" s="328">
        <f>H121/DAY(B2)</f>
        <v>-50.463103448275618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-412.17999999999302</v>
      </c>
      <c r="I122" s="165"/>
      <c r="J122" s="328">
        <f>H122/DAY(B2)</f>
        <v>-14.213103448275621</v>
      </c>
    </row>
    <row r="123" spans="1:18" ht="27.75">
      <c r="A123" s="862" t="s">
        <v>102</v>
      </c>
      <c r="B123" s="862"/>
      <c r="C123" s="862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-551.95000000001164</v>
      </c>
      <c r="I123" s="165"/>
      <c r="J123" s="328">
        <f>H123/DAY(B2)</f>
        <v>-19.032758620690057</v>
      </c>
    </row>
    <row r="124" spans="1:18" ht="27.75">
      <c r="A124" s="867"/>
      <c r="B124" s="868"/>
      <c r="C124" s="86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>
      <c r="A125" s="847" t="s">
        <v>196</v>
      </c>
      <c r="B125" s="848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>
      <c r="A128" s="863" t="s">
        <v>318</v>
      </c>
      <c r="B128" s="864"/>
      <c r="C128" s="865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-608</v>
      </c>
      <c r="I128" s="165"/>
      <c r="J128" s="328">
        <f>H128/DAY(B2)</f>
        <v>-20.96551724137931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-343.86999999999898</v>
      </c>
      <c r="I129" s="165"/>
      <c r="J129" s="328">
        <f>H129/DAY(B2)</f>
        <v>-11.857586206896517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-922</v>
      </c>
      <c r="I130" s="165"/>
      <c r="J130" s="328">
        <f>H130/DAY(B2)</f>
        <v>-31.793103448275861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-91.680000000000291</v>
      </c>
      <c r="I131" s="165"/>
      <c r="J131" s="328">
        <f>H131/DAY(B2)</f>
        <v>-3.1613793103448375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-330.30000000000291</v>
      </c>
      <c r="I132" s="165"/>
      <c r="J132" s="328">
        <f>H132/DAY(B2)</f>
        <v>-11.389655172413894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-933.69999999999709</v>
      </c>
      <c r="I133" s="165"/>
      <c r="J133" s="328">
        <f>H133/DAY(B2)</f>
        <v>-32.196551724137834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670862.77</v>
      </c>
      <c r="I134" s="165"/>
      <c r="J134" s="328">
        <f>H134/DAY(B2)</f>
        <v>23133.198965517244</v>
      </c>
    </row>
    <row r="135" spans="1:15" ht="27.75">
      <c r="A135" s="847" t="s">
        <v>196</v>
      </c>
      <c r="B135" s="848"/>
      <c r="C135" s="331"/>
      <c r="D135" s="151"/>
      <c r="E135" s="95"/>
      <c r="F135" s="165"/>
      <c r="G135" s="112">
        <f>SUM(G127:G134)</f>
        <v>1778</v>
      </c>
      <c r="H135" s="99">
        <f>G135+'23'!H135</f>
        <v>631152.39</v>
      </c>
      <c r="I135" s="327">
        <f>G135-(G35+G49)</f>
        <v>-330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>
      <c r="A138" s="862" t="s">
        <v>185</v>
      </c>
      <c r="B138" s="862"/>
      <c r="C138" s="862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-128</v>
      </c>
      <c r="I138" s="118"/>
      <c r="J138" s="328">
        <f>H138/DAY(B2)</f>
        <v>-4.4137931034482758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-3</v>
      </c>
      <c r="I139" s="118"/>
      <c r="J139" s="328">
        <f>H139/DAY(B2)</f>
        <v>-0.10344827586206896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0</v>
      </c>
      <c r="I140" s="118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-346.58000000000175</v>
      </c>
      <c r="I141" s="118"/>
      <c r="J141" s="328">
        <f>H141/DAY(B2)</f>
        <v>-11.951034482758681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-157.09999999999854</v>
      </c>
      <c r="I142" s="140"/>
      <c r="J142" s="328">
        <f>H142/DAY(B2)</f>
        <v>-5.4172413793102949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-48.389999999999873</v>
      </c>
      <c r="I143" s="140"/>
      <c r="J143" s="328">
        <f>H143/DAY(B2)</f>
        <v>-1.6686206896551681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-417</v>
      </c>
      <c r="I144" s="140"/>
      <c r="J144" s="328">
        <f>H144/DAY(B2)</f>
        <v>-14.379310344827585</v>
      </c>
    </row>
    <row r="145" spans="1:10" ht="27.75">
      <c r="A145" s="862" t="s">
        <v>190</v>
      </c>
      <c r="B145" s="862"/>
      <c r="C145" s="862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-15.840000000000146</v>
      </c>
      <c r="I145" s="140"/>
      <c r="J145" s="328">
        <f>H145/DAY(B2)</f>
        <v>-0.54620689655172916</v>
      </c>
    </row>
    <row r="146" spans="1:10" ht="27.75">
      <c r="A146" s="897" t="s">
        <v>191</v>
      </c>
      <c r="B146" s="882"/>
      <c r="C146" s="883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-872</v>
      </c>
      <c r="I146" s="140"/>
      <c r="J146" s="328">
        <f>H146/DAY(B2)</f>
        <v>-30.068965517241381</v>
      </c>
    </row>
    <row r="147" spans="1:10" ht="27.75">
      <c r="A147" s="843" t="s">
        <v>192</v>
      </c>
      <c r="B147" s="843"/>
      <c r="C147" s="843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-687.52000000001863</v>
      </c>
      <c r="I147" s="140"/>
      <c r="J147" s="328">
        <f>H147/DAY(B2)</f>
        <v>-23.707586206897194</v>
      </c>
    </row>
    <row r="148" spans="1:10" ht="27.75">
      <c r="A148" s="844" t="s">
        <v>193</v>
      </c>
      <c r="B148" s="845"/>
      <c r="C148" s="846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-377.95999999996275</v>
      </c>
      <c r="I148" s="124"/>
      <c r="J148" s="328">
        <f>H148/DAY(B2)</f>
        <v>-13.033103448274577</v>
      </c>
    </row>
    <row r="149" spans="1:10" ht="27.75">
      <c r="A149" s="844" t="s">
        <v>336</v>
      </c>
      <c r="B149" s="845"/>
      <c r="C149" s="846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-882.20000000000073</v>
      </c>
      <c r="I149" s="119"/>
      <c r="J149" s="328">
        <f>H149/DAY(B2)</f>
        <v>-30.420689655172438</v>
      </c>
    </row>
    <row r="150" spans="1:10" ht="27.75">
      <c r="A150" s="844" t="s">
        <v>337</v>
      </c>
      <c r="B150" s="845"/>
      <c r="C150" s="846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-436.82999999999993</v>
      </c>
      <c r="I150" s="119"/>
      <c r="J150" s="328">
        <f>H150/DAY(B2)</f>
        <v>-15.063103448275859</v>
      </c>
    </row>
    <row r="151" spans="1:10" ht="27.75">
      <c r="A151" s="844" t="s">
        <v>338</v>
      </c>
      <c r="B151" s="845"/>
      <c r="C151" s="846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-527</v>
      </c>
      <c r="I151" s="119"/>
      <c r="J151" s="328">
        <f>H151/DAY(B2)</f>
        <v>-18.172413793103448</v>
      </c>
    </row>
    <row r="152" spans="1:10" ht="27.75">
      <c r="A152" s="844" t="s">
        <v>339</v>
      </c>
      <c r="B152" s="845"/>
      <c r="C152" s="846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-33</v>
      </c>
      <c r="I152" s="119"/>
      <c r="J152" s="328">
        <f>H152/DAY(B2)</f>
        <v>-1.1379310344827587</v>
      </c>
    </row>
    <row r="153" spans="1:10" ht="27.75">
      <c r="A153" s="847" t="s">
        <v>196</v>
      </c>
      <c r="B153" s="848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1.5">
      <c r="A155" s="843" t="s">
        <v>345</v>
      </c>
      <c r="B155" s="843"/>
      <c r="C155" s="843"/>
      <c r="D155" s="117" t="s">
        <v>130</v>
      </c>
      <c r="E155" s="95">
        <f>'28'!F155</f>
        <v>30396</v>
      </c>
      <c r="F155" s="471">
        <v>31038</v>
      </c>
      <c r="G155" s="112">
        <f t="shared" ref="G155:G158" si="13">F155-E155</f>
        <v>642</v>
      </c>
      <c r="H155" s="99">
        <f>G155+'28'!H155</f>
        <v>-1907</v>
      </c>
      <c r="I155" s="364"/>
      <c r="J155" s="328">
        <f>H155/DAY(B2)</f>
        <v>-65.758620689655174</v>
      </c>
    </row>
    <row r="156" spans="1:10" ht="27.75">
      <c r="A156" s="843" t="s">
        <v>347</v>
      </c>
      <c r="B156" s="843"/>
      <c r="C156" s="843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-167</v>
      </c>
      <c r="I156" s="165"/>
      <c r="J156" s="328">
        <f>H156/DAY(B2)</f>
        <v>-5.7586206896551726</v>
      </c>
    </row>
    <row r="157" spans="1:10" ht="27.75">
      <c r="A157" s="844" t="s">
        <v>363</v>
      </c>
      <c r="B157" s="845"/>
      <c r="C157" s="846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>
      <c r="A158" s="844" t="s">
        <v>364</v>
      </c>
      <c r="B158" s="845"/>
      <c r="C158" s="846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-68.559999999997672</v>
      </c>
      <c r="I161" s="236"/>
      <c r="J161" s="239">
        <f>H161/DAY(B2)</f>
        <v>-2.3641379310344024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-48.399999999994179</v>
      </c>
      <c r="I162" s="236"/>
      <c r="J162" s="239">
        <f>H162/DAY(B2)</f>
        <v>-1.6689655172411786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-70.100000000005821</v>
      </c>
      <c r="I163" s="236"/>
      <c r="J163" s="239">
        <f>H163/DAY(B2)</f>
        <v>-2.4172413793105454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0</v>
      </c>
      <c r="I164" s="236"/>
      <c r="J164" s="239">
        <f>H164/DAY(B2)</f>
        <v>0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-22.25</v>
      </c>
      <c r="I165" s="236"/>
      <c r="J165" s="239">
        <f>H165/DAY(B2)</f>
        <v>-0.76724137931034486</v>
      </c>
    </row>
    <row r="166" spans="1:10" ht="29.25">
      <c r="A166" s="852"/>
      <c r="B166" s="85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-26</v>
      </c>
      <c r="I174" s="155"/>
      <c r="J174" s="178">
        <f>H174/DAY(B2)</f>
        <v>-0.89655172413793105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-18</v>
      </c>
      <c r="I175" s="155"/>
      <c r="J175" s="178">
        <f>H175/DAY(B2)</f>
        <v>-0.62068965517241381</v>
      </c>
    </row>
    <row r="176" spans="1:10" ht="27.75">
      <c r="A176" s="847" t="s">
        <v>196</v>
      </c>
      <c r="B176" s="848"/>
      <c r="C176" s="483"/>
      <c r="D176" s="228"/>
      <c r="E176" s="95"/>
      <c r="F176" s="155"/>
      <c r="G176" s="155">
        <f>SUM(G173:G175)</f>
        <v>25</v>
      </c>
      <c r="H176" s="99">
        <f>G176+'28'!H176</f>
        <v>-44</v>
      </c>
      <c r="I176" s="155"/>
      <c r="J176" s="178">
        <f>H176/DAY(B2)</f>
        <v>-1.5172413793103448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-172</v>
      </c>
      <c r="I178" s="155"/>
      <c r="J178" s="178">
        <f>H178/DAY(B2)</f>
        <v>-5.931034482758621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-74</v>
      </c>
      <c r="I179" s="155"/>
      <c r="J179" s="178">
        <f>H179/DAY(B2)</f>
        <v>-2.5517241379310347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-12</v>
      </c>
      <c r="I180" s="155"/>
      <c r="J180" s="178">
        <f>H180/DAY(B2)</f>
        <v>-0.41379310344827586</v>
      </c>
    </row>
    <row r="181" spans="1:10" ht="27.75">
      <c r="A181" s="858" t="s">
        <v>108</v>
      </c>
      <c r="B181" s="859"/>
      <c r="C181" s="483"/>
      <c r="D181" s="228"/>
      <c r="E181" s="95"/>
      <c r="F181" s="155"/>
      <c r="G181" s="155">
        <f>SUM(G178:G180)</f>
        <v>75</v>
      </c>
      <c r="H181" s="99">
        <f>G181+'28'!H181</f>
        <v>-258</v>
      </c>
      <c r="I181" s="155"/>
      <c r="J181" s="178">
        <f>H181/DAY(B2)</f>
        <v>-8.8965517241379306</v>
      </c>
    </row>
    <row r="182" spans="1:10" ht="27.75">
      <c r="A182" s="856" t="s">
        <v>213</v>
      </c>
      <c r="B182" s="85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-21</v>
      </c>
      <c r="I183" s="155"/>
      <c r="J183" s="178">
        <f>H183/DAY(B2)</f>
        <v>-0.72413793103448276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-28</v>
      </c>
      <c r="I184" s="155"/>
      <c r="J184" s="178">
        <f>H184/DAY(B2)</f>
        <v>-0.96551724137931039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9"/>
      <c r="E186" s="95"/>
      <c r="F186" s="157"/>
      <c r="G186" s="157">
        <f>SUM(G183:G185)</f>
        <v>16</v>
      </c>
      <c r="H186" s="99">
        <f>G186+'28'!H186</f>
        <v>-49</v>
      </c>
      <c r="I186" s="157"/>
      <c r="J186" s="178">
        <f>H186/DAY(B2)</f>
        <v>-1.6896551724137931</v>
      </c>
    </row>
    <row r="187" spans="1:10" ht="27.75">
      <c r="A187" s="849" t="s">
        <v>217</v>
      </c>
      <c r="B187" s="850"/>
      <c r="C187" s="333"/>
      <c r="D187" s="230" t="s">
        <v>142</v>
      </c>
      <c r="E187" s="95">
        <f>'28'!F187</f>
        <v>0</v>
      </c>
      <c r="F187" s="159"/>
      <c r="G187" s="593">
        <f>G62+G19</f>
        <v>154</v>
      </c>
      <c r="H187" s="99">
        <f>G187+'28'!H187</f>
        <v>-309</v>
      </c>
      <c r="I187" s="158"/>
      <c r="J187" s="179">
        <f>H187/DAY(B2)</f>
        <v>-10.655172413793103</v>
      </c>
    </row>
    <row r="188" spans="1:10" ht="27.75">
      <c r="A188" s="849" t="s">
        <v>218</v>
      </c>
      <c r="B188" s="850"/>
      <c r="C188" s="333"/>
      <c r="D188" s="230" t="s">
        <v>142</v>
      </c>
      <c r="E188" s="95">
        <f>'28'!F188</f>
        <v>0</v>
      </c>
      <c r="F188" s="159"/>
      <c r="G188" s="593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'28'!F189</f>
        <v>0</v>
      </c>
      <c r="F189" s="157"/>
      <c r="G189" s="499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>
      <c r="A190" s="770"/>
      <c r="B190" s="771"/>
      <c r="C190" s="481"/>
      <c r="D190" s="478"/>
      <c r="E190" s="478" t="s">
        <v>207</v>
      </c>
      <c r="F190" s="478"/>
      <c r="G190" s="478"/>
      <c r="H190" s="479"/>
      <c r="I190" s="478"/>
      <c r="J190" s="480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313" ht="29.25"/>
    <row r="314" ht="29.25"/>
    <row r="315" ht="29.25"/>
    <row r="316" ht="29.25"/>
    <row r="317" ht="29.25"/>
    <row r="318" ht="29.25"/>
    <row r="319" ht="29.25"/>
    <row r="320" ht="29.25"/>
    <row r="321" ht="29.25"/>
    <row r="322" ht="29.25"/>
    <row r="323" ht="29.25"/>
    <row r="324" ht="29.25"/>
    <row r="325" ht="29.25"/>
    <row r="326" ht="29.25"/>
    <row r="327" ht="29.25"/>
    <row r="328" ht="29.25"/>
    <row r="329" ht="29.25"/>
    <row r="330" ht="29.25"/>
    <row r="331" ht="29.25"/>
    <row r="332" ht="29.25"/>
    <row r="333" ht="29.25"/>
    <row r="334" ht="29.25"/>
    <row r="335" ht="29.25"/>
    <row r="336" ht="29.25"/>
    <row r="337" ht="29.25"/>
    <row r="338" ht="29.25"/>
    <row r="339" ht="29.25"/>
    <row r="340" ht="29.25"/>
    <row r="341" ht="29.25"/>
    <row r="342" ht="29.25"/>
    <row r="343" ht="29.25"/>
    <row r="344" ht="29.25"/>
    <row r="345" ht="29.25"/>
    <row r="346" ht="29.25"/>
    <row r="347" ht="29.25"/>
    <row r="348" ht="29.25"/>
    <row r="349" ht="29.25"/>
    <row r="350" ht="29.25"/>
    <row r="351" ht="29.25"/>
    <row r="352" ht="29.25"/>
    <row r="353" ht="29.25"/>
    <row r="354" ht="29.25"/>
    <row r="355" ht="29.25"/>
    <row r="356" ht="29.25"/>
    <row r="357" ht="29.25"/>
    <row r="358" ht="29.25"/>
    <row r="359" ht="29.25"/>
    <row r="360" ht="29.25"/>
    <row r="361" ht="29.25"/>
    <row r="362" ht="29.25"/>
    <row r="363" ht="29.25"/>
    <row r="364" ht="29.25"/>
    <row r="365" ht="29.25"/>
    <row r="366" ht="29.25"/>
    <row r="367" ht="29.25"/>
    <row r="368" ht="29.25"/>
    <row r="369" ht="29.25"/>
    <row r="370" ht="29.25"/>
    <row r="371" ht="29.25"/>
    <row r="372" ht="29.25"/>
    <row r="373" ht="29.25"/>
    <row r="374" ht="29.25"/>
    <row r="375" ht="29.25"/>
    <row r="376" ht="29.25"/>
    <row r="377" ht="29.25"/>
    <row r="378" ht="29.25"/>
    <row r="379" ht="29.25"/>
    <row r="380" ht="29.25"/>
    <row r="381" ht="29.25"/>
    <row r="382" ht="29.25"/>
    <row r="383" ht="29.25"/>
    <row r="384" ht="29.25"/>
    <row r="385" ht="29.25"/>
    <row r="386" ht="29.25"/>
    <row r="387" ht="29.25"/>
    <row r="388" ht="29.25"/>
    <row r="389" ht="29.25"/>
    <row r="390" ht="29.25"/>
    <row r="391" ht="29.25"/>
    <row r="392" ht="29.25"/>
    <row r="393" ht="29.25"/>
    <row r="394" ht="29.25"/>
    <row r="395" ht="29.25"/>
    <row r="396" ht="29.25"/>
    <row r="397" ht="29.25"/>
    <row r="398" ht="29.25"/>
    <row r="399" ht="29.25"/>
    <row r="400" ht="29.25"/>
    <row r="401" ht="29.25"/>
    <row r="402" ht="29.25"/>
    <row r="403" ht="29.25"/>
    <row r="404" ht="29.25"/>
    <row r="405" ht="29.25"/>
    <row r="406" ht="29.25"/>
    <row r="407" ht="29.25"/>
    <row r="408" ht="29.25"/>
    <row r="409" ht="29.25"/>
    <row r="410" ht="29.25"/>
    <row r="411" ht="29.25"/>
    <row r="412" ht="29.25"/>
    <row r="413" ht="29.25"/>
    <row r="414" ht="29.25"/>
    <row r="415" ht="29.25"/>
    <row r="416" ht="29.25"/>
    <row r="417" ht="29.25"/>
    <row r="418" ht="29.25"/>
    <row r="419" ht="29.25"/>
    <row r="420" ht="29.25"/>
    <row r="421" ht="29.25"/>
    <row r="422" ht="29.25"/>
    <row r="423" ht="29.25"/>
    <row r="424" ht="29.25"/>
    <row r="425" ht="29.25"/>
    <row r="426" ht="29.25"/>
    <row r="427" ht="29.25"/>
    <row r="428" ht="29.25"/>
    <row r="429" ht="29.25"/>
    <row r="430" ht="29.25"/>
    <row r="431" ht="29.25"/>
    <row r="432" ht="29.25"/>
    <row r="433" ht="29.25"/>
    <row r="434" ht="29.25"/>
    <row r="435" ht="29.25"/>
    <row r="436" ht="29.25"/>
    <row r="437" ht="29.25"/>
    <row r="438" ht="29.25"/>
    <row r="439" ht="29.25"/>
    <row r="440" ht="29.25"/>
    <row r="441" ht="29.25"/>
    <row r="442" ht="29.25"/>
    <row r="443" ht="29.25"/>
    <row r="444" ht="29.25"/>
    <row r="445" ht="29.25"/>
    <row r="446" ht="29.25"/>
    <row r="447" ht="29.25"/>
    <row r="448" ht="29.25"/>
    <row r="449" ht="29.25"/>
    <row r="450" ht="29.25"/>
    <row r="451" ht="29.25"/>
    <row r="452" ht="29.25"/>
    <row r="453" ht="29.25"/>
    <row r="454" ht="29.25"/>
    <row r="455" ht="29.25"/>
    <row r="456" ht="29.25"/>
    <row r="457" ht="29.25"/>
    <row r="458" ht="29.25"/>
    <row r="459" ht="29.25"/>
    <row r="460" ht="29.25"/>
    <row r="461" ht="29.25"/>
    <row r="462" ht="29.25"/>
    <row r="463" ht="29.25"/>
    <row r="464" ht="29.25"/>
    <row r="465" ht="29.25"/>
    <row r="466" ht="29.25"/>
    <row r="467" ht="29.25"/>
    <row r="468" ht="29.25"/>
    <row r="469" ht="29.25"/>
    <row r="470" ht="29.25"/>
    <row r="471" ht="29.25"/>
    <row r="472" ht="29.25"/>
    <row r="473" ht="29.25"/>
    <row r="474" ht="29.25"/>
    <row r="475" ht="29.25"/>
    <row r="476" ht="29.25"/>
    <row r="477" ht="29.25"/>
    <row r="478" ht="29.25"/>
    <row r="479" ht="29.25"/>
    <row r="480" ht="29.25"/>
    <row r="481" ht="29.25"/>
    <row r="482" ht="29.25"/>
    <row r="483" ht="29.25"/>
    <row r="484" ht="29.25"/>
    <row r="485" ht="29.25"/>
    <row r="486" ht="29.25"/>
    <row r="487" ht="29.25"/>
    <row r="488" ht="29.25"/>
    <row r="489" ht="29.25"/>
    <row r="490" ht="29.25"/>
    <row r="491" ht="29.25"/>
    <row r="492" ht="29.25"/>
    <row r="493" ht="29.25"/>
    <row r="494" ht="29.25"/>
    <row r="495" ht="29.25"/>
    <row r="496" ht="29.25"/>
    <row r="497" ht="29.25"/>
    <row r="498" ht="29.25"/>
    <row r="499" ht="29.25"/>
    <row r="500" ht="29.25"/>
    <row r="501" ht="29.25"/>
    <row r="502" ht="29.25"/>
    <row r="503" ht="29.25"/>
    <row r="504" ht="29.25"/>
    <row r="505" ht="29.25"/>
    <row r="506" ht="29.25"/>
    <row r="507" ht="29.25"/>
    <row r="508" ht="29.25"/>
    <row r="509" ht="29.25"/>
    <row r="510" ht="29.25"/>
    <row r="511" ht="29.25"/>
    <row r="512" ht="29.25"/>
    <row r="513" ht="29.25"/>
    <row r="514" ht="29.25"/>
    <row r="515" ht="29.25"/>
    <row r="516" ht="29.25"/>
    <row r="517" ht="29.25"/>
    <row r="518" ht="29.25"/>
    <row r="519" ht="29.25"/>
    <row r="520" ht="29.25"/>
    <row r="521" ht="29.25"/>
    <row r="522" ht="29.25"/>
    <row r="523" ht="29.25"/>
    <row r="524" ht="29.25"/>
    <row r="525" ht="29.25"/>
    <row r="526" ht="29.25"/>
    <row r="527" ht="29.25"/>
    <row r="528" ht="29.25"/>
    <row r="529" ht="29.25"/>
    <row r="530" ht="29.25"/>
    <row r="531" ht="29.25"/>
    <row r="532" ht="29.25"/>
    <row r="533" ht="29.25"/>
    <row r="534" ht="29.25"/>
    <row r="535" ht="29.25"/>
    <row r="536" ht="29.25"/>
    <row r="537" ht="29.25"/>
    <row r="538" ht="29.25"/>
    <row r="539" ht="29.25"/>
    <row r="540" ht="29.25"/>
    <row r="541" ht="29.25"/>
    <row r="542" ht="29.25"/>
    <row r="543" ht="29.25"/>
    <row r="544" ht="29.25"/>
    <row r="545" ht="29.25"/>
    <row r="546" ht="29.25"/>
    <row r="547" ht="29.25"/>
    <row r="548" ht="29.25"/>
    <row r="549" ht="29.25"/>
    <row r="550" ht="29.25"/>
    <row r="551" ht="29.25"/>
    <row r="552" ht="29.25"/>
    <row r="553" ht="29.25"/>
    <row r="554" ht="29.25"/>
    <row r="555" ht="29.25"/>
    <row r="556" ht="29.25"/>
    <row r="557" ht="29.25"/>
    <row r="558" ht="29.25"/>
    <row r="559" ht="29.25"/>
    <row r="560" ht="29.25"/>
    <row r="561" ht="29.25"/>
    <row r="562" ht="29.25"/>
    <row r="563" ht="29.25"/>
    <row r="564" ht="29.25"/>
    <row r="565" ht="29.25"/>
    <row r="566" ht="29.25"/>
    <row r="567" ht="29.25"/>
    <row r="568" ht="29.25"/>
    <row r="569" ht="29.25"/>
    <row r="570" ht="29.25"/>
    <row r="571" ht="29.25"/>
    <row r="572" ht="29.25"/>
    <row r="573" ht="29.25"/>
    <row r="574" ht="29.25"/>
    <row r="575" ht="29.25"/>
    <row r="576" ht="29.25"/>
    <row r="577" ht="29.25"/>
    <row r="578" ht="29.25"/>
    <row r="579" ht="29.25"/>
    <row r="580" ht="29.25"/>
    <row r="581" ht="29.25"/>
    <row r="582" ht="29.25"/>
    <row r="583" ht="29.25"/>
    <row r="584" ht="29.25"/>
    <row r="585" ht="29.25"/>
    <row r="586" ht="29.25"/>
    <row r="587" ht="29.25"/>
    <row r="588" ht="29.25"/>
    <row r="589" ht="29.25"/>
    <row r="590" ht="29.25"/>
    <row r="591" ht="29.25"/>
    <row r="592" ht="29.25"/>
    <row r="593" ht="29.25"/>
    <row r="594" ht="29.25"/>
    <row r="595" ht="29.25"/>
    <row r="596" ht="29.25"/>
    <row r="597" ht="29.25"/>
    <row r="598" ht="29.25"/>
    <row r="599" ht="29.25"/>
    <row r="600" ht="29.25"/>
    <row r="601" ht="29.25"/>
    <row r="602" ht="29.25"/>
    <row r="603" ht="29.25"/>
    <row r="604" ht="29.25"/>
    <row r="605" ht="29.25"/>
    <row r="606" ht="29.25"/>
    <row r="607" ht="29.25"/>
    <row r="608" ht="29.25"/>
    <row r="609" ht="29.25"/>
    <row r="610" ht="29.25"/>
    <row r="611" ht="29.25"/>
    <row r="612" ht="29.25"/>
    <row r="613" ht="29.25"/>
    <row r="614" ht="29.25"/>
    <row r="615" ht="29.25"/>
    <row r="616" ht="29.25"/>
    <row r="617" ht="29.25"/>
    <row r="618" ht="29.25"/>
    <row r="619" ht="29.25"/>
    <row r="620" ht="29.25"/>
    <row r="621" ht="29.25"/>
    <row r="622" ht="29.25"/>
    <row r="623" ht="29.25"/>
    <row r="624" ht="29.25"/>
    <row r="625" ht="29.25"/>
    <row r="626" ht="29.25"/>
    <row r="627" ht="29.25"/>
    <row r="628" ht="29.25"/>
    <row r="629" ht="29.25"/>
    <row r="630" ht="29.25"/>
    <row r="631" ht="29.25"/>
    <row r="632" ht="29.25"/>
    <row r="633" ht="29.25"/>
    <row r="634" ht="29.25"/>
    <row r="635" ht="29.25"/>
    <row r="636" ht="29.25"/>
    <row r="637" ht="29.25"/>
    <row r="638" ht="29.25"/>
    <row r="639" ht="29.25"/>
    <row r="640" ht="29.25"/>
    <row r="641" ht="29.25"/>
    <row r="642" ht="29.25"/>
    <row r="643" ht="29.25"/>
    <row r="644" ht="29.25"/>
    <row r="645" ht="29.25"/>
    <row r="646" ht="29.25"/>
    <row r="647" ht="29.25"/>
    <row r="648" ht="29.25"/>
    <row r="649" ht="29.25"/>
    <row r="650" ht="29.25"/>
    <row r="651" ht="29.25"/>
    <row r="652" ht="29.25"/>
    <row r="653" ht="29.25"/>
    <row r="654" ht="29.25"/>
    <row r="655" ht="29.25"/>
    <row r="656" ht="29.25"/>
    <row r="657" ht="29.25"/>
    <row r="658" ht="29.25"/>
    <row r="659" ht="29.25"/>
    <row r="660" ht="29.25"/>
    <row r="661" ht="29.25"/>
    <row r="662" ht="29.25"/>
    <row r="663" ht="29.25"/>
    <row r="664" ht="29.25"/>
    <row r="665" ht="29.25"/>
    <row r="666" ht="29.25"/>
    <row r="667" ht="29.25"/>
    <row r="668" ht="29.25"/>
    <row r="669" ht="29.25"/>
    <row r="670" ht="29.25"/>
    <row r="671" ht="29.25"/>
    <row r="672" ht="29.25"/>
    <row r="673" ht="29.25"/>
    <row r="674" ht="29.25"/>
    <row r="675" ht="29.25"/>
    <row r="676" ht="29.25"/>
    <row r="677" ht="29.25"/>
    <row r="678" ht="29.25"/>
    <row r="679" ht="29.25"/>
    <row r="680" ht="29.25"/>
    <row r="681" ht="29.25"/>
    <row r="682" ht="29.25"/>
    <row r="683" ht="29.25"/>
    <row r="684" ht="29.25"/>
    <row r="685" ht="29.25"/>
    <row r="686" ht="29.25"/>
    <row r="687" ht="29.25"/>
    <row r="688" ht="29.25"/>
    <row r="689" ht="29.25"/>
    <row r="690" ht="29.25"/>
    <row r="691" ht="29.25"/>
    <row r="692" ht="29.25"/>
    <row r="693" ht="29.25"/>
    <row r="694" ht="29.25"/>
    <row r="695" ht="29.25"/>
    <row r="696" ht="29.25"/>
    <row r="697" ht="29.25"/>
    <row r="698" ht="29.25"/>
    <row r="699" ht="29.25"/>
    <row r="700" ht="29.25"/>
    <row r="701" ht="29.25"/>
    <row r="702" ht="29.25"/>
    <row r="703" ht="29.25"/>
    <row r="704" ht="29.25"/>
    <row r="705" ht="29.25"/>
    <row r="706" ht="29.25"/>
    <row r="707" ht="29.25"/>
    <row r="708" ht="29.25"/>
    <row r="709" ht="29.25"/>
    <row r="710" ht="29.25"/>
    <row r="711" ht="29.25"/>
    <row r="712" ht="29.25"/>
    <row r="713" ht="29.25"/>
    <row r="714" ht="29.25"/>
    <row r="715" ht="29.25"/>
    <row r="716" ht="29.25"/>
    <row r="717" ht="29.25"/>
    <row r="718" ht="29.25"/>
    <row r="719" ht="29.25"/>
    <row r="720" ht="29.25"/>
    <row r="721" ht="29.25"/>
    <row r="722" ht="29.25"/>
    <row r="723" ht="29.25"/>
    <row r="724" ht="29.25"/>
    <row r="725" ht="29.25"/>
    <row r="726" ht="29.25"/>
    <row r="727" ht="29.25"/>
    <row r="728" ht="29.25"/>
    <row r="729" ht="29.25"/>
    <row r="730" ht="29.25"/>
    <row r="731" ht="29.25"/>
    <row r="732" ht="29.25"/>
    <row r="733" ht="29.25"/>
    <row r="734" ht="29.25"/>
    <row r="735" ht="29.25"/>
    <row r="736" ht="29.25"/>
    <row r="737" ht="29.25"/>
    <row r="738" ht="29.25"/>
    <row r="739" ht="29.25"/>
    <row r="740" ht="29.25"/>
    <row r="741" ht="29.25"/>
    <row r="742" ht="29.25"/>
    <row r="743" ht="29.25"/>
    <row r="744" ht="29.25"/>
    <row r="745" ht="29.25"/>
    <row r="746" ht="29.25"/>
    <row r="747" ht="29.25"/>
    <row r="748" ht="29.25"/>
    <row r="749" ht="29.25"/>
    <row r="750" ht="29.25"/>
    <row r="751" ht="29.25"/>
    <row r="752" ht="29.25"/>
    <row r="753" ht="29.25"/>
    <row r="754" ht="29.25"/>
    <row r="755" ht="29.25"/>
    <row r="756" ht="29.25"/>
    <row r="757" ht="29.25"/>
    <row r="758" ht="29.25"/>
    <row r="759" ht="29.25"/>
    <row r="760" ht="29.25"/>
    <row r="761" ht="29.25"/>
    <row r="762" ht="29.25"/>
    <row r="763" ht="29.25"/>
    <row r="764" ht="29.25"/>
    <row r="765" ht="29.25"/>
    <row r="766" ht="29.25"/>
    <row r="767" ht="29.25"/>
    <row r="768" ht="29.25"/>
    <row r="769" ht="29.25"/>
    <row r="770" ht="29.25"/>
    <row r="771" ht="29.25"/>
    <row r="772" ht="29.25"/>
    <row r="773" ht="29.25"/>
    <row r="774" ht="29.25"/>
    <row r="775" ht="29.25"/>
    <row r="776" ht="29.25"/>
    <row r="777" ht="29.25"/>
    <row r="778" ht="29.25"/>
    <row r="779" ht="29.25"/>
    <row r="780" ht="29.25"/>
    <row r="781" ht="29.25"/>
    <row r="782" ht="29.25"/>
    <row r="783" ht="29.25"/>
    <row r="784" ht="29.25"/>
    <row r="785" ht="29.25"/>
    <row r="786" ht="29.25"/>
    <row r="787" ht="29.25"/>
    <row r="788" ht="29.25"/>
    <row r="789" ht="29.25"/>
    <row r="790" ht="29.25"/>
    <row r="791" ht="29.25"/>
    <row r="792" ht="29.25"/>
    <row r="793" ht="29.25"/>
    <row r="794" ht="29.25"/>
    <row r="795" ht="29.25"/>
    <row r="796" ht="29.25"/>
    <row r="797" ht="29.25"/>
    <row r="798" ht="29.25"/>
    <row r="799" ht="29.25"/>
    <row r="800" ht="29.25"/>
    <row r="801" ht="29.25"/>
    <row r="802" ht="29.25"/>
    <row r="803" ht="29.25"/>
    <row r="804" ht="29.25"/>
    <row r="805" ht="29.25"/>
    <row r="806" ht="29.25"/>
    <row r="807" ht="29.25"/>
    <row r="808" ht="29.25"/>
    <row r="809" ht="29.25"/>
    <row r="810" ht="29.25"/>
    <row r="811" ht="29.25"/>
    <row r="812" ht="29.25"/>
    <row r="813" ht="29.25"/>
    <row r="814" ht="29.25"/>
    <row r="815" ht="29.25"/>
    <row r="816" ht="29.25"/>
    <row r="817" ht="29.25"/>
    <row r="818" ht="29.25"/>
    <row r="819" ht="29.25"/>
    <row r="820" ht="29.25"/>
    <row r="821" ht="29.25"/>
    <row r="822" ht="29.25"/>
    <row r="823" ht="29.25"/>
    <row r="824" ht="29.25"/>
    <row r="825" ht="29.25"/>
    <row r="826" ht="29.25"/>
    <row r="827" ht="29.25"/>
    <row r="828" ht="29.25"/>
    <row r="829" ht="29.25"/>
    <row r="830" ht="29.25"/>
    <row r="831" ht="29.25"/>
    <row r="832" ht="29.25"/>
    <row r="833" ht="29.25"/>
    <row r="834" ht="29.25"/>
    <row r="835" ht="29.25"/>
    <row r="836" ht="29.25"/>
    <row r="837" ht="29.25"/>
    <row r="838" ht="29.25"/>
    <row r="839" ht="29.25"/>
    <row r="840" ht="29.25"/>
    <row r="841" ht="29.25"/>
    <row r="842" ht="29.25"/>
    <row r="843" ht="29.25"/>
    <row r="844" ht="29.25"/>
    <row r="845" ht="29.25"/>
    <row r="846" ht="29.25"/>
    <row r="847" ht="29.25"/>
    <row r="848" ht="29.25"/>
    <row r="849" ht="29.25"/>
    <row r="850" ht="29.25"/>
    <row r="851" ht="29.25"/>
    <row r="852" ht="29.25"/>
    <row r="853" ht="29.25"/>
    <row r="854" ht="29.25"/>
    <row r="855" ht="29.25"/>
    <row r="856" ht="29.25"/>
    <row r="857" ht="29.25"/>
    <row r="858" ht="29.25"/>
    <row r="859" ht="29.25"/>
    <row r="860" ht="29.25"/>
    <row r="861" ht="29.25"/>
    <row r="862" ht="29.25"/>
    <row r="863" ht="29.25"/>
    <row r="864" ht="29.25"/>
    <row r="865" ht="29.25"/>
    <row r="866" ht="29.25"/>
    <row r="867" ht="29.25"/>
    <row r="868" ht="29.25"/>
    <row r="869" ht="29.25"/>
    <row r="870" ht="29.25"/>
    <row r="871" ht="29.25"/>
    <row r="872" ht="29.25"/>
    <row r="873" ht="29.25"/>
    <row r="874" ht="29.25"/>
    <row r="875" ht="29.25"/>
    <row r="876" ht="29.25"/>
    <row r="877" ht="29.25"/>
    <row r="878" ht="29.25"/>
    <row r="879" ht="29.25"/>
    <row r="880" ht="29.25"/>
    <row r="881" ht="29.25"/>
    <row r="882" ht="29.25"/>
    <row r="883" ht="29.25"/>
    <row r="884" ht="29.25"/>
    <row r="885" ht="29.25"/>
    <row r="886" ht="29.25"/>
    <row r="887" ht="29.25"/>
    <row r="888" ht="29.25"/>
    <row r="889" ht="29.25"/>
    <row r="890" ht="29.25"/>
    <row r="891" ht="29.25"/>
    <row r="892" ht="29.25"/>
    <row r="893" ht="29.25"/>
    <row r="894" ht="29.25"/>
    <row r="895" ht="29.25"/>
    <row r="896" ht="29.25"/>
    <row r="897" ht="29.25"/>
    <row r="898" ht="29.25"/>
    <row r="899" ht="29.25"/>
    <row r="900" ht="29.25"/>
    <row r="901" ht="29.25"/>
    <row r="902" ht="29.25"/>
    <row r="903" ht="29.25"/>
    <row r="904" ht="29.25"/>
    <row r="905" ht="29.25"/>
    <row r="906" ht="29.25"/>
    <row r="907" ht="29.25"/>
    <row r="908" ht="29.25"/>
    <row r="909" ht="29.25"/>
    <row r="910" ht="29.25"/>
    <row r="911" ht="29.25"/>
    <row r="912" ht="29.25"/>
    <row r="913" ht="29.25"/>
    <row r="914" ht="29.25"/>
    <row r="915" ht="29.25"/>
    <row r="916" ht="29.25"/>
    <row r="917" ht="29.25"/>
    <row r="918" ht="29.25"/>
    <row r="919" ht="29.25"/>
    <row r="920" ht="29.25"/>
    <row r="921" ht="29.25"/>
    <row r="922" ht="29.25"/>
    <row r="923" ht="29.25"/>
    <row r="924" ht="29.25"/>
    <row r="925" ht="29.25"/>
    <row r="926" ht="29.25"/>
    <row r="927" ht="29.25"/>
    <row r="928" ht="29.25"/>
    <row r="929" ht="29.25"/>
    <row r="930" ht="29.25"/>
    <row r="931" ht="29.25"/>
    <row r="932" ht="29.25"/>
    <row r="933" ht="29.25"/>
    <row r="934" ht="29.25"/>
    <row r="935" ht="29.25"/>
    <row r="936" ht="29.25"/>
    <row r="937" ht="29.25"/>
    <row r="938" ht="29.25"/>
    <row r="939" ht="29.25"/>
    <row r="940" ht="29.25"/>
    <row r="941" ht="29.25"/>
    <row r="942" ht="29.25"/>
    <row r="943" ht="29.25"/>
    <row r="944" ht="29.25"/>
    <row r="945" ht="29.25"/>
    <row r="946" ht="29.25"/>
    <row r="947" ht="29.25"/>
    <row r="948" ht="29.25"/>
    <row r="949" ht="29.25"/>
    <row r="950" ht="29.25"/>
    <row r="951" ht="29.25"/>
    <row r="952" ht="29.25"/>
    <row r="953" ht="29.25"/>
    <row r="954" ht="29.25"/>
    <row r="955" ht="29.25"/>
    <row r="956" ht="29.25"/>
    <row r="957" ht="29.25"/>
    <row r="958" ht="29.25"/>
    <row r="959" ht="29.25"/>
    <row r="960" ht="29.25"/>
    <row r="961" ht="29.25"/>
    <row r="962" ht="29.25"/>
    <row r="963" ht="29.25"/>
    <row r="964" ht="29.25"/>
    <row r="965" ht="29.25"/>
    <row r="966" ht="29.25"/>
    <row r="967" ht="29.25"/>
    <row r="968" ht="29.25"/>
    <row r="969" ht="29.25"/>
    <row r="970" ht="29.25"/>
    <row r="971" ht="29.25"/>
    <row r="972" ht="29.25"/>
    <row r="973" ht="29.25"/>
    <row r="974" ht="29.25"/>
    <row r="975" ht="29.25"/>
    <row r="976" ht="29.25"/>
    <row r="977" ht="29.25"/>
    <row r="978" ht="29.25"/>
    <row r="979" ht="29.25"/>
    <row r="980" ht="29.25"/>
    <row r="981" ht="29.25"/>
    <row r="982" ht="29.25"/>
    <row r="983" ht="29.25"/>
    <row r="984" ht="29.25"/>
    <row r="985" ht="29.25"/>
    <row r="986" ht="29.25"/>
    <row r="987" ht="29.25"/>
    <row r="988" ht="29.25"/>
    <row r="989" ht="29.25"/>
    <row r="990" ht="29.25"/>
    <row r="991" ht="29.25"/>
    <row r="992" ht="29.25"/>
    <row r="993" ht="29.25"/>
    <row r="994" ht="29.25"/>
    <row r="995" ht="29.25"/>
    <row r="996" ht="29.25"/>
    <row r="997" ht="29.25"/>
    <row r="998" ht="29.25"/>
    <row r="999" ht="29.25"/>
    <row r="1000" ht="29.25"/>
    <row r="1001" ht="29.25"/>
    <row r="1002" ht="29.25"/>
    <row r="1003" ht="29.25"/>
    <row r="1004" ht="29.25"/>
    <row r="1005" ht="29.25"/>
    <row r="1006" ht="29.25"/>
    <row r="1007" ht="29.25"/>
    <row r="1008" ht="29.25"/>
    <row r="1009" ht="29.25"/>
    <row r="1010" ht="29.25"/>
    <row r="1011" ht="29.25"/>
    <row r="1012" ht="29.25"/>
    <row r="1013" ht="29.25"/>
    <row r="1014" ht="29.25"/>
    <row r="1015" ht="29.25"/>
    <row r="1016" ht="29.25"/>
    <row r="1017" ht="29.25"/>
    <row r="1018" ht="29.25"/>
    <row r="1019" ht="29.25"/>
    <row r="1020" ht="29.25"/>
    <row r="1021" ht="29.25"/>
    <row r="1022" ht="29.25"/>
    <row r="1023" ht="29.25"/>
    <row r="1024" ht="29.25"/>
    <row r="1025" ht="29.25"/>
    <row r="1026" ht="29.25"/>
    <row r="1027" ht="29.25"/>
    <row r="1028" ht="29.25"/>
    <row r="1029" ht="29.25"/>
    <row r="1030" ht="29.25"/>
    <row r="1031" ht="29.25"/>
    <row r="1032" ht="29.25"/>
    <row r="1033" ht="29.25"/>
    <row r="1034" ht="29.25"/>
    <row r="1035" ht="29.25"/>
    <row r="1036" ht="29.25"/>
    <row r="1037" ht="29.25"/>
    <row r="1038" ht="29.25"/>
    <row r="1039" ht="29.25"/>
    <row r="1040" ht="29.25"/>
    <row r="1041" ht="29.25"/>
    <row r="1042" ht="29.25"/>
    <row r="1043" ht="29.25"/>
    <row r="1044" ht="29.25"/>
    <row r="1045" ht="29.25"/>
    <row r="1046" ht="29.25"/>
    <row r="1047" ht="29.25"/>
    <row r="1048" ht="29.25"/>
    <row r="1049" ht="29.25"/>
    <row r="1050" ht="29.25"/>
    <row r="1051" ht="29.25"/>
    <row r="1052" ht="29.25"/>
    <row r="1053" ht="29.25"/>
    <row r="1054" ht="29.25"/>
    <row r="1055" ht="29.25"/>
    <row r="1056" ht="29.25"/>
    <row r="1057" ht="29.25"/>
    <row r="1058" ht="29.25"/>
    <row r="1059" ht="29.25"/>
    <row r="1060" ht="29.25"/>
    <row r="1061" ht="29.25"/>
    <row r="1062" ht="29.25"/>
    <row r="1063" ht="29.25"/>
    <row r="1064" ht="29.25"/>
    <row r="1065" ht="29.25"/>
    <row r="1066" ht="29.25"/>
    <row r="1067" ht="29.25"/>
    <row r="1068" ht="29.25"/>
    <row r="1069" ht="29.25"/>
    <row r="1070" ht="29.25"/>
    <row r="1071" ht="29.25"/>
    <row r="1072" ht="29.25"/>
    <row r="1073" ht="29.25"/>
    <row r="1074" ht="29.25"/>
    <row r="1075" ht="29.25"/>
    <row r="1076" ht="29.25"/>
    <row r="1077" ht="29.25"/>
    <row r="1078" ht="29.25"/>
    <row r="1079" ht="29.25"/>
    <row r="1080" ht="29.25"/>
    <row r="1081" ht="29.25"/>
    <row r="1082" ht="29.25"/>
    <row r="1083" ht="29.25"/>
    <row r="1084" ht="29.25"/>
    <row r="1085" ht="29.25"/>
    <row r="1086" ht="29.25"/>
    <row r="1087" ht="29.25"/>
    <row r="1088" ht="29.25"/>
    <row r="1089" ht="29.25"/>
    <row r="1090" ht="29.25"/>
    <row r="1091" ht="29.25"/>
    <row r="1092" ht="29.25"/>
    <row r="1093" ht="29.25"/>
    <row r="1094" ht="29.25"/>
    <row r="1095" ht="29.25"/>
    <row r="1096" ht="29.25"/>
    <row r="1097" ht="29.25"/>
    <row r="1098" ht="29.25"/>
    <row r="1099" ht="29.25"/>
    <row r="1100" ht="29.25"/>
    <row r="1101" ht="29.25"/>
    <row r="1102" ht="29.25"/>
    <row r="1103" ht="29.25"/>
    <row r="1104" ht="29.25"/>
    <row r="1105" ht="29.25"/>
    <row r="1106" ht="29.25"/>
    <row r="1107" ht="29.25"/>
    <row r="1108" ht="29.25"/>
    <row r="1109" ht="29.25"/>
    <row r="1110" ht="29.25"/>
    <row r="1111" ht="29.25"/>
    <row r="1112" ht="29.25"/>
    <row r="1113" ht="29.25"/>
    <row r="1114" ht="29.25"/>
    <row r="1115" ht="29.25"/>
    <row r="1116" ht="29.25"/>
    <row r="1117" ht="29.25"/>
    <row r="1118" ht="29.25"/>
    <row r="1119" ht="29.25"/>
    <row r="1120" ht="29.25"/>
    <row r="1121" ht="29.25"/>
    <row r="1122" ht="29.25"/>
    <row r="1123" ht="29.25"/>
    <row r="1124" ht="29.25"/>
    <row r="1125" ht="29.25"/>
    <row r="1126" ht="29.25"/>
    <row r="1127" ht="29.25"/>
    <row r="1128" ht="29.25"/>
    <row r="1129" ht="29.25"/>
    <row r="1130" ht="29.25"/>
    <row r="1131" ht="29.25"/>
    <row r="1132" ht="29.25"/>
    <row r="1133" ht="29.25"/>
    <row r="1134" ht="29.25"/>
    <row r="1135" ht="29.25"/>
    <row r="1136" ht="29.25"/>
    <row r="1137" ht="29.25"/>
    <row r="1138" ht="29.25"/>
    <row r="1139" ht="29.25"/>
    <row r="1140" ht="29.25"/>
    <row r="1141" ht="29.25"/>
    <row r="1142" ht="29.25"/>
    <row r="1143" ht="29.25"/>
    <row r="1144" ht="29.25"/>
    <row r="1145" ht="29.25"/>
    <row r="1146" ht="29.25"/>
    <row r="1147" ht="29.25"/>
    <row r="1148" ht="29.25"/>
    <row r="1149" ht="29.25"/>
    <row r="1150" ht="29.25"/>
    <row r="1151" ht="29.25"/>
    <row r="1152" ht="29.25"/>
    <row r="1153" ht="29.25"/>
    <row r="1154" ht="29.25"/>
    <row r="1155" ht="29.25"/>
    <row r="1156" ht="29.25"/>
    <row r="1157" ht="29.25"/>
    <row r="1158" ht="29.25"/>
    <row r="1159" ht="29.25"/>
    <row r="1160" ht="29.25"/>
    <row r="1161" ht="29.25"/>
    <row r="1162" ht="29.25"/>
    <row r="1163" ht="29.25"/>
    <row r="1164" ht="29.25"/>
    <row r="1165" ht="29.25"/>
    <row r="1166" ht="29.25"/>
    <row r="1167" ht="29.25"/>
    <row r="1168" ht="29.25"/>
    <row r="1169" ht="29.25"/>
    <row r="1170" ht="29.25"/>
    <row r="1171" ht="29.25"/>
    <row r="1172" ht="29.25"/>
    <row r="1173" ht="29.25"/>
    <row r="1174" ht="29.25"/>
    <row r="1175" ht="29.25"/>
    <row r="1176" ht="29.25"/>
    <row r="1177" ht="29.25"/>
    <row r="1178" ht="29.25"/>
    <row r="1179" ht="29.25"/>
    <row r="1180" ht="29.25"/>
    <row r="1181" ht="29.25"/>
    <row r="1182" ht="29.25"/>
    <row r="1183" ht="29.25"/>
    <row r="1184" ht="29.25"/>
    <row r="1185" ht="29.25"/>
    <row r="1186" ht="29.25"/>
    <row r="1187" ht="29.25"/>
    <row r="1188" ht="29.25"/>
    <row r="1189" ht="29.25"/>
    <row r="1190" ht="29.25"/>
    <row r="1191" ht="29.25"/>
    <row r="1192" ht="29.25"/>
    <row r="1193" ht="29.25"/>
    <row r="1194" ht="29.25"/>
    <row r="1195" ht="29.25"/>
    <row r="1196" ht="29.25"/>
    <row r="1197" ht="29.25"/>
    <row r="1198" ht="29.25"/>
    <row r="1199" ht="29.25"/>
    <row r="1200" ht="29.25"/>
    <row r="1201" ht="29.25"/>
    <row r="1202" ht="29.25"/>
    <row r="1203" ht="29.25"/>
    <row r="1204" ht="29.25"/>
    <row r="1205" ht="29.25"/>
    <row r="1206" ht="29.25"/>
    <row r="1207" ht="29.25"/>
    <row r="1208" ht="29.25"/>
    <row r="1209" ht="29.25"/>
    <row r="1210" ht="29.25"/>
    <row r="1211" ht="29.25"/>
    <row r="1212" ht="29.25"/>
    <row r="1213" ht="29.25"/>
    <row r="1214" ht="29.25"/>
    <row r="1215" ht="29.25"/>
    <row r="1216" ht="29.25"/>
    <row r="1217" ht="29.25"/>
    <row r="1218" ht="29.25"/>
    <row r="1219" ht="29.25"/>
    <row r="1220" ht="29.25"/>
    <row r="1221" ht="29.25"/>
    <row r="1222" ht="29.25"/>
    <row r="1223" ht="29.25"/>
    <row r="1224" ht="29.25"/>
    <row r="1225" ht="29.25"/>
    <row r="1226" ht="29.25"/>
    <row r="1227" ht="29.25"/>
    <row r="1228" ht="29.25"/>
    <row r="1229" ht="29.25"/>
    <row r="1230" ht="29.25"/>
    <row r="1231" ht="29.25"/>
    <row r="1232" ht="29.25"/>
    <row r="1233" ht="29.25"/>
    <row r="1234" ht="29.25"/>
    <row r="1235" ht="29.25"/>
    <row r="1236" ht="29.25"/>
    <row r="1237" ht="29.25"/>
    <row r="1238" ht="29.25"/>
    <row r="1239" ht="29.25"/>
    <row r="1240" ht="29.25"/>
    <row r="1241" ht="29.25"/>
    <row r="1242" ht="29.25"/>
    <row r="1243" ht="29.25"/>
    <row r="1244" ht="29.25"/>
    <row r="1245" ht="29.25"/>
    <row r="1246" ht="29.25"/>
    <row r="1247" ht="29.25"/>
    <row r="1248" ht="29.25"/>
    <row r="1249" ht="29.25"/>
    <row r="1250" ht="29.25"/>
    <row r="1251" ht="29.25"/>
    <row r="1252" ht="29.25"/>
    <row r="1253" ht="29.25"/>
    <row r="1254" ht="29.25"/>
    <row r="1255" ht="29.25"/>
    <row r="1256" ht="29.25"/>
    <row r="1257" ht="29.25"/>
    <row r="1258" ht="29.25"/>
    <row r="1259" ht="29.25"/>
    <row r="1260" ht="29.25"/>
    <row r="1261" ht="29.25"/>
    <row r="1262" ht="29.25"/>
    <row r="1263" ht="29.25"/>
    <row r="1264" ht="29.25"/>
    <row r="1265" ht="29.25"/>
    <row r="1266" ht="29.25"/>
    <row r="1267" ht="29.25"/>
    <row r="1268" ht="29.25"/>
    <row r="1269" ht="29.25"/>
    <row r="1270" ht="29.25"/>
    <row r="1271" ht="29.25"/>
    <row r="1272" ht="29.25"/>
    <row r="1273" ht="29.25"/>
    <row r="1274" ht="29.25"/>
    <row r="1275" ht="29.25"/>
    <row r="1276" ht="29.25"/>
    <row r="1277" ht="29.25"/>
    <row r="1278" ht="29.25"/>
    <row r="1279" ht="29.25"/>
    <row r="1280" ht="29.25"/>
    <row r="1281" ht="29.25"/>
    <row r="1282" ht="29.25"/>
    <row r="1283" ht="29.25"/>
    <row r="1284" ht="29.25"/>
    <row r="1285" ht="29.25"/>
    <row r="1286" ht="29.25"/>
    <row r="1287" ht="29.25"/>
    <row r="1288" ht="29.25"/>
    <row r="1289" ht="29.25"/>
    <row r="1290" ht="29.25"/>
    <row r="1291" ht="29.25"/>
    <row r="1292" ht="29.25"/>
    <row r="1293" ht="29.25"/>
    <row r="1294" ht="29.25"/>
    <row r="1295" ht="29.25"/>
    <row r="1296" ht="29.25"/>
    <row r="1297" ht="29.25"/>
    <row r="1298" ht="29.25"/>
    <row r="1299" ht="29.25"/>
    <row r="1300" ht="29.25"/>
    <row r="1301" ht="29.25"/>
    <row r="1302" ht="29.25"/>
    <row r="1303" ht="29.25"/>
    <row r="1304" ht="29.25"/>
    <row r="1305" ht="29.25"/>
    <row r="1306" ht="29.25"/>
    <row r="1307" ht="29.25"/>
    <row r="1308" ht="29.25"/>
    <row r="1309" ht="29.25"/>
    <row r="1310" ht="29.25"/>
    <row r="1311" ht="29.25"/>
    <row r="1312" ht="29.25"/>
    <row r="1313" ht="29.25"/>
    <row r="1314" ht="29.25"/>
    <row r="1315" ht="29.25"/>
    <row r="1316" ht="29.25"/>
    <row r="1317" ht="29.25"/>
    <row r="1318" ht="29.25"/>
    <row r="1319" ht="29.25"/>
    <row r="1320" ht="29.25"/>
    <row r="1321" ht="29.25"/>
    <row r="1322" ht="29.25"/>
    <row r="1323" ht="29.25"/>
    <row r="1324" ht="29.25"/>
    <row r="1325" ht="29.25"/>
    <row r="1326" ht="29.25"/>
    <row r="1327" ht="29.25"/>
    <row r="1328" ht="29.25"/>
    <row r="1329" ht="29.25"/>
    <row r="1330" ht="29.25"/>
    <row r="1331" ht="29.25"/>
    <row r="1332" ht="29.25"/>
    <row r="1333" ht="29.25"/>
    <row r="1334" ht="29.25"/>
    <row r="1335" ht="29.25"/>
    <row r="1336" ht="29.25"/>
    <row r="1337" ht="29.25"/>
    <row r="1338" ht="29.25"/>
    <row r="1339" ht="29.25"/>
    <row r="1340" ht="29.25"/>
    <row r="1341" ht="29.25"/>
    <row r="1342" ht="29.25"/>
    <row r="1343" ht="29.25"/>
    <row r="1344" ht="29.25"/>
    <row r="1345" ht="29.25"/>
    <row r="1346" ht="29.25"/>
    <row r="1347" ht="29.25"/>
    <row r="1348" ht="29.25"/>
    <row r="1349" ht="29.25"/>
    <row r="1350" ht="29.25"/>
    <row r="1351" ht="29.25"/>
    <row r="1352" ht="29.25"/>
    <row r="1353" ht="29.25"/>
    <row r="1354" ht="29.25"/>
    <row r="1355" ht="29.25"/>
    <row r="1356" ht="29.25"/>
    <row r="1357" ht="29.25"/>
    <row r="1358" ht="29.25"/>
    <row r="1359" ht="29.25"/>
    <row r="1360" ht="29.25"/>
    <row r="1361" ht="29.25"/>
    <row r="1362" ht="29.25"/>
    <row r="1363" ht="29.25"/>
    <row r="1364" ht="29.25"/>
    <row r="1365" ht="29.25"/>
    <row r="1366" ht="29.25"/>
    <row r="1367" ht="29.25"/>
    <row r="1368" ht="29.25"/>
    <row r="1369" ht="29.25"/>
    <row r="1370" ht="29.25"/>
    <row r="1371" ht="29.25"/>
    <row r="1372" ht="29.25"/>
    <row r="1373" ht="29.25"/>
    <row r="1374" ht="29.25"/>
    <row r="1375" ht="29.25"/>
    <row r="1376" ht="29.25"/>
    <row r="1377" ht="29.25"/>
    <row r="1378" ht="29.25"/>
    <row r="1379" ht="29.25"/>
    <row r="1380" ht="29.25"/>
    <row r="1381" ht="29.25"/>
    <row r="1382" ht="29.25"/>
    <row r="1383" ht="29.25"/>
    <row r="1384" ht="29.25"/>
    <row r="1385" ht="29.25"/>
    <row r="1386" ht="29.25"/>
    <row r="1387" ht="29.25"/>
    <row r="1388" ht="29.25"/>
    <row r="1389" ht="29.25"/>
    <row r="1390" ht="29.25"/>
    <row r="1391" ht="29.25"/>
    <row r="1392" ht="29.25"/>
    <row r="1393" ht="29.25"/>
    <row r="1394" ht="29.25"/>
    <row r="1395" ht="29.25"/>
    <row r="1396" ht="29.25"/>
    <row r="1397" ht="29.25"/>
    <row r="1398" ht="29.25"/>
    <row r="1399" ht="29.25"/>
    <row r="1400" ht="29.25"/>
    <row r="1401" ht="29.25"/>
    <row r="1402" ht="29.25"/>
    <row r="1403" ht="29.25"/>
    <row r="1404" ht="29.25"/>
    <row r="1405" ht="29.25"/>
    <row r="1406" ht="29.25"/>
    <row r="1407" ht="29.25"/>
    <row r="1408" ht="29.25"/>
    <row r="1409" ht="29.25"/>
    <row r="1410" ht="29.25"/>
    <row r="1411" ht="29.25"/>
    <row r="1412" ht="29.25"/>
    <row r="1413" ht="29.25"/>
    <row r="1414" ht="29.25"/>
    <row r="1415" ht="29.25"/>
    <row r="1416" ht="29.25"/>
    <row r="1417" ht="29.25"/>
    <row r="1418" ht="29.25"/>
    <row r="1419" ht="29.25"/>
    <row r="1420" ht="29.25"/>
    <row r="1421" ht="29.25"/>
    <row r="1422" ht="29.25"/>
    <row r="1423" ht="29.25"/>
    <row r="1424" ht="29.25"/>
    <row r="1425" ht="29.25"/>
    <row r="1426" ht="29.25"/>
    <row r="1427" ht="29.25"/>
    <row r="1428" ht="29.25"/>
    <row r="1429" ht="29.25"/>
    <row r="1430" ht="29.25"/>
    <row r="1431" ht="29.25"/>
    <row r="1432" ht="29.25"/>
    <row r="1433" ht="29.25"/>
    <row r="1434" ht="29.25"/>
    <row r="1435" ht="29.25"/>
    <row r="1436" ht="29.25"/>
    <row r="1437" ht="29.25"/>
    <row r="1438" ht="29.25"/>
    <row r="1439" ht="29.25"/>
    <row r="1440" ht="29.25"/>
    <row r="1441" ht="29.25"/>
    <row r="1442" ht="29.25"/>
    <row r="1443" ht="29.25"/>
    <row r="1444" ht="29.25"/>
    <row r="1445" ht="29.25"/>
    <row r="1446" ht="29.25"/>
    <row r="1447" ht="29.25"/>
    <row r="1448" ht="29.25"/>
    <row r="1449" ht="29.25"/>
    <row r="1450" ht="29.25"/>
    <row r="1451" ht="29.25"/>
    <row r="1452" ht="29.25"/>
    <row r="1453" ht="29.25"/>
    <row r="1454" ht="29.25"/>
    <row r="1455" ht="29.25"/>
    <row r="1456" ht="29.25"/>
    <row r="1457" ht="29.25"/>
    <row r="1458" ht="29.25"/>
    <row r="1459" ht="29.25"/>
    <row r="1460" ht="29.25"/>
    <row r="1461" ht="29.25"/>
    <row r="1462" ht="29.25"/>
    <row r="1463" ht="29.25"/>
    <row r="1464" ht="29.25"/>
    <row r="1465" ht="29.25"/>
    <row r="1466" ht="29.25"/>
    <row r="1467" ht="29.25"/>
    <row r="1468" ht="29.25"/>
    <row r="1469" ht="29.25"/>
    <row r="1470" ht="29.25"/>
    <row r="1471" ht="29.25"/>
    <row r="1472" ht="29.25"/>
    <row r="1473" ht="29.25"/>
    <row r="1474" ht="29.25"/>
    <row r="1475" ht="29.25"/>
    <row r="1476" ht="29.25"/>
    <row r="1477" ht="29.25"/>
    <row r="1478" ht="29.25"/>
    <row r="1479" ht="29.25"/>
    <row r="1480" ht="29.25"/>
    <row r="1481" ht="29.25"/>
    <row r="1482" ht="29.25"/>
    <row r="1483" ht="29.25"/>
    <row r="1484" ht="29.25"/>
    <row r="1485" ht="29.25"/>
    <row r="1486" ht="29.25"/>
    <row r="1487" ht="29.25"/>
    <row r="1488" ht="29.25"/>
    <row r="1489" ht="29.25"/>
    <row r="1490" ht="29.25"/>
    <row r="1491" ht="29.25"/>
    <row r="1492" ht="29.25"/>
    <row r="1493" ht="29.25"/>
    <row r="1494" ht="29.25"/>
    <row r="1495" ht="29.25"/>
    <row r="1496" ht="29.25"/>
    <row r="1497" ht="29.25"/>
    <row r="1498" ht="29.25"/>
    <row r="1499" ht="29.25"/>
    <row r="1500" ht="29.25"/>
    <row r="1501" ht="29.25"/>
    <row r="1502" ht="29.25"/>
    <row r="1503" ht="29.25"/>
    <row r="1504" ht="29.25"/>
    <row r="1505" ht="29.25"/>
    <row r="1506" ht="29.25"/>
    <row r="1507" ht="29.25"/>
    <row r="1508" ht="29.25"/>
    <row r="1509" ht="29.25"/>
    <row r="1510" ht="29.25"/>
    <row r="1511" ht="29.25"/>
    <row r="1512" ht="29.25"/>
    <row r="1513" ht="29.25"/>
    <row r="1514" ht="29.25"/>
    <row r="1515" ht="29.25"/>
    <row r="1516" ht="29.25"/>
    <row r="1517" ht="29.25"/>
    <row r="1518" ht="29.25"/>
    <row r="1519" ht="29.25"/>
    <row r="1520" ht="29.25"/>
    <row r="1521" ht="29.25"/>
    <row r="1522" ht="29.25"/>
    <row r="1523" ht="29.25"/>
    <row r="1524" ht="29.25"/>
    <row r="1525" ht="29.25"/>
    <row r="1526" ht="29.25"/>
    <row r="1527" ht="29.25"/>
    <row r="1528" ht="29.25"/>
    <row r="1529" ht="29.25"/>
    <row r="1530" ht="29.25"/>
    <row r="1531" ht="29.25"/>
    <row r="1532" ht="29.25"/>
    <row r="1533" ht="29.25"/>
    <row r="1534" ht="29.25"/>
    <row r="1535" ht="29.25"/>
    <row r="1536" ht="29.25"/>
    <row r="1537" ht="29.25"/>
    <row r="1538" ht="29.25"/>
    <row r="1539" ht="29.25"/>
    <row r="1540" ht="29.25"/>
    <row r="1541" ht="29.25"/>
    <row r="1542" ht="29.25"/>
    <row r="1543" ht="29.25"/>
    <row r="1544" ht="29.25"/>
    <row r="1545" ht="29.25"/>
    <row r="1546" ht="29.25"/>
    <row r="1547" ht="29.25"/>
    <row r="1548" ht="29.25"/>
    <row r="1549" ht="29.25"/>
    <row r="1550" ht="29.25"/>
    <row r="1551" ht="29.25"/>
    <row r="1552" ht="29.25"/>
    <row r="1553" ht="29.25"/>
    <row r="1554" ht="29.25"/>
    <row r="1555" ht="29.25"/>
    <row r="1556" ht="29.25"/>
    <row r="1557" ht="29.25"/>
    <row r="1558" ht="29.25"/>
    <row r="1559" ht="29.25"/>
    <row r="1560" ht="29.25"/>
    <row r="1561" ht="29.25"/>
    <row r="1562" ht="29.25"/>
    <row r="1563" ht="29.25"/>
    <row r="1564" ht="29.25"/>
    <row r="1565" ht="29.25"/>
    <row r="1566" ht="29.25"/>
    <row r="1567" ht="29.25"/>
    <row r="1568" ht="29.25"/>
    <row r="1569" ht="29.25"/>
    <row r="1570" ht="29.25"/>
    <row r="1571" ht="29.25"/>
    <row r="1572" ht="29.25"/>
    <row r="1573" ht="29.25"/>
    <row r="1574" ht="29.25"/>
    <row r="1575" ht="29.25"/>
    <row r="1576" ht="29.25"/>
    <row r="1577" ht="29.25"/>
    <row r="1578" ht="29.25"/>
    <row r="1579" ht="29.25"/>
    <row r="1580" ht="29.25"/>
    <row r="1581" ht="29.25"/>
    <row r="1582" ht="29.25"/>
    <row r="1583" ht="29.25"/>
    <row r="1584" ht="29.25"/>
    <row r="1585" ht="29.25"/>
    <row r="1586" ht="29.25"/>
    <row r="1587" ht="29.25"/>
    <row r="1588" ht="29.25"/>
    <row r="1589" ht="29.25"/>
    <row r="1590" ht="29.25"/>
    <row r="1591" ht="29.25"/>
    <row r="1592" ht="29.25"/>
    <row r="1593" ht="29.25"/>
    <row r="1594" ht="29.25"/>
    <row r="1595" ht="29.25"/>
    <row r="1596" ht="29.25"/>
    <row r="1597" ht="29.25"/>
    <row r="1598" ht="29.25"/>
    <row r="1599" ht="29.25"/>
    <row r="1600" ht="29.25"/>
    <row r="1601" ht="29.25"/>
    <row r="1602" ht="29.25"/>
    <row r="1603" ht="29.25"/>
    <row r="1604" ht="29.25"/>
    <row r="1605" ht="29.25"/>
    <row r="1606" ht="29.25"/>
    <row r="1607" ht="29.25"/>
    <row r="1608" ht="29.25"/>
    <row r="1609" ht="29.25"/>
    <row r="1610" ht="29.25"/>
    <row r="1611" ht="29.25"/>
    <row r="1612" ht="29.25"/>
    <row r="1613" ht="29.25"/>
    <row r="1614" ht="29.25"/>
    <row r="1615" ht="29.25"/>
    <row r="1616" ht="29.25"/>
    <row r="1617" ht="29.25"/>
    <row r="1618" ht="29.25"/>
    <row r="1619" ht="29.25"/>
    <row r="1620" ht="29.25"/>
    <row r="1621" ht="29.25"/>
    <row r="1622" ht="29.25"/>
    <row r="1623" ht="29.25"/>
    <row r="1624" ht="29.25"/>
    <row r="1625" ht="29.25"/>
    <row r="1626" ht="29.25"/>
    <row r="1627" ht="29.25"/>
    <row r="1628" ht="29.25"/>
    <row r="1629" ht="29.25"/>
    <row r="1630" ht="29.25"/>
    <row r="1631" ht="29.25"/>
    <row r="1632" ht="29.25"/>
    <row r="1633" ht="29.25"/>
    <row r="1634" ht="29.25"/>
    <row r="1635" ht="29.25"/>
    <row r="1636" ht="29.25"/>
    <row r="1637" ht="29.25"/>
    <row r="1638" ht="29.25"/>
    <row r="1639" ht="29.25"/>
    <row r="1640" ht="29.25"/>
    <row r="1641" ht="29.25"/>
    <row r="1642" ht="29.25"/>
    <row r="1643" ht="29.25"/>
    <row r="1644" ht="29.25"/>
    <row r="1645" ht="29.25"/>
    <row r="1646" ht="29.25"/>
    <row r="1647" ht="29.25"/>
    <row r="1648" ht="29.25"/>
    <row r="1649" ht="29.25"/>
    <row r="1650" ht="29.25"/>
    <row r="1651" ht="29.25"/>
    <row r="1652" ht="29.25"/>
    <row r="1653" ht="29.25"/>
    <row r="1654" ht="29.25"/>
    <row r="1655" ht="29.25"/>
    <row r="1656" ht="29.25"/>
    <row r="1657" ht="29.25"/>
    <row r="1658" ht="29.25"/>
    <row r="1659" ht="29.25"/>
    <row r="1660" ht="29.25"/>
    <row r="1661" ht="29.25"/>
    <row r="1662" ht="29.25"/>
    <row r="1663" ht="29.25"/>
    <row r="1664" ht="29.25"/>
    <row r="1665" ht="29.25"/>
    <row r="1666" ht="29.25"/>
    <row r="1667" ht="29.25"/>
    <row r="1668" ht="29.25"/>
    <row r="1669" ht="29.25"/>
    <row r="1670" ht="29.25"/>
    <row r="1671" ht="29.25"/>
    <row r="1672" ht="29.25"/>
    <row r="1673" ht="29.25"/>
    <row r="1674" ht="29.25"/>
    <row r="1675" ht="29.25"/>
    <row r="1676" ht="29.25"/>
    <row r="1677" ht="29.25"/>
    <row r="1678" ht="29.25"/>
    <row r="1679" ht="29.25"/>
    <row r="1680" ht="29.25"/>
    <row r="1681" ht="29.25"/>
    <row r="1682" ht="29.25"/>
    <row r="1683" ht="29.25"/>
    <row r="1684" ht="29.25"/>
    <row r="1685" ht="29.25"/>
    <row r="1686" ht="29.25"/>
    <row r="1687" ht="29.25"/>
    <row r="1688" ht="29.25"/>
    <row r="1689" ht="29.25"/>
    <row r="1690" ht="29.25"/>
    <row r="1691" ht="29.25"/>
    <row r="1692" ht="29.25"/>
    <row r="1693" ht="29.25"/>
    <row r="1694" ht="29.25"/>
    <row r="1695" ht="29.25"/>
    <row r="1696" ht="29.25"/>
    <row r="1697" ht="29.25"/>
    <row r="1698" ht="29.25"/>
    <row r="1699" ht="29.25"/>
    <row r="1700" ht="29.25"/>
    <row r="1701" ht="29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190"/>
  <sheetViews>
    <sheetView view="pageBreakPreview" zoomScale="55" zoomScaleNormal="55" zoomScaleSheetLayoutView="55" workbookViewId="0">
      <selection activeCell="G78" sqref="G78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30.75" customHeight="1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23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-17599.229999999981</v>
      </c>
      <c r="I7" s="113">
        <f>'1'!I7</f>
        <v>12000</v>
      </c>
      <c r="J7" s="175">
        <f>H7/DAY(B2)</f>
        <v>-586.64099999999939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-17830.150000000023</v>
      </c>
      <c r="I8" s="116"/>
      <c r="J8" s="175">
        <f>H8/DAY(B2)</f>
        <v>-594.33833333333416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252509</v>
      </c>
      <c r="F9" s="598">
        <v>267226</v>
      </c>
      <c r="G9" s="357">
        <f>F9-E9</f>
        <v>14717</v>
      </c>
      <c r="H9" s="99">
        <f>G9+'29'!H9</f>
        <v>2342253.15</v>
      </c>
      <c r="I9" s="124">
        <f>I7-J7</f>
        <v>12586.641</v>
      </c>
      <c r="J9" s="175">
        <f>H9/DAY(B2)</f>
        <v>78075.104999999996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593658.03</v>
      </c>
      <c r="I10" s="282"/>
      <c r="J10" s="175">
        <f>H10/DAY(B2)</f>
        <v>19788.601000000002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2919156.75</v>
      </c>
      <c r="I13" s="120">
        <f>G7-G13</f>
        <v>508</v>
      </c>
      <c r="J13" s="175">
        <f>H13/DAY(B2)</f>
        <v>97305.225000000006</v>
      </c>
      <c r="K13" s="79"/>
      <c r="L13" s="66"/>
      <c r="N13" s="87"/>
      <c r="O13" s="71"/>
    </row>
    <row r="14" spans="1:15" ht="30.75" customHeight="1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-915.76699999999255</v>
      </c>
      <c r="I15" s="113">
        <f>'1'!I15</f>
        <v>800</v>
      </c>
      <c r="J15" s="175">
        <f>H15/DAY(B2)</f>
        <v>-30.525566666666418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830.52556666666646</v>
      </c>
      <c r="J16" s="176"/>
      <c r="K16" s="79"/>
      <c r="L16" s="66"/>
      <c r="N16" s="87"/>
      <c r="O16" s="71"/>
    </row>
    <row r="17" spans="1:15" ht="30.75" customHeight="1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84" t="s">
        <v>141</v>
      </c>
      <c r="B18" s="885"/>
      <c r="C18" s="88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4040</v>
      </c>
      <c r="I18" s="113">
        <f>'1'!I18</f>
        <v>65</v>
      </c>
      <c r="J18" s="175">
        <f>H18/DAY(B2)</f>
        <v>134.66666666666666</v>
      </c>
      <c r="K18" s="79"/>
      <c r="L18" s="66"/>
      <c r="N18" s="87"/>
      <c r="O18" s="71"/>
    </row>
    <row r="19" spans="1:15" ht="30.75" customHeight="1">
      <c r="A19" s="884" t="s">
        <v>69</v>
      </c>
      <c r="B19" s="885"/>
      <c r="C19" s="88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-56</v>
      </c>
      <c r="I19" s="335"/>
      <c r="J19" s="175">
        <f>H19/DAY(B2)</f>
        <v>-1.8666666666666667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3984</v>
      </c>
      <c r="I20" s="336">
        <f>I18-J20</f>
        <v>-67.800000000000011</v>
      </c>
      <c r="J20" s="175">
        <f>H20/DAY(B2)</f>
        <v>132.80000000000001</v>
      </c>
      <c r="K20" s="79"/>
      <c r="L20" s="66"/>
      <c r="N20" s="87"/>
      <c r="O20" s="71"/>
    </row>
    <row r="21" spans="1:15" ht="30.75" customHeight="1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-160471.35000000056</v>
      </c>
      <c r="I27" s="138"/>
      <c r="J27" s="175">
        <f>H27/DAY(B2)</f>
        <v>-5349.0450000000183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-29316.533999999621</v>
      </c>
      <c r="I28" s="140"/>
      <c r="J28" s="175">
        <f>H28/DAY(B2)</f>
        <v>-977.21779999998739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-7888.4399999999987</v>
      </c>
      <c r="I30" s="140"/>
      <c r="J30" s="175">
        <f>H30/DAY(B2)</f>
        <v>-262.94799999999998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323200</v>
      </c>
      <c r="I31" s="140"/>
      <c r="J31" s="175">
        <f>H31/DAY(B2)</f>
        <v>10773.333333333334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133113.6759999998</v>
      </c>
      <c r="I32" s="144"/>
      <c r="J32" s="175">
        <f>H32/DAY(B2)</f>
        <v>4437.1225333333268</v>
      </c>
      <c r="K32" s="63"/>
      <c r="L32" s="89"/>
      <c r="N32" s="87"/>
      <c r="O32" s="71"/>
    </row>
    <row r="33" spans="1:15" ht="30.75" customHeight="1">
      <c r="A33" s="916" t="s">
        <v>331</v>
      </c>
      <c r="B33" s="917"/>
      <c r="C33" s="91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166789.02000000002</v>
      </c>
      <c r="I35" s="95"/>
      <c r="J35" s="175">
        <f>H35/DAY(B2)</f>
        <v>5559.6340000000009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-638.73999999999796</v>
      </c>
      <c r="I36" s="95"/>
      <c r="J36" s="175">
        <f>H36/DAY(B2)</f>
        <v>-21.291333333333267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206016.91000000003</v>
      </c>
      <c r="I37" s="95"/>
      <c r="J37" s="175">
        <f>H37/DAY(B2)</f>
        <v>6867.2303333333348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244054.57</v>
      </c>
      <c r="I38" s="95"/>
      <c r="J38" s="175">
        <f>H38/DAY(B2)</f>
        <v>8135.1523333333334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430111.70999999996</v>
      </c>
      <c r="I39" s="95"/>
      <c r="J39" s="175">
        <f>H39/DAY(B2)</f>
        <v>14337.056999999999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-1838.9900000000016</v>
      </c>
      <c r="I40" s="95"/>
      <c r="J40" s="175">
        <f>H40/DAY(B2)</f>
        <v>-61.299666666666717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-62.73</v>
      </c>
      <c r="I41" s="95"/>
      <c r="J41" s="175">
        <f>H41/DAY(B2)</f>
        <v>-2.0909999999999997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-4318.7400000000052</v>
      </c>
      <c r="I42" s="95"/>
      <c r="J42" s="175">
        <f>H42/DAY(B2)</f>
        <v>-143.95800000000017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-1885.6000000000058</v>
      </c>
      <c r="I43" s="95"/>
      <c r="J43" s="175">
        <f>H43/DAY(B2)</f>
        <v>-62.853333333333531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1038227.4100000003</v>
      </c>
      <c r="I47" s="95"/>
      <c r="J47" s="175">
        <f>H47/DAY(B2)</f>
        <v>34607.580333333339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284503.81</v>
      </c>
      <c r="I49" s="95"/>
      <c r="J49" s="175">
        <f>H49/DAY(B2)</f>
        <v>9483.4603333333325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-1070.6299999999974</v>
      </c>
      <c r="I50" s="95"/>
      <c r="J50" s="175">
        <f>H50/DAY(B2)</f>
        <v>-35.68766666666658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1752.58</v>
      </c>
      <c r="I54" s="95"/>
      <c r="J54" s="175">
        <f>H54/DAY(B2)</f>
        <v>58.419333333333334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-0.11000000000058208</v>
      </c>
      <c r="I55" s="95"/>
      <c r="J55" s="175">
        <f>H55/DAY(B2)</f>
        <v>-3.666666666686069E-3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-197.21000000000004</v>
      </c>
      <c r="I58" s="95"/>
      <c r="J58" s="175">
        <f>H58/DAY(B2)</f>
        <v>-6.5736666666666679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284988.44</v>
      </c>
      <c r="I59" s="95">
        <f>G7-G60</f>
        <v>747</v>
      </c>
      <c r="J59" s="175">
        <f>H59/DAY(B2)</f>
        <v>9499.6146666666664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1323215.8500000003</v>
      </c>
      <c r="I60" s="95">
        <f>G13-G60</f>
        <v>239</v>
      </c>
      <c r="J60" s="175">
        <f>H60/DAY(B2)</f>
        <v>44107.195000000014</v>
      </c>
      <c r="K60" s="79"/>
      <c r="L60" s="66"/>
      <c r="N60" s="87"/>
      <c r="O60" s="71"/>
    </row>
    <row r="61" spans="1:15" s="68" customFormat="1" ht="30.75" customHeight="1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84" t="s">
        <v>198</v>
      </c>
      <c r="B62" s="885"/>
      <c r="C62" s="88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-83</v>
      </c>
      <c r="I62" s="118"/>
      <c r="J62" s="175">
        <f>H62/DAY(B2)</f>
        <v>-2.7666666666666666</v>
      </c>
      <c r="K62" s="80"/>
      <c r="L62" s="66"/>
      <c r="N62" s="87"/>
      <c r="O62" s="71"/>
    </row>
    <row r="63" spans="1:15" ht="30.75" customHeight="1">
      <c r="A63" s="884" t="s">
        <v>199</v>
      </c>
      <c r="B63" s="885"/>
      <c r="C63" s="88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-167</v>
      </c>
      <c r="I63" s="118"/>
      <c r="J63" s="175">
        <f>H63/DAY(B2)</f>
        <v>-5.5666666666666664</v>
      </c>
      <c r="K63" s="69"/>
      <c r="L63" s="66"/>
      <c r="N63" s="87"/>
      <c r="O63" s="71"/>
    </row>
    <row r="64" spans="1:15" ht="30.75" customHeight="1">
      <c r="A64" s="893" t="s">
        <v>200</v>
      </c>
      <c r="B64" s="894"/>
      <c r="C64" s="895"/>
      <c r="D64" s="151"/>
      <c r="E64" s="95">
        <f>'29'!F64</f>
        <v>0</v>
      </c>
      <c r="F64" s="122"/>
      <c r="G64" s="112">
        <f>G62+G63</f>
        <v>187</v>
      </c>
      <c r="H64" s="99">
        <f>G64+'29'!H64</f>
        <v>-250</v>
      </c>
      <c r="I64" s="118"/>
      <c r="J64" s="175">
        <f>H64/DAY(B2)</f>
        <v>-8.3333333333333339</v>
      </c>
      <c r="K64" s="69"/>
      <c r="L64" s="66"/>
      <c r="N64" s="87"/>
      <c r="O64" s="71"/>
    </row>
    <row r="65" spans="1:15" ht="30.75" customHeight="1">
      <c r="A65" s="884" t="s">
        <v>201</v>
      </c>
      <c r="B65" s="885"/>
      <c r="C65" s="88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-74</v>
      </c>
      <c r="I65" s="118"/>
      <c r="J65" s="175">
        <f>H65/DAY(B2)</f>
        <v>-2.4666666666666668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-15</v>
      </c>
      <c r="I66" s="118"/>
      <c r="J66" s="175">
        <f>H66/DAY(B2)</f>
        <v>-0.5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6">
        <v>104628</v>
      </c>
      <c r="G67" s="112">
        <f t="shared" si="6"/>
        <v>32</v>
      </c>
      <c r="H67" s="99">
        <f>G67+'29'!H67</f>
        <v>-20</v>
      </c>
      <c r="I67" s="118"/>
      <c r="J67" s="175">
        <f>H67/DAY(B2)</f>
        <v>-0.66666666666666663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-29</v>
      </c>
      <c r="I68" s="118"/>
      <c r="J68" s="175">
        <f>H68/DAY(B2)</f>
        <v>-0.96666666666666667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-9</v>
      </c>
      <c r="I69" s="118"/>
      <c r="J69" s="175">
        <f>H69/DAY(B2)</f>
        <v>-0.3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6">
        <v>8112</v>
      </c>
      <c r="G70" s="112">
        <f t="shared" si="6"/>
        <v>22</v>
      </c>
      <c r="H70" s="99">
        <f>G70+'29'!H70</f>
        <v>-8</v>
      </c>
      <c r="I70" s="118"/>
      <c r="J70" s="175">
        <f>H70/DAY(B2)</f>
        <v>-0.26666666666666666</v>
      </c>
      <c r="K70" s="69"/>
      <c r="L70" s="66"/>
      <c r="N70" s="87"/>
      <c r="O70" s="71"/>
    </row>
    <row r="71" spans="1:15" ht="30.75" customHeight="1">
      <c r="A71" s="893" t="s">
        <v>208</v>
      </c>
      <c r="B71" s="894"/>
      <c r="C71" s="895"/>
      <c r="D71" s="152"/>
      <c r="E71" s="152"/>
      <c r="F71" s="152"/>
      <c r="G71" s="153">
        <f>SUM(G65:G70)</f>
        <v>194</v>
      </c>
      <c r="H71" s="99">
        <f>G71+'29'!H71</f>
        <v>-155</v>
      </c>
      <c r="I71" s="154"/>
      <c r="J71" s="175">
        <f>H71/DAY(B2)</f>
        <v>-5.166666666666667</v>
      </c>
      <c r="K71" s="69"/>
      <c r="L71" s="66"/>
      <c r="N71" s="87"/>
      <c r="O71" s="71"/>
    </row>
    <row r="72" spans="1:15" s="88" customFormat="1" ht="30.75" customHeight="1">
      <c r="A72" s="880"/>
      <c r="B72" s="86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84" t="s">
        <v>220</v>
      </c>
      <c r="B74" s="885"/>
      <c r="C74" s="88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-294.14899999997579</v>
      </c>
      <c r="I74" s="154"/>
      <c r="J74" s="175">
        <f>H74/DAY(B2)</f>
        <v>-9.8049666666658588</v>
      </c>
      <c r="K74" s="69"/>
      <c r="L74" s="66"/>
      <c r="N74" s="87"/>
      <c r="O74" s="71"/>
    </row>
    <row r="75" spans="1:15" ht="30.75" customHeight="1">
      <c r="A75" s="884" t="s">
        <v>221</v>
      </c>
      <c r="B75" s="885"/>
      <c r="C75" s="88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881" t="s">
        <v>222</v>
      </c>
      <c r="B76" s="882"/>
      <c r="C76" s="88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-75</v>
      </c>
      <c r="I76" s="154"/>
      <c r="J76" s="175">
        <f>H76/DAY(B2)</f>
        <v>-2.5</v>
      </c>
      <c r="K76" s="69"/>
      <c r="L76" s="66"/>
      <c r="N76" s="87"/>
      <c r="O76" s="71"/>
    </row>
    <row r="77" spans="1:15" ht="30.75" customHeight="1">
      <c r="A77" s="881" t="s">
        <v>223</v>
      </c>
      <c r="B77" s="882"/>
      <c r="C77" s="88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-28.19999999999709</v>
      </c>
      <c r="I77" s="154"/>
      <c r="J77" s="175">
        <f>H77/DAY(B2)</f>
        <v>-0.93999999999990302</v>
      </c>
      <c r="K77" s="69"/>
      <c r="L77" s="66"/>
      <c r="N77" s="87"/>
      <c r="O77" s="71"/>
    </row>
    <row r="78" spans="1:15" ht="30.75" customHeight="1">
      <c r="A78" s="881" t="s">
        <v>224</v>
      </c>
      <c r="B78" s="882"/>
      <c r="C78" s="88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-2</v>
      </c>
      <c r="I78" s="118"/>
      <c r="J78" s="175">
        <f>H78/DAY(B2)</f>
        <v>-6.6666666666666666E-2</v>
      </c>
      <c r="K78" s="69"/>
      <c r="L78" s="66"/>
      <c r="N78" s="87"/>
      <c r="O78" s="71"/>
    </row>
    <row r="79" spans="1:15" s="57" customFormat="1" ht="30.75" customHeight="1">
      <c r="A79" s="881" t="s">
        <v>225</v>
      </c>
      <c r="B79" s="882"/>
      <c r="C79" s="883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-516.41800000001967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93" t="s">
        <v>329</v>
      </c>
      <c r="B80" s="894"/>
      <c r="C80" s="895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-22.420000000000073</v>
      </c>
      <c r="I85" s="118">
        <f>G82+G83+G84+G85</f>
        <v>24</v>
      </c>
      <c r="J85" s="175">
        <f>H85/DAY(B2)</f>
        <v>-0.74733333333333574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5.0000000002910383E-2</v>
      </c>
      <c r="I87" s="118"/>
      <c r="J87" s="175">
        <f>H87/DAY(B2)</f>
        <v>1.6666666667636794E-3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0</v>
      </c>
      <c r="I88" s="118">
        <f>G86+G87+G88</f>
        <v>0</v>
      </c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-9.2999999999992724</v>
      </c>
      <c r="I89" s="118"/>
      <c r="J89" s="175">
        <f>H89/DAY(B2)</f>
        <v>-0.30999999999997574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-11.470000000000255</v>
      </c>
      <c r="I91" s="165"/>
      <c r="J91" s="175">
        <f>H91/DAY(B2)</f>
        <v>-0.3823333333333418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0</v>
      </c>
      <c r="I92" s="165"/>
      <c r="J92" s="175">
        <f>H92/DAY(B2)</f>
        <v>0</v>
      </c>
      <c r="O92" s="71"/>
    </row>
    <row r="93" spans="1:15" ht="30.75" customHeight="1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3975</v>
      </c>
      <c r="H94" s="99">
        <f>G94+'29'!H94</f>
        <v>449407.22999999986</v>
      </c>
      <c r="I94" s="118"/>
      <c r="J94" s="175">
        <f>H94/DAY(B2)</f>
        <v>14980.240999999996</v>
      </c>
      <c r="K94" s="69"/>
      <c r="L94" s="66"/>
      <c r="O94" s="71"/>
    </row>
    <row r="95" spans="1:15" ht="30.75" customHeight="1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0.22991497483949333</v>
      </c>
      <c r="H95" s="99">
        <f>G95+'29'!H95</f>
        <v>7.0214824269174381</v>
      </c>
      <c r="I95" s="167"/>
      <c r="J95" s="175">
        <f>H95/DAY(B2)</f>
        <v>0.23404941423058126</v>
      </c>
      <c r="K95" s="69"/>
      <c r="L95" s="66"/>
      <c r="O95" s="71"/>
    </row>
    <row r="96" spans="1:15" ht="30.75" customHeight="1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3884</v>
      </c>
      <c r="H96" s="99">
        <f>G96+'29'!H96</f>
        <v>-4381.5800000000236</v>
      </c>
      <c r="I96" s="118"/>
      <c r="J96" s="175">
        <f>H96/DAY(B2)</f>
        <v>-146.05266666666745</v>
      </c>
      <c r="K96" s="69"/>
      <c r="L96" s="66"/>
      <c r="O96" s="71"/>
    </row>
    <row r="97" spans="1:15" ht="30.75" customHeight="1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0.22465151252241308</v>
      </c>
      <c r="H97" s="99">
        <f>G97+'29'!H97</f>
        <v>5.3916088459260978</v>
      </c>
      <c r="I97" s="167"/>
      <c r="J97" s="175">
        <f>H97/DAY(B2)</f>
        <v>0.17972029486420327</v>
      </c>
      <c r="K97" s="69"/>
      <c r="L97" s="66"/>
      <c r="O97" s="71"/>
    </row>
    <row r="98" spans="1:15" ht="30.75" customHeight="1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2616</v>
      </c>
      <c r="H98" s="99">
        <f>G98+'29'!H98</f>
        <v>430111.70999999996</v>
      </c>
      <c r="I98" s="168"/>
      <c r="J98" s="175">
        <f>H98/DAY(B2)</f>
        <v>14337.056999999999</v>
      </c>
      <c r="K98" s="69"/>
      <c r="L98" s="66"/>
      <c r="O98" s="71"/>
    </row>
    <row r="99" spans="1:15" ht="30.75" customHeight="1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0.15131008155474579</v>
      </c>
      <c r="H99" s="99">
        <f>G99+'29'!H99</f>
        <v>3.5935459333371398</v>
      </c>
      <c r="I99" s="168"/>
      <c r="J99" s="175">
        <f>H99/DAY(B2)</f>
        <v>0.11978486444457133</v>
      </c>
      <c r="O99" s="71"/>
    </row>
    <row r="100" spans="1:15" ht="30.75" customHeight="1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1629</v>
      </c>
      <c r="H100" s="99">
        <f>G100+'29'!H100</f>
        <v>244054.57</v>
      </c>
      <c r="I100" s="118"/>
      <c r="J100" s="175">
        <f>H100/DAY(B2)</f>
        <v>8135.1523333333334</v>
      </c>
      <c r="K100" s="70"/>
      <c r="O100" s="71"/>
    </row>
    <row r="101" spans="1:15" ht="30.75" customHeight="1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2.4186113659245532</v>
      </c>
      <c r="I101" s="168"/>
      <c r="J101" s="175">
        <f>H101/DAY(B2)</f>
        <v>8.062037886415177E-2</v>
      </c>
      <c r="O101" s="71"/>
    </row>
    <row r="102" spans="1:15" ht="30.75" customHeight="1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1897</v>
      </c>
      <c r="H102" s="99">
        <f>G102+'29'!H102</f>
        <v>-1709.3699999999953</v>
      </c>
      <c r="I102" s="168"/>
      <c r="J102" s="175">
        <f>H102/DAY(B2)</f>
        <v>-56.978999999999843</v>
      </c>
      <c r="O102" s="71"/>
    </row>
    <row r="103" spans="1:15" ht="30.75" customHeight="1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2.9935019652437522</v>
      </c>
      <c r="I103" s="118"/>
      <c r="J103" s="175">
        <f>H103/DAY(B2)</f>
        <v>9.9783398841458412E-2</v>
      </c>
      <c r="O103" s="71"/>
    </row>
    <row r="104" spans="1:15" ht="30.75" customHeight="1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1553</v>
      </c>
      <c r="H104" s="99">
        <f>G104+'29'!H104</f>
        <v>206016.91000000003</v>
      </c>
      <c r="I104" s="118"/>
      <c r="J104" s="175">
        <f>H104/DAY(B2)</f>
        <v>6867.2303333333348</v>
      </c>
      <c r="O104" s="71"/>
    </row>
    <row r="105" spans="1:15" ht="30.75" customHeight="1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2.2375643077605036</v>
      </c>
      <c r="I105" s="187"/>
      <c r="J105" s="188">
        <f>H105/DAY(B2)</f>
        <v>7.4585476925350128E-2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30.75" customHeight="1">
      <c r="A109" s="901"/>
      <c r="B109" s="901"/>
    </row>
    <row r="110" spans="1:15" ht="30.75" customHeight="1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30.75" customHeight="1">
      <c r="A111" s="867"/>
      <c r="B111" s="868"/>
      <c r="C111" s="86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63" t="s">
        <v>252</v>
      </c>
      <c r="B112" s="864"/>
      <c r="C112" s="865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-77</v>
      </c>
      <c r="I112" s="165"/>
      <c r="J112" s="328">
        <f>H112/DAY(B2)</f>
        <v>-2.5666666666666669</v>
      </c>
    </row>
    <row r="113" spans="1:18" ht="30.75" customHeight="1">
      <c r="A113" s="863" t="s">
        <v>253</v>
      </c>
      <c r="B113" s="864"/>
      <c r="C113" s="865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-468.88999999999942</v>
      </c>
      <c r="I113" s="165"/>
      <c r="J113" s="328">
        <f>H113/DAY(B2)</f>
        <v>-15.629666666666648</v>
      </c>
    </row>
    <row r="114" spans="1:18" ht="30.75" customHeight="1">
      <c r="A114" s="863" t="s">
        <v>254</v>
      </c>
      <c r="B114" s="864"/>
      <c r="C114" s="865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-396.60000000000036</v>
      </c>
      <c r="I114" s="165"/>
      <c r="J114" s="328">
        <f>H114/DAY(B2)</f>
        <v>-13.220000000000011</v>
      </c>
    </row>
    <row r="115" spans="1:18" ht="30.75" customHeight="1">
      <c r="A115" s="863" t="s">
        <v>255</v>
      </c>
      <c r="B115" s="864"/>
      <c r="C115" s="865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-13.649999999999636</v>
      </c>
      <c r="I115" s="165"/>
      <c r="J115" s="328">
        <f>H115/DAY(B2)</f>
        <v>-0.45499999999998786</v>
      </c>
    </row>
    <row r="116" spans="1:18" ht="30.75" customHeight="1">
      <c r="A116" s="870" t="s">
        <v>96</v>
      </c>
      <c r="B116" s="871"/>
      <c r="C116" s="87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63" t="s">
        <v>311</v>
      </c>
      <c r="R116" s="865"/>
    </row>
    <row r="117" spans="1:18" ht="30.75" customHeight="1">
      <c r="A117" s="870" t="s">
        <v>184</v>
      </c>
      <c r="B117" s="871"/>
      <c r="C117" s="872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-38.949999999999818</v>
      </c>
      <c r="I117" s="165"/>
      <c r="J117" s="328">
        <f>H117/DAY(B2)</f>
        <v>-1.2983333333333273</v>
      </c>
      <c r="Q117" s="863" t="s">
        <v>312</v>
      </c>
      <c r="R117" s="865"/>
    </row>
    <row r="118" spans="1:18" ht="30.75" customHeight="1">
      <c r="A118" s="862" t="s">
        <v>97</v>
      </c>
      <c r="B118" s="862"/>
      <c r="C118" s="86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-319.30999999999767</v>
      </c>
      <c r="I118" s="165"/>
      <c r="J118" s="328">
        <f>H118/DAY(B2)</f>
        <v>-10.643666666666588</v>
      </c>
      <c r="Q118" s="863" t="s">
        <v>311</v>
      </c>
      <c r="R118" s="865"/>
    </row>
    <row r="119" spans="1:18" ht="30.75" customHeight="1">
      <c r="A119" s="862" t="s">
        <v>98</v>
      </c>
      <c r="B119" s="862"/>
      <c r="C119" s="86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-426.54999999998836</v>
      </c>
      <c r="I119" s="165"/>
      <c r="J119" s="328">
        <f>H119/DAY(B2)</f>
        <v>-14.218333333332945</v>
      </c>
    </row>
    <row r="120" spans="1:18" ht="30.75" customHeight="1">
      <c r="A120" s="862" t="s">
        <v>99</v>
      </c>
      <c r="B120" s="862"/>
      <c r="C120" s="86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-419.61000000000058</v>
      </c>
      <c r="I120" s="165"/>
      <c r="J120" s="328">
        <f>H120/DAY(B2)</f>
        <v>-13.98700000000002</v>
      </c>
    </row>
    <row r="121" spans="1:18" ht="30.75" customHeight="1">
      <c r="A121" s="862" t="s">
        <v>100</v>
      </c>
      <c r="B121" s="862"/>
      <c r="C121" s="86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-730.42999999999302</v>
      </c>
      <c r="I121" s="165"/>
      <c r="J121" s="328">
        <f>H121/DAY(B2)</f>
        <v>-24.347666666666434</v>
      </c>
    </row>
    <row r="122" spans="1:18" ht="30.75" customHeight="1">
      <c r="A122" s="862" t="s">
        <v>101</v>
      </c>
      <c r="B122" s="862"/>
      <c r="C122" s="86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-206.17999999999302</v>
      </c>
      <c r="I122" s="165"/>
      <c r="J122" s="328">
        <f>H122/DAY(B2)</f>
        <v>-6.8726666666664338</v>
      </c>
    </row>
    <row r="123" spans="1:18" ht="30.75" customHeight="1">
      <c r="A123" s="862" t="s">
        <v>102</v>
      </c>
      <c r="B123" s="862"/>
      <c r="C123" s="86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-278.95000000001164</v>
      </c>
      <c r="I123" s="165"/>
      <c r="J123" s="328">
        <f>H123/DAY(B2)</f>
        <v>-9.298333333333721</v>
      </c>
    </row>
    <row r="124" spans="1:18" ht="30.75" customHeight="1">
      <c r="A124" s="867"/>
      <c r="B124" s="868"/>
      <c r="C124" s="86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47" t="s">
        <v>196</v>
      </c>
      <c r="B125" s="848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30.75" customHeight="1">
      <c r="A127" s="852"/>
      <c r="B127" s="85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63" t="s">
        <v>318</v>
      </c>
      <c r="B128" s="864"/>
      <c r="C128" s="865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-312</v>
      </c>
      <c r="I128" s="165"/>
      <c r="J128" s="328">
        <f>H128/DAY(B2)</f>
        <v>-10.4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-190.86999999999898</v>
      </c>
      <c r="I129" s="165"/>
      <c r="J129" s="328">
        <f>H129/DAY(B2)</f>
        <v>-6.3623333333332992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-476</v>
      </c>
      <c r="I130" s="165"/>
      <c r="J130" s="328">
        <f>H130/DAY(B2)</f>
        <v>-15.866666666666667</v>
      </c>
      <c r="N130" s="240"/>
      <c r="O130" s="241"/>
    </row>
    <row r="131" spans="1:15" ht="30.75" customHeight="1">
      <c r="A131" s="863" t="s">
        <v>321</v>
      </c>
      <c r="B131" s="864"/>
      <c r="C131" s="865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-46.680000000000291</v>
      </c>
      <c r="I131" s="165"/>
      <c r="J131" s="328">
        <f>H131/DAY(B2)</f>
        <v>-1.5560000000000096</v>
      </c>
      <c r="N131" s="240"/>
      <c r="O131" s="241"/>
    </row>
    <row r="132" spans="1:15" ht="30.75" customHeight="1">
      <c r="A132" s="863" t="s">
        <v>322</v>
      </c>
      <c r="B132" s="864"/>
      <c r="C132" s="865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-165.30000000000291</v>
      </c>
      <c r="I132" s="165"/>
      <c r="J132" s="328">
        <f>H132/DAY(B2)</f>
        <v>-5.5100000000000966</v>
      </c>
    </row>
    <row r="133" spans="1:15" ht="30.75" customHeight="1">
      <c r="A133" s="863" t="s">
        <v>362</v>
      </c>
      <c r="B133" s="864"/>
      <c r="C133" s="865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-437.69999999999709</v>
      </c>
      <c r="I133" s="165"/>
      <c r="J133" s="328">
        <f>H133/DAY(B2)</f>
        <v>-14.589999999999902</v>
      </c>
    </row>
    <row r="134" spans="1:15" ht="30.75" customHeight="1">
      <c r="A134" s="863" t="s">
        <v>340</v>
      </c>
      <c r="B134" s="864"/>
      <c r="C134" s="865"/>
      <c r="D134" s="151" t="s">
        <v>183</v>
      </c>
      <c r="E134" s="95">
        <f>'29'!F134</f>
        <v>8290</v>
      </c>
      <c r="F134" s="594">
        <v>8446</v>
      </c>
      <c r="G134" s="112">
        <f t="shared" si="10"/>
        <v>156</v>
      </c>
      <c r="H134" s="99">
        <f>G134+'29'!H134</f>
        <v>671018.77</v>
      </c>
      <c r="I134" s="165"/>
      <c r="J134" s="328">
        <f>H134/DAY(B2)</f>
        <v>22367.292333333335</v>
      </c>
    </row>
    <row r="135" spans="1:15" ht="30.75" customHeight="1">
      <c r="A135" s="847" t="s">
        <v>196</v>
      </c>
      <c r="B135" s="848"/>
      <c r="C135" s="331"/>
      <c r="D135" s="151"/>
      <c r="E135" s="95"/>
      <c r="F135" s="165"/>
      <c r="G135" s="112">
        <f>SUM(G128:G134)</f>
        <v>1757</v>
      </c>
      <c r="H135" s="99">
        <f>G135+'23'!H135</f>
        <v>631131.39</v>
      </c>
      <c r="I135" s="327">
        <f>G135-(G35+G49)</f>
        <v>-320</v>
      </c>
      <c r="J135" s="328">
        <f>H135/DAY(B2)</f>
        <v>21037.713</v>
      </c>
    </row>
    <row r="136" spans="1:15" ht="30.75" customHeight="1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62" t="s">
        <v>185</v>
      </c>
      <c r="B138" s="862"/>
      <c r="C138" s="86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-59</v>
      </c>
      <c r="I138" s="118"/>
      <c r="J138" s="328">
        <f>H138/DAY(B2)</f>
        <v>-1.9666666666666666</v>
      </c>
    </row>
    <row r="139" spans="1:15" ht="30.75" customHeight="1">
      <c r="A139" s="862" t="s">
        <v>186</v>
      </c>
      <c r="B139" s="862"/>
      <c r="C139" s="86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</v>
      </c>
      <c r="I139" s="118"/>
      <c r="J139" s="328">
        <f>H139/DAY(B2)</f>
        <v>-3.3333333333333333E-2</v>
      </c>
    </row>
    <row r="140" spans="1:15" ht="30.75" customHeight="1">
      <c r="A140" s="862" t="s">
        <v>187</v>
      </c>
      <c r="B140" s="862"/>
      <c r="C140" s="86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0</v>
      </c>
      <c r="I140" s="118"/>
      <c r="J140" s="328">
        <f>H140/DAY(B2)</f>
        <v>0</v>
      </c>
    </row>
    <row r="141" spans="1:15" ht="30.75" customHeight="1">
      <c r="A141" s="843" t="s">
        <v>188</v>
      </c>
      <c r="B141" s="843"/>
      <c r="C141" s="843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-172.58000000000175</v>
      </c>
      <c r="I141" s="118"/>
      <c r="J141" s="328">
        <f>H141/DAY(B2)</f>
        <v>-5.752666666666725</v>
      </c>
    </row>
    <row r="142" spans="1:15" ht="30.75" customHeight="1">
      <c r="A142" s="843" t="s">
        <v>189</v>
      </c>
      <c r="B142" s="843"/>
      <c r="C142" s="843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-80.099999999998545</v>
      </c>
      <c r="I142" s="140"/>
      <c r="J142" s="328">
        <f>H142/DAY(B2)</f>
        <v>-2.6699999999999515</v>
      </c>
    </row>
    <row r="143" spans="1:15" ht="30.75" customHeight="1">
      <c r="A143" s="862" t="s">
        <v>91</v>
      </c>
      <c r="B143" s="862"/>
      <c r="C143" s="86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-28.389999999999873</v>
      </c>
      <c r="I143" s="140"/>
      <c r="J143" s="328">
        <f>H143/DAY(B2)</f>
        <v>-0.94633333333332914</v>
      </c>
    </row>
    <row r="144" spans="1:15" ht="30.75" customHeight="1">
      <c r="A144" s="843" t="s">
        <v>90</v>
      </c>
      <c r="B144" s="843"/>
      <c r="C144" s="843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-216</v>
      </c>
      <c r="I144" s="140"/>
      <c r="J144" s="328">
        <f>H144/DAY(B2)</f>
        <v>-7.2</v>
      </c>
    </row>
    <row r="145" spans="1:10" ht="30.75" customHeight="1">
      <c r="A145" s="862" t="s">
        <v>190</v>
      </c>
      <c r="B145" s="862"/>
      <c r="C145" s="86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-9.8400000000001455</v>
      </c>
      <c r="I145" s="140"/>
      <c r="J145" s="328">
        <f>H145/DAY(B2)</f>
        <v>-0.32800000000000484</v>
      </c>
    </row>
    <row r="146" spans="1:10" ht="30.75" customHeight="1">
      <c r="A146" s="897" t="s">
        <v>191</v>
      </c>
      <c r="B146" s="882"/>
      <c r="C146" s="88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-386</v>
      </c>
      <c r="I146" s="140"/>
      <c r="J146" s="328">
        <f>H146/DAY(B2)</f>
        <v>-12.866666666666667</v>
      </c>
    </row>
    <row r="147" spans="1:10" ht="30.75" customHeight="1">
      <c r="A147" s="843" t="s">
        <v>192</v>
      </c>
      <c r="B147" s="843"/>
      <c r="C147" s="843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-347.52000000001863</v>
      </c>
      <c r="I147" s="140"/>
      <c r="J147" s="328">
        <f>H147/DAY(B2)</f>
        <v>-11.584000000000621</v>
      </c>
    </row>
    <row r="148" spans="1:10" ht="30.75" customHeight="1">
      <c r="A148" s="844" t="s">
        <v>193</v>
      </c>
      <c r="B148" s="845"/>
      <c r="C148" s="846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-157.95999999996275</v>
      </c>
      <c r="I148" s="124"/>
      <c r="J148" s="328">
        <f>H148/DAY(B2)</f>
        <v>-5.2653333333320917</v>
      </c>
    </row>
    <row r="149" spans="1:10" ht="30.75" customHeight="1">
      <c r="A149" s="844" t="s">
        <v>336</v>
      </c>
      <c r="B149" s="845"/>
      <c r="C149" s="846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-399.20000000000073</v>
      </c>
      <c r="I149" s="119"/>
      <c r="J149" s="328">
        <f>H149/DAY(B2)</f>
        <v>-13.306666666666692</v>
      </c>
    </row>
    <row r="150" spans="1:10" ht="30.75" customHeight="1">
      <c r="A150" s="844" t="s">
        <v>337</v>
      </c>
      <c r="B150" s="845"/>
      <c r="C150" s="846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-213.82999999999993</v>
      </c>
      <c r="I150" s="119"/>
      <c r="J150" s="328">
        <f>H150/DAY(B2)</f>
        <v>-7.1276666666666646</v>
      </c>
    </row>
    <row r="151" spans="1:10" ht="30.75" customHeight="1">
      <c r="A151" s="844" t="s">
        <v>338</v>
      </c>
      <c r="B151" s="845"/>
      <c r="C151" s="846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-294</v>
      </c>
      <c r="I151" s="119"/>
      <c r="J151" s="328">
        <f>H151/DAY(B2)</f>
        <v>-9.8000000000000007</v>
      </c>
    </row>
    <row r="152" spans="1:10" ht="30.75" customHeight="1">
      <c r="A152" s="844" t="s">
        <v>339</v>
      </c>
      <c r="B152" s="845"/>
      <c r="C152" s="846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-18</v>
      </c>
      <c r="I152" s="119"/>
      <c r="J152" s="328">
        <f>H152/DAY(B2)</f>
        <v>-0.6</v>
      </c>
    </row>
    <row r="153" spans="1:10" ht="30.75" customHeight="1">
      <c r="A153" s="847" t="s">
        <v>196</v>
      </c>
      <c r="B153" s="848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0" ht="30.75" customHeight="1">
      <c r="A155" s="843" t="s">
        <v>345</v>
      </c>
      <c r="B155" s="843"/>
      <c r="C155" s="843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-1230</v>
      </c>
      <c r="I155" s="364"/>
      <c r="J155" s="328">
        <f>H155/DAY(B2)</f>
        <v>-41</v>
      </c>
    </row>
    <row r="156" spans="1:10" ht="30.75" customHeight="1">
      <c r="A156" s="843" t="s">
        <v>347</v>
      </c>
      <c r="B156" s="843"/>
      <c r="C156" s="843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-110</v>
      </c>
      <c r="I156" s="165"/>
      <c r="J156" s="328">
        <f>H156/DAY(B2)</f>
        <v>-3.6666666666666665</v>
      </c>
    </row>
    <row r="157" spans="1:10" ht="30.75" customHeight="1">
      <c r="A157" s="844" t="s">
        <v>363</v>
      </c>
      <c r="B157" s="845"/>
      <c r="C157" s="846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>
      <c r="A158" s="844" t="s">
        <v>364</v>
      </c>
      <c r="B158" s="845"/>
      <c r="C158" s="846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>
      <c r="A159" s="927"/>
      <c r="B159" s="928"/>
      <c r="C159" s="929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51"/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-42.559999999997672</v>
      </c>
      <c r="I161" s="236"/>
      <c r="J161" s="239">
        <f>H161/DAY(B2)</f>
        <v>-1.418666666666589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-36.399999999994179</v>
      </c>
      <c r="I162" s="236"/>
      <c r="J162" s="239">
        <f>H162/DAY(B2)</f>
        <v>-1.2133333333331393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-36.100000000005821</v>
      </c>
      <c r="I163" s="236"/>
      <c r="J163" s="239">
        <f>H163/DAY(B2)</f>
        <v>-1.2033333333335274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-12.25</v>
      </c>
      <c r="I165" s="236"/>
      <c r="J165" s="239">
        <f>H165/DAY(B2)</f>
        <v>-0.40833333333333333</v>
      </c>
    </row>
    <row r="166" spans="1:10" ht="30.75" customHeight="1">
      <c r="A166" s="852"/>
      <c r="B166" s="85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52"/>
      <c r="B167" s="85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52"/>
      <c r="B168" s="85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30.75" customHeight="1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56" t="s">
        <v>209</v>
      </c>
      <c r="B173" s="85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>
      <c r="A174" s="856" t="s">
        <v>75</v>
      </c>
      <c r="B174" s="85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-12</v>
      </c>
      <c r="I174" s="155"/>
      <c r="J174" s="178">
        <f>H174/DAY(B2)</f>
        <v>-0.4</v>
      </c>
    </row>
    <row r="175" spans="1:10" ht="30.75" customHeight="1">
      <c r="A175" s="856" t="s">
        <v>76</v>
      </c>
      <c r="B175" s="896"/>
      <c r="C175" s="85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-10</v>
      </c>
      <c r="I175" s="155"/>
      <c r="J175" s="178">
        <f>H175/DAY(B2)</f>
        <v>-0.33333333333333331</v>
      </c>
    </row>
    <row r="176" spans="1:10" ht="30.75" customHeight="1">
      <c r="A176" s="847" t="s">
        <v>196</v>
      </c>
      <c r="B176" s="848"/>
      <c r="C176" s="483"/>
      <c r="D176" s="228" t="s">
        <v>142</v>
      </c>
      <c r="E176" s="95"/>
      <c r="F176" s="155"/>
      <c r="G176" s="155">
        <f>SUM(G173:G175)</f>
        <v>22</v>
      </c>
      <c r="H176" s="99">
        <f>G176+'29'!H176</f>
        <v>-22</v>
      </c>
      <c r="I176" s="155"/>
      <c r="J176" s="178">
        <f>H176/DAY(B2)</f>
        <v>-0.73333333333333328</v>
      </c>
    </row>
    <row r="177" spans="1:10" ht="30.75" customHeight="1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56" t="s">
        <v>210</v>
      </c>
      <c r="B178" s="85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-109</v>
      </c>
      <c r="I178" s="155"/>
      <c r="J178" s="178">
        <f>H178/DAY(B2)</f>
        <v>-3.6333333333333333</v>
      </c>
    </row>
    <row r="179" spans="1:10" ht="30.75" customHeight="1">
      <c r="A179" s="856" t="s">
        <v>211</v>
      </c>
      <c r="B179" s="85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-49</v>
      </c>
      <c r="I179" s="155"/>
      <c r="J179" s="178">
        <f>H179/DAY(B2)</f>
        <v>-1.6333333333333333</v>
      </c>
    </row>
    <row r="180" spans="1:10" ht="30.75" customHeight="1">
      <c r="A180" s="856" t="s">
        <v>212</v>
      </c>
      <c r="B180" s="85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-9</v>
      </c>
      <c r="I180" s="155"/>
      <c r="J180" s="178">
        <f>H180/DAY(B2)</f>
        <v>-0.3</v>
      </c>
    </row>
    <row r="181" spans="1:10" ht="30.75" customHeight="1">
      <c r="A181" s="858" t="s">
        <v>108</v>
      </c>
      <c r="B181" s="859"/>
      <c r="C181" s="483"/>
      <c r="D181" s="228" t="s">
        <v>142</v>
      </c>
      <c r="E181" s="95"/>
      <c r="F181" s="155"/>
      <c r="G181" s="155">
        <f>SUM(G178:G180)</f>
        <v>91</v>
      </c>
      <c r="H181" s="99">
        <f>G181+'29'!H181</f>
        <v>-167</v>
      </c>
      <c r="I181" s="155"/>
      <c r="J181" s="178">
        <f>H181/DAY(B2)</f>
        <v>-5.5666666666666664</v>
      </c>
    </row>
    <row r="182" spans="1:10" ht="30.75" customHeight="1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56" t="s">
        <v>214</v>
      </c>
      <c r="B183" s="85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-11</v>
      </c>
      <c r="I183" s="155"/>
      <c r="J183" s="178">
        <f>H183/DAY(B2)</f>
        <v>-0.36666666666666664</v>
      </c>
    </row>
    <row r="184" spans="1:10" ht="30.75" customHeight="1">
      <c r="A184" s="856" t="s">
        <v>215</v>
      </c>
      <c r="B184" s="85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-7</v>
      </c>
      <c r="I184" s="155"/>
      <c r="J184" s="178">
        <f>H184/DAY(B2)</f>
        <v>-0.23333333333333334</v>
      </c>
    </row>
    <row r="185" spans="1:10" ht="30.75" customHeight="1">
      <c r="A185" s="856" t="s">
        <v>216</v>
      </c>
      <c r="B185" s="85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31</v>
      </c>
      <c r="H186" s="99">
        <f>G186+'29'!H186</f>
        <v>-18</v>
      </c>
      <c r="I186" s="157"/>
      <c r="J186" s="178">
        <f>H186/DAY(B2)</f>
        <v>-0.6</v>
      </c>
    </row>
    <row r="187" spans="1:10" ht="30.75" customHeight="1">
      <c r="A187" s="849" t="s">
        <v>217</v>
      </c>
      <c r="B187" s="850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-139</v>
      </c>
      <c r="I187" s="158"/>
      <c r="J187" s="179">
        <f>H187/DAY(B2)</f>
        <v>-4.6333333333333337</v>
      </c>
    </row>
    <row r="188" spans="1:10" ht="30.75" customHeight="1">
      <c r="A188" s="849" t="s">
        <v>218</v>
      </c>
      <c r="B188" s="850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>
      <c r="A189" s="849" t="s">
        <v>219</v>
      </c>
      <c r="B189" s="850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>
      <c r="A190" s="770" t="s">
        <v>360</v>
      </c>
      <c r="B190" s="771"/>
      <c r="C190" s="481"/>
      <c r="D190" s="478"/>
      <c r="E190" s="478">
        <v>52942.203000000001</v>
      </c>
      <c r="F190" s="478">
        <v>52948.703000000001</v>
      </c>
      <c r="G190" s="478">
        <f>F190-E190</f>
        <v>6.5</v>
      </c>
      <c r="H190" s="479"/>
      <c r="I190" s="478"/>
      <c r="J190" s="480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20"/>
  <sheetViews>
    <sheetView view="pageBreakPreview" zoomScale="55" zoomScaleNormal="75" zoomScaleSheetLayoutView="55" workbookViewId="0">
      <selection activeCell="F2" sqref="F1:F104857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96" customWidth="1"/>
    <col min="7" max="7" width="28.88671875" style="496" customWidth="1"/>
    <col min="8" max="8" width="29.109375" style="161" customWidth="1"/>
    <col min="9" max="9" width="23.5546875" style="496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5" s="57" customFormat="1" ht="27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>
      <c r="A3" s="189"/>
      <c r="B3" s="221"/>
      <c r="C3" s="348" t="s">
        <v>118</v>
      </c>
      <c r="D3" s="219">
        <v>24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5" s="57" customFormat="1" ht="27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952" t="s">
        <v>129</v>
      </c>
      <c r="B7" s="953"/>
      <c r="C7" s="954"/>
      <c r="D7" s="151" t="s">
        <v>130</v>
      </c>
      <c r="E7" s="95">
        <f>'30'!F7</f>
        <v>633566</v>
      </c>
      <c r="F7" s="95">
        <v>651180.23</v>
      </c>
      <c r="G7" s="112">
        <f>F7-E7</f>
        <v>17614.229999999981</v>
      </c>
      <c r="H7" s="99">
        <f>G7+'30'!H7</f>
        <v>15</v>
      </c>
      <c r="I7" s="113">
        <f>'1'!I7</f>
        <v>12000</v>
      </c>
      <c r="J7" s="175">
        <f>H7/DAY(B2)</f>
        <v>0.4838709677419355</v>
      </c>
      <c r="K7" s="172">
        <v>1375467</v>
      </c>
      <c r="L7" s="66"/>
      <c r="N7" s="87">
        <f>F7-'3'!E7</f>
        <v>-35313.770000000019</v>
      </c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v>708548.15</v>
      </c>
      <c r="G8" s="115">
        <f>F8-E8</f>
        <v>17830.150000000023</v>
      </c>
      <c r="H8" s="99">
        <f>G8+'30'!H8</f>
        <v>0</v>
      </c>
      <c r="I8" s="116"/>
      <c r="J8" s="175">
        <f>H8/DAY(B2)</f>
        <v>0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955" t="s">
        <v>132</v>
      </c>
      <c r="B9" s="956"/>
      <c r="C9" s="957"/>
      <c r="D9" s="151" t="s">
        <v>130</v>
      </c>
      <c r="E9" s="95">
        <f>'30'!F9</f>
        <v>267226</v>
      </c>
      <c r="F9" s="598">
        <v>282253.84999999998</v>
      </c>
      <c r="G9" s="112">
        <f>F9-E9</f>
        <v>15027.849999999977</v>
      </c>
      <c r="H9" s="99">
        <f>G9+'30'!H9</f>
        <v>2357281</v>
      </c>
      <c r="I9" s="124">
        <f>I7-J7</f>
        <v>11999.516129032258</v>
      </c>
      <c r="J9" s="175">
        <f>H9/DAY(B2)</f>
        <v>76041.322580645166</v>
      </c>
      <c r="K9" s="79">
        <f>K8-100</f>
        <v>1715817</v>
      </c>
      <c r="L9" s="66"/>
      <c r="N9" s="87"/>
      <c r="O9" s="71"/>
    </row>
    <row r="10" spans="1:15" ht="21.95" customHeight="1">
      <c r="A10" s="952" t="s">
        <v>133</v>
      </c>
      <c r="B10" s="953"/>
      <c r="C10" s="954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595732</v>
      </c>
      <c r="I10" s="120"/>
      <c r="J10" s="175">
        <f>H10/DAY(B2)</f>
        <v>19217.16129032258</v>
      </c>
      <c r="K10" s="79"/>
      <c r="L10" s="66"/>
      <c r="N10" s="87"/>
      <c r="O10" s="71"/>
    </row>
    <row r="11" spans="1:15" ht="21.95" customHeight="1">
      <c r="A11" s="952" t="s">
        <v>134</v>
      </c>
      <c r="B11" s="953"/>
      <c r="C11" s="954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1.95" customHeight="1">
      <c r="A12" s="952" t="s">
        <v>135</v>
      </c>
      <c r="B12" s="953"/>
      <c r="C12" s="954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2936258.57</v>
      </c>
      <c r="I13" s="120">
        <f>G7-G13</f>
        <v>512.41000000000349</v>
      </c>
      <c r="J13" s="175">
        <f>H13/DAY(B2)</f>
        <v>94718.018387096774</v>
      </c>
      <c r="K13" s="79"/>
      <c r="L13" s="66"/>
      <c r="N13" s="87"/>
      <c r="O13" s="71"/>
    </row>
    <row r="14" spans="1:15" ht="29.25">
      <c r="A14" s="908" t="s">
        <v>137</v>
      </c>
      <c r="B14" s="909"/>
      <c r="C14" s="91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84" t="s">
        <v>138</v>
      </c>
      <c r="B15" s="885"/>
      <c r="C15" s="886"/>
      <c r="D15" s="151" t="s">
        <v>139</v>
      </c>
      <c r="E15" s="95">
        <f>'30'!F15</f>
        <v>1905721</v>
      </c>
      <c r="F15" s="123">
        <v>1906636.767</v>
      </c>
      <c r="G15" s="112">
        <f>(F15-E15)</f>
        <v>915.76699999999255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>
      <c r="A16" s="949"/>
      <c r="B16" s="950"/>
      <c r="C16" s="951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>
      <c r="A17" s="908" t="s">
        <v>140</v>
      </c>
      <c r="B17" s="909"/>
      <c r="C17" s="91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>
      <c r="A18" s="884" t="s">
        <v>141</v>
      </c>
      <c r="B18" s="885"/>
      <c r="C18" s="88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4130</v>
      </c>
      <c r="I18" s="113">
        <f>'1'!I18</f>
        <v>65</v>
      </c>
      <c r="J18" s="175">
        <f>H18/DAY(B2)</f>
        <v>133.2258064516129</v>
      </c>
      <c r="K18" s="79"/>
      <c r="L18" s="66"/>
      <c r="N18" s="87"/>
      <c r="O18" s="71"/>
    </row>
    <row r="19" spans="1:15" ht="27.75">
      <c r="A19" s="884" t="s">
        <v>69</v>
      </c>
      <c r="B19" s="885"/>
      <c r="C19" s="88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9.2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4130</v>
      </c>
      <c r="I20" s="336">
        <f>I18-J20</f>
        <v>-68.225806451612897</v>
      </c>
      <c r="J20" s="175">
        <f>H20/DAY(B2)</f>
        <v>133.2258064516129</v>
      </c>
      <c r="K20" s="79"/>
      <c r="L20" s="66"/>
      <c r="N20" s="87"/>
      <c r="O20" s="71"/>
    </row>
    <row r="21" spans="1:15" ht="29.25">
      <c r="A21" s="908" t="s">
        <v>144</v>
      </c>
      <c r="B21" s="909"/>
      <c r="C21" s="91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95"/>
      <c r="J23" s="175">
        <f>H23/DAY(B2)</f>
        <v>3.5483870967741935</v>
      </c>
      <c r="K23" s="79"/>
      <c r="L23" s="66"/>
      <c r="N23" s="87"/>
      <c r="O23" s="71"/>
    </row>
    <row r="24" spans="1:15" ht="29.25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95"/>
      <c r="J24" s="175">
        <f>H24/DAY(B2)</f>
        <v>3.5483870967741935</v>
      </c>
      <c r="K24" s="79"/>
      <c r="L24" s="66"/>
      <c r="N24" s="87"/>
      <c r="O24" s="71"/>
    </row>
    <row r="25" spans="1:15" s="88" customFormat="1" ht="27">
      <c r="A25" s="913" t="s">
        <v>149</v>
      </c>
      <c r="B25" s="914"/>
      <c r="C25" s="91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>
      <c r="A27" s="208" t="s">
        <v>5</v>
      </c>
      <c r="B27" s="209"/>
      <c r="C27" s="210"/>
      <c r="D27" s="226" t="s">
        <v>24</v>
      </c>
      <c r="E27" s="135">
        <f>G8</f>
        <v>17830.150000000023</v>
      </c>
      <c r="F27" s="136">
        <v>9</v>
      </c>
      <c r="G27" s="137">
        <f>E27*F27</f>
        <v>160471.35000000021</v>
      </c>
      <c r="H27" s="99">
        <f>G27+'30'!H27</f>
        <v>-3.4924596548080444E-10</v>
      </c>
      <c r="I27" s="138"/>
      <c r="J27" s="175">
        <f>H27/DAY(B2)</f>
        <v>-1.1265998886477562E-11</v>
      </c>
      <c r="K27" s="63"/>
      <c r="L27" s="89"/>
      <c r="N27" s="87"/>
      <c r="O27" s="71"/>
    </row>
    <row r="28" spans="1:15" s="88" customFormat="1" ht="27.75">
      <c r="A28" s="208" t="s">
        <v>152</v>
      </c>
      <c r="B28" s="209"/>
      <c r="C28" s="210"/>
      <c r="D28" s="226" t="s">
        <v>153</v>
      </c>
      <c r="E28" s="139">
        <f>G15</f>
        <v>915.76699999999255</v>
      </c>
      <c r="F28" s="136">
        <v>52</v>
      </c>
      <c r="G28" s="137">
        <f>E28*F28</f>
        <v>47619.883999999613</v>
      </c>
      <c r="H28" s="99">
        <f>G28+'30'!H28</f>
        <v>18303.349999999991</v>
      </c>
      <c r="I28" s="692"/>
      <c r="J28" s="175">
        <f>H28/DAY(B2)</f>
        <v>590.43064516129004</v>
      </c>
      <c r="K28" s="63"/>
      <c r="L28" s="89"/>
      <c r="N28" s="87"/>
      <c r="O28" s="71"/>
    </row>
    <row r="29" spans="1:15" s="88" customFormat="1" ht="27.7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692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287.56000000000131</v>
      </c>
      <c r="I30" s="692"/>
      <c r="J30" s="175">
        <f>H30/DAY(B2)</f>
        <v>9.2761290322581065</v>
      </c>
      <c r="K30" s="63"/>
      <c r="L30" s="89"/>
      <c r="N30" s="87"/>
      <c r="O30" s="71"/>
    </row>
    <row r="31" spans="1:15" s="88" customFormat="1" ht="27.7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330400</v>
      </c>
      <c r="I31" s="692"/>
      <c r="J31" s="175">
        <f>H31/DAY(B2)</f>
        <v>10658.064516129032</v>
      </c>
      <c r="K31" s="63"/>
      <c r="L31" s="89"/>
      <c r="N31" s="87"/>
      <c r="O31" s="71"/>
    </row>
    <row r="32" spans="1:15" s="88" customFormat="1" ht="27.75">
      <c r="A32" s="211" t="s">
        <v>159</v>
      </c>
      <c r="B32" s="212"/>
      <c r="C32" s="213"/>
      <c r="D32" s="142"/>
      <c r="E32" s="142"/>
      <c r="F32" s="142"/>
      <c r="G32" s="143">
        <f>G27+G28+G29+G30+G31</f>
        <v>223467.23399999982</v>
      </c>
      <c r="H32" s="99">
        <f>G32+'30'!H32</f>
        <v>356580.90999999963</v>
      </c>
      <c r="I32" s="144"/>
      <c r="J32" s="175">
        <f>H32/DAY(B2)</f>
        <v>11502.609999999988</v>
      </c>
      <c r="K32" s="63"/>
      <c r="L32" s="89"/>
      <c r="N32" s="87"/>
      <c r="O32" s="71"/>
    </row>
    <row r="33" spans="1:15" ht="25.5" customHeight="1">
      <c r="A33" s="916" t="s">
        <v>331</v>
      </c>
      <c r="B33" s="917"/>
      <c r="C33" s="917"/>
      <c r="D33" s="337"/>
      <c r="E33" s="693"/>
      <c r="F33" s="693"/>
      <c r="G33" s="693"/>
      <c r="H33" s="693"/>
      <c r="I33" s="693"/>
      <c r="J33" s="694"/>
      <c r="K33" s="79"/>
      <c r="L33" s="66"/>
      <c r="N33" s="87"/>
      <c r="O33" s="71"/>
    </row>
    <row r="34" spans="1:15" ht="29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168042.00000000003</v>
      </c>
      <c r="I35" s="95"/>
      <c r="J35" s="175">
        <f>H35/DAY(B2)</f>
        <v>5420.709677419356</v>
      </c>
      <c r="K35" s="79"/>
      <c r="L35" s="66"/>
      <c r="N35" s="87"/>
      <c r="O35" s="71"/>
    </row>
    <row r="36" spans="1:15" ht="29.25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207605.00000000003</v>
      </c>
      <c r="I37" s="95"/>
      <c r="J37" s="175">
        <f>H37/DAY(B2)</f>
        <v>6696.9354838709687</v>
      </c>
      <c r="K37" s="79"/>
      <c r="L37" s="66"/>
      <c r="N37" s="87"/>
      <c r="O37" s="234"/>
    </row>
    <row r="38" spans="1:15" ht="29.25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432760.99999999994</v>
      </c>
      <c r="I39" s="95"/>
      <c r="J39" s="175">
        <f>H39/DAY(B2)</f>
        <v>13960.032258064513</v>
      </c>
      <c r="K39" s="79"/>
      <c r="L39" s="66"/>
      <c r="N39" s="87"/>
      <c r="O39" s="71"/>
    </row>
    <row r="40" spans="1:15" ht="29.25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-867.13000000000102</v>
      </c>
      <c r="I40" s="95"/>
      <c r="J40" s="175">
        <f>H40/DAY(B2)</f>
        <v>-27.971935483871</v>
      </c>
      <c r="K40" s="80"/>
      <c r="L40" s="66"/>
      <c r="N40" s="87"/>
      <c r="O40" s="71"/>
    </row>
    <row r="41" spans="1:15" ht="29.25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-62.73</v>
      </c>
      <c r="I41" s="95"/>
      <c r="J41" s="175">
        <f>H41/DAY(B2)</f>
        <v>-2.0235483870967741</v>
      </c>
      <c r="K41" s="79"/>
      <c r="L41" s="66"/>
      <c r="N41" s="87"/>
      <c r="O41" s="71"/>
    </row>
    <row r="42" spans="1:15" ht="29.25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1053160.1400000004</v>
      </c>
      <c r="I47" s="95"/>
      <c r="J47" s="175">
        <f>H47/DAY(B2)</f>
        <v>33972.907741935494</v>
      </c>
      <c r="K47" s="79"/>
      <c r="L47" s="66"/>
      <c r="N47" s="87"/>
      <c r="O47" s="71"/>
    </row>
    <row r="48" spans="1:15" ht="29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285361</v>
      </c>
      <c r="I49" s="95"/>
      <c r="J49" s="175">
        <f>H49/DAY(B2)</f>
        <v>9205.1935483870966</v>
      </c>
      <c r="K49" s="79"/>
      <c r="L49" s="66"/>
      <c r="N49" s="87"/>
      <c r="O49" s="71"/>
    </row>
    <row r="50" spans="1:15" ht="29.25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1753</v>
      </c>
      <c r="I54" s="95"/>
      <c r="J54" s="175">
        <f>H54/DAY(B2)</f>
        <v>56.548387096774192</v>
      </c>
      <c r="K54" s="79"/>
      <c r="L54" s="66"/>
      <c r="N54" s="87"/>
      <c r="O54" s="71"/>
    </row>
    <row r="55" spans="1:15" ht="29.25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287114</v>
      </c>
      <c r="I59" s="95">
        <f>G7-G60</f>
        <v>555.93999999997686</v>
      </c>
      <c r="J59" s="175">
        <f>H59/DAY(B2)</f>
        <v>9261.7419354838712</v>
      </c>
      <c r="K59" s="79"/>
      <c r="L59" s="66"/>
      <c r="N59" s="87"/>
      <c r="O59" s="71"/>
    </row>
    <row r="60" spans="1:15" ht="29.25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1340274.1400000004</v>
      </c>
      <c r="I60" s="95">
        <f>G13-G60</f>
        <v>43.52999999997337</v>
      </c>
      <c r="J60" s="175">
        <f>H60/DAY(B2)</f>
        <v>43234.649677419366</v>
      </c>
      <c r="K60" s="79"/>
      <c r="L60" s="66"/>
      <c r="N60" s="87"/>
      <c r="O60" s="71"/>
    </row>
    <row r="61" spans="1:15" s="68" customFormat="1" ht="27.75">
      <c r="A61" s="918" t="s">
        <v>332</v>
      </c>
      <c r="B61" s="919"/>
      <c r="C61" s="92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>
      <c r="A62" s="884" t="s">
        <v>198</v>
      </c>
      <c r="B62" s="885"/>
      <c r="C62" s="88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7.75">
      <c r="A63" s="884" t="s">
        <v>199</v>
      </c>
      <c r="B63" s="885"/>
      <c r="C63" s="88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9.25">
      <c r="A64" s="893" t="s">
        <v>200</v>
      </c>
      <c r="B64" s="894"/>
      <c r="C64" s="895"/>
      <c r="D64" s="151"/>
      <c r="E64" s="95">
        <f>'30'!F64</f>
        <v>0</v>
      </c>
      <c r="F64" s="122"/>
      <c r="G64" s="112">
        <f>G62+G63</f>
        <v>250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7.75">
      <c r="A65" s="884" t="s">
        <v>201</v>
      </c>
      <c r="B65" s="885"/>
      <c r="C65" s="88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7.7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7.7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7.7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0</v>
      </c>
      <c r="I68" s="95"/>
      <c r="J68" s="175">
        <f>H68/DAY(B2)</f>
        <v>0</v>
      </c>
      <c r="K68" s="69"/>
      <c r="L68" s="66"/>
      <c r="N68" s="87"/>
      <c r="O68" s="71"/>
    </row>
    <row r="69" spans="1:15" ht="27.7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7.7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9.25">
      <c r="A71" s="893" t="s">
        <v>208</v>
      </c>
      <c r="B71" s="894"/>
      <c r="C71" s="89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0</v>
      </c>
      <c r="I71" s="695"/>
      <c r="J71" s="175">
        <f>H71/DAY(B2)</f>
        <v>0</v>
      </c>
      <c r="K71" s="69"/>
      <c r="L71" s="66"/>
      <c r="N71" s="87"/>
      <c r="O71" s="71"/>
    </row>
    <row r="72" spans="1:15" s="88" customFormat="1" ht="27.75">
      <c r="A72" s="880"/>
      <c r="B72" s="865"/>
      <c r="C72" s="347"/>
      <c r="D72" s="180"/>
      <c r="E72" s="494" t="s">
        <v>207</v>
      </c>
      <c r="F72" s="494"/>
      <c r="G72" s="494"/>
      <c r="H72" s="181"/>
      <c r="I72" s="494"/>
      <c r="J72" s="696"/>
      <c r="N72" s="87"/>
      <c r="O72" s="71"/>
    </row>
    <row r="73" spans="1:15" ht="29.25">
      <c r="A73" s="890" t="s">
        <v>333</v>
      </c>
      <c r="B73" s="891"/>
      <c r="C73" s="89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>
      <c r="A74" s="884" t="s">
        <v>220</v>
      </c>
      <c r="B74" s="885"/>
      <c r="C74" s="88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0</v>
      </c>
      <c r="I74" s="695"/>
      <c r="J74" s="175">
        <f>H74/DAY(B2)</f>
        <v>0</v>
      </c>
      <c r="K74" s="69"/>
      <c r="L74" s="66"/>
      <c r="N74" s="87"/>
      <c r="O74" s="71"/>
    </row>
    <row r="75" spans="1:15" ht="27.75">
      <c r="A75" s="884" t="s">
        <v>221</v>
      </c>
      <c r="B75" s="885"/>
      <c r="C75" s="88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695"/>
      <c r="J75" s="175">
        <f>H75/DAY(B2)</f>
        <v>0</v>
      </c>
      <c r="K75" s="69"/>
      <c r="L75" s="66"/>
      <c r="N75" s="87"/>
      <c r="O75" s="71"/>
    </row>
    <row r="76" spans="1:15" ht="27.75">
      <c r="A76" s="881" t="s">
        <v>222</v>
      </c>
      <c r="B76" s="882"/>
      <c r="C76" s="88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0</v>
      </c>
      <c r="I76" s="695"/>
      <c r="J76" s="175">
        <f>H76/DAY(B2)</f>
        <v>0</v>
      </c>
      <c r="K76" s="69"/>
      <c r="L76" s="66"/>
      <c r="N76" s="87"/>
      <c r="O76" s="71"/>
    </row>
    <row r="77" spans="1:15" ht="27.75">
      <c r="A77" s="881" t="s">
        <v>223</v>
      </c>
      <c r="B77" s="882"/>
      <c r="C77" s="883"/>
      <c r="D77" s="151" t="s">
        <v>139</v>
      </c>
      <c r="E77" s="95">
        <f>'30'!F77</f>
        <v>41274</v>
      </c>
      <c r="F77" s="492">
        <v>41302.199999999997</v>
      </c>
      <c r="G77" s="112">
        <f t="shared" si="7"/>
        <v>28.19999999999709</v>
      </c>
      <c r="H77" s="99">
        <f>G77+'30'!H77</f>
        <v>0</v>
      </c>
      <c r="I77" s="695"/>
      <c r="J77" s="175">
        <f>H77/DAY(B2)</f>
        <v>0</v>
      </c>
      <c r="K77" s="69"/>
      <c r="L77" s="66"/>
      <c r="N77" s="87"/>
      <c r="O77" s="71"/>
    </row>
    <row r="78" spans="1:15" ht="27.75">
      <c r="A78" s="881" t="s">
        <v>224</v>
      </c>
      <c r="B78" s="882"/>
      <c r="C78" s="883"/>
      <c r="D78" s="151" t="s">
        <v>139</v>
      </c>
      <c r="E78" s="95">
        <f>'30'!F78</f>
        <v>9514</v>
      </c>
      <c r="F78" s="492">
        <v>9516</v>
      </c>
      <c r="G78" s="112">
        <f t="shared" si="7"/>
        <v>2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7.75">
      <c r="A79" s="881" t="s">
        <v>225</v>
      </c>
      <c r="B79" s="882"/>
      <c r="C79" s="883"/>
      <c r="D79" s="151"/>
      <c r="E79" s="95">
        <f>'30'!F79</f>
        <v>0</v>
      </c>
      <c r="F79" s="123"/>
      <c r="G79" s="112">
        <f>G15-SUM(G74:G78)</f>
        <v>516.41800000001967</v>
      </c>
      <c r="H79" s="99">
        <f>G79+'30'!H79</f>
        <v>0</v>
      </c>
      <c r="I79" s="95"/>
      <c r="J79" s="175"/>
      <c r="K79" s="59"/>
      <c r="L79" s="58"/>
      <c r="N79" s="87"/>
      <c r="O79" s="71"/>
    </row>
    <row r="80" spans="1:15" s="57" customFormat="1" ht="29.25">
      <c r="A80" s="893" t="s">
        <v>329</v>
      </c>
      <c r="B80" s="894"/>
      <c r="C80" s="895"/>
      <c r="D80" s="151"/>
      <c r="E80" s="117"/>
      <c r="F80" s="117"/>
      <c r="G80" s="112">
        <f>SUM(G74:G79)</f>
        <v>915.76699999999255</v>
      </c>
      <c r="H80" s="99"/>
      <c r="I80" s="95"/>
      <c r="J80" s="175"/>
      <c r="K80" s="59"/>
      <c r="L80" s="58"/>
      <c r="N80" s="87"/>
      <c r="O80" s="71"/>
    </row>
    <row r="81" spans="1:15" ht="27">
      <c r="A81" s="898" t="s">
        <v>226</v>
      </c>
      <c r="B81" s="899"/>
      <c r="C81" s="900"/>
      <c r="D81" s="110"/>
      <c r="E81" s="110"/>
      <c r="F81" s="110"/>
      <c r="G81" s="163"/>
      <c r="H81" s="163"/>
      <c r="I81" s="163"/>
      <c r="J81" s="184"/>
      <c r="O81" s="71"/>
    </row>
    <row r="82" spans="1:15" ht="27.7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-46.680000000000291</v>
      </c>
      <c r="I82" s="95"/>
      <c r="J82" s="175">
        <f>H82/DAY(B2)</f>
        <v>-1.5058064516129126</v>
      </c>
      <c r="O82" s="71"/>
    </row>
    <row r="83" spans="1:15" ht="27.7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95"/>
      <c r="J84" s="175">
        <f>H84/DAY(B2)</f>
        <v>0</v>
      </c>
      <c r="O84" s="71"/>
    </row>
    <row r="85" spans="1:15" ht="27.7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1.5799999999999272</v>
      </c>
      <c r="I85" s="95">
        <f>G82+G83+G84+G85</f>
        <v>23.739999999997963</v>
      </c>
      <c r="J85" s="175">
        <f>H85/DAY(B2)</f>
        <v>5.0967741935481523E-2</v>
      </c>
      <c r="O85" s="71"/>
    </row>
    <row r="86" spans="1:15" ht="27.7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0</v>
      </c>
      <c r="I86" s="95"/>
      <c r="J86" s="175">
        <f>H86/DAY(B2)</f>
        <v>0</v>
      </c>
      <c r="O86" s="71"/>
    </row>
    <row r="87" spans="1:15" ht="27.7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0</v>
      </c>
      <c r="I87" s="95"/>
      <c r="J87" s="175">
        <f>H87/DAY(B2)</f>
        <v>0</v>
      </c>
      <c r="O87" s="71"/>
    </row>
    <row r="88" spans="1:15" ht="27.7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0</v>
      </c>
      <c r="I88" s="95">
        <f>G86+G87+G88</f>
        <v>-5.0000000002910383E-2</v>
      </c>
      <c r="J88" s="175">
        <f>H88/DAY(B2)</f>
        <v>0</v>
      </c>
      <c r="O88" s="71"/>
    </row>
    <row r="89" spans="1:15" ht="27.7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0</v>
      </c>
      <c r="I89" s="95"/>
      <c r="J89" s="175">
        <f>H89/DAY(B2)</f>
        <v>0</v>
      </c>
      <c r="O89" s="71"/>
    </row>
    <row r="90" spans="1:15" ht="27.7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31.320000000006985</v>
      </c>
      <c r="I90" s="95">
        <f>G89+G90</f>
        <v>11.620000000006257</v>
      </c>
      <c r="J90" s="175">
        <f>H90/DAY(B2)</f>
        <v>1.0103225806453866</v>
      </c>
      <c r="O90" s="71"/>
    </row>
    <row r="91" spans="1:15" ht="27.7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0</v>
      </c>
      <c r="I91" s="155"/>
      <c r="J91" s="175">
        <f>H91/DAY(B2)</f>
        <v>0</v>
      </c>
      <c r="O91" s="71"/>
    </row>
    <row r="92" spans="1:15" ht="27.7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0</v>
      </c>
      <c r="I92" s="155"/>
      <c r="J92" s="175">
        <f>H92/DAY(B2)</f>
        <v>0</v>
      </c>
      <c r="O92" s="71"/>
    </row>
    <row r="93" spans="1:15" ht="29.25">
      <c r="A93" s="887" t="s">
        <v>239</v>
      </c>
      <c r="B93" s="888"/>
      <c r="C93" s="88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>
      <c r="A94" s="884" t="s">
        <v>240</v>
      </c>
      <c r="B94" s="885"/>
      <c r="C94" s="88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453402.99999999988</v>
      </c>
      <c r="I94" s="95"/>
      <c r="J94" s="175">
        <f>H94/DAY(B2)</f>
        <v>14625.903225806447</v>
      </c>
      <c r="K94" s="69"/>
      <c r="L94" s="66"/>
      <c r="O94" s="71"/>
    </row>
    <row r="95" spans="1:15" ht="27.75">
      <c r="A95" s="884" t="s">
        <v>241</v>
      </c>
      <c r="B95" s="885"/>
      <c r="C95" s="886"/>
      <c r="D95" s="151" t="s">
        <v>23</v>
      </c>
      <c r="E95" s="146"/>
      <c r="F95" s="146"/>
      <c r="G95" s="166">
        <f>G94/G7</f>
        <v>0.22684897381265082</v>
      </c>
      <c r="H95" s="99">
        <f>G95+'30'!H95</f>
        <v>7.2483314007300885</v>
      </c>
      <c r="I95" s="697"/>
      <c r="J95" s="175">
        <f>H95/DAY(B2)</f>
        <v>0.23381714195903511</v>
      </c>
      <c r="K95" s="69"/>
      <c r="L95" s="66"/>
      <c r="O95" s="71"/>
    </row>
    <row r="96" spans="1:15" ht="27.75">
      <c r="A96" s="884" t="s">
        <v>242</v>
      </c>
      <c r="B96" s="885"/>
      <c r="C96" s="88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-62.730000000017753</v>
      </c>
      <c r="I96" s="95"/>
      <c r="J96" s="175">
        <f>H96/DAY(B2)</f>
        <v>-2.023548387097347</v>
      </c>
      <c r="K96" s="69"/>
      <c r="L96" s="66"/>
      <c r="O96" s="71"/>
    </row>
    <row r="97" spans="1:15" ht="27.75">
      <c r="A97" s="884" t="s">
        <v>243</v>
      </c>
      <c r="B97" s="885"/>
      <c r="C97" s="886"/>
      <c r="D97" s="151" t="s">
        <v>23</v>
      </c>
      <c r="E97" s="95"/>
      <c r="F97" s="95"/>
      <c r="G97" s="166">
        <f>G96/G7</f>
        <v>0.24519096208009153</v>
      </c>
      <c r="H97" s="99">
        <f>G97+'30'!H97</f>
        <v>5.636799808006189</v>
      </c>
      <c r="I97" s="697"/>
      <c r="J97" s="175">
        <f>H97/DAY(B2)</f>
        <v>0.18183225187116739</v>
      </c>
      <c r="K97" s="69"/>
      <c r="L97" s="66"/>
      <c r="O97" s="71"/>
    </row>
    <row r="98" spans="1:15" ht="27.75">
      <c r="A98" s="884" t="s">
        <v>244</v>
      </c>
      <c r="B98" s="885"/>
      <c r="C98" s="886"/>
      <c r="D98" s="151" t="s">
        <v>130</v>
      </c>
      <c r="E98" s="95"/>
      <c r="F98" s="95"/>
      <c r="G98" s="99">
        <f>G39+G53</f>
        <v>2649.2900000000009</v>
      </c>
      <c r="H98" s="99">
        <f>G98+'30'!H98</f>
        <v>432760.99999999994</v>
      </c>
      <c r="I98" s="651"/>
      <c r="J98" s="175">
        <f>H98/DAY(B2)</f>
        <v>13960.032258064513</v>
      </c>
      <c r="K98" s="69"/>
      <c r="L98" s="66"/>
      <c r="O98" s="71"/>
    </row>
    <row r="99" spans="1:15" ht="27.75">
      <c r="A99" s="884" t="s">
        <v>245</v>
      </c>
      <c r="B99" s="885"/>
      <c r="C99" s="886"/>
      <c r="D99" s="151" t="s">
        <v>23</v>
      </c>
      <c r="E99" s="95"/>
      <c r="F99" s="95"/>
      <c r="G99" s="166">
        <f>G98/G7</f>
        <v>0.15040623405053777</v>
      </c>
      <c r="H99" s="99">
        <f>G99+'30'!H99</f>
        <v>3.7439521673876777</v>
      </c>
      <c r="I99" s="651"/>
      <c r="J99" s="175">
        <f>H99/DAY(B2)</f>
        <v>0.12077265056089283</v>
      </c>
      <c r="O99" s="71"/>
    </row>
    <row r="100" spans="1:15" ht="27.75">
      <c r="A100" s="884" t="s">
        <v>246</v>
      </c>
      <c r="B100" s="885"/>
      <c r="C100" s="88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245682</v>
      </c>
      <c r="I100" s="95"/>
      <c r="J100" s="175">
        <f>H100/DAY(B2)</f>
        <v>7925.2258064516127</v>
      </c>
      <c r="K100" s="70"/>
      <c r="O100" s="71"/>
    </row>
    <row r="101" spans="1:15" ht="27.75">
      <c r="A101" s="884" t="s">
        <v>247</v>
      </c>
      <c r="B101" s="885"/>
      <c r="C101" s="886"/>
      <c r="D101" s="151" t="s">
        <v>23</v>
      </c>
      <c r="E101" s="95"/>
      <c r="F101" s="95"/>
      <c r="G101" s="166">
        <f>G100/G7</f>
        <v>9.2392911867280145E-2</v>
      </c>
      <c r="H101" s="99">
        <f>G101+'30'!H101</f>
        <v>2.5110042777918333</v>
      </c>
      <c r="I101" s="651"/>
      <c r="J101" s="175">
        <f>H101/DAY(B2)</f>
        <v>8.100013799328494E-2</v>
      </c>
      <c r="O101" s="71"/>
    </row>
    <row r="102" spans="1:15" ht="27.75">
      <c r="A102" s="884" t="s">
        <v>248</v>
      </c>
      <c r="B102" s="885"/>
      <c r="C102" s="88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0</v>
      </c>
      <c r="I102" s="651"/>
      <c r="J102" s="175">
        <f>H102/DAY(B2)</f>
        <v>0</v>
      </c>
      <c r="O102" s="71"/>
    </row>
    <row r="103" spans="1:15" ht="27.75">
      <c r="A103" s="884" t="s">
        <v>249</v>
      </c>
      <c r="B103" s="885"/>
      <c r="C103" s="886"/>
      <c r="D103" s="151" t="s">
        <v>23</v>
      </c>
      <c r="E103" s="95"/>
      <c r="F103" s="95"/>
      <c r="G103" s="166">
        <f>G102/G7</f>
        <v>9.7044832501903128E-2</v>
      </c>
      <c r="H103" s="99">
        <f>G103+'30'!H103</f>
        <v>3.0905467977456555</v>
      </c>
      <c r="I103" s="95"/>
      <c r="J103" s="175">
        <f>H103/DAY(B2)</f>
        <v>9.9695057991795344E-2</v>
      </c>
      <c r="O103" s="71"/>
    </row>
    <row r="104" spans="1:15" ht="27.75">
      <c r="A104" s="884" t="s">
        <v>250</v>
      </c>
      <c r="B104" s="885"/>
      <c r="C104" s="88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207605.00000000003</v>
      </c>
      <c r="I104" s="95"/>
      <c r="J104" s="175">
        <f>H104/DAY(B2)</f>
        <v>6696.9354838709687</v>
      </c>
      <c r="O104" s="71"/>
    </row>
    <row r="105" spans="1:15" ht="28.5" thickBot="1">
      <c r="A105" s="877" t="s">
        <v>251</v>
      </c>
      <c r="B105" s="878"/>
      <c r="C105" s="879"/>
      <c r="D105" s="231" t="s">
        <v>23</v>
      </c>
      <c r="E105" s="185"/>
      <c r="F105" s="185"/>
      <c r="G105" s="186">
        <f>G104/G7</f>
        <v>9.0159490366595541E-2</v>
      </c>
      <c r="H105" s="99">
        <f>G105+'30'!H105</f>
        <v>2.3277237981270993</v>
      </c>
      <c r="I105" s="185"/>
      <c r="J105" s="188">
        <f>H105/DAY(B2)</f>
        <v>7.5087864455712874E-2</v>
      </c>
      <c r="O105" s="71"/>
    </row>
    <row r="106" spans="1:15" ht="29.25">
      <c r="A106" s="105"/>
      <c r="B106" s="96"/>
      <c r="C106" s="96"/>
      <c r="D106" s="169"/>
      <c r="E106" s="495"/>
      <c r="F106" s="495"/>
      <c r="G106" s="495"/>
      <c r="H106" s="170"/>
      <c r="I106" s="495"/>
      <c r="J106" s="170"/>
      <c r="O106" s="71"/>
    </row>
    <row r="107" spans="1:15" ht="29.25"/>
    <row r="108" spans="1:15" ht="31.5">
      <c r="A108" s="873" t="s">
        <v>324</v>
      </c>
      <c r="B108" s="873"/>
      <c r="C108" s="873"/>
      <c r="D108" s="873"/>
      <c r="E108" s="873"/>
      <c r="F108" s="873"/>
      <c r="G108" s="873"/>
      <c r="H108" s="873"/>
      <c r="I108" s="873"/>
      <c r="J108" s="873"/>
    </row>
    <row r="109" spans="1:15" ht="29.25">
      <c r="A109" s="901"/>
      <c r="B109" s="901"/>
    </row>
    <row r="110" spans="1:15" ht="29.25">
      <c r="A110" s="874" t="s">
        <v>165</v>
      </c>
      <c r="B110" s="875"/>
      <c r="C110" s="875"/>
      <c r="D110" s="875"/>
      <c r="E110" s="875"/>
      <c r="F110" s="875"/>
      <c r="G110" s="875"/>
      <c r="H110" s="875"/>
      <c r="I110" s="875"/>
      <c r="J110" s="876"/>
    </row>
    <row r="111" spans="1:15" ht="27.75">
      <c r="A111" s="867"/>
      <c r="B111" s="868"/>
      <c r="C111" s="869"/>
      <c r="D111" s="165"/>
      <c r="E111" s="155"/>
      <c r="F111" s="155"/>
      <c r="G111" s="155"/>
      <c r="H111" s="156"/>
      <c r="I111" s="155"/>
      <c r="J111" s="156"/>
    </row>
    <row r="112" spans="1:15" ht="27.75">
      <c r="A112" s="863" t="s">
        <v>252</v>
      </c>
      <c r="B112" s="864"/>
      <c r="C112" s="865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0</v>
      </c>
      <c r="I112" s="155"/>
      <c r="J112" s="328">
        <f>H112/DAY(B2)</f>
        <v>0</v>
      </c>
    </row>
    <row r="113" spans="1:18" ht="27.75">
      <c r="A113" s="863" t="s">
        <v>253</v>
      </c>
      <c r="B113" s="864"/>
      <c r="C113" s="865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0</v>
      </c>
      <c r="I113" s="155"/>
      <c r="J113" s="328">
        <f>H113/DAY(B2)</f>
        <v>0</v>
      </c>
    </row>
    <row r="114" spans="1:18" ht="27.75">
      <c r="A114" s="863" t="s">
        <v>254</v>
      </c>
      <c r="B114" s="864"/>
      <c r="C114" s="865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-133.60000000000036</v>
      </c>
      <c r="I114" s="155"/>
      <c r="J114" s="328">
        <f>H114/DAY(B2)</f>
        <v>-4.3096774193548502</v>
      </c>
    </row>
    <row r="115" spans="1:18" ht="27.75">
      <c r="A115" s="863" t="s">
        <v>255</v>
      </c>
      <c r="B115" s="864"/>
      <c r="C115" s="865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0</v>
      </c>
      <c r="I115" s="155"/>
      <c r="J115" s="328">
        <f>H115/DAY(B2)</f>
        <v>0</v>
      </c>
    </row>
    <row r="116" spans="1:18" ht="27.75">
      <c r="A116" s="870" t="s">
        <v>96</v>
      </c>
      <c r="B116" s="871"/>
      <c r="C116" s="87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63"/>
      <c r="R116" s="865"/>
    </row>
    <row r="117" spans="1:18" ht="27.75">
      <c r="A117" s="870" t="s">
        <v>184</v>
      </c>
      <c r="B117" s="871"/>
      <c r="C117" s="872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0</v>
      </c>
      <c r="I117" s="155"/>
      <c r="J117" s="328">
        <f>H117/DAY(B2)</f>
        <v>0</v>
      </c>
      <c r="Q117" s="863"/>
      <c r="R117" s="865"/>
    </row>
    <row r="118" spans="1:18" ht="27.75">
      <c r="A118" s="862" t="s">
        <v>97</v>
      </c>
      <c r="B118" s="862"/>
      <c r="C118" s="86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0</v>
      </c>
      <c r="I118" s="155"/>
      <c r="J118" s="328">
        <f>H118/DAY(B2)</f>
        <v>0</v>
      </c>
      <c r="Q118" s="863"/>
      <c r="R118" s="865"/>
    </row>
    <row r="119" spans="1:18" ht="27.75">
      <c r="A119" s="862" t="s">
        <v>98</v>
      </c>
      <c r="B119" s="862"/>
      <c r="C119" s="86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0</v>
      </c>
      <c r="I119" s="155"/>
      <c r="J119" s="328">
        <f>H119/DAY(B2)</f>
        <v>0</v>
      </c>
    </row>
    <row r="120" spans="1:18" ht="27.75">
      <c r="A120" s="862" t="s">
        <v>99</v>
      </c>
      <c r="B120" s="862"/>
      <c r="C120" s="86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0</v>
      </c>
      <c r="I120" s="155"/>
      <c r="J120" s="328">
        <f>H120/DAY(B2)</f>
        <v>0</v>
      </c>
    </row>
    <row r="121" spans="1:18" ht="27.75">
      <c r="A121" s="862" t="s">
        <v>100</v>
      </c>
      <c r="B121" s="862"/>
      <c r="C121" s="86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0</v>
      </c>
      <c r="I121" s="155"/>
      <c r="J121" s="328">
        <f>H121/DAY(B2)</f>
        <v>0</v>
      </c>
    </row>
    <row r="122" spans="1:18" ht="27.75">
      <c r="A122" s="862" t="s">
        <v>101</v>
      </c>
      <c r="B122" s="862"/>
      <c r="C122" s="86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0</v>
      </c>
      <c r="I122" s="155"/>
      <c r="J122" s="328">
        <f>H122/DAY(B2)</f>
        <v>0</v>
      </c>
    </row>
    <row r="123" spans="1:18" ht="27.75">
      <c r="A123" s="862" t="s">
        <v>348</v>
      </c>
      <c r="B123" s="862"/>
      <c r="C123" s="86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0</v>
      </c>
      <c r="I123" s="155"/>
      <c r="J123" s="328">
        <f>H123/DAY(B2)</f>
        <v>0</v>
      </c>
    </row>
    <row r="124" spans="1:18" ht="27.75">
      <c r="A124" s="867"/>
      <c r="B124" s="868"/>
      <c r="C124" s="869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>
      <c r="A125" s="847" t="s">
        <v>196</v>
      </c>
      <c r="B125" s="948"/>
      <c r="C125" s="848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>
      <c r="A126" s="866" t="s">
        <v>317</v>
      </c>
      <c r="B126" s="866"/>
      <c r="C126" s="866"/>
      <c r="D126" s="866"/>
      <c r="E126" s="866"/>
      <c r="F126" s="866"/>
      <c r="G126" s="866"/>
      <c r="H126" s="866"/>
      <c r="I126" s="866"/>
      <c r="J126" s="866"/>
    </row>
    <row r="127" spans="1:18" ht="27.75">
      <c r="A127" s="852"/>
      <c r="B127" s="852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>
      <c r="A128" s="863" t="s">
        <v>318</v>
      </c>
      <c r="B128" s="864"/>
      <c r="C128" s="865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0</v>
      </c>
      <c r="I128" s="155"/>
      <c r="J128" s="328">
        <f>H128/DAY(B2)</f>
        <v>0</v>
      </c>
    </row>
    <row r="129" spans="1:15" ht="27.7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7.7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7.75">
      <c r="A131" s="863" t="s">
        <v>321</v>
      </c>
      <c r="B131" s="864"/>
      <c r="C131" s="865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7.75">
      <c r="A132" s="863" t="s">
        <v>322</v>
      </c>
      <c r="B132" s="864"/>
      <c r="C132" s="865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0</v>
      </c>
      <c r="I132" s="155"/>
      <c r="J132" s="328">
        <f>H132/DAY(B2)</f>
        <v>0</v>
      </c>
    </row>
    <row r="133" spans="1:15" ht="27.75">
      <c r="A133" s="863" t="s">
        <v>362</v>
      </c>
      <c r="B133" s="864"/>
      <c r="C133" s="865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0</v>
      </c>
      <c r="I133" s="155"/>
      <c r="J133" s="328">
        <f>H133/DAY(B2)</f>
        <v>0</v>
      </c>
    </row>
    <row r="134" spans="1:15" ht="27.75">
      <c r="A134" s="863" t="s">
        <v>340</v>
      </c>
      <c r="B134" s="864"/>
      <c r="C134" s="865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671174</v>
      </c>
      <c r="I134" s="155"/>
      <c r="J134" s="328">
        <f>H134/DAY(B2)</f>
        <v>21650.774193548386</v>
      </c>
    </row>
    <row r="135" spans="1:15" ht="27.75">
      <c r="A135" s="847" t="s">
        <v>196</v>
      </c>
      <c r="B135" s="948"/>
      <c r="C135" s="848"/>
      <c r="D135" s="151"/>
      <c r="E135" s="95"/>
      <c r="F135" s="155"/>
      <c r="G135" s="112">
        <f>SUM(G128:G134)</f>
        <v>1783.7799999999988</v>
      </c>
      <c r="H135" s="99">
        <f>G135+'23'!H135</f>
        <v>631158.17000000004</v>
      </c>
      <c r="I135" s="156">
        <f>G135-(G35+G49)</f>
        <v>-326.38999999999942</v>
      </c>
      <c r="J135" s="328"/>
    </row>
    <row r="136" spans="1:15" ht="31.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9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>
      <c r="A138" s="862" t="s">
        <v>185</v>
      </c>
      <c r="B138" s="862"/>
      <c r="C138" s="86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0</v>
      </c>
      <c r="I138" s="95"/>
      <c r="J138" s="328">
        <f>H138/DAY(B2)</f>
        <v>0</v>
      </c>
    </row>
    <row r="139" spans="1:15" ht="27.75">
      <c r="A139" s="862" t="s">
        <v>186</v>
      </c>
      <c r="B139" s="862"/>
      <c r="C139" s="86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0</v>
      </c>
      <c r="I139" s="95"/>
      <c r="J139" s="328">
        <f>H139/DAY(B2)</f>
        <v>0</v>
      </c>
    </row>
    <row r="140" spans="1:15" ht="27.75">
      <c r="A140" s="862" t="s">
        <v>187</v>
      </c>
      <c r="B140" s="862"/>
      <c r="C140" s="86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0</v>
      </c>
      <c r="I140" s="95"/>
      <c r="J140" s="328">
        <f>H140/DAY(B2)</f>
        <v>0</v>
      </c>
    </row>
    <row r="141" spans="1:15" ht="27.75">
      <c r="A141" s="843" t="s">
        <v>188</v>
      </c>
      <c r="B141" s="843"/>
      <c r="C141" s="843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0</v>
      </c>
      <c r="I141" s="95"/>
      <c r="J141" s="328">
        <f>H141/DAY(B2)</f>
        <v>0</v>
      </c>
    </row>
    <row r="142" spans="1:15" ht="27.75">
      <c r="A142" s="843" t="s">
        <v>189</v>
      </c>
      <c r="B142" s="843"/>
      <c r="C142" s="843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0</v>
      </c>
      <c r="I142" s="692"/>
      <c r="J142" s="328">
        <f>H142/DAY(B2)</f>
        <v>0</v>
      </c>
    </row>
    <row r="143" spans="1:15" ht="27.75">
      <c r="A143" s="862" t="s">
        <v>91</v>
      </c>
      <c r="B143" s="862"/>
      <c r="C143" s="86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0</v>
      </c>
      <c r="I143" s="692"/>
      <c r="J143" s="328">
        <f>H143/DAY(B2)</f>
        <v>0</v>
      </c>
    </row>
    <row r="144" spans="1:15" ht="27.75">
      <c r="A144" s="843" t="s">
        <v>90</v>
      </c>
      <c r="B144" s="843"/>
      <c r="C144" s="843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0</v>
      </c>
      <c r="I144" s="692"/>
      <c r="J144" s="328">
        <f>H144/DAY(B2)</f>
        <v>0</v>
      </c>
    </row>
    <row r="145" spans="1:11" ht="27.75">
      <c r="A145" s="862" t="s">
        <v>190</v>
      </c>
      <c r="B145" s="862"/>
      <c r="C145" s="86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0</v>
      </c>
      <c r="I145" s="692"/>
      <c r="J145" s="328">
        <f>H145/DAY(B2)</f>
        <v>0</v>
      </c>
    </row>
    <row r="146" spans="1:11" ht="27.75">
      <c r="A146" s="897" t="s">
        <v>191</v>
      </c>
      <c r="B146" s="882"/>
      <c r="C146" s="88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0</v>
      </c>
      <c r="I146" s="692"/>
      <c r="J146" s="328">
        <f>H146/DAY(B2)</f>
        <v>0</v>
      </c>
    </row>
    <row r="147" spans="1:11" ht="27.75">
      <c r="A147" s="843" t="s">
        <v>192</v>
      </c>
      <c r="B147" s="843"/>
      <c r="C147" s="843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0</v>
      </c>
      <c r="I147" s="692"/>
      <c r="J147" s="328">
        <f>H147/DAY(B2)</f>
        <v>0</v>
      </c>
    </row>
    <row r="148" spans="1:11" ht="27.75">
      <c r="A148" s="844" t="s">
        <v>193</v>
      </c>
      <c r="B148" s="845"/>
      <c r="C148" s="846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0</v>
      </c>
      <c r="I148" s="124"/>
      <c r="J148" s="328">
        <f>H148/DAY(B2)</f>
        <v>0</v>
      </c>
    </row>
    <row r="149" spans="1:11" ht="27.75">
      <c r="A149" s="844" t="s">
        <v>336</v>
      </c>
      <c r="B149" s="845"/>
      <c r="C149" s="846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0</v>
      </c>
      <c r="I149" s="119"/>
      <c r="J149" s="328">
        <f>H149/DAY(B2)</f>
        <v>0</v>
      </c>
    </row>
    <row r="150" spans="1:11" ht="27.75">
      <c r="A150" s="844" t="s">
        <v>337</v>
      </c>
      <c r="B150" s="845"/>
      <c r="C150" s="846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0</v>
      </c>
      <c r="I150" s="119"/>
      <c r="J150" s="328">
        <f>H150/DAY(B2)</f>
        <v>0</v>
      </c>
    </row>
    <row r="151" spans="1:11" ht="27.75">
      <c r="A151" s="844" t="s">
        <v>338</v>
      </c>
      <c r="B151" s="845"/>
      <c r="C151" s="846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0</v>
      </c>
      <c r="I151" s="119"/>
      <c r="J151" s="328">
        <f>H151/DAY(B2)</f>
        <v>0</v>
      </c>
    </row>
    <row r="152" spans="1:11" ht="27.75">
      <c r="A152" s="844" t="s">
        <v>339</v>
      </c>
      <c r="B152" s="845"/>
      <c r="C152" s="846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0</v>
      </c>
      <c r="I152" s="119"/>
      <c r="J152" s="328">
        <f>H152/DAY(B2)</f>
        <v>0</v>
      </c>
    </row>
    <row r="153" spans="1:11" ht="27.75">
      <c r="A153" s="847" t="s">
        <v>196</v>
      </c>
      <c r="B153" s="948"/>
      <c r="C153" s="848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>
      <c r="A154" s="851" t="s">
        <v>344</v>
      </c>
      <c r="B154" s="851"/>
      <c r="C154" s="851"/>
      <c r="D154" s="851"/>
      <c r="E154" s="851"/>
      <c r="F154" s="851"/>
      <c r="G154" s="851"/>
      <c r="H154" s="851"/>
      <c r="I154" s="851"/>
      <c r="J154" s="851"/>
    </row>
    <row r="155" spans="1:11" ht="31.5">
      <c r="A155" s="843" t="s">
        <v>345</v>
      </c>
      <c r="B155" s="843"/>
      <c r="C155" s="843"/>
      <c r="D155" s="117" t="s">
        <v>130</v>
      </c>
      <c r="E155" s="95">
        <f>'30'!F155</f>
        <v>31715</v>
      </c>
      <c r="F155" s="471">
        <v>32385</v>
      </c>
      <c r="G155" s="112">
        <f t="shared" ref="G155:G158" si="12">F155-E155</f>
        <v>670</v>
      </c>
      <c r="H155" s="99">
        <f>G155+'30'!H155</f>
        <v>-560</v>
      </c>
      <c r="I155" s="364"/>
      <c r="J155" s="328">
        <f>H155/DAY(B2)</f>
        <v>-18.06451612903226</v>
      </c>
    </row>
    <row r="156" spans="1:11" ht="27.75">
      <c r="A156" s="843" t="s">
        <v>347</v>
      </c>
      <c r="B156" s="843"/>
      <c r="C156" s="843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-52</v>
      </c>
      <c r="I156" s="155"/>
      <c r="J156" s="328">
        <f>H156/DAY(B2)</f>
        <v>-1.6774193548387097</v>
      </c>
    </row>
    <row r="157" spans="1:11" ht="27.75">
      <c r="A157" s="844" t="s">
        <v>363</v>
      </c>
      <c r="B157" s="845"/>
      <c r="C157" s="846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340</v>
      </c>
      <c r="I157" s="99"/>
      <c r="J157" s="155"/>
      <c r="K157" s="328"/>
    </row>
    <row r="158" spans="1:11" ht="27.75">
      <c r="A158" s="844" t="s">
        <v>364</v>
      </c>
      <c r="B158" s="845"/>
      <c r="C158" s="846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1.1099999999999994</v>
      </c>
      <c r="I158" s="155"/>
      <c r="J158" s="328"/>
    </row>
    <row r="159" spans="1:11" ht="27.75">
      <c r="A159" s="927"/>
      <c r="B159" s="928"/>
      <c r="C159" s="929"/>
      <c r="D159" s="117"/>
      <c r="E159" s="95"/>
      <c r="F159" s="155"/>
      <c r="G159" s="112"/>
      <c r="H159" s="99"/>
      <c r="I159" s="155"/>
      <c r="J159" s="328"/>
    </row>
    <row r="160" spans="1:11" ht="31.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9.2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0</v>
      </c>
      <c r="I161" s="236"/>
      <c r="J161" s="239">
        <f>H161/DAY(B2)</f>
        <v>0</v>
      </c>
    </row>
    <row r="162" spans="1:10" ht="29.2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0</v>
      </c>
      <c r="I162" s="236"/>
      <c r="J162" s="239">
        <f>H162/DAY(B2)</f>
        <v>0</v>
      </c>
    </row>
    <row r="163" spans="1:10" ht="29.2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0</v>
      </c>
      <c r="I163" s="236"/>
      <c r="J163" s="239">
        <f>H163/DAY(B2)</f>
        <v>0</v>
      </c>
    </row>
    <row r="164" spans="1:10" ht="29.2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0</v>
      </c>
      <c r="I165" s="236"/>
      <c r="J165" s="239">
        <f>H165/DAY(B2)</f>
        <v>0</v>
      </c>
    </row>
    <row r="166" spans="1:10" ht="29.25">
      <c r="A166" s="852"/>
      <c r="B166" s="852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>
      <c r="A167" s="852"/>
      <c r="B167" s="852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>
      <c r="A168" s="852"/>
      <c r="B168" s="852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/>
    <row r="170" spans="1:10" ht="29.25"/>
    <row r="171" spans="1:10" ht="31.5">
      <c r="A171" s="853" t="s">
        <v>330</v>
      </c>
      <c r="B171" s="854"/>
      <c r="C171" s="854"/>
      <c r="D171" s="854"/>
      <c r="E171" s="854"/>
      <c r="F171" s="854"/>
      <c r="G171" s="854"/>
      <c r="H171" s="854"/>
      <c r="I171" s="854"/>
      <c r="J171" s="855"/>
    </row>
    <row r="172" spans="1:10" ht="27.75">
      <c r="A172" s="860"/>
      <c r="B172" s="86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>
      <c r="A173" s="856" t="s">
        <v>209</v>
      </c>
      <c r="B173" s="857"/>
      <c r="C173" s="333"/>
      <c r="D173" s="228" t="s">
        <v>142</v>
      </c>
      <c r="E173" s="95">
        <f>'30'!F173</f>
        <v>8126</v>
      </c>
      <c r="F173" s="551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>
      <c r="A174" s="856" t="s">
        <v>75</v>
      </c>
      <c r="B174" s="85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0</v>
      </c>
      <c r="I174" s="155"/>
      <c r="J174" s="178">
        <f>H174/DAY(B2)</f>
        <v>0</v>
      </c>
    </row>
    <row r="175" spans="1:10" ht="27.75">
      <c r="A175" s="856" t="s">
        <v>76</v>
      </c>
      <c r="B175" s="896"/>
      <c r="C175" s="85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0</v>
      </c>
      <c r="I175" s="155"/>
      <c r="J175" s="178">
        <f>H175/DAY(B2)</f>
        <v>0</v>
      </c>
    </row>
    <row r="176" spans="1:10" ht="27.75">
      <c r="A176" s="847" t="s">
        <v>196</v>
      </c>
      <c r="B176" s="948"/>
      <c r="C176" s="848"/>
      <c r="D176" s="228" t="s">
        <v>142</v>
      </c>
      <c r="E176" s="95"/>
      <c r="F176" s="155"/>
      <c r="G176" s="155">
        <f>SUM(G173:G175)</f>
        <v>22</v>
      </c>
      <c r="H176" s="99">
        <f>G176+'30'!H176</f>
        <v>0</v>
      </c>
      <c r="I176" s="155"/>
      <c r="J176" s="178">
        <f>H176/DAY(B2)</f>
        <v>0</v>
      </c>
    </row>
    <row r="177" spans="1:10" ht="27.75">
      <c r="A177" s="856" t="s">
        <v>77</v>
      </c>
      <c r="B177" s="85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>
      <c r="A178" s="856" t="s">
        <v>210</v>
      </c>
      <c r="B178" s="85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0</v>
      </c>
      <c r="I178" s="155"/>
      <c r="J178" s="178">
        <f>H178/DAY(B2)</f>
        <v>0</v>
      </c>
    </row>
    <row r="179" spans="1:10" ht="27.75">
      <c r="A179" s="856" t="s">
        <v>211</v>
      </c>
      <c r="B179" s="85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0</v>
      </c>
      <c r="I179" s="155"/>
      <c r="J179" s="178">
        <f>H179/DAY(B2)</f>
        <v>0</v>
      </c>
    </row>
    <row r="180" spans="1:10" ht="27.75">
      <c r="A180" s="856" t="s">
        <v>212</v>
      </c>
      <c r="B180" s="85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0</v>
      </c>
      <c r="I180" s="155"/>
      <c r="J180" s="178">
        <f>H180/DAY(B2)</f>
        <v>0</v>
      </c>
    </row>
    <row r="181" spans="1:10" ht="27.75">
      <c r="A181" s="858" t="s">
        <v>108</v>
      </c>
      <c r="B181" s="859"/>
      <c r="C181" s="483"/>
      <c r="D181" s="228" t="s">
        <v>142</v>
      </c>
      <c r="E181" s="95"/>
      <c r="F181" s="157"/>
      <c r="G181" s="155">
        <f>SUM(G178:G180)</f>
        <v>167</v>
      </c>
      <c r="H181" s="99">
        <f>G181+'30'!H181</f>
        <v>0</v>
      </c>
      <c r="I181" s="155"/>
      <c r="J181" s="178">
        <f>H181/DAY(B2)</f>
        <v>0</v>
      </c>
    </row>
    <row r="182" spans="1:10" ht="27.75">
      <c r="A182" s="856" t="s">
        <v>213</v>
      </c>
      <c r="B182" s="85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>
      <c r="A183" s="856" t="s">
        <v>214</v>
      </c>
      <c r="B183" s="85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0</v>
      </c>
      <c r="I183" s="155"/>
      <c r="J183" s="178">
        <f>H183/DAY(B2)</f>
        <v>0</v>
      </c>
    </row>
    <row r="184" spans="1:10" ht="27.75">
      <c r="A184" s="856" t="s">
        <v>215</v>
      </c>
      <c r="B184" s="85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0</v>
      </c>
      <c r="I184" s="155"/>
      <c r="J184" s="178">
        <f>H184/DAY(B2)</f>
        <v>0</v>
      </c>
    </row>
    <row r="185" spans="1:10" ht="27.75">
      <c r="A185" s="856" t="s">
        <v>216</v>
      </c>
      <c r="B185" s="85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>
      <c r="A186" s="847" t="s">
        <v>196</v>
      </c>
      <c r="B186" s="848"/>
      <c r="C186" s="482"/>
      <c r="D186" s="228" t="s">
        <v>142</v>
      </c>
      <c r="E186" s="95"/>
      <c r="F186" s="157"/>
      <c r="G186" s="157">
        <f>SUM(G183:G185)</f>
        <v>18</v>
      </c>
      <c r="H186" s="99">
        <f>G186+'30'!H186</f>
        <v>0</v>
      </c>
      <c r="I186" s="157"/>
      <c r="J186" s="178">
        <f>H186/DAY(B2)</f>
        <v>0</v>
      </c>
    </row>
    <row r="187" spans="1:10" ht="27.75">
      <c r="A187" s="849" t="s">
        <v>217</v>
      </c>
      <c r="B187" s="850"/>
      <c r="C187" s="333"/>
      <c r="D187" s="230" t="s">
        <v>142</v>
      </c>
      <c r="E187" s="95">
        <f>'30'!F187</f>
        <v>0</v>
      </c>
      <c r="F187" s="159"/>
      <c r="G187" s="460">
        <f>G62+G19</f>
        <v>139</v>
      </c>
      <c r="H187" s="99">
        <f>G187+'30'!H187</f>
        <v>0</v>
      </c>
      <c r="I187" s="157"/>
      <c r="J187" s="179">
        <f>H187/DAY(B2)</f>
        <v>0</v>
      </c>
    </row>
    <row r="188" spans="1:10" ht="27.75">
      <c r="A188" s="849" t="s">
        <v>218</v>
      </c>
      <c r="B188" s="850"/>
      <c r="C188" s="333"/>
      <c r="D188" s="230" t="s">
        <v>142</v>
      </c>
      <c r="E188" s="95">
        <f>'30'!F188</f>
        <v>0</v>
      </c>
      <c r="F188" s="159"/>
      <c r="G188" s="460">
        <f>G65+G66+G67+G69+G70</f>
        <v>126</v>
      </c>
      <c r="H188" s="99">
        <f>G188+'30'!H188</f>
        <v>2349</v>
      </c>
      <c r="I188" s="157"/>
      <c r="J188" s="179">
        <f>H188/DAY(B2)</f>
        <v>75.774193548387103</v>
      </c>
    </row>
    <row r="189" spans="1:10" ht="27.75">
      <c r="A189" s="849" t="s">
        <v>219</v>
      </c>
      <c r="B189" s="850"/>
      <c r="C189" s="333"/>
      <c r="D189" s="230" t="s">
        <v>142</v>
      </c>
      <c r="E189" s="95">
        <f>'30'!F189</f>
        <v>0</v>
      </c>
      <c r="F189" s="157"/>
      <c r="G189" s="691">
        <f>G181</f>
        <v>167</v>
      </c>
      <c r="H189" s="99">
        <f>G189+'30'!H189</f>
        <v>1224</v>
      </c>
      <c r="I189" s="157"/>
      <c r="J189" s="179">
        <f>H189/DAY(B2)</f>
        <v>39.483870967741936</v>
      </c>
    </row>
    <row r="190" spans="1:10" ht="27.75">
      <c r="A190" s="770"/>
      <c r="B190" s="771"/>
      <c r="C190" s="481"/>
      <c r="D190" s="478"/>
      <c r="E190" s="497" t="s">
        <v>207</v>
      </c>
      <c r="F190" s="497"/>
      <c r="G190" s="497"/>
      <c r="H190" s="479"/>
      <c r="I190" s="497"/>
      <c r="J190" s="698"/>
    </row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  <row r="313" ht="29.25"/>
    <row r="314" ht="29.25"/>
    <row r="315" ht="29.25"/>
    <row r="316" ht="29.25"/>
    <row r="317" ht="29.25"/>
    <row r="318" ht="29.25"/>
    <row r="319" ht="29.25"/>
    <row r="320" ht="29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39"/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41" t="s">
        <v>6</v>
      </c>
      <c r="F2" s="741"/>
      <c r="G2" s="741"/>
      <c r="H2" s="747" t="s">
        <v>14</v>
      </c>
      <c r="I2" s="747"/>
      <c r="J2" s="747"/>
      <c r="K2" s="264" t="s">
        <v>15</v>
      </c>
      <c r="L2" s="747" t="s">
        <v>16</v>
      </c>
      <c r="M2" s="747"/>
      <c r="N2" s="747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726007</v>
      </c>
      <c r="E4" s="19">
        <f>'1'!G97</f>
        <v>0.23097846076142278</v>
      </c>
      <c r="F4" s="19">
        <f>'1'!F142</f>
        <v>21357.57</v>
      </c>
      <c r="G4" s="21">
        <f>E4*F4</f>
        <v>4933.1386442043404</v>
      </c>
      <c r="H4" s="19">
        <f>'1'!G68</f>
        <v>39</v>
      </c>
      <c r="I4" s="19">
        <f>'1'!G69</f>
        <v>9</v>
      </c>
      <c r="J4" s="19">
        <f>'1'!G70</f>
        <v>8</v>
      </c>
      <c r="K4" s="23">
        <f>H4+I4</f>
        <v>48</v>
      </c>
      <c r="L4" s="19">
        <f>'1'!G71</f>
        <v>158</v>
      </c>
      <c r="M4" s="19">
        <f>'1'!G72</f>
        <v>0</v>
      </c>
      <c r="N4" s="19">
        <v>0</v>
      </c>
      <c r="O4" s="23">
        <f>L4+M4+N4</f>
        <v>158</v>
      </c>
    </row>
    <row r="5" spans="1:15">
      <c r="A5" s="16">
        <v>2</v>
      </c>
      <c r="B5" s="26">
        <v>2</v>
      </c>
      <c r="C5" s="26"/>
      <c r="D5" s="19">
        <f>'2'!F8</f>
        <v>744345</v>
      </c>
      <c r="E5" s="19">
        <f>'2'!G96</f>
        <v>3469.6100000000006</v>
      </c>
      <c r="F5" s="19">
        <f>'2'!F123</f>
        <v>154565.59</v>
      </c>
      <c r="G5" s="21">
        <f t="shared" ref="G5:G18" si="0">E5*F5</f>
        <v>536282316.71990007</v>
      </c>
      <c r="H5" s="19">
        <f>'2'!G68</f>
        <v>30</v>
      </c>
      <c r="I5" s="19">
        <f>'2'!G69</f>
        <v>19</v>
      </c>
      <c r="J5" s="19">
        <f>'2'!G70</f>
        <v>10</v>
      </c>
      <c r="K5" s="23">
        <f t="shared" ref="K5:K18" si="1">H5+I5</f>
        <v>49</v>
      </c>
      <c r="L5" s="19">
        <f>'2'!G71</f>
        <v>170</v>
      </c>
      <c r="M5" s="19">
        <f>'2'!G72</f>
        <v>0</v>
      </c>
      <c r="N5" s="19">
        <v>0</v>
      </c>
      <c r="O5" s="23">
        <f t="shared" ref="O5:O18" si="2">L5+M5+N5</f>
        <v>170</v>
      </c>
    </row>
    <row r="6" spans="1:15">
      <c r="A6" s="16">
        <v>3</v>
      </c>
      <c r="B6" s="26">
        <v>3</v>
      </c>
      <c r="C6" s="26"/>
      <c r="D6" s="19">
        <f>'4'!F8</f>
        <v>782176.71</v>
      </c>
      <c r="E6" s="19">
        <f>'3'!G96</f>
        <v>3484.5699999999943</v>
      </c>
      <c r="F6" s="19">
        <f>'3'!F123</f>
        <v>154821.26999999999</v>
      </c>
      <c r="G6" s="21">
        <f t="shared" si="0"/>
        <v>539485552.80389905</v>
      </c>
      <c r="H6" s="19">
        <f>'4'!G68</f>
        <v>28</v>
      </c>
      <c r="I6" s="19">
        <f>'4'!G69</f>
        <v>7</v>
      </c>
      <c r="J6" s="19">
        <f>'4'!G70</f>
        <v>9</v>
      </c>
      <c r="K6" s="23">
        <f t="shared" si="1"/>
        <v>35</v>
      </c>
      <c r="L6" s="19">
        <f>'4'!G71</f>
        <v>186</v>
      </c>
      <c r="M6" s="19">
        <f>'4'!G72</f>
        <v>0</v>
      </c>
      <c r="N6" s="19">
        <v>0</v>
      </c>
      <c r="O6" s="23">
        <f t="shared" si="2"/>
        <v>186</v>
      </c>
    </row>
    <row r="7" spans="1:15">
      <c r="A7" s="16">
        <v>4</v>
      </c>
      <c r="B7" s="27">
        <v>4</v>
      </c>
      <c r="C7" s="27"/>
      <c r="D7" s="19">
        <f>'3'!F8</f>
        <v>763564</v>
      </c>
      <c r="E7" s="19">
        <f>'4'!G96</f>
        <v>2816.8300000000017</v>
      </c>
      <c r="F7" s="19">
        <f>'1'!F142</f>
        <v>21357.57</v>
      </c>
      <c r="G7" s="21">
        <f t="shared" si="0"/>
        <v>60160643.903100036</v>
      </c>
      <c r="H7" s="19">
        <f>'3'!G68</f>
        <v>28</v>
      </c>
      <c r="I7" s="19">
        <f>'3'!G69</f>
        <v>9</v>
      </c>
      <c r="J7" s="19">
        <f>'3'!G70</f>
        <v>9</v>
      </c>
      <c r="K7" s="23">
        <f t="shared" si="1"/>
        <v>37</v>
      </c>
      <c r="L7" s="19">
        <f>'3'!G71</f>
        <v>182</v>
      </c>
      <c r="M7" s="19">
        <f>'3'!G72</f>
        <v>0</v>
      </c>
      <c r="N7" s="19">
        <v>0</v>
      </c>
      <c r="O7" s="23">
        <f t="shared" si="2"/>
        <v>182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21357.57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823619.67</v>
      </c>
      <c r="E9" s="19">
        <f>'6'!G96</f>
        <v>3426.9199999999983</v>
      </c>
      <c r="F9" s="19">
        <f>'1'!F142</f>
        <v>21357.57</v>
      </c>
      <c r="G9" s="21">
        <f t="shared" si="0"/>
        <v>73190683.784399956</v>
      </c>
      <c r="H9" s="19">
        <f>'6'!G68</f>
        <v>56</v>
      </c>
      <c r="I9" s="19">
        <f>'6'!G69</f>
        <v>11</v>
      </c>
      <c r="J9" s="19">
        <f>'6'!G70</f>
        <v>9</v>
      </c>
      <c r="K9" s="23">
        <f t="shared" si="1"/>
        <v>67</v>
      </c>
      <c r="L9" s="19">
        <f>'6'!G71</f>
        <v>243</v>
      </c>
      <c r="M9" s="19">
        <f>'6'!G72</f>
        <v>0</v>
      </c>
      <c r="N9" s="19">
        <v>0</v>
      </c>
      <c r="O9" s="23">
        <f t="shared" si="2"/>
        <v>243</v>
      </c>
    </row>
    <row r="10" spans="1:15">
      <c r="A10" s="16">
        <v>7</v>
      </c>
      <c r="B10" s="26">
        <v>7</v>
      </c>
      <c r="C10" s="27"/>
      <c r="D10" s="19">
        <f>'7'!F8</f>
        <v>845323.91</v>
      </c>
      <c r="E10" s="19">
        <f>'7'!G96</f>
        <v>4458.75</v>
      </c>
      <c r="F10" s="19">
        <f>'1'!F142</f>
        <v>21357.57</v>
      </c>
      <c r="G10" s="21">
        <f t="shared" si="0"/>
        <v>95228065.237499997</v>
      </c>
      <c r="H10" s="19">
        <f>'7'!G68</f>
        <v>43</v>
      </c>
      <c r="I10" s="19">
        <f>'7'!G69</f>
        <v>15</v>
      </c>
      <c r="J10" s="19">
        <f>'7'!G70</f>
        <v>23</v>
      </c>
      <c r="K10" s="23">
        <f t="shared" si="1"/>
        <v>58</v>
      </c>
      <c r="L10" s="19">
        <f>'7'!G71</f>
        <v>228</v>
      </c>
      <c r="M10" s="19">
        <f>'7'!G72</f>
        <v>0</v>
      </c>
      <c r="N10" s="19">
        <v>0</v>
      </c>
      <c r="O10" s="23">
        <f t="shared" si="2"/>
        <v>228</v>
      </c>
    </row>
    <row r="11" spans="1:15">
      <c r="A11" s="16">
        <v>8</v>
      </c>
      <c r="B11" s="26">
        <v>8</v>
      </c>
      <c r="C11" s="18"/>
      <c r="D11" s="19">
        <f>'8'!F8</f>
        <v>301926</v>
      </c>
      <c r="E11" s="19">
        <f>'8'!G96</f>
        <v>-97121.84</v>
      </c>
      <c r="F11" s="19">
        <f>'1'!F142</f>
        <v>21357.57</v>
      </c>
      <c r="G11" s="21">
        <f t="shared" si="0"/>
        <v>-2074286496.3288</v>
      </c>
      <c r="H11" s="19">
        <f>'8'!G68</f>
        <v>-1128</v>
      </c>
      <c r="I11" s="19">
        <f>'8'!G69</f>
        <v>-308</v>
      </c>
      <c r="J11" s="19">
        <f>'8'!G70</f>
        <v>-268</v>
      </c>
      <c r="K11" s="23">
        <f t="shared" si="1"/>
        <v>-1436</v>
      </c>
      <c r="L11" s="19">
        <f>'8'!G71</f>
        <v>-5270</v>
      </c>
      <c r="M11" s="19">
        <f>'8'!G72</f>
        <v>0</v>
      </c>
      <c r="N11" s="19">
        <v>0</v>
      </c>
      <c r="O11" s="23">
        <f t="shared" si="2"/>
        <v>-5270</v>
      </c>
    </row>
    <row r="12" spans="1:1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21357.57</v>
      </c>
      <c r="G12" s="21">
        <f t="shared" si="0"/>
        <v>58999432.822199978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21357.57</v>
      </c>
      <c r="G13" s="21">
        <f t="shared" si="0"/>
        <v>58946893.199999996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21357.57</v>
      </c>
      <c r="G14" s="21">
        <f t="shared" si="0"/>
        <v>62073641.447999872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21357.57</v>
      </c>
      <c r="G15" s="20">
        <f t="shared" si="0"/>
        <v>60057486.839999996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21357.57</v>
      </c>
      <c r="G16" s="20">
        <f t="shared" si="0"/>
        <v>61104007.769999996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21357.57</v>
      </c>
      <c r="G17" s="20">
        <f t="shared" si="0"/>
        <v>66891909.240000002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21357.57</v>
      </c>
      <c r="G18" s="20">
        <f t="shared" si="0"/>
        <v>64251472.860900208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02" t="s">
        <v>115</v>
      </c>
      <c r="B1" s="903"/>
      <c r="C1" s="903"/>
      <c r="D1" s="903"/>
      <c r="E1" s="903"/>
      <c r="F1" s="903"/>
      <c r="G1" s="903"/>
      <c r="H1" s="903"/>
      <c r="I1" s="903"/>
      <c r="J1" s="904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11" t="s">
        <v>119</v>
      </c>
      <c r="F3" s="912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05" t="s">
        <v>128</v>
      </c>
      <c r="B6" s="906"/>
      <c r="C6" s="90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-17599.229999999981</v>
      </c>
      <c r="I7" s="113">
        <f>'1'!I7</f>
        <v>12000</v>
      </c>
      <c r="J7" s="175">
        <f>H7/DAY(B2)</f>
        <v>-567.7170967741929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-17830.150000000023</v>
      </c>
      <c r="I8" s="116"/>
      <c r="J8" s="175">
        <f>H8/DAY(B2)</f>
        <v>-575.16612903225882</v>
      </c>
      <c r="K8" s="172">
        <v>1715917</v>
      </c>
      <c r="L8" s="76">
        <v>1728480</v>
      </c>
      <c r="M8" s="87">
        <f>L8-K8</f>
        <v>12563</v>
      </c>
      <c r="N8" s="87"/>
      <c r="O8" s="71"/>
      <c r="Q8" s="687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2342253.15</v>
      </c>
      <c r="I9" s="124"/>
      <c r="J9" s="175">
        <f>H9/DAY(B2)</f>
        <v>75556.553225806449</v>
      </c>
      <c r="K9" s="79">
        <f>K8-100</f>
        <v>1715817</v>
      </c>
      <c r="L9" s="66"/>
      <c r="N9" s="87"/>
      <c r="O9" s="71"/>
      <c r="Q9" s="688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593658.03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686"/>
      <c r="C14" s="686"/>
      <c r="D14" s="151"/>
      <c r="E14" s="95"/>
      <c r="F14" s="95"/>
      <c r="G14" s="119">
        <f>G9+G10+G11+G12</f>
        <v>0</v>
      </c>
      <c r="H14" s="99">
        <f>G14+'30'!H13</f>
        <v>2919156.75</v>
      </c>
      <c r="I14" s="120">
        <f>G7-G14</f>
        <v>0</v>
      </c>
      <c r="J14" s="175">
        <f>H14/DAY(B2)</f>
        <v>94166.346774193546</v>
      </c>
      <c r="K14" s="79"/>
      <c r="L14" s="66"/>
      <c r="N14" s="87"/>
      <c r="O14" s="71"/>
    </row>
    <row r="15" spans="1:17" ht="33" customHeight="1">
      <c r="A15" s="908" t="s">
        <v>137</v>
      </c>
      <c r="B15" s="909"/>
      <c r="C15" s="91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-166.76699999999255</v>
      </c>
      <c r="I16" s="113">
        <f>'1'!I15</f>
        <v>800</v>
      </c>
      <c r="J16" s="175">
        <f>H16/DAY(B2)</f>
        <v>-5.3795806451610497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805.37958064516101</v>
      </c>
      <c r="J17" s="176"/>
      <c r="K17" s="79"/>
      <c r="L17" s="66"/>
      <c r="N17" s="87"/>
      <c r="O17" s="71"/>
    </row>
    <row r="18" spans="1:15" ht="33" customHeight="1">
      <c r="A18" s="908" t="s">
        <v>140</v>
      </c>
      <c r="B18" s="909"/>
      <c r="C18" s="91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84" t="s">
        <v>141</v>
      </c>
      <c r="B19" s="885"/>
      <c r="C19" s="88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4180</v>
      </c>
      <c r="I19" s="113">
        <f>'1'!I18</f>
        <v>65</v>
      </c>
      <c r="J19" s="175">
        <f>H19/DAY(B2)</f>
        <v>134.83870967741936</v>
      </c>
      <c r="K19" s="79"/>
      <c r="L19" s="66"/>
      <c r="N19" s="87"/>
      <c r="O19" s="71"/>
    </row>
    <row r="20" spans="1:15" ht="33" customHeight="1">
      <c r="A20" s="884" t="s">
        <v>69</v>
      </c>
      <c r="B20" s="885"/>
      <c r="C20" s="88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-8553</v>
      </c>
      <c r="I20" s="335"/>
      <c r="J20" s="175">
        <f>H20/DAY(B2)</f>
        <v>-275.90322580645159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-4373</v>
      </c>
      <c r="I21" s="336">
        <f>I19-J21</f>
        <v>206.06451612903226</v>
      </c>
      <c r="J21" s="175">
        <f>H21/DAY(B2)</f>
        <v>-141.06451612903226</v>
      </c>
      <c r="K21" s="79"/>
      <c r="L21" s="66"/>
      <c r="N21" s="87"/>
      <c r="O21" s="71"/>
    </row>
    <row r="22" spans="1:15" ht="33" customHeight="1">
      <c r="A22" s="908" t="s">
        <v>144</v>
      </c>
      <c r="B22" s="909"/>
      <c r="C22" s="91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>
      <c r="A26" s="913" t="s">
        <v>149</v>
      </c>
      <c r="B26" s="914"/>
      <c r="C26" s="91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-160471.35000000056</v>
      </c>
      <c r="I28" s="138"/>
      <c r="J28" s="175">
        <f>H28/DAY(B2)</f>
        <v>-5176.4951612903405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9631.4660000003787</v>
      </c>
      <c r="I29" s="140"/>
      <c r="J29" s="175">
        <f>H29/DAY(B2)</f>
        <v>310.69245161291542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-1248450.44</v>
      </c>
      <c r="I31" s="140"/>
      <c r="J31" s="175">
        <f>H31/DAY(B2)</f>
        <v>-40272.594838709672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334400</v>
      </c>
      <c r="I32" s="140"/>
      <c r="J32" s="175">
        <f>H32/DAY(B2)</f>
        <v>10787.096774193549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-1057300.3240000003</v>
      </c>
      <c r="I33" s="144"/>
      <c r="J33" s="175">
        <f>H33/DAY(B2)</f>
        <v>-34106.462064516134</v>
      </c>
      <c r="K33" s="63"/>
      <c r="L33" s="89"/>
      <c r="N33" s="87"/>
      <c r="O33" s="71"/>
    </row>
    <row r="34" spans="1:15" ht="33" customHeight="1">
      <c r="A34" s="916" t="s">
        <v>331</v>
      </c>
      <c r="B34" s="917"/>
      <c r="C34" s="91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166789.02000000002</v>
      </c>
      <c r="I36" s="95"/>
      <c r="J36" s="175">
        <f>H36/DAY(B2)</f>
        <v>5380.2909677419357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29.260000000002037</v>
      </c>
      <c r="I37" s="95"/>
      <c r="J37" s="175">
        <f>H37/DAY(B2)</f>
        <v>0.94387096774200119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207179.91000000003</v>
      </c>
      <c r="I38" s="95"/>
      <c r="J38" s="175">
        <f>H38/DAY(B2)</f>
        <v>6683.2229032258074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245722.57</v>
      </c>
      <c r="I39" s="95"/>
      <c r="J39" s="175">
        <f>H39/DAY(B2)</f>
        <v>7926.5345161290325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433997.70999999996</v>
      </c>
      <c r="I40" s="95"/>
      <c r="J40" s="175">
        <f>H40/DAY(B2)</f>
        <v>13999.926129032257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-1460.9900000000016</v>
      </c>
      <c r="I41" s="95"/>
      <c r="J41" s="175">
        <f>H41/DAY(B2)</f>
        <v>-47.128709677419408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-62.73</v>
      </c>
      <c r="I42" s="95"/>
      <c r="J42" s="175">
        <f>H42/DAY(B2)</f>
        <v>-2.0235483870967741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286.25999999999476</v>
      </c>
      <c r="I43" s="95"/>
      <c r="J43" s="175">
        <f>H43/DAY(B2)</f>
        <v>9.2341935483869282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609.39999999999418</v>
      </c>
      <c r="I44" s="95"/>
      <c r="J44" s="175">
        <f>H44/DAY(B2)</f>
        <v>19.658064516128846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1053090.4100000001</v>
      </c>
      <c r="I48" s="95"/>
      <c r="J48" s="175">
        <f>H48/DAY(B2)</f>
        <v>33970.658387096781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680186.81</v>
      </c>
      <c r="I50" s="95"/>
      <c r="J50" s="175">
        <f>H50/DAY(B2)</f>
        <v>21941.510000000002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550911.37</v>
      </c>
      <c r="I51" s="95"/>
      <c r="J51" s="175">
        <f>H51/DAY(B2)</f>
        <v>17771.334516129031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11572.58</v>
      </c>
      <c r="I55" s="95"/>
      <c r="J55" s="175">
        <f>H55/DAY(B2)</f>
        <v>373.30903225806452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231902.88</v>
      </c>
      <c r="I56" s="95"/>
      <c r="J56" s="175">
        <f>H56/DAY(B2)</f>
        <v>7480.7380645161293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61217.79</v>
      </c>
      <c r="I59" s="95"/>
      <c r="J59" s="175">
        <f>H59/DAY(B2)</f>
        <v>1974.7674193548387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3314388.89</v>
      </c>
      <c r="I60" s="95">
        <f>G7-G61</f>
        <v>-3044263.45</v>
      </c>
      <c r="J60" s="175">
        <f>H60/DAY(B2)</f>
        <v>106915.77064516129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4367479.3000000007</v>
      </c>
      <c r="I61" s="95">
        <f>G14-G61</f>
        <v>-3044263.45</v>
      </c>
      <c r="J61" s="175">
        <f>H61/DAY(B2)</f>
        <v>140886.42903225808</v>
      </c>
      <c r="K61" s="79"/>
      <c r="L61" s="66"/>
      <c r="N61" s="87"/>
      <c r="O61" s="71"/>
    </row>
    <row r="62" spans="1:15" s="68" customFormat="1" ht="33" customHeight="1">
      <c r="A62" s="918" t="s">
        <v>332</v>
      </c>
      <c r="B62" s="919"/>
      <c r="C62" s="92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84" t="s">
        <v>198</v>
      </c>
      <c r="B63" s="885"/>
      <c r="C63" s="88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84" t="s">
        <v>199</v>
      </c>
      <c r="B64" s="885"/>
      <c r="C64" s="88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647066.22999999986</v>
      </c>
      <c r="I64" s="118"/>
      <c r="J64" s="175">
        <f>H64/DAY(B2)</f>
        <v>20873.104193548385</v>
      </c>
      <c r="K64" s="69"/>
      <c r="L64" s="66"/>
      <c r="N64" s="87"/>
      <c r="O64" s="71"/>
    </row>
    <row r="65" spans="1:15" ht="33" customHeight="1">
      <c r="A65" s="893" t="s">
        <v>200</v>
      </c>
      <c r="B65" s="894"/>
      <c r="C65" s="895"/>
      <c r="D65" s="151"/>
      <c r="E65" s="122"/>
      <c r="F65" s="122"/>
      <c r="G65" s="112">
        <f>G63+G64</f>
        <v>451111</v>
      </c>
      <c r="H65" s="99">
        <f>G65+'30'!H95</f>
        <v>451118.02148242691</v>
      </c>
      <c r="I65" s="118"/>
      <c r="J65" s="175">
        <f>H65/DAY(B2)</f>
        <v>14552.19424136861</v>
      </c>
      <c r="K65" s="69"/>
      <c r="L65" s="66"/>
      <c r="N65" s="87"/>
      <c r="O65" s="71"/>
    </row>
    <row r="66" spans="1:15" ht="33" customHeight="1">
      <c r="A66" s="884" t="s">
        <v>201</v>
      </c>
      <c r="B66" s="885"/>
      <c r="C66" s="88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416637.42</v>
      </c>
      <c r="I66" s="118"/>
      <c r="J66" s="175">
        <f>H66/DAY(B2)</f>
        <v>13439.916774193547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104641.39160884592</v>
      </c>
      <c r="I67" s="118"/>
      <c r="J67" s="175">
        <f>H67/DAY(B2)</f>
        <v>3375.5287615756747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530481.71</v>
      </c>
      <c r="I68" s="118"/>
      <c r="J68" s="175">
        <f>H68/DAY(B2)</f>
        <v>17112.313225806451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152138.59354593334</v>
      </c>
      <c r="I69" s="118"/>
      <c r="J69" s="175">
        <f>H69/DAY(B2)</f>
        <v>4907.6965659978496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252699.57</v>
      </c>
      <c r="I70" s="118"/>
      <c r="J70" s="175">
        <f>H70/DAY(B2)</f>
        <v>8151.5990322580647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6375.4186113659243</v>
      </c>
      <c r="I71" s="118"/>
      <c r="J71" s="175">
        <f>H71/DAY(B2)</f>
        <v>205.65866488277175</v>
      </c>
      <c r="K71" s="69"/>
      <c r="L71" s="66"/>
      <c r="N71" s="87"/>
      <c r="O71" s="71"/>
    </row>
    <row r="72" spans="1:15" ht="33" customHeight="1">
      <c r="A72" s="893" t="s">
        <v>208</v>
      </c>
      <c r="B72" s="894"/>
      <c r="C72" s="895"/>
      <c r="D72" s="152"/>
      <c r="E72" s="152"/>
      <c r="F72" s="152"/>
      <c r="G72" s="153">
        <f>SUM(G66:G71)</f>
        <v>793178</v>
      </c>
      <c r="H72" s="99">
        <f>G72+'30'!H102</f>
        <v>791468.63</v>
      </c>
      <c r="I72" s="154"/>
      <c r="J72" s="175">
        <f>H72/DAY(B2)</f>
        <v>25531.246129032257</v>
      </c>
      <c r="K72" s="69"/>
      <c r="L72" s="66"/>
      <c r="N72" s="87"/>
      <c r="O72" s="71"/>
    </row>
    <row r="73" spans="1:15" s="88" customFormat="1" ht="33" customHeight="1">
      <c r="A73" s="880"/>
      <c r="B73" s="86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890" t="s">
        <v>333</v>
      </c>
      <c r="B74" s="891"/>
      <c r="C74" s="89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84" t="s">
        <v>220</v>
      </c>
      <c r="B75" s="885"/>
      <c r="C75" s="88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84" t="s">
        <v>221</v>
      </c>
      <c r="B76" s="885"/>
      <c r="C76" s="88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881" t="s">
        <v>222</v>
      </c>
      <c r="B77" s="882"/>
      <c r="C77" s="88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881" t="s">
        <v>223</v>
      </c>
      <c r="B78" s="882"/>
      <c r="C78" s="88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881" t="s">
        <v>224</v>
      </c>
      <c r="B79" s="882"/>
      <c r="C79" s="88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-38566</v>
      </c>
      <c r="I79" s="118"/>
      <c r="J79" s="175">
        <f>H79/DAY(B2)</f>
        <v>-1244.0645161290322</v>
      </c>
      <c r="K79" s="69"/>
      <c r="L79" s="66"/>
      <c r="N79" s="87"/>
      <c r="O79" s="71"/>
    </row>
    <row r="80" spans="1:15" s="57" customFormat="1" ht="33" customHeight="1">
      <c r="A80" s="881" t="s">
        <v>225</v>
      </c>
      <c r="B80" s="882"/>
      <c r="C80" s="883"/>
      <c r="D80" s="151"/>
      <c r="E80" s="117"/>
      <c r="F80" s="117"/>
      <c r="G80" s="112">
        <f>G16-SUM(G75:G79)</f>
        <v>-1079638.3999999999</v>
      </c>
      <c r="H80" s="99">
        <f>G80+'30'!H129</f>
        <v>-1079829.27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93" t="s">
        <v>329</v>
      </c>
      <c r="B81" s="894"/>
      <c r="C81" s="89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898" t="s">
        <v>226</v>
      </c>
      <c r="B82" s="899"/>
      <c r="C82" s="90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-15307.68</v>
      </c>
      <c r="I83" s="118"/>
      <c r="J83" s="175">
        <f>H83/DAY(B2)</f>
        <v>-493.79612903225808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-51848.3</v>
      </c>
      <c r="I84" s="118"/>
      <c r="J84" s="175">
        <f>H84/DAY(B2)</f>
        <v>-1672.5258064516131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-64421.7</v>
      </c>
      <c r="I85" s="118"/>
      <c r="J85" s="175">
        <f>H85/DAY(B2)</f>
        <v>-2078.1193548387096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663428.77</v>
      </c>
      <c r="I86" s="118">
        <f>G83+G84+G85+G86</f>
        <v>-138518</v>
      </c>
      <c r="J86" s="175">
        <f>H86/DAY(B2)</f>
        <v>21400.928064516131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673953.39</v>
      </c>
      <c r="I87" s="118"/>
      <c r="J87" s="175">
        <f>H87/DAY(B2)</f>
        <v>21740.43193548387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-841040.04</v>
      </c>
      <c r="I90" s="118"/>
      <c r="J90" s="175">
        <f>H90/DAY(B2)</f>
        <v>-27130.323870967743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-816048.45</v>
      </c>
      <c r="I91" s="118">
        <f>G90+G91</f>
        <v>-1657028.49</v>
      </c>
      <c r="J91" s="175">
        <f>H91/DAY(B2)</f>
        <v>-26324.143548387096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-86294.02</v>
      </c>
      <c r="I92" s="165"/>
      <c r="J92" s="175">
        <f>H92/DAY(B2)</f>
        <v>-2783.6780645161293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-49931.58</v>
      </c>
      <c r="I93" s="165"/>
      <c r="J93" s="175">
        <f>H93/DAY(B2)</f>
        <v>-1610.6961290322581</v>
      </c>
      <c r="O93" s="71"/>
    </row>
    <row r="94" spans="1:15" ht="33" customHeight="1">
      <c r="A94" s="887" t="s">
        <v>239</v>
      </c>
      <c r="B94" s="888"/>
      <c r="C94" s="88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84" t="s">
        <v>240</v>
      </c>
      <c r="B95" s="885"/>
      <c r="C95" s="886"/>
      <c r="D95" s="151" t="s">
        <v>130</v>
      </c>
      <c r="E95" s="151"/>
      <c r="F95" s="151"/>
      <c r="G95" s="99">
        <f>G36+G44+G50+G58</f>
        <v>405889</v>
      </c>
      <c r="H95" s="99">
        <f>G95+'30'!H143</f>
        <v>405860.61</v>
      </c>
      <c r="I95" s="118"/>
      <c r="J95" s="175">
        <f>H95/DAY(B2)</f>
        <v>13092.277741935484</v>
      </c>
      <c r="K95" s="69"/>
      <c r="L95" s="66"/>
      <c r="O95" s="71"/>
    </row>
    <row r="96" spans="1:15" ht="33" customHeight="1">
      <c r="A96" s="884" t="s">
        <v>241</v>
      </c>
      <c r="B96" s="885"/>
      <c r="C96" s="88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84" t="s">
        <v>242</v>
      </c>
      <c r="B97" s="885"/>
      <c r="C97" s="886"/>
      <c r="D97" s="151" t="s">
        <v>130</v>
      </c>
      <c r="E97" s="95"/>
      <c r="F97" s="95"/>
      <c r="G97" s="99">
        <f>G42+G43+G56+G57</f>
        <v>888916.45</v>
      </c>
      <c r="H97" s="99">
        <f>G97+'30'!H145</f>
        <v>888906.61</v>
      </c>
      <c r="I97" s="118"/>
      <c r="J97" s="175">
        <f>H97/DAY(B2)</f>
        <v>28674.406774193547</v>
      </c>
      <c r="K97" s="69"/>
      <c r="L97" s="66"/>
      <c r="O97" s="71"/>
    </row>
    <row r="98" spans="1:15" ht="33" customHeight="1">
      <c r="A98" s="884" t="s">
        <v>243</v>
      </c>
      <c r="B98" s="885"/>
      <c r="C98" s="88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84" t="s">
        <v>244</v>
      </c>
      <c r="B99" s="885"/>
      <c r="C99" s="886"/>
      <c r="D99" s="151" t="s">
        <v>130</v>
      </c>
      <c r="E99" s="95"/>
      <c r="F99" s="95"/>
      <c r="G99" s="99">
        <f>G40+G54</f>
        <v>438118</v>
      </c>
      <c r="H99" s="99">
        <f>G99+'30'!H147</f>
        <v>437770.48</v>
      </c>
      <c r="I99" s="168"/>
      <c r="J99" s="175">
        <f>H99/DAY(B2)</f>
        <v>14121.628387096773</v>
      </c>
      <c r="K99" s="69"/>
      <c r="L99" s="66"/>
      <c r="O99" s="71"/>
    </row>
    <row r="100" spans="1:15" ht="33" customHeight="1">
      <c r="A100" s="884" t="s">
        <v>245</v>
      </c>
      <c r="B100" s="885"/>
      <c r="C100" s="88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84" t="s">
        <v>246</v>
      </c>
      <c r="B101" s="885"/>
      <c r="C101" s="886"/>
      <c r="D101" s="151" t="s">
        <v>180</v>
      </c>
      <c r="E101" s="95"/>
      <c r="F101" s="95"/>
      <c r="G101" s="99">
        <f>G39+G53</f>
        <v>541274</v>
      </c>
      <c r="H101" s="99">
        <f>G101+'30'!H149</f>
        <v>540874.80000000005</v>
      </c>
      <c r="I101" s="118"/>
      <c r="J101" s="175">
        <f>H101/DAY(B2)</f>
        <v>17447.574193548389</v>
      </c>
      <c r="K101" s="70"/>
      <c r="O101" s="71"/>
    </row>
    <row r="102" spans="1:15" ht="33" customHeight="1">
      <c r="A102" s="884" t="s">
        <v>247</v>
      </c>
      <c r="B102" s="885"/>
      <c r="C102" s="88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84" t="s">
        <v>248</v>
      </c>
      <c r="B103" s="885"/>
      <c r="C103" s="886"/>
      <c r="D103" s="151" t="s">
        <v>180</v>
      </c>
      <c r="E103" s="95"/>
      <c r="F103" s="95"/>
      <c r="G103" s="99">
        <f>G37+G51</f>
        <v>552650</v>
      </c>
      <c r="H103" s="99">
        <f>G103+'30'!H156</f>
        <v>552540</v>
      </c>
      <c r="I103" s="168"/>
      <c r="J103" s="175">
        <f>H103/DAY(B2)</f>
        <v>17823.870967741936</v>
      </c>
      <c r="O103" s="71"/>
    </row>
    <row r="104" spans="1:15" ht="33" customHeight="1">
      <c r="A104" s="884" t="s">
        <v>249</v>
      </c>
      <c r="B104" s="885"/>
      <c r="C104" s="88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84" t="s">
        <v>250</v>
      </c>
      <c r="B105" s="885"/>
      <c r="C105" s="886"/>
      <c r="D105" s="151" t="s">
        <v>180</v>
      </c>
      <c r="E105" s="95"/>
      <c r="F105" s="95"/>
      <c r="G105" s="99">
        <f>G38+G52</f>
        <v>145803</v>
      </c>
      <c r="H105" s="99">
        <f>G105+'30'!H161</f>
        <v>145760.44</v>
      </c>
      <c r="I105" s="118"/>
      <c r="J105" s="175">
        <f>H105/DAY(B2)</f>
        <v>4701.9496774193549</v>
      </c>
      <c r="O105" s="71"/>
    </row>
    <row r="106" spans="1:15" ht="33" customHeight="1" thickBot="1">
      <c r="A106" s="877" t="s">
        <v>251</v>
      </c>
      <c r="B106" s="878"/>
      <c r="C106" s="87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73" t="s">
        <v>324</v>
      </c>
      <c r="B109" s="873"/>
      <c r="C109" s="873"/>
      <c r="D109" s="873"/>
      <c r="E109" s="873"/>
      <c r="F109" s="873"/>
      <c r="G109" s="873"/>
      <c r="H109" s="873"/>
      <c r="I109" s="873"/>
      <c r="J109" s="873"/>
    </row>
    <row r="110" spans="1:15" ht="33" customHeight="1">
      <c r="A110" s="901"/>
      <c r="B110" s="901"/>
    </row>
    <row r="111" spans="1:15" ht="33" customHeight="1">
      <c r="A111" s="874" t="s">
        <v>165</v>
      </c>
      <c r="B111" s="875"/>
      <c r="C111" s="875"/>
      <c r="D111" s="875"/>
      <c r="E111" s="875"/>
      <c r="F111" s="875"/>
      <c r="G111" s="875"/>
      <c r="H111" s="875"/>
      <c r="I111" s="875"/>
      <c r="J111" s="876"/>
    </row>
    <row r="112" spans="1:15" ht="33" customHeight="1">
      <c r="A112" s="867"/>
      <c r="B112" s="868"/>
      <c r="C112" s="869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63" t="s">
        <v>252</v>
      </c>
      <c r="B113" s="864"/>
      <c r="C113" s="86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63" t="s">
        <v>253</v>
      </c>
      <c r="B114" s="864"/>
      <c r="C114" s="86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63" t="s">
        <v>254</v>
      </c>
      <c r="B115" s="864"/>
      <c r="C115" s="86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63" t="s">
        <v>255</v>
      </c>
      <c r="B116" s="864"/>
      <c r="C116" s="86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70" t="s">
        <v>96</v>
      </c>
      <c r="B117" s="871"/>
      <c r="C117" s="87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63" t="s">
        <v>311</v>
      </c>
      <c r="R117" s="865"/>
    </row>
    <row r="118" spans="1:18" ht="33" customHeight="1">
      <c r="A118" s="870" t="s">
        <v>184</v>
      </c>
      <c r="B118" s="871"/>
      <c r="C118" s="87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44921</v>
      </c>
      <c r="I118" s="165"/>
      <c r="J118" s="328" t="e">
        <f t="shared" si="9"/>
        <v>#DIV/0!</v>
      </c>
      <c r="Q118" s="863" t="s">
        <v>312</v>
      </c>
      <c r="R118" s="865"/>
    </row>
    <row r="119" spans="1:18" ht="33" customHeight="1">
      <c r="A119" s="862" t="s">
        <v>97</v>
      </c>
      <c r="B119" s="862"/>
      <c r="C119" s="86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44923</v>
      </c>
      <c r="I119" s="165"/>
      <c r="J119" s="328" t="e">
        <f t="shared" si="9"/>
        <v>#DIV/0!</v>
      </c>
      <c r="Q119" s="863" t="s">
        <v>311</v>
      </c>
      <c r="R119" s="865"/>
    </row>
    <row r="120" spans="1:18" ht="33" customHeight="1">
      <c r="A120" s="862" t="s">
        <v>98</v>
      </c>
      <c r="B120" s="862"/>
      <c r="C120" s="86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44911</v>
      </c>
      <c r="I120" s="165"/>
      <c r="J120" s="328" t="e">
        <f t="shared" si="9"/>
        <v>#DIV/0!</v>
      </c>
    </row>
    <row r="121" spans="1:18" ht="33" customHeight="1">
      <c r="A121" s="862" t="s">
        <v>99</v>
      </c>
      <c r="B121" s="862"/>
      <c r="C121" s="86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62" t="s">
        <v>100</v>
      </c>
      <c r="B122" s="862"/>
      <c r="C122" s="86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44824</v>
      </c>
      <c r="I122" s="165"/>
      <c r="J122" s="328" t="e">
        <f t="shared" si="9"/>
        <v>#DIV/0!</v>
      </c>
    </row>
    <row r="123" spans="1:18" ht="33" customHeight="1">
      <c r="A123" s="862" t="s">
        <v>101</v>
      </c>
      <c r="B123" s="862"/>
      <c r="C123" s="86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44884</v>
      </c>
      <c r="I123" s="165"/>
      <c r="J123" s="328" t="e">
        <f t="shared" si="9"/>
        <v>#DIV/0!</v>
      </c>
    </row>
    <row r="124" spans="1:18" ht="33" customHeight="1">
      <c r="A124" s="862" t="s">
        <v>102</v>
      </c>
      <c r="B124" s="862"/>
      <c r="C124" s="86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44924</v>
      </c>
      <c r="I124" s="165"/>
      <c r="J124" s="328" t="e">
        <f t="shared" si="9"/>
        <v>#DIV/0!</v>
      </c>
    </row>
    <row r="125" spans="1:18" ht="33" customHeight="1">
      <c r="A125" s="867"/>
      <c r="B125" s="868"/>
      <c r="C125" s="869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52"/>
      <c r="B126" s="85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66" t="s">
        <v>317</v>
      </c>
      <c r="B127" s="866"/>
      <c r="C127" s="866"/>
      <c r="D127" s="866"/>
      <c r="E127" s="866"/>
      <c r="F127" s="866"/>
      <c r="G127" s="866"/>
      <c r="H127" s="866"/>
      <c r="I127" s="866"/>
      <c r="J127" s="866"/>
    </row>
    <row r="128" spans="1:18" ht="33" customHeight="1">
      <c r="A128" s="852"/>
      <c r="B128" s="852"/>
      <c r="C128" s="245"/>
      <c r="D128" s="307"/>
      <c r="E128" s="308"/>
      <c r="F128" s="308"/>
      <c r="G128" s="309"/>
      <c r="H128" s="99">
        <f>G128+'30'!H184</f>
        <v>-7</v>
      </c>
      <c r="I128" s="165"/>
      <c r="J128" s="328" t="e">
        <f t="shared" ref="J128:J136" si="10">H128/DAY(B47)</f>
        <v>#DIV/0!</v>
      </c>
    </row>
    <row r="129" spans="1:15" ht="33" customHeight="1">
      <c r="A129" s="863" t="s">
        <v>318</v>
      </c>
      <c r="B129" s="864"/>
      <c r="C129" s="86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-18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-139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63" t="s">
        <v>321</v>
      </c>
      <c r="B132" s="864"/>
      <c r="C132" s="86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63" t="s">
        <v>322</v>
      </c>
      <c r="B133" s="864"/>
      <c r="C133" s="86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>
      <c r="A134" s="863" t="s">
        <v>323</v>
      </c>
      <c r="B134" s="864"/>
      <c r="C134" s="865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>
      <c r="A135" s="867"/>
      <c r="B135" s="868"/>
      <c r="C135" s="86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67"/>
      <c r="B136" s="868"/>
      <c r="C136" s="86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51" t="s">
        <v>325</v>
      </c>
      <c r="B137" s="851"/>
      <c r="C137" s="851"/>
      <c r="D137" s="851"/>
      <c r="E137" s="851"/>
      <c r="F137" s="851"/>
      <c r="G137" s="851"/>
      <c r="H137" s="851"/>
      <c r="I137" s="851"/>
      <c r="J137" s="851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62" t="s">
        <v>185</v>
      </c>
      <c r="B139" s="862"/>
      <c r="C139" s="86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62" t="s">
        <v>186</v>
      </c>
      <c r="B140" s="862"/>
      <c r="C140" s="86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62" t="s">
        <v>187</v>
      </c>
      <c r="B141" s="862"/>
      <c r="C141" s="86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43" t="s">
        <v>188</v>
      </c>
      <c r="B142" s="843"/>
      <c r="C142" s="843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43" t="s">
        <v>189</v>
      </c>
      <c r="B143" s="843"/>
      <c r="C143" s="843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62" t="s">
        <v>190</v>
      </c>
      <c r="B144" s="862"/>
      <c r="C144" s="86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97" t="s">
        <v>191</v>
      </c>
      <c r="B145" s="882"/>
      <c r="C145" s="88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43" t="s">
        <v>90</v>
      </c>
      <c r="B146" s="843"/>
      <c r="C146" s="843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43" t="s">
        <v>192</v>
      </c>
      <c r="B147" s="843"/>
      <c r="C147" s="843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43" t="s">
        <v>193</v>
      </c>
      <c r="B148" s="843"/>
      <c r="C148" s="843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43" t="s">
        <v>91</v>
      </c>
      <c r="B149" s="843"/>
      <c r="C149" s="843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43" t="s">
        <v>194</v>
      </c>
      <c r="B150" s="843"/>
      <c r="C150" s="843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51" t="s">
        <v>326</v>
      </c>
      <c r="B153" s="851"/>
      <c r="C153" s="851"/>
      <c r="D153" s="851"/>
      <c r="E153" s="851"/>
      <c r="F153" s="851"/>
      <c r="G153" s="851"/>
      <c r="H153" s="851"/>
      <c r="I153" s="851"/>
      <c r="J153" s="851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52" t="s">
        <v>328</v>
      </c>
      <c r="B159" s="85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52" t="s">
        <v>327</v>
      </c>
      <c r="B160" s="85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52" t="s">
        <v>328</v>
      </c>
      <c r="B161" s="85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53" t="s">
        <v>330</v>
      </c>
      <c r="B164" s="854"/>
      <c r="C164" s="854"/>
      <c r="D164" s="854"/>
      <c r="E164" s="854"/>
      <c r="F164" s="854"/>
      <c r="G164" s="854"/>
      <c r="H164" s="854"/>
      <c r="I164" s="854"/>
      <c r="J164" s="855"/>
    </row>
    <row r="165" spans="1:10" ht="33" customHeight="1">
      <c r="A165" s="860"/>
      <c r="B165" s="86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56" t="s">
        <v>209</v>
      </c>
      <c r="B166" s="85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56" t="s">
        <v>75</v>
      </c>
      <c r="B167" s="85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56" t="s">
        <v>76</v>
      </c>
      <c r="B168" s="896"/>
      <c r="C168" s="85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56" t="s">
        <v>196</v>
      </c>
      <c r="B169" s="85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56" t="s">
        <v>77</v>
      </c>
      <c r="B170" s="85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56" t="s">
        <v>210</v>
      </c>
      <c r="B171" s="85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56" t="s">
        <v>211</v>
      </c>
      <c r="B172" s="85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56" t="s">
        <v>212</v>
      </c>
      <c r="B173" s="85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49" t="s">
        <v>108</v>
      </c>
      <c r="B174" s="850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56" t="s">
        <v>213</v>
      </c>
      <c r="B175" s="85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56" t="s">
        <v>214</v>
      </c>
      <c r="B176" s="85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56" t="s">
        <v>215</v>
      </c>
      <c r="B177" s="85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56" t="s">
        <v>216</v>
      </c>
      <c r="B178" s="85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56" t="s">
        <v>196</v>
      </c>
      <c r="B179" s="85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49" t="s">
        <v>217</v>
      </c>
      <c r="B180" s="850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49" t="s">
        <v>218</v>
      </c>
      <c r="B181" s="850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49" t="s">
        <v>219</v>
      </c>
      <c r="B182" s="850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49"/>
      <c r="B183" s="850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2021-08-31T02:26:59Z</cp:lastPrinted>
  <dcterms:created xsi:type="dcterms:W3CDTF">2013-11-14T06:06:34Z</dcterms:created>
  <dcterms:modified xsi:type="dcterms:W3CDTF">2022-02-08T01:35:12Z</dcterms:modified>
</cp:coreProperties>
</file>