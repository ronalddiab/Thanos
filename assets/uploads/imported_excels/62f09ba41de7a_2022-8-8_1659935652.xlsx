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8800" windowHeight="12000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  <sheet name="Waste Record - July" sheetId="5" r:id="rId5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3" i="5" l="1"/>
  <c r="H43" i="4"/>
  <c r="H38" i="5"/>
  <c r="L38" i="5"/>
  <c r="N38" i="5"/>
  <c r="J38" i="5"/>
  <c r="F38" i="5"/>
  <c r="D38" i="5"/>
  <c r="B38" i="5"/>
  <c r="H38" i="4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/>
  <c r="V5" i="1"/>
  <c r="X4" i="1"/>
  <c r="T5" i="1"/>
  <c r="P5" i="1"/>
  <c r="F5" i="1"/>
  <c r="D38" i="2"/>
  <c r="F38" i="2"/>
  <c r="H38" i="2"/>
  <c r="J38" i="2"/>
  <c r="L38" i="2"/>
  <c r="N38" i="2"/>
  <c r="B38" i="2"/>
  <c r="D5" i="1"/>
</calcChain>
</file>

<file path=xl/sharedStrings.xml><?xml version="1.0" encoding="utf-8"?>
<sst xmlns="http://schemas.openxmlformats.org/spreadsheetml/2006/main" count="143" uniqueCount="45">
  <si>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</si>
  <si>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</si>
  <si>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</si>
  <si>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</si>
  <si>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</si>
  <si>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</si>
  <si>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</si>
  <si>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</si>
  <si>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</si>
  <si>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</si>
  <si>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</si>
  <si>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</si>
  <si>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</si>
  <si>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</si>
  <si>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</si>
  <si>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</si>
  <si>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</si>
  <si>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</si>
  <si>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</si>
  <si>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</si>
  <si>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</si>
  <si>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</si>
  <si>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</si>
  <si>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</si>
  <si>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</si>
  <si>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</si>
  <si>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</si>
  <si>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</si>
  <si>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</si>
  <si>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</si>
  <si>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</si>
  <si>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</si>
  <si>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</si>
  <si>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</si>
  <si>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</si>
  <si>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</si>
  <si>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</si>
  <si>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</si>
  <si>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</si>
  <si>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</si>
  <si>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</si>
  <si>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</si>
  <si>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</si>
  <si>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</si>
  <si>
    <t>Month of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</si>
</sst>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topLeftCell="W1" zoomScale="115" zoomScaleNormal="115" workbookViewId="0">
      <selection activeCell="T8" sqref="A8:XFD8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49" x14ac:dyDescent="0.25">
      <c r="A2" t="s">
        <v>25</v>
      </c>
      <c r="B2" s="1">
        <v>1</v>
      </c>
      <c r="C2" s="1">
        <v>2022</v>
      </c>
    </row>
    <row r="3" spans="1:49" x14ac:dyDescent="0.25">
      <c r="A3" t="s">
        <v>25</v>
      </c>
      <c r="B3" s="1">
        <v>2</v>
      </c>
      <c r="C3" s="1">
        <v>2022</v>
      </c>
    </row>
    <row r="4" spans="1:49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49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5">
        <v>25065822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5">
        <f>'Waste Record - May'!J38</f>
        <v>2751</v>
      </c>
      <c r="V6" s="5">
        <v>3704</v>
      </c>
      <c r="W6" s="5">
        <v>11604546</v>
      </c>
      <c r="Z6" s="5">
        <v>5000</v>
      </c>
      <c r="AA6" s="5">
        <v>4970000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7" customFormat="1" x14ac:dyDescent="0.25">
      <c r="A7" t="s">
        <v>25</v>
      </c>
      <c r="B7" s="1">
        <v>6</v>
      </c>
      <c r="C7" s="1">
        <v>2022</v>
      </c>
      <c r="D7" s="5">
        <v>52</v>
      </c>
      <c r="J7" s="5">
        <v>39</v>
      </c>
      <c r="L7" s="5">
        <v>17</v>
      </c>
      <c r="M7" s="5"/>
      <c r="N7" s="5">
        <v>800</v>
      </c>
      <c r="O7" s="5"/>
      <c r="P7" s="5"/>
      <c r="Q7" s="5"/>
      <c r="R7" s="5"/>
      <c r="S7" s="5"/>
      <c r="T7" s="5">
        <v>4407</v>
      </c>
      <c r="U7" s="5"/>
      <c r="V7" s="5">
        <v>5477</v>
      </c>
      <c r="W7" s="5">
        <v>16710548</v>
      </c>
      <c r="X7" s="5">
        <v>333</v>
      </c>
      <c r="Y7" s="5">
        <v>12763637</v>
      </c>
      <c r="Z7" s="5">
        <v>5000</v>
      </c>
      <c r="AA7" s="5">
        <v>4970000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2022</v>
      </c>
      <c r="D8" s="5">
        <v>70</v>
      </c>
      <c r="F8" s="5">
        <v>30</v>
      </c>
      <c r="N8" s="5">
        <v>1500</v>
      </c>
      <c r="T8" s="5">
        <v>5243</v>
      </c>
      <c r="V8" s="5">
        <v>7611</v>
      </c>
      <c r="W8" s="5">
        <v>16710548</v>
      </c>
      <c r="Z8" s="5">
        <v>12000</v>
      </c>
      <c r="AA8" s="5">
        <v>6958000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2022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2022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2022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16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J44" sqref="J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H44" sqref="H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H38+L38-800</f>
        <v>5477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N42" sqref="N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318</v>
      </c>
      <c r="I7" s="10"/>
      <c r="J7" s="15">
        <v>79</v>
      </c>
      <c r="K7" s="10"/>
      <c r="L7" s="15">
        <v>170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105</v>
      </c>
      <c r="I8" s="10"/>
      <c r="J8" s="15">
        <v>65</v>
      </c>
      <c r="K8" s="10"/>
      <c r="L8" s="15">
        <v>100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185</v>
      </c>
      <c r="I9" s="10"/>
      <c r="J9" s="15">
        <v>251</v>
      </c>
      <c r="K9" s="10"/>
      <c r="L9" s="15">
        <v>145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126</v>
      </c>
      <c r="I10" s="10"/>
      <c r="J10" s="15">
        <v>53</v>
      </c>
      <c r="K10" s="10"/>
      <c r="L10" s="15">
        <v>7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272</v>
      </c>
      <c r="I11" s="10"/>
      <c r="J11" s="15">
        <v>142</v>
      </c>
      <c r="K11" s="10"/>
      <c r="L11" s="15">
        <v>22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377</v>
      </c>
      <c r="I12" s="10"/>
      <c r="J12" s="15">
        <v>268</v>
      </c>
      <c r="K12" s="10"/>
      <c r="L12" s="15">
        <v>162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131</v>
      </c>
      <c r="I13" s="10"/>
      <c r="J13" s="15">
        <v>104</v>
      </c>
      <c r="K13" s="10"/>
      <c r="L13" s="15">
        <v>406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168</v>
      </c>
      <c r="I14" s="10"/>
      <c r="J14" s="15">
        <v>110</v>
      </c>
      <c r="K14" s="10"/>
      <c r="L14" s="15">
        <v>106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123</v>
      </c>
      <c r="I15" s="10"/>
      <c r="J15" s="15">
        <v>80</v>
      </c>
      <c r="K15" s="10"/>
      <c r="L15" s="15">
        <v>350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179</v>
      </c>
      <c r="I16" s="10"/>
      <c r="J16" s="15">
        <v>162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174</v>
      </c>
      <c r="I17" s="10"/>
      <c r="J17" s="15">
        <v>89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227</v>
      </c>
      <c r="I18" s="10"/>
      <c r="J18" s="15">
        <v>179</v>
      </c>
      <c r="K18" s="10"/>
      <c r="L18" s="15">
        <v>80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126</v>
      </c>
      <c r="I19" s="10"/>
      <c r="J19" s="15">
        <v>160</v>
      </c>
      <c r="K19" s="10"/>
      <c r="L19" s="15">
        <v>126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89</v>
      </c>
      <c r="I20" s="10"/>
      <c r="J20" s="15">
        <v>265</v>
      </c>
      <c r="K20" s="10"/>
      <c r="L20" s="15">
        <v>70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159</v>
      </c>
      <c r="I21" s="10"/>
      <c r="J21" s="15">
        <v>138</v>
      </c>
      <c r="K21" s="10"/>
      <c r="L21" s="15">
        <v>90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262</v>
      </c>
      <c r="I22" s="10"/>
      <c r="J22" s="15">
        <v>118</v>
      </c>
      <c r="K22" s="10"/>
      <c r="L22" s="15">
        <v>140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110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245</v>
      </c>
      <c r="I24" s="10"/>
      <c r="J24" s="15">
        <v>300</v>
      </c>
      <c r="K24" s="10"/>
      <c r="L24" s="15">
        <v>80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153</v>
      </c>
      <c r="I25" s="10"/>
      <c r="J25" s="15">
        <v>200</v>
      </c>
      <c r="K25" s="10"/>
      <c r="L25" s="15">
        <v>100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50</v>
      </c>
      <c r="C26" s="10"/>
      <c r="D26" s="15"/>
      <c r="E26" s="10"/>
      <c r="F26" s="15"/>
      <c r="G26" s="10"/>
      <c r="H26" s="16">
        <v>126</v>
      </c>
      <c r="I26" s="10"/>
      <c r="J26" s="15">
        <v>152</v>
      </c>
      <c r="K26" s="10"/>
      <c r="L26" s="15">
        <v>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183</v>
      </c>
      <c r="I27" s="10"/>
      <c r="J27" s="15">
        <v>150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269</v>
      </c>
      <c r="I28" s="10"/>
      <c r="J28" s="15">
        <v>175</v>
      </c>
      <c r="K28" s="10"/>
      <c r="L28" s="15">
        <v>8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>
        <v>30</v>
      </c>
      <c r="E29" s="10"/>
      <c r="F29" s="15"/>
      <c r="G29" s="10"/>
      <c r="H29" s="16">
        <v>91</v>
      </c>
      <c r="I29" s="10"/>
      <c r="J29" s="15">
        <v>279</v>
      </c>
      <c r="K29" s="10"/>
      <c r="L29" s="15">
        <v>152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278</v>
      </c>
      <c r="I30" s="10"/>
      <c r="J30" s="15">
        <v>197</v>
      </c>
      <c r="K30" s="10"/>
      <c r="L30" s="15">
        <v>30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122</v>
      </c>
      <c r="I31" s="10"/>
      <c r="J31" s="15">
        <v>189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</v>
      </c>
      <c r="C32" s="10"/>
      <c r="D32" s="15"/>
      <c r="E32" s="10"/>
      <c r="F32" s="15"/>
      <c r="G32" s="10"/>
      <c r="H32" s="16">
        <v>227</v>
      </c>
      <c r="I32" s="10"/>
      <c r="J32" s="15">
        <v>446</v>
      </c>
      <c r="K32" s="10"/>
      <c r="L32" s="15">
        <v>590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15</v>
      </c>
      <c r="I33" s="10"/>
      <c r="J33" s="15">
        <v>45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67</v>
      </c>
      <c r="I34" s="10"/>
      <c r="J34" s="15">
        <v>121</v>
      </c>
      <c r="K34" s="10"/>
      <c r="L34" s="15">
        <v>95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347</v>
      </c>
      <c r="I35" s="10"/>
      <c r="J35" s="15">
        <v>187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107</v>
      </c>
      <c r="I36" s="10"/>
      <c r="J36" s="15">
        <v>297</v>
      </c>
      <c r="K36" s="10"/>
      <c r="L36" s="15">
        <v>308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168</v>
      </c>
      <c r="I37" s="10"/>
      <c r="J37" s="15">
        <v>162</v>
      </c>
      <c r="K37" s="10"/>
      <c r="L37" s="15">
        <v>215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70</v>
      </c>
      <c r="C38" s="13"/>
      <c r="D38" s="13">
        <f t="shared" ref="D38:N38" si="0">SUM(D7:D37)</f>
        <v>30</v>
      </c>
      <c r="E38" s="13"/>
      <c r="F38" s="13">
        <f t="shared" si="0"/>
        <v>0</v>
      </c>
      <c r="G38" s="13"/>
      <c r="H38" s="13">
        <f t="shared" si="0"/>
        <v>5529</v>
      </c>
      <c r="I38" s="13"/>
      <c r="J38" s="13">
        <f t="shared" si="0"/>
        <v>5243</v>
      </c>
      <c r="K38" s="13"/>
      <c r="L38" s="13">
        <f t="shared" si="0"/>
        <v>3582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H38+L38-1500</f>
        <v>7611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 Data</vt:lpstr>
      <vt:lpstr>Waste Record - April</vt:lpstr>
      <vt:lpstr>Waste Record - May</vt:lpstr>
      <vt:lpstr>Waste Record - June</vt:lpstr>
      <vt:lpstr>Waste Record -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2022-08-08T04:20:27Z</dcterms:modified>
</cp:coreProperties>
</file>