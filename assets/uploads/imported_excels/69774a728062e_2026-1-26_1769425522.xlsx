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702118B7-BE6A-4185-A387-106A04DCA542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" i="1" l="1"/>
  <c r="L33" i="1"/>
  <c r="C33" i="1"/>
  <c r="C27" i="1"/>
  <c r="C20" i="1" l="1"/>
  <c r="C19" i="1"/>
  <c r="C15" i="1"/>
  <c r="C14" i="1"/>
  <c r="C16" i="1"/>
  <c r="C17" i="1"/>
  <c r="C18" i="1"/>
  <c r="C13" i="1"/>
  <c r="C12" i="1"/>
  <c r="C11" i="1"/>
  <c r="C10" i="1"/>
  <c r="C9" i="1"/>
  <c r="C8" i="1"/>
  <c r="C6" i="1"/>
  <c r="C5" i="1"/>
  <c r="C4" i="1"/>
  <c r="C3" i="1"/>
  <c r="L27" i="1" l="1"/>
  <c r="D30" i="1"/>
  <c r="D31" i="1"/>
  <c r="AC32" i="1"/>
  <c r="E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N26" i="1" s="1"/>
  <c r="L28" i="1"/>
  <c r="L29" i="1"/>
  <c r="L30" i="1"/>
  <c r="L31" i="1"/>
  <c r="N24" i="1" l="1"/>
  <c r="N14" i="1"/>
  <c r="N12" i="1"/>
  <c r="N23" i="1"/>
  <c r="N22" i="1"/>
  <c r="N21" i="1"/>
  <c r="N16" i="1"/>
  <c r="N11" i="1"/>
  <c r="N10" i="1"/>
  <c r="N6" i="1"/>
  <c r="N17" i="1"/>
  <c r="N5" i="1"/>
  <c r="N28" i="1"/>
  <c r="N27" i="1"/>
  <c r="N15" i="1"/>
  <c r="N3" i="1"/>
  <c r="N25" i="1"/>
  <c r="N13" i="1"/>
  <c r="N29" i="1"/>
  <c r="N30" i="1"/>
  <c r="N20" i="1"/>
  <c r="N18" i="1"/>
  <c r="N19" i="1"/>
  <c r="N9" i="1"/>
  <c r="N7" i="1"/>
  <c r="N8" i="1"/>
  <c r="N4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5" i="1" l="1"/>
  <c r="T16" i="1"/>
  <c r="T9" i="1"/>
  <c r="T10" i="1"/>
  <c r="T11" i="1"/>
  <c r="T12" i="1"/>
  <c r="T24" i="1"/>
  <c r="T17" i="1"/>
  <c r="T18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N32" i="1" l="1"/>
  <c r="N31" i="1"/>
  <c r="U31" i="1" s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<sst xmlns="http://schemas.openxmlformats.org/spreadsheetml/2006/main" count="79" uniqueCount="39">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</sst>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ouble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21" fillId="5" borderId="6" xfId="0" applyNumberFormat="1" applyFont="1" applyFill="1" applyBorder="1" applyAlignment="1">
      <alignment horizontal="center" vertical="center" wrapText="1"/>
    </xf>
    <xf numFmtId="165" fontId="21" fillId="5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" xfId="0" applyNumberFormat="1" applyFont="1" applyFill="1" applyBorder="1" applyAlignment="1">
      <alignment horizontal="center" vertical="center" wrapText="1"/>
    </xf>
    <xf numFmtId="166" fontId="24" fillId="9" borderId="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64" fontId="0" fillId="3" borderId="14" xfId="0" applyNumberForma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center" vertical="center" wrapText="1"/>
    </xf>
    <xf numFmtId="164" fontId="0" fillId="3" borderId="16" xfId="0" applyNumberForma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center" vertical="center" wrapText="1"/>
    </xf>
    <xf numFmtId="164" fontId="0" fillId="3" borderId="18" xfId="0" applyNumberForma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center" vertical="center" wrapText="1"/>
    </xf>
    <xf numFmtId="9" fontId="4" fillId="0" borderId="20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4" xfId="0" applyNumberFormat="1" applyFont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164" fontId="0" fillId="3" borderId="26" xfId="0" applyNumberFormat="1" applyFill="1" applyBorder="1" applyAlignment="1">
      <alignment horizontal="right" vertical="center"/>
    </xf>
    <xf numFmtId="164" fontId="0" fillId="3" borderId="27" xfId="0" applyNumberFormat="1" applyFill="1" applyBorder="1" applyAlignment="1">
      <alignment horizontal="right" vertical="center"/>
    </xf>
    <xf numFmtId="1" fontId="7" fillId="0" borderId="28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 vertical="center" wrapText="1"/>
    </xf>
    <xf numFmtId="1" fontId="7" fillId="0" borderId="30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3" fontId="2" fillId="2" borderId="31" xfId="0" applyNumberFormat="1" applyFont="1" applyFill="1" applyBorder="1" applyAlignment="1">
      <alignment horizont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3" fontId="2" fillId="2" borderId="33" xfId="0" applyNumberFormat="1" applyFont="1" applyFill="1" applyBorder="1" applyAlignment="1">
      <alignment horizontal="center"/>
    </xf>
    <xf numFmtId="3" fontId="2" fillId="2" borderId="29" xfId="0" applyNumberFormat="1" applyFont="1" applyFill="1" applyBorder="1" applyAlignment="1">
      <alignment horizontal="center"/>
    </xf>
    <xf numFmtId="3" fontId="2" fillId="2" borderId="34" xfId="0" applyNumberFormat="1" applyFont="1" applyFill="1" applyBorder="1" applyAlignment="1">
      <alignment horizont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9" fontId="4" fillId="0" borderId="35" xfId="0" applyNumberFormat="1" applyFont="1" applyBorder="1" applyAlignment="1">
      <alignment horizontal="center" vertical="center"/>
    </xf>
    <xf numFmtId="9" fontId="4" fillId="0" borderId="36" xfId="0" applyNumberFormat="1" applyFont="1" applyBorder="1" applyAlignment="1">
      <alignment horizontal="center" vertical="center"/>
    </xf>
    <xf numFmtId="1" fontId="4" fillId="3" borderId="36" xfId="0" applyNumberFormat="1" applyFont="1" applyFill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6" fillId="0" borderId="35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3" fontId="2" fillId="2" borderId="31" xfId="0" applyNumberFormat="1" applyFont="1" applyFill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3" fontId="2" fillId="2" borderId="33" xfId="0" applyNumberFormat="1" applyFont="1" applyFill="1" applyBorder="1" applyAlignment="1">
      <alignment horizontal="center" vertical="center" wrapText="1"/>
    </xf>
    <xf numFmtId="3" fontId="2" fillId="2" borderId="34" xfId="0" applyNumberFormat="1" applyFont="1" applyFill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/>
    </xf>
    <xf numFmtId="1" fontId="4" fillId="3" borderId="23" xfId="0" applyNumberFormat="1" applyFont="1" applyFill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/>
    </xf>
    <xf numFmtId="1" fontId="4" fillId="3" borderId="25" xfId="0" applyNumberFormat="1" applyFont="1" applyFill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/>
    </xf>
    <xf numFmtId="3" fontId="2" fillId="2" borderId="43" xfId="0" applyNumberFormat="1" applyFont="1" applyFill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F17" sqref="F17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30" customWidth="1"/>
    <col min="6" max="6" width="12.5703125" style="42" customWidth="1"/>
    <col min="7" max="7" width="8.85546875" style="32"/>
    <col min="8" max="8" width="8.85546875" style="38"/>
    <col min="9" max="9" width="8.85546875" style="34" customWidth="1"/>
    <col min="10" max="10" width="8.85546875" style="47"/>
    <col min="11" max="12" width="8.85546875" style="40"/>
    <col min="13" max="14" width="12.28515625" style="50" bestFit="1" customWidth="1"/>
    <col min="15" max="15" width="8.85546875" style="41"/>
    <col min="16" max="16" width="11.5703125" style="41" customWidth="1"/>
    <col min="17" max="16384" width="8.85546875" style="4"/>
  </cols>
  <sheetData>
    <row r="1" spans="1:16" ht="75.75" thickBot="1" x14ac:dyDescent="0.25">
      <c r="A1" s="21" t="s">
        <v>22</v>
      </c>
      <c r="B1" s="21" t="s">
        <v>23</v>
      </c>
      <c r="C1" s="21" t="s">
        <v>24</v>
      </c>
      <c r="D1" s="21" t="s">
        <v>25</v>
      </c>
      <c r="E1" s="22" t="s">
        <v>26</v>
      </c>
      <c r="F1" s="23" t="s">
        <v>27</v>
      </c>
      <c r="G1" s="24" t="s">
        <v>28</v>
      </c>
      <c r="H1" s="25" t="s">
        <v>38</v>
      </c>
      <c r="I1" s="43" t="s">
        <v>36</v>
      </c>
      <c r="J1" s="44" t="s">
        <v>37</v>
      </c>
      <c r="K1" s="26" t="s">
        <v>29</v>
      </c>
      <c r="L1" s="26" t="s">
        <v>30</v>
      </c>
      <c r="M1" s="27" t="s">
        <v>31</v>
      </c>
      <c r="N1" s="27" t="s">
        <v>32</v>
      </c>
      <c r="O1" s="28" t="s">
        <v>0</v>
      </c>
      <c r="P1" s="28" t="s">
        <v>33</v>
      </c>
    </row>
    <row r="2" spans="1:16" ht="15.75" thickTop="1" x14ac:dyDescent="0.25">
      <c r="A2" s="29" t="s">
        <v>34</v>
      </c>
      <c r="B2" s="4">
        <v>1</v>
      </c>
      <c r="C2" s="4">
        <v>12</v>
      </c>
      <c r="D2" s="3">
        <v>2025</v>
      </c>
      <c r="E2" s="30">
        <f>Anassa!D3-Anassa!D2</f>
        <v>2965.6999999992549</v>
      </c>
      <c r="F2" s="31">
        <f>0.2563</f>
        <v>0.25629999999999997</v>
      </c>
      <c r="G2" s="32">
        <f>Anassa!N2</f>
        <v>0</v>
      </c>
      <c r="H2" s="33">
        <v>0.626</v>
      </c>
      <c r="I2" s="45">
        <f>Anassa!AC2*5.04</f>
        <v>0</v>
      </c>
      <c r="J2" s="46">
        <v>8.2900000000000001E-2</v>
      </c>
      <c r="K2" s="34">
        <f>Anassa!Z2</f>
        <v>99</v>
      </c>
      <c r="L2" s="35">
        <v>1.25</v>
      </c>
      <c r="M2" s="48">
        <f>Anassa!H2</f>
        <v>21</v>
      </c>
      <c r="N2" s="49">
        <v>0.88</v>
      </c>
      <c r="O2" s="36">
        <f>Anassa!AD2</f>
        <v>0</v>
      </c>
      <c r="P2" s="36">
        <f>Anassa!AE2</f>
        <v>0</v>
      </c>
    </row>
    <row r="3" spans="1:16" ht="15" x14ac:dyDescent="0.25">
      <c r="A3" s="29" t="s">
        <v>34</v>
      </c>
      <c r="B3" s="4">
        <f>B2+1</f>
        <v>2</v>
      </c>
      <c r="C3" s="4">
        <v>12</v>
      </c>
      <c r="D3" s="3">
        <v>2025</v>
      </c>
      <c r="E3" s="30">
        <f>Anassa!D4-Anassa!D3</f>
        <v>2256.1999999992549</v>
      </c>
      <c r="F3" s="31">
        <f t="shared" ref="F3:F32" si="0">0.2563</f>
        <v>0.25629999999999997</v>
      </c>
      <c r="G3" s="32">
        <f>Anassa!N3</f>
        <v>0</v>
      </c>
      <c r="H3" s="33">
        <v>0.626</v>
      </c>
      <c r="I3" s="45">
        <f>Anassa!AC3*5.04</f>
        <v>0</v>
      </c>
      <c r="J3" s="46">
        <v>8.2900000000000001E-2</v>
      </c>
      <c r="K3" s="34">
        <f>Anassa!Z3</f>
        <v>46</v>
      </c>
      <c r="L3" s="35">
        <v>1.25</v>
      </c>
      <c r="M3" s="48">
        <f>Anassa!H3</f>
        <v>21</v>
      </c>
      <c r="N3" s="49">
        <v>0.88</v>
      </c>
      <c r="O3" s="36">
        <f>Anassa!AD3</f>
        <v>0</v>
      </c>
      <c r="P3" s="36">
        <f>Anassa!AE3</f>
        <v>0</v>
      </c>
    </row>
    <row r="4" spans="1:16" ht="15" x14ac:dyDescent="0.25">
      <c r="A4" s="29" t="s">
        <v>34</v>
      </c>
      <c r="B4" s="4">
        <f t="shared" ref="B4:B32" si="1">B3+1</f>
        <v>3</v>
      </c>
      <c r="C4" s="4">
        <v>12</v>
      </c>
      <c r="D4" s="3">
        <v>2025</v>
      </c>
      <c r="E4" s="30">
        <f>Anassa!D5-Anassa!D4</f>
        <v>2594.4000000022352</v>
      </c>
      <c r="F4" s="31">
        <f t="shared" si="0"/>
        <v>0.25629999999999997</v>
      </c>
      <c r="G4" s="32">
        <f>Anassa!N4</f>
        <v>0</v>
      </c>
      <c r="H4" s="33">
        <v>0.626</v>
      </c>
      <c r="I4" s="45">
        <f>Anassa!AC4*5.04</f>
        <v>0</v>
      </c>
      <c r="J4" s="46">
        <v>8.2900000000000001E-2</v>
      </c>
      <c r="K4" s="34">
        <f>Anassa!Z4</f>
        <v>24</v>
      </c>
      <c r="L4" s="35">
        <v>1.25</v>
      </c>
      <c r="M4" s="48">
        <f>Anassa!H4</f>
        <v>21</v>
      </c>
      <c r="N4" s="49">
        <v>0.88</v>
      </c>
      <c r="O4" s="36">
        <f>Anassa!AD4</f>
        <v>0</v>
      </c>
      <c r="P4" s="36">
        <f>Anassa!AE4</f>
        <v>0</v>
      </c>
    </row>
    <row r="5" spans="1:16" ht="15" x14ac:dyDescent="0.25">
      <c r="A5" s="29" t="s">
        <v>34</v>
      </c>
      <c r="B5" s="4">
        <f t="shared" si="1"/>
        <v>4</v>
      </c>
      <c r="C5" s="4">
        <v>12</v>
      </c>
      <c r="D5" s="3">
        <v>2025</v>
      </c>
      <c r="E5" s="30">
        <f>Anassa!D6-Anassa!D5</f>
        <v>3025</v>
      </c>
      <c r="F5" s="31">
        <f t="shared" si="0"/>
        <v>0.25629999999999997</v>
      </c>
      <c r="G5" s="32">
        <f>Anassa!N5</f>
        <v>0</v>
      </c>
      <c r="H5" s="33">
        <v>0.626</v>
      </c>
      <c r="I5" s="45">
        <f>Anassa!AC5*5.04</f>
        <v>0</v>
      </c>
      <c r="J5" s="46">
        <v>8.2900000000000001E-2</v>
      </c>
      <c r="K5" s="34">
        <f>Anassa!Z5</f>
        <v>60</v>
      </c>
      <c r="L5" s="35">
        <v>1.25</v>
      </c>
      <c r="M5" s="48">
        <f>Anassa!H5</f>
        <v>22</v>
      </c>
      <c r="N5" s="49">
        <v>0.88</v>
      </c>
      <c r="O5" s="36">
        <f>Anassa!AD5</f>
        <v>0</v>
      </c>
      <c r="P5" s="36">
        <f>Anassa!AE5</f>
        <v>0</v>
      </c>
    </row>
    <row r="6" spans="1:16" ht="15" x14ac:dyDescent="0.25">
      <c r="A6" s="29" t="s">
        <v>34</v>
      </c>
      <c r="B6" s="4">
        <f t="shared" si="1"/>
        <v>5</v>
      </c>
      <c r="C6" s="4">
        <v>12</v>
      </c>
      <c r="D6" s="3">
        <v>2025</v>
      </c>
      <c r="E6" s="30">
        <f>Anassa!D7-Anassa!D6</f>
        <v>2350.6999999992549</v>
      </c>
      <c r="F6" s="31">
        <f t="shared" si="0"/>
        <v>0.25629999999999997</v>
      </c>
      <c r="G6" s="32">
        <f>Anassa!N6</f>
        <v>0</v>
      </c>
      <c r="H6" s="33">
        <v>0.626</v>
      </c>
      <c r="I6" s="45">
        <f>Anassa!AC6*5.04</f>
        <v>0</v>
      </c>
      <c r="J6" s="46">
        <v>8.2900000000000001E-2</v>
      </c>
      <c r="K6" s="34">
        <f>Anassa!Z6</f>
        <v>41</v>
      </c>
      <c r="L6" s="35">
        <v>1.25</v>
      </c>
      <c r="M6" s="48">
        <f>Anassa!H6</f>
        <v>180</v>
      </c>
      <c r="N6" s="49">
        <v>0.88</v>
      </c>
      <c r="O6" s="36">
        <f>Anassa!AD6</f>
        <v>0</v>
      </c>
      <c r="P6" s="36">
        <f>Anassa!AE6</f>
        <v>0</v>
      </c>
    </row>
    <row r="7" spans="1:16" ht="15" x14ac:dyDescent="0.25">
      <c r="A7" s="29" t="s">
        <v>34</v>
      </c>
      <c r="B7" s="4">
        <f t="shared" si="1"/>
        <v>6</v>
      </c>
      <c r="C7" s="4">
        <v>12</v>
      </c>
      <c r="D7" s="3">
        <v>2025</v>
      </c>
      <c r="E7" s="30">
        <f>Anassa!D8-Anassa!D7</f>
        <v>2317.6000000014901</v>
      </c>
      <c r="F7" s="31">
        <f t="shared" si="0"/>
        <v>0.25629999999999997</v>
      </c>
      <c r="G7" s="32">
        <f>Anassa!N7</f>
        <v>0</v>
      </c>
      <c r="H7" s="33">
        <v>0.626</v>
      </c>
      <c r="I7" s="45">
        <f>Anassa!AC7*5.04</f>
        <v>0</v>
      </c>
      <c r="J7" s="46">
        <v>8.2900000000000001E-2</v>
      </c>
      <c r="K7" s="34">
        <f>Anassa!Z7</f>
        <v>40</v>
      </c>
      <c r="L7" s="35">
        <v>1.25</v>
      </c>
      <c r="M7" s="48">
        <f>Anassa!H7</f>
        <v>181</v>
      </c>
      <c r="N7" s="49">
        <v>0.88</v>
      </c>
      <c r="O7" s="36">
        <f>Anassa!AD7</f>
        <v>0</v>
      </c>
      <c r="P7" s="36">
        <f>Anassa!AE7</f>
        <v>0</v>
      </c>
    </row>
    <row r="8" spans="1:16" ht="15" x14ac:dyDescent="0.25">
      <c r="A8" s="29" t="s">
        <v>34</v>
      </c>
      <c r="B8" s="4">
        <f t="shared" si="1"/>
        <v>7</v>
      </c>
      <c r="C8" s="4">
        <v>12</v>
      </c>
      <c r="D8" s="3">
        <v>2025</v>
      </c>
      <c r="E8" s="30">
        <f>Anassa!D9-Anassa!D8</f>
        <v>2203.2999999970198</v>
      </c>
      <c r="F8" s="31">
        <f t="shared" si="0"/>
        <v>0.25629999999999997</v>
      </c>
      <c r="G8" s="32">
        <f>Anassa!N8</f>
        <v>0</v>
      </c>
      <c r="H8" s="33">
        <v>0.626</v>
      </c>
      <c r="I8" s="45">
        <f>Anassa!AC8*5.04</f>
        <v>0</v>
      </c>
      <c r="J8" s="46">
        <v>8.2900000000000001E-2</v>
      </c>
      <c r="K8" s="34">
        <f>Anassa!Z8</f>
        <v>44</v>
      </c>
      <c r="L8" s="35">
        <v>1.25</v>
      </c>
      <c r="M8" s="48">
        <f>Anassa!H8</f>
        <v>217</v>
      </c>
      <c r="N8" s="49">
        <v>0.88</v>
      </c>
      <c r="O8" s="36">
        <f>Anassa!AD8</f>
        <v>0</v>
      </c>
      <c r="P8" s="36">
        <f>Anassa!AE8</f>
        <v>0</v>
      </c>
    </row>
    <row r="9" spans="1:16" ht="15" x14ac:dyDescent="0.25">
      <c r="A9" s="29" t="s">
        <v>34</v>
      </c>
      <c r="B9" s="4">
        <f t="shared" si="1"/>
        <v>8</v>
      </c>
      <c r="C9" s="4">
        <v>12</v>
      </c>
      <c r="D9" s="3">
        <v>2025</v>
      </c>
      <c r="E9" s="30">
        <f>Anassa!D10-Anassa!D9</f>
        <v>2529.6000000014901</v>
      </c>
      <c r="F9" s="31">
        <f t="shared" si="0"/>
        <v>0.25629999999999997</v>
      </c>
      <c r="G9" s="32">
        <f>Anassa!N9</f>
        <v>0</v>
      </c>
      <c r="H9" s="33">
        <v>0.626</v>
      </c>
      <c r="I9" s="45">
        <f>Anassa!AC9*5.04</f>
        <v>0</v>
      </c>
      <c r="J9" s="46">
        <v>8.2900000000000001E-2</v>
      </c>
      <c r="K9" s="34">
        <f>Anassa!Z9</f>
        <v>58</v>
      </c>
      <c r="L9" s="35">
        <v>1.25</v>
      </c>
      <c r="M9" s="48">
        <f>Anassa!H9</f>
        <v>0</v>
      </c>
      <c r="N9" s="49">
        <v>0.88</v>
      </c>
      <c r="O9" s="36">
        <f>Anassa!AD9</f>
        <v>0</v>
      </c>
      <c r="P9" s="36">
        <f>Anassa!AE9</f>
        <v>0</v>
      </c>
    </row>
    <row r="10" spans="1:16" ht="15" x14ac:dyDescent="0.25">
      <c r="A10" s="29" t="s">
        <v>34</v>
      </c>
      <c r="B10" s="4">
        <f t="shared" si="1"/>
        <v>9</v>
      </c>
      <c r="C10" s="4">
        <v>12</v>
      </c>
      <c r="D10" s="3">
        <v>2025</v>
      </c>
      <c r="E10" s="30">
        <f>Anassa!D11-Anassa!D10</f>
        <v>2335.8999999985099</v>
      </c>
      <c r="F10" s="31">
        <f t="shared" si="0"/>
        <v>0.25629999999999997</v>
      </c>
      <c r="G10" s="32">
        <f>Anassa!N10</f>
        <v>0</v>
      </c>
      <c r="H10" s="33">
        <v>0.626</v>
      </c>
      <c r="I10" s="45">
        <f>Anassa!AC10*5.04</f>
        <v>0</v>
      </c>
      <c r="J10" s="46">
        <v>8.2900000000000001E-2</v>
      </c>
      <c r="K10" s="34">
        <f>Anassa!Z10</f>
        <v>28</v>
      </c>
      <c r="L10" s="35">
        <v>1.25</v>
      </c>
      <c r="M10" s="48">
        <f>Anassa!H10</f>
        <v>317</v>
      </c>
      <c r="N10" s="49">
        <v>0.88</v>
      </c>
      <c r="O10" s="36">
        <f>Anassa!AD10</f>
        <v>0</v>
      </c>
      <c r="P10" s="36">
        <f>Anassa!AE10</f>
        <v>0</v>
      </c>
    </row>
    <row r="11" spans="1:16" ht="15" x14ac:dyDescent="0.25">
      <c r="A11" s="29" t="s">
        <v>34</v>
      </c>
      <c r="B11" s="4">
        <f t="shared" si="1"/>
        <v>10</v>
      </c>
      <c r="C11" s="4">
        <v>12</v>
      </c>
      <c r="D11" s="3">
        <v>2025</v>
      </c>
      <c r="E11" s="30">
        <f>Anassa!D12-Anassa!D11</f>
        <v>2183.9000000022352</v>
      </c>
      <c r="F11" s="31">
        <f t="shared" si="0"/>
        <v>0.25629999999999997</v>
      </c>
      <c r="G11" s="32">
        <f>Anassa!N11</f>
        <v>0</v>
      </c>
      <c r="H11" s="33">
        <v>0.626</v>
      </c>
      <c r="I11" s="45">
        <f>Anassa!AC11*5.04</f>
        <v>0</v>
      </c>
      <c r="J11" s="46">
        <v>8.2900000000000001E-2</v>
      </c>
      <c r="K11" s="34">
        <f>Anassa!Z11</f>
        <v>30</v>
      </c>
      <c r="L11" s="35">
        <v>1.25</v>
      </c>
      <c r="M11" s="48">
        <f>Anassa!H11</f>
        <v>206</v>
      </c>
      <c r="N11" s="49">
        <v>0.88</v>
      </c>
      <c r="O11" s="36">
        <f>Anassa!AD11</f>
        <v>0</v>
      </c>
      <c r="P11" s="36">
        <f>Anassa!AE11</f>
        <v>0</v>
      </c>
    </row>
    <row r="12" spans="1:16" ht="15" x14ac:dyDescent="0.25">
      <c r="A12" s="29" t="s">
        <v>34</v>
      </c>
      <c r="B12" s="4">
        <f t="shared" si="1"/>
        <v>11</v>
      </c>
      <c r="C12" s="4">
        <v>12</v>
      </c>
      <c r="D12" s="3">
        <v>2025</v>
      </c>
      <c r="E12" s="30">
        <f>Anassa!D13-Anassa!D12</f>
        <v>2454.5999999977648</v>
      </c>
      <c r="F12" s="31">
        <f t="shared" si="0"/>
        <v>0.25629999999999997</v>
      </c>
      <c r="G12" s="32">
        <f>Anassa!N12</f>
        <v>0</v>
      </c>
      <c r="H12" s="33">
        <v>0.626</v>
      </c>
      <c r="I12" s="45">
        <f>Anassa!AC12*5.04</f>
        <v>0</v>
      </c>
      <c r="J12" s="46">
        <v>8.2900000000000001E-2</v>
      </c>
      <c r="K12" s="34">
        <f>Anassa!Z12</f>
        <v>67</v>
      </c>
      <c r="L12" s="35">
        <v>1.25</v>
      </c>
      <c r="M12" s="48">
        <f>Anassa!H12</f>
        <v>0</v>
      </c>
      <c r="N12" s="49">
        <v>0.88</v>
      </c>
      <c r="O12" s="36">
        <f>Anassa!AD12</f>
        <v>0</v>
      </c>
      <c r="P12" s="36">
        <f>Anassa!AE12</f>
        <v>0</v>
      </c>
    </row>
    <row r="13" spans="1:16" ht="15" x14ac:dyDescent="0.25">
      <c r="A13" s="29" t="s">
        <v>34</v>
      </c>
      <c r="B13" s="4">
        <f t="shared" si="1"/>
        <v>12</v>
      </c>
      <c r="C13" s="4">
        <v>12</v>
      </c>
      <c r="D13" s="3">
        <v>2025</v>
      </c>
      <c r="E13" s="30">
        <f>Anassa!D14-Anassa!D13</f>
        <v>2055.1000000014901</v>
      </c>
      <c r="F13" s="31">
        <f t="shared" si="0"/>
        <v>0.25629999999999997</v>
      </c>
      <c r="G13" s="32">
        <f>Anassa!N13</f>
        <v>0</v>
      </c>
      <c r="H13" s="33">
        <v>0.626</v>
      </c>
      <c r="I13" s="45">
        <f>Anassa!AC13*5.04</f>
        <v>0</v>
      </c>
      <c r="J13" s="46">
        <v>8.2900000000000001E-2</v>
      </c>
      <c r="K13" s="34">
        <f>Anassa!Z13</f>
        <v>23</v>
      </c>
      <c r="L13" s="35">
        <v>1.25</v>
      </c>
      <c r="M13" s="48">
        <f>Anassa!H13</f>
        <v>0</v>
      </c>
      <c r="N13" s="49">
        <v>0.88</v>
      </c>
      <c r="O13" s="36">
        <f>Anassa!AD13</f>
        <v>0</v>
      </c>
      <c r="P13" s="36">
        <f>Anassa!AE13</f>
        <v>0</v>
      </c>
    </row>
    <row r="14" spans="1:16" ht="15" x14ac:dyDescent="0.25">
      <c r="A14" s="29" t="s">
        <v>34</v>
      </c>
      <c r="B14" s="4">
        <f t="shared" si="1"/>
        <v>13</v>
      </c>
      <c r="C14" s="4">
        <v>12</v>
      </c>
      <c r="D14" s="3">
        <v>2025</v>
      </c>
      <c r="E14" s="30">
        <f>Anassa!D15-Anassa!D14</f>
        <v>2067.8000000007451</v>
      </c>
      <c r="F14" s="31">
        <f t="shared" si="0"/>
        <v>0.25629999999999997</v>
      </c>
      <c r="G14" s="32">
        <f>Anassa!N14</f>
        <v>0</v>
      </c>
      <c r="H14" s="33">
        <v>0.626</v>
      </c>
      <c r="I14" s="45">
        <f>Anassa!AC14*5.04</f>
        <v>0</v>
      </c>
      <c r="J14" s="46">
        <v>8.2900000000000001E-2</v>
      </c>
      <c r="K14" s="34">
        <f>Anassa!Z14</f>
        <v>28</v>
      </c>
      <c r="L14" s="35">
        <v>1.25</v>
      </c>
      <c r="M14" s="48">
        <f>Anassa!H14</f>
        <v>0</v>
      </c>
      <c r="N14" s="49">
        <v>0.88</v>
      </c>
      <c r="O14" s="36">
        <f>Anassa!AD14</f>
        <v>0</v>
      </c>
      <c r="P14" s="36">
        <f>Anassa!AE14</f>
        <v>0</v>
      </c>
    </row>
    <row r="15" spans="1:16" ht="15" x14ac:dyDescent="0.25">
      <c r="A15" s="29" t="s">
        <v>34</v>
      </c>
      <c r="B15" s="4">
        <f t="shared" si="1"/>
        <v>14</v>
      </c>
      <c r="C15" s="4">
        <v>12</v>
      </c>
      <c r="D15" s="3">
        <v>2025</v>
      </c>
      <c r="E15" s="30">
        <f>Anassa!D16-Anassa!D15</f>
        <v>1997.1999999992549</v>
      </c>
      <c r="F15" s="31">
        <f t="shared" si="0"/>
        <v>0.25629999999999997</v>
      </c>
      <c r="G15" s="32">
        <f>Anassa!N15</f>
        <v>0</v>
      </c>
      <c r="H15" s="33">
        <v>0.626</v>
      </c>
      <c r="I15" s="45">
        <f>Anassa!AC15*5.04</f>
        <v>0</v>
      </c>
      <c r="J15" s="46">
        <v>8.2900000000000001E-2</v>
      </c>
      <c r="K15" s="34">
        <f>Anassa!Z15</f>
        <v>26</v>
      </c>
      <c r="L15" s="35">
        <v>1.25</v>
      </c>
      <c r="M15" s="48">
        <f>Anassa!H15</f>
        <v>0</v>
      </c>
      <c r="N15" s="49">
        <v>0.88</v>
      </c>
      <c r="O15" s="36">
        <f>Anassa!AD15</f>
        <v>0</v>
      </c>
      <c r="P15" s="36">
        <f>Anassa!AE15</f>
        <v>0</v>
      </c>
    </row>
    <row r="16" spans="1:16" ht="15" x14ac:dyDescent="0.25">
      <c r="A16" s="29" t="s">
        <v>34</v>
      </c>
      <c r="B16" s="4">
        <f t="shared" si="1"/>
        <v>15</v>
      </c>
      <c r="C16" s="4">
        <v>12</v>
      </c>
      <c r="D16" s="3">
        <v>2025</v>
      </c>
      <c r="E16" s="30">
        <f>Anassa!D17-Anassa!D16</f>
        <v>2159.8999999985099</v>
      </c>
      <c r="F16" s="31">
        <f t="shared" si="0"/>
        <v>0.25629999999999997</v>
      </c>
      <c r="G16" s="32">
        <f>Anassa!N16</f>
        <v>0</v>
      </c>
      <c r="H16" s="33">
        <v>0.626</v>
      </c>
      <c r="I16" s="45">
        <f>Anassa!AC16*5.04</f>
        <v>0</v>
      </c>
      <c r="J16" s="46">
        <v>8.2900000000000001E-2</v>
      </c>
      <c r="K16" s="34">
        <f>Anassa!Z16</f>
        <v>47</v>
      </c>
      <c r="L16" s="35">
        <v>1.25</v>
      </c>
      <c r="M16" s="48">
        <f>Anassa!H16</f>
        <v>2329</v>
      </c>
      <c r="N16" s="49">
        <v>1.25</v>
      </c>
      <c r="O16" s="36">
        <f>Anassa!AD16</f>
        <v>0</v>
      </c>
      <c r="P16" s="36">
        <f>Anassa!AE16</f>
        <v>0</v>
      </c>
    </row>
    <row r="17" spans="1:16" ht="15" x14ac:dyDescent="0.25">
      <c r="A17" s="29" t="s">
        <v>34</v>
      </c>
      <c r="B17" s="4">
        <f t="shared" si="1"/>
        <v>16</v>
      </c>
      <c r="C17" s="4">
        <v>12</v>
      </c>
      <c r="D17" s="3">
        <v>2025</v>
      </c>
      <c r="E17" s="30">
        <f>Anassa!D18-Anassa!D17</f>
        <v>2244.1000000014901</v>
      </c>
      <c r="F17" s="31">
        <f t="shared" si="0"/>
        <v>0.25629999999999997</v>
      </c>
      <c r="G17" s="32">
        <f>Anassa!N17</f>
        <v>0</v>
      </c>
      <c r="H17" s="33">
        <v>0.626</v>
      </c>
      <c r="I17" s="45">
        <f>Anassa!AC17*5.04</f>
        <v>0</v>
      </c>
      <c r="J17" s="46">
        <v>8.2900000000000001E-2</v>
      </c>
      <c r="K17" s="34">
        <f>Anassa!Z17</f>
        <v>35</v>
      </c>
      <c r="L17" s="35">
        <v>1.25</v>
      </c>
      <c r="M17" s="48">
        <f>Anassa!H17</f>
        <v>0</v>
      </c>
      <c r="N17" s="49">
        <v>0.88</v>
      </c>
      <c r="O17" s="36">
        <f>Anassa!AD17</f>
        <v>0</v>
      </c>
      <c r="P17" s="36">
        <f>Anassa!AE17</f>
        <v>0</v>
      </c>
    </row>
    <row r="18" spans="1:16" ht="15" x14ac:dyDescent="0.25">
      <c r="A18" s="29" t="s">
        <v>34</v>
      </c>
      <c r="B18" s="4">
        <f t="shared" si="1"/>
        <v>17</v>
      </c>
      <c r="C18" s="4">
        <v>12</v>
      </c>
      <c r="D18" s="3">
        <v>2025</v>
      </c>
      <c r="E18" s="30">
        <f>Anassa!D19-Anassa!D18</f>
        <v>2275.6000000014901</v>
      </c>
      <c r="F18" s="31">
        <f t="shared" si="0"/>
        <v>0.25629999999999997</v>
      </c>
      <c r="G18" s="32">
        <f>Anassa!N18</f>
        <v>0</v>
      </c>
      <c r="H18" s="33">
        <v>0.626</v>
      </c>
      <c r="I18" s="45">
        <f>Anassa!AC18*5.04</f>
        <v>0</v>
      </c>
      <c r="J18" s="46">
        <v>8.2900000000000001E-2</v>
      </c>
      <c r="K18" s="34">
        <f>Anassa!Z18</f>
        <v>14</v>
      </c>
      <c r="L18" s="35">
        <v>1.25</v>
      </c>
      <c r="M18" s="48">
        <f>Anassa!H18</f>
        <v>0</v>
      </c>
      <c r="N18" s="49">
        <v>0.88</v>
      </c>
      <c r="O18" s="36">
        <f>Anassa!AD18</f>
        <v>0</v>
      </c>
      <c r="P18" s="36">
        <f>Anassa!AE18</f>
        <v>0</v>
      </c>
    </row>
    <row r="19" spans="1:16" ht="15" x14ac:dyDescent="0.25">
      <c r="A19" s="29" t="s">
        <v>34</v>
      </c>
      <c r="B19" s="4">
        <f t="shared" si="1"/>
        <v>18</v>
      </c>
      <c r="C19" s="4">
        <v>12</v>
      </c>
      <c r="D19" s="3">
        <v>2025</v>
      </c>
      <c r="E19" s="30">
        <f>Anassa!D20-Anassa!D19</f>
        <v>2710.5</v>
      </c>
      <c r="F19" s="31">
        <f t="shared" si="0"/>
        <v>0.25629999999999997</v>
      </c>
      <c r="G19" s="32">
        <f>Anassa!N19</f>
        <v>125.00000000000045</v>
      </c>
      <c r="H19" s="33">
        <v>0.626</v>
      </c>
      <c r="I19" s="45">
        <f>Anassa!AC19*5.04</f>
        <v>0</v>
      </c>
      <c r="J19" s="46">
        <v>8.2900000000000001E-2</v>
      </c>
      <c r="K19" s="34">
        <f>Anassa!Z19</f>
        <v>14</v>
      </c>
      <c r="L19" s="35">
        <v>1.25</v>
      </c>
      <c r="M19" s="48">
        <f>Anassa!H19</f>
        <v>0</v>
      </c>
      <c r="N19" s="49">
        <v>0.88</v>
      </c>
      <c r="O19" s="36">
        <f>Anassa!AD19</f>
        <v>0</v>
      </c>
      <c r="P19" s="36">
        <f>Anassa!AE19</f>
        <v>0</v>
      </c>
    </row>
    <row r="20" spans="1:16" ht="15" x14ac:dyDescent="0.25">
      <c r="A20" s="29" t="s">
        <v>34</v>
      </c>
      <c r="B20" s="4">
        <f t="shared" si="1"/>
        <v>19</v>
      </c>
      <c r="C20" s="4">
        <v>12</v>
      </c>
      <c r="D20" s="3">
        <v>2025</v>
      </c>
      <c r="E20" s="30">
        <f>Anassa!D21-Anassa!D20</f>
        <v>1987.8999999985099</v>
      </c>
      <c r="F20" s="31">
        <f t="shared" si="0"/>
        <v>0.25629999999999997</v>
      </c>
      <c r="G20" s="32">
        <f>Anassa!N20</f>
        <v>0</v>
      </c>
      <c r="H20" s="33">
        <v>0.626</v>
      </c>
      <c r="I20" s="45">
        <f>Anassa!AC20*5.04</f>
        <v>0</v>
      </c>
      <c r="J20" s="46">
        <v>8.2900000000000001E-2</v>
      </c>
      <c r="K20" s="34">
        <f>Anassa!Z20</f>
        <v>6</v>
      </c>
      <c r="L20" s="35">
        <v>1.25</v>
      </c>
      <c r="M20" s="48">
        <f>Anassa!H20</f>
        <v>149</v>
      </c>
      <c r="N20" s="49">
        <v>0.88</v>
      </c>
      <c r="O20" s="36">
        <f>Anassa!AD20</f>
        <v>0</v>
      </c>
      <c r="P20" s="36">
        <f>Anassa!AE20</f>
        <v>0</v>
      </c>
    </row>
    <row r="21" spans="1:16" ht="15" x14ac:dyDescent="0.25">
      <c r="A21" s="29" t="s">
        <v>34</v>
      </c>
      <c r="B21" s="4">
        <f t="shared" si="1"/>
        <v>20</v>
      </c>
      <c r="C21" s="4">
        <v>12</v>
      </c>
      <c r="D21" s="3">
        <v>2025</v>
      </c>
      <c r="E21" s="30">
        <f>Anassa!D22-Anassa!D21</f>
        <v>1988</v>
      </c>
      <c r="F21" s="31">
        <f t="shared" si="0"/>
        <v>0.25629999999999997</v>
      </c>
      <c r="G21" s="32">
        <f>Anassa!N21</f>
        <v>0</v>
      </c>
      <c r="H21" s="33">
        <v>0.626</v>
      </c>
      <c r="I21" s="45">
        <f>Anassa!AC21*5.04</f>
        <v>0</v>
      </c>
      <c r="J21" s="46">
        <v>8.2900000000000001E-2</v>
      </c>
      <c r="K21" s="34">
        <f>Anassa!Z21</f>
        <v>6</v>
      </c>
      <c r="L21" s="35">
        <v>1.25</v>
      </c>
      <c r="M21" s="48">
        <f>Anassa!H21</f>
        <v>149</v>
      </c>
      <c r="N21" s="49">
        <v>0.88</v>
      </c>
      <c r="O21" s="36">
        <f>Anassa!AD21</f>
        <v>0</v>
      </c>
      <c r="P21" s="36">
        <f>Anassa!AE21</f>
        <v>0</v>
      </c>
    </row>
    <row r="22" spans="1:16" ht="15" x14ac:dyDescent="0.25">
      <c r="A22" s="29" t="s">
        <v>34</v>
      </c>
      <c r="B22" s="4">
        <f t="shared" si="1"/>
        <v>21</v>
      </c>
      <c r="C22" s="4">
        <v>12</v>
      </c>
      <c r="D22" s="3">
        <v>2025</v>
      </c>
      <c r="E22" s="30">
        <f>Anassa!D23-Anassa!D22</f>
        <v>1988</v>
      </c>
      <c r="F22" s="31">
        <f t="shared" si="0"/>
        <v>0.25629999999999997</v>
      </c>
      <c r="G22" s="32">
        <f>Anassa!N22</f>
        <v>0</v>
      </c>
      <c r="H22" s="33">
        <v>0.626</v>
      </c>
      <c r="I22" s="45">
        <f>Anassa!AC22*5.04</f>
        <v>0</v>
      </c>
      <c r="J22" s="46">
        <v>8.2900000000000001E-2</v>
      </c>
      <c r="K22" s="34">
        <f>Anassa!Z22</f>
        <v>6</v>
      </c>
      <c r="L22" s="35">
        <v>1.25</v>
      </c>
      <c r="M22" s="48">
        <f>Anassa!H22</f>
        <v>149</v>
      </c>
      <c r="N22" s="49">
        <v>0.88</v>
      </c>
      <c r="O22" s="36">
        <f>Anassa!AD22</f>
        <v>0</v>
      </c>
      <c r="P22" s="36">
        <f>Anassa!AE22</f>
        <v>0</v>
      </c>
    </row>
    <row r="23" spans="1:16" ht="15" x14ac:dyDescent="0.25">
      <c r="A23" s="29" t="s">
        <v>34</v>
      </c>
      <c r="B23" s="4">
        <f t="shared" si="1"/>
        <v>22</v>
      </c>
      <c r="C23" s="4">
        <v>12</v>
      </c>
      <c r="D23" s="3">
        <v>2025</v>
      </c>
      <c r="E23" s="30">
        <f>Anassa!D24-Anassa!D23</f>
        <v>1988</v>
      </c>
      <c r="F23" s="31">
        <f t="shared" si="0"/>
        <v>0.25629999999999997</v>
      </c>
      <c r="G23" s="32">
        <f>Anassa!N23</f>
        <v>0</v>
      </c>
      <c r="H23" s="33">
        <v>0.626</v>
      </c>
      <c r="I23" s="45">
        <f>Anassa!AC23*5.04</f>
        <v>0</v>
      </c>
      <c r="J23" s="46">
        <v>8.2900000000000001E-2</v>
      </c>
      <c r="K23" s="34">
        <f>Anassa!Z23</f>
        <v>6</v>
      </c>
      <c r="L23" s="35">
        <v>1.25</v>
      </c>
      <c r="M23" s="48">
        <f>Anassa!H23</f>
        <v>149</v>
      </c>
      <c r="N23" s="49">
        <v>0.88</v>
      </c>
      <c r="O23" s="36">
        <f>Anassa!AD23</f>
        <v>0</v>
      </c>
      <c r="P23" s="36">
        <f>Anassa!AE23</f>
        <v>0</v>
      </c>
    </row>
    <row r="24" spans="1:16" ht="15" x14ac:dyDescent="0.25">
      <c r="A24" s="29" t="s">
        <v>34</v>
      </c>
      <c r="B24" s="4">
        <f t="shared" si="1"/>
        <v>23</v>
      </c>
      <c r="C24" s="4">
        <v>12</v>
      </c>
      <c r="D24" s="3">
        <v>2025</v>
      </c>
      <c r="E24" s="30">
        <f>Anassa!D25-Anassa!D24</f>
        <v>1988</v>
      </c>
      <c r="F24" s="31">
        <f t="shared" si="0"/>
        <v>0.25629999999999997</v>
      </c>
      <c r="G24" s="32">
        <f>Anassa!N24</f>
        <v>0</v>
      </c>
      <c r="H24" s="33">
        <v>0.626</v>
      </c>
      <c r="I24" s="45">
        <f>Anassa!AC24*5.04</f>
        <v>0</v>
      </c>
      <c r="J24" s="46">
        <v>8.2900000000000001E-2</v>
      </c>
      <c r="K24" s="34">
        <f>Anassa!Z24</f>
        <v>6</v>
      </c>
      <c r="L24" s="35">
        <v>1.25</v>
      </c>
      <c r="M24" s="48">
        <f>Anassa!H24</f>
        <v>149</v>
      </c>
      <c r="N24" s="49">
        <v>0.88</v>
      </c>
      <c r="O24" s="36">
        <f>Anassa!AD24</f>
        <v>0</v>
      </c>
      <c r="P24" s="36">
        <f>Anassa!AE24</f>
        <v>0</v>
      </c>
    </row>
    <row r="25" spans="1:16" ht="15" x14ac:dyDescent="0.25">
      <c r="A25" s="29" t="s">
        <v>34</v>
      </c>
      <c r="B25" s="4">
        <f t="shared" si="1"/>
        <v>24</v>
      </c>
      <c r="C25" s="4">
        <v>12</v>
      </c>
      <c r="D25" s="3">
        <v>2025</v>
      </c>
      <c r="E25" s="30">
        <f>Anassa!D26-Anassa!D25</f>
        <v>1988</v>
      </c>
      <c r="F25" s="31">
        <f t="shared" si="0"/>
        <v>0.25629999999999997</v>
      </c>
      <c r="G25" s="32">
        <f>Anassa!N25</f>
        <v>0</v>
      </c>
      <c r="H25" s="33">
        <v>0.626</v>
      </c>
      <c r="I25" s="45">
        <f>Anassa!AC25*5.04</f>
        <v>0</v>
      </c>
      <c r="J25" s="46">
        <v>8.2900000000000001E-2</v>
      </c>
      <c r="K25" s="34">
        <f>Anassa!Z25</f>
        <v>6</v>
      </c>
      <c r="L25" s="35">
        <v>1.25</v>
      </c>
      <c r="M25" s="48">
        <f>Anassa!H25</f>
        <v>149</v>
      </c>
      <c r="N25" s="49">
        <v>0.88</v>
      </c>
      <c r="O25" s="36">
        <f>Anassa!AD25</f>
        <v>0</v>
      </c>
      <c r="P25" s="36">
        <f>Anassa!AE25</f>
        <v>0</v>
      </c>
    </row>
    <row r="26" spans="1:16" ht="15" x14ac:dyDescent="0.25">
      <c r="A26" s="29" t="s">
        <v>34</v>
      </c>
      <c r="B26" s="4">
        <f>B25+1</f>
        <v>25</v>
      </c>
      <c r="C26" s="4">
        <v>12</v>
      </c>
      <c r="D26" s="3">
        <v>2025</v>
      </c>
      <c r="E26" s="30">
        <f>Anassa!D27-Anassa!D26</f>
        <v>1983.1999999992549</v>
      </c>
      <c r="F26" s="31">
        <f t="shared" si="0"/>
        <v>0.25629999999999997</v>
      </c>
      <c r="G26" s="32">
        <f>Anassa!N26</f>
        <v>0</v>
      </c>
      <c r="H26" s="33">
        <v>0.626</v>
      </c>
      <c r="I26" s="45">
        <f>Anassa!AC26*5.04</f>
        <v>0</v>
      </c>
      <c r="J26" s="46">
        <v>8.2900000000000001E-2</v>
      </c>
      <c r="K26" s="34">
        <f>Anassa!Z26</f>
        <v>5</v>
      </c>
      <c r="L26" s="35">
        <v>1.25</v>
      </c>
      <c r="M26" s="48">
        <f>Anassa!H26</f>
        <v>154</v>
      </c>
      <c r="N26" s="49">
        <v>0.88</v>
      </c>
      <c r="O26" s="36">
        <f>Anassa!AD26</f>
        <v>0</v>
      </c>
      <c r="P26" s="36">
        <f>Anassa!AE26</f>
        <v>0</v>
      </c>
    </row>
    <row r="27" spans="1:16" ht="15" x14ac:dyDescent="0.25">
      <c r="A27" s="29" t="s">
        <v>34</v>
      </c>
      <c r="B27" s="4">
        <f t="shared" si="1"/>
        <v>26</v>
      </c>
      <c r="C27" s="4">
        <v>12</v>
      </c>
      <c r="D27" s="3">
        <v>2025</v>
      </c>
      <c r="E27" s="30">
        <f>Anassa!D28-Anassa!D27</f>
        <v>-15102.199999999255</v>
      </c>
      <c r="F27" s="31">
        <f t="shared" si="0"/>
        <v>0.25629999999999997</v>
      </c>
      <c r="G27" s="32">
        <f>Anassa!N27</f>
        <v>0</v>
      </c>
      <c r="H27" s="33">
        <v>0.626</v>
      </c>
      <c r="I27" s="45">
        <f>Anassa!AC27*5.04</f>
        <v>0</v>
      </c>
      <c r="J27" s="46">
        <v>8.2900000000000001E-2</v>
      </c>
      <c r="K27" s="34">
        <f>Anassa!Z27</f>
        <v>186</v>
      </c>
      <c r="L27" s="35">
        <v>1.25</v>
      </c>
      <c r="M27" s="48">
        <f>Anassa!H27</f>
        <v>309</v>
      </c>
      <c r="N27" s="49">
        <v>0.88</v>
      </c>
      <c r="O27" s="36">
        <f>Anassa!AD27</f>
        <v>0</v>
      </c>
      <c r="P27" s="36">
        <f>Anassa!AE27</f>
        <v>0</v>
      </c>
    </row>
    <row r="28" spans="1:16" ht="15" x14ac:dyDescent="0.25">
      <c r="A28" s="29" t="s">
        <v>34</v>
      </c>
      <c r="B28" s="4">
        <f t="shared" si="1"/>
        <v>27</v>
      </c>
      <c r="C28" s="4">
        <v>12</v>
      </c>
      <c r="D28" s="3">
        <v>2025</v>
      </c>
      <c r="E28" s="30">
        <f>Anassa!D29-Anassa!D28</f>
        <v>-15102</v>
      </c>
      <c r="F28" s="31">
        <f t="shared" si="0"/>
        <v>0.25629999999999997</v>
      </c>
      <c r="G28" s="32">
        <f>Anassa!N28</f>
        <v>0</v>
      </c>
      <c r="H28" s="33">
        <v>0.626</v>
      </c>
      <c r="I28" s="45">
        <f>Anassa!AC28*5.04</f>
        <v>0</v>
      </c>
      <c r="J28" s="46">
        <v>8.2900000000000001E-2</v>
      </c>
      <c r="K28" s="34">
        <f>Anassa!Z28</f>
        <v>186</v>
      </c>
      <c r="L28" s="35">
        <v>1.25</v>
      </c>
      <c r="M28" s="48">
        <f>Anassa!H28</f>
        <v>309</v>
      </c>
      <c r="N28" s="49">
        <v>0.88</v>
      </c>
      <c r="O28" s="36">
        <f>Anassa!AD28</f>
        <v>0</v>
      </c>
      <c r="P28" s="36">
        <f>Anassa!AE28</f>
        <v>0</v>
      </c>
    </row>
    <row r="29" spans="1:16" ht="15" x14ac:dyDescent="0.25">
      <c r="A29" s="29" t="s">
        <v>34</v>
      </c>
      <c r="B29" s="4">
        <f t="shared" si="1"/>
        <v>28</v>
      </c>
      <c r="C29" s="4">
        <v>12</v>
      </c>
      <c r="D29" s="3">
        <v>2025</v>
      </c>
      <c r="E29" s="30">
        <f>Anassa!D30-Anassa!D29</f>
        <v>-15102</v>
      </c>
      <c r="F29" s="31">
        <f t="shared" si="0"/>
        <v>0.25629999999999997</v>
      </c>
      <c r="G29" s="32">
        <f>Anassa!N29</f>
        <v>0</v>
      </c>
      <c r="H29" s="33">
        <v>0.626</v>
      </c>
      <c r="I29" s="45">
        <f>Anassa!AC29*5.04</f>
        <v>0</v>
      </c>
      <c r="J29" s="46">
        <v>8.2900000000000001E-2</v>
      </c>
      <c r="K29" s="34">
        <f>Anassa!Z29</f>
        <v>186</v>
      </c>
      <c r="L29" s="35">
        <v>1.25</v>
      </c>
      <c r="M29" s="48">
        <f>Anassa!H29</f>
        <v>309</v>
      </c>
      <c r="N29" s="49">
        <v>0.88</v>
      </c>
      <c r="O29" s="36">
        <f>Anassa!AD29</f>
        <v>0</v>
      </c>
      <c r="P29" s="36">
        <f>Anassa!AE29</f>
        <v>0</v>
      </c>
    </row>
    <row r="30" spans="1:16" ht="15" x14ac:dyDescent="0.25">
      <c r="A30" s="29" t="s">
        <v>34</v>
      </c>
      <c r="B30" s="4">
        <f t="shared" si="1"/>
        <v>29</v>
      </c>
      <c r="C30" s="4">
        <v>12</v>
      </c>
      <c r="D30" s="3">
        <v>2025</v>
      </c>
      <c r="E30" s="30">
        <f>Anassa!D31-Anassa!D30</f>
        <v>-15102</v>
      </c>
      <c r="F30" s="31">
        <f t="shared" si="0"/>
        <v>0.25629999999999997</v>
      </c>
      <c r="G30" s="32">
        <f>Anassa!N30</f>
        <v>0</v>
      </c>
      <c r="H30" s="33">
        <v>0.626</v>
      </c>
      <c r="I30" s="45">
        <f>Anassa!AC30*5.04</f>
        <v>0</v>
      </c>
      <c r="J30" s="46">
        <v>8.2900000000000001E-2</v>
      </c>
      <c r="K30" s="34">
        <f>Anassa!Z30</f>
        <v>186</v>
      </c>
      <c r="L30" s="35">
        <v>1.25</v>
      </c>
      <c r="M30" s="48">
        <f>Anassa!H30</f>
        <v>309</v>
      </c>
      <c r="N30" s="49">
        <v>0.88</v>
      </c>
      <c r="O30" s="36">
        <f>Anassa!AD30</f>
        <v>0</v>
      </c>
      <c r="P30" s="36">
        <f>Anassa!AE30</f>
        <v>0</v>
      </c>
    </row>
    <row r="31" spans="1:16" ht="15" x14ac:dyDescent="0.25">
      <c r="A31" s="29" t="s">
        <v>34</v>
      </c>
      <c r="B31" s="4">
        <f t="shared" si="1"/>
        <v>30</v>
      </c>
      <c r="C31" s="4">
        <v>12</v>
      </c>
      <c r="D31" s="3">
        <v>2025</v>
      </c>
      <c r="E31" s="30">
        <f>Anassa!D32-Anassa!D31</f>
        <v>-15102</v>
      </c>
      <c r="F31" s="31">
        <f t="shared" si="0"/>
        <v>0.25629999999999997</v>
      </c>
      <c r="G31" s="32">
        <f>Anassa!N31</f>
        <v>0</v>
      </c>
      <c r="H31" s="33">
        <v>0.626</v>
      </c>
      <c r="I31" s="45">
        <f>Anassa!AC31*5.04</f>
        <v>0</v>
      </c>
      <c r="J31" s="46">
        <v>8.2900000000000001E-2</v>
      </c>
      <c r="K31" s="34">
        <f>Anassa!Z31</f>
        <v>186</v>
      </c>
      <c r="L31" s="35">
        <v>1.25</v>
      </c>
      <c r="M31" s="48">
        <f>Anassa!H31</f>
        <v>306</v>
      </c>
      <c r="N31" s="49">
        <v>0.88</v>
      </c>
      <c r="O31" s="36">
        <f>Anassa!AD31</f>
        <v>0</v>
      </c>
      <c r="P31" s="36">
        <f>Anassa!AE31</f>
        <v>0</v>
      </c>
    </row>
    <row r="32" spans="1:16" ht="15" x14ac:dyDescent="0.25">
      <c r="A32" s="29" t="s">
        <v>34</v>
      </c>
      <c r="B32" s="4">
        <f t="shared" si="1"/>
        <v>31</v>
      </c>
      <c r="C32" s="4">
        <v>12</v>
      </c>
      <c r="D32" s="3">
        <v>2025</v>
      </c>
      <c r="E32" s="30">
        <f>Anassa!D33-Anassa!D32</f>
        <v>-1906.1000000014901</v>
      </c>
      <c r="F32" s="31">
        <f t="shared" si="0"/>
        <v>0.25629999999999997</v>
      </c>
      <c r="G32" s="32">
        <f>Anassa!N32</f>
        <v>0</v>
      </c>
      <c r="H32" s="33">
        <v>0.626</v>
      </c>
      <c r="I32" s="45">
        <f>Anassa!AC32*5.04</f>
        <v>0</v>
      </c>
      <c r="J32" s="46">
        <v>8.2900000000000001E-2</v>
      </c>
      <c r="K32" s="34">
        <f>Anassa!Z32</f>
        <v>0</v>
      </c>
      <c r="L32" s="35">
        <v>1.25</v>
      </c>
      <c r="M32" s="48">
        <f>Anassa!H32</f>
        <v>0</v>
      </c>
      <c r="N32" s="49">
        <v>0.88</v>
      </c>
      <c r="O32" s="36">
        <f>Anassa!AD32</f>
        <v>0</v>
      </c>
      <c r="P32" s="36">
        <f>Anassa!AE32</f>
        <v>0</v>
      </c>
    </row>
    <row r="33" spans="4:16" x14ac:dyDescent="0.2">
      <c r="D33" s="37"/>
      <c r="E33" s="30" t="s">
        <v>35</v>
      </c>
      <c r="F33" s="31"/>
      <c r="I33" s="45"/>
      <c r="J33" s="46"/>
      <c r="K33" s="35"/>
      <c r="L33" s="35"/>
      <c r="O33" s="39"/>
      <c r="P33" s="39"/>
    </row>
    <row r="34" spans="4:16" x14ac:dyDescent="0.2">
      <c r="D34" s="37"/>
      <c r="F34" s="31"/>
      <c r="I34" s="45"/>
      <c r="J34" s="46"/>
      <c r="K34" s="35"/>
      <c r="L34" s="35"/>
      <c r="O34" s="39"/>
      <c r="P34" s="39"/>
    </row>
    <row r="35" spans="4:16" x14ac:dyDescent="0.2">
      <c r="D35" s="37"/>
      <c r="F35" s="31"/>
      <c r="I35" s="45"/>
      <c r="J35" s="46"/>
      <c r="K35" s="35"/>
      <c r="L35" s="35"/>
      <c r="O35" s="39"/>
      <c r="P35" s="39"/>
    </row>
    <row r="36" spans="4:16" x14ac:dyDescent="0.2">
      <c r="D36" s="37"/>
      <c r="F36" s="31"/>
      <c r="I36" s="45"/>
      <c r="J36" s="46"/>
      <c r="K36" s="35"/>
      <c r="L36" s="35"/>
      <c r="O36" s="39"/>
      <c r="P36" s="39"/>
    </row>
    <row r="37" spans="4:16" x14ac:dyDescent="0.2">
      <c r="D37" s="37"/>
      <c r="F37" s="31"/>
      <c r="I37" s="45"/>
      <c r="J37" s="46"/>
      <c r="K37" s="35"/>
      <c r="L37" s="35"/>
      <c r="O37" s="39"/>
      <c r="P37" s="39"/>
    </row>
    <row r="38" spans="4:16" x14ac:dyDescent="0.2">
      <c r="D38" s="37"/>
      <c r="F38" s="31"/>
      <c r="I38" s="45"/>
      <c r="J38" s="46"/>
      <c r="K38" s="35"/>
      <c r="L38" s="35"/>
      <c r="O38" s="39"/>
      <c r="P38" s="39"/>
    </row>
    <row r="39" spans="4:16" x14ac:dyDescent="0.2">
      <c r="D39" s="37"/>
      <c r="F39" s="31"/>
      <c r="I39" s="45"/>
      <c r="J39" s="46"/>
      <c r="K39" s="35"/>
      <c r="L39" s="35"/>
      <c r="O39" s="39"/>
      <c r="P39" s="39"/>
    </row>
    <row r="40" spans="4:16" x14ac:dyDescent="0.2">
      <c r="F40" s="31"/>
      <c r="I40" s="45"/>
      <c r="J40" s="46"/>
    </row>
    <row r="41" spans="4:16" x14ac:dyDescent="0.2">
      <c r="F41" s="31"/>
      <c r="I41" s="45"/>
      <c r="J41" s="46"/>
    </row>
    <row r="42" spans="4:16" x14ac:dyDescent="0.2">
      <c r="F42" s="31"/>
      <c r="I42" s="45"/>
      <c r="J42" s="46"/>
    </row>
    <row r="43" spans="4:16" x14ac:dyDescent="0.2">
      <c r="F43" s="31"/>
      <c r="I43" s="45"/>
      <c r="J43" s="46"/>
    </row>
    <row r="44" spans="4:16" x14ac:dyDescent="0.2">
      <c r="I44" s="45"/>
      <c r="J4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W2" sqref="W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8" t="s">
        <v>1</v>
      </c>
      <c r="B1" s="51" t="s">
        <v>19</v>
      </c>
      <c r="C1" s="52" t="s">
        <v>20</v>
      </c>
      <c r="D1" s="53" t="s">
        <v>12</v>
      </c>
      <c r="E1" s="54" t="s">
        <v>3</v>
      </c>
      <c r="F1" s="55" t="s">
        <v>2</v>
      </c>
      <c r="G1" s="56" t="s">
        <v>8</v>
      </c>
      <c r="H1" s="54" t="s">
        <v>3</v>
      </c>
      <c r="I1" s="57" t="s">
        <v>4</v>
      </c>
      <c r="J1" s="58" t="s">
        <v>5</v>
      </c>
      <c r="K1" s="58" t="s">
        <v>13</v>
      </c>
      <c r="L1" s="59" t="s">
        <v>9</v>
      </c>
      <c r="M1" s="60" t="s">
        <v>7</v>
      </c>
      <c r="N1" s="54" t="s">
        <v>3</v>
      </c>
      <c r="O1" s="57" t="s">
        <v>4</v>
      </c>
      <c r="P1" s="58" t="s">
        <v>5</v>
      </c>
      <c r="Q1" s="58" t="s">
        <v>13</v>
      </c>
      <c r="R1" s="59" t="s">
        <v>14</v>
      </c>
      <c r="S1" s="60" t="s">
        <v>7</v>
      </c>
      <c r="T1" s="54" t="s">
        <v>3</v>
      </c>
      <c r="U1" s="54" t="s">
        <v>21</v>
      </c>
      <c r="V1" s="61" t="s">
        <v>15</v>
      </c>
      <c r="W1" s="62" t="s">
        <v>16</v>
      </c>
      <c r="X1" s="62" t="s">
        <v>17</v>
      </c>
      <c r="Y1" s="63" t="s">
        <v>18</v>
      </c>
      <c r="Z1" s="54" t="s">
        <v>3</v>
      </c>
      <c r="AA1" s="64" t="s">
        <v>10</v>
      </c>
      <c r="AB1" s="65" t="s">
        <v>11</v>
      </c>
      <c r="AC1" s="54" t="s">
        <v>3</v>
      </c>
      <c r="AD1" s="66" t="s">
        <v>0</v>
      </c>
      <c r="AE1" s="67" t="s">
        <v>6</v>
      </c>
    </row>
    <row r="2" spans="1:31" x14ac:dyDescent="0.2">
      <c r="A2" s="70">
        <v>45992</v>
      </c>
      <c r="B2" s="84">
        <v>19935807</v>
      </c>
      <c r="C2" s="85">
        <v>2721305</v>
      </c>
      <c r="D2" s="85">
        <f>B2-C2</f>
        <v>17214502</v>
      </c>
      <c r="E2" s="86">
        <f t="shared" ref="E2:E32" si="0">B3-B2</f>
        <v>3431</v>
      </c>
      <c r="F2" s="139">
        <v>3497</v>
      </c>
      <c r="G2" s="140"/>
      <c r="H2" s="86">
        <f>F2+G2-F3</f>
        <v>21</v>
      </c>
      <c r="I2" s="76">
        <v>0.5</v>
      </c>
      <c r="J2" s="77">
        <v>0.5</v>
      </c>
      <c r="K2" s="77">
        <v>0.45</v>
      </c>
      <c r="L2" s="132">
        <f>SUM(I2:K2)/3*7500</f>
        <v>3625</v>
      </c>
      <c r="M2" s="133"/>
      <c r="N2" s="86">
        <f>SUM(L2+M2-L3)</f>
        <v>0</v>
      </c>
      <c r="O2" s="76">
        <v>0.4</v>
      </c>
      <c r="P2" s="77">
        <v>0.4</v>
      </c>
      <c r="Q2" s="77">
        <v>0.4</v>
      </c>
      <c r="R2" s="132">
        <f>SUM(O2:Q2)/3*1500</f>
        <v>600.00000000000011</v>
      </c>
      <c r="S2" s="133"/>
      <c r="T2" s="86">
        <f>SUM(R2+S2-R3)</f>
        <v>0</v>
      </c>
      <c r="U2" s="71">
        <f>SUM(N2+T2)</f>
        <v>0</v>
      </c>
      <c r="V2" s="126">
        <v>703272</v>
      </c>
      <c r="W2" s="127"/>
      <c r="X2" s="127">
        <v>18063</v>
      </c>
      <c r="Y2" s="127">
        <f>SUM(V2-W2-X2)</f>
        <v>685209</v>
      </c>
      <c r="Z2" s="86">
        <f t="shared" ref="Z2:Z31" si="1">SUM(Y3-Y2)</f>
        <v>99</v>
      </c>
      <c r="AA2" s="117">
        <v>0</v>
      </c>
      <c r="AB2" s="118">
        <v>0</v>
      </c>
      <c r="AC2" s="86">
        <f>SUM(AA2+AB2-AA3)</f>
        <v>0</v>
      </c>
      <c r="AD2" s="109">
        <v>0</v>
      </c>
      <c r="AE2" s="110">
        <v>0</v>
      </c>
    </row>
    <row r="3" spans="1:31" x14ac:dyDescent="0.2">
      <c r="A3" s="74">
        <v>45993</v>
      </c>
      <c r="B3" s="87">
        <v>19939238</v>
      </c>
      <c r="C3" s="88">
        <f>SUM(4220.4+1809366+591618+10053.9+276081+30431)</f>
        <v>2721770.3</v>
      </c>
      <c r="D3" s="88">
        <f t="shared" ref="D3:D33" si="2">B3-C3</f>
        <v>17217467.699999999</v>
      </c>
      <c r="E3" s="89">
        <f t="shared" si="0"/>
        <v>2406</v>
      </c>
      <c r="F3" s="141">
        <v>3476</v>
      </c>
      <c r="G3" s="142"/>
      <c r="H3" s="121">
        <f t="shared" ref="H3:H31" si="3">F3+G3-F4</f>
        <v>21</v>
      </c>
      <c r="I3" s="78">
        <v>0.5</v>
      </c>
      <c r="J3" s="79">
        <v>0.5</v>
      </c>
      <c r="K3" s="79">
        <v>0.45</v>
      </c>
      <c r="L3" s="134">
        <f>SUM(I3:K3)/3*7500</f>
        <v>3625</v>
      </c>
      <c r="M3" s="135"/>
      <c r="N3" s="121">
        <f>SUM(L3+M3-L4)</f>
        <v>0</v>
      </c>
      <c r="O3" s="78">
        <v>0.4</v>
      </c>
      <c r="P3" s="79">
        <v>0.4</v>
      </c>
      <c r="Q3" s="79">
        <v>0.4</v>
      </c>
      <c r="R3" s="134">
        <f t="shared" ref="R3:R33" si="4">SUM(O3:Q3)/3*1500</f>
        <v>600.00000000000011</v>
      </c>
      <c r="S3" s="135"/>
      <c r="T3" s="121">
        <f t="shared" ref="T3:T31" si="5">SUM(R3+S3-R4)</f>
        <v>0</v>
      </c>
      <c r="U3" s="75">
        <f t="shared" ref="U3:U31" si="6">SUM(N3+T3)</f>
        <v>0</v>
      </c>
      <c r="V3" s="128">
        <v>703382</v>
      </c>
      <c r="W3" s="129"/>
      <c r="X3" s="129">
        <v>18074</v>
      </c>
      <c r="Y3" s="129">
        <f t="shared" ref="Y3:Y10" si="7">SUM(V3-W3-X3)</f>
        <v>685308</v>
      </c>
      <c r="Z3" s="121">
        <f t="shared" si="1"/>
        <v>46</v>
      </c>
      <c r="AA3" s="119">
        <v>0</v>
      </c>
      <c r="AB3" s="120">
        <v>0</v>
      </c>
      <c r="AC3" s="121">
        <f>SUM(AA3+AB3-AA4)</f>
        <v>0</v>
      </c>
      <c r="AD3" s="111">
        <v>0</v>
      </c>
      <c r="AE3" s="112">
        <v>0</v>
      </c>
    </row>
    <row r="4" spans="1:31" x14ac:dyDescent="0.2">
      <c r="A4" s="74">
        <v>45994</v>
      </c>
      <c r="B4" s="87">
        <v>19941644</v>
      </c>
      <c r="C4" s="88">
        <f>SUM(4220.8+1809457.2+591618+10054.1+276132+30438)</f>
        <v>2721920.1</v>
      </c>
      <c r="D4" s="88">
        <f t="shared" si="2"/>
        <v>17219723.899999999</v>
      </c>
      <c r="E4" s="89">
        <f t="shared" si="0"/>
        <v>2689</v>
      </c>
      <c r="F4" s="141">
        <v>3455</v>
      </c>
      <c r="G4" s="142"/>
      <c r="H4" s="121">
        <f t="shared" si="3"/>
        <v>21</v>
      </c>
      <c r="I4" s="78">
        <v>0.5</v>
      </c>
      <c r="J4" s="79">
        <v>0.5</v>
      </c>
      <c r="K4" s="79">
        <v>0.45</v>
      </c>
      <c r="L4" s="134">
        <f t="shared" ref="L4:L33" si="8">SUM(I4:K4)/3*7500</f>
        <v>3625</v>
      </c>
      <c r="M4" s="135"/>
      <c r="N4" s="121">
        <f t="shared" ref="N4:N32" si="9">SUM(L4+M4-L5)</f>
        <v>0</v>
      </c>
      <c r="O4" s="78">
        <v>0.4</v>
      </c>
      <c r="P4" s="79">
        <v>0.4</v>
      </c>
      <c r="Q4" s="79">
        <v>0.4</v>
      </c>
      <c r="R4" s="134">
        <f t="shared" si="4"/>
        <v>600.00000000000011</v>
      </c>
      <c r="S4" s="135"/>
      <c r="T4" s="121">
        <f t="shared" si="5"/>
        <v>0</v>
      </c>
      <c r="U4" s="75">
        <f t="shared" si="6"/>
        <v>0</v>
      </c>
      <c r="V4" s="128">
        <v>703434</v>
      </c>
      <c r="W4" s="129"/>
      <c r="X4" s="129">
        <v>18080</v>
      </c>
      <c r="Y4" s="129">
        <f t="shared" si="7"/>
        <v>685354</v>
      </c>
      <c r="Z4" s="121">
        <f t="shared" si="1"/>
        <v>24</v>
      </c>
      <c r="AA4" s="119">
        <v>0</v>
      </c>
      <c r="AB4" s="120">
        <v>0</v>
      </c>
      <c r="AC4" s="121">
        <f t="shared" ref="AC4" si="10">AA4-AA5</f>
        <v>0</v>
      </c>
      <c r="AD4" s="111">
        <v>0</v>
      </c>
      <c r="AE4" s="112">
        <v>0</v>
      </c>
    </row>
    <row r="5" spans="1:31" x14ac:dyDescent="0.2">
      <c r="A5" s="74">
        <v>45995</v>
      </c>
      <c r="B5" s="87">
        <v>19944333</v>
      </c>
      <c r="C5" s="88">
        <f>SUM(4221.2+1809520.3+591618+10054.2+276158+30443)</f>
        <v>2722014.7</v>
      </c>
      <c r="D5" s="88">
        <f t="shared" si="2"/>
        <v>17222318.300000001</v>
      </c>
      <c r="E5" s="89">
        <f t="shared" si="0"/>
        <v>3374</v>
      </c>
      <c r="F5" s="141">
        <v>3434</v>
      </c>
      <c r="G5" s="142"/>
      <c r="H5" s="121">
        <f t="shared" si="3"/>
        <v>22</v>
      </c>
      <c r="I5" s="78">
        <v>0.5</v>
      </c>
      <c r="J5" s="79">
        <v>0.5</v>
      </c>
      <c r="K5" s="79">
        <v>0.45</v>
      </c>
      <c r="L5" s="134">
        <f t="shared" si="8"/>
        <v>3625</v>
      </c>
      <c r="M5" s="135"/>
      <c r="N5" s="121">
        <f t="shared" si="9"/>
        <v>0</v>
      </c>
      <c r="O5" s="78">
        <v>0.4</v>
      </c>
      <c r="P5" s="79">
        <v>0.4</v>
      </c>
      <c r="Q5" s="79">
        <v>0.4</v>
      </c>
      <c r="R5" s="134">
        <f t="shared" si="4"/>
        <v>600.00000000000011</v>
      </c>
      <c r="S5" s="135"/>
      <c r="T5" s="121">
        <f t="shared" si="5"/>
        <v>0</v>
      </c>
      <c r="U5" s="75">
        <f t="shared" si="6"/>
        <v>0</v>
      </c>
      <c r="V5" s="128">
        <v>703462</v>
      </c>
      <c r="W5" s="129"/>
      <c r="X5" s="129">
        <v>18084</v>
      </c>
      <c r="Y5" s="129">
        <f t="shared" si="7"/>
        <v>685378</v>
      </c>
      <c r="Z5" s="121">
        <f t="shared" si="1"/>
        <v>60</v>
      </c>
      <c r="AA5" s="119">
        <v>0</v>
      </c>
      <c r="AB5" s="120">
        <v>0</v>
      </c>
      <c r="AC5" s="121">
        <f>SUM(AA5+AB5-AA6)</f>
        <v>0</v>
      </c>
      <c r="AD5" s="111">
        <v>0</v>
      </c>
      <c r="AE5" s="112">
        <v>0</v>
      </c>
    </row>
    <row r="6" spans="1:31" x14ac:dyDescent="0.2">
      <c r="A6" s="74">
        <v>45996</v>
      </c>
      <c r="B6" s="87">
        <v>19947707</v>
      </c>
      <c r="C6" s="88">
        <f>SUM(4222.1+1809749+591618+10054.6+276261+30459)</f>
        <v>2722363.7</v>
      </c>
      <c r="D6" s="88">
        <f t="shared" si="2"/>
        <v>17225343.300000001</v>
      </c>
      <c r="E6" s="89">
        <f t="shared" si="0"/>
        <v>2481</v>
      </c>
      <c r="F6" s="141">
        <v>3412</v>
      </c>
      <c r="G6" s="142"/>
      <c r="H6" s="121">
        <f t="shared" si="3"/>
        <v>180</v>
      </c>
      <c r="I6" s="78">
        <v>0.5</v>
      </c>
      <c r="J6" s="79">
        <v>0.5</v>
      </c>
      <c r="K6" s="79">
        <v>0.45</v>
      </c>
      <c r="L6" s="134">
        <f t="shared" si="8"/>
        <v>3625</v>
      </c>
      <c r="M6" s="135"/>
      <c r="N6" s="121">
        <f t="shared" si="9"/>
        <v>0</v>
      </c>
      <c r="O6" s="78">
        <v>0.4</v>
      </c>
      <c r="P6" s="79">
        <v>0.4</v>
      </c>
      <c r="Q6" s="79">
        <v>0.4</v>
      </c>
      <c r="R6" s="134">
        <f t="shared" si="4"/>
        <v>600.00000000000011</v>
      </c>
      <c r="S6" s="135"/>
      <c r="T6" s="121">
        <f t="shared" si="5"/>
        <v>0</v>
      </c>
      <c r="U6" s="75">
        <f t="shared" si="6"/>
        <v>0</v>
      </c>
      <c r="V6" s="128">
        <v>703532</v>
      </c>
      <c r="W6" s="129"/>
      <c r="X6" s="129">
        <v>18094</v>
      </c>
      <c r="Y6" s="129">
        <f t="shared" si="7"/>
        <v>685438</v>
      </c>
      <c r="Z6" s="121">
        <f t="shared" si="1"/>
        <v>41</v>
      </c>
      <c r="AA6" s="119">
        <v>0</v>
      </c>
      <c r="AB6" s="120">
        <v>0</v>
      </c>
      <c r="AC6" s="121">
        <f>SUM(AA6+AB6-AA7)</f>
        <v>0</v>
      </c>
      <c r="AD6" s="111">
        <v>0</v>
      </c>
      <c r="AE6" s="112">
        <v>0</v>
      </c>
    </row>
    <row r="7" spans="1:31" x14ac:dyDescent="0.2">
      <c r="A7" s="74">
        <v>45997</v>
      </c>
      <c r="B7" s="87">
        <v>19950188</v>
      </c>
      <c r="C7" s="88">
        <v>2722494</v>
      </c>
      <c r="D7" s="88">
        <f>B7-C7</f>
        <v>17227694</v>
      </c>
      <c r="E7" s="89">
        <f t="shared" si="0"/>
        <v>2482</v>
      </c>
      <c r="F7" s="141">
        <v>3232</v>
      </c>
      <c r="G7" s="142"/>
      <c r="H7" s="121">
        <f t="shared" si="3"/>
        <v>181</v>
      </c>
      <c r="I7" s="78">
        <v>0.5</v>
      </c>
      <c r="J7" s="79">
        <v>0.5</v>
      </c>
      <c r="K7" s="79">
        <v>0.45</v>
      </c>
      <c r="L7" s="134">
        <f t="shared" si="8"/>
        <v>3625</v>
      </c>
      <c r="M7" s="135"/>
      <c r="N7" s="121">
        <f t="shared" si="9"/>
        <v>0</v>
      </c>
      <c r="O7" s="78">
        <v>0.4</v>
      </c>
      <c r="P7" s="79">
        <v>0.4</v>
      </c>
      <c r="Q7" s="79">
        <v>0.4</v>
      </c>
      <c r="R7" s="134">
        <f t="shared" si="4"/>
        <v>600.00000000000011</v>
      </c>
      <c r="S7" s="135"/>
      <c r="T7" s="121">
        <f t="shared" si="5"/>
        <v>0</v>
      </c>
      <c r="U7" s="75">
        <f t="shared" si="6"/>
        <v>0</v>
      </c>
      <c r="V7" s="128">
        <v>703577</v>
      </c>
      <c r="W7" s="129"/>
      <c r="X7" s="129">
        <v>18098</v>
      </c>
      <c r="Y7" s="129">
        <f t="shared" si="7"/>
        <v>685479</v>
      </c>
      <c r="Z7" s="121">
        <f t="shared" si="1"/>
        <v>40</v>
      </c>
      <c r="AA7" s="119">
        <v>0</v>
      </c>
      <c r="AB7" s="120">
        <v>0</v>
      </c>
      <c r="AC7" s="121">
        <f>SUM(AA7+AB7-AA8)</f>
        <v>0</v>
      </c>
      <c r="AD7" s="111">
        <v>0</v>
      </c>
      <c r="AE7" s="112">
        <v>0</v>
      </c>
    </row>
    <row r="8" spans="1:31" ht="13.5" thickBot="1" x14ac:dyDescent="0.25">
      <c r="A8" s="72">
        <v>45998</v>
      </c>
      <c r="B8" s="90">
        <v>19952670</v>
      </c>
      <c r="C8" s="91">
        <f>SUM(4222.8+1809944.6+591618+10055+276346+30472)</f>
        <v>2722658.4000000004</v>
      </c>
      <c r="D8" s="91">
        <f t="shared" si="2"/>
        <v>17230011.600000001</v>
      </c>
      <c r="E8" s="92">
        <f t="shared" si="0"/>
        <v>2452</v>
      </c>
      <c r="F8" s="143">
        <v>3051</v>
      </c>
      <c r="G8" s="144"/>
      <c r="H8" s="124">
        <f t="shared" si="3"/>
        <v>217</v>
      </c>
      <c r="I8" s="80">
        <v>0.5</v>
      </c>
      <c r="J8" s="81">
        <v>0.5</v>
      </c>
      <c r="K8" s="81">
        <v>0.45</v>
      </c>
      <c r="L8" s="136">
        <f t="shared" si="8"/>
        <v>3625</v>
      </c>
      <c r="M8" s="137"/>
      <c r="N8" s="124">
        <f t="shared" si="9"/>
        <v>0</v>
      </c>
      <c r="O8" s="80">
        <v>0.4</v>
      </c>
      <c r="P8" s="81">
        <v>0.4</v>
      </c>
      <c r="Q8" s="81">
        <v>0.4</v>
      </c>
      <c r="R8" s="136">
        <f t="shared" si="4"/>
        <v>600.00000000000011</v>
      </c>
      <c r="S8" s="137"/>
      <c r="T8" s="124">
        <f t="shared" si="5"/>
        <v>75.000000000000227</v>
      </c>
      <c r="U8" s="73">
        <f t="shared" si="6"/>
        <v>75.000000000000227</v>
      </c>
      <c r="V8" s="130">
        <v>703622</v>
      </c>
      <c r="W8" s="131"/>
      <c r="X8" s="131">
        <v>18103</v>
      </c>
      <c r="Y8" s="131">
        <f t="shared" si="7"/>
        <v>685519</v>
      </c>
      <c r="Z8" s="124">
        <f t="shared" si="1"/>
        <v>44</v>
      </c>
      <c r="AA8" s="122">
        <v>0</v>
      </c>
      <c r="AB8" s="123">
        <v>0</v>
      </c>
      <c r="AC8" s="124">
        <f t="shared" ref="AC8:AC32" si="11">SUM(AA8+AB8-AA9)</f>
        <v>0</v>
      </c>
      <c r="AD8" s="113">
        <v>0</v>
      </c>
      <c r="AE8" s="114">
        <v>0</v>
      </c>
    </row>
    <row r="9" spans="1:31" x14ac:dyDescent="0.2">
      <c r="A9" s="70">
        <v>45999</v>
      </c>
      <c r="B9" s="84">
        <v>19955122</v>
      </c>
      <c r="C9" s="85">
        <f>SUM(4223.7+1810121.6+591618+10055.8+276409+30479)</f>
        <v>2722907.0999999996</v>
      </c>
      <c r="D9" s="85">
        <f t="shared" si="2"/>
        <v>17232214.899999999</v>
      </c>
      <c r="E9" s="93">
        <f t="shared" si="0"/>
        <v>2832</v>
      </c>
      <c r="F9" s="139">
        <v>2834</v>
      </c>
      <c r="G9" s="140"/>
      <c r="H9" s="86">
        <f t="shared" si="3"/>
        <v>0</v>
      </c>
      <c r="I9" s="76">
        <v>0.5</v>
      </c>
      <c r="J9" s="77">
        <v>0.5</v>
      </c>
      <c r="K9" s="77">
        <v>0.45</v>
      </c>
      <c r="L9" s="132">
        <f t="shared" si="8"/>
        <v>3625</v>
      </c>
      <c r="M9" s="133"/>
      <c r="N9" s="86">
        <f t="shared" si="9"/>
        <v>0</v>
      </c>
      <c r="O9" s="76">
        <v>0.35</v>
      </c>
      <c r="P9" s="77">
        <v>0.35</v>
      </c>
      <c r="Q9" s="77">
        <v>0.35</v>
      </c>
      <c r="R9" s="132">
        <f t="shared" si="4"/>
        <v>524.99999999999989</v>
      </c>
      <c r="S9" s="133"/>
      <c r="T9" s="86">
        <f t="shared" si="5"/>
        <v>0</v>
      </c>
      <c r="U9" s="71">
        <f t="shared" si="6"/>
        <v>0</v>
      </c>
      <c r="V9" s="126">
        <v>703674</v>
      </c>
      <c r="W9" s="127"/>
      <c r="X9" s="127">
        <v>18111</v>
      </c>
      <c r="Y9" s="127">
        <f t="shared" si="7"/>
        <v>685563</v>
      </c>
      <c r="Z9" s="86">
        <f t="shared" si="1"/>
        <v>58</v>
      </c>
      <c r="AA9" s="117">
        <v>0</v>
      </c>
      <c r="AB9" s="118">
        <v>0</v>
      </c>
      <c r="AC9" s="86">
        <f t="shared" si="11"/>
        <v>0</v>
      </c>
      <c r="AD9" s="109">
        <v>0</v>
      </c>
      <c r="AE9" s="110">
        <v>0</v>
      </c>
    </row>
    <row r="10" spans="1:31" x14ac:dyDescent="0.2">
      <c r="A10" s="74">
        <v>46000</v>
      </c>
      <c r="B10" s="87">
        <v>19957954</v>
      </c>
      <c r="C10" s="88">
        <f>SUM(4224.3+1810331.3+591618+10056.9+276491+30488)</f>
        <v>2723209.5</v>
      </c>
      <c r="D10" s="88">
        <f t="shared" si="2"/>
        <v>17234744.5</v>
      </c>
      <c r="E10" s="89">
        <f t="shared" si="0"/>
        <v>2544</v>
      </c>
      <c r="F10" s="141">
        <v>2834</v>
      </c>
      <c r="G10" s="142"/>
      <c r="H10" s="121">
        <f t="shared" si="3"/>
        <v>317</v>
      </c>
      <c r="I10" s="78">
        <v>0.5</v>
      </c>
      <c r="J10" s="79">
        <v>0.5</v>
      </c>
      <c r="K10" s="79">
        <v>0.45</v>
      </c>
      <c r="L10" s="134">
        <f t="shared" si="8"/>
        <v>3625</v>
      </c>
      <c r="M10" s="135"/>
      <c r="N10" s="121">
        <f t="shared" si="9"/>
        <v>0</v>
      </c>
      <c r="O10" s="78">
        <v>0.35</v>
      </c>
      <c r="P10" s="79">
        <v>0.35</v>
      </c>
      <c r="Q10" s="79">
        <v>0.35</v>
      </c>
      <c r="R10" s="134">
        <f t="shared" si="4"/>
        <v>524.99999999999989</v>
      </c>
      <c r="S10" s="135"/>
      <c r="T10" s="121">
        <f>SUM(R11-S10-R10)</f>
        <v>0</v>
      </c>
      <c r="U10" s="75">
        <f t="shared" si="6"/>
        <v>0</v>
      </c>
      <c r="V10" s="128">
        <v>703742</v>
      </c>
      <c r="W10" s="129"/>
      <c r="X10" s="129">
        <v>18121</v>
      </c>
      <c r="Y10" s="129">
        <f t="shared" si="7"/>
        <v>685621</v>
      </c>
      <c r="Z10" s="121">
        <f t="shared" si="1"/>
        <v>28</v>
      </c>
      <c r="AA10" s="119">
        <v>0</v>
      </c>
      <c r="AB10" s="120">
        <v>0</v>
      </c>
      <c r="AC10" s="121">
        <f t="shared" si="11"/>
        <v>0</v>
      </c>
      <c r="AD10" s="111">
        <v>0</v>
      </c>
      <c r="AE10" s="112">
        <v>0</v>
      </c>
    </row>
    <row r="11" spans="1:31" x14ac:dyDescent="0.2">
      <c r="A11" s="74">
        <v>46001</v>
      </c>
      <c r="B11" s="87">
        <v>19960498</v>
      </c>
      <c r="C11" s="88">
        <f>SUM(4224.7+1810475.8+591618+10057.1+276547+30495)</f>
        <v>2723417.6</v>
      </c>
      <c r="D11" s="88">
        <f t="shared" si="2"/>
        <v>17237080.399999999</v>
      </c>
      <c r="E11" s="89">
        <f t="shared" si="0"/>
        <v>2362</v>
      </c>
      <c r="F11" s="141">
        <v>2517</v>
      </c>
      <c r="G11" s="142"/>
      <c r="H11" s="121">
        <f t="shared" si="3"/>
        <v>206</v>
      </c>
      <c r="I11" s="78">
        <v>0.5</v>
      </c>
      <c r="J11" s="79">
        <v>0.5</v>
      </c>
      <c r="K11" s="79">
        <v>0.45</v>
      </c>
      <c r="L11" s="134">
        <f t="shared" si="8"/>
        <v>3625</v>
      </c>
      <c r="M11" s="135"/>
      <c r="N11" s="121">
        <f t="shared" si="9"/>
        <v>0</v>
      </c>
      <c r="O11" s="78">
        <v>0.35</v>
      </c>
      <c r="P11" s="79">
        <v>0.35</v>
      </c>
      <c r="Q11" s="79">
        <v>0.35</v>
      </c>
      <c r="R11" s="134">
        <f t="shared" si="4"/>
        <v>524.99999999999989</v>
      </c>
      <c r="S11" s="135"/>
      <c r="T11" s="121">
        <f t="shared" si="5"/>
        <v>0</v>
      </c>
      <c r="U11" s="75">
        <f t="shared" si="6"/>
        <v>0</v>
      </c>
      <c r="V11" s="128">
        <v>703778</v>
      </c>
      <c r="W11" s="129"/>
      <c r="X11" s="129">
        <v>18129</v>
      </c>
      <c r="Y11" s="129">
        <f t="shared" ref="Y11:Y33" si="12">SUM(V11-W11-X11)</f>
        <v>685649</v>
      </c>
      <c r="Z11" s="121">
        <f t="shared" si="1"/>
        <v>30</v>
      </c>
      <c r="AA11" s="119">
        <v>0</v>
      </c>
      <c r="AB11" s="120">
        <v>0</v>
      </c>
      <c r="AC11" s="121">
        <f t="shared" si="11"/>
        <v>0</v>
      </c>
      <c r="AD11" s="111">
        <v>0</v>
      </c>
      <c r="AE11" s="112">
        <v>0</v>
      </c>
    </row>
    <row r="12" spans="1:31" x14ac:dyDescent="0.2">
      <c r="A12" s="74">
        <v>46002</v>
      </c>
      <c r="B12" s="87">
        <v>19962860</v>
      </c>
      <c r="C12" s="88">
        <f>SUM(4225.3+1810586.2+591619+10057.2+276608+30500)</f>
        <v>2723595.7</v>
      </c>
      <c r="D12" s="88">
        <f t="shared" si="2"/>
        <v>17239264.300000001</v>
      </c>
      <c r="E12" s="89">
        <f t="shared" si="0"/>
        <v>2816</v>
      </c>
      <c r="F12" s="141">
        <v>2311</v>
      </c>
      <c r="G12" s="142"/>
      <c r="H12" s="121">
        <f t="shared" si="3"/>
        <v>0</v>
      </c>
      <c r="I12" s="78">
        <v>0.5</v>
      </c>
      <c r="J12" s="79">
        <v>0.5</v>
      </c>
      <c r="K12" s="79">
        <v>0.45</v>
      </c>
      <c r="L12" s="134">
        <f t="shared" si="8"/>
        <v>3625</v>
      </c>
      <c r="M12" s="135"/>
      <c r="N12" s="121">
        <f t="shared" si="9"/>
        <v>0</v>
      </c>
      <c r="O12" s="78">
        <v>0.35</v>
      </c>
      <c r="P12" s="79">
        <v>0.35</v>
      </c>
      <c r="Q12" s="79">
        <v>0.35</v>
      </c>
      <c r="R12" s="134">
        <f t="shared" si="4"/>
        <v>524.99999999999989</v>
      </c>
      <c r="S12" s="135"/>
      <c r="T12" s="121">
        <f t="shared" si="5"/>
        <v>0</v>
      </c>
      <c r="U12" s="75">
        <f t="shared" si="6"/>
        <v>0</v>
      </c>
      <c r="V12" s="128">
        <v>703812</v>
      </c>
      <c r="W12" s="129"/>
      <c r="X12" s="129">
        <v>18133</v>
      </c>
      <c r="Y12" s="129">
        <f t="shared" si="12"/>
        <v>685679</v>
      </c>
      <c r="Z12" s="121">
        <f t="shared" si="1"/>
        <v>67</v>
      </c>
      <c r="AA12" s="119">
        <v>0</v>
      </c>
      <c r="AB12" s="120">
        <v>0</v>
      </c>
      <c r="AC12" s="121">
        <f t="shared" si="11"/>
        <v>0</v>
      </c>
      <c r="AD12" s="111">
        <v>0</v>
      </c>
      <c r="AE12" s="112">
        <v>0</v>
      </c>
    </row>
    <row r="13" spans="1:31" x14ac:dyDescent="0.2">
      <c r="A13" s="74">
        <v>46003</v>
      </c>
      <c r="B13" s="87">
        <v>19965676</v>
      </c>
      <c r="C13" s="88">
        <f>SUM(4226+1810835.7+591618+10057.4+276707+30513)</f>
        <v>2723957.1</v>
      </c>
      <c r="D13" s="88">
        <f t="shared" si="2"/>
        <v>17241718.899999999</v>
      </c>
      <c r="E13" s="89">
        <f t="shared" si="0"/>
        <v>2174</v>
      </c>
      <c r="F13" s="141">
        <v>2311</v>
      </c>
      <c r="G13" s="142"/>
      <c r="H13" s="121">
        <f t="shared" si="3"/>
        <v>0</v>
      </c>
      <c r="I13" s="78">
        <v>0.5</v>
      </c>
      <c r="J13" s="79">
        <v>0.5</v>
      </c>
      <c r="K13" s="79">
        <v>0.45</v>
      </c>
      <c r="L13" s="134">
        <f t="shared" si="8"/>
        <v>3625</v>
      </c>
      <c r="M13" s="135"/>
      <c r="N13" s="121">
        <f t="shared" si="9"/>
        <v>0</v>
      </c>
      <c r="O13" s="78">
        <v>0.35</v>
      </c>
      <c r="P13" s="79">
        <v>0.35</v>
      </c>
      <c r="Q13" s="79">
        <v>0.35</v>
      </c>
      <c r="R13" s="134">
        <f t="shared" si="4"/>
        <v>524.99999999999989</v>
      </c>
      <c r="S13" s="135"/>
      <c r="T13" s="121">
        <f t="shared" si="5"/>
        <v>0</v>
      </c>
      <c r="U13" s="75">
        <f t="shared" si="6"/>
        <v>0</v>
      </c>
      <c r="V13" s="128">
        <v>703890</v>
      </c>
      <c r="W13" s="129"/>
      <c r="X13" s="129">
        <v>18144</v>
      </c>
      <c r="Y13" s="129">
        <f t="shared" si="12"/>
        <v>685746</v>
      </c>
      <c r="Z13" s="121">
        <f t="shared" si="1"/>
        <v>23</v>
      </c>
      <c r="AA13" s="119">
        <v>0</v>
      </c>
      <c r="AB13" s="120">
        <v>0</v>
      </c>
      <c r="AC13" s="121">
        <f t="shared" si="11"/>
        <v>0</v>
      </c>
      <c r="AD13" s="111">
        <v>0</v>
      </c>
      <c r="AE13" s="112">
        <v>0</v>
      </c>
    </row>
    <row r="14" spans="1:31" x14ac:dyDescent="0.2">
      <c r="A14" s="74">
        <v>46004</v>
      </c>
      <c r="B14" s="87">
        <v>19967850</v>
      </c>
      <c r="C14" s="88">
        <f>SUM(4226.3+1810905.1+591619+10057.6+276749+30519)</f>
        <v>2724076.0000000005</v>
      </c>
      <c r="D14" s="88">
        <f t="shared" si="2"/>
        <v>17243774</v>
      </c>
      <c r="E14" s="89">
        <f t="shared" si="0"/>
        <v>2268</v>
      </c>
      <c r="F14" s="141">
        <v>2311</v>
      </c>
      <c r="G14" s="142"/>
      <c r="H14" s="121">
        <f t="shared" si="3"/>
        <v>0</v>
      </c>
      <c r="I14" s="78">
        <v>0.5</v>
      </c>
      <c r="J14" s="79">
        <v>0.5</v>
      </c>
      <c r="K14" s="79">
        <v>0.45</v>
      </c>
      <c r="L14" s="134">
        <f t="shared" si="8"/>
        <v>3625</v>
      </c>
      <c r="M14" s="135"/>
      <c r="N14" s="121">
        <f t="shared" si="9"/>
        <v>0</v>
      </c>
      <c r="O14" s="78">
        <v>0.35</v>
      </c>
      <c r="P14" s="79">
        <v>0.35</v>
      </c>
      <c r="Q14" s="79">
        <v>0.35</v>
      </c>
      <c r="R14" s="134">
        <f t="shared" si="4"/>
        <v>524.99999999999989</v>
      </c>
      <c r="S14" s="135"/>
      <c r="T14" s="121">
        <f t="shared" si="5"/>
        <v>0</v>
      </c>
      <c r="U14" s="75">
        <f t="shared" si="6"/>
        <v>0</v>
      </c>
      <c r="V14" s="128">
        <v>703919</v>
      </c>
      <c r="W14" s="129"/>
      <c r="X14" s="129">
        <v>18150</v>
      </c>
      <c r="Y14" s="129">
        <f t="shared" si="12"/>
        <v>685769</v>
      </c>
      <c r="Z14" s="121">
        <f t="shared" si="1"/>
        <v>28</v>
      </c>
      <c r="AA14" s="119">
        <v>0</v>
      </c>
      <c r="AB14" s="120">
        <v>0</v>
      </c>
      <c r="AC14" s="121">
        <f t="shared" si="11"/>
        <v>0</v>
      </c>
      <c r="AD14" s="111">
        <v>0</v>
      </c>
      <c r="AE14" s="112">
        <v>0</v>
      </c>
    </row>
    <row r="15" spans="1:31" ht="13.5" thickBot="1" x14ac:dyDescent="0.25">
      <c r="A15" s="72">
        <v>46005</v>
      </c>
      <c r="B15" s="90">
        <v>19970118</v>
      </c>
      <c r="C15" s="91">
        <f>SUM(4226.7+1811015.6+591619+10057.9+276832+30525)</f>
        <v>2724276.1999999997</v>
      </c>
      <c r="D15" s="91">
        <f t="shared" si="2"/>
        <v>17245841.800000001</v>
      </c>
      <c r="E15" s="92">
        <f t="shared" si="0"/>
        <v>2156</v>
      </c>
      <c r="F15" s="143">
        <v>2311</v>
      </c>
      <c r="G15" s="144"/>
      <c r="H15" s="124">
        <f t="shared" si="3"/>
        <v>0</v>
      </c>
      <c r="I15" s="80">
        <v>0.5</v>
      </c>
      <c r="J15" s="81">
        <v>0.5</v>
      </c>
      <c r="K15" s="81">
        <v>0.45</v>
      </c>
      <c r="L15" s="136">
        <f t="shared" si="8"/>
        <v>3625</v>
      </c>
      <c r="M15" s="137"/>
      <c r="N15" s="124">
        <f t="shared" si="9"/>
        <v>0</v>
      </c>
      <c r="O15" s="80">
        <v>0.35</v>
      </c>
      <c r="P15" s="81">
        <v>0.35</v>
      </c>
      <c r="Q15" s="81">
        <v>0.35</v>
      </c>
      <c r="R15" s="136">
        <f t="shared" si="4"/>
        <v>524.99999999999989</v>
      </c>
      <c r="S15" s="137"/>
      <c r="T15" s="124">
        <f t="shared" si="5"/>
        <v>0</v>
      </c>
      <c r="U15" s="73">
        <f t="shared" si="6"/>
        <v>0</v>
      </c>
      <c r="V15" s="130">
        <v>703952</v>
      </c>
      <c r="W15" s="131"/>
      <c r="X15" s="131">
        <v>18155</v>
      </c>
      <c r="Y15" s="131">
        <f t="shared" si="12"/>
        <v>685797</v>
      </c>
      <c r="Z15" s="124">
        <f t="shared" si="1"/>
        <v>26</v>
      </c>
      <c r="AA15" s="122">
        <v>0</v>
      </c>
      <c r="AB15" s="123">
        <v>0</v>
      </c>
      <c r="AC15" s="124">
        <f t="shared" si="11"/>
        <v>0</v>
      </c>
      <c r="AD15" s="113">
        <v>0</v>
      </c>
      <c r="AE15" s="114">
        <v>0</v>
      </c>
    </row>
    <row r="16" spans="1:31" x14ac:dyDescent="0.2">
      <c r="A16" s="70">
        <v>46006</v>
      </c>
      <c r="B16" s="84">
        <v>19972274</v>
      </c>
      <c r="C16" s="85">
        <f>SUM(4227.1+1811154.9+591619+10059+276848+30527)</f>
        <v>2724435</v>
      </c>
      <c r="D16" s="85">
        <f t="shared" si="2"/>
        <v>17247839</v>
      </c>
      <c r="E16" s="93">
        <f t="shared" si="0"/>
        <v>2388</v>
      </c>
      <c r="F16" s="139">
        <v>2311</v>
      </c>
      <c r="G16" s="140">
        <v>7000</v>
      </c>
      <c r="H16" s="86">
        <f t="shared" si="3"/>
        <v>2329</v>
      </c>
      <c r="I16" s="76">
        <v>0.5</v>
      </c>
      <c r="J16" s="77">
        <v>0.5</v>
      </c>
      <c r="K16" s="77">
        <v>0.45</v>
      </c>
      <c r="L16" s="132">
        <f t="shared" si="8"/>
        <v>3625</v>
      </c>
      <c r="M16" s="133"/>
      <c r="N16" s="86">
        <f t="shared" si="9"/>
        <v>0</v>
      </c>
      <c r="O16" s="76">
        <v>0.35</v>
      </c>
      <c r="P16" s="77">
        <v>0.35</v>
      </c>
      <c r="Q16" s="77">
        <v>0.35</v>
      </c>
      <c r="R16" s="132">
        <f t="shared" si="4"/>
        <v>524.99999999999989</v>
      </c>
      <c r="S16" s="133"/>
      <c r="T16" s="86">
        <f t="shared" si="5"/>
        <v>0</v>
      </c>
      <c r="U16" s="71">
        <f t="shared" si="6"/>
        <v>0</v>
      </c>
      <c r="V16" s="126">
        <v>703981</v>
      </c>
      <c r="W16" s="127"/>
      <c r="X16" s="127">
        <v>18158</v>
      </c>
      <c r="Y16" s="127">
        <f t="shared" si="12"/>
        <v>685823</v>
      </c>
      <c r="Z16" s="86">
        <f t="shared" si="1"/>
        <v>47</v>
      </c>
      <c r="AA16" s="117">
        <v>0</v>
      </c>
      <c r="AB16" s="118">
        <v>0</v>
      </c>
      <c r="AC16" s="86">
        <f t="shared" si="11"/>
        <v>0</v>
      </c>
      <c r="AD16" s="109">
        <v>0</v>
      </c>
      <c r="AE16" s="110">
        <v>0</v>
      </c>
    </row>
    <row r="17" spans="1:31" x14ac:dyDescent="0.2">
      <c r="A17" s="74">
        <v>46007</v>
      </c>
      <c r="B17" s="87">
        <v>19974662</v>
      </c>
      <c r="C17" s="88">
        <f>SUM(4227.6+1811306.1+591618+10059.4+276915+30537)</f>
        <v>2724663.1</v>
      </c>
      <c r="D17" s="88">
        <f t="shared" si="2"/>
        <v>17249998.899999999</v>
      </c>
      <c r="E17" s="89">
        <f t="shared" si="0"/>
        <v>2447</v>
      </c>
      <c r="F17" s="141">
        <v>6982</v>
      </c>
      <c r="G17" s="142"/>
      <c r="H17" s="121">
        <f t="shared" si="3"/>
        <v>0</v>
      </c>
      <c r="I17" s="78">
        <v>0.5</v>
      </c>
      <c r="J17" s="79">
        <v>0.5</v>
      </c>
      <c r="K17" s="79">
        <v>0.45</v>
      </c>
      <c r="L17" s="134">
        <f t="shared" si="8"/>
        <v>3625</v>
      </c>
      <c r="M17" s="135"/>
      <c r="N17" s="121">
        <f t="shared" si="9"/>
        <v>0</v>
      </c>
      <c r="O17" s="78">
        <v>0.35</v>
      </c>
      <c r="P17" s="79">
        <v>0.35</v>
      </c>
      <c r="Q17" s="79">
        <v>0.35</v>
      </c>
      <c r="R17" s="134">
        <f t="shared" si="4"/>
        <v>524.99999999999989</v>
      </c>
      <c r="S17" s="135"/>
      <c r="T17" s="121">
        <f>SUM(R18-S17-R17)</f>
        <v>0</v>
      </c>
      <c r="U17" s="75">
        <f t="shared" si="6"/>
        <v>0</v>
      </c>
      <c r="V17" s="128">
        <v>704036</v>
      </c>
      <c r="W17" s="129"/>
      <c r="X17" s="129">
        <v>18166</v>
      </c>
      <c r="Y17" s="129">
        <f t="shared" si="12"/>
        <v>685870</v>
      </c>
      <c r="Z17" s="121">
        <f t="shared" si="1"/>
        <v>35</v>
      </c>
      <c r="AA17" s="119">
        <v>0</v>
      </c>
      <c r="AB17" s="120">
        <v>0</v>
      </c>
      <c r="AC17" s="121">
        <f t="shared" si="11"/>
        <v>0</v>
      </c>
      <c r="AD17" s="111">
        <v>0</v>
      </c>
      <c r="AE17" s="112">
        <v>0</v>
      </c>
    </row>
    <row r="18" spans="1:31" x14ac:dyDescent="0.2">
      <c r="A18" s="74">
        <v>46008</v>
      </c>
      <c r="B18" s="87">
        <v>19977109</v>
      </c>
      <c r="C18" s="88">
        <f>SUM(4228+1811444.4+591619+10059.6+276969+30546)</f>
        <v>2724866</v>
      </c>
      <c r="D18" s="88">
        <f t="shared" si="2"/>
        <v>17252243</v>
      </c>
      <c r="E18" s="89">
        <f t="shared" si="0"/>
        <v>2509</v>
      </c>
      <c r="F18" s="141">
        <v>6982</v>
      </c>
      <c r="G18" s="142"/>
      <c r="H18" s="121">
        <f>F18+G18-F19</f>
        <v>0</v>
      </c>
      <c r="I18" s="78">
        <v>0.5</v>
      </c>
      <c r="J18" s="79">
        <v>0.5</v>
      </c>
      <c r="K18" s="79">
        <v>0.45</v>
      </c>
      <c r="L18" s="134">
        <f t="shared" si="8"/>
        <v>3625</v>
      </c>
      <c r="M18" s="135"/>
      <c r="N18" s="121">
        <f t="shared" si="9"/>
        <v>0</v>
      </c>
      <c r="O18" s="78">
        <v>0.35</v>
      </c>
      <c r="P18" s="79">
        <v>0.35</v>
      </c>
      <c r="Q18" s="79">
        <v>0.35</v>
      </c>
      <c r="R18" s="134">
        <f t="shared" si="4"/>
        <v>524.99999999999989</v>
      </c>
      <c r="S18" s="135"/>
      <c r="T18" s="121">
        <f t="shared" si="5"/>
        <v>0</v>
      </c>
      <c r="U18" s="75">
        <f t="shared" si="6"/>
        <v>0</v>
      </c>
      <c r="V18" s="128">
        <v>704077</v>
      </c>
      <c r="W18" s="129"/>
      <c r="X18" s="129">
        <v>18172</v>
      </c>
      <c r="Y18" s="129">
        <f t="shared" si="12"/>
        <v>685905</v>
      </c>
      <c r="Z18" s="121">
        <f t="shared" si="1"/>
        <v>14</v>
      </c>
      <c r="AA18" s="119">
        <v>0</v>
      </c>
      <c r="AB18" s="120">
        <v>0</v>
      </c>
      <c r="AC18" s="121">
        <f t="shared" si="11"/>
        <v>0</v>
      </c>
      <c r="AD18" s="111">
        <v>0</v>
      </c>
      <c r="AE18" s="112">
        <v>0</v>
      </c>
    </row>
    <row r="19" spans="1:31" x14ac:dyDescent="0.2">
      <c r="A19" s="74">
        <v>46009</v>
      </c>
      <c r="B19" s="87">
        <v>19979618</v>
      </c>
      <c r="C19" s="88">
        <f>SUM(4228.6+1811584.7+591619+10060.1+277054+30553)</f>
        <v>2725099.4</v>
      </c>
      <c r="D19" s="88">
        <f t="shared" si="2"/>
        <v>17254518.600000001</v>
      </c>
      <c r="E19" s="89">
        <f t="shared" si="0"/>
        <v>2950</v>
      </c>
      <c r="F19" s="141">
        <v>6982</v>
      </c>
      <c r="G19" s="142"/>
      <c r="H19" s="121">
        <f t="shared" si="3"/>
        <v>0</v>
      </c>
      <c r="I19" s="78">
        <v>0.5</v>
      </c>
      <c r="J19" s="79">
        <v>0.5</v>
      </c>
      <c r="K19" s="79">
        <v>0.45</v>
      </c>
      <c r="L19" s="134">
        <f t="shared" si="8"/>
        <v>3625</v>
      </c>
      <c r="M19" s="135"/>
      <c r="N19" s="121">
        <f t="shared" si="9"/>
        <v>125.00000000000045</v>
      </c>
      <c r="O19" s="78">
        <v>0.35</v>
      </c>
      <c r="P19" s="79">
        <v>0.35</v>
      </c>
      <c r="Q19" s="79">
        <v>0.35</v>
      </c>
      <c r="R19" s="134">
        <f t="shared" si="4"/>
        <v>524.99999999999989</v>
      </c>
      <c r="S19" s="135"/>
      <c r="T19" s="121">
        <f t="shared" si="5"/>
        <v>0</v>
      </c>
      <c r="U19" s="75">
        <f t="shared" si="6"/>
        <v>125.00000000000045</v>
      </c>
      <c r="V19" s="128">
        <v>704118</v>
      </c>
      <c r="W19" s="129">
        <v>22</v>
      </c>
      <c r="X19" s="129">
        <v>18177</v>
      </c>
      <c r="Y19" s="129">
        <f t="shared" si="12"/>
        <v>685919</v>
      </c>
      <c r="Z19" s="121">
        <f t="shared" si="1"/>
        <v>14</v>
      </c>
      <c r="AA19" s="119">
        <v>0</v>
      </c>
      <c r="AB19" s="120">
        <v>0</v>
      </c>
      <c r="AC19" s="121">
        <f t="shared" si="11"/>
        <v>0</v>
      </c>
      <c r="AD19" s="111">
        <v>0</v>
      </c>
      <c r="AE19" s="112">
        <v>0</v>
      </c>
    </row>
    <row r="20" spans="1:31" x14ac:dyDescent="0.2">
      <c r="A20" s="74">
        <v>46010</v>
      </c>
      <c r="B20" s="87">
        <v>19982568</v>
      </c>
      <c r="C20" s="88">
        <f>SUM(4229.2+1811745.1+591619+10060.6+277123+30562)</f>
        <v>2725338.9</v>
      </c>
      <c r="D20" s="88">
        <f t="shared" si="2"/>
        <v>17257229.100000001</v>
      </c>
      <c r="E20" s="89">
        <f t="shared" si="0"/>
        <v>2149</v>
      </c>
      <c r="F20" s="141">
        <v>6982</v>
      </c>
      <c r="G20" s="142"/>
      <c r="H20" s="121">
        <f t="shared" si="3"/>
        <v>149</v>
      </c>
      <c r="I20" s="78">
        <v>0.5</v>
      </c>
      <c r="J20" s="79">
        <v>0.5</v>
      </c>
      <c r="K20" s="79">
        <v>0.4</v>
      </c>
      <c r="L20" s="134">
        <f t="shared" si="8"/>
        <v>3499.9999999999995</v>
      </c>
      <c r="M20" s="135"/>
      <c r="N20" s="121">
        <f t="shared" si="9"/>
        <v>0</v>
      </c>
      <c r="O20" s="78">
        <v>0.35</v>
      </c>
      <c r="P20" s="79">
        <v>0.35</v>
      </c>
      <c r="Q20" s="79">
        <v>0.35</v>
      </c>
      <c r="R20" s="134">
        <f t="shared" si="4"/>
        <v>524.99999999999989</v>
      </c>
      <c r="S20" s="135"/>
      <c r="T20" s="121">
        <f t="shared" si="5"/>
        <v>0</v>
      </c>
      <c r="U20" s="75">
        <f t="shared" si="6"/>
        <v>0</v>
      </c>
      <c r="V20" s="128">
        <v>704171</v>
      </c>
      <c r="W20" s="129">
        <v>54</v>
      </c>
      <c r="X20" s="129">
        <v>18184</v>
      </c>
      <c r="Y20" s="129">
        <f t="shared" si="12"/>
        <v>685933</v>
      </c>
      <c r="Z20" s="121">
        <f t="shared" si="1"/>
        <v>6</v>
      </c>
      <c r="AA20" s="119">
        <v>0</v>
      </c>
      <c r="AB20" s="120">
        <v>0</v>
      </c>
      <c r="AC20" s="121">
        <f t="shared" si="11"/>
        <v>0</v>
      </c>
      <c r="AD20" s="111">
        <v>0</v>
      </c>
      <c r="AE20" s="112">
        <v>0</v>
      </c>
    </row>
    <row r="21" spans="1:31" x14ac:dyDescent="0.2">
      <c r="A21" s="74">
        <v>46011</v>
      </c>
      <c r="B21" s="87">
        <v>19984717</v>
      </c>
      <c r="C21" s="88">
        <v>2725500</v>
      </c>
      <c r="D21" s="88">
        <f t="shared" si="2"/>
        <v>17259217</v>
      </c>
      <c r="E21" s="89">
        <f t="shared" si="0"/>
        <v>2149</v>
      </c>
      <c r="F21" s="141">
        <v>6833</v>
      </c>
      <c r="G21" s="142"/>
      <c r="H21" s="121">
        <f t="shared" si="3"/>
        <v>149</v>
      </c>
      <c r="I21" s="78">
        <v>0.5</v>
      </c>
      <c r="J21" s="79">
        <v>0.5</v>
      </c>
      <c r="K21" s="79">
        <v>0.4</v>
      </c>
      <c r="L21" s="134">
        <f t="shared" si="8"/>
        <v>3499.9999999999995</v>
      </c>
      <c r="M21" s="135"/>
      <c r="N21" s="121">
        <f t="shared" si="9"/>
        <v>0</v>
      </c>
      <c r="O21" s="78">
        <v>0.35</v>
      </c>
      <c r="P21" s="79">
        <v>0.35</v>
      </c>
      <c r="Q21" s="79">
        <v>0.35</v>
      </c>
      <c r="R21" s="134">
        <f t="shared" si="4"/>
        <v>524.99999999999989</v>
      </c>
      <c r="S21" s="135"/>
      <c r="T21" s="121">
        <f t="shared" si="5"/>
        <v>0</v>
      </c>
      <c r="U21" s="75">
        <f t="shared" si="6"/>
        <v>0</v>
      </c>
      <c r="V21" s="128">
        <v>704206</v>
      </c>
      <c r="W21" s="129">
        <v>78</v>
      </c>
      <c r="X21" s="129">
        <v>18189</v>
      </c>
      <c r="Y21" s="129">
        <f t="shared" si="12"/>
        <v>685939</v>
      </c>
      <c r="Z21" s="121">
        <f t="shared" si="1"/>
        <v>6</v>
      </c>
      <c r="AA21" s="119">
        <v>0</v>
      </c>
      <c r="AB21" s="120">
        <v>0</v>
      </c>
      <c r="AC21" s="121">
        <f t="shared" si="11"/>
        <v>0</v>
      </c>
      <c r="AD21" s="111">
        <v>0</v>
      </c>
      <c r="AE21" s="112">
        <v>0</v>
      </c>
    </row>
    <row r="22" spans="1:31" ht="13.5" thickBot="1" x14ac:dyDescent="0.25">
      <c r="A22" s="72">
        <v>46012</v>
      </c>
      <c r="B22" s="90">
        <v>19986866</v>
      </c>
      <c r="C22" s="91">
        <v>2725661</v>
      </c>
      <c r="D22" s="91">
        <f t="shared" si="2"/>
        <v>17261205</v>
      </c>
      <c r="E22" s="92">
        <f t="shared" si="0"/>
        <v>2149</v>
      </c>
      <c r="F22" s="143">
        <v>6684</v>
      </c>
      <c r="G22" s="144"/>
      <c r="H22" s="124">
        <f t="shared" si="3"/>
        <v>149</v>
      </c>
      <c r="I22" s="80">
        <v>0.5</v>
      </c>
      <c r="J22" s="81">
        <v>0.5</v>
      </c>
      <c r="K22" s="81">
        <v>0.4</v>
      </c>
      <c r="L22" s="136">
        <f t="shared" si="8"/>
        <v>3499.9999999999995</v>
      </c>
      <c r="M22" s="137"/>
      <c r="N22" s="124">
        <f t="shared" si="9"/>
        <v>0</v>
      </c>
      <c r="O22" s="80">
        <v>0.35</v>
      </c>
      <c r="P22" s="81">
        <v>0.35</v>
      </c>
      <c r="Q22" s="81">
        <v>0.35</v>
      </c>
      <c r="R22" s="136">
        <f>SUM(O22:Q22)/3*1500</f>
        <v>524.99999999999989</v>
      </c>
      <c r="S22" s="137"/>
      <c r="T22" s="124">
        <f t="shared" si="5"/>
        <v>0</v>
      </c>
      <c r="U22" s="73">
        <f t="shared" si="6"/>
        <v>0</v>
      </c>
      <c r="V22" s="130">
        <v>704241</v>
      </c>
      <c r="W22" s="131">
        <v>102</v>
      </c>
      <c r="X22" s="131">
        <v>18194</v>
      </c>
      <c r="Y22" s="131">
        <f t="shared" si="12"/>
        <v>685945</v>
      </c>
      <c r="Z22" s="124">
        <f t="shared" si="1"/>
        <v>6</v>
      </c>
      <c r="AA22" s="122">
        <v>0</v>
      </c>
      <c r="AB22" s="123">
        <v>0</v>
      </c>
      <c r="AC22" s="124">
        <f t="shared" si="11"/>
        <v>0</v>
      </c>
      <c r="AD22" s="113">
        <v>0</v>
      </c>
      <c r="AE22" s="114">
        <v>0</v>
      </c>
    </row>
    <row r="23" spans="1:31" x14ac:dyDescent="0.2">
      <c r="A23" s="70">
        <v>46013</v>
      </c>
      <c r="B23" s="84">
        <v>19989015</v>
      </c>
      <c r="C23" s="85">
        <v>2725822</v>
      </c>
      <c r="D23" s="85">
        <f t="shared" si="2"/>
        <v>17263193</v>
      </c>
      <c r="E23" s="93">
        <f t="shared" si="0"/>
        <v>2149</v>
      </c>
      <c r="F23" s="139">
        <v>6535</v>
      </c>
      <c r="G23" s="140"/>
      <c r="H23" s="86">
        <f t="shared" si="3"/>
        <v>149</v>
      </c>
      <c r="I23" s="76">
        <v>0.5</v>
      </c>
      <c r="J23" s="77">
        <v>0.5</v>
      </c>
      <c r="K23" s="77">
        <v>0.4</v>
      </c>
      <c r="L23" s="132">
        <f t="shared" si="8"/>
        <v>3499.9999999999995</v>
      </c>
      <c r="M23" s="133"/>
      <c r="N23" s="86">
        <f t="shared" si="9"/>
        <v>0</v>
      </c>
      <c r="O23" s="76">
        <v>0.35</v>
      </c>
      <c r="P23" s="77">
        <v>0.35</v>
      </c>
      <c r="Q23" s="77">
        <v>0.35</v>
      </c>
      <c r="R23" s="132">
        <f t="shared" si="4"/>
        <v>524.99999999999989</v>
      </c>
      <c r="S23" s="133"/>
      <c r="T23" s="86">
        <f t="shared" si="5"/>
        <v>0</v>
      </c>
      <c r="U23" s="71">
        <f t="shared" si="6"/>
        <v>0</v>
      </c>
      <c r="V23" s="126">
        <v>704276</v>
      </c>
      <c r="W23" s="127">
        <v>126</v>
      </c>
      <c r="X23" s="127">
        <v>18199</v>
      </c>
      <c r="Y23" s="127">
        <f t="shared" si="12"/>
        <v>685951</v>
      </c>
      <c r="Z23" s="86">
        <f t="shared" si="1"/>
        <v>6</v>
      </c>
      <c r="AA23" s="117">
        <v>0</v>
      </c>
      <c r="AB23" s="118">
        <v>0</v>
      </c>
      <c r="AC23" s="86">
        <f t="shared" si="11"/>
        <v>0</v>
      </c>
      <c r="AD23" s="109">
        <v>0</v>
      </c>
      <c r="AE23" s="110">
        <v>0</v>
      </c>
    </row>
    <row r="24" spans="1:31" x14ac:dyDescent="0.2">
      <c r="A24" s="74">
        <v>46014</v>
      </c>
      <c r="B24" s="87">
        <v>19991164</v>
      </c>
      <c r="C24" s="88">
        <v>2725983</v>
      </c>
      <c r="D24" s="88">
        <f t="shared" si="2"/>
        <v>17265181</v>
      </c>
      <c r="E24" s="89">
        <f t="shared" si="0"/>
        <v>2149</v>
      </c>
      <c r="F24" s="141">
        <v>6386</v>
      </c>
      <c r="G24" s="142"/>
      <c r="H24" s="121">
        <f t="shared" si="3"/>
        <v>149</v>
      </c>
      <c r="I24" s="78">
        <v>0.5</v>
      </c>
      <c r="J24" s="79">
        <v>0.5</v>
      </c>
      <c r="K24" s="79">
        <v>0.4</v>
      </c>
      <c r="L24" s="134">
        <f t="shared" si="8"/>
        <v>3499.9999999999995</v>
      </c>
      <c r="M24" s="135"/>
      <c r="N24" s="121">
        <f t="shared" si="9"/>
        <v>0</v>
      </c>
      <c r="O24" s="78">
        <v>0.35</v>
      </c>
      <c r="P24" s="79">
        <v>0.35</v>
      </c>
      <c r="Q24" s="79">
        <v>0.35</v>
      </c>
      <c r="R24" s="134">
        <f t="shared" si="4"/>
        <v>524.99999999999989</v>
      </c>
      <c r="S24" s="135"/>
      <c r="T24" s="121">
        <f>SUM(R25-S24-R24)</f>
        <v>0</v>
      </c>
      <c r="U24" s="75">
        <f t="shared" si="6"/>
        <v>0</v>
      </c>
      <c r="V24" s="128">
        <v>704311</v>
      </c>
      <c r="W24" s="129">
        <v>150</v>
      </c>
      <c r="X24" s="129">
        <v>18204</v>
      </c>
      <c r="Y24" s="129">
        <f t="shared" si="12"/>
        <v>685957</v>
      </c>
      <c r="Z24" s="121">
        <f t="shared" si="1"/>
        <v>6</v>
      </c>
      <c r="AA24" s="119">
        <v>0</v>
      </c>
      <c r="AB24" s="120">
        <v>0</v>
      </c>
      <c r="AC24" s="121">
        <f t="shared" si="11"/>
        <v>0</v>
      </c>
      <c r="AD24" s="111">
        <v>0</v>
      </c>
      <c r="AE24" s="112">
        <v>0</v>
      </c>
    </row>
    <row r="25" spans="1:31" x14ac:dyDescent="0.2">
      <c r="A25" s="74">
        <v>46015</v>
      </c>
      <c r="B25" s="87">
        <v>19993313</v>
      </c>
      <c r="C25" s="88">
        <v>2726144</v>
      </c>
      <c r="D25" s="88">
        <f t="shared" si="2"/>
        <v>17267169</v>
      </c>
      <c r="E25" s="89">
        <f t="shared" si="0"/>
        <v>2149</v>
      </c>
      <c r="F25" s="141">
        <v>6237</v>
      </c>
      <c r="G25" s="142"/>
      <c r="H25" s="121">
        <f t="shared" si="3"/>
        <v>149</v>
      </c>
      <c r="I25" s="78">
        <v>0.5</v>
      </c>
      <c r="J25" s="79">
        <v>0.5</v>
      </c>
      <c r="K25" s="79">
        <v>0.4</v>
      </c>
      <c r="L25" s="134">
        <f t="shared" si="8"/>
        <v>3499.9999999999995</v>
      </c>
      <c r="M25" s="135"/>
      <c r="N25" s="121">
        <f t="shared" si="9"/>
        <v>0</v>
      </c>
      <c r="O25" s="78">
        <v>0.35</v>
      </c>
      <c r="P25" s="79">
        <v>0.35</v>
      </c>
      <c r="Q25" s="79">
        <v>0.35</v>
      </c>
      <c r="R25" s="134">
        <f t="shared" si="4"/>
        <v>524.99999999999989</v>
      </c>
      <c r="S25" s="135"/>
      <c r="T25" s="121">
        <f t="shared" si="5"/>
        <v>0</v>
      </c>
      <c r="U25" s="75">
        <f t="shared" si="6"/>
        <v>0</v>
      </c>
      <c r="V25" s="128">
        <v>704346</v>
      </c>
      <c r="W25" s="129">
        <v>174</v>
      </c>
      <c r="X25" s="129">
        <v>18209</v>
      </c>
      <c r="Y25" s="129">
        <f t="shared" si="12"/>
        <v>685963</v>
      </c>
      <c r="Z25" s="121">
        <f t="shared" si="1"/>
        <v>6</v>
      </c>
      <c r="AA25" s="119">
        <v>0</v>
      </c>
      <c r="AB25" s="120">
        <v>0</v>
      </c>
      <c r="AC25" s="121">
        <f t="shared" si="11"/>
        <v>0</v>
      </c>
      <c r="AD25" s="111">
        <v>0</v>
      </c>
      <c r="AE25" s="112">
        <v>0</v>
      </c>
    </row>
    <row r="26" spans="1:31" x14ac:dyDescent="0.2">
      <c r="A26" s="74">
        <v>46016</v>
      </c>
      <c r="B26" s="87">
        <v>19995462</v>
      </c>
      <c r="C26" s="88">
        <v>2726305</v>
      </c>
      <c r="D26" s="88">
        <f t="shared" si="2"/>
        <v>17269157</v>
      </c>
      <c r="E26" s="89">
        <f t="shared" si="0"/>
        <v>2150</v>
      </c>
      <c r="F26" s="141">
        <v>6088</v>
      </c>
      <c r="G26" s="142"/>
      <c r="H26" s="121">
        <f t="shared" si="3"/>
        <v>154</v>
      </c>
      <c r="I26" s="78">
        <v>0.5</v>
      </c>
      <c r="J26" s="79">
        <v>0.5</v>
      </c>
      <c r="K26" s="79">
        <v>0.4</v>
      </c>
      <c r="L26" s="134">
        <f t="shared" si="8"/>
        <v>3499.9999999999995</v>
      </c>
      <c r="M26" s="135"/>
      <c r="N26" s="121">
        <f t="shared" si="9"/>
        <v>0</v>
      </c>
      <c r="O26" s="78">
        <v>0.35</v>
      </c>
      <c r="P26" s="79">
        <v>0.35</v>
      </c>
      <c r="Q26" s="79">
        <v>0.35</v>
      </c>
      <c r="R26" s="134">
        <f t="shared" si="4"/>
        <v>524.99999999999989</v>
      </c>
      <c r="S26" s="135"/>
      <c r="T26" s="121">
        <f t="shared" si="5"/>
        <v>0</v>
      </c>
      <c r="U26" s="75">
        <f t="shared" si="6"/>
        <v>0</v>
      </c>
      <c r="V26" s="128">
        <v>704381</v>
      </c>
      <c r="W26" s="129">
        <v>198</v>
      </c>
      <c r="X26" s="129">
        <v>18214</v>
      </c>
      <c r="Y26" s="129">
        <f t="shared" si="12"/>
        <v>685969</v>
      </c>
      <c r="Z26" s="121">
        <f t="shared" si="1"/>
        <v>5</v>
      </c>
      <c r="AA26" s="119">
        <v>0</v>
      </c>
      <c r="AB26" s="120">
        <v>0</v>
      </c>
      <c r="AC26" s="121">
        <f t="shared" si="11"/>
        <v>0</v>
      </c>
      <c r="AD26" s="111">
        <v>0</v>
      </c>
      <c r="AE26" s="112">
        <v>0</v>
      </c>
    </row>
    <row r="27" spans="1:31" x14ac:dyDescent="0.2">
      <c r="A27" s="74">
        <v>46017</v>
      </c>
      <c r="B27" s="87">
        <v>19997612</v>
      </c>
      <c r="C27" s="88">
        <f>SUM(4231.8+1812472.9+591646+10063.1+277448+30610)</f>
        <v>2726471.8000000003</v>
      </c>
      <c r="D27" s="88">
        <f t="shared" si="2"/>
        <v>17271140.199999999</v>
      </c>
      <c r="E27" s="89">
        <f t="shared" si="0"/>
        <v>244</v>
      </c>
      <c r="F27" s="141">
        <v>5934</v>
      </c>
      <c r="G27" s="142"/>
      <c r="H27" s="121">
        <f t="shared" si="3"/>
        <v>309</v>
      </c>
      <c r="I27" s="78">
        <v>0.5</v>
      </c>
      <c r="J27" s="79">
        <v>0.5</v>
      </c>
      <c r="K27" s="79">
        <v>0.4</v>
      </c>
      <c r="L27" s="134">
        <f t="shared" si="8"/>
        <v>3499.9999999999995</v>
      </c>
      <c r="M27" s="135"/>
      <c r="N27" s="121">
        <f t="shared" si="9"/>
        <v>0</v>
      </c>
      <c r="O27" s="78">
        <v>0.35</v>
      </c>
      <c r="P27" s="79">
        <v>0.35</v>
      </c>
      <c r="Q27" s="79">
        <v>0.35</v>
      </c>
      <c r="R27" s="134">
        <f t="shared" si="4"/>
        <v>524.99999999999989</v>
      </c>
      <c r="S27" s="135"/>
      <c r="T27" s="121">
        <f t="shared" si="5"/>
        <v>0</v>
      </c>
      <c r="U27" s="75">
        <f t="shared" si="6"/>
        <v>0</v>
      </c>
      <c r="V27" s="128">
        <v>704422</v>
      </c>
      <c r="W27" s="129">
        <v>227</v>
      </c>
      <c r="X27" s="129">
        <v>18221</v>
      </c>
      <c r="Y27" s="129">
        <f t="shared" si="12"/>
        <v>685974</v>
      </c>
      <c r="Z27" s="121">
        <f t="shared" si="1"/>
        <v>186</v>
      </c>
      <c r="AA27" s="119">
        <v>0</v>
      </c>
      <c r="AB27" s="120">
        <v>0</v>
      </c>
      <c r="AC27" s="121">
        <f t="shared" si="11"/>
        <v>0</v>
      </c>
      <c r="AD27" s="111">
        <v>0</v>
      </c>
      <c r="AE27" s="112">
        <v>0</v>
      </c>
    </row>
    <row r="28" spans="1:31" x14ac:dyDescent="0.2">
      <c r="A28" s="74">
        <v>46018</v>
      </c>
      <c r="B28" s="87">
        <v>19997856</v>
      </c>
      <c r="C28" s="88">
        <v>2741818</v>
      </c>
      <c r="D28" s="88">
        <f t="shared" si="2"/>
        <v>17256038</v>
      </c>
      <c r="E28" s="89">
        <f t="shared" si="0"/>
        <v>244</v>
      </c>
      <c r="F28" s="141">
        <v>5625</v>
      </c>
      <c r="G28" s="142"/>
      <c r="H28" s="121">
        <f t="shared" si="3"/>
        <v>309</v>
      </c>
      <c r="I28" s="78">
        <v>0.5</v>
      </c>
      <c r="J28" s="79">
        <v>0.5</v>
      </c>
      <c r="K28" s="79">
        <v>0.4</v>
      </c>
      <c r="L28" s="134">
        <f t="shared" si="8"/>
        <v>3499.9999999999995</v>
      </c>
      <c r="M28" s="135"/>
      <c r="N28" s="121">
        <f t="shared" si="9"/>
        <v>0</v>
      </c>
      <c r="O28" s="78">
        <v>0.35</v>
      </c>
      <c r="P28" s="79">
        <v>0.35</v>
      </c>
      <c r="Q28" s="79">
        <v>0.35</v>
      </c>
      <c r="R28" s="134">
        <f t="shared" si="4"/>
        <v>524.99999999999989</v>
      </c>
      <c r="S28" s="135"/>
      <c r="T28" s="121">
        <f t="shared" si="5"/>
        <v>0</v>
      </c>
      <c r="U28" s="75">
        <f t="shared" si="6"/>
        <v>0</v>
      </c>
      <c r="V28" s="128">
        <v>704648</v>
      </c>
      <c r="W28" s="129">
        <v>265</v>
      </c>
      <c r="X28" s="129">
        <v>18223</v>
      </c>
      <c r="Y28" s="129">
        <f t="shared" si="12"/>
        <v>686160</v>
      </c>
      <c r="Z28" s="121">
        <f t="shared" si="1"/>
        <v>186</v>
      </c>
      <c r="AA28" s="119">
        <v>0</v>
      </c>
      <c r="AB28" s="120">
        <v>0</v>
      </c>
      <c r="AC28" s="121">
        <f t="shared" si="11"/>
        <v>0</v>
      </c>
      <c r="AD28" s="111">
        <v>0</v>
      </c>
      <c r="AE28" s="112">
        <v>0</v>
      </c>
    </row>
    <row r="29" spans="1:31" ht="13.5" thickBot="1" x14ac:dyDescent="0.25">
      <c r="A29" s="72">
        <v>46019</v>
      </c>
      <c r="B29" s="90">
        <v>19998100</v>
      </c>
      <c r="C29" s="91">
        <v>2757164</v>
      </c>
      <c r="D29" s="91">
        <f t="shared" si="2"/>
        <v>17240936</v>
      </c>
      <c r="E29" s="92">
        <f t="shared" si="0"/>
        <v>244</v>
      </c>
      <c r="F29" s="143">
        <v>5316</v>
      </c>
      <c r="G29" s="144"/>
      <c r="H29" s="124">
        <f t="shared" si="3"/>
        <v>309</v>
      </c>
      <c r="I29" s="80">
        <v>0.5</v>
      </c>
      <c r="J29" s="81">
        <v>0.5</v>
      </c>
      <c r="K29" s="81">
        <v>0.4</v>
      </c>
      <c r="L29" s="136">
        <f t="shared" si="8"/>
        <v>3499.9999999999995</v>
      </c>
      <c r="M29" s="137"/>
      <c r="N29" s="124">
        <f t="shared" si="9"/>
        <v>0</v>
      </c>
      <c r="O29" s="80">
        <v>0.35</v>
      </c>
      <c r="P29" s="81">
        <v>0.35</v>
      </c>
      <c r="Q29" s="81">
        <v>0.35</v>
      </c>
      <c r="R29" s="136">
        <f t="shared" si="4"/>
        <v>524.99999999999989</v>
      </c>
      <c r="S29" s="137"/>
      <c r="T29" s="124">
        <f t="shared" si="5"/>
        <v>0</v>
      </c>
      <c r="U29" s="73">
        <f t="shared" si="6"/>
        <v>0</v>
      </c>
      <c r="V29" s="130">
        <v>704874</v>
      </c>
      <c r="W29" s="131">
        <v>303</v>
      </c>
      <c r="X29" s="131">
        <v>18225</v>
      </c>
      <c r="Y29" s="131">
        <f t="shared" si="12"/>
        <v>686346</v>
      </c>
      <c r="Z29" s="124">
        <f t="shared" si="1"/>
        <v>186</v>
      </c>
      <c r="AA29" s="122">
        <v>0</v>
      </c>
      <c r="AB29" s="123">
        <v>0</v>
      </c>
      <c r="AC29" s="124">
        <f t="shared" si="11"/>
        <v>0</v>
      </c>
      <c r="AD29" s="113">
        <v>0</v>
      </c>
      <c r="AE29" s="114">
        <v>0</v>
      </c>
    </row>
    <row r="30" spans="1:31" x14ac:dyDescent="0.2">
      <c r="A30" s="70">
        <v>46020</v>
      </c>
      <c r="B30" s="84">
        <v>19998344</v>
      </c>
      <c r="C30" s="85">
        <v>2772510</v>
      </c>
      <c r="D30" s="85">
        <f t="shared" si="2"/>
        <v>17225834</v>
      </c>
      <c r="E30" s="93">
        <f t="shared" si="0"/>
        <v>244</v>
      </c>
      <c r="F30" s="139">
        <v>5007</v>
      </c>
      <c r="G30" s="140"/>
      <c r="H30" s="86">
        <f t="shared" si="3"/>
        <v>309</v>
      </c>
      <c r="I30" s="76">
        <v>0.5</v>
      </c>
      <c r="J30" s="77">
        <v>0.5</v>
      </c>
      <c r="K30" s="77">
        <v>0.4</v>
      </c>
      <c r="L30" s="132">
        <f t="shared" si="8"/>
        <v>3499.9999999999995</v>
      </c>
      <c r="M30" s="133"/>
      <c r="N30" s="86">
        <f t="shared" si="9"/>
        <v>0</v>
      </c>
      <c r="O30" s="76">
        <v>0.35</v>
      </c>
      <c r="P30" s="77">
        <v>0.35</v>
      </c>
      <c r="Q30" s="77">
        <v>0.35</v>
      </c>
      <c r="R30" s="132">
        <f t="shared" si="4"/>
        <v>524.99999999999989</v>
      </c>
      <c r="S30" s="133"/>
      <c r="T30" s="86">
        <f t="shared" si="5"/>
        <v>0</v>
      </c>
      <c r="U30" s="71">
        <f t="shared" si="6"/>
        <v>0</v>
      </c>
      <c r="V30" s="126">
        <v>705100</v>
      </c>
      <c r="W30" s="127">
        <v>341</v>
      </c>
      <c r="X30" s="127">
        <v>18227</v>
      </c>
      <c r="Y30" s="127">
        <f t="shared" si="12"/>
        <v>686532</v>
      </c>
      <c r="Z30" s="86">
        <f t="shared" si="1"/>
        <v>186</v>
      </c>
      <c r="AA30" s="117">
        <v>0</v>
      </c>
      <c r="AB30" s="118">
        <v>0</v>
      </c>
      <c r="AC30" s="86">
        <f t="shared" si="11"/>
        <v>0</v>
      </c>
      <c r="AD30" s="109">
        <v>0</v>
      </c>
      <c r="AE30" s="110">
        <v>0</v>
      </c>
    </row>
    <row r="31" spans="1:31" x14ac:dyDescent="0.2">
      <c r="A31" s="74">
        <v>46021</v>
      </c>
      <c r="B31" s="87">
        <v>19998588</v>
      </c>
      <c r="C31" s="88">
        <v>2787856</v>
      </c>
      <c r="D31" s="88">
        <f t="shared" si="2"/>
        <v>17210732</v>
      </c>
      <c r="E31" s="89">
        <f t="shared" si="0"/>
        <v>244</v>
      </c>
      <c r="F31" s="141">
        <v>4698</v>
      </c>
      <c r="G31" s="142"/>
      <c r="H31" s="121">
        <f t="shared" si="3"/>
        <v>306</v>
      </c>
      <c r="I31" s="78">
        <v>0.5</v>
      </c>
      <c r="J31" s="79">
        <v>0.5</v>
      </c>
      <c r="K31" s="79">
        <v>0.4</v>
      </c>
      <c r="L31" s="134">
        <f t="shared" si="8"/>
        <v>3499.9999999999995</v>
      </c>
      <c r="M31" s="135"/>
      <c r="N31" s="121">
        <f t="shared" si="9"/>
        <v>0</v>
      </c>
      <c r="O31" s="78">
        <v>0.35</v>
      </c>
      <c r="P31" s="79">
        <v>0.35</v>
      </c>
      <c r="Q31" s="79">
        <v>0.35</v>
      </c>
      <c r="R31" s="134">
        <f t="shared" si="4"/>
        <v>524.99999999999989</v>
      </c>
      <c r="S31" s="135"/>
      <c r="T31" s="121">
        <f t="shared" si="5"/>
        <v>0</v>
      </c>
      <c r="U31" s="75">
        <f t="shared" si="6"/>
        <v>0</v>
      </c>
      <c r="V31" s="128">
        <v>705326</v>
      </c>
      <c r="W31" s="129">
        <v>379</v>
      </c>
      <c r="X31" s="129">
        <v>18229</v>
      </c>
      <c r="Y31" s="129">
        <f t="shared" si="12"/>
        <v>686718</v>
      </c>
      <c r="Z31" s="121">
        <f t="shared" si="1"/>
        <v>186</v>
      </c>
      <c r="AA31" s="119">
        <v>0</v>
      </c>
      <c r="AB31" s="120">
        <v>0</v>
      </c>
      <c r="AC31" s="121">
        <f t="shared" si="11"/>
        <v>0</v>
      </c>
      <c r="AD31" s="111">
        <v>0</v>
      </c>
      <c r="AE31" s="112">
        <v>0</v>
      </c>
    </row>
    <row r="32" spans="1:31" ht="13.5" thickBot="1" x14ac:dyDescent="0.25">
      <c r="A32" s="82">
        <v>46022</v>
      </c>
      <c r="B32" s="87">
        <v>19998832</v>
      </c>
      <c r="C32" s="88">
        <v>2803202</v>
      </c>
      <c r="D32" s="88">
        <f t="shared" si="2"/>
        <v>17195630</v>
      </c>
      <c r="E32" s="94">
        <f t="shared" si="0"/>
        <v>13442</v>
      </c>
      <c r="F32" s="141">
        <v>4392</v>
      </c>
      <c r="G32" s="142"/>
      <c r="H32" s="94">
        <v>0</v>
      </c>
      <c r="I32" s="78">
        <v>0.5</v>
      </c>
      <c r="J32" s="79">
        <v>0.5</v>
      </c>
      <c r="K32" s="79">
        <v>0.4</v>
      </c>
      <c r="L32" s="134">
        <f t="shared" si="8"/>
        <v>3499.9999999999995</v>
      </c>
      <c r="M32" s="135"/>
      <c r="N32" s="138">
        <f t="shared" si="9"/>
        <v>0</v>
      </c>
      <c r="O32" s="78">
        <v>0.35</v>
      </c>
      <c r="P32" s="79">
        <v>0.35</v>
      </c>
      <c r="Q32" s="79">
        <v>0.35</v>
      </c>
      <c r="R32" s="134">
        <f t="shared" si="4"/>
        <v>524.99999999999989</v>
      </c>
      <c r="S32" s="135"/>
      <c r="T32" s="125">
        <v>0</v>
      </c>
      <c r="U32" s="69">
        <v>0</v>
      </c>
      <c r="V32" s="128">
        <v>705552</v>
      </c>
      <c r="W32" s="129">
        <v>417</v>
      </c>
      <c r="X32" s="129">
        <v>18231</v>
      </c>
      <c r="Y32" s="129">
        <f t="shared" si="12"/>
        <v>686904</v>
      </c>
      <c r="Z32" s="125">
        <v>0</v>
      </c>
      <c r="AA32" s="119">
        <v>0</v>
      </c>
      <c r="AB32" s="120">
        <v>0</v>
      </c>
      <c r="AC32" s="125">
        <f t="shared" si="11"/>
        <v>0</v>
      </c>
      <c r="AD32" s="115">
        <v>0</v>
      </c>
      <c r="AE32" s="116">
        <v>0</v>
      </c>
    </row>
    <row r="33" spans="1:31" ht="14.25" thickTop="1" thickBot="1" x14ac:dyDescent="0.25">
      <c r="A33" s="83">
        <v>46023</v>
      </c>
      <c r="B33" s="95">
        <v>20012274</v>
      </c>
      <c r="C33" s="96">
        <f>SUM(4235+1813563.1+591615+100669+277843+30625)</f>
        <v>2818550.1</v>
      </c>
      <c r="D33" s="97">
        <f t="shared" si="2"/>
        <v>17193723.899999999</v>
      </c>
      <c r="E33" s="10"/>
      <c r="F33" s="98">
        <v>4077</v>
      </c>
      <c r="G33" s="99"/>
      <c r="H33" s="10"/>
      <c r="I33" s="100">
        <v>0.5</v>
      </c>
      <c r="J33" s="101">
        <v>0.5</v>
      </c>
      <c r="K33" s="101">
        <v>0.4</v>
      </c>
      <c r="L33" s="102">
        <f t="shared" si="8"/>
        <v>3499.9999999999995</v>
      </c>
      <c r="M33" s="103"/>
      <c r="N33" s="10"/>
      <c r="O33" s="100">
        <v>0.35</v>
      </c>
      <c r="P33" s="101">
        <v>0.35</v>
      </c>
      <c r="Q33" s="101">
        <v>0.35</v>
      </c>
      <c r="R33" s="102">
        <f t="shared" si="4"/>
        <v>524.99999999999989</v>
      </c>
      <c r="S33" s="103"/>
      <c r="T33" s="19"/>
      <c r="U33" s="20"/>
      <c r="V33" s="104">
        <v>705781</v>
      </c>
      <c r="W33" s="105">
        <v>458</v>
      </c>
      <c r="X33" s="105">
        <v>18233</v>
      </c>
      <c r="Y33" s="106">
        <f t="shared" si="12"/>
        <v>687090</v>
      </c>
      <c r="Z33" s="10"/>
      <c r="AA33" s="107">
        <v>0</v>
      </c>
      <c r="AB33" s="108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76467</v>
      </c>
      <c r="F34" s="13"/>
      <c r="G34" s="13"/>
      <c r="H34" s="12">
        <f>SUM(H2:H33)</f>
        <v>6105</v>
      </c>
      <c r="I34" s="11"/>
      <c r="J34" s="11"/>
      <c r="K34" s="11"/>
      <c r="L34" s="11"/>
      <c r="M34" s="13">
        <f>SUM(M2:M33)</f>
        <v>0</v>
      </c>
      <c r="N34" s="12">
        <f>SUM(N2:N33)</f>
        <v>125.00000000000045</v>
      </c>
      <c r="O34" s="11"/>
      <c r="P34" s="11"/>
      <c r="Q34" s="11"/>
      <c r="R34" s="11"/>
      <c r="S34" s="13">
        <f>SUM(S2:S33)</f>
        <v>0</v>
      </c>
      <c r="T34" s="12">
        <f>SUM(T2:T33)</f>
        <v>75.000000000000227</v>
      </c>
      <c r="U34" s="12">
        <f>SUM(U2:U33)</f>
        <v>200.00000000000068</v>
      </c>
      <c r="V34" s="11"/>
      <c r="W34" s="11"/>
      <c r="X34" s="11"/>
      <c r="Y34" s="11"/>
      <c r="Z34" s="12">
        <f>SUM(Z2:Z33)</f>
        <v>1695</v>
      </c>
      <c r="AA34" s="11"/>
      <c r="AB34" s="11">
        <f>SUM(AB2:AB33)</f>
        <v>0</v>
      </c>
      <c r="AC34" s="12">
        <f>SUM(AC2:AC33)</f>
        <v>0</v>
      </c>
      <c r="AD34" s="15">
        <f>SUM(AD2:AD33)</f>
        <v>0</v>
      </c>
      <c r="AE34" s="16">
        <f>SUM(AE2:AE32)</f>
        <v>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10 T17 T24" formula="1"/>
    <ignoredError sqref="R32 L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2026-01-26T10:54:35Z</dcterms:modified>
  <cp:category/>
  <cp:contentStatus/>
</cp:coreProperties>
</file>