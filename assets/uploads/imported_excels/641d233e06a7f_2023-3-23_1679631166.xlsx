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17" l="1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L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H34" i="119" l="1"/>
  <c r="I31" i="117" s="1"/>
  <c r="H5" i="119"/>
  <c r="I2" i="117"/>
  <c r="F14" i="119"/>
  <c r="F16" i="119"/>
  <c r="F22" i="119"/>
  <c r="F24" i="119"/>
  <c r="D18" i="119"/>
  <c r="D26" i="119"/>
  <c r="D33" i="119"/>
  <c r="D34" i="119"/>
  <c r="F34" i="119"/>
  <c r="H33" i="119"/>
  <c r="I30" i="117" s="1"/>
  <c r="F33" i="119"/>
  <c r="H32" i="119"/>
  <c r="I29" i="117"/>
  <c r="F32" i="119"/>
  <c r="D32" i="119"/>
  <c r="H31" i="119"/>
  <c r="I28" i="117" s="1"/>
  <c r="F31" i="119"/>
  <c r="D31" i="119"/>
  <c r="H30" i="119"/>
  <c r="I27" i="117"/>
  <c r="F30" i="119"/>
  <c r="D30" i="119"/>
  <c r="H29" i="119"/>
  <c r="I26" i="117"/>
  <c r="F29" i="119"/>
  <c r="D29" i="119"/>
  <c r="H28" i="119"/>
  <c r="I25" i="117" s="1"/>
  <c r="F28" i="119"/>
  <c r="D28" i="119"/>
  <c r="H27" i="119"/>
  <c r="I24" i="117"/>
  <c r="F27" i="119"/>
  <c r="D27" i="119"/>
  <c r="H26" i="119"/>
  <c r="I23" i="117" s="1"/>
  <c r="F26" i="119"/>
  <c r="H25" i="119"/>
  <c r="I22" i="117" s="1"/>
  <c r="F25" i="119"/>
  <c r="D25" i="119"/>
  <c r="H24" i="119"/>
  <c r="I21" i="117" s="1"/>
  <c r="D24" i="119"/>
  <c r="H23" i="119"/>
  <c r="I20" i="117" s="1"/>
  <c r="F23" i="119"/>
  <c r="D23" i="119"/>
  <c r="H22" i="119"/>
  <c r="I19" i="117"/>
  <c r="D22" i="119"/>
  <c r="H21" i="119"/>
  <c r="I18" i="117" s="1"/>
  <c r="F21" i="119"/>
  <c r="D21" i="119"/>
  <c r="H20" i="119"/>
  <c r="I17" i="117" s="1"/>
  <c r="F20" i="119"/>
  <c r="D20" i="119"/>
  <c r="H19" i="119"/>
  <c r="I16" i="117" s="1"/>
  <c r="F19" i="119"/>
  <c r="D19" i="119"/>
  <c r="H18" i="119"/>
  <c r="I15" i="117" s="1"/>
  <c r="F18" i="119"/>
  <c r="H17" i="119"/>
  <c r="I14" i="117"/>
  <c r="F17" i="119"/>
  <c r="D17" i="119"/>
  <c r="H16" i="119"/>
  <c r="I13" i="117" s="1"/>
  <c r="D16" i="119"/>
  <c r="H15" i="119"/>
  <c r="I12" i="117" s="1"/>
  <c r="F15" i="119"/>
  <c r="D15" i="119"/>
  <c r="H14" i="119"/>
  <c r="I11" i="117" s="1"/>
  <c r="D14" i="119"/>
  <c r="H13" i="119"/>
  <c r="I10" i="117" s="1"/>
  <c r="F13" i="119"/>
  <c r="D13" i="119"/>
  <c r="H12" i="119"/>
  <c r="I9" i="117" s="1"/>
  <c r="F12" i="119"/>
  <c r="D12" i="119"/>
  <c r="H11" i="119"/>
  <c r="I8" i="117" s="1"/>
  <c r="F11" i="119"/>
  <c r="D11" i="119"/>
  <c r="H10" i="119"/>
  <c r="I7" i="117" s="1"/>
  <c r="F10" i="119"/>
  <c r="D10" i="119"/>
  <c r="H9" i="119"/>
  <c r="I6" i="117" s="1"/>
  <c r="F9" i="119"/>
  <c r="D9" i="119"/>
  <c r="H8" i="119"/>
  <c r="I5" i="117" s="1"/>
  <c r="F8" i="119"/>
  <c r="D8" i="119"/>
  <c r="H7" i="119"/>
  <c r="I4" i="117"/>
  <c r="F7" i="119"/>
  <c r="D7" i="119"/>
  <c r="H6" i="119"/>
  <c r="I3" i="117" s="1"/>
  <c r="F6" i="119"/>
  <c r="D6" i="119"/>
  <c r="F5" i="119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<sst xmlns="http://schemas.openxmlformats.org/spreadsheetml/2006/main" count="55" uniqueCount="25">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</sst>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G2" sqref="G2:G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9</v>
      </c>
      <c r="D2" s="7">
        <v>2021</v>
      </c>
      <c r="E2" s="9">
        <v>33683.000000001179</v>
      </c>
      <c r="F2" s="30">
        <v>0.69620000000000004</v>
      </c>
      <c r="G2" s="9">
        <v>1288</v>
      </c>
      <c r="H2" s="30">
        <v>4.3899999999999997</v>
      </c>
      <c r="I2" s="9">
        <f>'Shenzhen Daily'!H5</f>
        <v>404</v>
      </c>
      <c r="J2" s="30">
        <v>5.09</v>
      </c>
      <c r="K2" s="9">
        <f>'Shenzhen Daily'!I5</f>
        <v>214</v>
      </c>
      <c r="L2" s="9">
        <f>'Shenzhen Daily'!J5</f>
        <v>341</v>
      </c>
    </row>
    <row r="3" spans="1:12" ht="15" x14ac:dyDescent="0.25">
      <c r="A3" s="6" t="s">
        <v>22</v>
      </c>
      <c r="B3" s="7">
        <f>B2+1</f>
        <v>2</v>
      </c>
      <c r="C3" s="8">
        <v>9</v>
      </c>
      <c r="D3" s="7">
        <v>2021</v>
      </c>
      <c r="E3" s="9">
        <v>37041.999999999389</v>
      </c>
      <c r="F3" s="30">
        <v>0.69620000000000004</v>
      </c>
      <c r="G3" s="9">
        <v>1313</v>
      </c>
      <c r="H3" s="30">
        <v>4.3899999999999997</v>
      </c>
      <c r="I3" s="9">
        <f>'Shenzhen Daily'!H6</f>
        <v>442</v>
      </c>
      <c r="J3" s="30">
        <v>5.09</v>
      </c>
      <c r="K3" s="9">
        <f>'Shenzhen Daily'!I6</f>
        <v>225</v>
      </c>
      <c r="L3" s="9">
        <f>'Shenzhen Daily'!J6</f>
        <v>362</v>
      </c>
    </row>
    <row r="4" spans="1:12" ht="15" x14ac:dyDescent="0.25">
      <c r="A4" s="6" t="s">
        <v>22</v>
      </c>
      <c r="B4" s="7">
        <f t="shared" ref="B4:B31" si="0">B3+1</f>
        <v>3</v>
      </c>
      <c r="C4" s="8">
        <v>9</v>
      </c>
      <c r="D4" s="7">
        <v>2021</v>
      </c>
      <c r="E4" s="9">
        <v>37288.999999999804</v>
      </c>
      <c r="F4" s="30">
        <v>0.69620000000000004</v>
      </c>
      <c r="G4" s="9">
        <v>1409</v>
      </c>
      <c r="H4" s="30">
        <v>4.3899999999999997</v>
      </c>
      <c r="I4" s="9">
        <f>'Shenzhen Daily'!H7</f>
        <v>453</v>
      </c>
      <c r="J4" s="30">
        <v>5.09</v>
      </c>
      <c r="K4" s="9">
        <f>'Shenzhen Daily'!I7</f>
        <v>237</v>
      </c>
      <c r="L4" s="9">
        <f>'Shenzhen Daily'!J7</f>
        <v>477</v>
      </c>
    </row>
    <row r="5" spans="1:12" ht="15" x14ac:dyDescent="0.25">
      <c r="A5" s="6" t="s">
        <v>22</v>
      </c>
      <c r="B5" s="7">
        <f t="shared" si="0"/>
        <v>4</v>
      </c>
      <c r="C5" s="8">
        <v>9</v>
      </c>
      <c r="D5" s="7">
        <v>2021</v>
      </c>
      <c r="E5" s="9">
        <v>33978.000000000189</v>
      </c>
      <c r="F5" s="30">
        <v>0.69620000000000004</v>
      </c>
      <c r="G5" s="9">
        <v>1256</v>
      </c>
      <c r="H5" s="30">
        <v>4.3899999999999997</v>
      </c>
      <c r="I5" s="9">
        <f>'Shenzhen Daily'!H8</f>
        <v>457</v>
      </c>
      <c r="J5" s="30">
        <v>5.09</v>
      </c>
      <c r="K5" s="9">
        <f>'Shenzhen Daily'!I8</f>
        <v>242</v>
      </c>
      <c r="L5" s="9">
        <f>'Shenzhen Daily'!J8</f>
        <v>422</v>
      </c>
    </row>
    <row r="6" spans="1:12" ht="15" x14ac:dyDescent="0.25">
      <c r="A6" s="6" t="s">
        <v>22</v>
      </c>
      <c r="B6" s="7">
        <f t="shared" si="0"/>
        <v>5</v>
      </c>
      <c r="C6" s="8">
        <v>9</v>
      </c>
      <c r="D6" s="7">
        <v>2021</v>
      </c>
      <c r="E6" s="9">
        <v>36772.999999999498</v>
      </c>
      <c r="F6" s="30">
        <v>0.69620000000000004</v>
      </c>
      <c r="G6" s="9">
        <v>1419</v>
      </c>
      <c r="H6" s="30">
        <v>4.3899999999999997</v>
      </c>
      <c r="I6" s="9">
        <f>'Shenzhen Daily'!H9</f>
        <v>453</v>
      </c>
      <c r="J6" s="30">
        <v>5.09</v>
      </c>
      <c r="K6" s="9">
        <f>'Shenzhen Daily'!I9</f>
        <v>223</v>
      </c>
      <c r="L6" s="9">
        <f>'Shenzhen Daily'!J9</f>
        <v>446</v>
      </c>
    </row>
    <row r="7" spans="1:12" ht="15" x14ac:dyDescent="0.25">
      <c r="A7" s="6" t="s">
        <v>22</v>
      </c>
      <c r="B7" s="7">
        <f t="shared" si="0"/>
        <v>6</v>
      </c>
      <c r="C7" s="8">
        <v>9</v>
      </c>
      <c r="D7" s="7">
        <v>2021</v>
      </c>
      <c r="E7" s="9">
        <v>36537.000000000509</v>
      </c>
      <c r="F7" s="30">
        <v>0.69620000000000004</v>
      </c>
      <c r="G7" s="9">
        <v>1351</v>
      </c>
      <c r="H7" s="30">
        <v>4.3899999999999997</v>
      </c>
      <c r="I7" s="9">
        <f>'Shenzhen Daily'!H10</f>
        <v>403</v>
      </c>
      <c r="J7" s="30">
        <v>5.09</v>
      </c>
      <c r="K7" s="9">
        <f>'Shenzhen Daily'!I10</f>
        <v>241</v>
      </c>
      <c r="L7" s="9">
        <f>'Shenzhen Daily'!J10</f>
        <v>330</v>
      </c>
    </row>
    <row r="8" spans="1:12" ht="15" x14ac:dyDescent="0.25">
      <c r="A8" s="6" t="s">
        <v>22</v>
      </c>
      <c r="B8" s="7">
        <f t="shared" si="0"/>
        <v>7</v>
      </c>
      <c r="C8" s="8">
        <v>9</v>
      </c>
      <c r="D8" s="7">
        <v>2021</v>
      </c>
      <c r="E8" s="9">
        <v>36384.999999999418</v>
      </c>
      <c r="F8" s="30">
        <v>0.69620000000000004</v>
      </c>
      <c r="G8" s="9">
        <v>1299</v>
      </c>
      <c r="H8" s="30">
        <v>4.3899999999999997</v>
      </c>
      <c r="I8" s="9">
        <f>'Shenzhen Daily'!H11</f>
        <v>444</v>
      </c>
      <c r="J8" s="30">
        <v>5.09</v>
      </c>
      <c r="K8" s="9">
        <f>'Shenzhen Daily'!I11</f>
        <v>255</v>
      </c>
      <c r="L8" s="9">
        <f>'Shenzhen Daily'!J11</f>
        <v>401</v>
      </c>
    </row>
    <row r="9" spans="1:12" ht="15" x14ac:dyDescent="0.25">
      <c r="A9" s="6" t="s">
        <v>22</v>
      </c>
      <c r="B9" s="7">
        <f t="shared" si="0"/>
        <v>8</v>
      </c>
      <c r="C9" s="8">
        <v>9</v>
      </c>
      <c r="D9" s="7">
        <v>2021</v>
      </c>
      <c r="E9" s="9">
        <v>35109.00000000048</v>
      </c>
      <c r="F9" s="30">
        <v>0.69620000000000004</v>
      </c>
      <c r="G9" s="9">
        <v>1387</v>
      </c>
      <c r="H9" s="30">
        <v>4.3899999999999997</v>
      </c>
      <c r="I9" s="9">
        <f>'Shenzhen Daily'!H12</f>
        <v>429</v>
      </c>
      <c r="J9" s="30">
        <v>5.09</v>
      </c>
      <c r="K9" s="9">
        <f>'Shenzhen Daily'!I12</f>
        <v>266</v>
      </c>
      <c r="L9" s="9">
        <f>'Shenzhen Daily'!J12</f>
        <v>532</v>
      </c>
    </row>
    <row r="10" spans="1:12" ht="15" x14ac:dyDescent="0.25">
      <c r="A10" s="6" t="s">
        <v>22</v>
      </c>
      <c r="B10" s="7">
        <f t="shared" si="0"/>
        <v>9</v>
      </c>
      <c r="C10" s="8">
        <v>9</v>
      </c>
      <c r="D10" s="7">
        <v>2021</v>
      </c>
      <c r="E10" s="9">
        <v>37252.000000000568</v>
      </c>
      <c r="F10" s="30">
        <v>0.69620000000000004</v>
      </c>
      <c r="G10" s="9">
        <v>1284</v>
      </c>
      <c r="H10" s="30">
        <v>4.3899999999999997</v>
      </c>
      <c r="I10" s="9">
        <f>'Shenzhen Daily'!H13</f>
        <v>496</v>
      </c>
      <c r="J10" s="30">
        <v>5.09</v>
      </c>
      <c r="K10" s="9">
        <f>'Shenzhen Daily'!I13</f>
        <v>265</v>
      </c>
      <c r="L10" s="9">
        <f>'Shenzhen Daily'!J13</f>
        <v>436</v>
      </c>
    </row>
    <row r="11" spans="1:12" ht="15" x14ac:dyDescent="0.25">
      <c r="A11" s="6" t="s">
        <v>22</v>
      </c>
      <c r="B11" s="7">
        <f t="shared" si="0"/>
        <v>10</v>
      </c>
      <c r="C11" s="8">
        <v>9</v>
      </c>
      <c r="D11" s="7">
        <v>2021</v>
      </c>
      <c r="E11" s="9">
        <v>36730.99999999869</v>
      </c>
      <c r="F11" s="30">
        <v>0.69620000000000004</v>
      </c>
      <c r="G11" s="9">
        <v>1550</v>
      </c>
      <c r="H11" s="30">
        <v>4.3899999999999997</v>
      </c>
      <c r="I11" s="9">
        <f>'Shenzhen Daily'!H14</f>
        <v>551</v>
      </c>
      <c r="J11" s="30">
        <v>5.09</v>
      </c>
      <c r="K11" s="9">
        <f>'Shenzhen Daily'!I14</f>
        <v>260</v>
      </c>
      <c r="L11" s="9">
        <f>'Shenzhen Daily'!J14</f>
        <v>565</v>
      </c>
    </row>
    <row r="12" spans="1:12" ht="15" x14ac:dyDescent="0.25">
      <c r="A12" s="6" t="s">
        <v>22</v>
      </c>
      <c r="B12" s="7">
        <f t="shared" si="0"/>
        <v>11</v>
      </c>
      <c r="C12" s="8">
        <v>9</v>
      </c>
      <c r="D12" s="7">
        <v>2021</v>
      </c>
      <c r="E12" s="9">
        <v>37770.000000000444</v>
      </c>
      <c r="F12" s="30">
        <v>0.69620000000000004</v>
      </c>
      <c r="G12" s="9">
        <v>1438</v>
      </c>
      <c r="H12" s="30">
        <v>4.3899999999999997</v>
      </c>
      <c r="I12" s="9">
        <f>'Shenzhen Daily'!H15</f>
        <v>511</v>
      </c>
      <c r="J12" s="30">
        <v>5.09</v>
      </c>
      <c r="K12" s="9">
        <f>'Shenzhen Daily'!I15</f>
        <v>259</v>
      </c>
      <c r="L12" s="9">
        <f>'Shenzhen Daily'!J15</f>
        <v>511</v>
      </c>
    </row>
    <row r="13" spans="1:12" ht="15" x14ac:dyDescent="0.25">
      <c r="A13" s="6" t="s">
        <v>22</v>
      </c>
      <c r="B13" s="7">
        <f t="shared" si="0"/>
        <v>12</v>
      </c>
      <c r="C13" s="8">
        <v>9</v>
      </c>
      <c r="D13" s="7">
        <v>2021</v>
      </c>
      <c r="E13" s="9">
        <v>38160.000000001251</v>
      </c>
      <c r="F13" s="30">
        <v>0.69620000000000004</v>
      </c>
      <c r="G13" s="9">
        <v>1423</v>
      </c>
      <c r="H13" s="30">
        <v>4.3899999999999997</v>
      </c>
      <c r="I13" s="9">
        <f>'Shenzhen Daily'!H16</f>
        <v>502</v>
      </c>
      <c r="J13" s="30">
        <v>5.09</v>
      </c>
      <c r="K13" s="9">
        <f>'Shenzhen Daily'!I16</f>
        <v>190</v>
      </c>
      <c r="L13" s="9">
        <f>'Shenzhen Daily'!J16</f>
        <v>487</v>
      </c>
    </row>
    <row r="14" spans="1:12" ht="15" x14ac:dyDescent="0.25">
      <c r="A14" s="6" t="s">
        <v>22</v>
      </c>
      <c r="B14" s="7">
        <f t="shared" si="0"/>
        <v>13</v>
      </c>
      <c r="C14" s="8">
        <v>9</v>
      </c>
      <c r="D14" s="7">
        <v>2021</v>
      </c>
      <c r="E14" s="9">
        <v>38136.999999998996</v>
      </c>
      <c r="F14" s="30">
        <v>0.69620000000000004</v>
      </c>
      <c r="G14" s="9">
        <v>1338</v>
      </c>
      <c r="H14" s="30">
        <v>4.3899999999999997</v>
      </c>
      <c r="I14" s="9">
        <f>'Shenzhen Daily'!H17</f>
        <v>448</v>
      </c>
      <c r="J14" s="30">
        <v>5.09</v>
      </c>
      <c r="K14" s="9">
        <f>'Shenzhen Daily'!I17</f>
        <v>232</v>
      </c>
      <c r="L14" s="9">
        <f>'Shenzhen Daily'!J17</f>
        <v>313</v>
      </c>
    </row>
    <row r="15" spans="1:12" ht="15" x14ac:dyDescent="0.25">
      <c r="A15" s="6" t="s">
        <v>22</v>
      </c>
      <c r="B15" s="7">
        <f t="shared" si="0"/>
        <v>14</v>
      </c>
      <c r="C15" s="8">
        <v>9</v>
      </c>
      <c r="D15" s="7">
        <v>2021</v>
      </c>
      <c r="E15" s="9">
        <v>35518.999999999243</v>
      </c>
      <c r="F15" s="30">
        <v>0.69620000000000004</v>
      </c>
      <c r="G15" s="9">
        <v>1310</v>
      </c>
      <c r="H15" s="30">
        <v>4.3899999999999997</v>
      </c>
      <c r="I15" s="9">
        <f>'Shenzhen Daily'!H18</f>
        <v>430</v>
      </c>
      <c r="J15" s="30">
        <v>5.09</v>
      </c>
      <c r="K15" s="9">
        <f>'Shenzhen Daily'!I18</f>
        <v>254</v>
      </c>
      <c r="L15" s="9">
        <f>'Shenzhen Daily'!J18</f>
        <v>337</v>
      </c>
    </row>
    <row r="16" spans="1:12" ht="15" x14ac:dyDescent="0.25">
      <c r="A16" s="6" t="s">
        <v>22</v>
      </c>
      <c r="B16" s="7">
        <f t="shared" si="0"/>
        <v>15</v>
      </c>
      <c r="C16" s="8">
        <v>9</v>
      </c>
      <c r="D16" s="7">
        <v>2021</v>
      </c>
      <c r="E16" s="9">
        <v>39685.000000000611</v>
      </c>
      <c r="F16" s="30">
        <v>0.69620000000000004</v>
      </c>
      <c r="G16" s="9">
        <v>1389</v>
      </c>
      <c r="H16" s="30">
        <v>4.3899999999999997</v>
      </c>
      <c r="I16" s="9">
        <f>'Shenzhen Daily'!H19</f>
        <v>492</v>
      </c>
      <c r="J16" s="30">
        <v>5.09</v>
      </c>
      <c r="K16" s="9">
        <f>'Shenzhen Daily'!I19</f>
        <v>265</v>
      </c>
      <c r="L16" s="9">
        <f>'Shenzhen Daily'!J19</f>
        <v>505</v>
      </c>
    </row>
    <row r="17" spans="1:12" ht="15" x14ac:dyDescent="0.25">
      <c r="A17" s="6" t="s">
        <v>22</v>
      </c>
      <c r="B17" s="7">
        <f t="shared" si="0"/>
        <v>16</v>
      </c>
      <c r="C17" s="8">
        <v>9</v>
      </c>
      <c r="D17" s="7">
        <v>2021</v>
      </c>
      <c r="E17" s="9">
        <v>39292.000000000371</v>
      </c>
      <c r="F17" s="30">
        <v>0.69620000000000004</v>
      </c>
      <c r="G17" s="9">
        <v>1419</v>
      </c>
      <c r="H17" s="30">
        <v>4.3899999999999997</v>
      </c>
      <c r="I17" s="9">
        <f>'Shenzhen Daily'!H20</f>
        <v>520</v>
      </c>
      <c r="J17" s="30">
        <v>5.09</v>
      </c>
      <c r="K17" s="9">
        <f>'Shenzhen Daily'!I20</f>
        <v>258</v>
      </c>
      <c r="L17" s="9">
        <f>'Shenzhen Daily'!J20</f>
        <v>521</v>
      </c>
    </row>
    <row r="18" spans="1:12" ht="15" x14ac:dyDescent="0.25">
      <c r="A18" s="6" t="s">
        <v>22</v>
      </c>
      <c r="B18" s="7">
        <f t="shared" si="0"/>
        <v>17</v>
      </c>
      <c r="C18" s="8">
        <v>9</v>
      </c>
      <c r="D18" s="7">
        <v>2021</v>
      </c>
      <c r="E18" s="9">
        <v>38311.000000000095</v>
      </c>
      <c r="F18" s="30">
        <v>0.69620000000000004</v>
      </c>
      <c r="G18" s="9">
        <v>1380</v>
      </c>
      <c r="H18" s="30">
        <v>4.3899999999999997</v>
      </c>
      <c r="I18" s="9">
        <f>'Shenzhen Daily'!H21</f>
        <v>504</v>
      </c>
      <c r="J18" s="30">
        <v>5.09</v>
      </c>
      <c r="K18" s="9">
        <f>'Shenzhen Daily'!I21</f>
        <v>219</v>
      </c>
      <c r="L18" s="9">
        <f>'Shenzhen Daily'!J21</f>
        <v>577</v>
      </c>
    </row>
    <row r="19" spans="1:12" ht="15" x14ac:dyDescent="0.25">
      <c r="A19" s="6" t="s">
        <v>22</v>
      </c>
      <c r="B19" s="7">
        <f t="shared" si="0"/>
        <v>18</v>
      </c>
      <c r="C19" s="8">
        <v>9</v>
      </c>
      <c r="D19" s="7">
        <v>2021</v>
      </c>
      <c r="E19" s="9">
        <v>36385.999999999796</v>
      </c>
      <c r="F19" s="30">
        <v>0.69620000000000004</v>
      </c>
      <c r="G19" s="9">
        <v>1466</v>
      </c>
      <c r="H19" s="30">
        <v>4.3899999999999997</v>
      </c>
      <c r="I19" s="9">
        <f>'Shenzhen Daily'!H22</f>
        <v>492</v>
      </c>
      <c r="J19" s="30">
        <v>5.09</v>
      </c>
      <c r="K19" s="9">
        <f>'Shenzhen Daily'!I22</f>
        <v>177</v>
      </c>
      <c r="L19" s="9">
        <f>'Shenzhen Daily'!J22</f>
        <v>430</v>
      </c>
    </row>
    <row r="20" spans="1:12" ht="15" x14ac:dyDescent="0.25">
      <c r="A20" s="6" t="s">
        <v>22</v>
      </c>
      <c r="B20" s="7">
        <f t="shared" si="0"/>
        <v>19</v>
      </c>
      <c r="C20" s="8">
        <v>9</v>
      </c>
      <c r="D20" s="7">
        <v>2021</v>
      </c>
      <c r="E20" s="9">
        <v>35356.999999999789</v>
      </c>
      <c r="F20" s="30">
        <v>0.69620000000000004</v>
      </c>
      <c r="G20" s="9">
        <v>1425</v>
      </c>
      <c r="H20" s="30">
        <v>4.3899999999999997</v>
      </c>
      <c r="I20" s="9">
        <f>'Shenzhen Daily'!H23</f>
        <v>521</v>
      </c>
      <c r="J20" s="30">
        <v>5.09</v>
      </c>
      <c r="K20" s="9">
        <f>'Shenzhen Daily'!I23</f>
        <v>164</v>
      </c>
      <c r="L20" s="9">
        <f>'Shenzhen Daily'!J23</f>
        <v>373</v>
      </c>
    </row>
    <row r="21" spans="1:12" ht="15" x14ac:dyDescent="0.25">
      <c r="A21" s="6" t="s">
        <v>22</v>
      </c>
      <c r="B21" s="7">
        <f t="shared" si="0"/>
        <v>20</v>
      </c>
      <c r="C21" s="8">
        <v>9</v>
      </c>
      <c r="D21" s="7">
        <v>2021</v>
      </c>
      <c r="E21" s="9">
        <v>35293.000000000276</v>
      </c>
      <c r="F21" s="30">
        <v>0.69620000000000004</v>
      </c>
      <c r="G21" s="9">
        <v>1301</v>
      </c>
      <c r="H21" s="30">
        <v>4.3899999999999997</v>
      </c>
      <c r="I21" s="9">
        <f>'Shenzhen Daily'!H24</f>
        <v>459</v>
      </c>
      <c r="J21" s="30">
        <v>5.09</v>
      </c>
      <c r="K21" s="9">
        <f>'Shenzhen Daily'!I24</f>
        <v>140</v>
      </c>
      <c r="L21" s="9">
        <f>'Shenzhen Daily'!J24</f>
        <v>378</v>
      </c>
    </row>
    <row r="22" spans="1:12" ht="15" x14ac:dyDescent="0.25">
      <c r="A22" s="6" t="s">
        <v>22</v>
      </c>
      <c r="B22" s="7">
        <f t="shared" si="0"/>
        <v>21</v>
      </c>
      <c r="C22" s="8">
        <v>9</v>
      </c>
      <c r="D22" s="7">
        <v>2021</v>
      </c>
      <c r="E22" s="9">
        <v>31754.999999999585</v>
      </c>
      <c r="F22" s="30">
        <v>0.69620000000000004</v>
      </c>
      <c r="G22" s="9">
        <v>1225</v>
      </c>
      <c r="H22" s="30">
        <v>4.3899999999999997</v>
      </c>
      <c r="I22" s="9">
        <f>'Shenzhen Daily'!H25</f>
        <v>417</v>
      </c>
      <c r="J22" s="30">
        <v>5.09</v>
      </c>
      <c r="K22" s="9">
        <f>'Shenzhen Daily'!I25</f>
        <v>84</v>
      </c>
      <c r="L22" s="9">
        <f>'Shenzhen Daily'!J25</f>
        <v>368</v>
      </c>
    </row>
    <row r="23" spans="1:12" ht="15" x14ac:dyDescent="0.25">
      <c r="A23" s="6" t="s">
        <v>22</v>
      </c>
      <c r="B23" s="7">
        <f t="shared" si="0"/>
        <v>22</v>
      </c>
      <c r="C23" s="8">
        <v>9</v>
      </c>
      <c r="D23" s="7">
        <v>2021</v>
      </c>
      <c r="E23" s="9">
        <v>36200.999999999847</v>
      </c>
      <c r="F23" s="30">
        <v>0.69620000000000004</v>
      </c>
      <c r="G23" s="9">
        <v>1239</v>
      </c>
      <c r="H23" s="30">
        <v>4.3899999999999997</v>
      </c>
      <c r="I23" s="9">
        <f>'Shenzhen Daily'!H26</f>
        <v>472</v>
      </c>
      <c r="J23" s="30">
        <v>5.09</v>
      </c>
      <c r="K23" s="9">
        <f>'Shenzhen Daily'!I26</f>
        <v>180</v>
      </c>
      <c r="L23" s="9">
        <f>'Shenzhen Daily'!J26</f>
        <v>213</v>
      </c>
    </row>
    <row r="24" spans="1:12" ht="15" x14ac:dyDescent="0.25">
      <c r="A24" s="6" t="s">
        <v>22</v>
      </c>
      <c r="B24" s="7">
        <f t="shared" si="0"/>
        <v>23</v>
      </c>
      <c r="C24" s="8">
        <v>9</v>
      </c>
      <c r="D24" s="7">
        <v>2021</v>
      </c>
      <c r="E24" s="9">
        <v>35018.000000000116</v>
      </c>
      <c r="F24" s="30">
        <v>0.69620000000000004</v>
      </c>
      <c r="G24" s="9">
        <v>1394</v>
      </c>
      <c r="H24" s="30">
        <v>4.3899999999999997</v>
      </c>
      <c r="I24" s="9">
        <f>'Shenzhen Daily'!H27</f>
        <v>486</v>
      </c>
      <c r="J24" s="30">
        <v>5.09</v>
      </c>
      <c r="K24" s="9">
        <f>'Shenzhen Daily'!I27</f>
        <v>248</v>
      </c>
      <c r="L24" s="9">
        <f>'Shenzhen Daily'!J27</f>
        <v>401</v>
      </c>
    </row>
    <row r="25" spans="1:12" ht="15" x14ac:dyDescent="0.25">
      <c r="A25" s="6" t="s">
        <v>22</v>
      </c>
      <c r="B25" s="7">
        <f t="shared" si="0"/>
        <v>24</v>
      </c>
      <c r="C25" s="8">
        <v>9</v>
      </c>
      <c r="D25" s="7">
        <v>2021</v>
      </c>
      <c r="E25" s="9">
        <v>37202.000000000276</v>
      </c>
      <c r="F25" s="30">
        <v>0.69620000000000004</v>
      </c>
      <c r="G25" s="9">
        <v>1426</v>
      </c>
      <c r="H25" s="30">
        <v>4.3899999999999997</v>
      </c>
      <c r="I25" s="9">
        <f>'Shenzhen Daily'!H28</f>
        <v>471</v>
      </c>
      <c r="J25" s="30">
        <v>5.09</v>
      </c>
      <c r="K25" s="9">
        <f>'Shenzhen Daily'!I28</f>
        <v>263</v>
      </c>
      <c r="L25" s="9">
        <f>'Shenzhen Daily'!J28</f>
        <v>433</v>
      </c>
    </row>
    <row r="26" spans="1:12" ht="15" x14ac:dyDescent="0.25">
      <c r="A26" s="6" t="s">
        <v>22</v>
      </c>
      <c r="B26" s="7">
        <f>B25+1</f>
        <v>25</v>
      </c>
      <c r="C26" s="8">
        <v>9</v>
      </c>
      <c r="D26" s="7">
        <v>2021</v>
      </c>
      <c r="E26" s="9">
        <v>36552.999999999985</v>
      </c>
      <c r="F26" s="30">
        <v>0.69620000000000004</v>
      </c>
      <c r="G26" s="9">
        <v>1285</v>
      </c>
      <c r="H26" s="30">
        <v>4.3899999999999997</v>
      </c>
      <c r="I26" s="9">
        <f>'Shenzhen Daily'!H29</f>
        <v>494</v>
      </c>
      <c r="J26" s="30">
        <v>5.09</v>
      </c>
      <c r="K26" s="9">
        <f>'Shenzhen Daily'!I29</f>
        <v>250</v>
      </c>
      <c r="L26" s="9">
        <f>'Shenzhen Daily'!J29</f>
        <v>501</v>
      </c>
    </row>
    <row r="27" spans="1:12" ht="15" x14ac:dyDescent="0.25">
      <c r="A27" s="6" t="s">
        <v>22</v>
      </c>
      <c r="B27" s="7">
        <f t="shared" si="0"/>
        <v>26</v>
      </c>
      <c r="C27" s="8">
        <v>9</v>
      </c>
      <c r="D27" s="7">
        <v>2021</v>
      </c>
      <c r="E27" s="9">
        <v>37756.999999999935</v>
      </c>
      <c r="F27" s="30">
        <v>0.69620000000000004</v>
      </c>
      <c r="G27" s="9">
        <v>1427</v>
      </c>
      <c r="H27" s="30">
        <v>4.3899999999999997</v>
      </c>
      <c r="I27" s="9">
        <f>'Shenzhen Daily'!H30</f>
        <v>538</v>
      </c>
      <c r="J27" s="30">
        <v>5.09</v>
      </c>
      <c r="K27" s="9">
        <f>'Shenzhen Daily'!I30</f>
        <v>194</v>
      </c>
      <c r="L27" s="9">
        <f>'Shenzhen Daily'!J30</f>
        <v>559</v>
      </c>
    </row>
    <row r="28" spans="1:12" ht="15" x14ac:dyDescent="0.25">
      <c r="A28" s="6" t="s">
        <v>22</v>
      </c>
      <c r="B28" s="7">
        <f t="shared" si="0"/>
        <v>27</v>
      </c>
      <c r="C28" s="8">
        <v>9</v>
      </c>
      <c r="D28" s="7">
        <v>2021</v>
      </c>
      <c r="E28" s="9">
        <v>36555.000000000298</v>
      </c>
      <c r="F28" s="30">
        <v>0.69620000000000004</v>
      </c>
      <c r="G28" s="9">
        <v>1355</v>
      </c>
      <c r="H28" s="30">
        <v>4.3899999999999997</v>
      </c>
      <c r="I28" s="9">
        <f>'Shenzhen Daily'!H31</f>
        <v>506</v>
      </c>
      <c r="J28" s="30">
        <v>5.09</v>
      </c>
      <c r="K28" s="9">
        <f>'Shenzhen Daily'!I31</f>
        <v>253</v>
      </c>
      <c r="L28" s="9">
        <f>'Shenzhen Daily'!J31</f>
        <v>449</v>
      </c>
    </row>
    <row r="29" spans="1:12" ht="15" x14ac:dyDescent="0.25">
      <c r="A29" s="6" t="s">
        <v>22</v>
      </c>
      <c r="B29" s="7">
        <f t="shared" si="0"/>
        <v>28</v>
      </c>
      <c r="C29" s="8">
        <v>9</v>
      </c>
      <c r="D29" s="7">
        <v>2021</v>
      </c>
      <c r="E29" s="9">
        <v>35301.000000000015</v>
      </c>
      <c r="F29" s="30">
        <v>0.69620000000000004</v>
      </c>
      <c r="G29" s="9">
        <v>1349</v>
      </c>
      <c r="H29" s="30">
        <v>4.3899999999999997</v>
      </c>
      <c r="I29" s="9">
        <f>'Shenzhen Daily'!H32</f>
        <v>487</v>
      </c>
      <c r="J29" s="30">
        <v>5.09</v>
      </c>
      <c r="K29" s="9">
        <f>'Shenzhen Daily'!I32</f>
        <v>245</v>
      </c>
      <c r="L29" s="9">
        <f>'Shenzhen Daily'!J32</f>
        <v>443</v>
      </c>
    </row>
    <row r="30" spans="1:12" ht="15" x14ac:dyDescent="0.25">
      <c r="A30" s="6" t="s">
        <v>22</v>
      </c>
      <c r="B30" s="7">
        <f t="shared" si="0"/>
        <v>29</v>
      </c>
      <c r="C30" s="8">
        <v>9</v>
      </c>
      <c r="D30" s="7">
        <v>2021</v>
      </c>
      <c r="E30" s="9">
        <v>36383.99999999952</v>
      </c>
      <c r="F30" s="30">
        <v>0.69620000000000004</v>
      </c>
      <c r="G30" s="9">
        <v>1434</v>
      </c>
      <c r="H30" s="30">
        <v>4.3899999999999997</v>
      </c>
      <c r="I30" s="9">
        <f>'Shenzhen Daily'!H33</f>
        <v>488</v>
      </c>
      <c r="J30" s="30">
        <v>5.09</v>
      </c>
      <c r="K30" s="9">
        <f>'Shenzhen Daily'!I33</f>
        <v>226</v>
      </c>
      <c r="L30" s="9">
        <f>'Shenzhen Daily'!J33</f>
        <v>453</v>
      </c>
    </row>
    <row r="31" spans="1:12" ht="15" x14ac:dyDescent="0.25">
      <c r="A31" s="6" t="s">
        <v>22</v>
      </c>
      <c r="B31" s="7">
        <f t="shared" si="0"/>
        <v>30</v>
      </c>
      <c r="C31" s="8">
        <v>9</v>
      </c>
      <c r="D31" s="7">
        <v>2021</v>
      </c>
      <c r="E31" s="9">
        <v>38717.99999999984</v>
      </c>
      <c r="F31" s="30">
        <v>0.69620000000000004</v>
      </c>
      <c r="G31" s="9">
        <v>1370</v>
      </c>
      <c r="H31" s="30">
        <v>4.3899999999999997</v>
      </c>
      <c r="I31" s="9">
        <f>'Shenzhen Daily'!H34</f>
        <v>507</v>
      </c>
      <c r="J31" s="30">
        <v>5.09</v>
      </c>
      <c r="K31" s="9">
        <f>'Shenzhen Daily'!I34</f>
        <v>145</v>
      </c>
      <c r="L31" s="9">
        <f>'Shenzhen Daily'!J34</f>
        <v>430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zoomScale="85" zoomScaleNormal="85" workbookViewId="0">
      <pane xSplit="1" topLeftCell="B1" activePane="topRight" state="frozen"/>
      <selection pane="topRight" activeCell="M7" sqref="M7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9</v>
      </c>
      <c r="B2" s="50"/>
      <c r="C2" s="53" t="s">
        <v>19</v>
      </c>
      <c r="D2" s="54"/>
      <c r="E2" s="55" t="s">
        <v>20</v>
      </c>
      <c r="F2" s="55"/>
      <c r="G2" s="56" t="s">
        <v>10</v>
      </c>
      <c r="H2" s="57"/>
      <c r="I2" s="15"/>
      <c r="J2" s="15"/>
    </row>
    <row r="3" spans="1:10" ht="44.25" customHeight="1" x14ac:dyDescent="0.15">
      <c r="A3" s="16" t="s">
        <v>11</v>
      </c>
      <c r="B3" s="50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44439</v>
      </c>
      <c r="B4" s="51"/>
      <c r="C4" s="40">
        <v>32370.67</v>
      </c>
      <c r="D4" s="41"/>
      <c r="E4" s="40">
        <v>2819289</v>
      </c>
      <c r="F4" s="44"/>
      <c r="G4" s="40">
        <v>493889</v>
      </c>
      <c r="H4" s="46"/>
      <c r="I4" s="23">
        <v>192</v>
      </c>
      <c r="J4" s="23">
        <v>332</v>
      </c>
    </row>
    <row r="5" spans="1:10" ht="33" customHeight="1" x14ac:dyDescent="0.2">
      <c r="A5" s="24">
        <v>44440</v>
      </c>
      <c r="B5" s="51"/>
      <c r="C5" s="40">
        <v>32389.479999999996</v>
      </c>
      <c r="D5" s="42">
        <f t="shared" ref="D5:D22" si="0">IF((C5-C4&lt;0), "0",C5-C4)</f>
        <v>18.809999999997672</v>
      </c>
      <c r="E5" s="40">
        <v>2820579</v>
      </c>
      <c r="F5" s="42">
        <f>IF((E5-E4&lt;0), "0",E5-E4)</f>
        <v>1290</v>
      </c>
      <c r="G5" s="40">
        <v>494293</v>
      </c>
      <c r="H5" s="38">
        <f>IF((G5-G4&lt;0), "0",G5-G4)</f>
        <v>404</v>
      </c>
      <c r="I5" s="26">
        <v>214</v>
      </c>
      <c r="J5" s="26">
        <v>341</v>
      </c>
    </row>
    <row r="6" spans="1:10" ht="45" customHeight="1" x14ac:dyDescent="0.2">
      <c r="A6" s="24">
        <v>44441</v>
      </c>
      <c r="B6" s="51"/>
      <c r="C6" s="40">
        <v>32406.559999999994</v>
      </c>
      <c r="D6" s="42">
        <f t="shared" si="0"/>
        <v>17.079999999998108</v>
      </c>
      <c r="E6" s="40">
        <v>2821893</v>
      </c>
      <c r="F6" s="42">
        <f t="shared" ref="F6:F34" si="1">IF((E6-E5&lt;0), "0",E6-E5)</f>
        <v>1314</v>
      </c>
      <c r="G6" s="40">
        <v>494735</v>
      </c>
      <c r="H6" s="47">
        <f t="shared" ref="H6:H34" si="2">IF((G6-G5&lt;0), "0",G6-G5)</f>
        <v>442</v>
      </c>
      <c r="I6" s="12">
        <v>225</v>
      </c>
      <c r="J6" s="37">
        <v>362</v>
      </c>
    </row>
    <row r="7" spans="1:10" ht="45" customHeight="1" x14ac:dyDescent="0.2">
      <c r="A7" s="24">
        <v>44442</v>
      </c>
      <c r="B7" s="51"/>
      <c r="C7" s="40">
        <v>32421.87</v>
      </c>
      <c r="D7" s="42">
        <f t="shared" si="0"/>
        <v>15.310000000004948</v>
      </c>
      <c r="E7" s="40">
        <v>2823303</v>
      </c>
      <c r="F7" s="42">
        <f t="shared" si="1"/>
        <v>1410</v>
      </c>
      <c r="G7" s="40">
        <v>495188</v>
      </c>
      <c r="H7" s="38">
        <f t="shared" si="2"/>
        <v>453</v>
      </c>
      <c r="I7" s="12">
        <v>237</v>
      </c>
      <c r="J7" s="12">
        <v>477</v>
      </c>
    </row>
    <row r="8" spans="1:10" ht="45" customHeight="1" x14ac:dyDescent="0.2">
      <c r="A8" s="24">
        <v>44443</v>
      </c>
      <c r="B8" s="50"/>
      <c r="C8" s="31">
        <v>32437.230000000007</v>
      </c>
      <c r="D8" s="36">
        <f t="shared" si="0"/>
        <v>15.360000000007858</v>
      </c>
      <c r="E8" s="31">
        <v>2824560</v>
      </c>
      <c r="F8" s="45">
        <f t="shared" si="1"/>
        <v>1257</v>
      </c>
      <c r="G8" s="40">
        <v>495645</v>
      </c>
      <c r="H8" s="38">
        <f t="shared" si="2"/>
        <v>457</v>
      </c>
      <c r="I8" s="12">
        <v>242</v>
      </c>
      <c r="J8" s="12">
        <v>422</v>
      </c>
    </row>
    <row r="9" spans="1:10" ht="45" customHeight="1" x14ac:dyDescent="0.2">
      <c r="A9" s="24">
        <v>44444</v>
      </c>
      <c r="B9" s="50"/>
      <c r="C9" s="31">
        <v>32454.820000000003</v>
      </c>
      <c r="D9" s="25">
        <f t="shared" si="0"/>
        <v>17.589999999996508</v>
      </c>
      <c r="E9" s="31">
        <v>2825980</v>
      </c>
      <c r="F9" s="25">
        <f t="shared" si="1"/>
        <v>1420</v>
      </c>
      <c r="G9" s="31">
        <v>496098</v>
      </c>
      <c r="H9" s="25">
        <f t="shared" si="2"/>
        <v>453</v>
      </c>
      <c r="I9" s="12">
        <v>223</v>
      </c>
      <c r="J9" s="12">
        <v>446</v>
      </c>
    </row>
    <row r="10" spans="1:10" ht="45" customHeight="1" x14ac:dyDescent="0.2">
      <c r="A10" s="24">
        <v>44445</v>
      </c>
      <c r="B10" s="50"/>
      <c r="C10" s="31">
        <v>32473.999999999996</v>
      </c>
      <c r="D10" s="25">
        <f t="shared" si="0"/>
        <v>19.179999999993015</v>
      </c>
      <c r="E10" s="31">
        <v>2827332</v>
      </c>
      <c r="F10" s="25">
        <f t="shared" si="1"/>
        <v>1352</v>
      </c>
      <c r="G10" s="31">
        <v>496501</v>
      </c>
      <c r="H10" s="25">
        <f t="shared" si="2"/>
        <v>403</v>
      </c>
      <c r="I10" s="12">
        <v>241</v>
      </c>
      <c r="J10" s="12">
        <v>330</v>
      </c>
    </row>
    <row r="11" spans="1:10" ht="45" customHeight="1" x14ac:dyDescent="0.2">
      <c r="A11" s="24">
        <v>44446</v>
      </c>
      <c r="B11" s="50"/>
      <c r="C11" s="31">
        <v>32493.48</v>
      </c>
      <c r="D11" s="25">
        <f t="shared" si="0"/>
        <v>19.480000000003201</v>
      </c>
      <c r="E11" s="31">
        <v>2828633</v>
      </c>
      <c r="F11" s="25">
        <f t="shared" si="1"/>
        <v>1301</v>
      </c>
      <c r="G11" s="31">
        <v>496945</v>
      </c>
      <c r="H11" s="25">
        <f t="shared" si="2"/>
        <v>444</v>
      </c>
      <c r="I11" s="12">
        <v>255</v>
      </c>
      <c r="J11" s="12">
        <v>401</v>
      </c>
    </row>
    <row r="12" spans="1:10" ht="45" customHeight="1" x14ac:dyDescent="0.2">
      <c r="A12" s="24">
        <v>44447</v>
      </c>
      <c r="B12" s="50"/>
      <c r="C12" s="31">
        <v>32512.54</v>
      </c>
      <c r="D12" s="25">
        <f t="shared" si="0"/>
        <v>19.06000000000131</v>
      </c>
      <c r="E12" s="31">
        <v>2830021</v>
      </c>
      <c r="F12" s="25">
        <f t="shared" si="1"/>
        <v>1388</v>
      </c>
      <c r="G12" s="31">
        <v>497374</v>
      </c>
      <c r="H12" s="25">
        <f t="shared" si="2"/>
        <v>429</v>
      </c>
      <c r="I12" s="12">
        <v>266</v>
      </c>
      <c r="J12" s="12">
        <v>532</v>
      </c>
    </row>
    <row r="13" spans="1:10" ht="45" customHeight="1" x14ac:dyDescent="0.2">
      <c r="A13" s="24">
        <v>44448</v>
      </c>
      <c r="B13" s="50"/>
      <c r="C13" s="31">
        <v>32531.130000000005</v>
      </c>
      <c r="D13" s="25">
        <f t="shared" si="0"/>
        <v>18.590000000003783</v>
      </c>
      <c r="E13" s="31">
        <v>2831306</v>
      </c>
      <c r="F13" s="25">
        <f t="shared" si="1"/>
        <v>1285</v>
      </c>
      <c r="G13" s="31">
        <v>497870</v>
      </c>
      <c r="H13" s="25">
        <f t="shared" si="2"/>
        <v>496</v>
      </c>
      <c r="I13" s="12">
        <v>265</v>
      </c>
      <c r="J13" s="12">
        <v>436</v>
      </c>
    </row>
    <row r="14" spans="1:10" ht="45" customHeight="1" x14ac:dyDescent="0.2">
      <c r="A14" s="24">
        <v>44449</v>
      </c>
      <c r="B14" s="50"/>
      <c r="C14" s="31">
        <v>32550.899999999998</v>
      </c>
      <c r="D14" s="25">
        <f t="shared" si="0"/>
        <v>19.769999999993161</v>
      </c>
      <c r="E14" s="31">
        <v>2832857</v>
      </c>
      <c r="F14" s="25">
        <f t="shared" si="1"/>
        <v>1551</v>
      </c>
      <c r="G14" s="31">
        <v>498421</v>
      </c>
      <c r="H14" s="25">
        <f t="shared" si="2"/>
        <v>551</v>
      </c>
      <c r="I14" s="12">
        <v>260</v>
      </c>
      <c r="J14" s="12">
        <v>565</v>
      </c>
    </row>
    <row r="15" spans="1:10" ht="45" customHeight="1" x14ac:dyDescent="0.2">
      <c r="A15" s="24">
        <v>44450</v>
      </c>
      <c r="B15" s="50"/>
      <c r="C15" s="31">
        <v>32571.690000000002</v>
      </c>
      <c r="D15" s="25">
        <f t="shared" si="0"/>
        <v>20.790000000004511</v>
      </c>
      <c r="E15" s="31">
        <v>2834296</v>
      </c>
      <c r="F15" s="25">
        <f t="shared" si="1"/>
        <v>1439</v>
      </c>
      <c r="G15" s="31">
        <v>498932</v>
      </c>
      <c r="H15" s="25">
        <f t="shared" si="2"/>
        <v>511</v>
      </c>
      <c r="I15" s="12">
        <v>259</v>
      </c>
      <c r="J15" s="12">
        <v>511</v>
      </c>
    </row>
    <row r="16" spans="1:10" ht="45" customHeight="1" x14ac:dyDescent="0.2">
      <c r="A16" s="24">
        <v>44451</v>
      </c>
      <c r="B16" s="50"/>
      <c r="C16" s="31">
        <v>32590.409999999996</v>
      </c>
      <c r="D16" s="25">
        <f t="shared" si="0"/>
        <v>18.719999999993888</v>
      </c>
      <c r="E16" s="31">
        <v>2835720</v>
      </c>
      <c r="F16" s="25">
        <f t="shared" si="1"/>
        <v>1424</v>
      </c>
      <c r="G16" s="31">
        <v>499434</v>
      </c>
      <c r="H16" s="25">
        <f t="shared" si="2"/>
        <v>502</v>
      </c>
      <c r="I16" s="12">
        <v>190</v>
      </c>
      <c r="J16" s="12">
        <v>487</v>
      </c>
    </row>
    <row r="17" spans="1:15" ht="45" customHeight="1" x14ac:dyDescent="0.2">
      <c r="A17" s="24">
        <v>44452</v>
      </c>
      <c r="B17" s="50"/>
      <c r="C17" s="31">
        <v>32609.619999999995</v>
      </c>
      <c r="D17" s="25">
        <f t="shared" si="0"/>
        <v>19.209999999999127</v>
      </c>
      <c r="E17" s="31">
        <v>2837060</v>
      </c>
      <c r="F17" s="25">
        <f t="shared" si="1"/>
        <v>1340</v>
      </c>
      <c r="G17" s="31">
        <v>499882</v>
      </c>
      <c r="H17" s="25">
        <f t="shared" si="2"/>
        <v>448</v>
      </c>
      <c r="I17" s="12">
        <v>232</v>
      </c>
      <c r="J17" s="12">
        <v>313</v>
      </c>
    </row>
    <row r="18" spans="1:15" ht="45" customHeight="1" x14ac:dyDescent="0.2">
      <c r="A18" s="24">
        <v>44453</v>
      </c>
      <c r="B18" s="50"/>
      <c r="C18" s="31">
        <v>32628.61</v>
      </c>
      <c r="D18" s="25">
        <f t="shared" si="0"/>
        <v>18.990000000005239</v>
      </c>
      <c r="E18" s="31">
        <v>2838371</v>
      </c>
      <c r="F18" s="25">
        <f t="shared" si="1"/>
        <v>1311</v>
      </c>
      <c r="G18" s="31">
        <v>500312</v>
      </c>
      <c r="H18" s="25">
        <f t="shared" si="2"/>
        <v>430</v>
      </c>
      <c r="I18" s="12">
        <v>254</v>
      </c>
      <c r="J18" s="12">
        <v>337</v>
      </c>
    </row>
    <row r="19" spans="1:15" ht="45" customHeight="1" x14ac:dyDescent="0.2">
      <c r="A19" s="24">
        <v>44454</v>
      </c>
      <c r="B19" s="50"/>
      <c r="C19" s="31">
        <v>32648.649999999998</v>
      </c>
      <c r="D19" s="25">
        <f t="shared" si="0"/>
        <v>20.039999999997235</v>
      </c>
      <c r="E19" s="31">
        <v>2839763</v>
      </c>
      <c r="F19" s="25">
        <f t="shared" si="1"/>
        <v>1392</v>
      </c>
      <c r="G19" s="31">
        <v>500804</v>
      </c>
      <c r="H19" s="25">
        <f t="shared" si="2"/>
        <v>492</v>
      </c>
      <c r="I19" s="12">
        <v>265</v>
      </c>
      <c r="J19" s="12">
        <v>505</v>
      </c>
    </row>
    <row r="20" spans="1:15" ht="45" customHeight="1" x14ac:dyDescent="0.2">
      <c r="A20" s="24">
        <v>44455</v>
      </c>
      <c r="B20" s="50"/>
      <c r="C20" s="31">
        <v>32670.2</v>
      </c>
      <c r="D20" s="25">
        <f t="shared" si="0"/>
        <v>21.55000000000291</v>
      </c>
      <c r="E20" s="31">
        <v>2841184</v>
      </c>
      <c r="F20" s="25">
        <f t="shared" si="1"/>
        <v>1421</v>
      </c>
      <c r="G20" s="31">
        <v>501324</v>
      </c>
      <c r="H20" s="25">
        <f t="shared" si="2"/>
        <v>520</v>
      </c>
      <c r="I20" s="12">
        <v>258</v>
      </c>
      <c r="J20" s="12">
        <v>521</v>
      </c>
    </row>
    <row r="21" spans="1:15" ht="45" customHeight="1" x14ac:dyDescent="0.2">
      <c r="A21" s="24">
        <v>44456</v>
      </c>
      <c r="B21" s="50"/>
      <c r="C21" s="31">
        <v>32691.300000000003</v>
      </c>
      <c r="D21" s="25">
        <f t="shared" si="0"/>
        <v>21.100000000002183</v>
      </c>
      <c r="E21" s="31">
        <v>2842565</v>
      </c>
      <c r="F21" s="25">
        <f t="shared" si="1"/>
        <v>1381</v>
      </c>
      <c r="G21" s="31">
        <v>501828</v>
      </c>
      <c r="H21" s="25">
        <f t="shared" si="2"/>
        <v>504</v>
      </c>
      <c r="I21" s="12">
        <v>219</v>
      </c>
      <c r="J21" s="12">
        <v>577</v>
      </c>
    </row>
    <row r="22" spans="1:15" ht="45" customHeight="1" x14ac:dyDescent="0.2">
      <c r="A22" s="24">
        <v>44457</v>
      </c>
      <c r="B22" s="50"/>
      <c r="C22" s="31">
        <v>32711.4</v>
      </c>
      <c r="D22" s="25">
        <f t="shared" si="0"/>
        <v>20.099999999998545</v>
      </c>
      <c r="E22" s="31">
        <v>2844032</v>
      </c>
      <c r="F22" s="25">
        <f t="shared" si="1"/>
        <v>1467</v>
      </c>
      <c r="G22" s="31">
        <v>502320</v>
      </c>
      <c r="H22" s="25">
        <f t="shared" si="2"/>
        <v>492</v>
      </c>
      <c r="I22" s="12">
        <v>177</v>
      </c>
      <c r="J22" s="12">
        <v>430</v>
      </c>
    </row>
    <row r="23" spans="1:15" ht="45" customHeight="1" x14ac:dyDescent="0.2">
      <c r="A23" s="24">
        <v>44458</v>
      </c>
      <c r="B23" s="50"/>
      <c r="C23" s="31">
        <v>32735.01</v>
      </c>
      <c r="D23" s="25">
        <f>IF((C23-C22&lt;0), "0",C23-C22)</f>
        <v>23.609999999996944</v>
      </c>
      <c r="E23" s="31">
        <v>2845458</v>
      </c>
      <c r="F23" s="25">
        <f t="shared" si="1"/>
        <v>1426</v>
      </c>
      <c r="G23" s="31">
        <v>502841</v>
      </c>
      <c r="H23" s="25">
        <f t="shared" si="2"/>
        <v>521</v>
      </c>
      <c r="I23" s="12">
        <v>164</v>
      </c>
      <c r="J23" s="12">
        <v>373</v>
      </c>
    </row>
    <row r="24" spans="1:15" ht="45" customHeight="1" x14ac:dyDescent="0.2">
      <c r="A24" s="24">
        <v>44459</v>
      </c>
      <c r="B24" s="50"/>
      <c r="C24" s="31">
        <v>32761.010000000002</v>
      </c>
      <c r="D24" s="25">
        <f t="shared" ref="D24:D34" si="3">IF((C24-C23&lt;0), "0",C24-C23)</f>
        <v>26.000000000003638</v>
      </c>
      <c r="E24" s="31">
        <v>2846760</v>
      </c>
      <c r="F24" s="25">
        <f t="shared" si="1"/>
        <v>1302</v>
      </c>
      <c r="G24" s="31">
        <v>503300</v>
      </c>
      <c r="H24" s="25">
        <f t="shared" si="2"/>
        <v>459</v>
      </c>
      <c r="I24" s="12">
        <v>140</v>
      </c>
      <c r="J24" s="12">
        <v>378</v>
      </c>
    </row>
    <row r="25" spans="1:15" ht="45" customHeight="1" x14ac:dyDescent="0.2">
      <c r="A25" s="24">
        <v>44460</v>
      </c>
      <c r="B25" s="50"/>
      <c r="C25" s="31">
        <v>32786.420000000006</v>
      </c>
      <c r="D25" s="25">
        <f t="shared" si="3"/>
        <v>25.410000000003492</v>
      </c>
      <c r="E25" s="31">
        <v>2847987</v>
      </c>
      <c r="F25" s="25">
        <f t="shared" si="1"/>
        <v>1227</v>
      </c>
      <c r="G25" s="31">
        <v>503717</v>
      </c>
      <c r="H25" s="25">
        <f t="shared" si="2"/>
        <v>417</v>
      </c>
      <c r="I25" s="12">
        <v>84</v>
      </c>
      <c r="J25" s="12">
        <v>368</v>
      </c>
    </row>
    <row r="26" spans="1:15" ht="45" customHeight="1" x14ac:dyDescent="0.2">
      <c r="A26" s="24">
        <v>44461</v>
      </c>
      <c r="B26" s="50"/>
      <c r="C26" s="31">
        <v>32812.869999999995</v>
      </c>
      <c r="D26" s="25">
        <f t="shared" si="3"/>
        <v>26.449999999989814</v>
      </c>
      <c r="E26" s="31">
        <v>2849227</v>
      </c>
      <c r="F26" s="25">
        <f t="shared" si="1"/>
        <v>1240</v>
      </c>
      <c r="G26" s="31">
        <v>504189</v>
      </c>
      <c r="H26" s="25">
        <f t="shared" si="2"/>
        <v>472</v>
      </c>
      <c r="I26" s="12">
        <v>180</v>
      </c>
      <c r="J26" s="12">
        <v>213</v>
      </c>
    </row>
    <row r="27" spans="1:15" ht="45" customHeight="1" x14ac:dyDescent="0.2">
      <c r="A27" s="24">
        <v>44462</v>
      </c>
      <c r="B27" s="50"/>
      <c r="C27" s="31">
        <v>32841.96</v>
      </c>
      <c r="D27" s="25">
        <f t="shared" si="3"/>
        <v>29.090000000003783</v>
      </c>
      <c r="E27" s="31">
        <v>2850623</v>
      </c>
      <c r="F27" s="25">
        <f t="shared" si="1"/>
        <v>1396</v>
      </c>
      <c r="G27" s="31">
        <v>504675</v>
      </c>
      <c r="H27" s="25">
        <f t="shared" si="2"/>
        <v>486</v>
      </c>
      <c r="I27" s="12">
        <v>248</v>
      </c>
      <c r="J27" s="12">
        <v>401</v>
      </c>
    </row>
    <row r="28" spans="1:15" ht="45" customHeight="1" x14ac:dyDescent="0.2">
      <c r="A28" s="24">
        <v>44463</v>
      </c>
      <c r="B28" s="50"/>
      <c r="C28" s="31">
        <v>32868.47</v>
      </c>
      <c r="D28" s="25">
        <f t="shared" si="3"/>
        <v>26.510000000002037</v>
      </c>
      <c r="E28" s="31">
        <v>2852051</v>
      </c>
      <c r="F28" s="25">
        <f t="shared" si="1"/>
        <v>1428</v>
      </c>
      <c r="G28" s="31">
        <v>505146</v>
      </c>
      <c r="H28" s="25">
        <f t="shared" si="2"/>
        <v>471</v>
      </c>
      <c r="I28" s="12">
        <v>263</v>
      </c>
      <c r="J28" s="12">
        <v>433</v>
      </c>
    </row>
    <row r="29" spans="1:15" ht="45" customHeight="1" x14ac:dyDescent="0.2">
      <c r="A29" s="24">
        <v>44464</v>
      </c>
      <c r="B29" s="50"/>
      <c r="C29" s="31">
        <v>32895.089999999997</v>
      </c>
      <c r="D29" s="25">
        <f t="shared" si="3"/>
        <v>26.619999999995343</v>
      </c>
      <c r="E29" s="31">
        <v>2853337</v>
      </c>
      <c r="F29" s="25">
        <f t="shared" si="1"/>
        <v>1286</v>
      </c>
      <c r="G29" s="31">
        <v>505640</v>
      </c>
      <c r="H29" s="25">
        <f t="shared" si="2"/>
        <v>494</v>
      </c>
      <c r="I29" s="12">
        <v>250</v>
      </c>
      <c r="J29" s="12">
        <v>501</v>
      </c>
    </row>
    <row r="30" spans="1:15" ht="45" customHeight="1" x14ac:dyDescent="0.2">
      <c r="A30" s="24">
        <v>44465</v>
      </c>
      <c r="B30" s="50"/>
      <c r="C30" s="31">
        <v>32920.009999999995</v>
      </c>
      <c r="D30" s="25">
        <f t="shared" si="3"/>
        <v>24.919999999998254</v>
      </c>
      <c r="E30" s="31">
        <v>2854766</v>
      </c>
      <c r="F30" s="25">
        <f t="shared" si="1"/>
        <v>1429</v>
      </c>
      <c r="G30" s="31">
        <v>506178</v>
      </c>
      <c r="H30" s="25">
        <f t="shared" si="2"/>
        <v>538</v>
      </c>
      <c r="I30" s="12">
        <v>194</v>
      </c>
      <c r="J30" s="12">
        <v>559</v>
      </c>
      <c r="O30" s="34"/>
    </row>
    <row r="31" spans="1:15" ht="45" customHeight="1" x14ac:dyDescent="0.2">
      <c r="A31" s="24">
        <v>44466</v>
      </c>
      <c r="B31" s="50"/>
      <c r="C31" s="31">
        <v>32948.21</v>
      </c>
      <c r="D31" s="25">
        <f t="shared" si="3"/>
        <v>28.200000000004366</v>
      </c>
      <c r="E31" s="31">
        <v>2856122</v>
      </c>
      <c r="F31" s="25">
        <f t="shared" si="1"/>
        <v>1356</v>
      </c>
      <c r="G31" s="31">
        <v>506684</v>
      </c>
      <c r="H31" s="25">
        <f t="shared" si="2"/>
        <v>506</v>
      </c>
      <c r="I31" s="12">
        <v>253</v>
      </c>
      <c r="J31" s="12">
        <v>449</v>
      </c>
    </row>
    <row r="32" spans="1:15" ht="45" customHeight="1" x14ac:dyDescent="0.2">
      <c r="A32" s="24">
        <v>44467</v>
      </c>
      <c r="B32" s="50"/>
      <c r="C32" s="31">
        <v>32974.93</v>
      </c>
      <c r="D32" s="25">
        <f t="shared" si="3"/>
        <v>26.720000000001164</v>
      </c>
      <c r="E32" s="31">
        <v>2857473</v>
      </c>
      <c r="F32" s="25">
        <f t="shared" si="1"/>
        <v>1351</v>
      </c>
      <c r="G32" s="31">
        <v>507171</v>
      </c>
      <c r="H32" s="25">
        <f t="shared" si="2"/>
        <v>487</v>
      </c>
      <c r="I32" s="12">
        <v>245</v>
      </c>
      <c r="J32" s="12">
        <v>443</v>
      </c>
    </row>
    <row r="33" spans="1:10" ht="36" customHeight="1" x14ac:dyDescent="0.2">
      <c r="A33" s="24">
        <v>44468</v>
      </c>
      <c r="B33" s="35"/>
      <c r="C33" s="31">
        <v>33000.65</v>
      </c>
      <c r="D33" s="25">
        <f t="shared" si="3"/>
        <v>25.720000000001164</v>
      </c>
      <c r="E33" s="31">
        <v>2858908</v>
      </c>
      <c r="F33" s="25">
        <f t="shared" si="1"/>
        <v>1435</v>
      </c>
      <c r="G33" s="31">
        <v>507659</v>
      </c>
      <c r="H33" s="25">
        <f t="shared" si="2"/>
        <v>488</v>
      </c>
      <c r="I33" s="12">
        <v>226</v>
      </c>
      <c r="J33" s="12">
        <v>453</v>
      </c>
    </row>
    <row r="34" spans="1:10" ht="45.6" customHeight="1" x14ac:dyDescent="0.2">
      <c r="A34" s="24">
        <v>44469</v>
      </c>
      <c r="B34" s="48"/>
      <c r="C34" s="40">
        <v>33024.870000000003</v>
      </c>
      <c r="D34" s="49">
        <f t="shared" si="3"/>
        <v>24.220000000001164</v>
      </c>
      <c r="E34" s="31">
        <v>2860279</v>
      </c>
      <c r="F34" s="32">
        <f t="shared" si="1"/>
        <v>1371</v>
      </c>
      <c r="G34" s="31">
        <v>508166</v>
      </c>
      <c r="H34" s="25">
        <f t="shared" si="2"/>
        <v>507</v>
      </c>
      <c r="I34" s="12">
        <v>145</v>
      </c>
      <c r="J34" s="33">
        <v>430</v>
      </c>
    </row>
    <row r="35" spans="1:10" x14ac:dyDescent="0.15">
      <c r="E35" s="13">
        <v>0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2023-03-24T04:05:47Z</dcterms:modified>
</cp:coreProperties>
</file>