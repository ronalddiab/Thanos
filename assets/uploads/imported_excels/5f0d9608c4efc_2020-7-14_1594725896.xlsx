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Z16" i="7" l="1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V16" i="7"/>
  <c r="AV17" i="7"/>
  <c r="AV18" i="7"/>
  <c r="AV19" i="7"/>
  <c r="AV20" i="7"/>
  <c r="AT16" i="7"/>
  <c r="AT17" i="7"/>
  <c r="AT18" i="7"/>
  <c r="AT19" i="7"/>
  <c r="AR16" i="7"/>
  <c r="AR17" i="7"/>
  <c r="AR18" i="7"/>
  <c r="AP16" i="7"/>
  <c r="AP17" i="7"/>
  <c r="AP18" i="7"/>
  <c r="AN16" i="7"/>
  <c r="CQ15" i="7" l="1"/>
  <c r="AP15" i="7"/>
  <c r="AN15" i="7"/>
  <c r="AL15" i="7"/>
  <c r="CM4" i="7" l="1"/>
  <c r="CQ13" i="7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4" i="7"/>
  <c r="CM7" i="7" l="1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CJ27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8" i="7"/>
  <c r="AT9" i="7"/>
  <c r="AT10" i="7"/>
  <c r="AT11" i="7"/>
  <c r="AT12" i="7"/>
  <c r="AT13" i="7"/>
  <c r="AT14" i="7"/>
  <c r="AT15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<sst xmlns="http://schemas.openxmlformats.org/spreadsheetml/2006/main" count="308" uniqueCount="145">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</sst>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3579.9999999992983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24.7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3430.0000000003224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18.300000000000004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3060.0000000002938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3219.999999999608</v>
      </c>
      <c r="F14" s="11">
        <f t="shared" si="1"/>
        <v>0.58765030286592534</v>
      </c>
      <c r="G14" s="12">
        <f>(Submetering!AX14+Submetering!AY14+Submetering!AZ14+Submetering!BA14+Submetering!BB14)</f>
        <v>8749.0755000000008</v>
      </c>
      <c r="H14" s="11">
        <f t="shared" si="2"/>
        <v>0.99</v>
      </c>
      <c r="I14" s="12">
        <f>'FS Desroches Daily'!CM16</f>
        <v>28.099999999999994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 t="e">
        <f>Submetering!E15+Submetering!F15+Submetering!G15+Submetering!H15+Submetering!J15-Submetering!AV15</f>
        <v>#VALUE!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 t="e">
        <f>'FS Desroches Daily'!CM17</f>
        <v>#VALUE!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31" sqref="BE3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699.99999999992292</v>
      </c>
      <c r="F11" s="32">
        <f>'FS Desroches Daily'!F13</f>
        <v>599.99999999993395</v>
      </c>
      <c r="G11" s="31">
        <f>'FS Desroches Daily'!H13</f>
        <v>1499.9999999996128</v>
      </c>
      <c r="H11" s="32">
        <f>'FS Desroches Daily'!J13</f>
        <v>699.99999999992292</v>
      </c>
      <c r="I11" s="31">
        <f>'FS Desroches Daily'!L13</f>
        <v>1700.0000000000348</v>
      </c>
      <c r="J11" s="32">
        <f>'FS Desroches Daily'!N13</f>
        <v>399.99999999995595</v>
      </c>
      <c r="K11" s="13">
        <f>'FS Desroches Daily'!P13</f>
        <v>0</v>
      </c>
      <c r="L11" s="31">
        <f>'FS Desroches Daily'!R13</f>
        <v>3</v>
      </c>
      <c r="M11" s="31">
        <f>'FS Desroches Daily'!T13</f>
        <v>171</v>
      </c>
      <c r="N11" s="31">
        <f>'FS Desroches Daily'!V13</f>
        <v>41.299999999988358</v>
      </c>
      <c r="O11" s="31">
        <f>'FS Desroches Daily'!X13</f>
        <v>69.999999999993179</v>
      </c>
      <c r="P11" s="31">
        <f>'FS Desroches Daily'!Z13</f>
        <v>399.99999999995595</v>
      </c>
      <c r="Q11" s="31">
        <f>'FS Desroches Daily'!AB13</f>
        <v>60.000000000002274</v>
      </c>
      <c r="R11" s="31">
        <f>'FS Desroches Daily'!AD13</f>
        <v>120.00000000000455</v>
      </c>
      <c r="S11" s="31">
        <f>'FS Desroches Daily'!AF13</f>
        <v>149.99999999997726</v>
      </c>
      <c r="T11" s="31">
        <f>'FS Desroches Daily'!AH13</f>
        <v>1.5</v>
      </c>
      <c r="U11" s="35">
        <f>'FS Desroches Daily'!AJ13</f>
        <v>189.99999999999773</v>
      </c>
      <c r="V11" s="35">
        <f>'FS Desroches Daily'!AL13</f>
        <v>30.000000000001137</v>
      </c>
      <c r="W11" s="35">
        <f>'FS Desroches Daily'!AN13</f>
        <v>40.000000000020464</v>
      </c>
      <c r="X11" s="35">
        <f>'FS Desroches Daily'!AP13</f>
        <v>20.000000000010232</v>
      </c>
      <c r="Y11" s="35">
        <f>'FS Desroches Daily'!AR13</f>
        <v>30.000000000001137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40.000000000020464</v>
      </c>
      <c r="AC11" s="35">
        <f>'FS Desroches Daily'!AZ13</f>
        <v>19.99999999998181</v>
      </c>
      <c r="AD11" s="35">
        <f>'FS Desroches Daily'!BB13</f>
        <v>9.9999999999909051</v>
      </c>
      <c r="AE11" s="35">
        <f>'FS Desroches Daily'!BD13</f>
        <v>20.000000000010232</v>
      </c>
      <c r="AF11" s="31">
        <f>'FS Desroches Daily'!BF13</f>
        <v>18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10.000000000019327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0</v>
      </c>
      <c r="AN11" s="32">
        <f>'FS Desroches Daily'!BV13</f>
        <v>8</v>
      </c>
      <c r="AO11" s="32">
        <f>'FS Desroches Daily'!BX13</f>
        <v>10.000000000019327</v>
      </c>
      <c r="AP11" s="32">
        <f>'FS Desroches Daily'!BZ13</f>
        <v>12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43.099999999998545</v>
      </c>
      <c r="AU11" s="31">
        <f>'FS Desroches Daily'!CJ13</f>
        <v>200</v>
      </c>
      <c r="AV11" s="31">
        <f>'FS Desroches Daily'!CL13</f>
        <v>320.00000000005002</v>
      </c>
      <c r="AW11" s="31">
        <f>'FS Desroches Daily'!CM13</f>
        <v>24.7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600.00000000015598</v>
      </c>
      <c r="F12" s="32">
        <f>'FS Desroches Daily'!F14</f>
        <v>500.00000000016701</v>
      </c>
      <c r="G12" s="31">
        <f>'FS Desroches Daily'!H14</f>
        <v>1700.0000000000348</v>
      </c>
      <c r="H12" s="32">
        <f>'FS Desroches Daily'!J14</f>
        <v>699.99999999992292</v>
      </c>
      <c r="I12" s="31">
        <f>'FS Desroches Daily'!L14</f>
        <v>1699.9999999998129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3</v>
      </c>
      <c r="M12" s="31">
        <f>'FS Desroches Daily'!T14</f>
        <v>153.30000000004657</v>
      </c>
      <c r="N12" s="31">
        <f>'FS Desroches Daily'!V14</f>
        <v>62.700000000011642</v>
      </c>
      <c r="O12" s="31">
        <f>'FS Desroches Daily'!X14</f>
        <v>69.999999999993179</v>
      </c>
      <c r="P12" s="31">
        <f>'FS Desroches Daily'!Z14</f>
        <v>300.000000000189</v>
      </c>
      <c r="Q12" s="31">
        <f>'FS Desroches Daily'!AB14</f>
        <v>60.000000000002274</v>
      </c>
      <c r="R12" s="31">
        <f>'FS Desroches Daily'!AD14</f>
        <v>109.9999999999568</v>
      </c>
      <c r="S12" s="31">
        <f>'FS Desroches Daily'!AF14</f>
        <v>180.00000000000682</v>
      </c>
      <c r="T12" s="31">
        <f>'FS Desroches Daily'!AH14</f>
        <v>1.3999999999998636</v>
      </c>
      <c r="U12" s="35">
        <f>'FS Desroches Daily'!AJ14</f>
        <v>220.00000000002728</v>
      </c>
      <c r="V12" s="35">
        <f>'FS Desroches Daily'!AL14</f>
        <v>39.999999999992042</v>
      </c>
      <c r="W12" s="35">
        <f>'FS Desroches Daily'!AN14</f>
        <v>30.000000000001137</v>
      </c>
      <c r="X12" s="35">
        <f>'FS Desroches Daily'!AP14</f>
        <v>30.000000000001137</v>
      </c>
      <c r="Y12" s="35">
        <f>'FS Desroches Daily'!AR14</f>
        <v>20.000000000010232</v>
      </c>
      <c r="Z12" s="35">
        <f>'FS Desroches Daily'!AT14</f>
        <v>19.99999999998181</v>
      </c>
      <c r="AA12" s="35">
        <f>'FS Desroches Daily'!AT14</f>
        <v>19.99999999998181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22</v>
      </c>
      <c r="AG12" s="32">
        <f>'FS Desroches Daily'!BH14</f>
        <v>9.9999999999909051</v>
      </c>
      <c r="AH12" s="32">
        <f>'FS Desroches Daily'!BJ14</f>
        <v>10.000000000047748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9.9999999999909051</v>
      </c>
      <c r="AL12" s="32">
        <f>'FS Desroches Daily'!BR14</f>
        <v>12</v>
      </c>
      <c r="AM12" s="32">
        <f>'FS Desroches Daily'!BT14</f>
        <v>9.9999999999909051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16.900000000001455</v>
      </c>
      <c r="AU12" s="31">
        <f>'FS Desroches Daily'!CJ14</f>
        <v>203</v>
      </c>
      <c r="AV12" s="31">
        <f>'FS Desroches Daily'!CL14</f>
        <v>469.9999999999136</v>
      </c>
      <c r="AW12" s="31">
        <f>'FS Desroches Daily'!CM14</f>
        <v>18.300000000000004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499.99999999994492</v>
      </c>
      <c r="F13" s="32">
        <f>'FS Desroches Daily'!F15</f>
        <v>599.99999999993395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1500.0000000000568</v>
      </c>
      <c r="J13" s="32">
        <f>'FS Desroches Daily'!N15</f>
        <v>400.00000000017798</v>
      </c>
      <c r="K13" s="13">
        <f>'FS Desroches Daily'!P15</f>
        <v>3</v>
      </c>
      <c r="L13" s="31">
        <f>'FS Desroches Daily'!R15</f>
        <v>3</v>
      </c>
      <c r="M13" s="31">
        <f>'FS Desroches Daily'!T15</f>
        <v>90.900000000023283</v>
      </c>
      <c r="N13" s="31">
        <f>'FS Desroches Daily'!V15</f>
        <v>44.100000000034925</v>
      </c>
      <c r="O13" s="31">
        <f>'FS Desroches Daily'!X15</f>
        <v>60.000000000002274</v>
      </c>
      <c r="P13" s="31">
        <f>'FS Desroches Daily'!Z15</f>
        <v>399.99999999995595</v>
      </c>
      <c r="Q13" s="31">
        <f>'FS Desroches Daily'!AB15</f>
        <v>50.000000000011369</v>
      </c>
      <c r="R13" s="31">
        <f>'FS Desroches Daily'!AD15</f>
        <v>110.00000000001364</v>
      </c>
      <c r="S13" s="31">
        <f>'FS Desroches Daily'!AF15</f>
        <v>129.99999999999545</v>
      </c>
      <c r="T13" s="31">
        <f>'FS Desroches Daily'!AH15</f>
        <v>1.1000000000001364</v>
      </c>
      <c r="U13" s="35">
        <f>'FS Desroches Daily'!AJ15</f>
        <v>169.99999999995907</v>
      </c>
      <c r="V13" s="35">
        <f>'FS Desroches Daily'!AL15</f>
        <v>20.000000000010232</v>
      </c>
      <c r="W13" s="35">
        <f>'FS Desroches Daily'!AN15</f>
        <v>30.000000000001137</v>
      </c>
      <c r="X13" s="35">
        <f>'FS Desroches Daily'!AP15</f>
        <v>20.000000000010232</v>
      </c>
      <c r="Y13" s="35">
        <f>'FS Desroches Daily'!AR15</f>
        <v>9.9999999999909051</v>
      </c>
      <c r="Z13" s="35">
        <f>'FS Desroches Daily'!AT15</f>
        <v>20.000000000038654</v>
      </c>
      <c r="AA13" s="35">
        <f>'FS Desroches Daily'!AT15</f>
        <v>20.000000000038654</v>
      </c>
      <c r="AB13" s="35">
        <f>'FS Desroches Daily'!AV15</f>
        <v>20.000000000038654</v>
      </c>
      <c r="AC13" s="35">
        <f>'FS Desroches Daily'!AZ15</f>
        <v>10.000000000047748</v>
      </c>
      <c r="AD13" s="35">
        <f>'FS Desroches Daily'!BB15</f>
        <v>9.9999999999909051</v>
      </c>
      <c r="AE13" s="35">
        <f>'FS Desroches Daily'!BD15</f>
        <v>20.000000000010232</v>
      </c>
      <c r="AF13" s="31">
        <f>'FS Desroches Daily'!BF15</f>
        <v>18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0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13</v>
      </c>
      <c r="AM13" s="32">
        <f>'FS Desroches Daily'!BT15</f>
        <v>0</v>
      </c>
      <c r="AN13" s="32">
        <f>'FS Desroches Daily'!BV15</f>
        <v>28</v>
      </c>
      <c r="AO13" s="32">
        <f>'FS Desroches Daily'!BX15</f>
        <v>20.000000000010232</v>
      </c>
      <c r="AP13" s="32">
        <f>'FS Desroches Daily'!BZ15</f>
        <v>12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36.299999999995634</v>
      </c>
      <c r="AU13" s="31">
        <f>'FS Desroches Daily'!CJ15</f>
        <v>174</v>
      </c>
      <c r="AV13" s="31">
        <f>'FS Desroches Daily'!CL15</f>
        <v>240.00000000000909</v>
      </c>
      <c r="AW13" s="31">
        <f>'FS Desroches Daily'!CM15</f>
        <v>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599.99999999993395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599.99999999993395</v>
      </c>
      <c r="I14" s="31">
        <f>'FS Desroches Daily'!L16</f>
        <v>1600.0000000000459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3</v>
      </c>
      <c r="M14" s="31">
        <f>'FS Desroches Daily'!T16</f>
        <v>153.29999999993015</v>
      </c>
      <c r="N14" s="31">
        <f>'FS Desroches Daily'!V16</f>
        <v>70.599999999976717</v>
      </c>
      <c r="O14" s="31">
        <f>'FS Desroches Daily'!X16</f>
        <v>100.00000000002274</v>
      </c>
      <c r="P14" s="31">
        <f>'FS Desroches Daily'!Z16</f>
        <v>399.99999999995595</v>
      </c>
      <c r="Q14" s="31">
        <f>'FS Desroches Daily'!AB16</f>
        <v>40.000000000020464</v>
      </c>
      <c r="R14" s="31">
        <f>'FS Desroches Daily'!AD16</f>
        <v>90.000000000031832</v>
      </c>
      <c r="S14" s="31">
        <f>'FS Desroches Daily'!AF16</f>
        <v>139.99999999998636</v>
      </c>
      <c r="T14" s="31">
        <f>'FS Desroches Daily'!AH16</f>
        <v>1</v>
      </c>
      <c r="U14" s="35">
        <f>'FS Desroches Daily'!AJ16</f>
        <v>180.00000000000682</v>
      </c>
      <c r="V14" s="35">
        <f>'FS Desroches Daily'!AL16</f>
        <v>3.9999999999992042E-2</v>
      </c>
      <c r="W14" s="35">
        <f>'FS Desroches Daily'!AN16</f>
        <v>39.999999999992042</v>
      </c>
      <c r="X14" s="35">
        <f>'FS Desroches Daily'!AP16</f>
        <v>30.000000000001137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9.9999999999909051</v>
      </c>
      <c r="AE14" s="35">
        <f>'FS Desroches Daily'!BD16</f>
        <v>9.9999999999909051</v>
      </c>
      <c r="AF14" s="31">
        <f>'FS Desroches Daily'!BF16</f>
        <v>25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10.000000000019327</v>
      </c>
      <c r="AN14" s="32">
        <f>'FS Desroches Daily'!BV16</f>
        <v>23</v>
      </c>
      <c r="AO14" s="32">
        <f>'FS Desroches Daily'!BX16</f>
        <v>9.9999999999909051</v>
      </c>
      <c r="AP14" s="32">
        <f>'FS Desroches Daily'!BZ16</f>
        <v>11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24.700000000004366</v>
      </c>
      <c r="AU14" s="31">
        <f>'FS Desroches Daily'!CJ16</f>
        <v>185</v>
      </c>
      <c r="AV14" s="31">
        <f>'FS Desroches Daily'!CL16</f>
        <v>379.99999999999545</v>
      </c>
      <c r="AW14" s="31">
        <f>'FS Desroches Daily'!CM16</f>
        <v>28.099999999999994</v>
      </c>
      <c r="AX14" s="31">
        <f>IF(LPG!F21-LPG!G21&lt;0,"0",(LPG!F21-LPG!G21)*1.8315)</f>
        <v>8745.4125000000004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 t="str">
        <f>'FS Desroches Daily'!D17</f>
        <v>0</v>
      </c>
      <c r="F15" s="32" t="str">
        <f>'FS Desroches Daily'!F17</f>
        <v>0</v>
      </c>
      <c r="G15" s="31" t="str">
        <f>'FS Desroches Daily'!H17</f>
        <v>0</v>
      </c>
      <c r="H15" s="32" t="str">
        <f>'FS Desroches Daily'!J17</f>
        <v>0</v>
      </c>
      <c r="I15" s="31" t="str">
        <f>'FS Desroches Daily'!L17</f>
        <v>0</v>
      </c>
      <c r="J15" s="32" t="str">
        <f>'FS Desroches Daily'!N17</f>
        <v/>
      </c>
      <c r="K15" s="13" t="str">
        <f>'FS Desroches Daily'!P17</f>
        <v/>
      </c>
      <c r="L15" s="31" t="str">
        <f>'FS Desroches Daily'!R17</f>
        <v/>
      </c>
      <c r="M15" s="31" t="str">
        <f>'FS Desroches Daily'!T17</f>
        <v/>
      </c>
      <c r="N15" s="31" t="str">
        <f>'FS Desroches Daily'!V17</f>
        <v/>
      </c>
      <c r="O15" s="31" t="str">
        <f>'FS Desroches Daily'!X17</f>
        <v/>
      </c>
      <c r="P15" s="31" t="str">
        <f>'FS Desroches Daily'!Z17</f>
        <v/>
      </c>
      <c r="Q15" s="31" t="str">
        <f>'FS Desroches Daily'!AB17</f>
        <v/>
      </c>
      <c r="R15" s="31" t="str">
        <f>'FS Desroches Daily'!AD17</f>
        <v/>
      </c>
      <c r="S15" s="31" t="str">
        <f>'FS Desroches Daily'!AF17</f>
        <v/>
      </c>
      <c r="T15" s="31" t="str">
        <f>'FS Desroches Daily'!AH17</f>
        <v/>
      </c>
      <c r="U15" s="35" t="str">
        <f>'FS Desroches Daily'!AJ17</f>
        <v/>
      </c>
      <c r="V15" s="35" t="str">
        <f>'FS Desroches Daily'!AL17</f>
        <v/>
      </c>
      <c r="W15" s="35" t="str">
        <f>'FS Desroches Daily'!AN17</f>
        <v/>
      </c>
      <c r="X15" s="35" t="str">
        <f>'FS Desroches Daily'!AP17</f>
        <v/>
      </c>
      <c r="Y15" s="35" t="str">
        <f>'FS Desroches Daily'!AR17</f>
        <v/>
      </c>
      <c r="Z15" s="35" t="str">
        <f>'FS Desroches Daily'!AT17</f>
        <v/>
      </c>
      <c r="AA15" s="35" t="str">
        <f>'FS Desroches Daily'!AT17</f>
        <v/>
      </c>
      <c r="AB15" s="35" t="str">
        <f>'FS Desroches Daily'!AV17</f>
        <v/>
      </c>
      <c r="AC15" s="35" t="str">
        <f>'FS Desroches Daily'!AZ17</f>
        <v/>
      </c>
      <c r="AD15" s="35" t="str">
        <f>'FS Desroches Daily'!BB17</f>
        <v/>
      </c>
      <c r="AE15" s="35" t="str">
        <f>'FS Desroches Daily'!BD17</f>
        <v/>
      </c>
      <c r="AF15" s="31" t="str">
        <f>'FS Desroches Daily'!BF17</f>
        <v/>
      </c>
      <c r="AG15" s="32" t="str">
        <f>'FS Desroches Daily'!BH17</f>
        <v/>
      </c>
      <c r="AH15" s="32" t="str">
        <f>'FS Desroches Daily'!BJ17</f>
        <v/>
      </c>
      <c r="AI15" s="32" t="str">
        <f>'FS Desroches Daily'!BL17</f>
        <v/>
      </c>
      <c r="AJ15" s="32" t="str">
        <f>'FS Desroches Daily'!BN17</f>
        <v/>
      </c>
      <c r="AK15" s="32" t="str">
        <f>'FS Desroches Daily'!BP17</f>
        <v/>
      </c>
      <c r="AL15" s="32" t="str">
        <f>'FS Desroches Daily'!BR17</f>
        <v/>
      </c>
      <c r="AM15" s="32" t="str">
        <f>'FS Desroches Daily'!BT17</f>
        <v/>
      </c>
      <c r="AN15" s="32" t="str">
        <f>'FS Desroches Daily'!BV17</f>
        <v/>
      </c>
      <c r="AO15" s="32" t="str">
        <f>'FS Desroches Daily'!BX17</f>
        <v/>
      </c>
      <c r="AP15" s="32" t="str">
        <f>'FS Desroches Daily'!BZ17</f>
        <v/>
      </c>
      <c r="AQ15" s="31" t="str">
        <f>'FS Desroches Daily'!CB17</f>
        <v/>
      </c>
      <c r="AR15" s="31" t="str">
        <f>'FS Desroches Daily'!CD17</f>
        <v/>
      </c>
      <c r="AS15" s="31" t="str">
        <f>'FS Desroches Daily'!CF17</f>
        <v/>
      </c>
      <c r="AT15" s="31" t="str">
        <f>'FS Desroches Daily'!CH17</f>
        <v/>
      </c>
      <c r="AU15" s="31" t="str">
        <f>'FS Desroches Daily'!CJ17</f>
        <v/>
      </c>
      <c r="AV15" s="31" t="str">
        <f>'FS Desroches Daily'!CL17</f>
        <v/>
      </c>
      <c r="AW15" s="31" t="e">
        <f>'FS Desroches Daily'!CM17</f>
        <v>#VALUE!</v>
      </c>
      <c r="AX15" s="31" t="str">
        <f>IF(LPG!F22-LPG!F21&lt;0,"0",(LPG!F22-LPG!F21)*1.8315)</f>
        <v>0</v>
      </c>
      <c r="AY15" s="31" t="str">
        <f>IF(LPG!H22-LPG!H21&lt;0,"0",(LPG!H22-LPG!H21)*1.8315)</f>
        <v>0</v>
      </c>
      <c r="AZ15" s="31" t="str">
        <f>IF(LPG!J22-LPG!J21&lt;0,"0",(LPG!J22-LPG!J21)*1.8315)</f>
        <v>0</v>
      </c>
      <c r="BA15" s="31" t="str">
        <f>IF(LPG!M22-LPG!M21&lt;0,"0",(LPG!M22-LPG!M21)*1.8315)</f>
        <v>0</v>
      </c>
      <c r="BB15" s="31" t="str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11900.000000000025</v>
      </c>
      <c r="F33" s="17">
        <f t="shared" ref="F33:BC33" si="1">SUM(F2:F32)</f>
        <v>7299.9999999998618</v>
      </c>
      <c r="G33" s="17">
        <f t="shared" si="1"/>
        <v>19999.999999999574</v>
      </c>
      <c r="H33" s="17">
        <f t="shared" si="1"/>
        <v>10199.999999999987</v>
      </c>
      <c r="I33" s="17">
        <f t="shared" si="1"/>
        <v>21600.000000000069</v>
      </c>
      <c r="J33" s="17">
        <f t="shared" si="1"/>
        <v>5400.0000000000728</v>
      </c>
      <c r="K33" s="17">
        <f t="shared" si="1"/>
        <v>9</v>
      </c>
      <c r="L33" s="17">
        <f t="shared" si="1"/>
        <v>38</v>
      </c>
      <c r="M33" s="17">
        <f t="shared" si="1"/>
        <v>2468.5999999999767</v>
      </c>
      <c r="N33" s="17">
        <f t="shared" si="1"/>
        <v>1058.7999999999884</v>
      </c>
      <c r="O33" s="17">
        <f t="shared" si="1"/>
        <v>970.00000000002728</v>
      </c>
      <c r="P33" s="17">
        <f t="shared" si="1"/>
        <v>4899.9999999996826</v>
      </c>
      <c r="Q33" s="17">
        <f t="shared" si="1"/>
        <v>730.00000000001819</v>
      </c>
      <c r="R33" s="17">
        <f t="shared" si="1"/>
        <v>1330.0000000000409</v>
      </c>
      <c r="S33" s="17">
        <f t="shared" si="1"/>
        <v>2019.9999999999818</v>
      </c>
      <c r="T33" s="17">
        <f t="shared" si="1"/>
        <v>15.799999999999955</v>
      </c>
      <c r="U33" s="35">
        <f t="shared" si="1"/>
        <v>6719.9999999999709</v>
      </c>
      <c r="V33" s="35">
        <f t="shared" si="1"/>
        <v>390.04000000001474</v>
      </c>
      <c r="W33" s="35">
        <f t="shared" si="1"/>
        <v>430.00000000000682</v>
      </c>
      <c r="X33" s="35">
        <f t="shared" si="1"/>
        <v>350.00000000002274</v>
      </c>
      <c r="Y33" s="35">
        <f t="shared" si="1"/>
        <v>280.00000000000114</v>
      </c>
      <c r="Z33" s="35">
        <f t="shared" si="1"/>
        <v>250</v>
      </c>
      <c r="AA33" s="35">
        <f t="shared" si="1"/>
        <v>250</v>
      </c>
      <c r="AB33" s="35">
        <f t="shared" si="1"/>
        <v>250</v>
      </c>
      <c r="AC33" s="35">
        <f t="shared" si="1"/>
        <v>240.00000000000909</v>
      </c>
      <c r="AD33" s="35">
        <f t="shared" si="1"/>
        <v>180.00000000000682</v>
      </c>
      <c r="AE33" s="35">
        <f t="shared" si="1"/>
        <v>229.99999999998977</v>
      </c>
      <c r="AF33" s="17">
        <f t="shared" si="1"/>
        <v>267</v>
      </c>
      <c r="AG33" s="32">
        <f t="shared" si="1"/>
        <v>180.00000000000682</v>
      </c>
      <c r="AH33" s="32">
        <f t="shared" si="1"/>
        <v>269.99999999998181</v>
      </c>
      <c r="AI33" s="32">
        <f t="shared" si="1"/>
        <v>110.00000000001364</v>
      </c>
      <c r="AJ33" s="32">
        <f t="shared" si="1"/>
        <v>329.99999999998408</v>
      </c>
      <c r="AK33" s="32">
        <f t="shared" si="1"/>
        <v>340.00000000003183</v>
      </c>
      <c r="AL33" s="32">
        <f t="shared" si="1"/>
        <v>170</v>
      </c>
      <c r="AM33" s="32">
        <f t="shared" si="1"/>
        <v>90.000000000003411</v>
      </c>
      <c r="AN33" s="32">
        <f t="shared" si="1"/>
        <v>150</v>
      </c>
      <c r="AO33" s="32">
        <f t="shared" si="1"/>
        <v>210.00000000000796</v>
      </c>
      <c r="AP33" s="32">
        <f t="shared" si="1"/>
        <v>132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532.90000000000146</v>
      </c>
      <c r="AU33" s="17">
        <f t="shared" si="1"/>
        <v>2585</v>
      </c>
      <c r="AV33" s="17">
        <f t="shared" si="1"/>
        <v>4809.9999999999454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71.428499999999985</v>
      </c>
      <c r="BC33" s="17">
        <f t="shared" si="1"/>
        <v>0</v>
      </c>
    </row>
    <row r="35" spans="5:55" x14ac:dyDescent="0.25">
      <c r="E35" s="38">
        <f>E33/E37</f>
        <v>0.25904479951238951</v>
      </c>
      <c r="G35" s="29">
        <f>G33-M36</f>
        <v>16472.599999999609</v>
      </c>
      <c r="AE35" s="35">
        <f>SUM(U33:AE33)</f>
        <v>9570.0400000000209</v>
      </c>
      <c r="AG35" s="32">
        <f>SUM(AG33:AP33)</f>
        <v>1982.0000000000296</v>
      </c>
    </row>
    <row r="36" spans="5:55" x14ac:dyDescent="0.25">
      <c r="G36" s="29">
        <f>G35-633*14</f>
        <v>7610.5999999996093</v>
      </c>
      <c r="M36" s="29">
        <f>M33+N33</f>
        <v>3527.3999999999651</v>
      </c>
    </row>
    <row r="37" spans="5:55" x14ac:dyDescent="0.25">
      <c r="E37" s="17">
        <f>E33+F33+G33+H33+J33-633*14</f>
        <v>45937.99999999952</v>
      </c>
      <c r="G37" s="37">
        <f>M36/E37</f>
        <v>7.6786103008402676E-2</v>
      </c>
      <c r="M37" s="35">
        <f>AE35</f>
        <v>9570.0400000000209</v>
      </c>
    </row>
    <row r="38" spans="5:55" x14ac:dyDescent="0.25">
      <c r="L38" s="27">
        <f>M38/E37</f>
        <v>4.3145108624669123E-2</v>
      </c>
      <c r="M38" s="29">
        <f>AG35</f>
        <v>1982.0000000000296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60" zoomScaleNormal="60" workbookViewId="0">
      <pane ySplit="1" topLeftCell="A2" activePane="bottomLeft" state="frozen"/>
      <selection pane="bottomLeft" activeCell="AB24" sqref="AB2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82" t="s">
        <v>119</v>
      </c>
      <c r="X1" s="83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0" t="s">
        <v>138</v>
      </c>
      <c r="CQ1" s="81"/>
      <c r="CR1" s="79" t="s">
        <v>139</v>
      </c>
      <c r="CS1" s="79"/>
      <c r="CT1" s="80" t="s">
        <v>142</v>
      </c>
      <c r="CU1" s="81"/>
      <c r="CV1" s="79" t="s">
        <v>143</v>
      </c>
      <c r="CW1" s="79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0</v>
      </c>
      <c r="CO4" s="62">
        <v>0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0</v>
      </c>
      <c r="CO5" s="62">
        <v>0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0</v>
      </c>
      <c r="CO6" s="62">
        <v>0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0</v>
      </c>
      <c r="CO7" s="62">
        <v>0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0</v>
      </c>
      <c r="CO8" s="62">
        <v>0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0</v>
      </c>
      <c r="CO9" s="62">
        <v>0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0</v>
      </c>
      <c r="CO10" s="62">
        <v>0</v>
      </c>
      <c r="CP10" s="68">
        <v>34428.199999999997</v>
      </c>
      <c r="CQ10" s="67">
        <f>IF((CP10-CP9&lt;0), "",CP10-CP9)</f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151.19999999999999</v>
      </c>
      <c r="AN11" s="65">
        <f t="shared" si="15"/>
        <v>30.000000000001137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>
        <v>8</v>
      </c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>
        <v>1.74</v>
      </c>
      <c r="D12" s="64">
        <f t="shared" si="0"/>
        <v>599.99999999993395</v>
      </c>
      <c r="E12" s="58">
        <v>2.7326999999999999</v>
      </c>
      <c r="F12" s="64">
        <f t="shared" si="1"/>
        <v>499.99999999972289</v>
      </c>
      <c r="G12" s="58">
        <v>2.6131000000000002</v>
      </c>
      <c r="H12" s="64">
        <f t="shared" si="2"/>
        <v>1500.0000000000568</v>
      </c>
      <c r="I12" s="58">
        <v>1.2657</v>
      </c>
      <c r="J12" s="64">
        <f t="shared" si="3"/>
        <v>800.00000000013392</v>
      </c>
      <c r="K12" s="58">
        <v>1.9711000000000001</v>
      </c>
      <c r="L12" s="64">
        <f t="shared" si="4"/>
        <v>1600.0000000000459</v>
      </c>
      <c r="M12" s="58">
        <v>1.2178</v>
      </c>
      <c r="N12" s="64">
        <f t="shared" si="5"/>
        <v>499.99999999994492</v>
      </c>
      <c r="O12" s="58">
        <v>12602</v>
      </c>
      <c r="P12" s="67">
        <f t="shared" si="44"/>
        <v>1</v>
      </c>
      <c r="Q12" s="58">
        <v>5563</v>
      </c>
      <c r="R12" s="67">
        <f t="shared" si="6"/>
        <v>3</v>
      </c>
      <c r="S12" s="58">
        <v>838119.1</v>
      </c>
      <c r="T12" s="67">
        <f t="shared" si="7"/>
        <v>235.69999999995343</v>
      </c>
      <c r="U12" s="58">
        <v>341674.3</v>
      </c>
      <c r="V12" s="67">
        <f t="shared" si="8"/>
        <v>118.20000000001164</v>
      </c>
      <c r="W12" s="58">
        <v>335.18</v>
      </c>
      <c r="X12" s="65">
        <f t="shared" si="9"/>
        <v>69.999999999993179</v>
      </c>
      <c r="Y12" s="58">
        <v>2.4066999999999998</v>
      </c>
      <c r="Z12" s="65">
        <f t="shared" si="10"/>
        <v>399.99999999995595</v>
      </c>
      <c r="AA12" s="58">
        <v>329.28</v>
      </c>
      <c r="AB12" s="65">
        <f t="shared" si="11"/>
        <v>59.99999999994543</v>
      </c>
      <c r="AC12" s="58">
        <v>312.42</v>
      </c>
      <c r="AD12" s="65">
        <f t="shared" si="12"/>
        <v>110.00000000001364</v>
      </c>
      <c r="AE12" s="58">
        <v>488.93</v>
      </c>
      <c r="AF12" s="65">
        <f t="shared" si="13"/>
        <v>170.00000000001592</v>
      </c>
      <c r="AG12" s="58">
        <v>1280.2</v>
      </c>
      <c r="AH12" s="67">
        <f t="shared" si="14"/>
        <v>1</v>
      </c>
      <c r="AI12" s="58">
        <v>431</v>
      </c>
      <c r="AJ12" s="65">
        <f t="shared" si="15"/>
        <v>209.99999999997954</v>
      </c>
      <c r="AK12" s="58">
        <v>151.69</v>
      </c>
      <c r="AL12" s="65">
        <f t="shared" si="15"/>
        <v>30.000000000001137</v>
      </c>
      <c r="AM12" s="58">
        <v>151.22999999999999</v>
      </c>
      <c r="AN12" s="65">
        <f t="shared" si="15"/>
        <v>30.000000000001137</v>
      </c>
      <c r="AO12" s="58">
        <v>147.63999999999999</v>
      </c>
      <c r="AP12" s="65">
        <f t="shared" si="15"/>
        <v>29.999999999972715</v>
      </c>
      <c r="AQ12" s="58">
        <v>218.72</v>
      </c>
      <c r="AR12" s="65">
        <f t="shared" si="16"/>
        <v>20.000000000010232</v>
      </c>
      <c r="AS12" s="58">
        <v>345.03</v>
      </c>
      <c r="AT12" s="65">
        <f t="shared" si="17"/>
        <v>9.9999999999909051</v>
      </c>
      <c r="AU12" s="58">
        <v>266.14999999999998</v>
      </c>
      <c r="AV12" s="65">
        <f t="shared" si="18"/>
        <v>19.99999999998181</v>
      </c>
      <c r="AW12" s="58">
        <v>293.69</v>
      </c>
      <c r="AX12" s="65">
        <f t="shared" si="19"/>
        <v>9.9999999999909051</v>
      </c>
      <c r="AY12" s="58">
        <v>344.99</v>
      </c>
      <c r="AZ12" s="65">
        <f t="shared" si="20"/>
        <v>19.99999999998181</v>
      </c>
      <c r="BA12" s="58">
        <v>364.77</v>
      </c>
      <c r="BB12" s="65">
        <f t="shared" si="21"/>
        <v>19.99999999998181</v>
      </c>
      <c r="BC12" s="58">
        <v>231.44</v>
      </c>
      <c r="BD12" s="65">
        <f t="shared" si="22"/>
        <v>9.9999999999909051</v>
      </c>
      <c r="BE12" s="59">
        <v>29785</v>
      </c>
      <c r="BF12" s="67">
        <f t="shared" si="39"/>
        <v>21</v>
      </c>
      <c r="BG12" s="60">
        <v>225.26</v>
      </c>
      <c r="BH12" s="65">
        <f t="shared" si="23"/>
        <v>19.99999999998181</v>
      </c>
      <c r="BI12" s="60">
        <v>283.14</v>
      </c>
      <c r="BJ12" s="65">
        <f t="shared" si="40"/>
        <v>19.99999999998181</v>
      </c>
      <c r="BK12" s="60">
        <v>230.73</v>
      </c>
      <c r="BL12" s="65">
        <f t="shared" si="24"/>
        <v>9.9999999999909051</v>
      </c>
      <c r="BM12" s="60">
        <v>214.18</v>
      </c>
      <c r="BN12" s="65">
        <f t="shared" si="25"/>
        <v>30.000000000001137</v>
      </c>
      <c r="BO12" s="60">
        <v>279.04000000000002</v>
      </c>
      <c r="BP12" s="65">
        <f t="shared" si="26"/>
        <v>30.000000000029559</v>
      </c>
      <c r="BQ12" s="60">
        <v>39122</v>
      </c>
      <c r="BR12" s="65">
        <f t="shared" si="27"/>
        <v>12</v>
      </c>
      <c r="BS12" s="60">
        <v>193.5</v>
      </c>
      <c r="BT12" s="65">
        <f t="shared" si="43"/>
        <v>0</v>
      </c>
      <c r="BU12" s="60">
        <v>30271</v>
      </c>
      <c r="BV12" s="65">
        <f t="shared" si="29"/>
        <v>9</v>
      </c>
      <c r="BW12" s="60">
        <v>224.26</v>
      </c>
      <c r="BX12" s="65">
        <f t="shared" si="30"/>
        <v>19.99999999998181</v>
      </c>
      <c r="BY12" s="60">
        <v>49221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47411.9</v>
      </c>
      <c r="CH12" s="67">
        <f t="shared" si="35"/>
        <v>39.30000000000291</v>
      </c>
      <c r="CI12" s="60">
        <v>864179</v>
      </c>
      <c r="CJ12" s="67">
        <f t="shared" si="36"/>
        <v>203</v>
      </c>
      <c r="CK12" s="60">
        <v>582.26</v>
      </c>
      <c r="CL12" s="64">
        <f t="shared" si="37"/>
        <v>389.99999999998636</v>
      </c>
      <c r="CM12" s="65">
        <f t="shared" si="41"/>
        <v>25.2</v>
      </c>
      <c r="CN12" s="62">
        <v>0</v>
      </c>
      <c r="CO12" s="62">
        <v>0</v>
      </c>
      <c r="CP12" s="68">
        <v>25.2</v>
      </c>
      <c r="CQ12" s="67">
        <f>IF((CP12-CP11&lt;0), "",CP12-CP11)</f>
        <v>17.2</v>
      </c>
      <c r="CR12" s="68">
        <v>9645</v>
      </c>
      <c r="CS12" s="67">
        <f t="shared" si="38"/>
        <v>8</v>
      </c>
      <c r="CT12" s="75">
        <v>2105</v>
      </c>
      <c r="CU12" s="67">
        <f t="shared" si="38"/>
        <v>13</v>
      </c>
      <c r="CV12" s="68">
        <v>5347</v>
      </c>
      <c r="CW12" s="67">
        <f t="shared" si="38"/>
        <v>23</v>
      </c>
    </row>
    <row r="13" spans="1:102" ht="25.5" customHeight="1" thickBot="1" x14ac:dyDescent="0.45">
      <c r="A13" s="63">
        <v>44022</v>
      </c>
      <c r="B13" s="44"/>
      <c r="C13" s="58">
        <v>1.7406999999999999</v>
      </c>
      <c r="D13" s="64">
        <f t="shared" si="0"/>
        <v>699.99999999992292</v>
      </c>
      <c r="E13" s="58">
        <v>2.7332999999999998</v>
      </c>
      <c r="F13" s="64">
        <f t="shared" si="1"/>
        <v>599.99999999993395</v>
      </c>
      <c r="G13" s="58">
        <v>2.6145999999999998</v>
      </c>
      <c r="H13" s="64">
        <f t="shared" si="2"/>
        <v>1499.9999999996128</v>
      </c>
      <c r="I13" s="58">
        <v>1.2664</v>
      </c>
      <c r="J13" s="64">
        <f t="shared" si="3"/>
        <v>699.99999999992292</v>
      </c>
      <c r="K13" s="58">
        <v>1.9728000000000001</v>
      </c>
      <c r="L13" s="64">
        <f t="shared" si="4"/>
        <v>1700.0000000000348</v>
      </c>
      <c r="M13" s="58">
        <v>1.2181999999999999</v>
      </c>
      <c r="N13" s="64">
        <f t="shared" si="5"/>
        <v>399.99999999995595</v>
      </c>
      <c r="O13" s="58">
        <v>12602</v>
      </c>
      <c r="P13" s="67">
        <f t="shared" si="44"/>
        <v>0</v>
      </c>
      <c r="Q13" s="58">
        <v>5566</v>
      </c>
      <c r="R13" s="67">
        <f t="shared" si="6"/>
        <v>3</v>
      </c>
      <c r="S13" s="58">
        <v>838290.1</v>
      </c>
      <c r="T13" s="67">
        <f t="shared" si="7"/>
        <v>171</v>
      </c>
      <c r="U13" s="58">
        <v>341715.6</v>
      </c>
      <c r="V13" s="67">
        <f t="shared" si="8"/>
        <v>41.299999999988358</v>
      </c>
      <c r="W13" s="58">
        <v>335.25</v>
      </c>
      <c r="X13" s="65">
        <f t="shared" si="9"/>
        <v>69.999999999993179</v>
      </c>
      <c r="Y13" s="58">
        <v>2.4070999999999998</v>
      </c>
      <c r="Z13" s="65">
        <f t="shared" si="10"/>
        <v>399.99999999995595</v>
      </c>
      <c r="AA13" s="58">
        <v>329.34</v>
      </c>
      <c r="AB13" s="65">
        <f t="shared" si="11"/>
        <v>60.000000000002274</v>
      </c>
      <c r="AC13" s="58">
        <v>312.54000000000002</v>
      </c>
      <c r="AD13" s="65">
        <f t="shared" si="12"/>
        <v>120.00000000000455</v>
      </c>
      <c r="AE13" s="58">
        <v>489.08</v>
      </c>
      <c r="AF13" s="65">
        <f t="shared" si="13"/>
        <v>149.99999999997726</v>
      </c>
      <c r="AG13" s="58">
        <v>1281.7</v>
      </c>
      <c r="AH13" s="67">
        <f t="shared" si="14"/>
        <v>1.5</v>
      </c>
      <c r="AI13" s="58">
        <v>431.19</v>
      </c>
      <c r="AJ13" s="65">
        <f t="shared" si="15"/>
        <v>189.99999999999773</v>
      </c>
      <c r="AK13" s="58">
        <v>151.72</v>
      </c>
      <c r="AL13" s="65">
        <f t="shared" si="15"/>
        <v>30.000000000001137</v>
      </c>
      <c r="AM13" s="58">
        <v>151.27000000000001</v>
      </c>
      <c r="AN13" s="65">
        <f t="shared" si="15"/>
        <v>40.000000000020464</v>
      </c>
      <c r="AO13" s="58">
        <v>147.66</v>
      </c>
      <c r="AP13" s="65">
        <f t="shared" si="15"/>
        <v>20.000000000010232</v>
      </c>
      <c r="AQ13" s="58">
        <v>218.75</v>
      </c>
      <c r="AR13" s="65">
        <f t="shared" si="16"/>
        <v>30.000000000001137</v>
      </c>
      <c r="AS13" s="58">
        <v>345.06</v>
      </c>
      <c r="AT13" s="65">
        <f t="shared" si="17"/>
        <v>30.000000000029559</v>
      </c>
      <c r="AU13" s="58">
        <v>266.19</v>
      </c>
      <c r="AV13" s="65">
        <f t="shared" si="18"/>
        <v>40.000000000020464</v>
      </c>
      <c r="AW13" s="58">
        <v>293.70999999999998</v>
      </c>
      <c r="AX13" s="65">
        <f t="shared" si="19"/>
        <v>19.99999999998181</v>
      </c>
      <c r="AY13" s="58">
        <v>345.01</v>
      </c>
      <c r="AZ13" s="65">
        <f t="shared" si="20"/>
        <v>19.99999999998181</v>
      </c>
      <c r="BA13" s="58">
        <v>364.78</v>
      </c>
      <c r="BB13" s="65">
        <f t="shared" si="21"/>
        <v>9.9999999999909051</v>
      </c>
      <c r="BC13" s="58">
        <v>231.46</v>
      </c>
      <c r="BD13" s="65">
        <f t="shared" si="22"/>
        <v>20.000000000010232</v>
      </c>
      <c r="BE13" s="59">
        <v>29803</v>
      </c>
      <c r="BF13" s="67">
        <f t="shared" si="39"/>
        <v>18</v>
      </c>
      <c r="BG13" s="60">
        <v>225.27</v>
      </c>
      <c r="BH13" s="65">
        <f t="shared" si="23"/>
        <v>10.000000000019327</v>
      </c>
      <c r="BI13" s="60">
        <v>283.14999999999998</v>
      </c>
      <c r="BJ13" s="65">
        <f t="shared" si="40"/>
        <v>9.9999999999909051</v>
      </c>
      <c r="BK13" s="60">
        <v>230.74</v>
      </c>
      <c r="BL13" s="65">
        <f t="shared" si="24"/>
        <v>10.000000000019327</v>
      </c>
      <c r="BM13" s="60">
        <v>214.22</v>
      </c>
      <c r="BN13" s="65">
        <f t="shared" si="25"/>
        <v>39.999999999992042</v>
      </c>
      <c r="BO13" s="60">
        <v>279.06</v>
      </c>
      <c r="BP13" s="65">
        <f t="shared" si="26"/>
        <v>19.99999999998181</v>
      </c>
      <c r="BQ13" s="60">
        <v>39135</v>
      </c>
      <c r="BR13" s="65">
        <f t="shared" si="27"/>
        <v>13</v>
      </c>
      <c r="BS13" s="60">
        <v>193.5</v>
      </c>
      <c r="BT13" s="65">
        <f t="shared" si="43"/>
        <v>0</v>
      </c>
      <c r="BU13" s="60">
        <v>30279</v>
      </c>
      <c r="BV13" s="65">
        <f t="shared" si="29"/>
        <v>8</v>
      </c>
      <c r="BW13" s="60">
        <v>224.27</v>
      </c>
      <c r="BX13" s="65">
        <f t="shared" si="30"/>
        <v>10.000000000019327</v>
      </c>
      <c r="BY13" s="60">
        <v>49233</v>
      </c>
      <c r="BZ13" s="67">
        <f t="shared" si="31"/>
        <v>12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47455</v>
      </c>
      <c r="CH13" s="67">
        <f t="shared" si="35"/>
        <v>43.099999999998545</v>
      </c>
      <c r="CI13" s="60">
        <v>864379</v>
      </c>
      <c r="CJ13" s="67">
        <f t="shared" si="36"/>
        <v>200</v>
      </c>
      <c r="CK13" s="60">
        <v>582.58000000000004</v>
      </c>
      <c r="CL13" s="64">
        <f t="shared" si="37"/>
        <v>320.00000000005002</v>
      </c>
      <c r="CM13" s="65">
        <f t="shared" si="41"/>
        <v>24.7</v>
      </c>
      <c r="CN13" s="62">
        <v>0</v>
      </c>
      <c r="CO13" s="62">
        <v>0</v>
      </c>
      <c r="CP13" s="68">
        <v>43.9</v>
      </c>
      <c r="CQ13" s="67">
        <f>IF((CP13-CP12&lt;0), "",CP13-CP12)</f>
        <v>18.7</v>
      </c>
      <c r="CR13" s="68">
        <v>9651</v>
      </c>
      <c r="CS13" s="67">
        <f t="shared" si="38"/>
        <v>6</v>
      </c>
      <c r="CT13" s="75">
        <v>2117</v>
      </c>
      <c r="CU13" s="67">
        <f t="shared" si="38"/>
        <v>12</v>
      </c>
      <c r="CV13" s="68">
        <v>5370</v>
      </c>
      <c r="CW13" s="67">
        <f t="shared" si="38"/>
        <v>23</v>
      </c>
    </row>
    <row r="14" spans="1:102" ht="25.5" customHeight="1" thickBot="1" x14ac:dyDescent="0.45">
      <c r="A14" s="63">
        <v>44023</v>
      </c>
      <c r="B14" s="44"/>
      <c r="C14" s="58">
        <v>1.7413000000000001</v>
      </c>
      <c r="D14" s="64">
        <f t="shared" si="0"/>
        <v>600.00000000015598</v>
      </c>
      <c r="E14" s="58">
        <v>2.7338</v>
      </c>
      <c r="F14" s="64">
        <f t="shared" si="1"/>
        <v>500.00000000016701</v>
      </c>
      <c r="G14" s="58">
        <v>2.6162999999999998</v>
      </c>
      <c r="H14" s="64">
        <f t="shared" si="2"/>
        <v>1700.0000000000348</v>
      </c>
      <c r="I14" s="58">
        <v>1.2670999999999999</v>
      </c>
      <c r="J14" s="64">
        <f t="shared" si="3"/>
        <v>699.99999999992292</v>
      </c>
      <c r="K14" s="58">
        <v>1.9744999999999999</v>
      </c>
      <c r="L14" s="64">
        <f t="shared" si="4"/>
        <v>1699.9999999998129</v>
      </c>
      <c r="M14" s="58">
        <v>1.2185999999999999</v>
      </c>
      <c r="N14" s="64">
        <f t="shared" si="5"/>
        <v>399.99999999995595</v>
      </c>
      <c r="O14" s="58">
        <v>12602</v>
      </c>
      <c r="P14" s="67">
        <f t="shared" si="44"/>
        <v>0</v>
      </c>
      <c r="Q14" s="58">
        <v>5569</v>
      </c>
      <c r="R14" s="67">
        <f t="shared" si="6"/>
        <v>3</v>
      </c>
      <c r="S14" s="58">
        <v>838443.4</v>
      </c>
      <c r="T14" s="67">
        <f t="shared" si="7"/>
        <v>153.30000000004657</v>
      </c>
      <c r="U14" s="58">
        <v>341778.3</v>
      </c>
      <c r="V14" s="67">
        <f t="shared" si="8"/>
        <v>62.700000000011642</v>
      </c>
      <c r="W14" s="58">
        <v>335.32</v>
      </c>
      <c r="X14" s="65">
        <f t="shared" si="9"/>
        <v>69.999999999993179</v>
      </c>
      <c r="Y14" s="58">
        <v>2.4074</v>
      </c>
      <c r="Z14" s="65">
        <f t="shared" si="10"/>
        <v>300.000000000189</v>
      </c>
      <c r="AA14" s="58">
        <v>329.4</v>
      </c>
      <c r="AB14" s="65">
        <f t="shared" si="11"/>
        <v>60.000000000002274</v>
      </c>
      <c r="AC14" s="58">
        <v>312.64999999999998</v>
      </c>
      <c r="AD14" s="65">
        <f t="shared" si="12"/>
        <v>109.9999999999568</v>
      </c>
      <c r="AE14" s="58">
        <v>489.26</v>
      </c>
      <c r="AF14" s="65">
        <f t="shared" si="13"/>
        <v>180.00000000000682</v>
      </c>
      <c r="AG14" s="58">
        <v>1283.0999999999999</v>
      </c>
      <c r="AH14" s="67">
        <f t="shared" si="14"/>
        <v>1.3999999999998636</v>
      </c>
      <c r="AI14" s="58">
        <v>431.41</v>
      </c>
      <c r="AJ14" s="65">
        <f t="shared" si="15"/>
        <v>220.00000000002728</v>
      </c>
      <c r="AK14" s="58">
        <v>151.76</v>
      </c>
      <c r="AL14" s="65">
        <f t="shared" si="15"/>
        <v>39.999999999992042</v>
      </c>
      <c r="AM14" s="58">
        <v>151.30000000000001</v>
      </c>
      <c r="AN14" s="65">
        <f t="shared" si="15"/>
        <v>30.000000000001137</v>
      </c>
      <c r="AO14" s="58">
        <v>147.69</v>
      </c>
      <c r="AP14" s="65">
        <f t="shared" si="15"/>
        <v>30.000000000001137</v>
      </c>
      <c r="AQ14" s="58">
        <v>218.77</v>
      </c>
      <c r="AR14" s="65">
        <f t="shared" si="16"/>
        <v>20.000000000010232</v>
      </c>
      <c r="AS14" s="58">
        <v>345.08</v>
      </c>
      <c r="AT14" s="65">
        <f t="shared" si="17"/>
        <v>19.99999999998181</v>
      </c>
      <c r="AU14" s="58">
        <v>266.20999999999998</v>
      </c>
      <c r="AV14" s="65">
        <f t="shared" si="18"/>
        <v>19.99999999998181</v>
      </c>
      <c r="AW14" s="58">
        <v>293.73</v>
      </c>
      <c r="AX14" s="65">
        <f t="shared" si="19"/>
        <v>20.000000000038654</v>
      </c>
      <c r="AY14" s="58">
        <v>345.03</v>
      </c>
      <c r="AZ14" s="65">
        <f t="shared" si="20"/>
        <v>19.99999999998181</v>
      </c>
      <c r="BA14" s="58">
        <v>364.8</v>
      </c>
      <c r="BB14" s="65">
        <f t="shared" si="21"/>
        <v>20.000000000038654</v>
      </c>
      <c r="BC14" s="58">
        <v>231.48</v>
      </c>
      <c r="BD14" s="65">
        <f t="shared" si="22"/>
        <v>19.99999999998181</v>
      </c>
      <c r="BE14" s="59">
        <v>29825</v>
      </c>
      <c r="BF14" s="67">
        <f t="shared" si="39"/>
        <v>22</v>
      </c>
      <c r="BG14" s="60">
        <v>225.28</v>
      </c>
      <c r="BH14" s="65">
        <f t="shared" si="23"/>
        <v>9.9999999999909051</v>
      </c>
      <c r="BI14" s="60">
        <v>283.16000000000003</v>
      </c>
      <c r="BJ14" s="65">
        <f t="shared" si="40"/>
        <v>10.000000000047748</v>
      </c>
      <c r="BK14" s="60">
        <v>230.74</v>
      </c>
      <c r="BL14" s="65">
        <f t="shared" si="24"/>
        <v>0</v>
      </c>
      <c r="BM14" s="60">
        <v>214.24</v>
      </c>
      <c r="BN14" s="65">
        <f t="shared" si="25"/>
        <v>20.000000000010232</v>
      </c>
      <c r="BO14" s="60">
        <v>279.07</v>
      </c>
      <c r="BP14" s="65">
        <f t="shared" si="26"/>
        <v>9.9999999999909051</v>
      </c>
      <c r="BQ14" s="60">
        <v>39147</v>
      </c>
      <c r="BR14" s="65">
        <f t="shared" si="27"/>
        <v>12</v>
      </c>
      <c r="BS14" s="60">
        <v>193.51</v>
      </c>
      <c r="BT14" s="65">
        <f t="shared" si="43"/>
        <v>9.9999999999909051</v>
      </c>
      <c r="BU14" s="60">
        <v>30305</v>
      </c>
      <c r="BV14" s="65">
        <f t="shared" si="29"/>
        <v>26</v>
      </c>
      <c r="BW14" s="60">
        <v>224.28</v>
      </c>
      <c r="BX14" s="65">
        <f t="shared" si="30"/>
        <v>9.9999999999909051</v>
      </c>
      <c r="BY14" s="60">
        <v>49242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47471.9</v>
      </c>
      <c r="CH14" s="67">
        <f t="shared" si="35"/>
        <v>16.900000000001455</v>
      </c>
      <c r="CI14" s="60">
        <v>864582</v>
      </c>
      <c r="CJ14" s="67">
        <f t="shared" si="36"/>
        <v>203</v>
      </c>
      <c r="CK14" s="60">
        <v>583.04999999999995</v>
      </c>
      <c r="CL14" s="64">
        <f t="shared" si="37"/>
        <v>469.9999999999136</v>
      </c>
      <c r="CM14" s="65">
        <f t="shared" si="41"/>
        <v>18.300000000000004</v>
      </c>
      <c r="CN14" s="62">
        <v>0</v>
      </c>
      <c r="CO14" s="62">
        <v>0</v>
      </c>
      <c r="CP14" s="68">
        <v>56.2</v>
      </c>
      <c r="CQ14" s="67">
        <f t="shared" si="38"/>
        <v>12.300000000000004</v>
      </c>
      <c r="CR14" s="68">
        <v>9657</v>
      </c>
      <c r="CS14" s="67">
        <f t="shared" si="38"/>
        <v>6</v>
      </c>
      <c r="CT14" s="75">
        <v>2130</v>
      </c>
      <c r="CU14" s="67">
        <f t="shared" si="38"/>
        <v>13</v>
      </c>
      <c r="CV14" s="68">
        <v>5402</v>
      </c>
      <c r="CW14" s="67">
        <f t="shared" si="38"/>
        <v>32</v>
      </c>
    </row>
    <row r="15" spans="1:102" ht="25.5" customHeight="1" thickBot="1" x14ac:dyDescent="0.45">
      <c r="A15" s="63">
        <v>44024</v>
      </c>
      <c r="B15" s="44"/>
      <c r="C15" s="58">
        <v>1.7418</v>
      </c>
      <c r="D15" s="64">
        <f t="shared" si="0"/>
        <v>499.99999999994492</v>
      </c>
      <c r="E15" s="58">
        <v>2.7343999999999999</v>
      </c>
      <c r="F15" s="64">
        <f t="shared" si="1"/>
        <v>599.99999999993395</v>
      </c>
      <c r="G15" s="58">
        <v>2.6173999999999999</v>
      </c>
      <c r="H15" s="64">
        <f t="shared" si="2"/>
        <v>1100.000000000101</v>
      </c>
      <c r="I15" s="58">
        <v>1.2678</v>
      </c>
      <c r="J15" s="64">
        <f t="shared" si="3"/>
        <v>700.00000000014495</v>
      </c>
      <c r="K15" s="58">
        <v>1.976</v>
      </c>
      <c r="L15" s="64">
        <f t="shared" si="4"/>
        <v>1500.0000000000568</v>
      </c>
      <c r="M15" s="58">
        <v>1.2190000000000001</v>
      </c>
      <c r="N15" s="64">
        <f t="shared" si="5"/>
        <v>400.00000000017798</v>
      </c>
      <c r="O15" s="58">
        <v>12605</v>
      </c>
      <c r="P15" s="67">
        <f t="shared" si="44"/>
        <v>3</v>
      </c>
      <c r="Q15" s="58">
        <v>5572</v>
      </c>
      <c r="R15" s="67">
        <f t="shared" si="6"/>
        <v>3</v>
      </c>
      <c r="S15" s="58">
        <v>838534.3</v>
      </c>
      <c r="T15" s="67">
        <f t="shared" si="7"/>
        <v>90.900000000023283</v>
      </c>
      <c r="U15" s="58">
        <v>341822.4</v>
      </c>
      <c r="V15" s="67">
        <f t="shared" si="8"/>
        <v>44.100000000034925</v>
      </c>
      <c r="W15" s="58">
        <v>335.38</v>
      </c>
      <c r="X15" s="65">
        <f t="shared" si="9"/>
        <v>60.000000000002274</v>
      </c>
      <c r="Y15" s="58">
        <v>2.4077999999999999</v>
      </c>
      <c r="Z15" s="65">
        <f t="shared" si="10"/>
        <v>399.99999999995595</v>
      </c>
      <c r="AA15" s="58">
        <v>329.45</v>
      </c>
      <c r="AB15" s="65">
        <f t="shared" si="11"/>
        <v>50.000000000011369</v>
      </c>
      <c r="AC15" s="58">
        <v>312.76</v>
      </c>
      <c r="AD15" s="65">
        <f t="shared" si="12"/>
        <v>110.00000000001364</v>
      </c>
      <c r="AE15" s="58">
        <v>489.39</v>
      </c>
      <c r="AF15" s="65">
        <f t="shared" si="13"/>
        <v>129.99999999999545</v>
      </c>
      <c r="AG15" s="58">
        <v>1284.2</v>
      </c>
      <c r="AH15" s="67">
        <f t="shared" si="14"/>
        <v>1.1000000000001364</v>
      </c>
      <c r="AI15" s="58">
        <v>431.58</v>
      </c>
      <c r="AJ15" s="65">
        <f t="shared" si="15"/>
        <v>169.99999999995907</v>
      </c>
      <c r="AK15" s="58">
        <v>151.78</v>
      </c>
      <c r="AL15" s="65">
        <f t="shared" si="15"/>
        <v>20.000000000010232</v>
      </c>
      <c r="AM15" s="58">
        <v>151.33000000000001</v>
      </c>
      <c r="AN15" s="65">
        <f t="shared" si="15"/>
        <v>30.000000000001137</v>
      </c>
      <c r="AO15" s="58">
        <v>147.71</v>
      </c>
      <c r="AP15" s="65">
        <f t="shared" si="15"/>
        <v>20.000000000010232</v>
      </c>
      <c r="AQ15" s="58">
        <v>218.78</v>
      </c>
      <c r="AR15" s="65">
        <f t="shared" si="16"/>
        <v>9.9999999999909051</v>
      </c>
      <c r="AS15" s="58">
        <v>345.1</v>
      </c>
      <c r="AT15" s="65">
        <f t="shared" si="17"/>
        <v>20.000000000038654</v>
      </c>
      <c r="AU15" s="58">
        <v>266.23</v>
      </c>
      <c r="AV15" s="65">
        <f t="shared" si="18"/>
        <v>20.000000000038654</v>
      </c>
      <c r="AW15" s="58">
        <v>293.75</v>
      </c>
      <c r="AX15" s="65">
        <f t="shared" si="19"/>
        <v>19.99999999998181</v>
      </c>
      <c r="AY15" s="58">
        <v>345.04</v>
      </c>
      <c r="AZ15" s="65">
        <f t="shared" si="20"/>
        <v>10.000000000047748</v>
      </c>
      <c r="BA15" s="58">
        <v>364.81</v>
      </c>
      <c r="BB15" s="65">
        <f t="shared" si="21"/>
        <v>9.9999999999909051</v>
      </c>
      <c r="BC15" s="58">
        <v>231.5</v>
      </c>
      <c r="BD15" s="65">
        <f t="shared" si="22"/>
        <v>20.000000000010232</v>
      </c>
      <c r="BE15" s="59">
        <v>29843</v>
      </c>
      <c r="BF15" s="67">
        <f t="shared" si="39"/>
        <v>18</v>
      </c>
      <c r="BG15" s="60">
        <v>225.29</v>
      </c>
      <c r="BH15" s="65">
        <f t="shared" si="23"/>
        <v>9.9999999999909051</v>
      </c>
      <c r="BI15" s="60">
        <v>283.17</v>
      </c>
      <c r="BJ15" s="65">
        <f t="shared" si="40"/>
        <v>9.9999999999909051</v>
      </c>
      <c r="BK15" s="60">
        <v>230.74</v>
      </c>
      <c r="BL15" s="65">
        <f t="shared" si="24"/>
        <v>0</v>
      </c>
      <c r="BM15" s="60">
        <v>214.25</v>
      </c>
      <c r="BN15" s="65">
        <f t="shared" si="25"/>
        <v>9.9999999999909051</v>
      </c>
      <c r="BO15" s="60">
        <v>279.08999999999997</v>
      </c>
      <c r="BP15" s="65">
        <f t="shared" si="26"/>
        <v>19.99999999998181</v>
      </c>
      <c r="BQ15" s="60">
        <v>39160</v>
      </c>
      <c r="BR15" s="65">
        <f t="shared" si="27"/>
        <v>13</v>
      </c>
      <c r="BS15" s="60">
        <v>193.51</v>
      </c>
      <c r="BT15" s="65">
        <f t="shared" si="43"/>
        <v>0</v>
      </c>
      <c r="BU15" s="60">
        <v>30333</v>
      </c>
      <c r="BV15" s="65">
        <f t="shared" si="29"/>
        <v>28</v>
      </c>
      <c r="BW15" s="60">
        <v>224.3</v>
      </c>
      <c r="BX15" s="65">
        <f t="shared" si="30"/>
        <v>20.000000000010232</v>
      </c>
      <c r="BY15" s="60">
        <v>49254</v>
      </c>
      <c r="BZ15" s="67">
        <f t="shared" si="31"/>
        <v>12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47508.2</v>
      </c>
      <c r="CH15" s="67">
        <f t="shared" si="35"/>
        <v>36.299999999995634</v>
      </c>
      <c r="CI15" s="60">
        <v>864756</v>
      </c>
      <c r="CJ15" s="67">
        <f t="shared" si="36"/>
        <v>174</v>
      </c>
      <c r="CK15" s="60">
        <v>583.29</v>
      </c>
      <c r="CL15" s="64">
        <f t="shared" si="37"/>
        <v>240.00000000000909</v>
      </c>
      <c r="CM15" s="65">
        <f t="shared" si="41"/>
        <v>8</v>
      </c>
      <c r="CN15" s="62">
        <v>0</v>
      </c>
      <c r="CO15" s="62">
        <v>0</v>
      </c>
      <c r="CP15" s="68">
        <v>60.2</v>
      </c>
      <c r="CQ15" s="67">
        <f t="shared" si="38"/>
        <v>4</v>
      </c>
      <c r="CR15" s="68">
        <v>9661</v>
      </c>
      <c r="CS15" s="67">
        <f t="shared" si="38"/>
        <v>4</v>
      </c>
      <c r="CT15" s="75">
        <v>2140</v>
      </c>
      <c r="CU15" s="67">
        <f t="shared" si="38"/>
        <v>10</v>
      </c>
      <c r="CV15" s="68">
        <v>5420</v>
      </c>
      <c r="CW15" s="67">
        <f t="shared" si="38"/>
        <v>18</v>
      </c>
    </row>
    <row r="16" spans="1:102" ht="25.5" customHeight="1" thickBot="1" x14ac:dyDescent="0.45">
      <c r="A16" s="63">
        <v>44025</v>
      </c>
      <c r="B16" s="44"/>
      <c r="C16" s="58">
        <v>1.7423999999999999</v>
      </c>
      <c r="D16" s="64">
        <f t="shared" si="0"/>
        <v>599.99999999993395</v>
      </c>
      <c r="E16" s="58">
        <v>2.7349999999999999</v>
      </c>
      <c r="F16" s="64">
        <f t="shared" si="1"/>
        <v>599.99999999993395</v>
      </c>
      <c r="G16" s="58">
        <v>2.6187999999999998</v>
      </c>
      <c r="H16" s="64">
        <f t="shared" si="2"/>
        <v>1399.9999999998458</v>
      </c>
      <c r="I16" s="58">
        <v>1.2684</v>
      </c>
      <c r="J16" s="64">
        <f t="shared" si="3"/>
        <v>599.99999999993395</v>
      </c>
      <c r="K16" s="58">
        <v>1.9776</v>
      </c>
      <c r="L16" s="64">
        <f t="shared" si="4"/>
        <v>1600.0000000000459</v>
      </c>
      <c r="M16" s="58">
        <v>1.2194</v>
      </c>
      <c r="N16" s="64">
        <f t="shared" si="5"/>
        <v>399.99999999995595</v>
      </c>
      <c r="O16" s="58">
        <v>12605</v>
      </c>
      <c r="P16" s="67">
        <f t="shared" si="44"/>
        <v>0</v>
      </c>
      <c r="Q16" s="58">
        <v>5575</v>
      </c>
      <c r="R16" s="67">
        <f t="shared" si="6"/>
        <v>3</v>
      </c>
      <c r="S16" s="58">
        <v>838687.6</v>
      </c>
      <c r="T16" s="67">
        <f t="shared" si="7"/>
        <v>153.29999999993015</v>
      </c>
      <c r="U16" s="58">
        <v>341893</v>
      </c>
      <c r="V16" s="67">
        <f t="shared" si="8"/>
        <v>70.599999999976717</v>
      </c>
      <c r="W16" s="58">
        <v>335.48</v>
      </c>
      <c r="X16" s="65">
        <f t="shared" si="9"/>
        <v>100.00000000002274</v>
      </c>
      <c r="Y16" s="58">
        <v>2.4081999999999999</v>
      </c>
      <c r="Z16" s="65">
        <f t="shared" si="10"/>
        <v>399.99999999995595</v>
      </c>
      <c r="AA16" s="58">
        <v>329.49</v>
      </c>
      <c r="AB16" s="65">
        <f t="shared" si="11"/>
        <v>40.000000000020464</v>
      </c>
      <c r="AC16" s="58">
        <v>312.85000000000002</v>
      </c>
      <c r="AD16" s="65">
        <f t="shared" si="12"/>
        <v>90.000000000031832</v>
      </c>
      <c r="AE16" s="58">
        <v>489.53</v>
      </c>
      <c r="AF16" s="65">
        <f t="shared" si="13"/>
        <v>139.99999999998636</v>
      </c>
      <c r="AG16" s="58">
        <v>1285.2</v>
      </c>
      <c r="AH16" s="67">
        <f t="shared" si="14"/>
        <v>1</v>
      </c>
      <c r="AI16" s="58">
        <v>431.76</v>
      </c>
      <c r="AJ16" s="65">
        <f t="shared" si="15"/>
        <v>180.00000000000682</v>
      </c>
      <c r="AK16" s="58">
        <v>151.82</v>
      </c>
      <c r="AL16" s="65">
        <f t="shared" ref="AL16:AL34" si="45">IF((AK16-AK15&lt;0), "",AK16-AK15)</f>
        <v>3.9999999999992042E-2</v>
      </c>
      <c r="AM16" s="58">
        <v>151.37</v>
      </c>
      <c r="AN16" s="65">
        <f t="shared" si="15"/>
        <v>39.999999999992042</v>
      </c>
      <c r="AO16" s="58">
        <v>147.74</v>
      </c>
      <c r="AP16" s="65">
        <f t="shared" si="15"/>
        <v>30.000000000001137</v>
      </c>
      <c r="AQ16" s="58">
        <v>218.8</v>
      </c>
      <c r="AR16" s="65">
        <f t="shared" si="16"/>
        <v>20.000000000010232</v>
      </c>
      <c r="AS16" s="58">
        <v>345.12</v>
      </c>
      <c r="AT16" s="65">
        <f t="shared" si="17"/>
        <v>19.99999999998181</v>
      </c>
      <c r="AU16" s="58">
        <v>266.25</v>
      </c>
      <c r="AV16" s="65">
        <f t="shared" si="18"/>
        <v>19.99999999998181</v>
      </c>
      <c r="AW16" s="58">
        <v>293.77</v>
      </c>
      <c r="AX16" s="65">
        <f t="shared" si="19"/>
        <v>19.99999999998181</v>
      </c>
      <c r="AY16" s="58">
        <v>345.06</v>
      </c>
      <c r="AZ16" s="65">
        <f t="shared" si="20"/>
        <v>19.99999999998181</v>
      </c>
      <c r="BA16" s="58">
        <v>364.82</v>
      </c>
      <c r="BB16" s="65">
        <f t="shared" si="21"/>
        <v>9.9999999999909051</v>
      </c>
      <c r="BC16" s="58">
        <v>231.51</v>
      </c>
      <c r="BD16" s="65">
        <f t="shared" si="22"/>
        <v>9.9999999999909051</v>
      </c>
      <c r="BE16" s="59">
        <v>29868</v>
      </c>
      <c r="BF16" s="67">
        <f t="shared" si="39"/>
        <v>25</v>
      </c>
      <c r="BG16" s="60">
        <v>225.3</v>
      </c>
      <c r="BH16" s="65">
        <f t="shared" si="23"/>
        <v>10.000000000019327</v>
      </c>
      <c r="BI16" s="60">
        <v>283.18</v>
      </c>
      <c r="BJ16" s="65">
        <f t="shared" si="40"/>
        <v>9.9999999999909051</v>
      </c>
      <c r="BK16" s="60">
        <v>230.74</v>
      </c>
      <c r="BL16" s="65">
        <f t="shared" si="24"/>
        <v>0</v>
      </c>
      <c r="BM16" s="60">
        <v>214.26</v>
      </c>
      <c r="BN16" s="65">
        <f t="shared" si="25"/>
        <v>9.9999999999909051</v>
      </c>
      <c r="BO16" s="60">
        <v>279.11</v>
      </c>
      <c r="BP16" s="65">
        <f t="shared" si="26"/>
        <v>20.000000000038654</v>
      </c>
      <c r="BQ16" s="60">
        <v>39171</v>
      </c>
      <c r="BR16" s="65">
        <f t="shared" si="27"/>
        <v>11</v>
      </c>
      <c r="BS16" s="60">
        <v>193.52</v>
      </c>
      <c r="BT16" s="65">
        <f t="shared" si="43"/>
        <v>10.000000000019327</v>
      </c>
      <c r="BU16" s="60">
        <v>30356</v>
      </c>
      <c r="BV16" s="65">
        <f t="shared" si="29"/>
        <v>23</v>
      </c>
      <c r="BW16" s="60">
        <v>224.31</v>
      </c>
      <c r="BX16" s="65">
        <f t="shared" si="30"/>
        <v>9.9999999999909051</v>
      </c>
      <c r="BY16" s="60">
        <v>49265</v>
      </c>
      <c r="BZ16" s="67">
        <f t="shared" si="31"/>
        <v>11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47532.9</v>
      </c>
      <c r="CH16" s="67">
        <f t="shared" si="35"/>
        <v>24.700000000004366</v>
      </c>
      <c r="CI16" s="60">
        <v>864941</v>
      </c>
      <c r="CJ16" s="67">
        <f t="shared" si="36"/>
        <v>185</v>
      </c>
      <c r="CK16" s="60">
        <v>583.66999999999996</v>
      </c>
      <c r="CL16" s="64">
        <f t="shared" si="37"/>
        <v>379.99999999999545</v>
      </c>
      <c r="CM16" s="65">
        <f t="shared" si="41"/>
        <v>28.099999999999994</v>
      </c>
      <c r="CN16" s="62">
        <v>0</v>
      </c>
      <c r="CO16" s="62">
        <v>0</v>
      </c>
      <c r="CP16" s="68">
        <v>75.3</v>
      </c>
      <c r="CQ16" s="67">
        <f t="shared" si="38"/>
        <v>15.099999999999994</v>
      </c>
      <c r="CR16" s="68">
        <v>9674</v>
      </c>
      <c r="CS16" s="67">
        <f t="shared" si="38"/>
        <v>13</v>
      </c>
      <c r="CT16" s="75">
        <v>2151</v>
      </c>
      <c r="CU16" s="67">
        <f t="shared" si="38"/>
        <v>11</v>
      </c>
      <c r="CV16" s="68">
        <v>5442</v>
      </c>
      <c r="CW16" s="67">
        <f t="shared" si="38"/>
        <v>22</v>
      </c>
    </row>
    <row r="17" spans="1:101" ht="25.5" customHeight="1" thickBot="1" x14ac:dyDescent="0.45">
      <c r="A17" s="63">
        <v>44026</v>
      </c>
      <c r="B17" s="44"/>
      <c r="C17" s="58"/>
      <c r="D17" s="64" t="str">
        <f t="shared" si="0"/>
        <v>0</v>
      </c>
      <c r="E17" s="58"/>
      <c r="F17" s="64" t="str">
        <f t="shared" si="1"/>
        <v>0</v>
      </c>
      <c r="G17" s="58"/>
      <c r="H17" s="64" t="str">
        <f t="shared" si="2"/>
        <v>0</v>
      </c>
      <c r="I17" s="58"/>
      <c r="J17" s="64" t="str">
        <f t="shared" si="3"/>
        <v>0</v>
      </c>
      <c r="K17" s="58"/>
      <c r="L17" s="64" t="str">
        <f t="shared" si="4"/>
        <v>0</v>
      </c>
      <c r="M17" s="58"/>
      <c r="N17" s="64" t="str">
        <f t="shared" si="5"/>
        <v/>
      </c>
      <c r="O17" s="58"/>
      <c r="P17" s="67" t="str">
        <f t="shared" si="44"/>
        <v/>
      </c>
      <c r="Q17" s="58"/>
      <c r="R17" s="67" t="str">
        <f t="shared" si="6"/>
        <v/>
      </c>
      <c r="S17" s="58"/>
      <c r="T17" s="67" t="str">
        <f t="shared" si="7"/>
        <v/>
      </c>
      <c r="U17" s="58"/>
      <c r="V17" s="67" t="str">
        <f t="shared" si="8"/>
        <v/>
      </c>
      <c r="W17" s="58"/>
      <c r="X17" s="65" t="str">
        <f t="shared" si="9"/>
        <v/>
      </c>
      <c r="Y17" s="58"/>
      <c r="Z17" s="65" t="str">
        <f t="shared" si="10"/>
        <v/>
      </c>
      <c r="AA17" s="58"/>
      <c r="AB17" s="65" t="str">
        <f t="shared" si="11"/>
        <v/>
      </c>
      <c r="AC17" s="58"/>
      <c r="AD17" s="65" t="str">
        <f t="shared" si="12"/>
        <v/>
      </c>
      <c r="AE17" s="58"/>
      <c r="AF17" s="65" t="str">
        <f t="shared" si="13"/>
        <v/>
      </c>
      <c r="AG17" s="58"/>
      <c r="AH17" s="67" t="str">
        <f t="shared" si="14"/>
        <v/>
      </c>
      <c r="AI17" s="58"/>
      <c r="AJ17" s="65" t="str">
        <f t="shared" si="15"/>
        <v/>
      </c>
      <c r="AK17" s="58"/>
      <c r="AL17" s="65" t="str">
        <f t="shared" si="45"/>
        <v/>
      </c>
      <c r="AM17" s="58"/>
      <c r="AN17" s="65" t="str">
        <f t="shared" ref="AN17:AN34" si="46">IF((AM17-AM16&lt;0), "",AM17-AM16)</f>
        <v/>
      </c>
      <c r="AO17" s="58"/>
      <c r="AP17" s="65" t="str">
        <f t="shared" si="15"/>
        <v/>
      </c>
      <c r="AQ17" s="58"/>
      <c r="AR17" s="65" t="str">
        <f t="shared" si="16"/>
        <v/>
      </c>
      <c r="AS17" s="58"/>
      <c r="AT17" s="65" t="str">
        <f t="shared" si="17"/>
        <v/>
      </c>
      <c r="AU17" s="58"/>
      <c r="AV17" s="65" t="str">
        <f t="shared" si="18"/>
        <v/>
      </c>
      <c r="AW17" s="58"/>
      <c r="AX17" s="65" t="str">
        <f t="shared" si="19"/>
        <v/>
      </c>
      <c r="AY17" s="58"/>
      <c r="AZ17" s="65" t="str">
        <f t="shared" si="20"/>
        <v/>
      </c>
      <c r="BA17" s="58"/>
      <c r="BB17" s="65" t="str">
        <f t="shared" si="21"/>
        <v/>
      </c>
      <c r="BC17" s="58"/>
      <c r="BD17" s="65" t="str">
        <f t="shared" si="22"/>
        <v/>
      </c>
      <c r="BE17" s="59"/>
      <c r="BF17" s="67" t="str">
        <f t="shared" si="39"/>
        <v/>
      </c>
      <c r="BG17" s="60"/>
      <c r="BH17" s="65" t="str">
        <f t="shared" si="23"/>
        <v/>
      </c>
      <c r="BI17" s="60"/>
      <c r="BJ17" s="65" t="str">
        <f t="shared" si="40"/>
        <v/>
      </c>
      <c r="BK17" s="60"/>
      <c r="BL17" s="65" t="str">
        <f t="shared" si="24"/>
        <v/>
      </c>
      <c r="BM17" s="60"/>
      <c r="BN17" s="65" t="str">
        <f t="shared" si="25"/>
        <v/>
      </c>
      <c r="BO17" s="60"/>
      <c r="BP17" s="65" t="str">
        <f t="shared" si="26"/>
        <v/>
      </c>
      <c r="BQ17" s="60"/>
      <c r="BR17" s="65" t="str">
        <f t="shared" si="27"/>
        <v/>
      </c>
      <c r="BS17" s="60"/>
      <c r="BT17" s="65" t="str">
        <f t="shared" si="43"/>
        <v/>
      </c>
      <c r="BU17" s="60"/>
      <c r="BV17" s="65" t="str">
        <f t="shared" si="29"/>
        <v/>
      </c>
      <c r="BW17" s="60"/>
      <c r="BX17" s="65" t="str">
        <f t="shared" si="30"/>
        <v/>
      </c>
      <c r="BY17" s="60"/>
      <c r="BZ17" s="67" t="str">
        <f t="shared" si="31"/>
        <v/>
      </c>
      <c r="CA17" s="60"/>
      <c r="CB17" s="67" t="str">
        <f t="shared" si="32"/>
        <v/>
      </c>
      <c r="CC17" s="60"/>
      <c r="CD17" s="67" t="str">
        <f t="shared" si="33"/>
        <v/>
      </c>
      <c r="CE17" s="60"/>
      <c r="CF17" s="67" t="str">
        <f t="shared" si="34"/>
        <v/>
      </c>
      <c r="CG17" s="60"/>
      <c r="CH17" s="67" t="str">
        <f t="shared" si="35"/>
        <v/>
      </c>
      <c r="CI17" s="60"/>
      <c r="CJ17" s="67" t="str">
        <f t="shared" si="36"/>
        <v/>
      </c>
      <c r="CK17" s="60"/>
      <c r="CL17" s="64" t="str">
        <f t="shared" si="37"/>
        <v/>
      </c>
      <c r="CM17" s="65" t="e">
        <f t="shared" si="41"/>
        <v>#VALUE!</v>
      </c>
      <c r="CN17" s="62">
        <v>0</v>
      </c>
      <c r="CO17" s="62">
        <v>0</v>
      </c>
      <c r="CP17" s="68"/>
      <c r="CQ17" s="67" t="str">
        <f t="shared" si="38"/>
        <v/>
      </c>
      <c r="CR17" s="68"/>
      <c r="CS17" s="67" t="str">
        <f t="shared" si="38"/>
        <v/>
      </c>
      <c r="CT17" s="75"/>
      <c r="CU17" s="67" t="str">
        <f t="shared" si="38"/>
        <v/>
      </c>
      <c r="CV17" s="68"/>
      <c r="CW17" s="67" t="str">
        <f t="shared" si="38"/>
        <v/>
      </c>
    </row>
    <row r="18" spans="1:101" ht="25.5" customHeight="1" thickBot="1" x14ac:dyDescent="0.45">
      <c r="A18" s="63">
        <v>44027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45"/>
        <v>0</v>
      </c>
      <c r="AM18" s="58"/>
      <c r="AN18" s="65">
        <f t="shared" si="46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3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44028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45"/>
        <v>0</v>
      </c>
      <c r="AM19" s="58"/>
      <c r="AN19" s="65">
        <f t="shared" si="46"/>
        <v>0</v>
      </c>
      <c r="AO19" s="58"/>
      <c r="AP19" s="65">
        <f t="shared" ref="AP19:AP34" si="47">IF((AO19-AO18&lt;0), "",AO19-AO18)</f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3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44029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45"/>
        <v>0</v>
      </c>
      <c r="AM20" s="58"/>
      <c r="AN20" s="65">
        <f t="shared" si="46"/>
        <v>0</v>
      </c>
      <c r="AO20" s="58"/>
      <c r="AP20" s="65">
        <f t="shared" si="47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3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44030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45"/>
        <v>0</v>
      </c>
      <c r="AM21" s="58"/>
      <c r="AN21" s="65">
        <f t="shared" si="46"/>
        <v>0</v>
      </c>
      <c r="AO21" s="58"/>
      <c r="AP21" s="65">
        <f t="shared" si="47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3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44031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45"/>
        <v>0</v>
      </c>
      <c r="AM22" s="58"/>
      <c r="AN22" s="65">
        <f t="shared" si="46"/>
        <v>0</v>
      </c>
      <c r="AO22" s="58"/>
      <c r="AP22" s="65">
        <f t="shared" si="47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3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44032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45"/>
        <v>0</v>
      </c>
      <c r="AM23" s="58"/>
      <c r="AN23" s="65">
        <f t="shared" si="46"/>
        <v>0</v>
      </c>
      <c r="AO23" s="58"/>
      <c r="AP23" s="65">
        <f t="shared" si="47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3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44033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45"/>
        <v>0</v>
      </c>
      <c r="AM24" s="58"/>
      <c r="AN24" s="65">
        <f t="shared" si="46"/>
        <v>0</v>
      </c>
      <c r="AO24" s="58"/>
      <c r="AP24" s="65">
        <f t="shared" si="47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3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44034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45"/>
        <v>0</v>
      </c>
      <c r="AM25" s="58"/>
      <c r="AN25" s="65">
        <f t="shared" si="46"/>
        <v>0</v>
      </c>
      <c r="AO25" s="58"/>
      <c r="AP25" s="65">
        <f t="shared" si="47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3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44035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45"/>
        <v>0</v>
      </c>
      <c r="AM26" s="58"/>
      <c r="AN26" s="65">
        <f t="shared" si="46"/>
        <v>0</v>
      </c>
      <c r="AO26" s="58"/>
      <c r="AP26" s="65">
        <f t="shared" si="47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44036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45"/>
        <v>0</v>
      </c>
      <c r="AM27" s="58"/>
      <c r="AN27" s="65">
        <f t="shared" si="46"/>
        <v>0</v>
      </c>
      <c r="AO27" s="58"/>
      <c r="AP27" s="65">
        <f t="shared" si="47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44037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45"/>
        <v>0</v>
      </c>
      <c r="AM28" s="58"/>
      <c r="AN28" s="65">
        <f t="shared" si="46"/>
        <v>0</v>
      </c>
      <c r="AO28" s="58"/>
      <c r="AP28" s="65">
        <f t="shared" si="47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44038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45"/>
        <v>0</v>
      </c>
      <c r="AM29" s="58"/>
      <c r="AN29" s="65">
        <f t="shared" si="46"/>
        <v>0</v>
      </c>
      <c r="AO29" s="58"/>
      <c r="AP29" s="65">
        <f t="shared" si="47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44039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45"/>
        <v>0</v>
      </c>
      <c r="AM30" s="58"/>
      <c r="AN30" s="65">
        <f t="shared" si="46"/>
        <v>0</v>
      </c>
      <c r="AO30" s="58"/>
      <c r="AP30" s="65">
        <f t="shared" si="47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44040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45"/>
        <v>0</v>
      </c>
      <c r="AM31" s="58"/>
      <c r="AN31" s="65">
        <f t="shared" si="46"/>
        <v>0</v>
      </c>
      <c r="AO31" s="58"/>
      <c r="AP31" s="65">
        <f t="shared" si="47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44041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45"/>
        <v>0</v>
      </c>
      <c r="AM32" s="58"/>
      <c r="AN32" s="65">
        <f t="shared" si="46"/>
        <v>0</v>
      </c>
      <c r="AO32" s="58"/>
      <c r="AP32" s="65">
        <f t="shared" si="47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44042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45"/>
        <v>0</v>
      </c>
      <c r="AM33" s="58"/>
      <c r="AN33" s="65">
        <f t="shared" si="46"/>
        <v>0</v>
      </c>
      <c r="AO33" s="58"/>
      <c r="AP33" s="65">
        <f t="shared" si="47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44043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45"/>
        <v>0</v>
      </c>
      <c r="AM34" s="58"/>
      <c r="AN34" s="65">
        <f t="shared" si="46"/>
        <v>0</v>
      </c>
      <c r="AO34" s="58"/>
      <c r="AP34" s="65">
        <f t="shared" si="47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8">IF((CA34-CA33&lt;0), "",CA34-CA33)</f>
        <v>0</v>
      </c>
      <c r="CC34" s="60"/>
      <c r="CD34" s="67">
        <f t="shared" si="33"/>
        <v>0</v>
      </c>
      <c r="CE34" s="60"/>
      <c r="CF34" s="67">
        <f t="shared" ref="CF34" si="49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50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6" zoomScaleNormal="100" workbookViewId="0">
      <selection activeCell="R27" sqref="R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6" t="s">
        <v>0</v>
      </c>
      <c r="B4" s="99" t="s">
        <v>52</v>
      </c>
      <c r="C4" s="99" t="s">
        <v>53</v>
      </c>
      <c r="D4" s="102" t="s">
        <v>54</v>
      </c>
      <c r="E4" s="85" t="s">
        <v>55</v>
      </c>
      <c r="F4" s="105"/>
      <c r="G4" s="105"/>
      <c r="H4" s="105"/>
      <c r="I4" s="105"/>
      <c r="J4" s="86"/>
      <c r="K4" s="93" t="s">
        <v>56</v>
      </c>
      <c r="L4" s="94"/>
      <c r="M4" s="95"/>
      <c r="N4" s="84" t="s">
        <v>35</v>
      </c>
      <c r="O4" s="84"/>
      <c r="P4" s="84"/>
      <c r="Q4" s="84"/>
    </row>
    <row r="5" spans="1:17" ht="33.75" customHeight="1" x14ac:dyDescent="0.25">
      <c r="A5" s="97"/>
      <c r="B5" s="100"/>
      <c r="C5" s="100"/>
      <c r="D5" s="103"/>
      <c r="E5" s="85" t="s">
        <v>57</v>
      </c>
      <c r="F5" s="86"/>
      <c r="G5" s="85" t="s">
        <v>58</v>
      </c>
      <c r="H5" s="86"/>
      <c r="I5" s="85" t="s">
        <v>59</v>
      </c>
      <c r="J5" s="86"/>
      <c r="K5" s="87" t="s">
        <v>60</v>
      </c>
      <c r="L5" s="88"/>
      <c r="M5" s="89"/>
      <c r="N5" s="90" t="s">
        <v>61</v>
      </c>
      <c r="O5" s="91"/>
      <c r="P5" s="91"/>
      <c r="Q5" s="92"/>
    </row>
    <row r="6" spans="1:17" x14ac:dyDescent="0.25">
      <c r="A6" s="98"/>
      <c r="B6" s="101"/>
      <c r="C6" s="101"/>
      <c r="D6" s="104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>
        <v>15</v>
      </c>
      <c r="F17" s="41">
        <v>4775</v>
      </c>
      <c r="G17" s="41">
        <v>0</v>
      </c>
      <c r="H17" s="41">
        <v>1374</v>
      </c>
      <c r="I17" s="41">
        <v>85</v>
      </c>
      <c r="J17" s="41">
        <v>273</v>
      </c>
      <c r="K17" s="42">
        <v>85</v>
      </c>
      <c r="L17" s="42">
        <v>45</v>
      </c>
      <c r="M17" s="42">
        <v>1152</v>
      </c>
      <c r="N17" s="39">
        <v>84</v>
      </c>
      <c r="O17" s="39">
        <v>87</v>
      </c>
      <c r="P17" s="39">
        <v>51</v>
      </c>
      <c r="Q17" s="39">
        <v>2651</v>
      </c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>
        <v>15</v>
      </c>
      <c r="F18" s="41">
        <v>4775</v>
      </c>
      <c r="G18" s="41">
        <v>0</v>
      </c>
      <c r="H18" s="41">
        <v>1374</v>
      </c>
      <c r="I18" s="41">
        <v>85</v>
      </c>
      <c r="J18" s="41">
        <v>273</v>
      </c>
      <c r="K18" s="42">
        <v>85</v>
      </c>
      <c r="L18" s="42">
        <v>45</v>
      </c>
      <c r="M18" s="42">
        <v>1152</v>
      </c>
      <c r="N18" s="39">
        <v>84</v>
      </c>
      <c r="O18" s="39">
        <v>87</v>
      </c>
      <c r="P18" s="39">
        <v>46</v>
      </c>
      <c r="Q18" s="39">
        <v>2654</v>
      </c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>
        <v>15</v>
      </c>
      <c r="F19" s="41">
        <v>4775</v>
      </c>
      <c r="G19" s="41">
        <v>0</v>
      </c>
      <c r="H19" s="41">
        <v>1374</v>
      </c>
      <c r="I19" s="41">
        <v>85</v>
      </c>
      <c r="J19" s="41">
        <v>273</v>
      </c>
      <c r="K19" s="42">
        <v>85</v>
      </c>
      <c r="L19" s="42">
        <v>45</v>
      </c>
      <c r="M19" s="42">
        <v>1152</v>
      </c>
      <c r="N19" s="39">
        <v>84</v>
      </c>
      <c r="O19" s="39">
        <v>87</v>
      </c>
      <c r="P19" s="39">
        <v>44</v>
      </c>
      <c r="Q19" s="39">
        <v>2657</v>
      </c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>
        <v>15</v>
      </c>
      <c r="F20" s="41">
        <v>4775</v>
      </c>
      <c r="G20" s="41">
        <v>0</v>
      </c>
      <c r="H20" s="41">
        <v>1374</v>
      </c>
      <c r="I20" s="41">
        <v>85</v>
      </c>
      <c r="J20" s="41">
        <v>273</v>
      </c>
      <c r="K20" s="42">
        <v>85</v>
      </c>
      <c r="L20" s="42">
        <v>45</v>
      </c>
      <c r="M20" s="42">
        <v>1152</v>
      </c>
      <c r="N20" s="39">
        <v>84</v>
      </c>
      <c r="O20" s="39">
        <v>87</v>
      </c>
      <c r="P20" s="39">
        <v>42</v>
      </c>
      <c r="Q20" s="39">
        <v>2659</v>
      </c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>
        <v>15</v>
      </c>
      <c r="F21" s="41">
        <v>4775</v>
      </c>
      <c r="G21" s="41">
        <v>0</v>
      </c>
      <c r="H21" s="41">
        <v>1374</v>
      </c>
      <c r="I21" s="41">
        <v>85</v>
      </c>
      <c r="J21" s="41">
        <v>273</v>
      </c>
      <c r="K21" s="42">
        <v>85</v>
      </c>
      <c r="L21" s="42">
        <v>45</v>
      </c>
      <c r="M21" s="42">
        <v>1152</v>
      </c>
      <c r="N21" s="39">
        <v>84</v>
      </c>
      <c r="O21" s="39">
        <v>87</v>
      </c>
      <c r="P21" s="39">
        <v>40</v>
      </c>
      <c r="Q21" s="39">
        <v>2661</v>
      </c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2020-07-14T11:23:50Z</dcterms:modified>
</cp:coreProperties>
</file>