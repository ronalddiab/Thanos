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B41BA4F7-4D78-4F8B-98DB-E0DB108452BE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<sst xmlns="http://schemas.openxmlformats.org/spreadsheetml/2006/main" count="203" uniqueCount="130">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</sst>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-223914</c:v>
                </c:pt>
                <c:pt idx="3">
                  <c:v>1.1509447539938731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-7085</c:v>
                </c:pt>
                <c:pt idx="9">
                  <c:v>3.6417747805168904E-2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-7085</c:v>
                </c:pt>
                <c:pt idx="19">
                  <c:v>3.6417747805168904E-2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-402835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30560"/>
        <c:axId val="150932096"/>
      </c:barChart>
      <c:catAx>
        <c:axId val="1509305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932096"/>
        <c:crosses val="autoZero"/>
        <c:auto val="1"/>
        <c:lblAlgn val="ctr"/>
        <c:lblOffset val="100"/>
        <c:noMultiLvlLbl val="0"/>
      </c:catAx>
      <c:valAx>
        <c:axId val="15093209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0930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23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0.9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0.9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0.9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0.9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0.9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0.9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/>
      <c r="L9" s="73">
        <v>0.9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0.9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0.18</v>
      </c>
      <c r="G11" s="104">
        <v>5474</v>
      </c>
      <c r="H11" s="117">
        <v>0.63500000000000001</v>
      </c>
      <c r="I11" s="63">
        <v>368</v>
      </c>
      <c r="J11" s="73">
        <v>1.8</v>
      </c>
      <c r="K11" s="101"/>
      <c r="L11" s="73">
        <v>0.9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>
        <v>20149.999999999862</v>
      </c>
      <c r="F12" s="120">
        <v>0.18</v>
      </c>
      <c r="G12" s="104">
        <v>5375</v>
      </c>
      <c r="H12" s="117">
        <v>0.63500000000000001</v>
      </c>
      <c r="I12" s="63">
        <v>353</v>
      </c>
      <c r="J12" s="73">
        <v>1.8</v>
      </c>
      <c r="K12" s="101"/>
      <c r="L12" s="73">
        <v>0.9</v>
      </c>
      <c r="M12" s="69">
        <v>31</v>
      </c>
      <c r="N12" s="69">
        <v>83</v>
      </c>
      <c r="O12" s="69">
        <v>228</v>
      </c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>
        <v>20259.999999999993</v>
      </c>
      <c r="F13" s="120">
        <v>0.18</v>
      </c>
      <c r="G13" s="104">
        <v>5193</v>
      </c>
      <c r="H13" s="117">
        <v>0.63500000000000001</v>
      </c>
      <c r="I13" s="63">
        <v>360</v>
      </c>
      <c r="J13" s="73">
        <v>1.8</v>
      </c>
      <c r="K13" s="101"/>
      <c r="L13" s="73">
        <v>0.9</v>
      </c>
      <c r="M13" s="69">
        <v>36</v>
      </c>
      <c r="N13" s="69">
        <v>104</v>
      </c>
      <c r="O13" s="69">
        <v>231</v>
      </c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>
        <v>20889.999999998734</v>
      </c>
      <c r="F14" s="120">
        <v>0.18</v>
      </c>
      <c r="G14" s="104">
        <v>5544</v>
      </c>
      <c r="H14" s="117">
        <v>0.63500000000000001</v>
      </c>
      <c r="I14" s="63">
        <v>390</v>
      </c>
      <c r="J14" s="73">
        <v>1.8</v>
      </c>
      <c r="K14" s="101"/>
      <c r="L14" s="73">
        <v>0.9</v>
      </c>
      <c r="M14" s="69">
        <v>54</v>
      </c>
      <c r="N14" s="69">
        <v>150</v>
      </c>
      <c r="O14" s="69">
        <v>315</v>
      </c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>
        <v>22300.000000001091</v>
      </c>
      <c r="F15" s="120">
        <v>0.18</v>
      </c>
      <c r="G15" s="104">
        <v>5792</v>
      </c>
      <c r="H15" s="117">
        <v>0.63500000000000001</v>
      </c>
      <c r="I15" s="63">
        <v>371</v>
      </c>
      <c r="J15" s="73">
        <v>1.8</v>
      </c>
      <c r="K15" s="101"/>
      <c r="L15" s="73">
        <v>0.9</v>
      </c>
      <c r="M15" s="69">
        <v>55</v>
      </c>
      <c r="N15" s="69">
        <v>147</v>
      </c>
      <c r="O15" s="69">
        <v>351</v>
      </c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>
        <v>22360.000000000582</v>
      </c>
      <c r="F16" s="120">
        <v>0.18</v>
      </c>
      <c r="G16" s="104">
        <v>6029</v>
      </c>
      <c r="H16" s="117">
        <v>0.63500000000000001</v>
      </c>
      <c r="I16" s="63">
        <v>354</v>
      </c>
      <c r="J16" s="73">
        <v>1.8</v>
      </c>
      <c r="K16" s="101"/>
      <c r="L16" s="73">
        <v>0.9</v>
      </c>
      <c r="M16" s="69">
        <v>65</v>
      </c>
      <c r="N16" s="69">
        <v>169</v>
      </c>
      <c r="O16" s="69">
        <v>415</v>
      </c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>
        <v>23420.000000000073</v>
      </c>
      <c r="F17" s="120">
        <v>0.18</v>
      </c>
      <c r="G17" s="104">
        <v>6477</v>
      </c>
      <c r="H17" s="117">
        <v>0.63500000000000001</v>
      </c>
      <c r="I17" s="63">
        <v>392</v>
      </c>
      <c r="J17" s="73">
        <v>1.8</v>
      </c>
      <c r="K17" s="101"/>
      <c r="L17" s="73">
        <v>0.9</v>
      </c>
      <c r="M17" s="69">
        <v>74</v>
      </c>
      <c r="N17" s="69">
        <v>201</v>
      </c>
      <c r="O17" s="69">
        <v>555</v>
      </c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>
        <v>22370.0000000008</v>
      </c>
      <c r="F18" s="120">
        <v>0.18</v>
      </c>
      <c r="G18" s="104">
        <v>5828</v>
      </c>
      <c r="H18" s="117">
        <v>0.63500000000000001</v>
      </c>
      <c r="I18" s="63">
        <v>421</v>
      </c>
      <c r="J18" s="73">
        <v>1.8</v>
      </c>
      <c r="K18" s="101"/>
      <c r="L18" s="73">
        <v>0.9</v>
      </c>
      <c r="M18" s="69">
        <v>70</v>
      </c>
      <c r="N18" s="69">
        <v>185</v>
      </c>
      <c r="O18" s="69">
        <v>502</v>
      </c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>
        <v>23879.99999999829</v>
      </c>
      <c r="F19" s="120">
        <v>0.18</v>
      </c>
      <c r="G19" s="104">
        <v>6395</v>
      </c>
      <c r="H19" s="117">
        <v>0.63500000000000001</v>
      </c>
      <c r="I19" s="63">
        <v>470</v>
      </c>
      <c r="J19" s="73">
        <v>1.8</v>
      </c>
      <c r="K19" s="101"/>
      <c r="L19" s="73">
        <v>0.9</v>
      </c>
      <c r="M19" s="69">
        <v>57</v>
      </c>
      <c r="N19" s="69">
        <v>156</v>
      </c>
      <c r="O19" s="69">
        <v>424</v>
      </c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>
        <v>24589.99999999992</v>
      </c>
      <c r="F20" s="120">
        <v>0.18</v>
      </c>
      <c r="G20" s="104">
        <v>6548</v>
      </c>
      <c r="H20" s="117">
        <v>0.63500000000000001</v>
      </c>
      <c r="I20" s="63">
        <v>469</v>
      </c>
      <c r="J20" s="73">
        <v>1.8</v>
      </c>
      <c r="K20" s="101"/>
      <c r="L20" s="73">
        <v>0.9</v>
      </c>
      <c r="M20" s="69">
        <v>52</v>
      </c>
      <c r="N20" s="69">
        <v>150</v>
      </c>
      <c r="O20" s="69">
        <v>427</v>
      </c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>
        <v>24680.000000000065</v>
      </c>
      <c r="F21" s="120">
        <v>0.18</v>
      </c>
      <c r="G21" s="104">
        <v>6492</v>
      </c>
      <c r="H21" s="117">
        <v>0.63500000000000001</v>
      </c>
      <c r="I21" s="63">
        <v>384</v>
      </c>
      <c r="J21" s="73">
        <v>1.8</v>
      </c>
      <c r="K21" s="101"/>
      <c r="L21" s="73">
        <v>0.9</v>
      </c>
      <c r="M21" s="69">
        <v>59</v>
      </c>
      <c r="N21" s="69">
        <v>170</v>
      </c>
      <c r="O21" s="69">
        <v>460</v>
      </c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>
        <v>23709.999999999807</v>
      </c>
      <c r="F22" s="120">
        <v>0.18</v>
      </c>
      <c r="G22" s="104">
        <v>6383</v>
      </c>
      <c r="H22" s="117">
        <v>0.63500000000000001</v>
      </c>
      <c r="I22" s="63">
        <v>449</v>
      </c>
      <c r="J22" s="73">
        <v>1.8</v>
      </c>
      <c r="K22" s="101"/>
      <c r="L22" s="73">
        <v>0.9</v>
      </c>
      <c r="M22" s="69">
        <v>55</v>
      </c>
      <c r="N22" s="69">
        <v>158</v>
      </c>
      <c r="O22" s="69">
        <v>402</v>
      </c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>
        <v>25000.000000000455</v>
      </c>
      <c r="F23" s="120">
        <v>0.18</v>
      </c>
      <c r="G23" s="104">
        <v>6698</v>
      </c>
      <c r="H23" s="117">
        <v>0.63500000000000001</v>
      </c>
      <c r="I23" s="63">
        <v>443</v>
      </c>
      <c r="J23" s="73">
        <v>1.8</v>
      </c>
      <c r="K23" s="101"/>
      <c r="L23" s="73">
        <v>0.9</v>
      </c>
      <c r="M23" s="69">
        <v>55</v>
      </c>
      <c r="N23" s="69">
        <v>161</v>
      </c>
      <c r="O23" s="69">
        <v>429</v>
      </c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494539.99999999913</v>
      </c>
      <c r="F33" s="97">
        <v>0</v>
      </c>
      <c r="G33" s="118">
        <f>SUM(G2:G32)</f>
        <v>131709</v>
      </c>
      <c r="H33" s="95">
        <v>0</v>
      </c>
      <c r="I33" s="96">
        <f>SUM(I2:I32)</f>
        <v>8951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1020</v>
      </c>
      <c r="N33" s="99">
        <f t="shared" si="1"/>
        <v>2708</v>
      </c>
      <c r="O33" s="99">
        <f t="shared" si="1"/>
        <v>7236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>
        <v>31</v>
      </c>
      <c r="W14" s="103">
        <v>83</v>
      </c>
      <c r="X14" s="103">
        <v>228</v>
      </c>
      <c r="Y14" s="17"/>
    </row>
    <row r="15" spans="1:25" ht="21" customHeight="1" x14ac:dyDescent="0.25">
      <c r="A15" s="8">
        <v>44542</v>
      </c>
      <c r="B15" s="108">
        <v>1.1856</v>
      </c>
      <c r="C15" s="109">
        <v>270.14999999999998</v>
      </c>
      <c r="D15" s="109">
        <v>7845538.1200000001</v>
      </c>
      <c r="E15" s="109">
        <v>8658130.4100000001</v>
      </c>
      <c r="F15" s="109">
        <v>2.7888000000000002</v>
      </c>
      <c r="G15" s="109">
        <v>884.54</v>
      </c>
      <c r="H15" s="109">
        <v>732.69</v>
      </c>
      <c r="I15" s="109">
        <v>281.86</v>
      </c>
      <c r="J15" s="109">
        <v>368.84</v>
      </c>
      <c r="K15" s="109">
        <v>389.98</v>
      </c>
      <c r="L15" s="109">
        <v>267.92</v>
      </c>
      <c r="M15" s="109">
        <v>642.29999999999995</v>
      </c>
      <c r="N15" s="109">
        <v>597.22</v>
      </c>
      <c r="O15" s="109">
        <v>184.94</v>
      </c>
      <c r="P15" s="109">
        <v>788.64</v>
      </c>
      <c r="Q15" s="109">
        <v>574.13</v>
      </c>
      <c r="R15" s="109">
        <v>190.15</v>
      </c>
      <c r="S15" s="109">
        <v>135.58000000000001</v>
      </c>
      <c r="T15" s="109">
        <v>496.57</v>
      </c>
      <c r="V15" s="103">
        <v>36</v>
      </c>
      <c r="W15" s="103">
        <v>104</v>
      </c>
      <c r="X15" s="103">
        <v>231</v>
      </c>
      <c r="Y15" s="17"/>
    </row>
    <row r="16" spans="1:25" ht="21" customHeight="1" x14ac:dyDescent="0.25">
      <c r="A16" s="8">
        <v>44543</v>
      </c>
      <c r="B16" s="108">
        <v>1.1865000000000001</v>
      </c>
      <c r="C16" s="109">
        <v>270.43</v>
      </c>
      <c r="D16" s="109">
        <v>7847149.3899999997</v>
      </c>
      <c r="E16" s="109">
        <v>8660270.8699999992</v>
      </c>
      <c r="F16" s="109">
        <v>2.7913999999999999</v>
      </c>
      <c r="G16" s="109">
        <v>885.32</v>
      </c>
      <c r="H16" s="109">
        <v>733.63</v>
      </c>
      <c r="I16" s="109">
        <v>282.06</v>
      </c>
      <c r="J16" s="109">
        <v>369.33</v>
      </c>
      <c r="K16" s="109">
        <v>390.27</v>
      </c>
      <c r="L16" s="109">
        <v>268.16000000000003</v>
      </c>
      <c r="M16" s="109">
        <v>642.84</v>
      </c>
      <c r="N16" s="109">
        <v>597.63</v>
      </c>
      <c r="O16" s="109">
        <v>185.14</v>
      </c>
      <c r="P16" s="109">
        <v>779.34</v>
      </c>
      <c r="Q16" s="109">
        <v>574.62</v>
      </c>
      <c r="R16" s="109">
        <v>190.15</v>
      </c>
      <c r="S16" s="109">
        <v>135.72</v>
      </c>
      <c r="T16" s="109">
        <v>497.04</v>
      </c>
      <c r="V16" s="103">
        <v>54</v>
      </c>
      <c r="W16" s="103">
        <v>150</v>
      </c>
      <c r="X16" s="103">
        <v>315</v>
      </c>
      <c r="Y16" s="17"/>
    </row>
    <row r="17" spans="1:25" ht="21" customHeight="1" x14ac:dyDescent="0.25">
      <c r="A17" s="8">
        <v>44544</v>
      </c>
      <c r="B17" s="108">
        <v>1.1875</v>
      </c>
      <c r="C17" s="109">
        <v>270.70999999999998</v>
      </c>
      <c r="D17" s="109">
        <v>7849020.1100000003</v>
      </c>
      <c r="E17" s="109">
        <v>8662774.2400000002</v>
      </c>
      <c r="F17" s="109">
        <v>2.794</v>
      </c>
      <c r="G17" s="109">
        <v>886.1</v>
      </c>
      <c r="H17" s="109">
        <v>734.57</v>
      </c>
      <c r="I17" s="109">
        <v>282.27999999999997</v>
      </c>
      <c r="J17" s="109">
        <v>369.76</v>
      </c>
      <c r="K17" s="109">
        <v>390.6</v>
      </c>
      <c r="L17" s="109">
        <v>268.39999999999998</v>
      </c>
      <c r="M17" s="109">
        <v>643.47</v>
      </c>
      <c r="N17" s="109">
        <v>598.24</v>
      </c>
      <c r="O17" s="109">
        <v>185.35</v>
      </c>
      <c r="P17" s="109">
        <v>780.3</v>
      </c>
      <c r="Q17" s="109">
        <v>575.14</v>
      </c>
      <c r="R17" s="109">
        <v>190.15</v>
      </c>
      <c r="S17" s="109">
        <v>135.87</v>
      </c>
      <c r="T17" s="109">
        <v>497.5</v>
      </c>
      <c r="V17" s="103">
        <v>55</v>
      </c>
      <c r="W17" s="103">
        <v>147</v>
      </c>
      <c r="X17" s="103">
        <v>351</v>
      </c>
      <c r="Y17" s="17"/>
    </row>
    <row r="18" spans="1:25" ht="21" customHeight="1" x14ac:dyDescent="0.25">
      <c r="A18" s="8">
        <v>44545</v>
      </c>
      <c r="B18" s="108">
        <v>1.1884999999999999</v>
      </c>
      <c r="C18" s="109">
        <v>271</v>
      </c>
      <c r="D18" s="109">
        <v>7851045.0999999996</v>
      </c>
      <c r="E18" s="109">
        <v>8665035.3800000008</v>
      </c>
      <c r="F18" s="109">
        <v>2.7966000000000002</v>
      </c>
      <c r="G18" s="109">
        <v>886.91</v>
      </c>
      <c r="H18" s="109">
        <v>735.52</v>
      </c>
      <c r="I18" s="109">
        <v>282.5</v>
      </c>
      <c r="J18" s="109">
        <v>370.33</v>
      </c>
      <c r="K18" s="109">
        <v>391.02</v>
      </c>
      <c r="L18" s="109">
        <v>268.66000000000003</v>
      </c>
      <c r="M18" s="109">
        <v>644.17999999999995</v>
      </c>
      <c r="N18" s="109">
        <v>598.97</v>
      </c>
      <c r="O18" s="109">
        <v>185.57</v>
      </c>
      <c r="P18" s="109">
        <v>781.22</v>
      </c>
      <c r="Q18" s="109">
        <v>575.76</v>
      </c>
      <c r="R18" s="109">
        <v>190.15</v>
      </c>
      <c r="S18" s="109">
        <v>136.02000000000001</v>
      </c>
      <c r="T18" s="109">
        <v>498.01</v>
      </c>
      <c r="V18" s="103">
        <v>65</v>
      </c>
      <c r="W18" s="103">
        <v>169</v>
      </c>
      <c r="X18" s="103">
        <v>415</v>
      </c>
      <c r="Y18" s="17"/>
    </row>
    <row r="19" spans="1:25" ht="21" customHeight="1" x14ac:dyDescent="0.25">
      <c r="A19" s="8">
        <v>44546</v>
      </c>
      <c r="B19" s="108">
        <v>1.1895</v>
      </c>
      <c r="C19" s="109">
        <v>271.29000000000002</v>
      </c>
      <c r="D19" s="109">
        <v>7853211.7199999997</v>
      </c>
      <c r="E19" s="109">
        <v>8667551.6699999999</v>
      </c>
      <c r="F19" s="109">
        <v>2.7993000000000001</v>
      </c>
      <c r="G19" s="109">
        <v>887.7</v>
      </c>
      <c r="H19" s="109">
        <v>736.5</v>
      </c>
      <c r="I19" s="109">
        <v>282.73</v>
      </c>
      <c r="J19" s="109">
        <v>370.94</v>
      </c>
      <c r="K19" s="109">
        <v>391.5</v>
      </c>
      <c r="L19" s="109">
        <v>268.94</v>
      </c>
      <c r="M19" s="109">
        <v>644.82000000000005</v>
      </c>
      <c r="N19" s="109">
        <v>599.82000000000005</v>
      </c>
      <c r="O19" s="109">
        <v>185.83</v>
      </c>
      <c r="P19" s="109">
        <v>782.23</v>
      </c>
      <c r="Q19" s="109">
        <v>576.41999999999996</v>
      </c>
      <c r="R19" s="109">
        <v>190.15</v>
      </c>
      <c r="S19" s="109">
        <v>136.16999999999999</v>
      </c>
      <c r="T19" s="109">
        <v>498.55</v>
      </c>
      <c r="V19" s="103">
        <v>74</v>
      </c>
      <c r="W19" s="103">
        <v>201</v>
      </c>
      <c r="X19" s="103">
        <v>555</v>
      </c>
      <c r="Y19" s="17"/>
    </row>
    <row r="20" spans="1:25" ht="21" customHeight="1" x14ac:dyDescent="0.25">
      <c r="A20" s="8">
        <v>44547</v>
      </c>
      <c r="B20" s="108">
        <v>1.1906000000000001</v>
      </c>
      <c r="C20" s="109">
        <v>271.57</v>
      </c>
      <c r="D20" s="109">
        <v>7855437.6399999997</v>
      </c>
      <c r="E20" s="109">
        <v>8670192.9499999993</v>
      </c>
      <c r="F20" s="109">
        <v>2.8020999999999998</v>
      </c>
      <c r="G20" s="109">
        <v>888.67</v>
      </c>
      <c r="H20" s="109">
        <v>737.77</v>
      </c>
      <c r="I20" s="109">
        <v>283.02</v>
      </c>
      <c r="J20" s="109">
        <v>371.63</v>
      </c>
      <c r="K20" s="109">
        <v>391.93</v>
      </c>
      <c r="L20" s="109">
        <v>269.20999999999998</v>
      </c>
      <c r="M20" s="109">
        <v>645.66999999999996</v>
      </c>
      <c r="N20" s="109">
        <v>600.73</v>
      </c>
      <c r="O20" s="109">
        <v>186.04</v>
      </c>
      <c r="P20" s="109">
        <v>783.28</v>
      </c>
      <c r="Q20" s="109">
        <v>577.17999999999995</v>
      </c>
      <c r="R20" s="109">
        <v>190.15</v>
      </c>
      <c r="S20" s="109">
        <v>136.33000000000001</v>
      </c>
      <c r="T20" s="109">
        <v>499.07</v>
      </c>
      <c r="V20" s="103">
        <v>70</v>
      </c>
      <c r="W20" s="103">
        <v>185</v>
      </c>
      <c r="X20" s="103">
        <v>502</v>
      </c>
      <c r="Y20" s="17"/>
    </row>
    <row r="21" spans="1:25" ht="21" customHeight="1" x14ac:dyDescent="0.25">
      <c r="A21" s="8">
        <v>44548</v>
      </c>
      <c r="B21" s="108">
        <v>1.1915</v>
      </c>
      <c r="C21" s="109">
        <v>271.83999999999997</v>
      </c>
      <c r="D21" s="109">
        <v>7857359.1500000004</v>
      </c>
      <c r="E21" s="109">
        <v>8672452.3599999994</v>
      </c>
      <c r="F21" s="109">
        <v>2.8048000000000002</v>
      </c>
      <c r="G21" s="109">
        <v>889.44</v>
      </c>
      <c r="H21" s="109">
        <v>738.77</v>
      </c>
      <c r="I21" s="109">
        <v>283.20999999999998</v>
      </c>
      <c r="J21" s="109">
        <v>372.3</v>
      </c>
      <c r="K21" s="109">
        <v>392.39</v>
      </c>
      <c r="L21" s="109">
        <v>269.52</v>
      </c>
      <c r="M21" s="109">
        <v>646.29999999999995</v>
      </c>
      <c r="N21" s="109">
        <v>601.30999999999995</v>
      </c>
      <c r="O21" s="109">
        <v>186.27</v>
      </c>
      <c r="P21" s="109">
        <v>784.15</v>
      </c>
      <c r="Q21" s="109">
        <v>577.77</v>
      </c>
      <c r="R21" s="109">
        <v>190.15</v>
      </c>
      <c r="S21" s="109">
        <v>136.49</v>
      </c>
      <c r="T21" s="109">
        <v>499.63</v>
      </c>
      <c r="V21" s="103">
        <v>57</v>
      </c>
      <c r="W21" s="103">
        <v>156</v>
      </c>
      <c r="X21" s="103">
        <v>424</v>
      </c>
      <c r="Y21" s="17"/>
    </row>
    <row r="22" spans="1:25" ht="21" customHeight="1" x14ac:dyDescent="0.25">
      <c r="A22" s="8">
        <v>44549</v>
      </c>
      <c r="B22" s="108">
        <v>1.1926000000000001</v>
      </c>
      <c r="C22" s="109">
        <v>272.12</v>
      </c>
      <c r="D22" s="109">
        <v>7859450.6299999999</v>
      </c>
      <c r="E22" s="109">
        <v>8675098.7899999991</v>
      </c>
      <c r="F22" s="109">
        <v>2.8075000000000001</v>
      </c>
      <c r="G22" s="109">
        <v>890.33</v>
      </c>
      <c r="H22" s="109">
        <v>739.95</v>
      </c>
      <c r="I22" s="109">
        <v>283.47000000000003</v>
      </c>
      <c r="J22" s="109">
        <v>372.91</v>
      </c>
      <c r="K22" s="109">
        <v>392.9</v>
      </c>
      <c r="L22" s="109">
        <v>269.82</v>
      </c>
      <c r="M22" s="109">
        <v>647.11</v>
      </c>
      <c r="N22" s="109">
        <v>602.04</v>
      </c>
      <c r="O22" s="109">
        <v>186.52</v>
      </c>
      <c r="P22" s="109">
        <v>785.14</v>
      </c>
      <c r="Q22" s="109">
        <v>578.4</v>
      </c>
      <c r="R22" s="113">
        <v>190.15</v>
      </c>
      <c r="S22" s="109">
        <v>136.63999999999999</v>
      </c>
      <c r="T22" s="109">
        <v>500.2</v>
      </c>
      <c r="V22" s="103">
        <v>52</v>
      </c>
      <c r="W22" s="103">
        <v>150</v>
      </c>
      <c r="X22" s="103">
        <v>427</v>
      </c>
      <c r="Y22" s="17"/>
    </row>
    <row r="23" spans="1:25" ht="21" customHeight="1" x14ac:dyDescent="0.25">
      <c r="A23" s="8">
        <v>44550</v>
      </c>
      <c r="B23" s="108">
        <v>1.1937</v>
      </c>
      <c r="C23" s="109">
        <v>272.39999999999998</v>
      </c>
      <c r="D23" s="109">
        <v>7861814.7400000002</v>
      </c>
      <c r="E23" s="109">
        <v>8678050.8499999996</v>
      </c>
      <c r="F23" s="109">
        <v>2.8102</v>
      </c>
      <c r="G23" s="109">
        <v>891.34</v>
      </c>
      <c r="H23" s="109">
        <v>741.01</v>
      </c>
      <c r="I23" s="109">
        <v>283.73</v>
      </c>
      <c r="J23" s="109">
        <v>373.55</v>
      </c>
      <c r="K23" s="109">
        <v>393.42</v>
      </c>
      <c r="L23" s="109">
        <v>270.11</v>
      </c>
      <c r="M23" s="109">
        <v>647.86</v>
      </c>
      <c r="N23" s="109">
        <v>602.78</v>
      </c>
      <c r="O23" s="109">
        <v>186.76</v>
      </c>
      <c r="P23" s="109">
        <v>786.06</v>
      </c>
      <c r="Q23" s="109">
        <v>579.11</v>
      </c>
      <c r="R23" s="109">
        <v>190.15</v>
      </c>
      <c r="S23" s="109">
        <v>136.80000000000001</v>
      </c>
      <c r="T23" s="109">
        <v>500.79</v>
      </c>
      <c r="V23" s="103">
        <v>59</v>
      </c>
      <c r="W23" s="103">
        <v>170</v>
      </c>
      <c r="X23" s="103">
        <v>460</v>
      </c>
      <c r="Y23" s="17"/>
    </row>
    <row r="24" spans="1:25" ht="21" customHeight="1" x14ac:dyDescent="0.25">
      <c r="A24" s="8">
        <v>44551</v>
      </c>
      <c r="B24" s="108">
        <v>1.1948000000000001</v>
      </c>
      <c r="C24" s="109">
        <v>272.68</v>
      </c>
      <c r="D24" s="109">
        <v>7864121.0599999996</v>
      </c>
      <c r="E24" s="109">
        <v>8680834.7400000002</v>
      </c>
      <c r="F24" s="109">
        <v>2.8129</v>
      </c>
      <c r="G24" s="109">
        <v>892.37</v>
      </c>
      <c r="H24" s="109">
        <v>742.22</v>
      </c>
      <c r="I24" s="109">
        <v>284.02999999999997</v>
      </c>
      <c r="J24" s="109">
        <v>374.24</v>
      </c>
      <c r="K24" s="109">
        <v>393.92</v>
      </c>
      <c r="L24" s="109">
        <v>270.41000000000003</v>
      </c>
      <c r="M24" s="109">
        <v>648.57000000000005</v>
      </c>
      <c r="N24" s="109">
        <v>603.52</v>
      </c>
      <c r="O24" s="109">
        <v>186.99</v>
      </c>
      <c r="P24" s="109">
        <v>787.02</v>
      </c>
      <c r="Q24" s="109">
        <v>579.87</v>
      </c>
      <c r="R24" s="109">
        <v>190.15</v>
      </c>
      <c r="S24" s="109">
        <v>136.94999999999999</v>
      </c>
      <c r="T24" s="109">
        <v>501.39</v>
      </c>
      <c r="V24" s="103">
        <v>55</v>
      </c>
      <c r="W24" s="103">
        <v>158</v>
      </c>
      <c r="X24" s="103">
        <v>402</v>
      </c>
      <c r="Y24" s="17"/>
    </row>
    <row r="25" spans="1:25" ht="21" customHeight="1" x14ac:dyDescent="0.25">
      <c r="A25" s="8">
        <v>44552</v>
      </c>
      <c r="B25" s="108">
        <v>1.1959</v>
      </c>
      <c r="C25" s="109">
        <v>272.98</v>
      </c>
      <c r="D25" s="109">
        <v>7866243.8300000001</v>
      </c>
      <c r="E25" s="109">
        <v>8683480.9700000007</v>
      </c>
      <c r="F25" s="109">
        <v>2.8157000000000001</v>
      </c>
      <c r="G25" s="109">
        <v>893.38</v>
      </c>
      <c r="H25" s="109">
        <v>743.5</v>
      </c>
      <c r="I25" s="109">
        <v>284.36</v>
      </c>
      <c r="J25" s="109">
        <v>374.8</v>
      </c>
      <c r="K25" s="109">
        <v>394.43</v>
      </c>
      <c r="L25" s="109">
        <v>270.70999999999998</v>
      </c>
      <c r="M25" s="109">
        <v>649.34</v>
      </c>
      <c r="N25" s="109">
        <v>604.22</v>
      </c>
      <c r="O25" s="109">
        <v>187.22</v>
      </c>
      <c r="P25" s="109">
        <v>787.92</v>
      </c>
      <c r="Q25" s="109">
        <v>580.57000000000005</v>
      </c>
      <c r="R25" s="109">
        <v>190.15</v>
      </c>
      <c r="S25" s="109">
        <v>137.11000000000001</v>
      </c>
      <c r="T25" s="109">
        <v>502</v>
      </c>
      <c r="V25" s="103">
        <v>55</v>
      </c>
      <c r="W25" s="103">
        <v>161</v>
      </c>
      <c r="X25" s="103">
        <v>429</v>
      </c>
      <c r="Y25" s="17"/>
    </row>
    <row r="26" spans="1:25" ht="21" customHeight="1" x14ac:dyDescent="0.25">
      <c r="A26" s="8">
        <v>44553</v>
      </c>
      <c r="B26" s="108">
        <v>1.1970000000000001</v>
      </c>
      <c r="C26" s="109">
        <v>273.26</v>
      </c>
      <c r="D26" s="109">
        <v>7868428.46</v>
      </c>
      <c r="E26" s="109">
        <v>8686249.4399999995</v>
      </c>
      <c r="F26" s="109">
        <v>2.8184999999999998</v>
      </c>
      <c r="G26" s="109">
        <v>894.39</v>
      </c>
      <c r="H26" s="109">
        <v>744.83</v>
      </c>
      <c r="I26" s="109">
        <v>284.69</v>
      </c>
      <c r="J26" s="109">
        <v>375.4</v>
      </c>
      <c r="K26" s="109">
        <v>394.95</v>
      </c>
      <c r="L26" s="109">
        <v>270.98</v>
      </c>
      <c r="M26" s="109">
        <v>650.21</v>
      </c>
      <c r="N26" s="109">
        <v>605.04</v>
      </c>
      <c r="O26" s="109">
        <v>187.48</v>
      </c>
      <c r="P26" s="109">
        <v>788.88</v>
      </c>
      <c r="Q26" s="109">
        <v>581.28</v>
      </c>
      <c r="R26" s="109">
        <v>190.15</v>
      </c>
      <c r="S26" s="109">
        <v>137.27000000000001</v>
      </c>
      <c r="T26" s="109">
        <v>502.62</v>
      </c>
      <c r="V26" s="103"/>
      <c r="W26" s="103"/>
      <c r="X26" s="103"/>
      <c r="Y26" s="17"/>
    </row>
    <row r="27" spans="1:25" ht="21" customHeight="1" x14ac:dyDescent="0.25">
      <c r="A27" s="8">
        <v>44554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44555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44556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44557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44558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44559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44560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44561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1020</v>
      </c>
      <c r="W35" s="75">
        <f>SUM(W4:W34)</f>
        <v>2708</v>
      </c>
      <c r="X35" s="75">
        <f>SUM(X4:X34)</f>
        <v>7236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R31" sqref="R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20149.999999999862</v>
      </c>
      <c r="C14" s="4">
        <f>('Kwh Reading'!T15-'Kwh Reading'!T14)*1000</f>
        <v>529.99999999997272</v>
      </c>
      <c r="D14" s="2">
        <f>('Kwh Reading'!F15-'Kwh Reading'!F14)*1000000</f>
        <v>2600.0000000001578</v>
      </c>
      <c r="E14" s="2">
        <f>('Kwh Reading'!C15-'Kwh Reading'!C14)*1000</f>
        <v>269.99999999998181</v>
      </c>
      <c r="F14" s="2">
        <f>('Kwh Reading'!J15-'Kwh Reading'!J14)*1000</f>
        <v>489.99999999995225</v>
      </c>
      <c r="G14" s="2">
        <f>('Kwh Reading'!K15-'Kwh Reading'!K14)*1000</f>
        <v>350.00000000002274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160.00000000002501</v>
      </c>
      <c r="K14" s="2">
        <f>('Kwh Reading'!I15-'Kwh Reading'!I14)*1000</f>
        <v>210.00000000003638</v>
      </c>
      <c r="L14" s="2">
        <f>('Kwh Reading'!B15-'Kwh Reading'!B14)*1000000</f>
        <v>999.99999999988984</v>
      </c>
      <c r="M14" s="2">
        <f>('Kwh Reading'!M15-'Kwh Reading'!M14)*1000</f>
        <v>519.99999999998181</v>
      </c>
      <c r="N14" s="2">
        <f>('Kwh Reading'!H15-'Kwh Reading'!H14)*1000</f>
        <v>1010.0000000001046</v>
      </c>
      <c r="O14" s="2">
        <f>('Kwh Reading'!P15-'Kwh Reading'!P14)*1000</f>
        <v>10759.999999999991</v>
      </c>
      <c r="P14" s="2">
        <f>('Kwh Reading'!G15-'Kwh Reading'!G14)*1000</f>
        <v>740.00000000000909</v>
      </c>
      <c r="Q14" s="2">
        <f>('Kwh Reading'!Q15-'Kwh Reading'!Q14)*1000</f>
        <v>580.00000000004093</v>
      </c>
      <c r="R14" s="2">
        <f>('Kwh Reading'!N15-'Kwh Reading'!N14)*1000</f>
        <v>460.00000000003638</v>
      </c>
      <c r="S14" s="33">
        <f>'Kwh Reading'!E15-'Kwh Reading'!E14</f>
        <v>2364.1699999999255</v>
      </c>
      <c r="T14" s="33">
        <f>'Kwh Reading'!D15-'Kwh Reading'!D14</f>
        <v>1845.5300000002608</v>
      </c>
      <c r="U14" s="27">
        <f>('Kwh Reading'!O15-'Kwh Reading'!O14)*1000</f>
        <v>199.99999999998863</v>
      </c>
      <c r="V14" s="16">
        <f t="shared" si="1"/>
        <v>-4179.700000000521</v>
      </c>
    </row>
    <row r="15" spans="1:22" x14ac:dyDescent="0.25">
      <c r="A15" s="3">
        <f>'Kwh Reading'!A15</f>
        <v>44542</v>
      </c>
      <c r="B15" s="26">
        <f>TOTAL!E13</f>
        <v>20259.999999999993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280.00000000002956</v>
      </c>
      <c r="F15" s="2">
        <f>('Kwh Reading'!J16-'Kwh Reading'!J15)*1000</f>
        <v>490.00000000000909</v>
      </c>
      <c r="G15" s="2">
        <f>('Kwh Reading'!K16-'Kwh Reading'!K15)*1000</f>
        <v>289.99999999996362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199.99999999998863</v>
      </c>
      <c r="L15" s="2">
        <f>('Kwh Reading'!B16-'Kwh Reading'!B15)*1000000</f>
        <v>900.0000000001229</v>
      </c>
      <c r="M15" s="2">
        <f>('Kwh Reading'!M16-'Kwh Reading'!M15)*1000</f>
        <v>540.00000000007731</v>
      </c>
      <c r="N15" s="2">
        <f>('Kwh Reading'!H16-'Kwh Reading'!H15)*1000</f>
        <v>939.99999999994088</v>
      </c>
      <c r="O15" s="2">
        <f>('Kwh Reading'!P16-'Kwh Reading'!P15)*1000</f>
        <v>-9299.9999999999545</v>
      </c>
      <c r="P15" s="2">
        <f>('Kwh Reading'!G16-'Kwh Reading'!G15)*1000</f>
        <v>780.0000000000864</v>
      </c>
      <c r="Q15" s="2">
        <f>('Kwh Reading'!Q16-'Kwh Reading'!Q15)*1000</f>
        <v>490.00000000000909</v>
      </c>
      <c r="R15" s="2">
        <f>('Kwh Reading'!N16-'Kwh Reading'!N15)*1000</f>
        <v>409.99999999996817</v>
      </c>
      <c r="S15" s="33">
        <f>'Kwh Reading'!E16-'Kwh Reading'!E15</f>
        <v>2140.4599999990314</v>
      </c>
      <c r="T15" s="33">
        <f>'Kwh Reading'!D16-'Kwh Reading'!D15</f>
        <v>1611.269999999553</v>
      </c>
      <c r="U15" s="27">
        <f>('Kwh Reading'!O16-'Kwh Reading'!O15)*1000</f>
        <v>199.99999999998863</v>
      </c>
      <c r="V15" s="16">
        <f t="shared" si="1"/>
        <v>16838.270000001441</v>
      </c>
    </row>
    <row r="16" spans="1:22" x14ac:dyDescent="0.25">
      <c r="A16" s="3">
        <f>'Kwh Reading'!A16</f>
        <v>44543</v>
      </c>
      <c r="B16" s="26">
        <f>TOTAL!E14</f>
        <v>20889.999999998734</v>
      </c>
      <c r="C16" s="4">
        <f>('Kwh Reading'!T17-'Kwh Reading'!T16)*1000</f>
        <v>459.99999999997954</v>
      </c>
      <c r="D16" s="2">
        <f>('Kwh Reading'!F17-'Kwh Reading'!F16)*1000000</f>
        <v>2600.0000000001578</v>
      </c>
      <c r="E16" s="2">
        <f>('Kwh Reading'!C17-'Kwh Reading'!C16)*1000</f>
        <v>279.99999999997272</v>
      </c>
      <c r="F16" s="2">
        <f>('Kwh Reading'!J17-'Kwh Reading'!J16)*1000</f>
        <v>430.00000000000682</v>
      </c>
      <c r="G16" s="2">
        <f>('Kwh Reading'!K17-'Kwh Reading'!K16)*1000</f>
        <v>330.00000000004093</v>
      </c>
      <c r="H16" s="2">
        <f>('Kwh Reading'!L17-'Kwh Reading'!L16)*1000</f>
        <v>239.99999999995225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219.99999999997044</v>
      </c>
      <c r="L16" s="2">
        <f>('Kwh Reading'!B17-'Kwh Reading'!B16)*1000000</f>
        <v>999.99999999988984</v>
      </c>
      <c r="M16" s="2">
        <f>('Kwh Reading'!M17-'Kwh Reading'!M16)*1000</f>
        <v>629.99999999999545</v>
      </c>
      <c r="N16" s="2">
        <f>('Kwh Reading'!H17-'Kwh Reading'!H16)*1000</f>
        <v>940.00000000005457</v>
      </c>
      <c r="O16" s="2">
        <f>('Kwh Reading'!P17-'Kwh Reading'!P16)*1000</f>
        <v>959.99999999992269</v>
      </c>
      <c r="P16" s="2">
        <f>('Kwh Reading'!G17-'Kwh Reading'!G16)*1000</f>
        <v>779.99999999997272</v>
      </c>
      <c r="Q16" s="2">
        <f>('Kwh Reading'!Q17-'Kwh Reading'!Q16)*1000</f>
        <v>519.99999999998181</v>
      </c>
      <c r="R16" s="2">
        <f>('Kwh Reading'!N17-'Kwh Reading'!N16)*1000</f>
        <v>610.00000000001364</v>
      </c>
      <c r="S16" s="33">
        <f>'Kwh Reading'!E17-'Kwh Reading'!E16</f>
        <v>2503.3700000010431</v>
      </c>
      <c r="T16" s="33">
        <f>'Kwh Reading'!D17-'Kwh Reading'!D16</f>
        <v>1870.7200000006706</v>
      </c>
      <c r="U16" s="27">
        <f>('Kwh Reading'!O17-'Kwh Reading'!O16)*1000</f>
        <v>210.00000000000796</v>
      </c>
      <c r="V16" s="16">
        <f t="shared" si="1"/>
        <v>6155.9099999970967</v>
      </c>
    </row>
    <row r="17" spans="1:22" x14ac:dyDescent="0.25">
      <c r="A17" s="3">
        <f>'Kwh Reading'!A17</f>
        <v>44544</v>
      </c>
      <c r="B17" s="26">
        <f>TOTAL!E15</f>
        <v>22300.000000001091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290.00000000002046</v>
      </c>
      <c r="F17" s="2">
        <f>('Kwh Reading'!J18-'Kwh Reading'!J17)*1000</f>
        <v>569.99999999999318</v>
      </c>
      <c r="G17" s="2">
        <f>('Kwh Reading'!K18-'Kwh Reading'!K17)*1000</f>
        <v>419.99999999995907</v>
      </c>
      <c r="H17" s="2">
        <f>('Kwh Reading'!L18-'Kwh Reading'!L17)*1000</f>
        <v>260.00000000004775</v>
      </c>
      <c r="I17" s="2">
        <f>('Kwh Reading'!R18-'Kwh Reading'!R17)*1000</f>
        <v>0</v>
      </c>
      <c r="J17" s="2">
        <f>('Kwh Reading'!S18-'Kwh Reading'!S17)*1000</f>
        <v>150.00000000000568</v>
      </c>
      <c r="K17" s="2">
        <f>('Kwh Reading'!I18-'Kwh Reading'!I17)*1000</f>
        <v>220.00000000002728</v>
      </c>
      <c r="L17" s="2">
        <f>('Kwh Reading'!B18-'Kwh Reading'!B17)*1000000</f>
        <v>999.99999999988984</v>
      </c>
      <c r="M17" s="2">
        <f>('Kwh Reading'!M18-'Kwh Reading'!M17)*1000</f>
        <v>709.99999999992269</v>
      </c>
      <c r="N17" s="2">
        <f>('Kwh Reading'!H18-'Kwh Reading'!H17)*1000</f>
        <v>949.99999999993179</v>
      </c>
      <c r="O17" s="2">
        <f>('Kwh Reading'!P18-'Kwh Reading'!P17)*1000</f>
        <v>920.00000000007276</v>
      </c>
      <c r="P17" s="2">
        <f>('Kwh Reading'!G18-'Kwh Reading'!G17)*1000</f>
        <v>809.99999999994543</v>
      </c>
      <c r="Q17" s="2">
        <f>('Kwh Reading'!Q18-'Kwh Reading'!Q17)*1000</f>
        <v>620.00000000000455</v>
      </c>
      <c r="R17" s="2">
        <f>('Kwh Reading'!N18-'Kwh Reading'!N17)*1000</f>
        <v>730.00000000001819</v>
      </c>
      <c r="S17" s="33">
        <f>'Kwh Reading'!E18-'Kwh Reading'!E17</f>
        <v>2261.140000000596</v>
      </c>
      <c r="T17" s="33">
        <f>'Kwh Reading'!D18-'Kwh Reading'!D17</f>
        <v>2024.9899999992922</v>
      </c>
      <c r="U17" s="27">
        <f>('Kwh Reading'!O18-'Kwh Reading'!O17)*1000</f>
        <v>219.99999999999886</v>
      </c>
      <c r="V17" s="16">
        <f t="shared" si="1"/>
        <v>7033.8700000012195</v>
      </c>
    </row>
    <row r="18" spans="1:22" x14ac:dyDescent="0.25">
      <c r="A18" s="3">
        <f>'Kwh Reading'!A18</f>
        <v>44545</v>
      </c>
      <c r="B18" s="26">
        <f>TOTAL!E16</f>
        <v>22360.000000000582</v>
      </c>
      <c r="C18" s="4">
        <f>('Kwh Reading'!T19-'Kwh Reading'!T18)*1000</f>
        <v>540.00000000002046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610.00000000001364</v>
      </c>
      <c r="G18" s="2">
        <f>('Kwh Reading'!K19-'Kwh Reading'!K18)*1000</f>
        <v>480.00000000001819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230.00000000001819</v>
      </c>
      <c r="L18" s="2">
        <f>('Kwh Reading'!B19-'Kwh Reading'!B18)*1000000</f>
        <v>1000.0000000001119</v>
      </c>
      <c r="M18" s="2">
        <f>('Kwh Reading'!M19-'Kwh Reading'!M18)*1000</f>
        <v>640.00000000010004</v>
      </c>
      <c r="N18" s="2">
        <f>('Kwh Reading'!H19-'Kwh Reading'!H18)*1000</f>
        <v>980.00000000001819</v>
      </c>
      <c r="O18" s="2">
        <f>('Kwh Reading'!P19-'Kwh Reading'!P18)*1000</f>
        <v>1009.9999999999909</v>
      </c>
      <c r="P18" s="2">
        <f>('Kwh Reading'!G19-'Kwh Reading'!G18)*1000</f>
        <v>790.00000000007731</v>
      </c>
      <c r="Q18" s="2">
        <f>('Kwh Reading'!Q19-'Kwh Reading'!Q18)*1000</f>
        <v>659.99999999996817</v>
      </c>
      <c r="R18" s="2">
        <f>('Kwh Reading'!N19-'Kwh Reading'!N18)*1000</f>
        <v>850.00000000002274</v>
      </c>
      <c r="S18" s="33">
        <f>'Kwh Reading'!E19-'Kwh Reading'!E18</f>
        <v>2516.2899999991059</v>
      </c>
      <c r="T18" s="33">
        <f>'Kwh Reading'!D19-'Kwh Reading'!D18</f>
        <v>2166.6200000001118</v>
      </c>
      <c r="U18" s="27">
        <f>('Kwh Reading'!O19-'Kwh Reading'!O18)*1000</f>
        <v>260.00000000001933</v>
      </c>
      <c r="V18" s="16">
        <f t="shared" si="1"/>
        <v>6207.0900000010934</v>
      </c>
    </row>
    <row r="19" spans="1:22" x14ac:dyDescent="0.25">
      <c r="A19" s="3">
        <f>'Kwh Reading'!A19</f>
        <v>44546</v>
      </c>
      <c r="B19" s="26">
        <f>TOTAL!E17</f>
        <v>23420.000000000073</v>
      </c>
      <c r="C19" s="4">
        <f>('Kwh Reading'!T20-'Kwh Reading'!T19)*1000</f>
        <v>519.99999999998181</v>
      </c>
      <c r="D19" s="2">
        <f>('Kwh Reading'!F20-'Kwh Reading'!F19)*1000000</f>
        <v>2799.9999999996917</v>
      </c>
      <c r="E19" s="2">
        <f>('Kwh Reading'!C20-'Kwh Reading'!C19)*1000</f>
        <v>279.99999999997272</v>
      </c>
      <c r="F19" s="2">
        <f>('Kwh Reading'!J20-'Kwh Reading'!J19)*1000</f>
        <v>689.99999999999773</v>
      </c>
      <c r="G19" s="2">
        <f>('Kwh Reading'!K20-'Kwh Reading'!K19)*1000</f>
        <v>430.00000000000682</v>
      </c>
      <c r="H19" s="2">
        <f>('Kwh Reading'!L20-'Kwh Reading'!L19)*1000</f>
        <v>269.99999999998181</v>
      </c>
      <c r="I19" s="2">
        <f>('Kwh Reading'!R20-'Kwh Reading'!R19)*1000</f>
        <v>0</v>
      </c>
      <c r="J19" s="2">
        <f>('Kwh Reading'!S20-'Kwh Reading'!S19)*1000</f>
        <v>160.00000000002501</v>
      </c>
      <c r="K19" s="2">
        <f>('Kwh Reading'!I20-'Kwh Reading'!I19)*1000</f>
        <v>289.99999999996362</v>
      </c>
      <c r="L19" s="2">
        <f>('Kwh Reading'!B20-'Kwh Reading'!B19)*1000000</f>
        <v>1100.000000000101</v>
      </c>
      <c r="M19" s="2">
        <f>('Kwh Reading'!M20-'Kwh Reading'!M19)*1000</f>
        <v>849.99999999990905</v>
      </c>
      <c r="N19" s="2">
        <f>('Kwh Reading'!H20-'Kwh Reading'!H19)*1000</f>
        <v>1269.9999999999818</v>
      </c>
      <c r="O19" s="2">
        <f>('Kwh Reading'!P20-'Kwh Reading'!P19)*1000</f>
        <v>1049.9999999999545</v>
      </c>
      <c r="P19" s="2">
        <f>('Kwh Reading'!G20-'Kwh Reading'!G19)*1000</f>
        <v>969.9999999999136</v>
      </c>
      <c r="Q19" s="2">
        <f>('Kwh Reading'!Q20-'Kwh Reading'!Q19)*1000</f>
        <v>759.99999999999091</v>
      </c>
      <c r="R19" s="2">
        <f>('Kwh Reading'!N20-'Kwh Reading'!N19)*1000</f>
        <v>909.99999999996817</v>
      </c>
      <c r="S19" s="33">
        <f>'Kwh Reading'!E20-'Kwh Reading'!E19</f>
        <v>2641.2799999993294</v>
      </c>
      <c r="T19" s="33">
        <f>'Kwh Reading'!D20-'Kwh Reading'!D19</f>
        <v>2225.9199999999255</v>
      </c>
      <c r="U19" s="27">
        <f>('Kwh Reading'!O20-'Kwh Reading'!O19)*1000</f>
        <v>209.99999999997954</v>
      </c>
      <c r="V19" s="16">
        <f t="shared" si="1"/>
        <v>5992.8000000013963</v>
      </c>
    </row>
    <row r="20" spans="1:22" x14ac:dyDescent="0.25">
      <c r="A20" s="3">
        <f>'Kwh Reading'!A20</f>
        <v>44547</v>
      </c>
      <c r="B20" s="26">
        <f>TOTAL!E18</f>
        <v>22370.0000000008</v>
      </c>
      <c r="C20" s="4">
        <f>('Kwh Reading'!T21-'Kwh Reading'!T20)*1000</f>
        <v>560.00000000000227</v>
      </c>
      <c r="D20" s="2">
        <f>('Kwh Reading'!F21-'Kwh Reading'!F20)*1000000</f>
        <v>2700.0000000003688</v>
      </c>
      <c r="E20" s="2">
        <f>('Kwh Reading'!C21-'Kwh Reading'!C20)*1000</f>
        <v>269.99999999998181</v>
      </c>
      <c r="F20" s="2">
        <f>('Kwh Reading'!J21-'Kwh Reading'!J20)*1000</f>
        <v>670.00000000001592</v>
      </c>
      <c r="G20" s="2">
        <f>('Kwh Reading'!K21-'Kwh Reading'!K20)*1000</f>
        <v>459.99999999997954</v>
      </c>
      <c r="H20" s="2">
        <f>('Kwh Reading'!L21-'Kwh Reading'!L20)*1000</f>
        <v>310.00000000000227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189.99999999999773</v>
      </c>
      <c r="L20" s="2">
        <f>('Kwh Reading'!B21-'Kwh Reading'!B20)*1000000</f>
        <v>899.99999999990087</v>
      </c>
      <c r="M20" s="2">
        <f>('Kwh Reading'!M21-'Kwh Reading'!M20)*1000</f>
        <v>629.99999999999545</v>
      </c>
      <c r="N20" s="2">
        <f>('Kwh Reading'!H21-'Kwh Reading'!H20)*1000</f>
        <v>1000</v>
      </c>
      <c r="O20" s="2">
        <f>('Kwh Reading'!P21-'Kwh Reading'!P20)*1000</f>
        <v>870.00000000000455</v>
      </c>
      <c r="P20" s="2">
        <f>('Kwh Reading'!G21-'Kwh Reading'!G20)*1000</f>
        <v>770.0000000000955</v>
      </c>
      <c r="Q20" s="2">
        <f>('Kwh Reading'!Q21-'Kwh Reading'!Q20)*1000</f>
        <v>590.00000000003183</v>
      </c>
      <c r="R20" s="2">
        <f>('Kwh Reading'!N21-'Kwh Reading'!N20)*1000</f>
        <v>579.99999999992724</v>
      </c>
      <c r="S20" s="33">
        <f>'Kwh Reading'!E21-'Kwh Reading'!E20</f>
        <v>2259.410000000149</v>
      </c>
      <c r="T20" s="33">
        <f>'Kwh Reading'!D21-'Kwh Reading'!D20</f>
        <v>1921.5100000007078</v>
      </c>
      <c r="U20" s="27">
        <f>('Kwh Reading'!O21-'Kwh Reading'!O20)*1000</f>
        <v>230.00000000001819</v>
      </c>
      <c r="V20" s="16">
        <f t="shared" si="1"/>
        <v>7299.0799999996234</v>
      </c>
    </row>
    <row r="21" spans="1:22" ht="16.5" customHeight="1" x14ac:dyDescent="0.25">
      <c r="A21" s="3">
        <f>'Kwh Reading'!A21</f>
        <v>44548</v>
      </c>
      <c r="B21" s="26">
        <f>TOTAL!E19</f>
        <v>23879.99999999829</v>
      </c>
      <c r="C21" s="4">
        <f>('Kwh Reading'!T22-'Kwh Reading'!T21)*1000</f>
        <v>569.99999999999318</v>
      </c>
      <c r="D21" s="2">
        <f>('Kwh Reading'!F22-'Kwh Reading'!F21)*1000000</f>
        <v>2699.9999999999245</v>
      </c>
      <c r="E21" s="2">
        <f>('Kwh Reading'!C22-'Kwh Reading'!C21)*1000</f>
        <v>280.00000000002956</v>
      </c>
      <c r="F21" s="2">
        <f>('Kwh Reading'!J22-'Kwh Reading'!J21)*1000</f>
        <v>610.00000000001364</v>
      </c>
      <c r="G21" s="2">
        <f>('Kwh Reading'!K22-'Kwh Reading'!K21)*1000</f>
        <v>509.99999999999091</v>
      </c>
      <c r="H21" s="2">
        <f>('Kwh Reading'!L22-'Kwh Reading'!L21)*1000</f>
        <v>300.00000000001137</v>
      </c>
      <c r="I21" s="2">
        <f>('Kwh Reading'!R22-'Kwh Reading'!R21)*1000</f>
        <v>0</v>
      </c>
      <c r="J21" s="2">
        <f>('Kwh Reading'!S22-'Kwh Reading'!S21)*1000</f>
        <v>149.99999999997726</v>
      </c>
      <c r="K21" s="2">
        <f>('Kwh Reading'!I22-'Kwh Reading'!I21)*1000</f>
        <v>260.00000000004775</v>
      </c>
      <c r="L21" s="2">
        <f>('Kwh Reading'!B22-'Kwh Reading'!B21)*1000000</f>
        <v>1100.000000000101</v>
      </c>
      <c r="M21" s="2">
        <f>('Kwh Reading'!M22-'Kwh Reading'!M21)*1000</f>
        <v>810.00000000005912</v>
      </c>
      <c r="N21" s="2">
        <f>('Kwh Reading'!H22-'Kwh Reading'!H21)*1000</f>
        <v>1180.0000000000637</v>
      </c>
      <c r="O21" s="2">
        <f>('Kwh Reading'!P22-'Kwh Reading'!P21)*1000</f>
        <v>990.00000000000909</v>
      </c>
      <c r="P21" s="2">
        <f>('Kwh Reading'!G22-'Kwh Reading'!G21)*1000</f>
        <v>889.99999999998636</v>
      </c>
      <c r="Q21" s="2">
        <f>('Kwh Reading'!Q22-'Kwh Reading'!Q21)*1000</f>
        <v>629.99999999999545</v>
      </c>
      <c r="R21" s="2">
        <f>('Kwh Reading'!N22-'Kwh Reading'!N21)*1000</f>
        <v>730.00000000001819</v>
      </c>
      <c r="S21" s="33">
        <f>'Kwh Reading'!E22-'Kwh Reading'!E21</f>
        <v>2646.429999999702</v>
      </c>
      <c r="T21" s="33">
        <f>'Kwh Reading'!D22-'Kwh Reading'!D21</f>
        <v>2091.4799999995157</v>
      </c>
      <c r="U21" s="27">
        <f>('Kwh Reading'!O22-'Kwh Reading'!O21)*1000</f>
        <v>250</v>
      </c>
      <c r="V21" s="16">
        <f t="shared" si="1"/>
        <v>7182.0899999988505</v>
      </c>
    </row>
    <row r="22" spans="1:22" x14ac:dyDescent="0.25">
      <c r="A22" s="3">
        <f>'Kwh Reading'!A22</f>
        <v>44549</v>
      </c>
      <c r="B22" s="26">
        <f>TOTAL!E20</f>
        <v>24589.99999999992</v>
      </c>
      <c r="C22" s="4">
        <f>('Kwh Reading'!T23-'Kwh Reading'!T22)*1000</f>
        <v>590.00000000003183</v>
      </c>
      <c r="D22" s="2">
        <f>('Kwh Reading'!F23-'Kwh Reading'!F22)*1000000</f>
        <v>2699.9999999999245</v>
      </c>
      <c r="E22" s="2">
        <f>('Kwh Reading'!C23-'Kwh Reading'!C22)*1000</f>
        <v>279.99999999997272</v>
      </c>
      <c r="F22" s="2">
        <f>('Kwh Reading'!J23-'Kwh Reading'!J22)*1000</f>
        <v>639.99999999998636</v>
      </c>
      <c r="G22" s="2">
        <f>('Kwh Reading'!K23-'Kwh Reading'!K22)*1000</f>
        <v>520.00000000003865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160.00000000002501</v>
      </c>
      <c r="K22" s="2">
        <f>('Kwh Reading'!I23-'Kwh Reading'!I22)*1000</f>
        <v>259.99999999999091</v>
      </c>
      <c r="L22" s="2">
        <f>('Kwh Reading'!B23-'Kwh Reading'!B22)*1000000</f>
        <v>1099.9999999998788</v>
      </c>
      <c r="M22" s="2">
        <f>('Kwh Reading'!M23-'Kwh Reading'!M22)*1000</f>
        <v>750</v>
      </c>
      <c r="N22" s="2">
        <f>('Kwh Reading'!H23-'Kwh Reading'!H22)*1000</f>
        <v>1059.9999999999454</v>
      </c>
      <c r="O22" s="2">
        <f>('Kwh Reading'!P23-'Kwh Reading'!P22)*1000</f>
        <v>919.99999999995907</v>
      </c>
      <c r="P22" s="2">
        <f>('Kwh Reading'!G23-'Kwh Reading'!G22)*1000</f>
        <v>1009.9999999999909</v>
      </c>
      <c r="Q22" s="2">
        <f>('Kwh Reading'!Q23-'Kwh Reading'!Q22)*1000</f>
        <v>710.00000000003638</v>
      </c>
      <c r="R22" s="2">
        <f>('Kwh Reading'!N23-'Kwh Reading'!N22)*1000</f>
        <v>740.00000000000909</v>
      </c>
      <c r="S22" s="33">
        <f>'Kwh Reading'!E23-'Kwh Reading'!E22</f>
        <v>2952.0600000005215</v>
      </c>
      <c r="T22" s="33">
        <f>'Kwh Reading'!D23-'Kwh Reading'!D22</f>
        <v>2364.1100000003353</v>
      </c>
      <c r="U22" s="27">
        <f>('Kwh Reading'!O23-'Kwh Reading'!O22)*1000</f>
        <v>239.99999999998067</v>
      </c>
      <c r="V22" s="16">
        <f t="shared" si="1"/>
        <v>7303.8299999992705</v>
      </c>
    </row>
    <row r="23" spans="1:22" x14ac:dyDescent="0.25">
      <c r="A23" s="3">
        <f>'Kwh Reading'!A23</f>
        <v>44550</v>
      </c>
      <c r="B23" s="26">
        <f>TOTAL!E21</f>
        <v>24680.000000000065</v>
      </c>
      <c r="C23" s="4">
        <f>('Kwh Reading'!T24-'Kwh Reading'!T23)*1000</f>
        <v>599.99999999996589</v>
      </c>
      <c r="D23" s="2">
        <f>('Kwh Reading'!F24-'Kwh Reading'!F23)*1000000</f>
        <v>2699.9999999999245</v>
      </c>
      <c r="E23" s="2">
        <f>('Kwh Reading'!C24-'Kwh Reading'!C23)*1000</f>
        <v>280.00000000002956</v>
      </c>
      <c r="F23" s="2">
        <f>('Kwh Reading'!J24-'Kwh Reading'!J23)*1000</f>
        <v>689.99999999999773</v>
      </c>
      <c r="G23" s="2">
        <f>('Kwh Reading'!K24-'Kwh Reading'!K23)*1000</f>
        <v>500</v>
      </c>
      <c r="H23" s="2">
        <f>('Kwh Reading'!L24-'Kwh Reading'!L23)*1000</f>
        <v>300.00000000001137</v>
      </c>
      <c r="I23" s="2">
        <f>('Kwh Reading'!R24-'Kwh Reading'!R23)*1000</f>
        <v>0</v>
      </c>
      <c r="J23" s="2">
        <f>('Kwh Reading'!S24-'Kwh Reading'!S23)*1000</f>
        <v>149.99999999997726</v>
      </c>
      <c r="K23" s="2">
        <f>('Kwh Reading'!I24-'Kwh Reading'!I23)*1000</f>
        <v>299.99999999995453</v>
      </c>
      <c r="L23" s="2">
        <f>('Kwh Reading'!B24-'Kwh Reading'!B23)*1000000</f>
        <v>1100.000000000101</v>
      </c>
      <c r="M23" s="2">
        <f>('Kwh Reading'!M24-'Kwh Reading'!M23)*1000</f>
        <v>710.00000000003638</v>
      </c>
      <c r="N23" s="2">
        <f>('Kwh Reading'!H24-'Kwh Reading'!H23)*1000</f>
        <v>1210.0000000000364</v>
      </c>
      <c r="O23" s="2">
        <f>('Kwh Reading'!P24-'Kwh Reading'!P23)*1000</f>
        <v>960.00000000003638</v>
      </c>
      <c r="P23" s="2">
        <f>('Kwh Reading'!G24-'Kwh Reading'!G23)*1000</f>
        <v>1029.9999999999727</v>
      </c>
      <c r="Q23" s="2">
        <f>('Kwh Reading'!Q24-'Kwh Reading'!Q23)*1000</f>
        <v>759.99999999999091</v>
      </c>
      <c r="R23" s="2">
        <f>('Kwh Reading'!N24-'Kwh Reading'!N23)*1000</f>
        <v>740.00000000000909</v>
      </c>
      <c r="S23" s="33">
        <f>'Kwh Reading'!E24-'Kwh Reading'!E23</f>
        <v>2783.890000000596</v>
      </c>
      <c r="T23" s="33">
        <f>'Kwh Reading'!D24-'Kwh Reading'!D23</f>
        <v>2306.3199999993667</v>
      </c>
      <c r="U23" s="27">
        <f>('Kwh Reading'!O24-'Kwh Reading'!O23)*1000</f>
        <v>230.00000000001819</v>
      </c>
      <c r="V23" s="16">
        <f t="shared" si="1"/>
        <v>7329.7900000000409</v>
      </c>
    </row>
    <row r="24" spans="1:22" x14ac:dyDescent="0.25">
      <c r="A24" s="3">
        <f>'Kwh Reading'!A24</f>
        <v>44551</v>
      </c>
      <c r="B24" s="26">
        <f>TOTAL!E22</f>
        <v>23709.999999999807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300.00000000001137</v>
      </c>
      <c r="F24" s="2">
        <f>('Kwh Reading'!J25-'Kwh Reading'!J24)*1000</f>
        <v>560.00000000000227</v>
      </c>
      <c r="G24" s="2">
        <f>('Kwh Reading'!K25-'Kwh Reading'!K24)*1000</f>
        <v>509.99999999999091</v>
      </c>
      <c r="H24" s="2">
        <f>('Kwh Reading'!L25-'Kwh Reading'!L24)*1000</f>
        <v>299.99999999995453</v>
      </c>
      <c r="I24" s="2">
        <f>('Kwh Reading'!R25-'Kwh Reading'!R24)*1000</f>
        <v>0</v>
      </c>
      <c r="J24" s="2">
        <f>('Kwh Reading'!S25-'Kwh Reading'!S24)*1000</f>
        <v>160.00000000002501</v>
      </c>
      <c r="K24" s="2">
        <f>('Kwh Reading'!I25-'Kwh Reading'!I24)*1000</f>
        <v>330.00000000004093</v>
      </c>
      <c r="L24" s="2">
        <f>('Kwh Reading'!B25-'Kwh Reading'!B24)*1000000</f>
        <v>1099.9999999998788</v>
      </c>
      <c r="M24" s="2">
        <f>('Kwh Reading'!M25-'Kwh Reading'!M24)*1000</f>
        <v>769.99999999998181</v>
      </c>
      <c r="N24" s="2">
        <f>('Kwh Reading'!H25-'Kwh Reading'!H24)*1000</f>
        <v>1279.9999999999727</v>
      </c>
      <c r="O24" s="2">
        <f>('Kwh Reading'!P25-'Kwh Reading'!P24)*1000</f>
        <v>899.99999999997726</v>
      </c>
      <c r="P24" s="2">
        <f>('Kwh Reading'!G25-'Kwh Reading'!G24)*1000</f>
        <v>1009.9999999999909</v>
      </c>
      <c r="Q24" s="2">
        <f>('Kwh Reading'!Q25-'Kwh Reading'!Q24)*1000</f>
        <v>700.00000000004547</v>
      </c>
      <c r="R24" s="2">
        <f>('Kwh Reading'!N25-'Kwh Reading'!N24)*1000</f>
        <v>700.00000000004547</v>
      </c>
      <c r="S24" s="2">
        <f>'Kwh Reading'!E25-'Kwh Reading'!E24</f>
        <v>2646.230000000447</v>
      </c>
      <c r="T24" s="2">
        <f>'Kwh Reading'!D25-'Kwh Reading'!D24</f>
        <v>2122.7700000004843</v>
      </c>
      <c r="U24" s="27">
        <f>('Kwh Reading'!O25-'Kwh Reading'!O24)*1000</f>
        <v>229.99999999998977</v>
      </c>
      <c r="V24" s="16">
        <f t="shared" si="1"/>
        <v>6680.9999999988213</v>
      </c>
    </row>
    <row r="25" spans="1:22" x14ac:dyDescent="0.25">
      <c r="A25" s="3">
        <f>'Kwh Reading'!A25</f>
        <v>44552</v>
      </c>
      <c r="B25" s="26">
        <f>TOTAL!E23</f>
        <v>25000.000000000455</v>
      </c>
      <c r="C25" s="4">
        <f>('Kwh Reading'!T26-'Kwh Reading'!T25)*1000</f>
        <v>620.00000000000455</v>
      </c>
      <c r="D25" s="2">
        <f>('Kwh Reading'!F26-'Kwh Reading'!F25)*1000000</f>
        <v>2799.9999999996917</v>
      </c>
      <c r="E25" s="2">
        <f>('Kwh Reading'!C26-'Kwh Reading'!C25)*1000</f>
        <v>279.99999999997272</v>
      </c>
      <c r="F25" s="2">
        <f>('Kwh Reading'!J26-'Kwh Reading'!J25)*1000</f>
        <v>599.99999999996589</v>
      </c>
      <c r="G25" s="2">
        <f>('Kwh Reading'!K26-'Kwh Reading'!K25)*1000</f>
        <v>519.99999999998181</v>
      </c>
      <c r="H25" s="2">
        <f>('Kwh Reading'!L26-'Kwh Reading'!L25)*1000</f>
        <v>270.00000000003865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329.99999999998408</v>
      </c>
      <c r="L25" s="2">
        <f>('Kwh Reading'!B26-'Kwh Reading'!B25)*1000000</f>
        <v>1100.000000000101</v>
      </c>
      <c r="M25" s="2">
        <f>('Kwh Reading'!M26-'Kwh Reading'!M25)*1000</f>
        <v>870.00000000000455</v>
      </c>
      <c r="N25" s="2">
        <f>('Kwh Reading'!H26-'Kwh Reading'!H25)*1000</f>
        <v>1330.0000000000409</v>
      </c>
      <c r="O25" s="2">
        <f>('Kwh Reading'!P26-'Kwh Reading'!P25)*1000</f>
        <v>960.00000000003638</v>
      </c>
      <c r="P25" s="2">
        <f>('Kwh Reading'!G26-'Kwh Reading'!G25)*1000</f>
        <v>1009.9999999999909</v>
      </c>
      <c r="Q25" s="2">
        <f>('Kwh Reading'!Q26-'Kwh Reading'!Q25)*1000</f>
        <v>709.99999999992269</v>
      </c>
      <c r="R25" s="2">
        <f>('Kwh Reading'!N26-'Kwh Reading'!N25)*1000</f>
        <v>819.99999999993634</v>
      </c>
      <c r="S25" s="2">
        <f>'Kwh Reading'!E26-'Kwh Reading'!E25</f>
        <v>2768.4699999988079</v>
      </c>
      <c r="T25" s="2">
        <f>'Kwh Reading'!D26-'Kwh Reading'!D25</f>
        <v>2184.6299999998882</v>
      </c>
      <c r="U25" s="27">
        <f>('Kwh Reading'!O26-'Kwh Reading'!O25)*1000</f>
        <v>259.99999999999091</v>
      </c>
      <c r="V25" s="16">
        <f t="shared" si="1"/>
        <v>7406.9000000021006</v>
      </c>
    </row>
    <row r="26" spans="1:22" x14ac:dyDescent="0.25">
      <c r="A26" s="3">
        <f>'Kwh Reading'!A26</f>
        <v>44553</v>
      </c>
      <c r="B26" s="26">
        <f>TOTAL!E24</f>
        <v>0</v>
      </c>
      <c r="C26" s="4">
        <f>('Kwh Reading'!T27-'Kwh Reading'!T26)*1000</f>
        <v>-502620</v>
      </c>
      <c r="D26" s="2">
        <f>('Kwh Reading'!F27-'Kwh Reading'!F26)*1000000</f>
        <v>-2818500</v>
      </c>
      <c r="E26" s="2">
        <f>('Kwh Reading'!C27-'Kwh Reading'!C26)*1000</f>
        <v>-273260</v>
      </c>
      <c r="F26" s="2">
        <f>('Kwh Reading'!J27-'Kwh Reading'!J26)*1000</f>
        <v>-375400</v>
      </c>
      <c r="G26" s="2">
        <f>('Kwh Reading'!K27-'Kwh Reading'!K26)*1000</f>
        <v>-394950</v>
      </c>
      <c r="H26" s="2">
        <f>('Kwh Reading'!L27-'Kwh Reading'!L26)*1000</f>
        <v>-270980</v>
      </c>
      <c r="I26" s="2">
        <f>('Kwh Reading'!R27-'Kwh Reading'!R26)*1000</f>
        <v>-190150</v>
      </c>
      <c r="J26" s="2">
        <f>('Kwh Reading'!S27-'Kwh Reading'!S26)*1000</f>
        <v>-137270</v>
      </c>
      <c r="K26" s="2">
        <f>('Kwh Reading'!I27-'Kwh Reading'!I26)*1000</f>
        <v>-284690</v>
      </c>
      <c r="L26" s="2">
        <f>('Kwh Reading'!B27-'Kwh Reading'!B26)*1000000</f>
        <v>-1197000</v>
      </c>
      <c r="M26" s="2">
        <f>('Kwh Reading'!M27-'Kwh Reading'!M26)*1000</f>
        <v>-650210</v>
      </c>
      <c r="N26" s="2">
        <f>('Kwh Reading'!H27-'Kwh Reading'!H26)*1000</f>
        <v>-744830</v>
      </c>
      <c r="O26" s="2">
        <f>('Kwh Reading'!P27-'Kwh Reading'!P26)*1000</f>
        <v>-788880</v>
      </c>
      <c r="P26" s="2">
        <f>('Kwh Reading'!G27-'Kwh Reading'!G26)*1000</f>
        <v>-894390</v>
      </c>
      <c r="Q26" s="2">
        <f>('Kwh Reading'!Q27-'Kwh Reading'!Q26)*1000</f>
        <v>-581280</v>
      </c>
      <c r="R26" s="2">
        <f>('Kwh Reading'!N27-'Kwh Reading'!N26)*1000</f>
        <v>-605040</v>
      </c>
      <c r="S26" s="2">
        <f>'Kwh Reading'!E27-'Kwh Reading'!E26</f>
        <v>-8686249.4399999995</v>
      </c>
      <c r="T26" s="2">
        <f>'Kwh Reading'!D27-'Kwh Reading'!D26</f>
        <v>-7868428.46</v>
      </c>
      <c r="U26" s="27">
        <f>('Kwh Reading'!O27-'Kwh Reading'!O26)*1000</f>
        <v>-187480</v>
      </c>
      <c r="V26" s="16">
        <f t="shared" si="1"/>
        <v>27451607.899999999</v>
      </c>
    </row>
    <row r="27" spans="1:22" x14ac:dyDescent="0.25">
      <c r="A27" s="3">
        <f>'Kwh Reading'!A27</f>
        <v>44554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44555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44556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44557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494539.99999999913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-364350.00000000006</v>
      </c>
      <c r="G35" s="72">
        <f t="shared" ref="G35:U35" si="6">SUM(G4:G34)</f>
        <v>-386280</v>
      </c>
      <c r="H35" s="72">
        <f t="shared" si="6"/>
        <v>-265519.99999999994</v>
      </c>
      <c r="I35" s="72">
        <f t="shared" si="6"/>
        <v>-190150</v>
      </c>
      <c r="J35" s="72">
        <f t="shared" si="6"/>
        <v>-134130</v>
      </c>
      <c r="K35" s="72">
        <f t="shared" si="6"/>
        <v>-279170</v>
      </c>
      <c r="L35" s="72">
        <f t="shared" si="6"/>
        <v>-1173500</v>
      </c>
      <c r="M35" s="72">
        <f t="shared" si="6"/>
        <v>-634870</v>
      </c>
      <c r="N35" s="72">
        <f t="shared" si="6"/>
        <v>-721299.99999999988</v>
      </c>
      <c r="O35" s="72">
        <f t="shared" si="6"/>
        <v>-768110</v>
      </c>
      <c r="P35" s="72">
        <f t="shared" si="6"/>
        <v>-875010</v>
      </c>
      <c r="Q35" s="72">
        <f t="shared" si="6"/>
        <v>-567200.00000000012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27600964.969999999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20149.999999999862</v>
      </c>
      <c r="C13" s="1">
        <f>'Kwh Consumption'!C14</f>
        <v>529.99999999997272</v>
      </c>
      <c r="D13" s="1">
        <f>'Kwh Consumption'!D14</f>
        <v>2600.0000000001578</v>
      </c>
      <c r="E13" s="1">
        <f>'Kwh Consumption'!E14</f>
        <v>269.99999999998181</v>
      </c>
      <c r="F13" s="1">
        <f>('Kwh Consumption'!F14+'Kwh Consumption'!G14+'Kwh Consumption'!H14)</f>
        <v>1079.9999999999841</v>
      </c>
      <c r="G13" s="16">
        <f>('Kwh Consumption'!I14+'Kwh Consumption'!J14)</f>
        <v>160.00000000002501</v>
      </c>
      <c r="H13" s="1">
        <f>('Kwh Consumption'!K14+'Kwh Consumption'!L14)</f>
        <v>1209.9999999999263</v>
      </c>
      <c r="I13" s="1">
        <f>('Kwh Consumption'!M14+'Kwh Consumption'!N14+'Kwh Consumption'!O14+'Kwh Consumption'!P14+'Kwh Consumption'!Q14+'Kwh Consumption'!R14)</f>
        <v>14070.000000000164</v>
      </c>
      <c r="J13" s="1">
        <f>('Kwh Consumption'!S14+'Kwh Consumption'!T14)</f>
        <v>4209.7000000001863</v>
      </c>
      <c r="K13" s="1">
        <f>'Kwh Consumption'!U14</f>
        <v>199.99999999998863</v>
      </c>
      <c r="L13" s="31">
        <f t="shared" si="0"/>
        <v>-4179.700000000521</v>
      </c>
    </row>
    <row r="14" spans="1:12" x14ac:dyDescent="0.25">
      <c r="A14" s="14">
        <f>'Kwh Reading'!A15</f>
        <v>44542</v>
      </c>
      <c r="B14" s="80">
        <f>TOTAL!E13</f>
        <v>20259.999999999993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280.00000000002956</v>
      </c>
      <c r="F14" s="1">
        <f>('Kwh Consumption'!F15+'Kwh Consumption'!G15+'Kwh Consumption'!H15)</f>
        <v>1019.9999999999818</v>
      </c>
      <c r="G14" s="16">
        <f>('Kwh Consumption'!I15+'Kwh Consumption'!J15)</f>
        <v>139.99999999998636</v>
      </c>
      <c r="H14" s="1">
        <f>('Kwh Consumption'!K15+'Kwh Consumption'!L15)</f>
        <v>1100.0000000001114</v>
      </c>
      <c r="I14" s="1">
        <f>('Kwh Consumption'!M15+'Kwh Consumption'!N15+'Kwh Consumption'!O15+'Kwh Consumption'!P15+'Kwh Consumption'!Q15+'Kwh Consumption'!R15)</f>
        <v>-6139.9999999998727</v>
      </c>
      <c r="J14" s="1">
        <f>('Kwh Consumption'!S15+'Kwh Consumption'!T15)</f>
        <v>3751.7299999985844</v>
      </c>
      <c r="K14" s="1">
        <f>'Kwh Consumption'!U15</f>
        <v>199.99999999998863</v>
      </c>
      <c r="L14" s="31">
        <f t="shared" si="0"/>
        <v>16838.270000001441</v>
      </c>
    </row>
    <row r="15" spans="1:12" x14ac:dyDescent="0.25">
      <c r="A15" s="14">
        <f>'Kwh Reading'!A16</f>
        <v>44543</v>
      </c>
      <c r="B15" s="80">
        <f>TOTAL!E14</f>
        <v>20889.999999998734</v>
      </c>
      <c r="C15" s="1">
        <f>'Kwh Consumption'!C16</f>
        <v>459.99999999997954</v>
      </c>
      <c r="D15" s="1">
        <f>'Kwh Consumption'!D16</f>
        <v>2600.0000000001578</v>
      </c>
      <c r="E15" s="1">
        <f>'Kwh Consumption'!E16</f>
        <v>279.99999999997272</v>
      </c>
      <c r="F15" s="1">
        <f>('Kwh Consumption'!F16+'Kwh Consumption'!G16+'Kwh Consumption'!H16)</f>
        <v>1000</v>
      </c>
      <c r="G15" s="16">
        <f>('Kwh Consumption'!I16+'Kwh Consumption'!J16)</f>
        <v>150.00000000000568</v>
      </c>
      <c r="H15" s="1">
        <f>('Kwh Consumption'!K16+'Kwh Consumption'!L16)</f>
        <v>1219.9999999998604</v>
      </c>
      <c r="I15" s="1">
        <f>('Kwh Consumption'!M16+'Kwh Consumption'!N16+'Kwh Consumption'!O16+'Kwh Consumption'!P16+'Kwh Consumption'!Q16+'Kwh Consumption'!R16)</f>
        <v>4439.9999999999409</v>
      </c>
      <c r="J15" s="1">
        <f>('Kwh Consumption'!S16+'Kwh Consumption'!T16)</f>
        <v>4374.0900000017136</v>
      </c>
      <c r="K15" s="1">
        <f>'Kwh Consumption'!U16</f>
        <v>210.00000000000796</v>
      </c>
      <c r="L15" s="31">
        <f t="shared" si="0"/>
        <v>6155.9099999970958</v>
      </c>
    </row>
    <row r="16" spans="1:12" x14ac:dyDescent="0.25">
      <c r="A16" s="14">
        <f>'Kwh Reading'!A17</f>
        <v>44544</v>
      </c>
      <c r="B16" s="80">
        <f>TOTAL!E15</f>
        <v>22300.000000001091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290.00000000002046</v>
      </c>
      <c r="F16" s="1">
        <f>('Kwh Consumption'!F17+'Kwh Consumption'!G17+'Kwh Consumption'!H17)</f>
        <v>1250</v>
      </c>
      <c r="G16" s="16">
        <f>('Kwh Consumption'!I17+'Kwh Consumption'!J17)</f>
        <v>150.00000000000568</v>
      </c>
      <c r="H16" s="1">
        <f>('Kwh Consumption'!K17+'Kwh Consumption'!L17)</f>
        <v>1219.9999999999172</v>
      </c>
      <c r="I16" s="1">
        <f>('Kwh Consumption'!M17+'Kwh Consumption'!N17+'Kwh Consumption'!O17+'Kwh Consumption'!P17+'Kwh Consumption'!Q17+'Kwh Consumption'!R17)</f>
        <v>4739.9999999998954</v>
      </c>
      <c r="J16" s="1">
        <f>('Kwh Consumption'!S17+'Kwh Consumption'!T17)</f>
        <v>4286.1299999998882</v>
      </c>
      <c r="K16" s="1">
        <f>'Kwh Consumption'!U17</f>
        <v>219.99999999999886</v>
      </c>
      <c r="L16" s="31">
        <f t="shared" si="0"/>
        <v>7033.870000001215</v>
      </c>
    </row>
    <row r="17" spans="1:12" x14ac:dyDescent="0.25">
      <c r="A17" s="14">
        <f>'Kwh Reading'!A18</f>
        <v>44545</v>
      </c>
      <c r="B17" s="80">
        <f>TOTAL!E16</f>
        <v>22360.000000000582</v>
      </c>
      <c r="C17" s="1">
        <f>'Kwh Consumption'!C18</f>
        <v>540.00000000002046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1370.0000000000045</v>
      </c>
      <c r="G17" s="16">
        <f>('Kwh Consumption'!I18+'Kwh Consumption'!J18)</f>
        <v>149.99999999997726</v>
      </c>
      <c r="H17" s="1">
        <f>('Kwh Consumption'!K18+'Kwh Consumption'!L18)</f>
        <v>1230.0000000001301</v>
      </c>
      <c r="I17" s="1">
        <f>('Kwh Consumption'!M18+'Kwh Consumption'!N18+'Kwh Consumption'!O18+'Kwh Consumption'!P18+'Kwh Consumption'!Q18+'Kwh Consumption'!R18)</f>
        <v>4930.0000000001774</v>
      </c>
      <c r="J17" s="1">
        <f>('Kwh Consumption'!S18+'Kwh Consumption'!T18)</f>
        <v>4682.9099999992177</v>
      </c>
      <c r="K17" s="30">
        <f>'Kwh Consumption'!U18</f>
        <v>260.00000000001933</v>
      </c>
      <c r="L17" s="31">
        <f t="shared" si="0"/>
        <v>6207.090000001087</v>
      </c>
    </row>
    <row r="18" spans="1:12" x14ac:dyDescent="0.25">
      <c r="A18" s="14">
        <f>'Kwh Reading'!A19</f>
        <v>44546</v>
      </c>
      <c r="B18" s="80">
        <f>TOTAL!E17</f>
        <v>23420.000000000073</v>
      </c>
      <c r="C18" s="1">
        <f>'Kwh Consumption'!C19</f>
        <v>519.99999999998181</v>
      </c>
      <c r="D18" s="1">
        <f>'Kwh Consumption'!D19</f>
        <v>2799.9999999996917</v>
      </c>
      <c r="E18" s="1">
        <f>'Kwh Consumption'!E19</f>
        <v>279.99999999997272</v>
      </c>
      <c r="F18" s="1">
        <f>('Kwh Consumption'!F19+'Kwh Consumption'!G19+'Kwh Consumption'!H19)</f>
        <v>1389.9999999999864</v>
      </c>
      <c r="G18" s="16">
        <f>('Kwh Consumption'!I19+'Kwh Consumption'!J19)</f>
        <v>160.00000000002501</v>
      </c>
      <c r="H18" s="1">
        <f>('Kwh Consumption'!K19+'Kwh Consumption'!L19)</f>
        <v>1390.0000000000646</v>
      </c>
      <c r="I18" s="1">
        <f>('Kwh Consumption'!M19+'Kwh Consumption'!N19+'Kwh Consumption'!O19+'Kwh Consumption'!P19+'Kwh Consumption'!Q19+'Kwh Consumption'!R19)</f>
        <v>5809.9999999997181</v>
      </c>
      <c r="J18" s="1">
        <f>('Kwh Consumption'!S19+'Kwh Consumption'!T19)</f>
        <v>4867.1999999992549</v>
      </c>
      <c r="K18" s="30">
        <f>'Kwh Consumption'!U19</f>
        <v>209.99999999997954</v>
      </c>
      <c r="L18" s="31">
        <f t="shared" si="0"/>
        <v>5992.8000000013999</v>
      </c>
    </row>
    <row r="19" spans="1:12" x14ac:dyDescent="0.25">
      <c r="A19" s="14">
        <f>'Kwh Reading'!A20</f>
        <v>44547</v>
      </c>
      <c r="B19" s="80">
        <f>TOTAL!E18</f>
        <v>22370.0000000008</v>
      </c>
      <c r="C19" s="1">
        <f>'Kwh Consumption'!C20</f>
        <v>560.00000000000227</v>
      </c>
      <c r="D19" s="1">
        <f>'Kwh Consumption'!D20</f>
        <v>2700.0000000003688</v>
      </c>
      <c r="E19" s="1">
        <f>'Kwh Consumption'!E20</f>
        <v>269.99999999998181</v>
      </c>
      <c r="F19" s="1">
        <f>('Kwh Consumption'!F20+'Kwh Consumption'!G20+'Kwh Consumption'!H20)</f>
        <v>1439.9999999999977</v>
      </c>
      <c r="G19" s="16">
        <f>('Kwh Consumption'!I20+'Kwh Consumption'!J20)</f>
        <v>159.99999999999659</v>
      </c>
      <c r="H19" s="1">
        <f>('Kwh Consumption'!K20+'Kwh Consumption'!L20)</f>
        <v>1089.9999999998986</v>
      </c>
      <c r="I19" s="1">
        <f>('Kwh Consumption'!M20+'Kwh Consumption'!N20+'Kwh Consumption'!O20+'Kwh Consumption'!P20+'Kwh Consumption'!Q20+'Kwh Consumption'!R20)</f>
        <v>4440.0000000000546</v>
      </c>
      <c r="J19" s="1">
        <f>('Kwh Consumption'!S20+'Kwh Consumption'!T20)</f>
        <v>4180.9200000008568</v>
      </c>
      <c r="K19" s="1">
        <f>'Kwh Consumption'!U20</f>
        <v>230.00000000001819</v>
      </c>
      <c r="L19" s="31">
        <f t="shared" si="0"/>
        <v>7299.079999999627</v>
      </c>
    </row>
    <row r="20" spans="1:12" x14ac:dyDescent="0.25">
      <c r="A20" s="14">
        <f>'Kwh Reading'!A21</f>
        <v>44548</v>
      </c>
      <c r="B20" s="80">
        <f>TOTAL!E19</f>
        <v>23879.99999999829</v>
      </c>
      <c r="C20" s="1">
        <f>'Kwh Consumption'!C21</f>
        <v>569.99999999999318</v>
      </c>
      <c r="D20" s="1">
        <f>'Kwh Consumption'!D21</f>
        <v>2699.9999999999245</v>
      </c>
      <c r="E20" s="1">
        <f>'Kwh Consumption'!E21</f>
        <v>280.00000000002956</v>
      </c>
      <c r="F20" s="1">
        <f>('Kwh Consumption'!F21+'Kwh Consumption'!G21+'Kwh Consumption'!H21)</f>
        <v>1420.0000000000159</v>
      </c>
      <c r="G20" s="16">
        <f>('Kwh Consumption'!I21+'Kwh Consumption'!J21)</f>
        <v>149.99999999997726</v>
      </c>
      <c r="H20" s="1">
        <f>('Kwh Consumption'!K21+'Kwh Consumption'!L21)</f>
        <v>1360.0000000001487</v>
      </c>
      <c r="I20" s="1">
        <f>('Kwh Consumption'!M21+'Kwh Consumption'!N21+'Kwh Consumption'!O21+'Kwh Consumption'!P21+'Kwh Consumption'!Q21+'Kwh Consumption'!R21)</f>
        <v>5230.0000000001319</v>
      </c>
      <c r="J20" s="1">
        <f>('Kwh Consumption'!S21+'Kwh Consumption'!T21)</f>
        <v>4737.9099999992177</v>
      </c>
      <c r="K20" s="1">
        <f>'Kwh Consumption'!U21</f>
        <v>250</v>
      </c>
      <c r="L20" s="31">
        <f t="shared" si="0"/>
        <v>7182.0899999988542</v>
      </c>
    </row>
    <row r="21" spans="1:12" x14ac:dyDescent="0.25">
      <c r="A21" s="14">
        <f>'Kwh Reading'!A22</f>
        <v>44549</v>
      </c>
      <c r="B21" s="80">
        <f>TOTAL!E20</f>
        <v>24589.99999999992</v>
      </c>
      <c r="C21" s="1">
        <f>'Kwh Consumption'!C22</f>
        <v>590.00000000003183</v>
      </c>
      <c r="D21" s="1">
        <f>'Kwh Consumption'!D22</f>
        <v>2699.9999999999245</v>
      </c>
      <c r="E21" s="1">
        <f>'Kwh Consumption'!E22</f>
        <v>279.99999999997272</v>
      </c>
      <c r="F21" s="1">
        <f>('Kwh Consumption'!F22+'Kwh Consumption'!G22+'Kwh Consumption'!H22)</f>
        <v>1450.0000000000455</v>
      </c>
      <c r="G21" s="16">
        <f>('Kwh Consumption'!I22+'Kwh Consumption'!J22)</f>
        <v>160.00000000002501</v>
      </c>
      <c r="H21" s="1">
        <f>('Kwh Consumption'!K22+'Kwh Consumption'!L22)</f>
        <v>1359.9999999998697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5316.1700000008568</v>
      </c>
      <c r="K21" s="1">
        <f>'Kwh Consumption'!U22</f>
        <v>239.99999999998067</v>
      </c>
      <c r="L21" s="31">
        <f t="shared" si="0"/>
        <v>7303.8299999992751</v>
      </c>
    </row>
    <row r="22" spans="1:12" x14ac:dyDescent="0.25">
      <c r="A22" s="14">
        <f>'Kwh Reading'!A23</f>
        <v>44550</v>
      </c>
      <c r="B22" s="80">
        <f>TOTAL!E21</f>
        <v>24680.000000000065</v>
      </c>
      <c r="C22" s="1">
        <f>'Kwh Consumption'!C23</f>
        <v>599.99999999996589</v>
      </c>
      <c r="D22" s="1">
        <f>'Kwh Consumption'!D23</f>
        <v>2699.9999999999245</v>
      </c>
      <c r="E22" s="1">
        <f>'Kwh Consumption'!E23</f>
        <v>280.00000000002956</v>
      </c>
      <c r="F22" s="1">
        <f>('Kwh Consumption'!F23+'Kwh Consumption'!G23+'Kwh Consumption'!H23)</f>
        <v>1490.0000000000091</v>
      </c>
      <c r="G22" s="16">
        <f>('Kwh Consumption'!I23+'Kwh Consumption'!J23)</f>
        <v>149.99999999997726</v>
      </c>
      <c r="H22" s="1">
        <f>('Kwh Consumption'!K23+'Kwh Consumption'!L23)</f>
        <v>1400.0000000000555</v>
      </c>
      <c r="I22" s="1">
        <f>('Kwh Consumption'!M23+'Kwh Consumption'!N23+'Kwh Consumption'!O23+'Kwh Consumption'!P23+'Kwh Consumption'!Q23+'Kwh Consumption'!R23)</f>
        <v>5410.0000000000819</v>
      </c>
      <c r="J22" s="1">
        <f>('Kwh Consumption'!S23+'Kwh Consumption'!T23)</f>
        <v>5090.2099999999627</v>
      </c>
      <c r="K22" s="1">
        <f>'Kwh Consumption'!U23</f>
        <v>230.00000000001819</v>
      </c>
      <c r="L22" s="31">
        <f t="shared" si="0"/>
        <v>7329.7900000000427</v>
      </c>
    </row>
    <row r="23" spans="1:12" x14ac:dyDescent="0.25">
      <c r="A23" s="14">
        <f>'Kwh Reading'!A24</f>
        <v>44551</v>
      </c>
      <c r="B23" s="80">
        <f>TOTAL!E22</f>
        <v>23709.999999999807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300.00000000001137</v>
      </c>
      <c r="F23" s="1">
        <f>('Kwh Consumption'!F24+'Kwh Consumption'!G24+'Kwh Consumption'!H24)</f>
        <v>1369.9999999999477</v>
      </c>
      <c r="G23" s="16">
        <f>('Kwh Consumption'!I24+'Kwh Consumption'!J24)</f>
        <v>160.00000000002501</v>
      </c>
      <c r="H23" s="1">
        <f>('Kwh Consumption'!K24+'Kwh Consumption'!L24)</f>
        <v>1429.9999999999197</v>
      </c>
      <c r="I23" s="1">
        <f>('Kwh Consumption'!M24+'Kwh Consumption'!N24+'Kwh Consumption'!O24+'Kwh Consumption'!P24+'Kwh Consumption'!Q24+'Kwh Consumption'!R24)</f>
        <v>5360.0000000000136</v>
      </c>
      <c r="J23" s="1">
        <f>('Kwh Consumption'!S24+'Kwh Consumption'!T24)</f>
        <v>4769.0000000009313</v>
      </c>
      <c r="K23" s="1">
        <f>'Kwh Consumption'!U24</f>
        <v>229.99999999998977</v>
      </c>
      <c r="L23" s="31">
        <f t="shared" si="0"/>
        <v>6680.9999999988167</v>
      </c>
    </row>
    <row r="24" spans="1:12" x14ac:dyDescent="0.25">
      <c r="A24" s="14">
        <f>'Kwh Reading'!A25</f>
        <v>44552</v>
      </c>
      <c r="B24" s="80">
        <f>TOTAL!E23</f>
        <v>25000.000000000455</v>
      </c>
      <c r="C24" s="1">
        <f>'Kwh Consumption'!C25</f>
        <v>620.00000000000455</v>
      </c>
      <c r="D24" s="1">
        <f>'Kwh Consumption'!D25</f>
        <v>2799.9999999996917</v>
      </c>
      <c r="E24" s="1">
        <f>'Kwh Consumption'!E25</f>
        <v>279.99999999997272</v>
      </c>
      <c r="F24" s="1">
        <f>('Kwh Consumption'!F25+'Kwh Consumption'!G25+'Kwh Consumption'!H25)</f>
        <v>1389.9999999999864</v>
      </c>
      <c r="G24" s="16">
        <f>('Kwh Consumption'!I25+'Kwh Consumption'!J25)</f>
        <v>159.99999999999659</v>
      </c>
      <c r="H24" s="1">
        <f>('Kwh Consumption'!K25+'Kwh Consumption'!L25)</f>
        <v>1430.000000000085</v>
      </c>
      <c r="I24" s="1">
        <f>('Kwh Consumption'!M25+'Kwh Consumption'!N25+'Kwh Consumption'!O25+'Kwh Consumption'!P25+'Kwh Consumption'!Q25+'Kwh Consumption'!R25)</f>
        <v>5699.9999999999318</v>
      </c>
      <c r="J24" s="1">
        <f>('Kwh Consumption'!S25+'Kwh Consumption'!T25)</f>
        <v>4953.0999999986961</v>
      </c>
      <c r="K24" s="1">
        <f>'Kwh Consumption'!U25</f>
        <v>259.99999999999091</v>
      </c>
      <c r="L24" s="31">
        <f t="shared" si="0"/>
        <v>7406.9000000021024</v>
      </c>
    </row>
    <row r="25" spans="1:12" x14ac:dyDescent="0.25">
      <c r="A25" s="14">
        <f>'Kwh Reading'!A26</f>
        <v>44553</v>
      </c>
      <c r="B25" s="80">
        <f>TOTAL!E24</f>
        <v>0</v>
      </c>
      <c r="C25" s="1">
        <f>'Kwh Consumption'!C26</f>
        <v>-502620</v>
      </c>
      <c r="D25" s="1">
        <f>'Kwh Consumption'!D26</f>
        <v>-2818500</v>
      </c>
      <c r="E25" s="1">
        <f>'Kwh Consumption'!E26</f>
        <v>-273260</v>
      </c>
      <c r="F25" s="1">
        <f>('Kwh Consumption'!F26+'Kwh Consumption'!G26+'Kwh Consumption'!H26)</f>
        <v>-1041330</v>
      </c>
      <c r="G25" s="16">
        <f>('Kwh Consumption'!I26+'Kwh Consumption'!J26)</f>
        <v>-327420</v>
      </c>
      <c r="H25" s="1">
        <f>('Kwh Consumption'!K26+'Kwh Consumption'!L26)</f>
        <v>-1481690</v>
      </c>
      <c r="I25" s="1">
        <f>('Kwh Consumption'!M26+'Kwh Consumption'!N26+'Kwh Consumption'!O26+'Kwh Consumption'!P26+'Kwh Consumption'!Q26+'Kwh Consumption'!R26)</f>
        <v>-4264630</v>
      </c>
      <c r="J25" s="1">
        <f>('Kwh Consumption'!S26+'Kwh Consumption'!T26)</f>
        <v>-16554677.899999999</v>
      </c>
      <c r="K25" s="1">
        <f>'Kwh Consumption'!U26</f>
        <v>-187480</v>
      </c>
      <c r="L25" s="31">
        <f t="shared" si="0"/>
        <v>27451607.899999999</v>
      </c>
    </row>
    <row r="26" spans="1:12" x14ac:dyDescent="0.25">
      <c r="A26" s="14">
        <f>'Kwh Reading'!A27</f>
        <v>44554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44555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44556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44557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494539.99999999913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-16455174.969999999</v>
      </c>
      <c r="K34" s="72">
        <f t="shared" si="1"/>
        <v>-182770.00000000003</v>
      </c>
      <c r="L34" s="72">
        <f t="shared" si="1"/>
        <v>27600964.969999999</v>
      </c>
      <c r="M34" s="81">
        <f>C34+D34+E34+F34+G34+H34+I34+J34+K34+L34</f>
        <v>494540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-32898.600000000006</v>
      </c>
      <c r="L36" s="72">
        <f>L34*B36</f>
        <v>4968173.6946</v>
      </c>
      <c r="M36" s="81">
        <f>C36+D36+E36+F36+G36+H36+I36+J36+K36+L36</f>
        <v>89017.200000000186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3794.4000000000274</v>
      </c>
      <c r="D12" s="1">
        <f>'Kwh Consumption'!C13*' Kwh area wise $ '!B12</f>
        <v>41.400000000003274</v>
      </c>
      <c r="E12" s="1">
        <f>'Kwh Consumption'!D13*' Kwh area wise $ '!B12</f>
        <v>468.00000000002836</v>
      </c>
      <c r="F12" s="1">
        <f>'Kwh Consumption'!E13*' Kwh area wise $ '!B12</f>
        <v>50.399999999995089</v>
      </c>
      <c r="G12" s="1">
        <f>('Kwh Consumption'!F13+'Kwh Consumption'!G13+'Kwh Consumption'!H13)*' Kwh area wise $ '!B12</f>
        <v>158.40000000000941</v>
      </c>
      <c r="H12" s="16">
        <f>('Kwh Consumption'!I13+'Kwh Consumption'!J13)*' Kwh area wise $ '!B12</f>
        <v>21.599999999995703</v>
      </c>
      <c r="I12" s="1">
        <f>('Kwh Consumption'!K13+'Kwh Consumption'!L13)*' Kwh area wise $ '!B12</f>
        <v>221.40000000001316</v>
      </c>
      <c r="J12" s="1">
        <f>('Kwh Consumption'!M13+'Kwh Consumption'!N13+'Kwh Consumption'!O13+'Kwh Consumption'!P13+'Kwh Consumption'!Q13+'Kwh Consumption'!R13)*' Kwh area wise $ '!B12</f>
        <v>842.39999999995007</v>
      </c>
      <c r="K12" s="1">
        <f>('Kwh Consumption'!S13+'Kwh Consumption'!T13)*' Kwh area wise $ '!B12</f>
        <v>750.26880000002677</v>
      </c>
      <c r="L12" s="1">
        <f>'Kwh Consumption'!U13*' Kwh area wise $ '!B12</f>
        <v>36.00000000000307</v>
      </c>
      <c r="M12" s="1">
        <f>'Kwh Consumption'!V13*' Kwh area wise $ '!B12</f>
        <v>1204.5312000000022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3626.999999999975</v>
      </c>
      <c r="D13" s="1">
        <f>'Kwh Consumption'!C14*' Kwh area wise $ '!B13</f>
        <v>95.399999999995089</v>
      </c>
      <c r="E13" s="1">
        <f>'Kwh Consumption'!D14*' Kwh area wise $ '!B13</f>
        <v>468.00000000002836</v>
      </c>
      <c r="F13" s="1">
        <f>'Kwh Consumption'!E14*' Kwh area wise $ '!B13</f>
        <v>48.599999999996726</v>
      </c>
      <c r="G13" s="1">
        <f>('Kwh Consumption'!F14+'Kwh Consumption'!G14+'Kwh Consumption'!H14)*' Kwh area wise $ '!B13</f>
        <v>194.39999999999714</v>
      </c>
      <c r="H13" s="16">
        <f>('Kwh Consumption'!I14+'Kwh Consumption'!J14)*' Kwh area wise $ '!B13</f>
        <v>28.800000000004502</v>
      </c>
      <c r="I13" s="1">
        <f>('Kwh Consumption'!K14+'Kwh Consumption'!L14)*' Kwh area wise $ '!B13</f>
        <v>217.79999999998674</v>
      </c>
      <c r="J13" s="1">
        <f>('Kwh Consumption'!M14+'Kwh Consumption'!N14+'Kwh Consumption'!O14+'Kwh Consumption'!P14+'Kwh Consumption'!Q14+'Kwh Consumption'!R14)*' Kwh area wise $ '!B13</f>
        <v>2532.6000000000295</v>
      </c>
      <c r="K13" s="1">
        <f>('Kwh Consumption'!S14+'Kwh Consumption'!T14)*' Kwh area wise $ '!B13</f>
        <v>757.74600000003352</v>
      </c>
      <c r="L13" s="1">
        <f>'Kwh Consumption'!U14*' Kwh area wise $ '!B13</f>
        <v>35.999999999997954</v>
      </c>
      <c r="M13" s="1">
        <f>'Kwh Consumption'!V14*' Kwh area wise $ '!B13</f>
        <v>-752.3460000000938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3646.7999999999984</v>
      </c>
      <c r="D14" s="1">
        <f>'Kwh Consumption'!C15*' Kwh area wise $ '!B14</f>
        <v>84.600000000004911</v>
      </c>
      <c r="E14" s="1">
        <f>'Kwh Consumption'!D15*' Kwh area wise $ '!B14</f>
        <v>467.99999999994839</v>
      </c>
      <c r="F14" s="1">
        <f>'Kwh Consumption'!E15*' Kwh area wise $ '!B14</f>
        <v>50.400000000005321</v>
      </c>
      <c r="G14" s="1">
        <f>('Kwh Consumption'!F15+'Kwh Consumption'!G15+'Kwh Consumption'!H15)*' Kwh area wise $ '!B14</f>
        <v>183.59999999999673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198.00000000002004</v>
      </c>
      <c r="J14" s="1">
        <f>('Kwh Consumption'!M15+'Kwh Consumption'!N15+'Kwh Consumption'!O15+'Kwh Consumption'!P15+'Kwh Consumption'!Q15+'Kwh Consumption'!R15)*' Kwh area wise $ '!B14</f>
        <v>-1105.1999999999771</v>
      </c>
      <c r="K14" s="1">
        <f>('Kwh Consumption'!S15+'Kwh Consumption'!T15)*' Kwh area wise $ '!B14</f>
        <v>675.31139999974516</v>
      </c>
      <c r="L14" s="1">
        <f>'Kwh Consumption'!U15*' Kwh area wise $ '!B14</f>
        <v>35.999999999997954</v>
      </c>
      <c r="M14" s="1">
        <f>'Kwh Consumption'!V15*' Kwh area wise $ '!B14</f>
        <v>3030.8886000002594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3760.199999999772</v>
      </c>
      <c r="D15" s="1">
        <f>'Kwh Consumption'!C16*' Kwh area wise $ '!B15</f>
        <v>82.799999999996317</v>
      </c>
      <c r="E15" s="1">
        <f>'Kwh Consumption'!D16*' Kwh area wise $ '!B15</f>
        <v>468.00000000002836</v>
      </c>
      <c r="F15" s="1">
        <f>'Kwh Consumption'!E16*' Kwh area wise $ '!B15</f>
        <v>50.399999999995089</v>
      </c>
      <c r="G15" s="1">
        <f>('Kwh Consumption'!F16+'Kwh Consumption'!G16+'Kwh Consumption'!H16)*' Kwh area wise $ '!B15</f>
        <v>180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219.59999999997487</v>
      </c>
      <c r="J15" s="1">
        <f>('Kwh Consumption'!M16+'Kwh Consumption'!N16+'Kwh Consumption'!O16+'Kwh Consumption'!P16+'Kwh Consumption'!Q16+'Kwh Consumption'!R16)*' Kwh area wise $ '!B15</f>
        <v>799.19999999998936</v>
      </c>
      <c r="K15" s="1">
        <f>('Kwh Consumption'!S16+'Kwh Consumption'!T16)*' Kwh area wise $ '!B15</f>
        <v>787.33620000030839</v>
      </c>
      <c r="L15" s="1">
        <f>'Kwh Consumption'!U16*' Kwh area wise $ '!B15</f>
        <v>37.800000000001432</v>
      </c>
      <c r="M15" s="1">
        <f>'Kwh Consumption'!V16*' Kwh area wise $ '!B15</f>
        <v>1108.0637999994774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4014.0000000001965</v>
      </c>
      <c r="D16" s="1">
        <f>'Kwh Consumption'!C17*' Kwh area wise $ '!B16</f>
        <v>91.799999999998363</v>
      </c>
      <c r="E16" s="1">
        <f>'Kwh Consumption'!D17*' Kwh area wise $ '!B16</f>
        <v>468.00000000002836</v>
      </c>
      <c r="F16" s="1">
        <f>'Kwh Consumption'!E17*' Kwh area wise $ '!B16</f>
        <v>52.200000000003683</v>
      </c>
      <c r="G16" s="1">
        <f>('Kwh Consumption'!F17+'Kwh Consumption'!G17+'Kwh Consumption'!H17)*' Kwh area wise $ '!B16</f>
        <v>225</v>
      </c>
      <c r="H16" s="16">
        <f>('Kwh Consumption'!I17+'Kwh Consumption'!J17)*' Kwh area wise $ '!B16</f>
        <v>27.000000000001023</v>
      </c>
      <c r="I16" s="1">
        <f>('Kwh Consumption'!K17+'Kwh Consumption'!L17)*' Kwh area wise $ '!B16</f>
        <v>219.5999999999851</v>
      </c>
      <c r="J16" s="1">
        <f>('Kwh Consumption'!M17+'Kwh Consumption'!N17+'Kwh Consumption'!O17+'Kwh Consumption'!P17+'Kwh Consumption'!Q17+'Kwh Consumption'!R17)*' Kwh area wise $ '!B16</f>
        <v>853.19999999998117</v>
      </c>
      <c r="K16" s="1">
        <f>('Kwh Consumption'!S17+'Kwh Consumption'!T17)*' Kwh area wise $ '!B16</f>
        <v>771.50339999997982</v>
      </c>
      <c r="L16" s="1">
        <f>'Kwh Consumption'!U17*' Kwh area wise $ '!B16</f>
        <v>39.599999999999795</v>
      </c>
      <c r="M16" s="1">
        <f>'Kwh Consumption'!V17*' Kwh area wise $ '!B16</f>
        <v>1266.0966000002195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4024.8000000001048</v>
      </c>
      <c r="D17" s="1">
        <f>'Kwh Consumption'!C18*' Kwh area wise $ '!B17</f>
        <v>97.200000000003683</v>
      </c>
      <c r="E17" s="1">
        <f>'Kwh Consumption'!D18*' Kwh area wise $ '!B17</f>
        <v>485.99999999998641</v>
      </c>
      <c r="F17" s="1">
        <f>'Kwh Consumption'!E18*' Kwh area wise $ '!B17</f>
        <v>52.200000000003683</v>
      </c>
      <c r="G17" s="1">
        <f>('Kwh Consumption'!F18+'Kwh Consumption'!G18+'Kwh Consumption'!H18)*' Kwh area wise $ '!B17</f>
        <v>246.60000000000082</v>
      </c>
      <c r="H17" s="16">
        <f>('Kwh Consumption'!I18+'Kwh Consumption'!J18)*' Kwh area wise $ '!B17</f>
        <v>26.999999999995907</v>
      </c>
      <c r="I17" s="1">
        <f>('Kwh Consumption'!K18+'Kwh Consumption'!L18)*' Kwh area wise $ '!B17</f>
        <v>221.4000000000234</v>
      </c>
      <c r="J17" s="1">
        <f>('Kwh Consumption'!M18+'Kwh Consumption'!N18+'Kwh Consumption'!O18+'Kwh Consumption'!P18+'Kwh Consumption'!Q18+'Kwh Consumption'!R18)*' Kwh area wise $ '!B17</f>
        <v>887.40000000003192</v>
      </c>
      <c r="K17" s="1">
        <f>('Kwh Consumption'!S18+'Kwh Consumption'!T18)*' Kwh area wise $ '!B17</f>
        <v>842.92379999985917</v>
      </c>
      <c r="L17" s="1">
        <f>'Kwh Consumption'!U18*' Kwh area wise $ '!B17</f>
        <v>46.800000000003479</v>
      </c>
      <c r="M17" s="1">
        <f>'Kwh Consumption'!V18*' Kwh area wise $ '!B17</f>
        <v>1117.2762000001967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4215.6000000000131</v>
      </c>
      <c r="D18" s="1">
        <f>'Kwh Consumption'!C19*' Kwh area wise $ '!B18</f>
        <v>93.599999999996726</v>
      </c>
      <c r="E18" s="1">
        <f>'Kwh Consumption'!D19*' Kwh area wise $ '!B18</f>
        <v>503.99999999994446</v>
      </c>
      <c r="F18" s="1">
        <f>'Kwh Consumption'!E19*' Kwh area wise $ '!B18</f>
        <v>50.399999999995089</v>
      </c>
      <c r="G18" s="1">
        <f>('Kwh Consumption'!F19+'Kwh Consumption'!G19+'Kwh Consumption'!H19)*' Kwh area wise $ '!B18</f>
        <v>250.19999999999754</v>
      </c>
      <c r="H18" s="16">
        <f>('Kwh Consumption'!I19+'Kwh Consumption'!J19)*' Kwh area wise $ '!B18</f>
        <v>28.800000000004502</v>
      </c>
      <c r="I18" s="1">
        <f>('Kwh Consumption'!K19+'Kwh Consumption'!L19)*' Kwh area wise $ '!B18</f>
        <v>250.20000000001161</v>
      </c>
      <c r="J18" s="1">
        <f>('Kwh Consumption'!M19+'Kwh Consumption'!N19+'Kwh Consumption'!O19+'Kwh Consumption'!P19+'Kwh Consumption'!Q19+'Kwh Consumption'!R19)*' Kwh area wise $ '!B18</f>
        <v>1045.7999999999493</v>
      </c>
      <c r="K18" s="1">
        <f>('Kwh Consumption'!S19+'Kwh Consumption'!T19)*' Kwh area wise $ '!B18</f>
        <v>876.09599999986585</v>
      </c>
      <c r="L18" s="1">
        <f>'Kwh Consumption'!U19*' Kwh area wise $ '!B18</f>
        <v>37.799999999996317</v>
      </c>
      <c r="M18" s="1">
        <f>'Kwh Consumption'!V19*' Kwh area wise $ '!B18</f>
        <v>1078.7040000002512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4026.6000000001441</v>
      </c>
      <c r="D19" s="1">
        <f>'Kwh Consumption'!C20*' Kwh area wise $ '!B19</f>
        <v>100.80000000000041</v>
      </c>
      <c r="E19" s="1">
        <f>'Kwh Consumption'!D20*' Kwh area wise $ '!B19</f>
        <v>486.00000000006639</v>
      </c>
      <c r="F19" s="1">
        <f>'Kwh Consumption'!E20*' Kwh area wise $ '!B19</f>
        <v>48.599999999996726</v>
      </c>
      <c r="G19" s="1">
        <f>('Kwh Consumption'!F20+'Kwh Consumption'!G20+'Kwh Consumption'!H20)*' Kwh area wise $ '!B19</f>
        <v>259.19999999999959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196.19999999998174</v>
      </c>
      <c r="J19" s="1">
        <f>('Kwh Consumption'!M20+'Kwh Consumption'!N20+'Kwh Consumption'!O20+'Kwh Consumption'!P20+'Kwh Consumption'!Q20+'Kwh Consumption'!R20)*' Kwh area wise $ '!B19</f>
        <v>799.20000000000982</v>
      </c>
      <c r="K19" s="1">
        <f>('Kwh Consumption'!S20+'Kwh Consumption'!T20)*' Kwh area wise $ '!B19</f>
        <v>752.56560000015418</v>
      </c>
      <c r="L19" s="1">
        <f>'Kwh Consumption'!U20*' Kwh area wise $ '!B19</f>
        <v>41.400000000003274</v>
      </c>
      <c r="M19" s="1">
        <f>'Kwh Consumption'!V20*' Kwh area wise $ '!B19</f>
        <v>1313.8343999999322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4298.3999999996922</v>
      </c>
      <c r="D20" s="1">
        <f>'Kwh Consumption'!C21*' Kwh area wise $ '!B20</f>
        <v>102.59999999999877</v>
      </c>
      <c r="E20" s="1">
        <f>'Kwh Consumption'!D21*' Kwh area wise $ '!B20</f>
        <v>485.99999999998641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255.60000000000286</v>
      </c>
      <c r="H20" s="16">
        <f>('Kwh Consumption'!I21+'Kwh Consumption'!J21)*' Kwh area wise $ '!B20</f>
        <v>26.999999999995907</v>
      </c>
      <c r="I20" s="1">
        <f>('Kwh Consumption'!K21+'Kwh Consumption'!L21)*' Kwh area wise $ '!B20</f>
        <v>244.80000000002676</v>
      </c>
      <c r="J20" s="1">
        <f>('Kwh Consumption'!M21+'Kwh Consumption'!N21+'Kwh Consumption'!O21+'Kwh Consumption'!P21+'Kwh Consumption'!Q21+'Kwh Consumption'!R21)*' Kwh area wise $ '!B20</f>
        <v>941.40000000002374</v>
      </c>
      <c r="K20" s="1">
        <f>('Kwh Consumption'!S21+'Kwh Consumption'!T21)*' Kwh area wise $ '!B20</f>
        <v>852.82379999985915</v>
      </c>
      <c r="L20" s="1">
        <f>'Kwh Consumption'!U21*' Kwh area wise $ '!B20</f>
        <v>45</v>
      </c>
      <c r="M20" s="1">
        <f>'Kwh Consumption'!V21*' Kwh area wise $ '!B20</f>
        <v>1292.7761999997931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4426.1999999999853</v>
      </c>
      <c r="D21" s="1">
        <f>'Kwh Consumption'!C22*' Kwh area wise $ '!B21</f>
        <v>106.20000000000573</v>
      </c>
      <c r="E21" s="1">
        <f>'Kwh Consumption'!D22*' Kwh area wise $ '!B21</f>
        <v>485.99999999998641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261.00000000000819</v>
      </c>
      <c r="H21" s="16">
        <f>('Kwh Consumption'!I22+'Kwh Consumption'!J22)*' Kwh area wise $ '!B21</f>
        <v>28.800000000004502</v>
      </c>
      <c r="I21" s="1">
        <f>('Kwh Consumption'!K22+'Kwh Consumption'!L22)*' Kwh area wise $ '!B21</f>
        <v>244.79999999997654</v>
      </c>
      <c r="J21" s="1">
        <f>('Kwh Consumption'!M22+'Kwh Consumption'!N22+'Kwh Consumption'!O22+'Kwh Consumption'!P22+'Kwh Consumption'!Q22+'Kwh Consumption'!R22)*' Kwh area wise $ '!B21</f>
        <v>934.19999999998936</v>
      </c>
      <c r="K21" s="1">
        <f>('Kwh Consumption'!S22+'Kwh Consumption'!T22)*' Kwh area wise $ '!B21</f>
        <v>956.9106000001542</v>
      </c>
      <c r="L21" s="1">
        <f>'Kwh Consumption'!U22*' Kwh area wise $ '!B21</f>
        <v>43.199999999996521</v>
      </c>
      <c r="M21" s="1">
        <f>'Kwh Consumption'!V22*' Kwh area wise $ '!B21</f>
        <v>1314.6893999998686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4442.4000000000115</v>
      </c>
      <c r="D22" s="1">
        <f>'Kwh Consumption'!C23*' Kwh area wise $ '!B22</f>
        <v>107.99999999999386</v>
      </c>
      <c r="E22" s="1">
        <f>'Kwh Consumption'!D23*' Kwh area wise $ '!B22</f>
        <v>485.99999999998641</v>
      </c>
      <c r="F22" s="1">
        <f>'Kwh Consumption'!E23*' Kwh area wise $ '!B22</f>
        <v>50.400000000005321</v>
      </c>
      <c r="G22" s="1">
        <f>('Kwh Consumption'!F23+'Kwh Consumption'!G23+'Kwh Consumption'!H23)*' Kwh area wise $ '!B22</f>
        <v>268.20000000000164</v>
      </c>
      <c r="H22" s="16">
        <f>('Kwh Consumption'!I23+'Kwh Consumption'!J23)*' Kwh area wise $ '!B22</f>
        <v>26.999999999995907</v>
      </c>
      <c r="I22" s="1">
        <f>('Kwh Consumption'!K23+'Kwh Consumption'!L23)*' Kwh area wise $ '!B22</f>
        <v>252.00000000000998</v>
      </c>
      <c r="J22" s="1">
        <f>('Kwh Consumption'!M23+'Kwh Consumption'!N23+'Kwh Consumption'!O23+'Kwh Consumption'!P23+'Kwh Consumption'!Q23+'Kwh Consumption'!R23)*' Kwh area wise $ '!B22</f>
        <v>973.80000000001473</v>
      </c>
      <c r="K22" s="1">
        <f>('Kwh Consumption'!S23+'Kwh Consumption'!T23)*' Kwh area wise $ '!B22</f>
        <v>916.23779999999329</v>
      </c>
      <c r="L22" s="1">
        <f>'Kwh Consumption'!U23*' Kwh area wise $ '!B22</f>
        <v>41.400000000003274</v>
      </c>
      <c r="M22" s="1">
        <f>'Kwh Consumption'!V23*' Kwh area wise $ '!B22</f>
        <v>1319.3622000000073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4267.7999999999647</v>
      </c>
      <c r="D23" s="1">
        <f>'Kwh Consumption'!C24*' Kwh area wise $ '!B23</f>
        <v>109.80000000000246</v>
      </c>
      <c r="E23" s="1">
        <f>'Kwh Consumption'!D24*' Kwh area wise $ '!B23</f>
        <v>504.00000000002439</v>
      </c>
      <c r="F23" s="1">
        <f>'Kwh Consumption'!E24*' Kwh area wise $ '!B23</f>
        <v>54.000000000002046</v>
      </c>
      <c r="G23" s="1">
        <f>('Kwh Consumption'!F24+'Kwh Consumption'!G24+'Kwh Consumption'!H24)*' Kwh area wise $ '!B23</f>
        <v>246.59999999999059</v>
      </c>
      <c r="H23" s="16">
        <f>('Kwh Consumption'!I24+'Kwh Consumption'!J24)*' Kwh area wise $ '!B23</f>
        <v>28.800000000004502</v>
      </c>
      <c r="I23" s="1">
        <f>('Kwh Consumption'!K24+'Kwh Consumption'!L24)*' Kwh area wise $ '!B23</f>
        <v>257.39999999998554</v>
      </c>
      <c r="J23" s="1">
        <f>('Kwh Consumption'!M24+'Kwh Consumption'!N24+'Kwh Consumption'!O24+'Kwh Consumption'!P24+'Kwh Consumption'!Q24+'Kwh Consumption'!R24)*' Kwh area wise $ '!B23</f>
        <v>964.80000000000246</v>
      </c>
      <c r="K23" s="1">
        <f>('Kwh Consumption'!S24+'Kwh Consumption'!T24)*' Kwh area wise $ '!B23</f>
        <v>858.42000000016765</v>
      </c>
      <c r="L23" s="1">
        <f>'Kwh Consumption'!U24*' Kwh area wise $ '!B23</f>
        <v>41.399999999998158</v>
      </c>
      <c r="M23" s="1">
        <f>'Kwh Consumption'!V24*' Kwh area wise $ '!B23</f>
        <v>1202.5799999997878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4500.0000000000819</v>
      </c>
      <c r="D24" s="1">
        <f>'Kwh Consumption'!C25*' Kwh area wise $ '!B24</f>
        <v>111.60000000000082</v>
      </c>
      <c r="E24" s="1">
        <f>'Kwh Consumption'!D25*' Kwh area wise $ '!B24</f>
        <v>503.99999999994446</v>
      </c>
      <c r="F24" s="1">
        <f>'Kwh Consumption'!E25*' Kwh area wise $ '!B24</f>
        <v>50.399999999995089</v>
      </c>
      <c r="G24" s="1">
        <f>('Kwh Consumption'!F25+'Kwh Consumption'!G25+'Kwh Consumption'!H25)*' Kwh area wise $ '!B24</f>
        <v>250.19999999999754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257.40000000001532</v>
      </c>
      <c r="J24" s="1">
        <f>('Kwh Consumption'!M25+'Kwh Consumption'!N25+'Kwh Consumption'!O25+'Kwh Consumption'!P25+'Kwh Consumption'!Q25+'Kwh Consumption'!R25)*' Kwh area wise $ '!B24</f>
        <v>1025.9999999999877</v>
      </c>
      <c r="K24" s="1">
        <f>('Kwh Consumption'!S25+'Kwh Consumption'!T25)*' Kwh area wise $ '!B24</f>
        <v>891.55799999976523</v>
      </c>
      <c r="L24" s="1">
        <f>'Kwh Consumption'!U25*' Kwh area wise $ '!B24</f>
        <v>46.799999999998363</v>
      </c>
      <c r="M24" s="1">
        <f>'Kwh Consumption'!V25*' Kwh area wise $ '!B24</f>
        <v>1333.2420000003781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-90471.599999999991</v>
      </c>
      <c r="E25" s="1">
        <f>'Kwh Consumption'!D26*' Kwh area wise $ '!B25</f>
        <v>-507330</v>
      </c>
      <c r="F25" s="1">
        <f>'Kwh Consumption'!E26*' Kwh area wise $ '!B25</f>
        <v>-49186.799999999996</v>
      </c>
      <c r="G25" s="1">
        <f>('Kwh Consumption'!F26+'Kwh Consumption'!G26+'Kwh Consumption'!H26)*' Kwh area wise $ '!B25</f>
        <v>-187439.4</v>
      </c>
      <c r="H25" s="16">
        <f>('Kwh Consumption'!I26+'Kwh Consumption'!J26)*' Kwh area wise $ '!B25</f>
        <v>-58935.6</v>
      </c>
      <c r="I25" s="1">
        <f>('Kwh Consumption'!K26+'Kwh Consumption'!L26)*' Kwh area wise $ '!B25</f>
        <v>-266704.2</v>
      </c>
      <c r="J25" s="1">
        <f>('Kwh Consumption'!M26+'Kwh Consumption'!N26+'Kwh Consumption'!O26+'Kwh Consumption'!P26+'Kwh Consumption'!Q26+'Kwh Consumption'!R26)*' Kwh area wise $ '!B25</f>
        <v>-767633.4</v>
      </c>
      <c r="K25" s="1">
        <f>('Kwh Consumption'!S26+'Kwh Consumption'!T26)*' Kwh area wise $ '!B25</f>
        <v>-2979842.0219999994</v>
      </c>
      <c r="L25" s="1">
        <f>'Kwh Consumption'!U26*' Kwh area wise $ '!B25</f>
        <v>-33746.400000000001</v>
      </c>
      <c r="M25" s="1">
        <f>'Kwh Consumption'!V26*' Kwh area wise $ '!B25</f>
        <v>4941289.4219999993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89017.199999999822</v>
      </c>
      <c r="D34" s="72">
        <f t="shared" si="0"/>
        <v>-88446.599999999991</v>
      </c>
      <c r="E34" s="72">
        <f t="shared" si="0"/>
        <v>-496854.00000000006</v>
      </c>
      <c r="F34" s="72">
        <f t="shared" si="0"/>
        <v>-48117.599999999999</v>
      </c>
      <c r="G34" s="72">
        <f t="shared" si="0"/>
        <v>-182907</v>
      </c>
      <c r="H34" s="72">
        <f t="shared" si="0"/>
        <v>-58370.399999999994</v>
      </c>
      <c r="I34" s="72">
        <f t="shared" si="0"/>
        <v>-261480.6</v>
      </c>
      <c r="J34" s="72">
        <f t="shared" si="0"/>
        <v>-748150.20000000007</v>
      </c>
      <c r="K34" s="72">
        <f t="shared" si="0"/>
        <v>-2961931.4945999999</v>
      </c>
      <c r="L34" s="72">
        <f t="shared" si="0"/>
        <v>-32898.600000000006</v>
      </c>
      <c r="M34" s="72">
        <f>SUM(M3:M33)</f>
        <v>4968173.6945999991</v>
      </c>
      <c r="N34" s="81">
        <f>D34+E34+F34+G34+H34+I34+J34+K34+L34+M34</f>
        <v>89017.199999999255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6" sqref="B2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196265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>
        <v>196585</v>
      </c>
      <c r="C14" s="32"/>
      <c r="D14" s="104">
        <v>235049</v>
      </c>
      <c r="E14" s="104">
        <v>257695</v>
      </c>
      <c r="F14" s="104">
        <v>67049</v>
      </c>
      <c r="G14" s="104">
        <v>114853</v>
      </c>
      <c r="H14" s="104">
        <v>59152</v>
      </c>
      <c r="I14" s="104">
        <v>68876</v>
      </c>
      <c r="J14" s="104">
        <v>21816</v>
      </c>
      <c r="K14" s="104">
        <v>1024</v>
      </c>
      <c r="L14" s="104">
        <v>18263</v>
      </c>
      <c r="M14" s="104">
        <v>26288</v>
      </c>
      <c r="N14" s="104">
        <v>8122</v>
      </c>
      <c r="O14" s="104">
        <v>1863</v>
      </c>
      <c r="P14" s="104">
        <v>28796</v>
      </c>
      <c r="Q14" s="104">
        <v>1171</v>
      </c>
      <c r="R14" s="104">
        <v>7145</v>
      </c>
    </row>
    <row r="15" spans="1:21" x14ac:dyDescent="0.25">
      <c r="A15" s="52">
        <v>44543</v>
      </c>
      <c r="B15" s="32">
        <v>196746</v>
      </c>
      <c r="C15" s="32"/>
      <c r="D15" s="104">
        <v>235272</v>
      </c>
      <c r="E15" s="104">
        <v>257776</v>
      </c>
      <c r="F15" s="104">
        <v>67050</v>
      </c>
      <c r="G15" s="104">
        <v>114876</v>
      </c>
      <c r="H15" s="104">
        <v>59160</v>
      </c>
      <c r="I15" s="104">
        <v>68891</v>
      </c>
      <c r="J15" s="104">
        <v>21821</v>
      </c>
      <c r="K15" s="104">
        <v>1024</v>
      </c>
      <c r="L15" s="104">
        <v>18267</v>
      </c>
      <c r="M15" s="104">
        <v>26297</v>
      </c>
      <c r="N15" s="104">
        <v>8123</v>
      </c>
      <c r="O15" s="104">
        <v>1864</v>
      </c>
      <c r="P15" s="104">
        <v>28796</v>
      </c>
      <c r="Q15" s="104">
        <v>1171</v>
      </c>
      <c r="R15" s="104">
        <v>7149</v>
      </c>
      <c r="T15" s="102"/>
      <c r="U15" s="102"/>
    </row>
    <row r="16" spans="1:21" x14ac:dyDescent="0.25">
      <c r="A16" s="52">
        <v>44544</v>
      </c>
      <c r="B16" s="32">
        <v>196920</v>
      </c>
      <c r="C16" s="54"/>
      <c r="D16" s="104">
        <v>235504</v>
      </c>
      <c r="E16" s="104">
        <v>257856</v>
      </c>
      <c r="F16" s="104">
        <v>67051</v>
      </c>
      <c r="G16" s="104">
        <v>114901</v>
      </c>
      <c r="H16" s="104">
        <v>59164</v>
      </c>
      <c r="I16" s="104">
        <v>68912</v>
      </c>
      <c r="J16" s="104">
        <v>21827</v>
      </c>
      <c r="K16" s="104">
        <v>1024</v>
      </c>
      <c r="L16" s="104">
        <v>18271</v>
      </c>
      <c r="M16" s="104">
        <v>26306</v>
      </c>
      <c r="N16" s="104">
        <v>8124</v>
      </c>
      <c r="O16" s="104">
        <v>1865</v>
      </c>
      <c r="P16" s="104">
        <v>28806</v>
      </c>
      <c r="Q16" s="104">
        <v>1171</v>
      </c>
      <c r="R16" s="104">
        <v>7159</v>
      </c>
    </row>
    <row r="17" spans="1:22" x14ac:dyDescent="0.25">
      <c r="A17" s="52">
        <v>44545</v>
      </c>
      <c r="B17" s="32">
        <v>197081</v>
      </c>
      <c r="C17" s="32"/>
      <c r="D17" s="104">
        <v>235687</v>
      </c>
      <c r="E17" s="104">
        <v>257943</v>
      </c>
      <c r="F17" s="104">
        <v>67052</v>
      </c>
      <c r="G17" s="104">
        <v>114929</v>
      </c>
      <c r="H17" s="104">
        <v>59188</v>
      </c>
      <c r="I17" s="104">
        <v>68935</v>
      </c>
      <c r="J17" s="104">
        <v>21834</v>
      </c>
      <c r="K17" s="104">
        <v>1024</v>
      </c>
      <c r="L17" s="104">
        <v>18276</v>
      </c>
      <c r="M17" s="104">
        <v>26315</v>
      </c>
      <c r="N17" s="104">
        <v>8125</v>
      </c>
      <c r="O17" s="104">
        <v>1869</v>
      </c>
      <c r="P17" s="104">
        <v>28812</v>
      </c>
      <c r="Q17" s="104">
        <v>1171</v>
      </c>
      <c r="R17" s="104">
        <v>7167</v>
      </c>
    </row>
    <row r="18" spans="1:22" x14ac:dyDescent="0.25">
      <c r="A18" s="52">
        <v>44546</v>
      </c>
      <c r="B18" s="32">
        <v>197248</v>
      </c>
      <c r="C18" s="54"/>
      <c r="D18" s="104">
        <v>235888</v>
      </c>
      <c r="E18" s="104">
        <v>258095</v>
      </c>
      <c r="F18" s="104">
        <v>67052</v>
      </c>
      <c r="G18" s="104">
        <v>114959</v>
      </c>
      <c r="H18" s="104">
        <v>59201</v>
      </c>
      <c r="I18" s="104">
        <v>68977</v>
      </c>
      <c r="J18" s="104">
        <v>21839</v>
      </c>
      <c r="K18" s="104">
        <v>1024</v>
      </c>
      <c r="L18" s="104">
        <v>18281</v>
      </c>
      <c r="M18" s="104">
        <v>26324</v>
      </c>
      <c r="N18" s="104">
        <v>8127</v>
      </c>
      <c r="O18" s="104">
        <v>1870</v>
      </c>
      <c r="P18" s="104">
        <v>28812</v>
      </c>
      <c r="Q18" s="104">
        <v>1174</v>
      </c>
      <c r="R18" s="104">
        <v>7175</v>
      </c>
      <c r="U18" s="102"/>
    </row>
    <row r="19" spans="1:22" x14ac:dyDescent="0.25">
      <c r="A19" s="52">
        <v>44547</v>
      </c>
      <c r="B19" s="32">
        <v>197427</v>
      </c>
      <c r="C19" s="32"/>
      <c r="D19" s="104">
        <v>236134</v>
      </c>
      <c r="E19" s="104">
        <v>258111</v>
      </c>
      <c r="F19" s="104">
        <v>67053</v>
      </c>
      <c r="G19" s="104">
        <v>114988</v>
      </c>
      <c r="H19" s="104">
        <v>59218</v>
      </c>
      <c r="I19" s="104">
        <v>68999</v>
      </c>
      <c r="J19" s="104">
        <v>21846</v>
      </c>
      <c r="K19" s="104">
        <v>1024</v>
      </c>
      <c r="L19" s="104">
        <v>18284</v>
      </c>
      <c r="M19" s="104">
        <v>26331</v>
      </c>
      <c r="N19" s="104">
        <v>8130</v>
      </c>
      <c r="O19" s="104">
        <v>1873</v>
      </c>
      <c r="P19" s="104">
        <v>28812</v>
      </c>
      <c r="Q19" s="104">
        <v>1174</v>
      </c>
      <c r="R19" s="104">
        <v>7183</v>
      </c>
    </row>
    <row r="20" spans="1:22" x14ac:dyDescent="0.25">
      <c r="A20" s="52">
        <v>44548</v>
      </c>
      <c r="B20" s="32">
        <v>197427</v>
      </c>
      <c r="C20" s="54"/>
      <c r="D20" s="105">
        <v>236134</v>
      </c>
      <c r="E20" s="104">
        <v>258111</v>
      </c>
      <c r="F20" s="104">
        <v>67053</v>
      </c>
      <c r="G20" s="104">
        <v>114988</v>
      </c>
      <c r="H20" s="104">
        <v>59218</v>
      </c>
      <c r="I20" s="104">
        <v>68999</v>
      </c>
      <c r="J20" s="104">
        <v>21846</v>
      </c>
      <c r="K20" s="104">
        <v>1024</v>
      </c>
      <c r="L20" s="104">
        <v>18284</v>
      </c>
      <c r="M20" s="104">
        <v>26331</v>
      </c>
      <c r="N20" s="104">
        <v>8130</v>
      </c>
      <c r="O20" s="104">
        <v>1873</v>
      </c>
      <c r="P20" s="104">
        <v>28812</v>
      </c>
      <c r="Q20" s="104">
        <v>1174</v>
      </c>
      <c r="R20" s="104">
        <v>7189</v>
      </c>
    </row>
    <row r="21" spans="1:22" x14ac:dyDescent="0.25">
      <c r="A21" s="52">
        <v>44549</v>
      </c>
      <c r="B21" s="32">
        <v>197822</v>
      </c>
      <c r="C21" s="32"/>
      <c r="D21" s="104">
        <v>236629</v>
      </c>
      <c r="E21" s="104">
        <v>258273</v>
      </c>
      <c r="F21" s="104">
        <v>67054</v>
      </c>
      <c r="G21" s="104">
        <v>115049</v>
      </c>
      <c r="H21" s="104">
        <v>59289</v>
      </c>
      <c r="I21" s="104">
        <v>69066</v>
      </c>
      <c r="J21" s="104">
        <v>21859</v>
      </c>
      <c r="K21" s="104">
        <v>1024</v>
      </c>
      <c r="L21" s="104">
        <v>18293</v>
      </c>
      <c r="M21" s="104">
        <v>26351</v>
      </c>
      <c r="N21" s="104">
        <v>8135</v>
      </c>
      <c r="O21" s="104">
        <v>1875</v>
      </c>
      <c r="P21" s="104">
        <v>28822</v>
      </c>
      <c r="Q21" s="104">
        <v>1174</v>
      </c>
      <c r="R21" s="104">
        <v>7198</v>
      </c>
    </row>
    <row r="22" spans="1:22" x14ac:dyDescent="0.25">
      <c r="A22" s="52">
        <v>44550</v>
      </c>
      <c r="B22" s="32">
        <v>198019</v>
      </c>
      <c r="C22" s="54"/>
      <c r="D22" s="104">
        <v>236890</v>
      </c>
      <c r="E22" s="104">
        <v>258357</v>
      </c>
      <c r="F22" s="104">
        <v>67055</v>
      </c>
      <c r="G22" s="104">
        <v>115082</v>
      </c>
      <c r="H22" s="104">
        <v>59313</v>
      </c>
      <c r="I22" s="104">
        <v>69102</v>
      </c>
      <c r="J22" s="104">
        <v>21865</v>
      </c>
      <c r="K22" s="104">
        <v>1024</v>
      </c>
      <c r="L22" s="104">
        <v>18297</v>
      </c>
      <c r="M22" s="104">
        <v>26360</v>
      </c>
      <c r="N22" s="104">
        <v>8138</v>
      </c>
      <c r="O22" s="104">
        <v>1876</v>
      </c>
      <c r="P22" s="104">
        <v>28835</v>
      </c>
      <c r="Q22" s="104">
        <v>1175</v>
      </c>
      <c r="R22" s="104">
        <v>7207</v>
      </c>
    </row>
    <row r="23" spans="1:22" x14ac:dyDescent="0.25">
      <c r="A23" s="52">
        <v>44551</v>
      </c>
      <c r="B23" s="32">
        <v>198213</v>
      </c>
      <c r="C23" s="32"/>
      <c r="D23" s="104">
        <v>237128</v>
      </c>
      <c r="E23" s="104">
        <v>258440</v>
      </c>
      <c r="F23" s="104">
        <v>67056</v>
      </c>
      <c r="G23" s="104">
        <v>115114</v>
      </c>
      <c r="H23" s="104">
        <v>59353</v>
      </c>
      <c r="I23" s="104">
        <v>69139</v>
      </c>
      <c r="J23" s="104">
        <v>21872</v>
      </c>
      <c r="K23" s="104">
        <v>1024</v>
      </c>
      <c r="L23" s="104">
        <v>18302</v>
      </c>
      <c r="M23" s="104">
        <v>26369</v>
      </c>
      <c r="N23" s="104">
        <v>8139</v>
      </c>
      <c r="O23" s="104">
        <v>1879</v>
      </c>
      <c r="P23" s="104">
        <v>28851</v>
      </c>
      <c r="Q23" s="104">
        <v>1178</v>
      </c>
      <c r="R23" s="104">
        <v>7216</v>
      </c>
      <c r="S23" s="10" t="s">
        <v>127</v>
      </c>
    </row>
    <row r="24" spans="1:22" x14ac:dyDescent="0.25">
      <c r="A24" s="52">
        <v>44552</v>
      </c>
      <c r="B24" s="32">
        <v>198426</v>
      </c>
      <c r="C24" s="54"/>
      <c r="D24" s="104">
        <v>237423</v>
      </c>
      <c r="E24" s="104">
        <v>258517</v>
      </c>
      <c r="F24" s="104">
        <v>67056</v>
      </c>
      <c r="G24" s="104">
        <v>115145</v>
      </c>
      <c r="H24" s="104">
        <v>59398</v>
      </c>
      <c r="I24" s="104">
        <v>69180</v>
      </c>
      <c r="J24" s="104">
        <v>21878</v>
      </c>
      <c r="K24" s="104">
        <v>1024</v>
      </c>
      <c r="L24" s="104">
        <v>18305</v>
      </c>
      <c r="M24" s="104">
        <v>26377</v>
      </c>
      <c r="N24" s="104">
        <v>8142</v>
      </c>
      <c r="O24" s="104">
        <v>1880</v>
      </c>
      <c r="P24" s="104">
        <v>28864</v>
      </c>
      <c r="Q24" s="104">
        <v>1179</v>
      </c>
      <c r="R24" s="104">
        <v>7223</v>
      </c>
    </row>
    <row r="25" spans="1:22" x14ac:dyDescent="0.25">
      <c r="A25" s="52">
        <v>44553</v>
      </c>
      <c r="B25" s="32">
        <v>198615</v>
      </c>
      <c r="C25" s="32"/>
      <c r="D25" s="104">
        <v>237689</v>
      </c>
      <c r="E25" s="104">
        <v>258599</v>
      </c>
      <c r="F25" s="104">
        <v>67057</v>
      </c>
      <c r="G25" s="104">
        <v>115177</v>
      </c>
      <c r="H25" s="104">
        <v>59432</v>
      </c>
      <c r="I25" s="104">
        <v>69209</v>
      </c>
      <c r="J25" s="104">
        <v>21885</v>
      </c>
      <c r="K25" s="104">
        <v>1024</v>
      </c>
      <c r="L25" s="104">
        <v>18309</v>
      </c>
      <c r="M25" s="104">
        <v>26386</v>
      </c>
      <c r="N25" s="104">
        <v>8146</v>
      </c>
      <c r="O25" s="104">
        <v>1882</v>
      </c>
      <c r="P25" s="104">
        <v>28869</v>
      </c>
      <c r="Q25" s="104">
        <v>1180</v>
      </c>
      <c r="R25" s="104">
        <v>7233</v>
      </c>
    </row>
    <row r="26" spans="1:22" x14ac:dyDescent="0.25">
      <c r="A26" s="52">
        <v>44554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44555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44556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44557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44558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44559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44560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44561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70" zoomScaleNormal="70" workbookViewId="0">
      <pane ySplit="3" topLeftCell="A4" activePane="bottomLeft" state="frozen"/>
      <selection activeCell="C25" sqref="C25"/>
      <selection pane="bottomLeft" activeCell="A25" sqref="A25:XFD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416</v>
      </c>
      <c r="D11" s="65">
        <f t="shared" si="2"/>
        <v>1.0505050505050506</v>
      </c>
      <c r="E11" s="84">
        <f>'Water Reading'!H11-'Water Reading'!H10</f>
        <v>12</v>
      </c>
      <c r="F11" s="85">
        <f t="shared" si="3"/>
        <v>2.8846153846153848E-2</v>
      </c>
      <c r="G11" s="89">
        <f>('Water Reading'!D11-'Water Reading'!D10)-('Water Reading'!R11-'Water Reading'!R10)-('Water Reading'!Q11-'Water Reading'!Q10)</f>
        <v>308</v>
      </c>
      <c r="H11" s="85">
        <f t="shared" si="4"/>
        <v>0.74038461538461542</v>
      </c>
      <c r="I11" s="86">
        <f>'Water Reading'!P11-'Water Reading'!P10</f>
        <v>16</v>
      </c>
      <c r="J11" s="66">
        <f t="shared" si="5"/>
        <v>3.8461538461538464E-2</v>
      </c>
      <c r="K11" s="87">
        <f>('Water Reading'!I11-'Water Reading'!I10)-('Water Reading'!P11-'Water Reading'!P10)</f>
        <v>8</v>
      </c>
      <c r="L11" s="66">
        <f t="shared" si="6"/>
        <v>1.9230769230769232E-2</v>
      </c>
      <c r="M11" s="86">
        <f>'Water Reading'!R11-'Water Reading'!R10</f>
        <v>6</v>
      </c>
      <c r="N11" s="88">
        <f t="shared" si="7"/>
        <v>1.4423076923076924E-2</v>
      </c>
      <c r="O11" s="86">
        <f>'Water Reading'!Q11-'Water Reading'!Q10</f>
        <v>5</v>
      </c>
      <c r="P11" s="93">
        <f t="shared" si="8"/>
        <v>1.201923076923077E-2</v>
      </c>
      <c r="Q11" s="87">
        <f>'Water Reading'!N11-'Water Reading'!N10</f>
        <v>2</v>
      </c>
      <c r="R11" s="94">
        <f t="shared" si="9"/>
        <v>4.807692307692308E-3</v>
      </c>
      <c r="S11" s="86">
        <f>'Water Reading'!M11-'Water Reading'!M10</f>
        <v>8</v>
      </c>
      <c r="T11" s="94">
        <f t="shared" si="10"/>
        <v>1.9230769230769232E-2</v>
      </c>
      <c r="U11" s="86">
        <f>'Water Reading'!O11-'Water Reading'!O10</f>
        <v>1</v>
      </c>
      <c r="V11" s="94">
        <f t="shared" si="11"/>
        <v>2.403846153846154E-3</v>
      </c>
      <c r="W11" s="86">
        <f>'Water Reading'!R11-'Water Reading'!R10</f>
        <v>6</v>
      </c>
      <c r="X11" s="94">
        <f t="shared" si="12"/>
        <v>1.4423076923076924E-2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0</v>
      </c>
      <c r="D12" s="65">
        <f t="shared" si="2"/>
        <v>0</v>
      </c>
      <c r="E12" s="84">
        <f>'Water Reading'!H12-'Water Reading'!H11</f>
        <v>18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261</v>
      </c>
      <c r="H12" s="85" t="e">
        <f t="shared" si="4"/>
        <v>#DIV/0!</v>
      </c>
      <c r="I12" s="86">
        <f>'Water Reading'!P12-'Water Reading'!P11</f>
        <v>1</v>
      </c>
      <c r="J12" s="66" t="e">
        <f t="shared" si="5"/>
        <v>#DIV/0!</v>
      </c>
      <c r="K12" s="87">
        <f>('Water Reading'!I12-'Water Reading'!I11)-('Water Reading'!P12-'Water Reading'!P11)</f>
        <v>26</v>
      </c>
      <c r="L12" s="66" t="e">
        <f t="shared" si="6"/>
        <v>#DIV/0!</v>
      </c>
      <c r="M12" s="86">
        <f>'Water Reading'!R12-'Water Reading'!R11</f>
        <v>5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2</v>
      </c>
      <c r="R12" s="94" t="e">
        <f t="shared" si="9"/>
        <v>#DIV/0!</v>
      </c>
      <c r="S12" s="86">
        <f>'Water Reading'!M12-'Water Reading'!M11</f>
        <v>9</v>
      </c>
      <c r="T12" s="94" t="e">
        <f t="shared" si="10"/>
        <v>#DIV/0!</v>
      </c>
      <c r="U12" s="86">
        <f>'Water Reading'!O12-'Water Reading'!O11</f>
        <v>1</v>
      </c>
      <c r="V12" s="94" t="e">
        <f t="shared" si="11"/>
        <v>#DIV/0!</v>
      </c>
      <c r="W12" s="86">
        <f>'Water Reading'!R12-'Water Reading'!R11</f>
        <v>5</v>
      </c>
      <c r="X12" s="94" t="e">
        <f t="shared" si="12"/>
        <v>#DIV/0!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353</v>
      </c>
      <c r="C14" s="64">
        <f>('Water Reading'!B14-'Water Reading'!B13)+('Water Reading'!C14-'Water Reading'!C13)</f>
        <v>164</v>
      </c>
      <c r="D14" s="65">
        <f t="shared" si="2"/>
        <v>0.46458923512747874</v>
      </c>
      <c r="E14" s="84">
        <f>'Water Reading'!H14-'Water Reading'!H13</f>
        <v>6</v>
      </c>
      <c r="F14" s="85">
        <f t="shared" si="3"/>
        <v>3.6585365853658534E-2</v>
      </c>
      <c r="G14" s="89">
        <f>('Water Reading'!D14-'Water Reading'!D13)-('Water Reading'!R14-'Water Reading'!R13)-('Water Reading'!Q14-'Water Reading'!Q13)</f>
        <v>213</v>
      </c>
      <c r="H14" s="85">
        <f t="shared" si="4"/>
        <v>1.2987804878048781</v>
      </c>
      <c r="I14" s="86">
        <f>'Water Reading'!P14-'Water Reading'!P13</f>
        <v>0</v>
      </c>
      <c r="J14" s="66">
        <f t="shared" si="5"/>
        <v>0</v>
      </c>
      <c r="K14" s="87">
        <f>('Water Reading'!I14-'Water Reading'!I13)-('Water Reading'!P14-'Water Reading'!P13)</f>
        <v>16</v>
      </c>
      <c r="L14" s="66">
        <f t="shared" si="6"/>
        <v>9.7560975609756101E-2</v>
      </c>
      <c r="M14" s="86">
        <f>'Water Reading'!R14-'Water Reading'!R13</f>
        <v>5</v>
      </c>
      <c r="N14" s="88">
        <f t="shared" si="7"/>
        <v>3.048780487804878E-2</v>
      </c>
      <c r="O14" s="86">
        <f>'Water Reading'!Q14-'Water Reading'!Q13</f>
        <v>0</v>
      </c>
      <c r="P14" s="93">
        <f t="shared" si="8"/>
        <v>0</v>
      </c>
      <c r="Q14" s="87">
        <f>'Water Reading'!N14-'Water Reading'!N13</f>
        <v>0</v>
      </c>
      <c r="R14" s="94">
        <f t="shared" si="9"/>
        <v>0</v>
      </c>
      <c r="S14" s="86">
        <f>'Water Reading'!M14-'Water Reading'!M13</f>
        <v>10</v>
      </c>
      <c r="T14" s="94">
        <f t="shared" si="10"/>
        <v>6.097560975609756E-2</v>
      </c>
      <c r="U14" s="86">
        <f>'Water Reading'!O14-'Water Reading'!O13</f>
        <v>0</v>
      </c>
      <c r="V14" s="94">
        <f t="shared" si="11"/>
        <v>0</v>
      </c>
      <c r="W14" s="86">
        <f>'Water Reading'!R14-'Water Reading'!R13</f>
        <v>5</v>
      </c>
      <c r="X14" s="94">
        <f t="shared" si="12"/>
        <v>3.048780487804878E-2</v>
      </c>
      <c r="Y14" s="64">
        <f t="shared" si="0"/>
        <v>255</v>
      </c>
      <c r="Z14" s="65">
        <f t="shared" si="1"/>
        <v>0.72237960339943341</v>
      </c>
    </row>
    <row r="15" spans="1:26" x14ac:dyDescent="0.25">
      <c r="A15" s="8">
        <f>'Water Reading'!A14</f>
        <v>44542</v>
      </c>
      <c r="B15" s="63">
        <f>TOTAL!I13</f>
        <v>360</v>
      </c>
      <c r="C15" s="64">
        <f>('Water Reading'!B15-'Water Reading'!B14)+('Water Reading'!C15-'Water Reading'!C14)</f>
        <v>161</v>
      </c>
      <c r="D15" s="65">
        <f t="shared" si="2"/>
        <v>0.44722222222222224</v>
      </c>
      <c r="E15" s="84">
        <f>'Water Reading'!H15-'Water Reading'!H14</f>
        <v>8</v>
      </c>
      <c r="F15" s="85">
        <f t="shared" si="3"/>
        <v>4.9689440993788817E-2</v>
      </c>
      <c r="G15" s="89">
        <f>('Water Reading'!D15-'Water Reading'!D14)-('Water Reading'!R15-'Water Reading'!R14)-('Water Reading'!Q15-'Water Reading'!Q14)</f>
        <v>219</v>
      </c>
      <c r="H15" s="85">
        <f t="shared" si="4"/>
        <v>1.360248447204969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15</v>
      </c>
      <c r="L15" s="66">
        <f t="shared" si="6"/>
        <v>9.3167701863354033E-2</v>
      </c>
      <c r="M15" s="86">
        <f>'Water Reading'!R15-'Water Reading'!R14</f>
        <v>4</v>
      </c>
      <c r="N15" s="88">
        <f t="shared" si="7"/>
        <v>2.4844720496894408E-2</v>
      </c>
      <c r="O15" s="86">
        <f>'Water Reading'!Q15-'Water Reading'!Q14</f>
        <v>0</v>
      </c>
      <c r="P15" s="93">
        <f t="shared" si="8"/>
        <v>0</v>
      </c>
      <c r="Q15" s="87">
        <f>'Water Reading'!N15-'Water Reading'!N14</f>
        <v>1</v>
      </c>
      <c r="R15" s="94">
        <f t="shared" si="9"/>
        <v>6.2111801242236021E-3</v>
      </c>
      <c r="S15" s="86">
        <f>'Water Reading'!M15-'Water Reading'!M14</f>
        <v>9</v>
      </c>
      <c r="T15" s="94">
        <f t="shared" si="10"/>
        <v>5.5900621118012424E-2</v>
      </c>
      <c r="U15" s="86">
        <f>'Water Reading'!O15-'Water Reading'!O14</f>
        <v>1</v>
      </c>
      <c r="V15" s="94">
        <f t="shared" si="11"/>
        <v>6.2111801242236021E-3</v>
      </c>
      <c r="W15" s="86">
        <f>'Water Reading'!R15-'Water Reading'!R14</f>
        <v>4</v>
      </c>
      <c r="X15" s="94">
        <f t="shared" si="12"/>
        <v>2.4844720496894408E-2</v>
      </c>
      <c r="Y15" s="64">
        <f t="shared" si="0"/>
        <v>261</v>
      </c>
      <c r="Z15" s="65">
        <f t="shared" si="1"/>
        <v>0.72499999999999998</v>
      </c>
    </row>
    <row r="16" spans="1:26" x14ac:dyDescent="0.25">
      <c r="A16" s="8">
        <f>'Water Reading'!A15</f>
        <v>44543</v>
      </c>
      <c r="B16" s="63">
        <f>TOTAL!I14</f>
        <v>390</v>
      </c>
      <c r="C16" s="64">
        <f>('Water Reading'!B16-'Water Reading'!B15)+('Water Reading'!C16-'Water Reading'!C15)</f>
        <v>174</v>
      </c>
      <c r="D16" s="65">
        <f t="shared" si="2"/>
        <v>0.44615384615384618</v>
      </c>
      <c r="E16" s="84">
        <f>'Water Reading'!H16-'Water Reading'!H15</f>
        <v>4</v>
      </c>
      <c r="F16" s="85">
        <f t="shared" si="3"/>
        <v>2.2988505747126436E-2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1.2758620689655173</v>
      </c>
      <c r="I16" s="86">
        <f>'Water Reading'!P16-'Water Reading'!P15</f>
        <v>10</v>
      </c>
      <c r="J16" s="66">
        <f t="shared" si="5"/>
        <v>5.7471264367816091E-2</v>
      </c>
      <c r="K16" s="87">
        <f>('Water Reading'!I16-'Water Reading'!I15)-('Water Reading'!P16-'Water Reading'!P15)</f>
        <v>11</v>
      </c>
      <c r="L16" s="66">
        <f t="shared" si="6"/>
        <v>6.3218390804597707E-2</v>
      </c>
      <c r="M16" s="86">
        <f>'Water Reading'!R16-'Water Reading'!R15</f>
        <v>10</v>
      </c>
      <c r="N16" s="88">
        <f t="shared" si="7"/>
        <v>5.7471264367816091E-2</v>
      </c>
      <c r="O16" s="86">
        <f>'Water Reading'!Q16-'Water Reading'!Q15</f>
        <v>0</v>
      </c>
      <c r="P16" s="93">
        <f t="shared" si="8"/>
        <v>0</v>
      </c>
      <c r="Q16" s="87">
        <f>'Water Reading'!N16-'Water Reading'!N15</f>
        <v>1</v>
      </c>
      <c r="R16" s="94">
        <f t="shared" si="9"/>
        <v>5.7471264367816091E-3</v>
      </c>
      <c r="S16" s="86">
        <f>'Water Reading'!M16-'Water Reading'!M15</f>
        <v>9</v>
      </c>
      <c r="T16" s="94">
        <f t="shared" si="10"/>
        <v>5.1724137931034482E-2</v>
      </c>
      <c r="U16" s="86">
        <f>'Water Reading'!O16-'Water Reading'!O15</f>
        <v>1</v>
      </c>
      <c r="V16" s="94">
        <f t="shared" si="11"/>
        <v>5.7471264367816091E-3</v>
      </c>
      <c r="W16" s="86">
        <f>'Water Reading'!R16-'Water Reading'!R15</f>
        <v>10</v>
      </c>
      <c r="X16" s="94">
        <f t="shared" si="12"/>
        <v>5.7471264367816091E-2</v>
      </c>
      <c r="Y16" s="64">
        <f t="shared" si="0"/>
        <v>278</v>
      </c>
      <c r="Z16" s="65">
        <f t="shared" si="1"/>
        <v>0.71282051282051284</v>
      </c>
    </row>
    <row r="17" spans="1:26" x14ac:dyDescent="0.25">
      <c r="A17" s="8">
        <f>'Water Reading'!A16</f>
        <v>44544</v>
      </c>
      <c r="B17" s="63">
        <f>TOTAL!I15</f>
        <v>371</v>
      </c>
      <c r="C17" s="64">
        <f>('Water Reading'!B17-'Water Reading'!B16)+('Water Reading'!C17-'Water Reading'!C16)</f>
        <v>161</v>
      </c>
      <c r="D17" s="65">
        <f t="shared" si="2"/>
        <v>0.43396226415094341</v>
      </c>
      <c r="E17" s="84">
        <f>'Water Reading'!H17-'Water Reading'!H16</f>
        <v>24</v>
      </c>
      <c r="F17" s="85">
        <f t="shared" si="3"/>
        <v>0.14906832298136646</v>
      </c>
      <c r="G17" s="89">
        <f>('Water Reading'!D17-'Water Reading'!D16)-('Water Reading'!R17-'Water Reading'!R16)-('Water Reading'!Q17-'Water Reading'!Q16)</f>
        <v>175</v>
      </c>
      <c r="H17" s="85">
        <f t="shared" si="4"/>
        <v>1.0869565217391304</v>
      </c>
      <c r="I17" s="86">
        <f>'Water Reading'!P17-'Water Reading'!P16</f>
        <v>6</v>
      </c>
      <c r="J17" s="66">
        <f t="shared" si="5"/>
        <v>3.7267080745341616E-2</v>
      </c>
      <c r="K17" s="87">
        <f>('Water Reading'!I17-'Water Reading'!I16)-('Water Reading'!P17-'Water Reading'!P16)</f>
        <v>17</v>
      </c>
      <c r="L17" s="66">
        <f t="shared" si="6"/>
        <v>0.10559006211180125</v>
      </c>
      <c r="M17" s="86">
        <f>'Water Reading'!R17-'Water Reading'!R16</f>
        <v>8</v>
      </c>
      <c r="N17" s="88">
        <f t="shared" si="7"/>
        <v>4.9689440993788817E-2</v>
      </c>
      <c r="O17" s="86">
        <f>'Water Reading'!Q17-'Water Reading'!Q16</f>
        <v>0</v>
      </c>
      <c r="P17" s="93">
        <f t="shared" si="8"/>
        <v>0</v>
      </c>
      <c r="Q17" s="87">
        <f>'Water Reading'!N17-'Water Reading'!N16</f>
        <v>1</v>
      </c>
      <c r="R17" s="94">
        <f t="shared" si="9"/>
        <v>6.2111801242236021E-3</v>
      </c>
      <c r="S17" s="86">
        <f>'Water Reading'!M17-'Water Reading'!M16</f>
        <v>9</v>
      </c>
      <c r="T17" s="94">
        <f t="shared" si="10"/>
        <v>5.5900621118012424E-2</v>
      </c>
      <c r="U17" s="86">
        <f>'Water Reading'!O17-'Water Reading'!O16</f>
        <v>4</v>
      </c>
      <c r="V17" s="94">
        <f t="shared" si="11"/>
        <v>2.4844720496894408E-2</v>
      </c>
      <c r="W17" s="86">
        <f>'Water Reading'!R17-'Water Reading'!R16</f>
        <v>8</v>
      </c>
      <c r="X17" s="94">
        <f t="shared" si="12"/>
        <v>4.9689440993788817E-2</v>
      </c>
      <c r="Y17" s="64">
        <f t="shared" si="0"/>
        <v>252</v>
      </c>
      <c r="Z17" s="65">
        <f t="shared" si="1"/>
        <v>0.67924528301886788</v>
      </c>
    </row>
    <row r="18" spans="1:26" x14ac:dyDescent="0.25">
      <c r="A18" s="8">
        <f>'Water Reading'!A17</f>
        <v>44545</v>
      </c>
      <c r="B18" s="63">
        <f>TOTAL!I16</f>
        <v>354</v>
      </c>
      <c r="C18" s="64">
        <f>('Water Reading'!B18-'Water Reading'!B17)+('Water Reading'!C18-'Water Reading'!C17)</f>
        <v>167</v>
      </c>
      <c r="D18" s="65">
        <f t="shared" si="2"/>
        <v>0.47175141242937851</v>
      </c>
      <c r="E18" s="84">
        <f>'Water Reading'!H18-'Water Reading'!H17</f>
        <v>13</v>
      </c>
      <c r="F18" s="85">
        <f t="shared" si="3"/>
        <v>7.7844311377245512E-2</v>
      </c>
      <c r="G18" s="89">
        <f>('Water Reading'!D18-'Water Reading'!D17)-('Water Reading'!R18-'Water Reading'!R17)-('Water Reading'!Q18-'Water Reading'!Q17)</f>
        <v>190</v>
      </c>
      <c r="H18" s="85">
        <f t="shared" si="4"/>
        <v>1.1377245508982037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42</v>
      </c>
      <c r="L18" s="66">
        <f t="shared" si="6"/>
        <v>0.25149700598802394</v>
      </c>
      <c r="M18" s="86">
        <f>'Water Reading'!R18-'Water Reading'!R17</f>
        <v>8</v>
      </c>
      <c r="N18" s="88">
        <f t="shared" si="7"/>
        <v>4.790419161676647E-2</v>
      </c>
      <c r="O18" s="86">
        <f>'Water Reading'!Q18-'Water Reading'!Q17</f>
        <v>3</v>
      </c>
      <c r="P18" s="93">
        <f t="shared" si="8"/>
        <v>1.7964071856287425E-2</v>
      </c>
      <c r="Q18" s="87">
        <f>'Water Reading'!N18-'Water Reading'!N17</f>
        <v>2</v>
      </c>
      <c r="R18" s="94">
        <f t="shared" si="9"/>
        <v>1.1976047904191617E-2</v>
      </c>
      <c r="S18" s="86">
        <f>'Water Reading'!M18-'Water Reading'!M17</f>
        <v>9</v>
      </c>
      <c r="T18" s="94">
        <f t="shared" si="10"/>
        <v>5.3892215568862277E-2</v>
      </c>
      <c r="U18" s="86">
        <f>'Water Reading'!O18-'Water Reading'!O17</f>
        <v>1</v>
      </c>
      <c r="V18" s="94">
        <f t="shared" si="11"/>
        <v>5.9880239520958087E-3</v>
      </c>
      <c r="W18" s="86">
        <f>'Water Reading'!R18-'Water Reading'!R17</f>
        <v>8</v>
      </c>
      <c r="X18" s="94">
        <f t="shared" si="12"/>
        <v>4.790419161676647E-2</v>
      </c>
      <c r="Y18" s="64">
        <f t="shared" si="0"/>
        <v>276</v>
      </c>
      <c r="Z18" s="65">
        <f t="shared" si="1"/>
        <v>0.77966101694915257</v>
      </c>
    </row>
    <row r="19" spans="1:26" x14ac:dyDescent="0.25">
      <c r="A19" s="8">
        <f>'Water Reading'!A18</f>
        <v>44546</v>
      </c>
      <c r="B19" s="63">
        <f>TOTAL!I17</f>
        <v>392</v>
      </c>
      <c r="C19" s="64">
        <f>('Water Reading'!B19-'Water Reading'!B18)+('Water Reading'!C19-'Water Reading'!C18)</f>
        <v>179</v>
      </c>
      <c r="D19" s="65">
        <f t="shared" si="2"/>
        <v>0.45663265306122447</v>
      </c>
      <c r="E19" s="84">
        <f>'Water Reading'!H19-'Water Reading'!H18</f>
        <v>17</v>
      </c>
      <c r="F19" s="85">
        <f t="shared" si="3"/>
        <v>9.4972067039106142E-2</v>
      </c>
      <c r="G19" s="89">
        <f>('Water Reading'!D19-'Water Reading'!D18)-('Water Reading'!R19-'Water Reading'!R18)-('Water Reading'!Q19-'Water Reading'!Q18)</f>
        <v>238</v>
      </c>
      <c r="H19" s="85">
        <f t="shared" si="4"/>
        <v>1.3296089385474861</v>
      </c>
      <c r="I19" s="86">
        <f>'Water Reading'!P19-'Water Reading'!P18</f>
        <v>0</v>
      </c>
      <c r="J19" s="66">
        <f t="shared" si="5"/>
        <v>0</v>
      </c>
      <c r="K19" s="87">
        <f>('Water Reading'!I19-'Water Reading'!I18)-('Water Reading'!P19-'Water Reading'!P18)</f>
        <v>22</v>
      </c>
      <c r="L19" s="66">
        <f t="shared" si="6"/>
        <v>0.12290502793296089</v>
      </c>
      <c r="M19" s="86">
        <f>'Water Reading'!R19-'Water Reading'!R18</f>
        <v>8</v>
      </c>
      <c r="N19" s="88">
        <f t="shared" si="7"/>
        <v>4.4692737430167599E-2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3</v>
      </c>
      <c r="R19" s="94">
        <f t="shared" si="9"/>
        <v>1.6759776536312849E-2</v>
      </c>
      <c r="S19" s="86">
        <f>'Water Reading'!M19-'Water Reading'!M18</f>
        <v>7</v>
      </c>
      <c r="T19" s="94">
        <f t="shared" si="10"/>
        <v>3.9106145251396648E-2</v>
      </c>
      <c r="U19" s="86">
        <f>'Water Reading'!O19-'Water Reading'!O18</f>
        <v>3</v>
      </c>
      <c r="V19" s="94">
        <f t="shared" si="11"/>
        <v>1.6759776536312849E-2</v>
      </c>
      <c r="W19" s="86">
        <f>'Water Reading'!R19-'Water Reading'!R18</f>
        <v>8</v>
      </c>
      <c r="X19" s="94">
        <f t="shared" si="12"/>
        <v>4.4692737430167599E-2</v>
      </c>
      <c r="Y19" s="64">
        <f t="shared" si="0"/>
        <v>306</v>
      </c>
      <c r="Z19" s="65">
        <f t="shared" si="1"/>
        <v>0.78061224489795922</v>
      </c>
    </row>
    <row r="20" spans="1:26" x14ac:dyDescent="0.25">
      <c r="A20" s="8">
        <f>'Water Reading'!A19</f>
        <v>44547</v>
      </c>
      <c r="B20" s="63">
        <f>TOTAL!I18</f>
        <v>421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-6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6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6</v>
      </c>
      <c r="X20" s="94" t="e">
        <f t="shared" si="12"/>
        <v>#DIV/0!</v>
      </c>
      <c r="Y20" s="64">
        <f t="shared" si="0"/>
        <v>6</v>
      </c>
      <c r="Z20" s="65">
        <f t="shared" si="1"/>
        <v>1.4251781472684086E-2</v>
      </c>
    </row>
    <row r="21" spans="1:26" x14ac:dyDescent="0.25">
      <c r="A21" s="8">
        <f>'Water Reading'!A20</f>
        <v>44548</v>
      </c>
      <c r="B21" s="63">
        <f>TOTAL!I19</f>
        <v>470</v>
      </c>
      <c r="C21" s="64">
        <f>('Water Reading'!B21-'Water Reading'!B20)+('Water Reading'!C21-'Water Reading'!C20)</f>
        <v>395</v>
      </c>
      <c r="D21" s="65">
        <f t="shared" si="2"/>
        <v>0.84042553191489366</v>
      </c>
      <c r="E21" s="84">
        <f>'Water Reading'!H21-'Water Reading'!H20</f>
        <v>71</v>
      </c>
      <c r="F21" s="85">
        <f t="shared" si="3"/>
        <v>0.17974683544303796</v>
      </c>
      <c r="G21" s="89">
        <f>('Water Reading'!D21-'Water Reading'!D20)-('Water Reading'!R21-'Water Reading'!R20)-('Water Reading'!Q21-'Water Reading'!Q20)</f>
        <v>486</v>
      </c>
      <c r="H21" s="85">
        <f t="shared" si="4"/>
        <v>1.2303797468354429</v>
      </c>
      <c r="I21" s="86">
        <f>'Water Reading'!P21-'Water Reading'!P20</f>
        <v>10</v>
      </c>
      <c r="J21" s="66">
        <f t="shared" si="5"/>
        <v>2.5316455696202531E-2</v>
      </c>
      <c r="K21" s="87">
        <f>('Water Reading'!I21-'Water Reading'!I20)-('Water Reading'!P21-'Water Reading'!P20)</f>
        <v>57</v>
      </c>
      <c r="L21" s="66">
        <f t="shared" si="6"/>
        <v>0.14430379746835442</v>
      </c>
      <c r="M21" s="86">
        <f>'Water Reading'!R21-'Water Reading'!R20</f>
        <v>9</v>
      </c>
      <c r="N21" s="88">
        <f t="shared" si="7"/>
        <v>2.2784810126582278E-2</v>
      </c>
      <c r="O21" s="86">
        <f>'Water Reading'!Q21-'Water Reading'!Q20</f>
        <v>0</v>
      </c>
      <c r="P21" s="93">
        <f t="shared" si="8"/>
        <v>0</v>
      </c>
      <c r="Q21" s="87">
        <f>'Water Reading'!N21-'Water Reading'!N20</f>
        <v>5</v>
      </c>
      <c r="R21" s="94">
        <f t="shared" si="9"/>
        <v>1.2658227848101266E-2</v>
      </c>
      <c r="S21" s="86">
        <f>'Water Reading'!M21-'Water Reading'!M20</f>
        <v>20</v>
      </c>
      <c r="T21" s="94">
        <f t="shared" si="10"/>
        <v>5.0632911392405063E-2</v>
      </c>
      <c r="U21" s="86">
        <f>'Water Reading'!O21-'Water Reading'!O20</f>
        <v>2</v>
      </c>
      <c r="V21" s="94">
        <f t="shared" si="11"/>
        <v>5.0632911392405064E-3</v>
      </c>
      <c r="W21" s="86">
        <f>'Water Reading'!R21-'Water Reading'!R20</f>
        <v>9</v>
      </c>
      <c r="X21" s="94">
        <f t="shared" si="12"/>
        <v>2.2784810126582278E-2</v>
      </c>
      <c r="Y21" s="64">
        <f t="shared" si="0"/>
        <v>669</v>
      </c>
      <c r="Z21" s="65">
        <f t="shared" si="1"/>
        <v>1.4234042553191488</v>
      </c>
    </row>
    <row r="22" spans="1:26" x14ac:dyDescent="0.25">
      <c r="A22" s="8">
        <f>'Water Reading'!A21</f>
        <v>44549</v>
      </c>
      <c r="B22" s="63">
        <f>TOTAL!I20</f>
        <v>469</v>
      </c>
      <c r="C22" s="64">
        <f>('Water Reading'!B22-'Water Reading'!B21)+('Water Reading'!C22-'Water Reading'!C21)</f>
        <v>197</v>
      </c>
      <c r="D22" s="65">
        <f t="shared" si="2"/>
        <v>0.42004264392324092</v>
      </c>
      <c r="E22" s="84">
        <f>'Water Reading'!H22-'Water Reading'!H21</f>
        <v>24</v>
      </c>
      <c r="F22" s="85">
        <f t="shared" si="3"/>
        <v>0.12182741116751269</v>
      </c>
      <c r="G22" s="89">
        <f>('Water Reading'!D22-'Water Reading'!D21)-('Water Reading'!R22-'Water Reading'!R21)-('Water Reading'!Q22-'Water Reading'!Q21)</f>
        <v>251</v>
      </c>
      <c r="H22" s="85">
        <f t="shared" si="4"/>
        <v>1.2741116751269035</v>
      </c>
      <c r="I22" s="86">
        <f>'Water Reading'!P22-'Water Reading'!P21</f>
        <v>13</v>
      </c>
      <c r="J22" s="66">
        <f t="shared" si="5"/>
        <v>6.5989847715736044E-2</v>
      </c>
      <c r="K22" s="87">
        <f>('Water Reading'!I22-'Water Reading'!I21)-('Water Reading'!P22-'Water Reading'!P21)</f>
        <v>23</v>
      </c>
      <c r="L22" s="66">
        <f t="shared" si="6"/>
        <v>0.116751269035533</v>
      </c>
      <c r="M22" s="86">
        <f>'Water Reading'!R22-'Water Reading'!R21</f>
        <v>9</v>
      </c>
      <c r="N22" s="88">
        <f t="shared" si="7"/>
        <v>4.5685279187817257E-2</v>
      </c>
      <c r="O22" s="86">
        <f>'Water Reading'!Q22-'Water Reading'!Q21</f>
        <v>1</v>
      </c>
      <c r="P22" s="93">
        <f t="shared" si="8"/>
        <v>5.076142131979695E-3</v>
      </c>
      <c r="Q22" s="87">
        <f>'Water Reading'!N22-'Water Reading'!N21</f>
        <v>3</v>
      </c>
      <c r="R22" s="94">
        <f t="shared" si="9"/>
        <v>1.5228426395939087E-2</v>
      </c>
      <c r="S22" s="86">
        <f>'Water Reading'!M22-'Water Reading'!M21</f>
        <v>9</v>
      </c>
      <c r="T22" s="94">
        <f t="shared" si="10"/>
        <v>4.5685279187817257E-2</v>
      </c>
      <c r="U22" s="86">
        <f>'Water Reading'!O22-'Water Reading'!O21</f>
        <v>1</v>
      </c>
      <c r="V22" s="94">
        <f t="shared" si="11"/>
        <v>5.076142131979695E-3</v>
      </c>
      <c r="W22" s="86">
        <f>'Water Reading'!R22-'Water Reading'!R21</f>
        <v>9</v>
      </c>
      <c r="X22" s="94">
        <f t="shared" si="12"/>
        <v>4.5685279187817257E-2</v>
      </c>
      <c r="Y22" s="64">
        <f t="shared" si="0"/>
        <v>343</v>
      </c>
      <c r="Z22" s="65">
        <f t="shared" si="1"/>
        <v>0.73134328358208955</v>
      </c>
    </row>
    <row r="23" spans="1:26" x14ac:dyDescent="0.25">
      <c r="A23" s="8">
        <f>'Water Reading'!A22</f>
        <v>44550</v>
      </c>
      <c r="B23" s="63">
        <f>TOTAL!I21</f>
        <v>384</v>
      </c>
      <c r="C23" s="64">
        <f>('Water Reading'!B23-'Water Reading'!B22)+('Water Reading'!C23-'Water Reading'!C22)</f>
        <v>194</v>
      </c>
      <c r="D23" s="65">
        <f t="shared" si="2"/>
        <v>0.50520833333333337</v>
      </c>
      <c r="E23" s="84">
        <f>'Water Reading'!H23-'Water Reading'!H22</f>
        <v>40</v>
      </c>
      <c r="F23" s="85">
        <f t="shared" si="3"/>
        <v>0.20618556701030927</v>
      </c>
      <c r="G23" s="89">
        <f>('Water Reading'!D23-'Water Reading'!D22)-('Water Reading'!R23-'Water Reading'!R22)-('Water Reading'!Q23-'Water Reading'!Q22)</f>
        <v>226</v>
      </c>
      <c r="H23" s="85">
        <f t="shared" si="4"/>
        <v>1.1649484536082475</v>
      </c>
      <c r="I23" s="86">
        <f>'Water Reading'!P23-'Water Reading'!P22</f>
        <v>16</v>
      </c>
      <c r="J23" s="66">
        <f t="shared" si="5"/>
        <v>8.247422680412371E-2</v>
      </c>
      <c r="K23" s="87">
        <f>('Water Reading'!I23-'Water Reading'!I22)-('Water Reading'!P23-'Water Reading'!P22)</f>
        <v>21</v>
      </c>
      <c r="L23" s="66">
        <f t="shared" si="6"/>
        <v>0.10824742268041238</v>
      </c>
      <c r="M23" s="86">
        <f>'Water Reading'!R23-'Water Reading'!R22</f>
        <v>9</v>
      </c>
      <c r="N23" s="88">
        <f t="shared" si="7"/>
        <v>4.6391752577319589E-2</v>
      </c>
      <c r="O23" s="86">
        <f>'Water Reading'!Q23-'Water Reading'!Q22</f>
        <v>3</v>
      </c>
      <c r="P23" s="93">
        <f t="shared" si="8"/>
        <v>1.5463917525773196E-2</v>
      </c>
      <c r="Q23" s="87">
        <f>'Water Reading'!N23-'Water Reading'!N22</f>
        <v>1</v>
      </c>
      <c r="R23" s="94">
        <f t="shared" si="9"/>
        <v>5.1546391752577319E-3</v>
      </c>
      <c r="S23" s="86">
        <f>'Water Reading'!M23-'Water Reading'!M22</f>
        <v>9</v>
      </c>
      <c r="T23" s="94">
        <f t="shared" si="10"/>
        <v>4.6391752577319589E-2</v>
      </c>
      <c r="U23" s="86">
        <f>'Water Reading'!O23-'Water Reading'!O22</f>
        <v>3</v>
      </c>
      <c r="V23" s="94">
        <f t="shared" si="11"/>
        <v>1.5463917525773196E-2</v>
      </c>
      <c r="W23" s="86">
        <f>'Water Reading'!R23-'Water Reading'!R22</f>
        <v>9</v>
      </c>
      <c r="X23" s="94">
        <f t="shared" si="12"/>
        <v>4.6391752577319589E-2</v>
      </c>
      <c r="Y23" s="64">
        <f t="shared" si="0"/>
        <v>337</v>
      </c>
      <c r="Z23" s="65">
        <f t="shared" si="1"/>
        <v>0.87760416666666663</v>
      </c>
    </row>
    <row r="24" spans="1:26" x14ac:dyDescent="0.25">
      <c r="A24" s="8">
        <f>'Water Reading'!A23</f>
        <v>44551</v>
      </c>
      <c r="B24" s="63">
        <f>TOTAL!I22</f>
        <v>449</v>
      </c>
      <c r="C24" s="64">
        <f>('Water Reading'!B24-'Water Reading'!B23)+('Water Reading'!C24-'Water Reading'!C23)</f>
        <v>213</v>
      </c>
      <c r="D24" s="65">
        <f t="shared" si="2"/>
        <v>0.47438752783964366</v>
      </c>
      <c r="E24" s="84">
        <f>'Water Reading'!H24-'Water Reading'!H23</f>
        <v>45</v>
      </c>
      <c r="F24" s="85">
        <f t="shared" si="3"/>
        <v>0.21126760563380281</v>
      </c>
      <c r="G24" s="89">
        <f>('Water Reading'!D24-'Water Reading'!D23)-('Water Reading'!R24-'Water Reading'!R23)-('Water Reading'!Q24-'Water Reading'!Q23)</f>
        <v>287</v>
      </c>
      <c r="H24" s="85">
        <f t="shared" si="4"/>
        <v>1.3474178403755868</v>
      </c>
      <c r="I24" s="86">
        <f>'Water Reading'!P24-'Water Reading'!P23</f>
        <v>13</v>
      </c>
      <c r="J24" s="66">
        <f t="shared" si="5"/>
        <v>6.1032863849765258E-2</v>
      </c>
      <c r="K24" s="87">
        <f>('Water Reading'!I24-'Water Reading'!I23)-('Water Reading'!P24-'Water Reading'!P23)</f>
        <v>28</v>
      </c>
      <c r="L24" s="66">
        <f t="shared" si="6"/>
        <v>0.13145539906103287</v>
      </c>
      <c r="M24" s="86">
        <f>'Water Reading'!R24-'Water Reading'!R23</f>
        <v>7</v>
      </c>
      <c r="N24" s="88">
        <f t="shared" si="7"/>
        <v>3.2863849765258218E-2</v>
      </c>
      <c r="O24" s="86">
        <f>'Water Reading'!Q24-'Water Reading'!Q23</f>
        <v>1</v>
      </c>
      <c r="P24" s="93">
        <f t="shared" si="8"/>
        <v>4.6948356807511738E-3</v>
      </c>
      <c r="Q24" s="87">
        <f>'Water Reading'!N24-'Water Reading'!N23</f>
        <v>3</v>
      </c>
      <c r="R24" s="94">
        <f t="shared" si="9"/>
        <v>1.4084507042253521E-2</v>
      </c>
      <c r="S24" s="86">
        <f>'Water Reading'!M24-'Water Reading'!M23</f>
        <v>8</v>
      </c>
      <c r="T24" s="94">
        <f t="shared" si="10"/>
        <v>3.7558685446009391E-2</v>
      </c>
      <c r="U24" s="86">
        <f>'Water Reading'!O24-'Water Reading'!O23</f>
        <v>1</v>
      </c>
      <c r="V24" s="94">
        <f t="shared" si="11"/>
        <v>4.6948356807511738E-3</v>
      </c>
      <c r="W24" s="86">
        <f>'Water Reading'!R24-'Water Reading'!R23</f>
        <v>7</v>
      </c>
      <c r="X24" s="94">
        <f t="shared" si="12"/>
        <v>3.2863849765258218E-2</v>
      </c>
      <c r="Y24" s="64">
        <f t="shared" si="0"/>
        <v>400</v>
      </c>
      <c r="Z24" s="65">
        <f t="shared" si="1"/>
        <v>0.89086859688195996</v>
      </c>
    </row>
    <row r="25" spans="1:26" x14ac:dyDescent="0.25">
      <c r="A25" s="8">
        <f>'Water Reading'!A24</f>
        <v>44552</v>
      </c>
      <c r="B25" s="63">
        <f>TOTAL!I23</f>
        <v>443</v>
      </c>
      <c r="C25" s="64">
        <f>('Water Reading'!B25-'Water Reading'!B24)+('Water Reading'!C25-'Water Reading'!C24)</f>
        <v>189</v>
      </c>
      <c r="D25" s="65">
        <f t="shared" si="2"/>
        <v>0.42663656884875845</v>
      </c>
      <c r="E25" s="84">
        <f>'Water Reading'!H25-'Water Reading'!H24</f>
        <v>34</v>
      </c>
      <c r="F25" s="85">
        <f t="shared" si="3"/>
        <v>0.17989417989417988</v>
      </c>
      <c r="G25" s="89">
        <f>('Water Reading'!D25-'Water Reading'!D24)-('Water Reading'!R25-'Water Reading'!R24)-('Water Reading'!Q25-'Water Reading'!Q24)</f>
        <v>255</v>
      </c>
      <c r="H25" s="85">
        <f t="shared" si="4"/>
        <v>1.3492063492063493</v>
      </c>
      <c r="I25" s="86">
        <f>'Water Reading'!P25-'Water Reading'!P24</f>
        <v>5</v>
      </c>
      <c r="J25" s="66">
        <f t="shared" si="5"/>
        <v>2.6455026455026454E-2</v>
      </c>
      <c r="K25" s="87">
        <f>('Water Reading'!I25-'Water Reading'!I24)-('Water Reading'!P25-'Water Reading'!P24)</f>
        <v>24</v>
      </c>
      <c r="L25" s="66">
        <f t="shared" si="6"/>
        <v>0.12698412698412698</v>
      </c>
      <c r="M25" s="86">
        <f>'Water Reading'!R25-'Water Reading'!R24</f>
        <v>10</v>
      </c>
      <c r="N25" s="88">
        <f t="shared" si="7"/>
        <v>5.2910052910052907E-2</v>
      </c>
      <c r="O25" s="86">
        <f>'Water Reading'!Q25-'Water Reading'!Q24</f>
        <v>1</v>
      </c>
      <c r="P25" s="93">
        <f t="shared" si="8"/>
        <v>5.2910052910052907E-3</v>
      </c>
      <c r="Q25" s="87">
        <f>'Water Reading'!N25-'Water Reading'!N24</f>
        <v>4</v>
      </c>
      <c r="R25" s="94">
        <f t="shared" si="9"/>
        <v>2.1164021164021163E-2</v>
      </c>
      <c r="S25" s="86">
        <f>'Water Reading'!M25-'Water Reading'!M24</f>
        <v>9</v>
      </c>
      <c r="T25" s="94">
        <f t="shared" si="10"/>
        <v>4.7619047619047616E-2</v>
      </c>
      <c r="U25" s="86">
        <f>'Water Reading'!O25-'Water Reading'!O24</f>
        <v>2</v>
      </c>
      <c r="V25" s="94">
        <f t="shared" si="11"/>
        <v>1.0582010582010581E-2</v>
      </c>
      <c r="W25" s="86">
        <f>'Water Reading'!R25-'Water Reading'!R24</f>
        <v>10</v>
      </c>
      <c r="X25" s="94">
        <f t="shared" si="12"/>
        <v>5.2910052910052907E-2</v>
      </c>
      <c r="Y25" s="64">
        <f t="shared" si="0"/>
        <v>354</v>
      </c>
      <c r="Z25" s="65">
        <f t="shared" si="1"/>
        <v>0.79909706546275394</v>
      </c>
    </row>
    <row r="26" spans="1:26" x14ac:dyDescent="0.25">
      <c r="A26" s="8">
        <f>'Water Reading'!A25</f>
        <v>44553</v>
      </c>
      <c r="B26" s="63">
        <f>TOTAL!I24</f>
        <v>0</v>
      </c>
      <c r="C26" s="64">
        <f>('Water Reading'!B26-'Water Reading'!B25)+('Water Reading'!C26-'Water Reading'!C25)</f>
        <v>-198615</v>
      </c>
      <c r="D26" s="65" t="e">
        <f t="shared" si="2"/>
        <v>#DIV/0!</v>
      </c>
      <c r="E26" s="84">
        <f>'Water Reading'!H26-'Water Reading'!H25</f>
        <v>-59432</v>
      </c>
      <c r="F26" s="85">
        <f t="shared" si="3"/>
        <v>0.29923218286634945</v>
      </c>
      <c r="G26" s="89">
        <f>('Water Reading'!D26-'Water Reading'!D25)-('Water Reading'!R26-'Water Reading'!R25)-('Water Reading'!Q26-'Water Reading'!Q25)</f>
        <v>-229276</v>
      </c>
      <c r="H26" s="85">
        <f t="shared" si="4"/>
        <v>1.1543740402285829</v>
      </c>
      <c r="I26" s="86">
        <f>'Water Reading'!P26-'Water Reading'!P25</f>
        <v>-28869</v>
      </c>
      <c r="J26" s="66">
        <f t="shared" si="5"/>
        <v>0.14535155954988294</v>
      </c>
      <c r="K26" s="87">
        <f>('Water Reading'!I26-'Water Reading'!I25)-('Water Reading'!P26-'Water Reading'!P25)</f>
        <v>-40340</v>
      </c>
      <c r="L26" s="66">
        <f t="shared" si="6"/>
        <v>0.20310651259975329</v>
      </c>
      <c r="M26" s="86">
        <f>'Water Reading'!R26-'Water Reading'!R25</f>
        <v>-7233</v>
      </c>
      <c r="N26" s="88">
        <f t="shared" si="7"/>
        <v>3.6417189034060875E-2</v>
      </c>
      <c r="O26" s="86">
        <f>'Water Reading'!Q26-'Water Reading'!Q25</f>
        <v>-1180</v>
      </c>
      <c r="P26" s="93">
        <f t="shared" si="8"/>
        <v>5.941142411197543E-3</v>
      </c>
      <c r="Q26" s="87">
        <f>'Water Reading'!N26-'Water Reading'!N25</f>
        <v>-8146</v>
      </c>
      <c r="R26" s="94">
        <f t="shared" si="9"/>
        <v>4.1014022103063714E-2</v>
      </c>
      <c r="S26" s="86">
        <f>'Water Reading'!M26-'Water Reading'!M25</f>
        <v>-26386</v>
      </c>
      <c r="T26" s="94">
        <f t="shared" si="10"/>
        <v>0.13284998615411725</v>
      </c>
      <c r="U26" s="86">
        <f>'Water Reading'!O26-'Water Reading'!O25</f>
        <v>-1882</v>
      </c>
      <c r="V26" s="94">
        <f t="shared" si="11"/>
        <v>9.4756186592150644E-3</v>
      </c>
      <c r="W26" s="86">
        <f>'Water Reading'!R26-'Water Reading'!R25</f>
        <v>-7233</v>
      </c>
      <c r="X26" s="94">
        <f t="shared" si="12"/>
        <v>3.6417189034060875E-2</v>
      </c>
      <c r="Y26" s="64">
        <f t="shared" si="0"/>
        <v>-409977</v>
      </c>
      <c r="Z26" s="65" t="e">
        <f t="shared" si="1"/>
        <v>#DIV/0!</v>
      </c>
    </row>
    <row r="27" spans="1:26" x14ac:dyDescent="0.25">
      <c r="A27" s="8">
        <f>'Water Reading'!A26</f>
        <v>44554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44555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44556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44557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8951</v>
      </c>
      <c r="C35" s="72">
        <f>SUM(C4:C34)</f>
        <v>-194548</v>
      </c>
      <c r="D35" s="91">
        <f>C35/B35</f>
        <v>-21.734778237068483</v>
      </c>
      <c r="E35" s="7">
        <f>SUM(E4:E34)</f>
        <v>-58917</v>
      </c>
      <c r="F35" s="90">
        <f>E35/C35</f>
        <v>0.30284043012521333</v>
      </c>
      <c r="G35" s="72">
        <f>SUM(G4:G34)</f>
        <v>-223914</v>
      </c>
      <c r="H35" s="90">
        <f>G35/C35</f>
        <v>1.1509447539938731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>
        <f>SUM(M4:M34)</f>
        <v>-7085</v>
      </c>
      <c r="N35" s="90">
        <f>M35/C35</f>
        <v>3.6417747805168904E-2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>
        <f>SUM(W4:W34)</f>
        <v>-7085</v>
      </c>
      <c r="X35" s="90">
        <f>W35/C35</f>
        <v>3.6417747805168904E-2</v>
      </c>
      <c r="Y35" s="72">
        <f>SUM(Y4:Y34)</f>
        <v>-402835</v>
      </c>
      <c r="Z35" s="90">
        <f t="shared" si="1"/>
        <v>-45.004468774438607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2021-12-23T08:08:01Z</dcterms:modified>
  <cp:category/>
  <cp:contentStatus/>
</cp:coreProperties>
</file>