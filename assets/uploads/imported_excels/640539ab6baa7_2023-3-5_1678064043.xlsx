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11655" windowHeight="7470" tabRatio="599" firstSheet="1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J18" i="3" s="1"/>
  <c r="K18" i="3" s="1"/>
  <c r="I19" i="3"/>
  <c r="I20" i="3"/>
  <c r="I21" i="3"/>
  <c r="I22" i="3"/>
  <c r="I23" i="3"/>
  <c r="I24" i="3"/>
  <c r="J24" i="3" s="1"/>
  <c r="K24" i="3" s="1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J13" i="3" s="1"/>
  <c r="K13" i="3" s="1"/>
  <c r="G14" i="3"/>
  <c r="G15" i="3"/>
  <c r="G16" i="3"/>
  <c r="G17" i="3"/>
  <c r="G18" i="3"/>
  <c r="G19" i="3"/>
  <c r="J19" i="3" s="1"/>
  <c r="K19" i="3" s="1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J12" i="3" s="1"/>
  <c r="K12" i="3" s="1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J11" i="3" s="1"/>
  <c r="K11" i="3" s="1"/>
  <c r="C12" i="3"/>
  <c r="C13" i="3"/>
  <c r="C14" i="3"/>
  <c r="C15" i="3"/>
  <c r="C16" i="3"/>
  <c r="C17" i="3"/>
  <c r="J17" i="3" s="1"/>
  <c r="K17" i="3" s="1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7" i="3" l="1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8" i="4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R8" i="4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P8" i="4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N8" i="4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L8" i="4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J8" i="4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G8" i="4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E8" i="4"/>
  <c r="E9" i="4" s="1"/>
  <c r="E10" i="4" s="1"/>
  <c r="E11" i="4" s="1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Z2" i="4"/>
  <c r="X2" i="4"/>
  <c r="I2" i="4"/>
  <c r="T8" i="2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R3" i="2"/>
  <c r="AG6" i="1" l="1"/>
  <c r="N8" i="1"/>
  <c r="O8" i="1" s="1"/>
  <c r="P8" i="1" s="1"/>
  <c r="F33" i="2"/>
  <c r="G33" i="2" s="1"/>
  <c r="G32" i="2"/>
  <c r="O5" i="1"/>
  <c r="P5" i="1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F8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R32" i="4"/>
  <c r="S31" i="4"/>
  <c r="Y2" i="4"/>
  <c r="P32" i="4"/>
  <c r="Q31" i="4"/>
  <c r="N32" i="4"/>
  <c r="O31" i="4"/>
  <c r="L32" i="4"/>
  <c r="M31" i="4"/>
  <c r="J32" i="4"/>
  <c r="K31" i="4"/>
  <c r="G32" i="4"/>
  <c r="H31" i="4"/>
  <c r="C32" i="4"/>
  <c r="D31" i="4"/>
  <c r="T32" i="2"/>
  <c r="U31" i="2"/>
  <c r="Q31" i="2"/>
  <c r="P32" i="2"/>
  <c r="O31" i="2"/>
  <c r="N32" i="2"/>
  <c r="L32" i="2"/>
  <c r="M31" i="2"/>
  <c r="N9" i="1" l="1"/>
  <c r="O9" i="1" s="1"/>
  <c r="P9" i="1" s="1"/>
  <c r="O7" i="1"/>
  <c r="P7" i="1" s="1"/>
  <c r="N10" i="1"/>
  <c r="C5" i="1"/>
  <c r="D5" i="1" s="1"/>
  <c r="E32" i="4"/>
  <c r="E33" i="4" s="1"/>
  <c r="F33" i="4" s="1"/>
  <c r="F31" i="4"/>
  <c r="I31" i="4" s="1"/>
  <c r="I32" i="2"/>
  <c r="H33" i="2"/>
  <c r="I33" i="2" s="1"/>
  <c r="D33" i="2"/>
  <c r="E33" i="2" s="1"/>
  <c r="E32" i="2"/>
  <c r="B33" i="2"/>
  <c r="C33" i="2" s="1"/>
  <c r="C32" i="2"/>
  <c r="AG8" i="1"/>
  <c r="AF9" i="1"/>
  <c r="AA6" i="1"/>
  <c r="L5" i="1"/>
  <c r="M5" i="1" s="1"/>
  <c r="H8" i="1"/>
  <c r="I7" i="1"/>
  <c r="J7" i="1" s="1"/>
  <c r="X8" i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V33" i="4"/>
  <c r="W33" i="4" s="1"/>
  <c r="R33" i="4"/>
  <c r="S33" i="4" s="1"/>
  <c r="S32" i="4"/>
  <c r="X31" i="4"/>
  <c r="Z31" i="4"/>
  <c r="Q32" i="4"/>
  <c r="P33" i="4"/>
  <c r="Q33" i="4" s="1"/>
  <c r="N33" i="4"/>
  <c r="O33" i="4" s="1"/>
  <c r="O32" i="4"/>
  <c r="L33" i="4"/>
  <c r="M33" i="4" s="1"/>
  <c r="M32" i="4"/>
  <c r="J33" i="4"/>
  <c r="K33" i="4" s="1"/>
  <c r="K32" i="4"/>
  <c r="G33" i="4"/>
  <c r="H33" i="4" s="1"/>
  <c r="H32" i="4"/>
  <c r="F32" i="4"/>
  <c r="C33" i="4"/>
  <c r="D33" i="4" s="1"/>
  <c r="D32" i="4"/>
  <c r="U32" i="2"/>
  <c r="T33" i="2"/>
  <c r="U33" i="2" s="1"/>
  <c r="P33" i="2"/>
  <c r="Q33" i="2" s="1"/>
  <c r="Q32" i="2"/>
  <c r="N33" i="2"/>
  <c r="O33" i="2" s="1"/>
  <c r="O32" i="2"/>
  <c r="L33" i="2"/>
  <c r="M33" i="2" s="1"/>
  <c r="M32" i="2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Z33" i="4" l="1"/>
  <c r="O10" i="1"/>
  <c r="P10" i="1" s="1"/>
  <c r="N11" i="1"/>
  <c r="I32" i="4"/>
  <c r="I33" i="4"/>
  <c r="Y31" i="4"/>
  <c r="AG9" i="1"/>
  <c r="AF10" i="1"/>
  <c r="Z8" i="1"/>
  <c r="AA7" i="1"/>
  <c r="B8" i="1"/>
  <c r="C7" i="1"/>
  <c r="AE10" i="1"/>
  <c r="D6" i="1"/>
  <c r="I8" i="1"/>
  <c r="J8" i="1" s="1"/>
  <c r="H9" i="1"/>
  <c r="R6" i="1"/>
  <c r="S6" i="1" s="1"/>
  <c r="L6" i="1"/>
  <c r="M6" i="1" s="1"/>
  <c r="Y8" i="1"/>
  <c r="X9" i="1"/>
  <c r="AB7" i="1"/>
  <c r="AC6" i="1"/>
  <c r="G6" i="1"/>
  <c r="T5" i="1"/>
  <c r="U5" i="1" s="1"/>
  <c r="Z32" i="4"/>
  <c r="X32" i="4"/>
  <c r="X33" i="4"/>
  <c r="T64" i="10"/>
  <c r="Y33" i="4" l="1"/>
  <c r="O11" i="1"/>
  <c r="P11" i="1" s="1"/>
  <c r="N12" i="1"/>
  <c r="Y32" i="4"/>
  <c r="AG10" i="1"/>
  <c r="AF11" i="1"/>
  <c r="AA8" i="1"/>
  <c r="Z9" i="1"/>
  <c r="T6" i="1"/>
  <c r="U6" i="1" s="1"/>
  <c r="X10" i="1"/>
  <c r="Y9" i="1"/>
  <c r="H10" i="1"/>
  <c r="I9" i="1"/>
  <c r="J9" i="1" s="1"/>
  <c r="F7" i="1"/>
  <c r="G7" i="1" s="1"/>
  <c r="E8" i="1"/>
  <c r="L7" i="1"/>
  <c r="M7" i="1" s="1"/>
  <c r="K8" i="1"/>
  <c r="D7" i="1"/>
  <c r="C8" i="1"/>
  <c r="B9" i="1"/>
  <c r="R7" i="1"/>
  <c r="S7" i="1" s="1"/>
  <c r="Q8" i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8" i="2"/>
  <c r="J17" i="11" s="1"/>
  <c r="J24" i="11"/>
  <c r="J23" i="11"/>
  <c r="J22" i="11"/>
  <c r="J21" i="11"/>
  <c r="O12" i="1" l="1"/>
  <c r="P12" i="1" s="1"/>
  <c r="N13" i="1"/>
  <c r="AG11" i="1"/>
  <c r="AF12" i="1"/>
  <c r="AA9" i="1"/>
  <c r="Z10" i="1"/>
  <c r="R8" i="1"/>
  <c r="S8" i="1" s="1"/>
  <c r="Q9" i="1"/>
  <c r="L8" i="1"/>
  <c r="M8" i="1" s="1"/>
  <c r="K9" i="1"/>
  <c r="I10" i="1"/>
  <c r="J10" i="1" s="1"/>
  <c r="H11" i="1"/>
  <c r="B10" i="1"/>
  <c r="C9" i="1"/>
  <c r="F8" i="1"/>
  <c r="G8" i="1" s="1"/>
  <c r="E9" i="1"/>
  <c r="AB9" i="1"/>
  <c r="AC8" i="1"/>
  <c r="D8" i="1"/>
  <c r="Y10" i="1"/>
  <c r="X11" i="1"/>
  <c r="AE12" i="1"/>
  <c r="T7" i="1"/>
  <c r="U7" i="1" s="1"/>
  <c r="O26" i="4"/>
  <c r="M24" i="4"/>
  <c r="N14" i="1" l="1"/>
  <c r="O13" i="1"/>
  <c r="P13" i="1" s="1"/>
  <c r="AG12" i="1"/>
  <c r="AF13" i="1"/>
  <c r="Z11" i="1"/>
  <c r="AA10" i="1"/>
  <c r="X12" i="1"/>
  <c r="Y11" i="1"/>
  <c r="F9" i="1"/>
  <c r="G9" i="1" s="1"/>
  <c r="E10" i="1"/>
  <c r="L9" i="1"/>
  <c r="M9" i="1" s="1"/>
  <c r="K10" i="1"/>
  <c r="D9" i="1"/>
  <c r="R9" i="1"/>
  <c r="S9" i="1" s="1"/>
  <c r="Q10" i="1"/>
  <c r="T8" i="1"/>
  <c r="U8" i="1" s="1"/>
  <c r="B11" i="1"/>
  <c r="C10" i="1"/>
  <c r="AE13" i="1"/>
  <c r="H12" i="1"/>
  <c r="I11" i="1"/>
  <c r="J11" i="1" s="1"/>
  <c r="AC9" i="1"/>
  <c r="AB10" i="1"/>
  <c r="W12" i="4"/>
  <c r="N15" i="1" l="1"/>
  <c r="O14" i="1"/>
  <c r="P14" i="1" s="1"/>
  <c r="AG13" i="1"/>
  <c r="AF14" i="1"/>
  <c r="Z12" i="1"/>
  <c r="AA11" i="1"/>
  <c r="T9" i="1"/>
  <c r="U9" i="1" s="1"/>
  <c r="AE14" i="1"/>
  <c r="F10" i="1"/>
  <c r="G10" i="1" s="1"/>
  <c r="E11" i="1"/>
  <c r="AB11" i="1"/>
  <c r="AC10" i="1"/>
  <c r="D10" i="1"/>
  <c r="B12" i="1"/>
  <c r="C11" i="1"/>
  <c r="Y12" i="1"/>
  <c r="X13" i="1"/>
  <c r="I12" i="1"/>
  <c r="J12" i="1" s="1"/>
  <c r="H13" i="1"/>
  <c r="R10" i="1"/>
  <c r="S10" i="1" s="1"/>
  <c r="Q11" i="1"/>
  <c r="L10" i="1"/>
  <c r="M10" i="1" s="1"/>
  <c r="K11" i="1"/>
  <c r="H7" i="4"/>
  <c r="N16" i="1" l="1"/>
  <c r="O15" i="1"/>
  <c r="P15" i="1" s="1"/>
  <c r="AG14" i="1"/>
  <c r="AF15" i="1"/>
  <c r="AA12" i="1"/>
  <c r="Z13" i="1"/>
  <c r="H14" i="1"/>
  <c r="I13" i="1"/>
  <c r="J13" i="1" s="1"/>
  <c r="D11" i="1"/>
  <c r="F11" i="1"/>
  <c r="G11" i="1" s="1"/>
  <c r="E12" i="1"/>
  <c r="C12" i="1"/>
  <c r="B13" i="1"/>
  <c r="L11" i="1"/>
  <c r="M11" i="1" s="1"/>
  <c r="K12" i="1"/>
  <c r="X14" i="1"/>
  <c r="Y13" i="1"/>
  <c r="AE15" i="1"/>
  <c r="T10" i="1"/>
  <c r="U10" i="1" s="1"/>
  <c r="R11" i="1"/>
  <c r="S11" i="1" s="1"/>
  <c r="Q12" i="1"/>
  <c r="AB12" i="1"/>
  <c r="AC11" i="1"/>
  <c r="W13" i="4"/>
  <c r="O16" i="1" l="1"/>
  <c r="P16" i="1" s="1"/>
  <c r="N17" i="1"/>
  <c r="AG15" i="1"/>
  <c r="AF16" i="1"/>
  <c r="Z14" i="1"/>
  <c r="AA13" i="1"/>
  <c r="L12" i="1"/>
  <c r="M12" i="1" s="1"/>
  <c r="K13" i="1"/>
  <c r="T11" i="1"/>
  <c r="U11" i="1" s="1"/>
  <c r="AB13" i="1"/>
  <c r="AC12" i="1"/>
  <c r="B14" i="1"/>
  <c r="C13" i="1"/>
  <c r="AE16" i="1"/>
  <c r="D12" i="1"/>
  <c r="I14" i="1"/>
  <c r="J14" i="1" s="1"/>
  <c r="H15" i="1"/>
  <c r="F12" i="1"/>
  <c r="G12" i="1" s="1"/>
  <c r="E13" i="1"/>
  <c r="R12" i="1"/>
  <c r="S12" i="1" s="1"/>
  <c r="Q13" i="1"/>
  <c r="Y14" i="1"/>
  <c r="X15" i="1"/>
  <c r="W14" i="4"/>
  <c r="O17" i="1" l="1"/>
  <c r="P17" i="1" s="1"/>
  <c r="N18" i="1"/>
  <c r="AG16" i="1"/>
  <c r="AF17" i="1"/>
  <c r="AA14" i="1"/>
  <c r="Z15" i="1"/>
  <c r="T12" i="1"/>
  <c r="U12" i="1" s="1"/>
  <c r="R13" i="1"/>
  <c r="S13" i="1" s="1"/>
  <c r="Q14" i="1"/>
  <c r="H16" i="1"/>
  <c r="I15" i="1"/>
  <c r="J15" i="1" s="1"/>
  <c r="C14" i="1"/>
  <c r="B15" i="1"/>
  <c r="F13" i="1"/>
  <c r="G13" i="1" s="1"/>
  <c r="E14" i="1"/>
  <c r="AB14" i="1"/>
  <c r="AC13" i="1"/>
  <c r="D13" i="1"/>
  <c r="X16" i="1"/>
  <c r="Y15" i="1"/>
  <c r="AE17" i="1"/>
  <c r="L13" i="1"/>
  <c r="M13" i="1" s="1"/>
  <c r="K14" i="1"/>
  <c r="S17" i="4"/>
  <c r="Q17" i="4"/>
  <c r="O17" i="4"/>
  <c r="M17" i="4"/>
  <c r="K17" i="4"/>
  <c r="H17" i="4"/>
  <c r="F17" i="4"/>
  <c r="D17" i="4"/>
  <c r="W17" i="4"/>
  <c r="O18" i="1" l="1"/>
  <c r="P18" i="1" s="1"/>
  <c r="N19" i="1"/>
  <c r="AG17" i="1"/>
  <c r="AF18" i="1"/>
  <c r="AA15" i="1"/>
  <c r="Z16" i="1"/>
  <c r="T13" i="1"/>
  <c r="U13" i="1" s="1"/>
  <c r="D14" i="1"/>
  <c r="AB15" i="1"/>
  <c r="AC14" i="1"/>
  <c r="I16" i="1"/>
  <c r="J16" i="1" s="1"/>
  <c r="H17" i="1"/>
  <c r="R14" i="1"/>
  <c r="S14" i="1" s="1"/>
  <c r="Q15" i="1"/>
  <c r="Y16" i="1"/>
  <c r="X17" i="1"/>
  <c r="AE18" i="1"/>
  <c r="L14" i="1"/>
  <c r="M14" i="1" s="1"/>
  <c r="K15" i="1"/>
  <c r="F14" i="1"/>
  <c r="G14" i="1" s="1"/>
  <c r="E15" i="1"/>
  <c r="B16" i="1"/>
  <c r="C15" i="1"/>
  <c r="I17" i="4"/>
  <c r="X17" i="4"/>
  <c r="Z17" i="4"/>
  <c r="O19" i="1" l="1"/>
  <c r="P19" i="1" s="1"/>
  <c r="N20" i="1"/>
  <c r="AG18" i="1"/>
  <c r="AF19" i="1"/>
  <c r="Z17" i="1"/>
  <c r="AA16" i="1"/>
  <c r="X18" i="1"/>
  <c r="Y17" i="1"/>
  <c r="F15" i="1"/>
  <c r="G15" i="1" s="1"/>
  <c r="E16" i="1"/>
  <c r="D15" i="1"/>
  <c r="AE19" i="1"/>
  <c r="H18" i="1"/>
  <c r="I17" i="1"/>
  <c r="J17" i="1" s="1"/>
  <c r="T14" i="1"/>
  <c r="U14" i="1" s="1"/>
  <c r="AB16" i="1"/>
  <c r="AC15" i="1"/>
  <c r="L15" i="1"/>
  <c r="M15" i="1" s="1"/>
  <c r="K16" i="1"/>
  <c r="R15" i="1"/>
  <c r="S15" i="1" s="1"/>
  <c r="Q16" i="1"/>
  <c r="C16" i="1"/>
  <c r="B17" i="1"/>
  <c r="Y17" i="4"/>
  <c r="B34" i="4"/>
  <c r="U34" i="4"/>
  <c r="N21" i="1" l="1"/>
  <c r="O20" i="1"/>
  <c r="P20" i="1" s="1"/>
  <c r="AG19" i="1"/>
  <c r="AF20" i="1"/>
  <c r="AA17" i="1"/>
  <c r="Z18" i="1"/>
  <c r="T15" i="1"/>
  <c r="U15" i="1" s="1"/>
  <c r="AB17" i="1"/>
  <c r="AC16" i="1"/>
  <c r="R16" i="1"/>
  <c r="S16" i="1" s="1"/>
  <c r="Q17" i="1"/>
  <c r="D16" i="1"/>
  <c r="F16" i="1"/>
  <c r="G16" i="1" s="1"/>
  <c r="E17" i="1"/>
  <c r="B18" i="1"/>
  <c r="C17" i="1"/>
  <c r="L16" i="1"/>
  <c r="M16" i="1" s="1"/>
  <c r="K17" i="1"/>
  <c r="I18" i="1"/>
  <c r="J18" i="1" s="1"/>
  <c r="H19" i="1"/>
  <c r="AE20" i="1"/>
  <c r="Y18" i="1"/>
  <c r="X19" i="1"/>
  <c r="K12" i="2"/>
  <c r="K11" i="2"/>
  <c r="K10" i="2"/>
  <c r="K9" i="2"/>
  <c r="K14" i="2"/>
  <c r="K13" i="2"/>
  <c r="O21" i="1" l="1"/>
  <c r="P21" i="1" s="1"/>
  <c r="N22" i="1"/>
  <c r="AG20" i="1"/>
  <c r="AF21" i="1"/>
  <c r="AA18" i="1"/>
  <c r="Z19" i="1"/>
  <c r="T16" i="1"/>
  <c r="U16" i="1" s="1"/>
  <c r="R17" i="1"/>
  <c r="S17" i="1" s="1"/>
  <c r="Q18" i="1"/>
  <c r="AE21" i="1"/>
  <c r="B19" i="1"/>
  <c r="C18" i="1"/>
  <c r="H20" i="1"/>
  <c r="I19" i="1"/>
  <c r="J19" i="1" s="1"/>
  <c r="X20" i="1"/>
  <c r="Y19" i="1"/>
  <c r="D17" i="1"/>
  <c r="F17" i="1"/>
  <c r="G17" i="1" s="1"/>
  <c r="E18" i="1"/>
  <c r="L17" i="1"/>
  <c r="M17" i="1" s="1"/>
  <c r="K18" i="1"/>
  <c r="AB18" i="1"/>
  <c r="AC17" i="1"/>
  <c r="W7" i="4"/>
  <c r="O22" i="1" l="1"/>
  <c r="P22" i="1" s="1"/>
  <c r="N23" i="1"/>
  <c r="AG21" i="1"/>
  <c r="AF22" i="1"/>
  <c r="AA19" i="1"/>
  <c r="Z20" i="1"/>
  <c r="T17" i="1"/>
  <c r="U17" i="1" s="1"/>
  <c r="L18" i="1"/>
  <c r="M18" i="1" s="1"/>
  <c r="K19" i="1"/>
  <c r="AE22" i="1"/>
  <c r="D18" i="1"/>
  <c r="C19" i="1"/>
  <c r="B20" i="1"/>
  <c r="R18" i="1"/>
  <c r="S18" i="1" s="1"/>
  <c r="Q19" i="1"/>
  <c r="Y20" i="1"/>
  <c r="X21" i="1"/>
  <c r="F18" i="1"/>
  <c r="G18" i="1" s="1"/>
  <c r="E19" i="1"/>
  <c r="AB19" i="1"/>
  <c r="AC18" i="1"/>
  <c r="I20" i="1"/>
  <c r="J20" i="1" s="1"/>
  <c r="H21" i="1"/>
  <c r="I21" i="1" s="1"/>
  <c r="Y3" i="1"/>
  <c r="N24" i="1" l="1"/>
  <c r="O23" i="1"/>
  <c r="P23" i="1" s="1"/>
  <c r="AG22" i="1"/>
  <c r="AF23" i="1"/>
  <c r="Z21" i="1"/>
  <c r="AA20" i="1"/>
  <c r="T18" i="1"/>
  <c r="U18" i="1" s="1"/>
  <c r="AC19" i="1"/>
  <c r="AB20" i="1"/>
  <c r="R19" i="1"/>
  <c r="S19" i="1" s="1"/>
  <c r="Q20" i="1"/>
  <c r="AE23" i="1"/>
  <c r="H22" i="1"/>
  <c r="J21" i="1"/>
  <c r="X22" i="1"/>
  <c r="Y21" i="1"/>
  <c r="C20" i="1"/>
  <c r="B21" i="1"/>
  <c r="L19" i="1"/>
  <c r="M19" i="1" s="1"/>
  <c r="K20" i="1"/>
  <c r="F19" i="1"/>
  <c r="G19" i="1" s="1"/>
  <c r="E20" i="1"/>
  <c r="D19" i="1"/>
  <c r="K9" i="9"/>
  <c r="N25" i="1" l="1"/>
  <c r="O24" i="1"/>
  <c r="P24" i="1" s="1"/>
  <c r="AG23" i="1"/>
  <c r="AF24" i="1"/>
  <c r="AA21" i="1"/>
  <c r="Z22" i="1"/>
  <c r="F20" i="1"/>
  <c r="G20" i="1" s="1"/>
  <c r="E21" i="1"/>
  <c r="AE24" i="1"/>
  <c r="L20" i="1"/>
  <c r="M20" i="1" s="1"/>
  <c r="K21" i="1"/>
  <c r="C21" i="1"/>
  <c r="B22" i="1"/>
  <c r="AC20" i="1"/>
  <c r="AB21" i="1"/>
  <c r="X23" i="1"/>
  <c r="Y22" i="1"/>
  <c r="R20" i="1"/>
  <c r="S20" i="1" s="1"/>
  <c r="Q21" i="1"/>
  <c r="I22" i="1"/>
  <c r="J22" i="1" s="1"/>
  <c r="H23" i="1"/>
  <c r="T19" i="1"/>
  <c r="U19" i="1" s="1"/>
  <c r="D20" i="1"/>
  <c r="S30" i="4"/>
  <c r="N26" i="1" l="1"/>
  <c r="O25" i="1"/>
  <c r="P25" i="1" s="1"/>
  <c r="AG24" i="1"/>
  <c r="AF25" i="1"/>
  <c r="Z23" i="1"/>
  <c r="AA22" i="1"/>
  <c r="T20" i="1"/>
  <c r="U20" i="1" s="1"/>
  <c r="L21" i="1"/>
  <c r="M21" i="1" s="1"/>
  <c r="K22" i="1"/>
  <c r="X24" i="1"/>
  <c r="Y23" i="1"/>
  <c r="H24" i="1"/>
  <c r="I23" i="1"/>
  <c r="J23" i="1" s="1"/>
  <c r="AC21" i="1"/>
  <c r="AB22" i="1"/>
  <c r="R21" i="1"/>
  <c r="S21" i="1" s="1"/>
  <c r="Q22" i="1"/>
  <c r="C22" i="1"/>
  <c r="B23" i="1"/>
  <c r="F21" i="1"/>
  <c r="G21" i="1" s="1"/>
  <c r="E22" i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E23" i="1"/>
  <c r="AC22" i="1"/>
  <c r="AB23" i="1"/>
  <c r="L22" i="1"/>
  <c r="M22" i="1" s="1"/>
  <c r="K23" i="1"/>
  <c r="AE26" i="1"/>
  <c r="I24" i="1"/>
  <c r="J24" i="1" s="1"/>
  <c r="H25" i="1"/>
  <c r="R22" i="1"/>
  <c r="S22" i="1" s="1"/>
  <c r="Q23" i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P31" i="1" s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O32" i="1" l="1"/>
  <c r="P32" i="1" s="1"/>
  <c r="N33" i="1"/>
  <c r="O33" i="1" s="1"/>
  <c r="P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AG32" i="1" l="1"/>
  <c r="AF33" i="1"/>
  <c r="AG33" i="1" s="1"/>
  <c r="AA30" i="1"/>
  <c r="Z31" i="1"/>
  <c r="I31" i="1"/>
  <c r="J31" i="1" s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AA31" i="1" l="1"/>
  <c r="Z32" i="1"/>
  <c r="L30" i="1"/>
  <c r="M30" i="1" s="1"/>
  <c r="K31" i="1"/>
  <c r="R30" i="1"/>
  <c r="S30" i="1" s="1"/>
  <c r="Q31" i="1"/>
  <c r="Y32" i="1"/>
  <c r="X33" i="1"/>
  <c r="Y33" i="1" s="1"/>
  <c r="C31" i="1"/>
  <c r="B32" i="1"/>
  <c r="H33" i="1"/>
  <c r="I33" i="1" s="1"/>
  <c r="J33" i="1" s="1"/>
  <c r="I32" i="1"/>
  <c r="J32" i="1" s="1"/>
  <c r="F30" i="1"/>
  <c r="G30" i="1" s="1"/>
  <c r="E31" i="1"/>
  <c r="AC30" i="1"/>
  <c r="AB31" i="1"/>
  <c r="D30" i="1"/>
  <c r="T29" i="1"/>
  <c r="U29" i="1" s="1"/>
  <c r="E12" i="2"/>
  <c r="AA32" i="1" l="1"/>
  <c r="Z33" i="1"/>
  <c r="AA33" i="1" s="1"/>
  <c r="F31" i="1"/>
  <c r="G31" i="1" s="1"/>
  <c r="E32" i="1"/>
  <c r="T30" i="1"/>
  <c r="U30" i="1" s="1"/>
  <c r="AB32" i="1"/>
  <c r="AC31" i="1"/>
  <c r="B33" i="1"/>
  <c r="C33" i="1" s="1"/>
  <c r="C32" i="1"/>
  <c r="L31" i="1"/>
  <c r="M31" i="1" s="1"/>
  <c r="K32" i="1"/>
  <c r="R31" i="1"/>
  <c r="S31" i="1" s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R32" i="1" l="1"/>
  <c r="S32" i="1" s="1"/>
  <c r="Q33" i="1"/>
  <c r="R33" i="1" s="1"/>
  <c r="S33" i="1" s="1"/>
  <c r="F32" i="1"/>
  <c r="G32" i="1" s="1"/>
  <c r="E33" i="1"/>
  <c r="F33" i="1" s="1"/>
  <c r="G33" i="1" s="1"/>
  <c r="D33" i="1"/>
  <c r="AC32" i="1"/>
  <c r="AB33" i="1"/>
  <c r="AC33" i="1" s="1"/>
  <c r="L32" i="1"/>
  <c r="M32" i="1" s="1"/>
  <c r="K33" i="1"/>
  <c r="L33" i="1" s="1"/>
  <c r="M33" i="1" s="1"/>
  <c r="T31" i="1"/>
  <c r="U31" i="1" s="1"/>
  <c r="D32" i="1"/>
  <c r="H22" i="4"/>
  <c r="E14" i="2"/>
  <c r="T33" i="1" l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<sst xmlns="http://schemas.openxmlformats.org/spreadsheetml/2006/main" count="503" uniqueCount="149">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</sst>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J36" sqref="J3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5">
        <v>1.27</v>
      </c>
      <c r="G7" s="35">
        <f>Gas!C8*0.9147</f>
        <v>0</v>
      </c>
      <c r="H7" s="126">
        <v>3.78</v>
      </c>
      <c r="I7" s="128">
        <f>Submetering!H7+Submetering!AD7+Submetering!AE7</f>
        <v>-194</v>
      </c>
      <c r="J7" s="128">
        <v>9.1300000000000008</v>
      </c>
      <c r="K7" s="35">
        <f>ELECT.!B8</f>
        <v>0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5">
        <v>1.27</v>
      </c>
      <c r="G8" s="35">
        <f>Gas!C9*0.9147</f>
        <v>0</v>
      </c>
      <c r="H8" s="126">
        <v>3.78</v>
      </c>
      <c r="I8" s="128">
        <f>Submetering!H8+Submetering!AD8+Submetering!AE8</f>
        <v>-194</v>
      </c>
      <c r="J8" s="128">
        <v>9.1300000000000008</v>
      </c>
      <c r="K8" s="35">
        <f>ELECT.!B9</f>
        <v>0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5">
        <v>1.27</v>
      </c>
      <c r="G9" s="35">
        <f>Gas!C10*0.9147</f>
        <v>0</v>
      </c>
      <c r="H9" s="126">
        <v>3.78</v>
      </c>
      <c r="I9" s="128">
        <f>Submetering!H9+Submetering!AD9+Submetering!AE9</f>
        <v>-194</v>
      </c>
      <c r="J9" s="128">
        <v>9.1300000000000008</v>
      </c>
      <c r="K9" s="35">
        <f>ELECT.!B10</f>
        <v>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5">
        <v>1.27</v>
      </c>
      <c r="G10" s="35">
        <f>Gas!C11*0.9147</f>
        <v>0</v>
      </c>
      <c r="H10" s="126">
        <v>3.78</v>
      </c>
      <c r="I10" s="128">
        <f>Submetering!H10+Submetering!AD10+Submetering!AE10</f>
        <v>-194</v>
      </c>
      <c r="J10" s="128">
        <v>9.1300000000000008</v>
      </c>
      <c r="K10" s="35">
        <f>ELECT.!B11</f>
        <v>0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3.78</v>
      </c>
      <c r="I11" s="128">
        <f>Submetering!H11+Submetering!AD11+Submetering!AE11</f>
        <v>-194</v>
      </c>
      <c r="J11" s="128">
        <v>9.1300000000000008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3.78</v>
      </c>
      <c r="I12" s="128">
        <f>Submetering!H12+Submetering!AD12+Submetering!AE12</f>
        <v>-194</v>
      </c>
      <c r="J12" s="128">
        <v>9.1300000000000008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3.78</v>
      </c>
      <c r="I13" s="128">
        <f>Submetering!H13+Submetering!AD13+Submetering!AE13</f>
        <v>-194</v>
      </c>
      <c r="J13" s="128">
        <v>9.1300000000000008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3.78</v>
      </c>
      <c r="I14" s="128">
        <f>Submetering!H14+Submetering!AD14+Submetering!AE14</f>
        <v>-194</v>
      </c>
      <c r="J14" s="128">
        <v>9.1300000000000008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3.78</v>
      </c>
      <c r="I15" s="128">
        <f>Submetering!H15+Submetering!AD15+Submetering!AE15</f>
        <v>-194</v>
      </c>
      <c r="J15" s="128">
        <v>9.1300000000000008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3.78</v>
      </c>
      <c r="I16" s="128">
        <f>Submetering!H16+Submetering!AD16+Submetering!AE16</f>
        <v>-194</v>
      </c>
      <c r="J16" s="128">
        <v>9.1300000000000008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3.78</v>
      </c>
      <c r="I17" s="128">
        <f>Submetering!H17+Submetering!AD17+Submetering!AE17</f>
        <v>-194</v>
      </c>
      <c r="J17" s="128">
        <v>9.1300000000000008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3.78</v>
      </c>
      <c r="I18" s="128">
        <f>Submetering!H18+Submetering!AD18+Submetering!AE18</f>
        <v>-194</v>
      </c>
      <c r="J18" s="128">
        <v>9.1300000000000008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3.78</v>
      </c>
      <c r="I19" s="128">
        <f>Submetering!H19+Submetering!AD19+Submetering!AE19</f>
        <v>-194</v>
      </c>
      <c r="J19" s="128">
        <v>9.1300000000000008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3.78</v>
      </c>
      <c r="I20" s="128">
        <f>Submetering!H20+Submetering!AD20+Submetering!AE20</f>
        <v>-194</v>
      </c>
      <c r="J20" s="128">
        <v>9.1300000000000008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3.78</v>
      </c>
      <c r="I21" s="128">
        <f>Submetering!H21+Submetering!AD21+Submetering!AE21</f>
        <v>-194</v>
      </c>
      <c r="J21" s="128">
        <v>9.1300000000000008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3.78</v>
      </c>
      <c r="I22" s="128">
        <f>Submetering!H22+Submetering!AD22+Submetering!AE22</f>
        <v>-194</v>
      </c>
      <c r="J22" s="128">
        <v>9.1300000000000008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38" sqref="P3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12482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-14037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0</v>
      </c>
      <c r="F7" s="35">
        <f>Water!E8</f>
        <v>0</v>
      </c>
      <c r="G7" s="35">
        <f>Water!G8</f>
        <v>0</v>
      </c>
      <c r="H7" s="35">
        <f>Water!I8</f>
        <v>0</v>
      </c>
      <c r="I7" s="35">
        <f>ELECT.!F8</f>
        <v>0</v>
      </c>
      <c r="J7" s="35">
        <f>ELECT.!H8</f>
        <v>0</v>
      </c>
      <c r="K7" s="35">
        <f>ELECT.!K8</f>
        <v>0</v>
      </c>
      <c r="L7" s="35">
        <f>ELECT.!M8</f>
        <v>0</v>
      </c>
      <c r="M7" s="35">
        <f>ELECT.!O8</f>
        <v>0</v>
      </c>
      <c r="N7" s="35">
        <f>ELECT.!Q8</f>
        <v>0</v>
      </c>
      <c r="O7" s="35">
        <f>ELECT.!S8</f>
        <v>0</v>
      </c>
      <c r="P7" s="35">
        <f>ELECT.!W8*2</f>
        <v>0</v>
      </c>
      <c r="Q7" s="35">
        <f>ELECT.!D8</f>
        <v>0</v>
      </c>
      <c r="R7" s="128">
        <f>BTU!C8</f>
        <v>0</v>
      </c>
      <c r="S7" s="128">
        <f>BTU!F8</f>
        <v>0</v>
      </c>
      <c r="T7" s="128">
        <f>BTU!I8</f>
        <v>0</v>
      </c>
      <c r="U7" s="128">
        <f>BTU!O8</f>
        <v>0</v>
      </c>
      <c r="V7" s="128">
        <f>BTU!L8</f>
        <v>0</v>
      </c>
      <c r="W7" s="128">
        <f>BTU!R8</f>
        <v>0</v>
      </c>
      <c r="X7" s="33">
        <f>ELECT.!B8</f>
        <v>0</v>
      </c>
      <c r="Y7" s="33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3">
        <f t="shared" si="1"/>
        <v>-25.569199999999999</v>
      </c>
      <c r="AE7" s="33">
        <f t="shared" si="2"/>
        <v>-168.4308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0</v>
      </c>
      <c r="F8" s="35">
        <f>Water!E9</f>
        <v>0</v>
      </c>
      <c r="G8" s="35">
        <f>Water!G9</f>
        <v>0</v>
      </c>
      <c r="H8" s="35">
        <f>Water!I9</f>
        <v>0</v>
      </c>
      <c r="I8" s="35">
        <f>ELECT.!F9</f>
        <v>0</v>
      </c>
      <c r="J8" s="35">
        <f>ELECT.!H9</f>
        <v>0</v>
      </c>
      <c r="K8" s="35">
        <f>ELECT.!K9</f>
        <v>0</v>
      </c>
      <c r="L8" s="35">
        <f>ELECT.!M9</f>
        <v>0</v>
      </c>
      <c r="M8" s="35">
        <f>ELECT.!O9</f>
        <v>0</v>
      </c>
      <c r="N8" s="35">
        <f>ELECT.!Q9</f>
        <v>0</v>
      </c>
      <c r="O8" s="35">
        <f>ELECT.!S9</f>
        <v>0</v>
      </c>
      <c r="P8" s="35">
        <f>ELECT.!W9*2</f>
        <v>0</v>
      </c>
      <c r="Q8" s="35">
        <f>ELECT.!D9</f>
        <v>0</v>
      </c>
      <c r="R8" s="128">
        <f>BTU!C9</f>
        <v>0</v>
      </c>
      <c r="S8" s="128">
        <f>BTU!F9</f>
        <v>0</v>
      </c>
      <c r="T8" s="128">
        <f>BTU!I9</f>
        <v>0</v>
      </c>
      <c r="U8" s="128">
        <f>BTU!O9</f>
        <v>0</v>
      </c>
      <c r="V8" s="128">
        <f>BTU!L9</f>
        <v>0</v>
      </c>
      <c r="W8" s="128">
        <f>BTU!R9</f>
        <v>0</v>
      </c>
      <c r="X8" s="33">
        <f>ELECT.!B9</f>
        <v>0</v>
      </c>
      <c r="Y8" s="33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3">
        <f t="shared" si="1"/>
        <v>-25.569199999999999</v>
      </c>
      <c r="AE8" s="33">
        <f t="shared" si="2"/>
        <v>-168.4308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>
        <f>ELECT.!F10</f>
        <v>0</v>
      </c>
      <c r="J9" s="35">
        <f>ELECT.!H10</f>
        <v>0</v>
      </c>
      <c r="K9" s="35">
        <f>ELECT.!K10</f>
        <v>0</v>
      </c>
      <c r="L9" s="35">
        <f>ELECT.!M10</f>
        <v>0</v>
      </c>
      <c r="M9" s="35">
        <f>ELECT.!O10</f>
        <v>0</v>
      </c>
      <c r="N9" s="35">
        <f>ELECT.!Q10</f>
        <v>0</v>
      </c>
      <c r="O9" s="35">
        <f>ELECT.!S10</f>
        <v>0</v>
      </c>
      <c r="P9" s="35">
        <f>ELECT.!W10*2</f>
        <v>0</v>
      </c>
      <c r="Q9" s="35">
        <f>ELECT.!D10</f>
        <v>0</v>
      </c>
      <c r="R9" s="128">
        <f>BTU!C10</f>
        <v>0</v>
      </c>
      <c r="S9" s="128">
        <f>BTU!F10</f>
        <v>0</v>
      </c>
      <c r="T9" s="128">
        <f>BTU!I10</f>
        <v>0</v>
      </c>
      <c r="U9" s="128">
        <f>BTU!O10</f>
        <v>0</v>
      </c>
      <c r="V9" s="128">
        <f>BTU!L10</f>
        <v>0</v>
      </c>
      <c r="W9" s="128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28">
        <f>BTU!C11</f>
        <v>0</v>
      </c>
      <c r="S10" s="128">
        <f>BTU!F11</f>
        <v>0</v>
      </c>
      <c r="T10" s="128">
        <f>BTU!I11</f>
        <v>0</v>
      </c>
      <c r="U10" s="128">
        <f>BTU!O11</f>
        <v>0</v>
      </c>
      <c r="V10" s="128">
        <f>BTU!L11</f>
        <v>0</v>
      </c>
      <c r="W10" s="128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f t="shared" ref="B7:B33" si="13">B7</f>
        <v>48334</v>
      </c>
      <c r="C8" s="14">
        <f t="shared" si="3"/>
        <v>0</v>
      </c>
      <c r="D8" s="31">
        <f t="shared" ref="D7:D33" si="14">D7</f>
        <v>41465</v>
      </c>
      <c r="E8" s="14">
        <f t="shared" si="4"/>
        <v>0</v>
      </c>
      <c r="F8" s="31">
        <f t="shared" ref="F7:F33" si="15">F7</f>
        <v>22665</v>
      </c>
      <c r="G8" s="14">
        <f t="shared" si="5"/>
        <v>0</v>
      </c>
      <c r="H8" s="31">
        <f t="shared" ref="H7:H33" si="16">H7</f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f t="shared" ref="L7:L33" si="17">L7</f>
        <v>27016</v>
      </c>
      <c r="M8" s="14">
        <f t="shared" si="8"/>
        <v>0</v>
      </c>
      <c r="N8" s="31">
        <f t="shared" ref="N7:N33" si="18">N7</f>
        <v>234060</v>
      </c>
      <c r="O8" s="14">
        <f t="shared" si="9"/>
        <v>0</v>
      </c>
      <c r="P8" s="31">
        <f t="shared" ref="P5:P33" si="19">P7</f>
        <v>192522</v>
      </c>
      <c r="Q8" s="14">
        <f t="shared" si="2"/>
        <v>0</v>
      </c>
      <c r="R8" s="31">
        <v>55047</v>
      </c>
      <c r="S8" s="14">
        <f>R8-R7</f>
        <v>0</v>
      </c>
      <c r="T8" s="31">
        <f t="shared" ref="T7:T33" si="20">T7</f>
        <v>4203</v>
      </c>
      <c r="U8" s="14">
        <f t="shared" si="11"/>
        <v>0</v>
      </c>
    </row>
    <row r="9" spans="1:24" ht="13.5" thickBot="1" x14ac:dyDescent="0.25">
      <c r="A9" s="9">
        <v>44992</v>
      </c>
      <c r="B9" s="31">
        <f t="shared" si="13"/>
        <v>48334</v>
      </c>
      <c r="C9" s="14">
        <f t="shared" si="3"/>
        <v>0</v>
      </c>
      <c r="D9" s="31">
        <f t="shared" si="14"/>
        <v>41465</v>
      </c>
      <c r="E9" s="14">
        <f t="shared" si="4"/>
        <v>0</v>
      </c>
      <c r="F9" s="31">
        <f t="shared" si="15"/>
        <v>22665</v>
      </c>
      <c r="G9" s="14">
        <f t="shared" si="5"/>
        <v>0</v>
      </c>
      <c r="H9" s="31">
        <f t="shared" si="16"/>
        <v>262139</v>
      </c>
      <c r="I9" s="14">
        <f t="shared" si="6"/>
        <v>0</v>
      </c>
      <c r="J9" s="31">
        <v>349512</v>
      </c>
      <c r="K9" s="14">
        <f t="shared" si="7"/>
        <v>0</v>
      </c>
      <c r="L9" s="31">
        <f t="shared" si="17"/>
        <v>27016</v>
      </c>
      <c r="M9" s="14">
        <f t="shared" si="8"/>
        <v>0</v>
      </c>
      <c r="N9" s="31">
        <f t="shared" si="18"/>
        <v>234060</v>
      </c>
      <c r="O9" s="14">
        <f t="shared" si="9"/>
        <v>0</v>
      </c>
      <c r="P9" s="31">
        <f t="shared" si="19"/>
        <v>192522</v>
      </c>
      <c r="Q9" s="14">
        <f t="shared" si="2"/>
        <v>0</v>
      </c>
      <c r="R9" s="31">
        <f t="shared" si="10"/>
        <v>55047</v>
      </c>
      <c r="S9" s="14">
        <f>R9-R8</f>
        <v>0</v>
      </c>
      <c r="T9" s="31">
        <f t="shared" si="20"/>
        <v>4203</v>
      </c>
      <c r="U9" s="14">
        <f t="shared" si="11"/>
        <v>0</v>
      </c>
    </row>
    <row r="10" spans="1:24" ht="13.5" thickBot="1" x14ac:dyDescent="0.25">
      <c r="A10" s="9">
        <v>44993</v>
      </c>
      <c r="B10" s="31">
        <f t="shared" si="13"/>
        <v>48334</v>
      </c>
      <c r="C10" s="14">
        <f t="shared" si="3"/>
        <v>0</v>
      </c>
      <c r="D10" s="31">
        <f t="shared" si="14"/>
        <v>41465</v>
      </c>
      <c r="E10" s="14">
        <f t="shared" si="4"/>
        <v>0</v>
      </c>
      <c r="F10" s="31">
        <f t="shared" si="15"/>
        <v>22665</v>
      </c>
      <c r="G10" s="14">
        <f t="shared" si="5"/>
        <v>0</v>
      </c>
      <c r="H10" s="31">
        <f t="shared" si="16"/>
        <v>262139</v>
      </c>
      <c r="I10" s="14">
        <f t="shared" si="6"/>
        <v>0</v>
      </c>
      <c r="J10" s="31">
        <v>349512</v>
      </c>
      <c r="K10" s="14">
        <f t="shared" si="7"/>
        <v>0</v>
      </c>
      <c r="L10" s="31">
        <f t="shared" si="17"/>
        <v>27016</v>
      </c>
      <c r="M10" s="14">
        <f t="shared" si="8"/>
        <v>0</v>
      </c>
      <c r="N10" s="31">
        <f t="shared" si="18"/>
        <v>234060</v>
      </c>
      <c r="O10" s="14">
        <f t="shared" si="9"/>
        <v>0</v>
      </c>
      <c r="P10" s="31">
        <f t="shared" si="19"/>
        <v>192522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f t="shared" si="20"/>
        <v>4203</v>
      </c>
      <c r="U10" s="14">
        <f t="shared" si="11"/>
        <v>0</v>
      </c>
    </row>
    <row r="11" spans="1:24" ht="13.5" thickBot="1" x14ac:dyDescent="0.25">
      <c r="A11" s="9">
        <v>44994</v>
      </c>
      <c r="B11" s="31">
        <f t="shared" si="13"/>
        <v>48334</v>
      </c>
      <c r="C11" s="14">
        <f t="shared" si="3"/>
        <v>0</v>
      </c>
      <c r="D11" s="31">
        <f t="shared" si="14"/>
        <v>41465</v>
      </c>
      <c r="E11" s="14">
        <f t="shared" si="4"/>
        <v>0</v>
      </c>
      <c r="F11" s="31">
        <f t="shared" si="15"/>
        <v>22665</v>
      </c>
      <c r="G11" s="14">
        <f t="shared" si="5"/>
        <v>0</v>
      </c>
      <c r="H11" s="31">
        <f t="shared" si="16"/>
        <v>262139</v>
      </c>
      <c r="I11" s="14">
        <f t="shared" si="6"/>
        <v>0</v>
      </c>
      <c r="J11" s="31">
        <v>349512</v>
      </c>
      <c r="K11" s="14">
        <f t="shared" si="7"/>
        <v>0</v>
      </c>
      <c r="L11" s="31">
        <f t="shared" si="17"/>
        <v>27016</v>
      </c>
      <c r="M11" s="14">
        <f t="shared" si="8"/>
        <v>0</v>
      </c>
      <c r="N11" s="31">
        <f t="shared" si="18"/>
        <v>234060</v>
      </c>
      <c r="O11" s="14">
        <f t="shared" si="9"/>
        <v>0</v>
      </c>
      <c r="P11" s="31">
        <f t="shared" si="19"/>
        <v>192522</v>
      </c>
      <c r="Q11" s="14">
        <f t="shared" si="2"/>
        <v>0</v>
      </c>
      <c r="R11" s="31">
        <f t="shared" si="10"/>
        <v>55047</v>
      </c>
      <c r="S11" s="14">
        <f t="shared" si="12"/>
        <v>0</v>
      </c>
      <c r="T11" s="31">
        <f t="shared" si="20"/>
        <v>4203</v>
      </c>
      <c r="U11" s="14">
        <f t="shared" si="11"/>
        <v>0</v>
      </c>
    </row>
    <row r="12" spans="1:24" ht="13.5" thickBot="1" x14ac:dyDescent="0.25">
      <c r="A12" s="9">
        <v>44995</v>
      </c>
      <c r="B12" s="31">
        <f t="shared" si="13"/>
        <v>48334</v>
      </c>
      <c r="C12" s="14">
        <f t="shared" si="3"/>
        <v>0</v>
      </c>
      <c r="D12" s="31">
        <f t="shared" si="14"/>
        <v>41465</v>
      </c>
      <c r="E12" s="14">
        <f t="shared" si="4"/>
        <v>0</v>
      </c>
      <c r="F12" s="31">
        <f t="shared" si="15"/>
        <v>22665</v>
      </c>
      <c r="G12" s="14">
        <f t="shared" si="5"/>
        <v>0</v>
      </c>
      <c r="H12" s="31">
        <f t="shared" si="16"/>
        <v>262139</v>
      </c>
      <c r="I12" s="14">
        <f t="shared" si="6"/>
        <v>0</v>
      </c>
      <c r="J12" s="31">
        <v>349512</v>
      </c>
      <c r="K12" s="14">
        <f t="shared" si="7"/>
        <v>0</v>
      </c>
      <c r="L12" s="31">
        <f t="shared" si="17"/>
        <v>27016</v>
      </c>
      <c r="M12" s="14">
        <f t="shared" si="8"/>
        <v>0</v>
      </c>
      <c r="N12" s="31">
        <f t="shared" si="18"/>
        <v>234060</v>
      </c>
      <c r="O12" s="14">
        <f t="shared" si="9"/>
        <v>0</v>
      </c>
      <c r="P12" s="31">
        <f t="shared" si="19"/>
        <v>192522</v>
      </c>
      <c r="Q12" s="14">
        <f t="shared" si="2"/>
        <v>0</v>
      </c>
      <c r="R12" s="31">
        <f t="shared" si="10"/>
        <v>55047</v>
      </c>
      <c r="S12" s="14">
        <f t="shared" si="12"/>
        <v>0</v>
      </c>
      <c r="T12" s="31">
        <f t="shared" si="20"/>
        <v>4203</v>
      </c>
      <c r="U12" s="14">
        <f t="shared" si="11"/>
        <v>0</v>
      </c>
    </row>
    <row r="13" spans="1:24" ht="13.5" thickBot="1" x14ac:dyDescent="0.25">
      <c r="A13" s="9">
        <v>44996</v>
      </c>
      <c r="B13" s="31">
        <f t="shared" si="13"/>
        <v>48334</v>
      </c>
      <c r="C13" s="14">
        <f t="shared" si="3"/>
        <v>0</v>
      </c>
      <c r="D13" s="31">
        <f t="shared" si="14"/>
        <v>41465</v>
      </c>
      <c r="E13" s="14">
        <f t="shared" si="4"/>
        <v>0</v>
      </c>
      <c r="F13" s="31">
        <f t="shared" si="15"/>
        <v>22665</v>
      </c>
      <c r="G13" s="14">
        <f t="shared" si="5"/>
        <v>0</v>
      </c>
      <c r="H13" s="31">
        <f t="shared" si="16"/>
        <v>262139</v>
      </c>
      <c r="I13" s="14">
        <f t="shared" si="6"/>
        <v>0</v>
      </c>
      <c r="J13" s="31">
        <v>349512</v>
      </c>
      <c r="K13" s="14">
        <f t="shared" si="7"/>
        <v>0</v>
      </c>
      <c r="L13" s="31">
        <f t="shared" si="17"/>
        <v>27016</v>
      </c>
      <c r="M13" s="14">
        <f t="shared" si="8"/>
        <v>0</v>
      </c>
      <c r="N13" s="31">
        <f t="shared" si="18"/>
        <v>234060</v>
      </c>
      <c r="O13" s="14">
        <f t="shared" si="9"/>
        <v>0</v>
      </c>
      <c r="P13" s="31">
        <f t="shared" si="19"/>
        <v>192522</v>
      </c>
      <c r="Q13" s="14">
        <f t="shared" si="2"/>
        <v>0</v>
      </c>
      <c r="R13" s="31">
        <f t="shared" si="10"/>
        <v>55047</v>
      </c>
      <c r="S13" s="14">
        <f t="shared" si="12"/>
        <v>0</v>
      </c>
      <c r="T13" s="31">
        <f t="shared" si="20"/>
        <v>4203</v>
      </c>
      <c r="U13" s="14">
        <f t="shared" si="11"/>
        <v>0</v>
      </c>
    </row>
    <row r="14" spans="1:24" ht="13.5" thickBot="1" x14ac:dyDescent="0.25">
      <c r="A14" s="9">
        <v>44997</v>
      </c>
      <c r="B14" s="31">
        <f t="shared" si="13"/>
        <v>48334</v>
      </c>
      <c r="C14" s="14">
        <f t="shared" si="3"/>
        <v>0</v>
      </c>
      <c r="D14" s="31">
        <f t="shared" si="14"/>
        <v>41465</v>
      </c>
      <c r="E14" s="14">
        <f t="shared" si="4"/>
        <v>0</v>
      </c>
      <c r="F14" s="31">
        <f t="shared" si="15"/>
        <v>22665</v>
      </c>
      <c r="G14" s="14">
        <f t="shared" si="5"/>
        <v>0</v>
      </c>
      <c r="H14" s="31">
        <f t="shared" si="16"/>
        <v>262139</v>
      </c>
      <c r="I14" s="14">
        <f t="shared" si="6"/>
        <v>0</v>
      </c>
      <c r="J14" s="31">
        <v>349512</v>
      </c>
      <c r="K14" s="14">
        <f t="shared" si="7"/>
        <v>0</v>
      </c>
      <c r="L14" s="31">
        <f t="shared" si="17"/>
        <v>27016</v>
      </c>
      <c r="M14" s="14">
        <f t="shared" si="8"/>
        <v>0</v>
      </c>
      <c r="N14" s="31">
        <f t="shared" si="18"/>
        <v>234060</v>
      </c>
      <c r="O14" s="14">
        <f t="shared" si="9"/>
        <v>0</v>
      </c>
      <c r="P14" s="31">
        <f t="shared" si="19"/>
        <v>192522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20"/>
        <v>4203</v>
      </c>
      <c r="U14" s="14">
        <f t="shared" si="11"/>
        <v>0</v>
      </c>
    </row>
    <row r="15" spans="1:24" ht="13.5" thickBot="1" x14ac:dyDescent="0.25">
      <c r="A15" s="9">
        <v>44998</v>
      </c>
      <c r="B15" s="31">
        <f t="shared" si="13"/>
        <v>48334</v>
      </c>
      <c r="C15" s="14">
        <f t="shared" si="3"/>
        <v>0</v>
      </c>
      <c r="D15" s="31">
        <f t="shared" si="14"/>
        <v>41465</v>
      </c>
      <c r="E15" s="14">
        <f t="shared" si="4"/>
        <v>0</v>
      </c>
      <c r="F15" s="31">
        <f t="shared" si="15"/>
        <v>22665</v>
      </c>
      <c r="G15" s="14">
        <f t="shared" si="5"/>
        <v>0</v>
      </c>
      <c r="H15" s="31">
        <f t="shared" si="16"/>
        <v>262139</v>
      </c>
      <c r="I15" s="14">
        <f t="shared" si="6"/>
        <v>0</v>
      </c>
      <c r="J15" s="31">
        <v>349512</v>
      </c>
      <c r="K15" s="14">
        <f t="shared" si="7"/>
        <v>0</v>
      </c>
      <c r="L15" s="31">
        <f t="shared" si="17"/>
        <v>27016</v>
      </c>
      <c r="M15" s="14">
        <f t="shared" si="8"/>
        <v>0</v>
      </c>
      <c r="N15" s="31">
        <f t="shared" si="18"/>
        <v>234060</v>
      </c>
      <c r="O15" s="14">
        <f t="shared" si="9"/>
        <v>0</v>
      </c>
      <c r="P15" s="31">
        <f t="shared" si="19"/>
        <v>192522</v>
      </c>
      <c r="Q15" s="14">
        <f t="shared" si="2"/>
        <v>0</v>
      </c>
      <c r="R15" s="31">
        <v>55047</v>
      </c>
      <c r="S15" s="14">
        <v>0</v>
      </c>
      <c r="T15" s="31">
        <f t="shared" si="20"/>
        <v>4203</v>
      </c>
      <c r="U15" s="14">
        <f t="shared" si="11"/>
        <v>0</v>
      </c>
      <c r="X15" t="s">
        <v>12</v>
      </c>
    </row>
    <row r="16" spans="1:24" ht="13.5" thickBot="1" x14ac:dyDescent="0.25">
      <c r="A16" s="9">
        <v>44999</v>
      </c>
      <c r="B16" s="31">
        <f t="shared" si="13"/>
        <v>48334</v>
      </c>
      <c r="C16" s="14">
        <f t="shared" si="3"/>
        <v>0</v>
      </c>
      <c r="D16" s="31">
        <f t="shared" si="14"/>
        <v>41465</v>
      </c>
      <c r="E16" s="14">
        <f t="shared" si="4"/>
        <v>0</v>
      </c>
      <c r="F16" s="31">
        <f t="shared" si="15"/>
        <v>22665</v>
      </c>
      <c r="G16" s="14">
        <f t="shared" si="5"/>
        <v>0</v>
      </c>
      <c r="H16" s="31">
        <f t="shared" si="16"/>
        <v>262139</v>
      </c>
      <c r="I16" s="14">
        <f t="shared" si="6"/>
        <v>0</v>
      </c>
      <c r="J16" s="31">
        <v>349512</v>
      </c>
      <c r="K16" s="14">
        <f t="shared" si="7"/>
        <v>0</v>
      </c>
      <c r="L16" s="31">
        <f t="shared" si="17"/>
        <v>27016</v>
      </c>
      <c r="M16" s="14">
        <f t="shared" si="8"/>
        <v>0</v>
      </c>
      <c r="N16" s="31">
        <f t="shared" si="18"/>
        <v>234060</v>
      </c>
      <c r="O16" s="14">
        <f t="shared" si="9"/>
        <v>0</v>
      </c>
      <c r="P16" s="31">
        <f t="shared" si="19"/>
        <v>192522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0"/>
        <v>4203</v>
      </c>
      <c r="U16" s="14">
        <f t="shared" si="11"/>
        <v>0</v>
      </c>
      <c r="W16" t="s">
        <v>12</v>
      </c>
    </row>
    <row r="17" spans="1:23" ht="13.5" thickBot="1" x14ac:dyDescent="0.25">
      <c r="A17" s="9">
        <v>45000</v>
      </c>
      <c r="B17" s="31">
        <f t="shared" si="13"/>
        <v>48334</v>
      </c>
      <c r="C17" s="14">
        <f t="shared" si="3"/>
        <v>0</v>
      </c>
      <c r="D17" s="31">
        <f t="shared" si="14"/>
        <v>41465</v>
      </c>
      <c r="E17" s="14">
        <f t="shared" si="4"/>
        <v>0</v>
      </c>
      <c r="F17" s="31">
        <f t="shared" si="15"/>
        <v>22665</v>
      </c>
      <c r="G17" s="14">
        <f t="shared" si="5"/>
        <v>0</v>
      </c>
      <c r="H17" s="31">
        <f t="shared" si="16"/>
        <v>262139</v>
      </c>
      <c r="I17" s="14">
        <f t="shared" si="6"/>
        <v>0</v>
      </c>
      <c r="J17" s="31">
        <v>349512</v>
      </c>
      <c r="K17" s="14">
        <f t="shared" si="7"/>
        <v>0</v>
      </c>
      <c r="L17" s="31">
        <f t="shared" si="17"/>
        <v>27016</v>
      </c>
      <c r="M17" s="14">
        <f t="shared" si="8"/>
        <v>0</v>
      </c>
      <c r="N17" s="31">
        <f t="shared" si="18"/>
        <v>234060</v>
      </c>
      <c r="O17" s="14">
        <f t="shared" si="9"/>
        <v>0</v>
      </c>
      <c r="P17" s="31">
        <f t="shared" si="19"/>
        <v>192522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0"/>
        <v>4203</v>
      </c>
      <c r="U17" s="14">
        <f t="shared" si="11"/>
        <v>0</v>
      </c>
    </row>
    <row r="18" spans="1:23" ht="13.5" thickBot="1" x14ac:dyDescent="0.25">
      <c r="A18" s="9">
        <v>45001</v>
      </c>
      <c r="B18" s="31">
        <f t="shared" si="13"/>
        <v>48334</v>
      </c>
      <c r="C18" s="14">
        <f t="shared" si="3"/>
        <v>0</v>
      </c>
      <c r="D18" s="31">
        <f t="shared" si="14"/>
        <v>41465</v>
      </c>
      <c r="E18" s="14">
        <f t="shared" si="4"/>
        <v>0</v>
      </c>
      <c r="F18" s="31">
        <f t="shared" si="15"/>
        <v>22665</v>
      </c>
      <c r="G18" s="14">
        <f t="shared" si="5"/>
        <v>0</v>
      </c>
      <c r="H18" s="31">
        <f t="shared" si="16"/>
        <v>262139</v>
      </c>
      <c r="I18" s="14">
        <f t="shared" si="6"/>
        <v>0</v>
      </c>
      <c r="J18" s="31">
        <f t="shared" ref="J18" si="21">J17</f>
        <v>349512</v>
      </c>
      <c r="K18" s="14">
        <f t="shared" si="7"/>
        <v>0</v>
      </c>
      <c r="L18" s="31">
        <f t="shared" si="17"/>
        <v>27016</v>
      </c>
      <c r="M18" s="14">
        <f t="shared" si="8"/>
        <v>0</v>
      </c>
      <c r="N18" s="31">
        <f t="shared" si="18"/>
        <v>234060</v>
      </c>
      <c r="O18" s="14">
        <f t="shared" si="9"/>
        <v>0</v>
      </c>
      <c r="P18" s="31">
        <f t="shared" si="19"/>
        <v>192522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20"/>
        <v>4203</v>
      </c>
      <c r="U18" s="14">
        <f t="shared" si="11"/>
        <v>0</v>
      </c>
    </row>
    <row r="19" spans="1:23" ht="13.5" thickBot="1" x14ac:dyDescent="0.25">
      <c r="A19" s="9">
        <v>45002</v>
      </c>
      <c r="B19" s="31">
        <f t="shared" si="13"/>
        <v>48334</v>
      </c>
      <c r="C19" s="14">
        <f t="shared" si="3"/>
        <v>0</v>
      </c>
      <c r="D19" s="31">
        <f t="shared" si="14"/>
        <v>41465</v>
      </c>
      <c r="E19" s="14">
        <f t="shared" si="4"/>
        <v>0</v>
      </c>
      <c r="F19" s="31">
        <f t="shared" si="15"/>
        <v>22665</v>
      </c>
      <c r="G19" s="14">
        <f t="shared" si="5"/>
        <v>0</v>
      </c>
      <c r="H19" s="31">
        <f t="shared" si="16"/>
        <v>262139</v>
      </c>
      <c r="I19" s="14">
        <f t="shared" si="6"/>
        <v>0</v>
      </c>
      <c r="J19" s="31">
        <v>349512</v>
      </c>
      <c r="K19" s="14">
        <f t="shared" si="7"/>
        <v>0</v>
      </c>
      <c r="L19" s="31">
        <f t="shared" si="17"/>
        <v>27016</v>
      </c>
      <c r="M19" s="14">
        <f t="shared" si="8"/>
        <v>0</v>
      </c>
      <c r="N19" s="31">
        <f t="shared" si="18"/>
        <v>234060</v>
      </c>
      <c r="O19" s="14">
        <f t="shared" si="9"/>
        <v>0</v>
      </c>
      <c r="P19" s="31">
        <f t="shared" si="19"/>
        <v>192522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20"/>
        <v>4203</v>
      </c>
      <c r="U19" s="14">
        <f t="shared" si="11"/>
        <v>0</v>
      </c>
      <c r="W19" t="s">
        <v>12</v>
      </c>
    </row>
    <row r="20" spans="1:23" ht="13.5" thickBot="1" x14ac:dyDescent="0.25">
      <c r="A20" s="9">
        <v>45003</v>
      </c>
      <c r="B20" s="31">
        <f t="shared" si="13"/>
        <v>48334</v>
      </c>
      <c r="C20" s="14">
        <f t="shared" si="3"/>
        <v>0</v>
      </c>
      <c r="D20" s="31">
        <f t="shared" si="14"/>
        <v>41465</v>
      </c>
      <c r="E20" s="14">
        <f t="shared" si="4"/>
        <v>0</v>
      </c>
      <c r="F20" s="31">
        <f t="shared" si="15"/>
        <v>22665</v>
      </c>
      <c r="G20" s="14">
        <f t="shared" si="5"/>
        <v>0</v>
      </c>
      <c r="H20" s="31">
        <f t="shared" si="16"/>
        <v>262139</v>
      </c>
      <c r="I20" s="14">
        <f t="shared" si="6"/>
        <v>0</v>
      </c>
      <c r="J20" s="31">
        <v>349512</v>
      </c>
      <c r="K20" s="14">
        <f t="shared" si="7"/>
        <v>0</v>
      </c>
      <c r="L20" s="31">
        <f t="shared" si="17"/>
        <v>27016</v>
      </c>
      <c r="M20" s="14">
        <f t="shared" si="8"/>
        <v>0</v>
      </c>
      <c r="N20" s="31">
        <f t="shared" si="18"/>
        <v>234060</v>
      </c>
      <c r="O20" s="14">
        <f t="shared" si="9"/>
        <v>0</v>
      </c>
      <c r="P20" s="31">
        <f t="shared" si="19"/>
        <v>192522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20"/>
        <v>4203</v>
      </c>
      <c r="U20" s="14">
        <f t="shared" si="11"/>
        <v>0</v>
      </c>
    </row>
    <row r="21" spans="1:23" ht="13.5" thickBot="1" x14ac:dyDescent="0.25">
      <c r="A21" s="9">
        <v>45004</v>
      </c>
      <c r="B21" s="31">
        <f t="shared" si="13"/>
        <v>48334</v>
      </c>
      <c r="C21" s="14">
        <f t="shared" si="3"/>
        <v>0</v>
      </c>
      <c r="D21" s="31">
        <f t="shared" si="14"/>
        <v>41465</v>
      </c>
      <c r="E21" s="14">
        <f t="shared" si="4"/>
        <v>0</v>
      </c>
      <c r="F21" s="31">
        <f t="shared" si="15"/>
        <v>22665</v>
      </c>
      <c r="G21" s="14">
        <f t="shared" si="5"/>
        <v>0</v>
      </c>
      <c r="H21" s="31">
        <f t="shared" si="16"/>
        <v>262139</v>
      </c>
      <c r="I21" s="14">
        <f t="shared" si="6"/>
        <v>0</v>
      </c>
      <c r="J21" s="31">
        <v>349512</v>
      </c>
      <c r="K21" s="14">
        <f t="shared" si="7"/>
        <v>0</v>
      </c>
      <c r="L21" s="31">
        <f t="shared" si="17"/>
        <v>27016</v>
      </c>
      <c r="M21" s="14">
        <f t="shared" si="8"/>
        <v>0</v>
      </c>
      <c r="N21" s="31">
        <f t="shared" si="18"/>
        <v>234060</v>
      </c>
      <c r="O21" s="14">
        <f t="shared" si="9"/>
        <v>0</v>
      </c>
      <c r="P21" s="31">
        <f t="shared" si="19"/>
        <v>192522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20"/>
        <v>4203</v>
      </c>
      <c r="U21" s="14">
        <f t="shared" si="11"/>
        <v>0</v>
      </c>
    </row>
    <row r="22" spans="1:23" ht="13.5" thickBot="1" x14ac:dyDescent="0.25">
      <c r="A22" s="9">
        <v>45005</v>
      </c>
      <c r="B22" s="31">
        <f t="shared" si="13"/>
        <v>48334</v>
      </c>
      <c r="C22" s="14">
        <f t="shared" si="3"/>
        <v>0</v>
      </c>
      <c r="D22" s="31">
        <f t="shared" si="14"/>
        <v>41465</v>
      </c>
      <c r="E22" s="14">
        <f t="shared" si="4"/>
        <v>0</v>
      </c>
      <c r="F22" s="31">
        <f t="shared" si="15"/>
        <v>22665</v>
      </c>
      <c r="G22" s="14">
        <f t="shared" si="5"/>
        <v>0</v>
      </c>
      <c r="H22" s="31">
        <f t="shared" si="16"/>
        <v>262139</v>
      </c>
      <c r="I22" s="14">
        <f t="shared" si="6"/>
        <v>0</v>
      </c>
      <c r="J22" s="31">
        <v>349512</v>
      </c>
      <c r="K22" s="14">
        <f t="shared" si="7"/>
        <v>0</v>
      </c>
      <c r="L22" s="31">
        <f t="shared" si="17"/>
        <v>27016</v>
      </c>
      <c r="M22" s="14">
        <f t="shared" si="8"/>
        <v>0</v>
      </c>
      <c r="N22" s="31">
        <f t="shared" si="18"/>
        <v>234060</v>
      </c>
      <c r="O22" s="14">
        <f t="shared" si="9"/>
        <v>0</v>
      </c>
      <c r="P22" s="31">
        <f t="shared" si="19"/>
        <v>192522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0"/>
        <v>4203</v>
      </c>
      <c r="U22" s="14">
        <f t="shared" si="11"/>
        <v>0</v>
      </c>
    </row>
    <row r="23" spans="1:23" ht="13.5" thickBot="1" x14ac:dyDescent="0.25">
      <c r="A23" s="9">
        <v>45006</v>
      </c>
      <c r="B23" s="31">
        <f t="shared" si="13"/>
        <v>48334</v>
      </c>
      <c r="C23" s="14">
        <f t="shared" si="3"/>
        <v>0</v>
      </c>
      <c r="D23" s="31">
        <f t="shared" si="14"/>
        <v>41465</v>
      </c>
      <c r="E23" s="14">
        <f t="shared" si="4"/>
        <v>0</v>
      </c>
      <c r="F23" s="31">
        <f t="shared" si="15"/>
        <v>22665</v>
      </c>
      <c r="G23" s="14">
        <f t="shared" si="5"/>
        <v>0</v>
      </c>
      <c r="H23" s="31">
        <f t="shared" si="16"/>
        <v>262139</v>
      </c>
      <c r="I23" s="14">
        <f t="shared" si="6"/>
        <v>0</v>
      </c>
      <c r="J23" s="31">
        <v>349512</v>
      </c>
      <c r="K23" s="14">
        <f t="shared" si="7"/>
        <v>0</v>
      </c>
      <c r="L23" s="31">
        <f t="shared" si="17"/>
        <v>27016</v>
      </c>
      <c r="M23" s="14">
        <f t="shared" si="8"/>
        <v>0</v>
      </c>
      <c r="N23" s="31">
        <f t="shared" si="18"/>
        <v>234060</v>
      </c>
      <c r="O23" s="14">
        <f t="shared" si="9"/>
        <v>0</v>
      </c>
      <c r="P23" s="31">
        <f t="shared" si="19"/>
        <v>192522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0"/>
        <v>4203</v>
      </c>
      <c r="U23" s="14">
        <f t="shared" si="11"/>
        <v>0</v>
      </c>
    </row>
    <row r="24" spans="1:23" s="118" customFormat="1" ht="13.5" thickBot="1" x14ac:dyDescent="0.25">
      <c r="A24" s="9">
        <v>45007</v>
      </c>
      <c r="B24" s="31">
        <f t="shared" si="13"/>
        <v>48334</v>
      </c>
      <c r="C24" s="14">
        <f t="shared" si="3"/>
        <v>0</v>
      </c>
      <c r="D24" s="31">
        <f t="shared" si="14"/>
        <v>41465</v>
      </c>
      <c r="E24" s="14">
        <f t="shared" si="4"/>
        <v>0</v>
      </c>
      <c r="F24" s="31">
        <f t="shared" si="15"/>
        <v>22665</v>
      </c>
      <c r="G24" s="14">
        <f t="shared" si="5"/>
        <v>0</v>
      </c>
      <c r="H24" s="31">
        <f t="shared" si="16"/>
        <v>262139</v>
      </c>
      <c r="I24" s="14">
        <f t="shared" si="6"/>
        <v>0</v>
      </c>
      <c r="J24" s="31">
        <v>349512</v>
      </c>
      <c r="K24" s="14">
        <f t="shared" si="7"/>
        <v>0</v>
      </c>
      <c r="L24" s="31">
        <f t="shared" si="17"/>
        <v>27016</v>
      </c>
      <c r="M24" s="14">
        <f t="shared" si="8"/>
        <v>0</v>
      </c>
      <c r="N24" s="31">
        <f t="shared" si="18"/>
        <v>234060</v>
      </c>
      <c r="O24" s="14">
        <f t="shared" si="9"/>
        <v>0</v>
      </c>
      <c r="P24" s="31">
        <f t="shared" si="19"/>
        <v>192522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0"/>
        <v>4203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3"/>
        <v>48334</v>
      </c>
      <c r="C25" s="14">
        <f t="shared" si="3"/>
        <v>0</v>
      </c>
      <c r="D25" s="31">
        <f t="shared" si="14"/>
        <v>41465</v>
      </c>
      <c r="E25" s="14">
        <f t="shared" si="4"/>
        <v>0</v>
      </c>
      <c r="F25" s="31">
        <f t="shared" si="15"/>
        <v>22665</v>
      </c>
      <c r="G25" s="14">
        <f t="shared" si="5"/>
        <v>0</v>
      </c>
      <c r="H25" s="31">
        <f t="shared" si="16"/>
        <v>262139</v>
      </c>
      <c r="I25" s="14">
        <f t="shared" si="6"/>
        <v>0</v>
      </c>
      <c r="J25" s="31">
        <v>349512</v>
      </c>
      <c r="K25" s="14">
        <f t="shared" si="7"/>
        <v>0</v>
      </c>
      <c r="L25" s="31">
        <f t="shared" si="17"/>
        <v>27016</v>
      </c>
      <c r="M25" s="14">
        <f t="shared" si="8"/>
        <v>0</v>
      </c>
      <c r="N25" s="31">
        <f t="shared" si="18"/>
        <v>234060</v>
      </c>
      <c r="O25" s="14">
        <f t="shared" si="9"/>
        <v>0</v>
      </c>
      <c r="P25" s="31">
        <f t="shared" si="19"/>
        <v>192522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0"/>
        <v>4203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3"/>
        <v>48334</v>
      </c>
      <c r="C26" s="14">
        <f t="shared" si="3"/>
        <v>0</v>
      </c>
      <c r="D26" s="31">
        <f t="shared" si="14"/>
        <v>41465</v>
      </c>
      <c r="E26" s="14">
        <f t="shared" si="4"/>
        <v>0</v>
      </c>
      <c r="F26" s="31">
        <f t="shared" si="15"/>
        <v>22665</v>
      </c>
      <c r="G26" s="14">
        <f t="shared" si="5"/>
        <v>0</v>
      </c>
      <c r="H26" s="31">
        <f t="shared" si="16"/>
        <v>262139</v>
      </c>
      <c r="I26" s="14">
        <f t="shared" si="6"/>
        <v>0</v>
      </c>
      <c r="J26" s="31">
        <v>349512</v>
      </c>
      <c r="K26" s="14">
        <f t="shared" si="7"/>
        <v>0</v>
      </c>
      <c r="L26" s="31">
        <f t="shared" si="17"/>
        <v>27016</v>
      </c>
      <c r="M26" s="14">
        <f t="shared" si="8"/>
        <v>0</v>
      </c>
      <c r="N26" s="31">
        <f t="shared" si="18"/>
        <v>234060</v>
      </c>
      <c r="O26" s="14">
        <f t="shared" si="9"/>
        <v>0</v>
      </c>
      <c r="P26" s="31">
        <f t="shared" si="19"/>
        <v>192522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0"/>
        <v>4203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3"/>
        <v>48334</v>
      </c>
      <c r="C27" s="14">
        <f t="shared" si="3"/>
        <v>0</v>
      </c>
      <c r="D27" s="31">
        <f t="shared" si="14"/>
        <v>41465</v>
      </c>
      <c r="E27" s="14">
        <f t="shared" si="4"/>
        <v>0</v>
      </c>
      <c r="F27" s="31">
        <f t="shared" si="15"/>
        <v>22665</v>
      </c>
      <c r="G27" s="14">
        <f t="shared" si="5"/>
        <v>0</v>
      </c>
      <c r="H27" s="31">
        <f t="shared" si="16"/>
        <v>262139</v>
      </c>
      <c r="I27" s="14">
        <f t="shared" si="6"/>
        <v>0</v>
      </c>
      <c r="J27" s="31">
        <v>349512</v>
      </c>
      <c r="K27" s="14">
        <f t="shared" si="7"/>
        <v>0</v>
      </c>
      <c r="L27" s="31">
        <f t="shared" si="17"/>
        <v>27016</v>
      </c>
      <c r="M27" s="14">
        <f t="shared" si="8"/>
        <v>0</v>
      </c>
      <c r="N27" s="31">
        <f t="shared" si="18"/>
        <v>234060</v>
      </c>
      <c r="O27" s="14">
        <f t="shared" si="9"/>
        <v>0</v>
      </c>
      <c r="P27" s="31">
        <f t="shared" si="19"/>
        <v>192522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0"/>
        <v>4203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3"/>
        <v>48334</v>
      </c>
      <c r="C28" s="14">
        <f t="shared" si="3"/>
        <v>0</v>
      </c>
      <c r="D28" s="31">
        <f t="shared" si="14"/>
        <v>41465</v>
      </c>
      <c r="E28" s="14">
        <f t="shared" si="4"/>
        <v>0</v>
      </c>
      <c r="F28" s="31">
        <f t="shared" si="15"/>
        <v>22665</v>
      </c>
      <c r="G28" s="14">
        <f t="shared" si="5"/>
        <v>0</v>
      </c>
      <c r="H28" s="31">
        <f t="shared" si="16"/>
        <v>262139</v>
      </c>
      <c r="I28" s="14">
        <f t="shared" si="6"/>
        <v>0</v>
      </c>
      <c r="J28" s="31">
        <v>349512</v>
      </c>
      <c r="K28" s="14">
        <f t="shared" si="7"/>
        <v>0</v>
      </c>
      <c r="L28" s="31">
        <f t="shared" si="17"/>
        <v>27016</v>
      </c>
      <c r="M28" s="14">
        <f t="shared" si="8"/>
        <v>0</v>
      </c>
      <c r="N28" s="31">
        <f t="shared" si="18"/>
        <v>234060</v>
      </c>
      <c r="O28" s="14">
        <f t="shared" si="9"/>
        <v>0</v>
      </c>
      <c r="P28" s="31">
        <f t="shared" si="19"/>
        <v>192522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0"/>
        <v>4203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3"/>
        <v>48334</v>
      </c>
      <c r="C29" s="14">
        <f t="shared" si="3"/>
        <v>0</v>
      </c>
      <c r="D29" s="31">
        <f t="shared" si="14"/>
        <v>41465</v>
      </c>
      <c r="E29" s="14">
        <f t="shared" si="4"/>
        <v>0</v>
      </c>
      <c r="F29" s="31">
        <f t="shared" si="15"/>
        <v>22665</v>
      </c>
      <c r="G29" s="14">
        <f t="shared" si="5"/>
        <v>0</v>
      </c>
      <c r="H29" s="31">
        <f t="shared" si="16"/>
        <v>262139</v>
      </c>
      <c r="I29" s="14">
        <f t="shared" si="6"/>
        <v>0</v>
      </c>
      <c r="J29" s="31">
        <v>349512</v>
      </c>
      <c r="K29" s="14">
        <f t="shared" si="7"/>
        <v>0</v>
      </c>
      <c r="L29" s="31">
        <f t="shared" si="17"/>
        <v>27016</v>
      </c>
      <c r="M29" s="14">
        <f t="shared" si="8"/>
        <v>0</v>
      </c>
      <c r="N29" s="31">
        <f t="shared" si="18"/>
        <v>234060</v>
      </c>
      <c r="O29" s="14">
        <f t="shared" si="9"/>
        <v>0</v>
      </c>
      <c r="P29" s="31">
        <f t="shared" si="19"/>
        <v>192522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0"/>
        <v>4203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3"/>
        <v>48334</v>
      </c>
      <c r="C30" s="14">
        <f t="shared" si="3"/>
        <v>0</v>
      </c>
      <c r="D30" s="31">
        <f t="shared" si="14"/>
        <v>41465</v>
      </c>
      <c r="E30" s="14">
        <f t="shared" si="4"/>
        <v>0</v>
      </c>
      <c r="F30" s="31">
        <f t="shared" si="15"/>
        <v>22665</v>
      </c>
      <c r="G30" s="14">
        <f t="shared" si="5"/>
        <v>0</v>
      </c>
      <c r="H30" s="31">
        <f t="shared" si="16"/>
        <v>262139</v>
      </c>
      <c r="I30" s="14">
        <f t="shared" si="6"/>
        <v>0</v>
      </c>
      <c r="J30" s="31">
        <v>349512</v>
      </c>
      <c r="K30" s="14">
        <f t="shared" si="7"/>
        <v>0</v>
      </c>
      <c r="L30" s="31">
        <f t="shared" si="17"/>
        <v>27016</v>
      </c>
      <c r="M30" s="14">
        <f t="shared" si="8"/>
        <v>0</v>
      </c>
      <c r="N30" s="31">
        <f t="shared" si="18"/>
        <v>234060</v>
      </c>
      <c r="O30" s="14">
        <f t="shared" si="9"/>
        <v>0</v>
      </c>
      <c r="P30" s="31">
        <f t="shared" si="19"/>
        <v>192522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0"/>
        <v>4203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3"/>
        <v>48334</v>
      </c>
      <c r="C31" s="14">
        <f t="shared" si="3"/>
        <v>0</v>
      </c>
      <c r="D31" s="31">
        <f t="shared" si="14"/>
        <v>41465</v>
      </c>
      <c r="E31" s="14">
        <f t="shared" si="4"/>
        <v>0</v>
      </c>
      <c r="F31" s="31">
        <f t="shared" si="15"/>
        <v>22665</v>
      </c>
      <c r="G31" s="14">
        <f t="shared" si="5"/>
        <v>0</v>
      </c>
      <c r="H31" s="31">
        <f t="shared" si="16"/>
        <v>262139</v>
      </c>
      <c r="I31" s="14">
        <f t="shared" si="6"/>
        <v>0</v>
      </c>
      <c r="J31" s="31">
        <v>349512</v>
      </c>
      <c r="K31" s="14">
        <f t="shared" si="7"/>
        <v>0</v>
      </c>
      <c r="L31" s="31">
        <f t="shared" si="17"/>
        <v>27016</v>
      </c>
      <c r="M31" s="14">
        <f t="shared" si="8"/>
        <v>0</v>
      </c>
      <c r="N31" s="31">
        <f t="shared" si="18"/>
        <v>234060</v>
      </c>
      <c r="O31" s="14">
        <f t="shared" si="9"/>
        <v>0</v>
      </c>
      <c r="P31" s="31">
        <f t="shared" si="19"/>
        <v>192522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0"/>
        <v>4203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3"/>
        <v>48334</v>
      </c>
      <c r="C32" s="14">
        <f t="shared" si="3"/>
        <v>0</v>
      </c>
      <c r="D32" s="31">
        <f t="shared" si="14"/>
        <v>41465</v>
      </c>
      <c r="E32" s="14">
        <f t="shared" si="4"/>
        <v>0</v>
      </c>
      <c r="F32" s="31">
        <f t="shared" si="15"/>
        <v>22665</v>
      </c>
      <c r="G32" s="14">
        <f t="shared" si="5"/>
        <v>0</v>
      </c>
      <c r="H32" s="31">
        <f t="shared" si="16"/>
        <v>262139</v>
      </c>
      <c r="I32" s="14">
        <f t="shared" si="6"/>
        <v>0</v>
      </c>
      <c r="J32" s="31">
        <v>349512</v>
      </c>
      <c r="K32" s="14">
        <f t="shared" si="7"/>
        <v>0</v>
      </c>
      <c r="L32" s="31">
        <f t="shared" si="17"/>
        <v>27016</v>
      </c>
      <c r="M32" s="14">
        <f t="shared" si="8"/>
        <v>0</v>
      </c>
      <c r="N32" s="31">
        <f t="shared" si="18"/>
        <v>234060</v>
      </c>
      <c r="O32" s="14">
        <f t="shared" si="9"/>
        <v>0</v>
      </c>
      <c r="P32" s="31">
        <f t="shared" si="19"/>
        <v>192522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0"/>
        <v>4203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3"/>
        <v>48334</v>
      </c>
      <c r="C33" s="14">
        <f t="shared" si="3"/>
        <v>0</v>
      </c>
      <c r="D33" s="31">
        <f t="shared" si="14"/>
        <v>41465</v>
      </c>
      <c r="E33" s="14">
        <f t="shared" si="4"/>
        <v>0</v>
      </c>
      <c r="F33" s="31">
        <f t="shared" si="15"/>
        <v>22665</v>
      </c>
      <c r="G33" s="14">
        <f t="shared" si="5"/>
        <v>0</v>
      </c>
      <c r="H33" s="31">
        <f t="shared" si="16"/>
        <v>262139</v>
      </c>
      <c r="I33" s="14">
        <f t="shared" si="6"/>
        <v>0</v>
      </c>
      <c r="J33" s="31">
        <v>349512</v>
      </c>
      <c r="K33" s="14">
        <f t="shared" si="7"/>
        <v>0</v>
      </c>
      <c r="L33" s="31">
        <f t="shared" si="17"/>
        <v>27016</v>
      </c>
      <c r="M33" s="14">
        <f t="shared" si="8"/>
        <v>0</v>
      </c>
      <c r="N33" s="31">
        <f t="shared" si="18"/>
        <v>234060</v>
      </c>
      <c r="O33" s="14">
        <f t="shared" si="9"/>
        <v>0</v>
      </c>
      <c r="P33" s="31">
        <f t="shared" si="19"/>
        <v>192522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0"/>
        <v>4203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3040</v>
      </c>
      <c r="D34" s="14"/>
      <c r="E34" s="14">
        <f>SUM(E3:E33)</f>
        <v>2240</v>
      </c>
      <c r="F34" s="14"/>
      <c r="G34" s="14">
        <f>SUM(G3:G33)</f>
        <v>280</v>
      </c>
      <c r="H34" s="14"/>
      <c r="I34" s="14">
        <f>SUM(I3:I33)</f>
        <v>77</v>
      </c>
      <c r="J34" s="14"/>
      <c r="K34" s="14">
        <f>SUM(K3:K33)</f>
        <v>0</v>
      </c>
      <c r="L34" s="14"/>
      <c r="M34" s="14">
        <f>SUM(M3:M33)</f>
        <v>900</v>
      </c>
      <c r="N34" s="14"/>
      <c r="O34" s="14">
        <f>SUM(O3:O33)</f>
        <v>570</v>
      </c>
      <c r="P34" s="14"/>
      <c r="Q34" s="14">
        <f>SUM(Q3:Q33)</f>
        <v>599</v>
      </c>
      <c r="R34" s="14"/>
      <c r="S34" s="14">
        <f>SUM(S3:S33)</f>
        <v>0</v>
      </c>
      <c r="T34" s="14"/>
      <c r="U34" s="14">
        <f>SUM(U3:U33)</f>
        <v>960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A7" sqref="A7:XFD7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8239890</v>
      </c>
      <c r="O7" s="37">
        <f t="shared" si="16"/>
        <v>12482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63939</v>
      </c>
      <c r="Y7" s="150">
        <f>Y6</f>
        <v>6529</v>
      </c>
      <c r="Z7" s="3">
        <f t="shared" si="14"/>
        <v>9133.8686399999988</v>
      </c>
      <c r="AA7" s="3">
        <f>SUM(Z1:Z7)</f>
        <v>35919.483308800001</v>
      </c>
    </row>
    <row r="8" spans="1:27" ht="16.5" thickBot="1" x14ac:dyDescent="0.3">
      <c r="A8" s="9">
        <v>44991</v>
      </c>
      <c r="B8" s="37"/>
      <c r="C8" s="130">
        <f t="shared" ref="C7:C33" si="17">C7</f>
        <v>20599</v>
      </c>
      <c r="D8" s="37">
        <f t="shared" si="4"/>
        <v>0</v>
      </c>
      <c r="E8" s="131">
        <f t="shared" ref="E7:E33" si="18">E7</f>
        <v>36028035</v>
      </c>
      <c r="F8" s="37">
        <f t="shared" si="5"/>
        <v>0</v>
      </c>
      <c r="G8" s="132">
        <f t="shared" ref="G7:G33" si="19">G7</f>
        <v>13330092</v>
      </c>
      <c r="H8" s="37">
        <f t="shared" si="6"/>
        <v>0</v>
      </c>
      <c r="I8" s="133">
        <f t="shared" si="7"/>
        <v>0</v>
      </c>
      <c r="J8" s="131">
        <f t="shared" ref="J7:J33" si="20">J7</f>
        <v>1454432</v>
      </c>
      <c r="K8" s="37">
        <f t="shared" si="15"/>
        <v>0</v>
      </c>
      <c r="L8" s="134">
        <f t="shared" ref="L7:L33" si="21">L7</f>
        <v>1791996</v>
      </c>
      <c r="M8" s="37">
        <f t="shared" si="8"/>
        <v>0</v>
      </c>
      <c r="N8" s="131">
        <f t="shared" ref="N7:N33" si="22">N7</f>
        <v>8239890</v>
      </c>
      <c r="O8" s="37">
        <f t="shared" si="16"/>
        <v>0</v>
      </c>
      <c r="P8" s="134">
        <f t="shared" ref="P7:P33" si="23">P7</f>
        <v>9359285</v>
      </c>
      <c r="Q8" s="37">
        <f t="shared" si="9"/>
        <v>0</v>
      </c>
      <c r="R8" s="131">
        <f t="shared" ref="R7:R33" si="24">R7</f>
        <v>24220348</v>
      </c>
      <c r="S8" s="37">
        <f t="shared" si="10"/>
        <v>0</v>
      </c>
      <c r="T8" s="131"/>
      <c r="U8" s="135"/>
      <c r="V8" s="131">
        <f t="shared" ref="V7:V33" si="25">V7</f>
        <v>2232083</v>
      </c>
      <c r="W8" s="37">
        <f t="shared" si="11"/>
        <v>0</v>
      </c>
      <c r="X8" s="19">
        <f t="shared" si="12"/>
        <v>0</v>
      </c>
      <c r="Y8" s="150">
        <f t="shared" si="13"/>
        <v>0</v>
      </c>
      <c r="Z8" s="3">
        <f t="shared" si="14"/>
        <v>0</v>
      </c>
      <c r="AA8" s="3">
        <f>SUM(Z1:Z8)</f>
        <v>35919.483308800001</v>
      </c>
    </row>
    <row r="9" spans="1:27" ht="16.5" thickBot="1" x14ac:dyDescent="0.3">
      <c r="A9" s="9">
        <v>44992</v>
      </c>
      <c r="B9" s="37"/>
      <c r="C9" s="130">
        <f t="shared" si="17"/>
        <v>20599</v>
      </c>
      <c r="D9" s="37">
        <f t="shared" si="4"/>
        <v>0</v>
      </c>
      <c r="E9" s="131">
        <f t="shared" si="18"/>
        <v>36028035</v>
      </c>
      <c r="F9" s="37">
        <f t="shared" si="5"/>
        <v>0</v>
      </c>
      <c r="G9" s="132">
        <f t="shared" si="19"/>
        <v>13330092</v>
      </c>
      <c r="H9" s="37">
        <f t="shared" si="6"/>
        <v>0</v>
      </c>
      <c r="I9" s="133">
        <f t="shared" si="7"/>
        <v>0</v>
      </c>
      <c r="J9" s="131">
        <f t="shared" si="20"/>
        <v>1454432</v>
      </c>
      <c r="K9" s="37">
        <f t="shared" si="15"/>
        <v>0</v>
      </c>
      <c r="L9" s="134">
        <f t="shared" si="21"/>
        <v>1791996</v>
      </c>
      <c r="M9" s="37">
        <f t="shared" si="8"/>
        <v>0</v>
      </c>
      <c r="N9" s="131">
        <f t="shared" si="22"/>
        <v>8239890</v>
      </c>
      <c r="O9" s="37">
        <f t="shared" si="16"/>
        <v>0</v>
      </c>
      <c r="P9" s="134">
        <f t="shared" si="23"/>
        <v>9359285</v>
      </c>
      <c r="Q9" s="37">
        <f t="shared" si="9"/>
        <v>0</v>
      </c>
      <c r="R9" s="131">
        <f t="shared" si="24"/>
        <v>24220348</v>
      </c>
      <c r="S9" s="37">
        <f t="shared" si="10"/>
        <v>0</v>
      </c>
      <c r="T9" s="131"/>
      <c r="U9" s="135"/>
      <c r="V9" s="131">
        <f t="shared" si="25"/>
        <v>2232083</v>
      </c>
      <c r="W9" s="37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35919.483308800001</v>
      </c>
    </row>
    <row r="10" spans="1:27" ht="16.5" thickBot="1" x14ac:dyDescent="0.3">
      <c r="A10" s="9">
        <v>44993</v>
      </c>
      <c r="B10" s="37"/>
      <c r="C10" s="130">
        <f t="shared" si="17"/>
        <v>20599</v>
      </c>
      <c r="D10" s="37">
        <f>IF((C10-C9)&lt;0,"0",(C10-C9))*160</f>
        <v>0</v>
      </c>
      <c r="E10" s="131">
        <f t="shared" si="18"/>
        <v>36028035</v>
      </c>
      <c r="F10" s="37">
        <f t="shared" si="5"/>
        <v>0</v>
      </c>
      <c r="G10" s="132">
        <f t="shared" si="19"/>
        <v>13330092</v>
      </c>
      <c r="H10" s="37">
        <f t="shared" si="6"/>
        <v>0</v>
      </c>
      <c r="I10" s="133">
        <f t="shared" si="7"/>
        <v>0</v>
      </c>
      <c r="J10" s="131">
        <f t="shared" si="20"/>
        <v>1454432</v>
      </c>
      <c r="K10" s="37">
        <f t="shared" si="15"/>
        <v>0</v>
      </c>
      <c r="L10" s="134">
        <f t="shared" si="21"/>
        <v>1791996</v>
      </c>
      <c r="M10" s="37">
        <f t="shared" si="8"/>
        <v>0</v>
      </c>
      <c r="N10" s="131">
        <f t="shared" si="22"/>
        <v>8239890</v>
      </c>
      <c r="O10" s="37">
        <f t="shared" si="16"/>
        <v>0</v>
      </c>
      <c r="P10" s="134">
        <f t="shared" si="23"/>
        <v>9359285</v>
      </c>
      <c r="Q10" s="37">
        <f t="shared" si="9"/>
        <v>0</v>
      </c>
      <c r="R10" s="131">
        <f t="shared" si="24"/>
        <v>24220348</v>
      </c>
      <c r="S10" s="37">
        <f t="shared" si="10"/>
        <v>0</v>
      </c>
      <c r="T10" s="131"/>
      <c r="U10" s="135"/>
      <c r="V10" s="131">
        <f t="shared" si="25"/>
        <v>2232083</v>
      </c>
      <c r="W10" s="37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35919.483308800001</v>
      </c>
    </row>
    <row r="11" spans="1:27" ht="15.75" customHeight="1" thickBot="1" x14ac:dyDescent="0.3">
      <c r="A11" s="9">
        <v>44994</v>
      </c>
      <c r="B11" s="37"/>
      <c r="C11" s="130">
        <f t="shared" si="17"/>
        <v>20599</v>
      </c>
      <c r="D11" s="37">
        <f>IF((C11-C10)&lt;0,"0",(C11-C10))*160</f>
        <v>0</v>
      </c>
      <c r="E11" s="131">
        <f t="shared" si="18"/>
        <v>36028035</v>
      </c>
      <c r="F11" s="37">
        <f t="shared" si="5"/>
        <v>0</v>
      </c>
      <c r="G11" s="132">
        <f t="shared" si="19"/>
        <v>13330092</v>
      </c>
      <c r="H11" s="37">
        <f t="shared" si="6"/>
        <v>0</v>
      </c>
      <c r="I11" s="133">
        <f t="shared" si="7"/>
        <v>0</v>
      </c>
      <c r="J11" s="131">
        <f t="shared" si="20"/>
        <v>1454432</v>
      </c>
      <c r="K11" s="37">
        <f t="shared" si="15"/>
        <v>0</v>
      </c>
      <c r="L11" s="134">
        <f t="shared" si="21"/>
        <v>1791996</v>
      </c>
      <c r="M11" s="37">
        <f t="shared" si="8"/>
        <v>0</v>
      </c>
      <c r="N11" s="131">
        <f t="shared" si="22"/>
        <v>8239890</v>
      </c>
      <c r="O11" s="37">
        <f t="shared" si="16"/>
        <v>0</v>
      </c>
      <c r="P11" s="134">
        <f t="shared" si="23"/>
        <v>9359285</v>
      </c>
      <c r="Q11" s="37">
        <f t="shared" si="9"/>
        <v>0</v>
      </c>
      <c r="R11" s="131">
        <f t="shared" si="24"/>
        <v>24220348</v>
      </c>
      <c r="S11" s="37">
        <f t="shared" si="10"/>
        <v>0</v>
      </c>
      <c r="T11" s="131"/>
      <c r="U11" s="135"/>
      <c r="V11" s="131">
        <f t="shared" si="25"/>
        <v>2232083</v>
      </c>
      <c r="W11" s="37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35919.483308800001</v>
      </c>
    </row>
    <row r="12" spans="1:27" ht="16.5" thickBot="1" x14ac:dyDescent="0.3">
      <c r="A12" s="9">
        <v>44995</v>
      </c>
      <c r="B12" s="37"/>
      <c r="C12" s="130">
        <f t="shared" si="17"/>
        <v>20599</v>
      </c>
      <c r="D12" s="37">
        <f>IF((C12-C11)&lt;0,"0",(C12-C11))*160</f>
        <v>0</v>
      </c>
      <c r="E12" s="131">
        <f t="shared" si="18"/>
        <v>36028035</v>
      </c>
      <c r="F12" s="37">
        <f t="shared" si="5"/>
        <v>0</v>
      </c>
      <c r="G12" s="132">
        <f t="shared" si="19"/>
        <v>13330092</v>
      </c>
      <c r="H12" s="37">
        <f t="shared" si="6"/>
        <v>0</v>
      </c>
      <c r="I12" s="133">
        <f t="shared" si="7"/>
        <v>0</v>
      </c>
      <c r="J12" s="131">
        <f t="shared" si="20"/>
        <v>1454432</v>
      </c>
      <c r="K12" s="37">
        <f t="shared" si="15"/>
        <v>0</v>
      </c>
      <c r="L12" s="134">
        <f t="shared" si="21"/>
        <v>1791996</v>
      </c>
      <c r="M12" s="37">
        <f t="shared" si="8"/>
        <v>0</v>
      </c>
      <c r="N12" s="131">
        <f t="shared" si="22"/>
        <v>8239890</v>
      </c>
      <c r="O12" s="37">
        <f t="shared" si="16"/>
        <v>0</v>
      </c>
      <c r="P12" s="134">
        <f t="shared" si="23"/>
        <v>9359285</v>
      </c>
      <c r="Q12" s="37">
        <f t="shared" si="9"/>
        <v>0</v>
      </c>
      <c r="R12" s="131">
        <f t="shared" si="24"/>
        <v>24220348</v>
      </c>
      <c r="S12" s="37">
        <f t="shared" si="10"/>
        <v>0</v>
      </c>
      <c r="T12" s="131"/>
      <c r="U12" s="135"/>
      <c r="V12" s="131">
        <f t="shared" si="25"/>
        <v>2232083</v>
      </c>
      <c r="W12" s="37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35919.483308800001</v>
      </c>
    </row>
    <row r="13" spans="1:27" ht="16.5" thickBot="1" x14ac:dyDescent="0.3">
      <c r="A13" s="9">
        <v>44996</v>
      </c>
      <c r="B13" s="37"/>
      <c r="C13" s="130">
        <f t="shared" si="17"/>
        <v>20599</v>
      </c>
      <c r="D13" s="37">
        <f t="shared" ref="D13" si="26">IF((C13-C12)&lt;0,"0",(C13-C12))*160</f>
        <v>0</v>
      </c>
      <c r="E13" s="131">
        <f t="shared" si="18"/>
        <v>36028035</v>
      </c>
      <c r="F13" s="37">
        <f t="shared" ref="F13" si="27">IF((E13-E12)&lt;0,"0",(E13-E12))</f>
        <v>0</v>
      </c>
      <c r="G13" s="132">
        <f t="shared" si="19"/>
        <v>13330092</v>
      </c>
      <c r="H13" s="37">
        <f t="shared" si="6"/>
        <v>0</v>
      </c>
      <c r="I13" s="133">
        <f t="shared" ref="I13" si="28">F13+H13</f>
        <v>0</v>
      </c>
      <c r="J13" s="131">
        <f t="shared" si="20"/>
        <v>1454432</v>
      </c>
      <c r="K13" s="37">
        <f t="shared" ref="K13" si="29">(IF((J13-J12)&lt;0,"0",(J13-J12)))*2</f>
        <v>0</v>
      </c>
      <c r="L13" s="134">
        <f t="shared" si="21"/>
        <v>1791996</v>
      </c>
      <c r="M13" s="37">
        <f t="shared" ref="M13" si="30">IF((L13-L12)&lt;0,"0",(L13-L12))</f>
        <v>0</v>
      </c>
      <c r="N13" s="131">
        <f t="shared" si="22"/>
        <v>8239890</v>
      </c>
      <c r="O13" s="37">
        <f t="shared" ref="O13" si="31">(IF((N13-N12)&lt;0,"0",(N13-N12)))*2</f>
        <v>0</v>
      </c>
      <c r="P13" s="134">
        <f t="shared" si="23"/>
        <v>9359285</v>
      </c>
      <c r="Q13" s="37">
        <f t="shared" ref="Q13" si="32">IF((P13-P12)&lt;0,"0",(P13-P12))</f>
        <v>0</v>
      </c>
      <c r="R13" s="131">
        <f t="shared" si="24"/>
        <v>24220348</v>
      </c>
      <c r="S13" s="37">
        <f t="shared" ref="S13" si="33">IF((R13-R12)&lt;0,"0",(R13-R12))</f>
        <v>0</v>
      </c>
      <c r="T13" s="131"/>
      <c r="U13" s="135"/>
      <c r="V13" s="131">
        <f t="shared" si="25"/>
        <v>2232083</v>
      </c>
      <c r="W13" s="37">
        <f t="shared" si="11"/>
        <v>0</v>
      </c>
      <c r="X13" s="19">
        <f t="shared" ref="X13" si="34">K13+M13+O13+Q13+S13+U13+W13</f>
        <v>0</v>
      </c>
      <c r="Y13" s="150">
        <f t="shared" si="13"/>
        <v>0</v>
      </c>
      <c r="Z13" s="3">
        <f t="shared" ref="Z13" si="35">(0.93352*(W13+S13)+0.5568*(Q13+O13))*0.26</f>
        <v>0</v>
      </c>
      <c r="AA13" s="3">
        <f>SUM(Z1:Z13)</f>
        <v>35919.483308800001</v>
      </c>
    </row>
    <row r="14" spans="1:27" ht="16.5" thickBot="1" x14ac:dyDescent="0.3">
      <c r="A14" s="9">
        <v>44997</v>
      </c>
      <c r="B14" s="37"/>
      <c r="C14" s="130">
        <f t="shared" si="17"/>
        <v>20599</v>
      </c>
      <c r="D14" s="37">
        <f t="shared" si="4"/>
        <v>0</v>
      </c>
      <c r="E14" s="131">
        <f t="shared" si="18"/>
        <v>36028035</v>
      </c>
      <c r="F14" s="37">
        <f t="shared" si="5"/>
        <v>0</v>
      </c>
      <c r="G14" s="132">
        <f t="shared" si="19"/>
        <v>13330092</v>
      </c>
      <c r="H14" s="37">
        <f t="shared" si="6"/>
        <v>0</v>
      </c>
      <c r="I14" s="133">
        <f t="shared" si="7"/>
        <v>0</v>
      </c>
      <c r="J14" s="131">
        <f t="shared" si="20"/>
        <v>1454432</v>
      </c>
      <c r="K14" s="37">
        <f t="shared" si="15"/>
        <v>0</v>
      </c>
      <c r="L14" s="134">
        <f t="shared" si="21"/>
        <v>1791996</v>
      </c>
      <c r="M14" s="37">
        <f t="shared" si="8"/>
        <v>0</v>
      </c>
      <c r="N14" s="131">
        <f t="shared" si="22"/>
        <v>8239890</v>
      </c>
      <c r="O14" s="37">
        <f t="shared" si="16"/>
        <v>0</v>
      </c>
      <c r="P14" s="134">
        <f t="shared" si="23"/>
        <v>9359285</v>
      </c>
      <c r="Q14" s="37">
        <f t="shared" si="9"/>
        <v>0</v>
      </c>
      <c r="R14" s="131">
        <f t="shared" si="24"/>
        <v>24220348</v>
      </c>
      <c r="S14" s="37">
        <f>IF((R14-R13)&lt;0,"0",(R14-R13))</f>
        <v>0</v>
      </c>
      <c r="T14" s="131"/>
      <c r="U14" s="135"/>
      <c r="V14" s="131">
        <f t="shared" si="25"/>
        <v>2232083</v>
      </c>
      <c r="W14" s="37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35919.483308800001</v>
      </c>
    </row>
    <row r="15" spans="1:27" ht="16.5" thickBot="1" x14ac:dyDescent="0.3">
      <c r="A15" s="9">
        <v>44998</v>
      </c>
      <c r="B15" s="37"/>
      <c r="C15" s="130">
        <f t="shared" si="17"/>
        <v>20599</v>
      </c>
      <c r="D15" s="37">
        <f t="shared" si="4"/>
        <v>0</v>
      </c>
      <c r="E15" s="131">
        <f t="shared" si="18"/>
        <v>36028035</v>
      </c>
      <c r="F15" s="37">
        <f t="shared" si="5"/>
        <v>0</v>
      </c>
      <c r="G15" s="132">
        <f t="shared" si="19"/>
        <v>13330092</v>
      </c>
      <c r="H15" s="37">
        <f t="shared" si="6"/>
        <v>0</v>
      </c>
      <c r="I15" s="133">
        <f t="shared" si="7"/>
        <v>0</v>
      </c>
      <c r="J15" s="131">
        <f t="shared" si="20"/>
        <v>1454432</v>
      </c>
      <c r="K15" s="37">
        <f t="shared" si="15"/>
        <v>0</v>
      </c>
      <c r="L15" s="134">
        <f t="shared" si="21"/>
        <v>1791996</v>
      </c>
      <c r="M15" s="37">
        <f t="shared" si="8"/>
        <v>0</v>
      </c>
      <c r="N15" s="131">
        <f t="shared" si="22"/>
        <v>8239890</v>
      </c>
      <c r="O15" s="37">
        <f t="shared" si="16"/>
        <v>0</v>
      </c>
      <c r="P15" s="134">
        <f t="shared" si="23"/>
        <v>9359285</v>
      </c>
      <c r="Q15" s="37">
        <f t="shared" si="9"/>
        <v>0</v>
      </c>
      <c r="R15" s="131">
        <f t="shared" si="24"/>
        <v>24220348</v>
      </c>
      <c r="S15" s="37">
        <f>IF((R15-R14)&lt;0,"0",(R15-R14))</f>
        <v>0</v>
      </c>
      <c r="T15" s="131"/>
      <c r="U15" s="135"/>
      <c r="V15" s="131">
        <f t="shared" si="25"/>
        <v>2232083</v>
      </c>
      <c r="W15" s="37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35919.483308800001</v>
      </c>
    </row>
    <row r="16" spans="1:27" ht="16.5" thickBot="1" x14ac:dyDescent="0.3">
      <c r="A16" s="9">
        <v>44999</v>
      </c>
      <c r="B16" s="37"/>
      <c r="C16" s="130">
        <f t="shared" si="17"/>
        <v>20599</v>
      </c>
      <c r="D16" s="37">
        <f t="shared" si="4"/>
        <v>0</v>
      </c>
      <c r="E16" s="131">
        <f t="shared" si="18"/>
        <v>36028035</v>
      </c>
      <c r="F16" s="37">
        <f t="shared" si="5"/>
        <v>0</v>
      </c>
      <c r="G16" s="132">
        <f t="shared" si="19"/>
        <v>13330092</v>
      </c>
      <c r="H16" s="37">
        <f t="shared" si="6"/>
        <v>0</v>
      </c>
      <c r="I16" s="133">
        <f t="shared" si="7"/>
        <v>0</v>
      </c>
      <c r="J16" s="131">
        <f t="shared" si="20"/>
        <v>1454432</v>
      </c>
      <c r="K16" s="37">
        <f t="shared" si="15"/>
        <v>0</v>
      </c>
      <c r="L16" s="134">
        <f t="shared" si="21"/>
        <v>1791996</v>
      </c>
      <c r="M16" s="37">
        <f t="shared" si="8"/>
        <v>0</v>
      </c>
      <c r="N16" s="131">
        <f t="shared" si="22"/>
        <v>8239890</v>
      </c>
      <c r="O16" s="37">
        <f t="shared" si="16"/>
        <v>0</v>
      </c>
      <c r="P16" s="134">
        <f t="shared" si="23"/>
        <v>9359285</v>
      </c>
      <c r="Q16" s="37">
        <f t="shared" si="9"/>
        <v>0</v>
      </c>
      <c r="R16" s="131">
        <f t="shared" si="24"/>
        <v>24220348</v>
      </c>
      <c r="S16" s="37">
        <f t="shared" si="10"/>
        <v>0</v>
      </c>
      <c r="T16" s="131"/>
      <c r="U16" s="135"/>
      <c r="V16" s="131">
        <f t="shared" si="25"/>
        <v>2232083</v>
      </c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35919.483308800001</v>
      </c>
    </row>
    <row r="17" spans="1:27" s="117" customFormat="1" ht="16.5" thickBot="1" x14ac:dyDescent="0.3">
      <c r="A17" s="9">
        <v>45000</v>
      </c>
      <c r="B17" s="37"/>
      <c r="C17" s="130">
        <f t="shared" si="17"/>
        <v>20599</v>
      </c>
      <c r="D17" s="37">
        <f t="shared" ref="D17" si="36">IF((C17-C16)&lt;0,"0",(C17-C16))*160</f>
        <v>0</v>
      </c>
      <c r="E17" s="131">
        <f t="shared" si="18"/>
        <v>36028035</v>
      </c>
      <c r="F17" s="37">
        <f t="shared" ref="F17" si="37">IF((E17-E16)&lt;0,"0",(E17-E16))</f>
        <v>0</v>
      </c>
      <c r="G17" s="132">
        <f t="shared" si="19"/>
        <v>13330092</v>
      </c>
      <c r="H17" s="37">
        <f t="shared" ref="H17" si="38">IF((G17-G16)&lt;0,"0",(G17-G16))</f>
        <v>0</v>
      </c>
      <c r="I17" s="133">
        <f t="shared" ref="I17" si="39">F17+H17</f>
        <v>0</v>
      </c>
      <c r="J17" s="131">
        <f t="shared" si="20"/>
        <v>1454432</v>
      </c>
      <c r="K17" s="37">
        <f t="shared" ref="K17" si="40">(IF((J17-J16)&lt;0,"0",(J17-J16)))*2</f>
        <v>0</v>
      </c>
      <c r="L17" s="134">
        <f t="shared" si="21"/>
        <v>1791996</v>
      </c>
      <c r="M17" s="37">
        <f t="shared" ref="M17" si="41">IF((L17-L16)&lt;0,"0",(L17-L16))</f>
        <v>0</v>
      </c>
      <c r="N17" s="131">
        <f t="shared" si="22"/>
        <v>8239890</v>
      </c>
      <c r="O17" s="37">
        <f t="shared" ref="O17" si="42">(IF((N17-N16)&lt;0,"0",(N17-N16)))*2</f>
        <v>0</v>
      </c>
      <c r="P17" s="134">
        <f t="shared" si="23"/>
        <v>9359285</v>
      </c>
      <c r="Q17" s="37">
        <f t="shared" ref="Q17" si="43">IF((P17-P16)&lt;0,"0",(P17-P16))</f>
        <v>0</v>
      </c>
      <c r="R17" s="131">
        <f t="shared" si="24"/>
        <v>24220348</v>
      </c>
      <c r="S17" s="37">
        <f t="shared" ref="S17" si="44">IF((R17-R16)&lt;0,"0",(R17-R16))</f>
        <v>0</v>
      </c>
      <c r="T17" s="131"/>
      <c r="U17" s="135"/>
      <c r="V17" s="131">
        <f t="shared" si="25"/>
        <v>2232083</v>
      </c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35919.483308800001</v>
      </c>
    </row>
    <row r="18" spans="1:27" s="117" customFormat="1" ht="16.5" thickBot="1" x14ac:dyDescent="0.3">
      <c r="A18" s="9">
        <v>45001</v>
      </c>
      <c r="B18" s="37"/>
      <c r="C18" s="130">
        <f t="shared" si="17"/>
        <v>20599</v>
      </c>
      <c r="D18" s="37">
        <f t="shared" si="4"/>
        <v>0</v>
      </c>
      <c r="E18" s="131">
        <f t="shared" si="18"/>
        <v>36028035</v>
      </c>
      <c r="F18" s="37">
        <f t="shared" si="5"/>
        <v>0</v>
      </c>
      <c r="G18" s="132">
        <f t="shared" si="19"/>
        <v>13330092</v>
      </c>
      <c r="H18" s="37">
        <f t="shared" si="6"/>
        <v>0</v>
      </c>
      <c r="I18" s="136">
        <f t="shared" si="7"/>
        <v>0</v>
      </c>
      <c r="J18" s="131">
        <f t="shared" si="20"/>
        <v>1454432</v>
      </c>
      <c r="K18" s="116">
        <f t="shared" si="15"/>
        <v>0</v>
      </c>
      <c r="L18" s="134">
        <f t="shared" si="21"/>
        <v>1791996</v>
      </c>
      <c r="M18" s="116">
        <f t="shared" si="8"/>
        <v>0</v>
      </c>
      <c r="N18" s="131">
        <f t="shared" si="22"/>
        <v>8239890</v>
      </c>
      <c r="O18" s="116">
        <f t="shared" si="16"/>
        <v>0</v>
      </c>
      <c r="P18" s="134">
        <f t="shared" si="23"/>
        <v>9359285</v>
      </c>
      <c r="Q18" s="116">
        <f t="shared" si="9"/>
        <v>0</v>
      </c>
      <c r="R18" s="131">
        <f t="shared" si="24"/>
        <v>24220348</v>
      </c>
      <c r="S18" s="116">
        <f t="shared" si="10"/>
        <v>0</v>
      </c>
      <c r="T18" s="137"/>
      <c r="U18" s="135"/>
      <c r="V18" s="131">
        <f t="shared" si="25"/>
        <v>2232083</v>
      </c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35919.483308800001</v>
      </c>
    </row>
    <row r="19" spans="1:27" s="117" customFormat="1" ht="16.5" thickBot="1" x14ac:dyDescent="0.3">
      <c r="A19" s="9">
        <v>45002</v>
      </c>
      <c r="B19" s="37"/>
      <c r="C19" s="130">
        <f t="shared" si="17"/>
        <v>20599</v>
      </c>
      <c r="D19" s="37">
        <f t="shared" si="4"/>
        <v>0</v>
      </c>
      <c r="E19" s="131">
        <f t="shared" si="18"/>
        <v>36028035</v>
      </c>
      <c r="F19" s="37">
        <f t="shared" si="5"/>
        <v>0</v>
      </c>
      <c r="G19" s="132">
        <f t="shared" si="19"/>
        <v>13330092</v>
      </c>
      <c r="H19" s="37">
        <f t="shared" si="6"/>
        <v>0</v>
      </c>
      <c r="I19" s="136">
        <f t="shared" si="7"/>
        <v>0</v>
      </c>
      <c r="J19" s="131">
        <f t="shared" si="20"/>
        <v>1454432</v>
      </c>
      <c r="K19" s="116">
        <f t="shared" si="15"/>
        <v>0</v>
      </c>
      <c r="L19" s="134">
        <f t="shared" si="21"/>
        <v>1791996</v>
      </c>
      <c r="M19" s="116">
        <f t="shared" si="8"/>
        <v>0</v>
      </c>
      <c r="N19" s="131">
        <f t="shared" si="22"/>
        <v>8239890</v>
      </c>
      <c r="O19" s="116">
        <f t="shared" si="16"/>
        <v>0</v>
      </c>
      <c r="P19" s="134">
        <f t="shared" si="23"/>
        <v>9359285</v>
      </c>
      <c r="Q19" s="116">
        <f t="shared" si="9"/>
        <v>0</v>
      </c>
      <c r="R19" s="131">
        <f t="shared" si="24"/>
        <v>24220348</v>
      </c>
      <c r="S19" s="116">
        <f t="shared" si="10"/>
        <v>0</v>
      </c>
      <c r="T19" s="137"/>
      <c r="U19" s="135"/>
      <c r="V19" s="131">
        <f t="shared" si="25"/>
        <v>2232083</v>
      </c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35919.483308800001</v>
      </c>
    </row>
    <row r="20" spans="1:27" s="117" customFormat="1" ht="16.5" thickBot="1" x14ac:dyDescent="0.3">
      <c r="A20" s="9">
        <v>45003</v>
      </c>
      <c r="B20" s="37"/>
      <c r="C20" s="130">
        <f t="shared" si="17"/>
        <v>20599</v>
      </c>
      <c r="D20" s="37">
        <f t="shared" si="4"/>
        <v>0</v>
      </c>
      <c r="E20" s="131">
        <f t="shared" si="18"/>
        <v>36028035</v>
      </c>
      <c r="F20" s="37">
        <f t="shared" si="5"/>
        <v>0</v>
      </c>
      <c r="G20" s="132">
        <f t="shared" si="19"/>
        <v>13330092</v>
      </c>
      <c r="H20" s="37">
        <f t="shared" si="6"/>
        <v>0</v>
      </c>
      <c r="I20" s="136">
        <f t="shared" si="7"/>
        <v>0</v>
      </c>
      <c r="J20" s="131">
        <f t="shared" si="20"/>
        <v>1454432</v>
      </c>
      <c r="K20" s="116">
        <f t="shared" si="15"/>
        <v>0</v>
      </c>
      <c r="L20" s="134">
        <f t="shared" si="21"/>
        <v>1791996</v>
      </c>
      <c r="M20" s="116">
        <f t="shared" si="8"/>
        <v>0</v>
      </c>
      <c r="N20" s="131">
        <f t="shared" si="22"/>
        <v>8239890</v>
      </c>
      <c r="O20" s="116">
        <f t="shared" si="16"/>
        <v>0</v>
      </c>
      <c r="P20" s="134">
        <f t="shared" si="23"/>
        <v>9359285</v>
      </c>
      <c r="Q20" s="116">
        <f t="shared" si="9"/>
        <v>0</v>
      </c>
      <c r="R20" s="131">
        <f t="shared" si="24"/>
        <v>24220348</v>
      </c>
      <c r="S20" s="116">
        <f t="shared" si="10"/>
        <v>0</v>
      </c>
      <c r="T20" s="137"/>
      <c r="U20" s="135"/>
      <c r="V20" s="131">
        <f t="shared" si="25"/>
        <v>2232083</v>
      </c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35919.483308800001</v>
      </c>
    </row>
    <row r="21" spans="1:27" s="117" customFormat="1" ht="16.5" thickBot="1" x14ac:dyDescent="0.3">
      <c r="A21" s="9">
        <v>45004</v>
      </c>
      <c r="B21" s="37"/>
      <c r="C21" s="130">
        <f t="shared" si="17"/>
        <v>20599</v>
      </c>
      <c r="D21" s="37">
        <f t="shared" si="4"/>
        <v>0</v>
      </c>
      <c r="E21" s="131">
        <f t="shared" si="18"/>
        <v>36028035</v>
      </c>
      <c r="F21" s="37">
        <f t="shared" si="5"/>
        <v>0</v>
      </c>
      <c r="G21" s="132">
        <f t="shared" si="19"/>
        <v>13330092</v>
      </c>
      <c r="H21" s="37">
        <f t="shared" si="6"/>
        <v>0</v>
      </c>
      <c r="I21" s="136">
        <f t="shared" si="7"/>
        <v>0</v>
      </c>
      <c r="J21" s="131">
        <f t="shared" si="20"/>
        <v>1454432</v>
      </c>
      <c r="K21" s="116">
        <f t="shared" si="15"/>
        <v>0</v>
      </c>
      <c r="L21" s="134">
        <f t="shared" si="21"/>
        <v>1791996</v>
      </c>
      <c r="M21" s="116">
        <f t="shared" si="8"/>
        <v>0</v>
      </c>
      <c r="N21" s="131">
        <f t="shared" si="22"/>
        <v>8239890</v>
      </c>
      <c r="O21" s="116">
        <f t="shared" si="16"/>
        <v>0</v>
      </c>
      <c r="P21" s="134">
        <f t="shared" si="23"/>
        <v>9359285</v>
      </c>
      <c r="Q21" s="116">
        <f t="shared" si="9"/>
        <v>0</v>
      </c>
      <c r="R21" s="131">
        <f t="shared" si="24"/>
        <v>24220348</v>
      </c>
      <c r="S21" s="116">
        <f t="shared" si="10"/>
        <v>0</v>
      </c>
      <c r="T21" s="137"/>
      <c r="U21" s="135"/>
      <c r="V21" s="131">
        <f t="shared" si="25"/>
        <v>2232083</v>
      </c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35919.483308800001</v>
      </c>
    </row>
    <row r="22" spans="1:27" ht="16.5" thickBot="1" x14ac:dyDescent="0.3">
      <c r="A22" s="9">
        <v>45005</v>
      </c>
      <c r="B22" s="37"/>
      <c r="C22" s="130">
        <f t="shared" si="17"/>
        <v>20599</v>
      </c>
      <c r="D22" s="37">
        <f t="shared" si="4"/>
        <v>0</v>
      </c>
      <c r="E22" s="131">
        <f t="shared" si="18"/>
        <v>36028035</v>
      </c>
      <c r="F22" s="37">
        <f t="shared" si="5"/>
        <v>0</v>
      </c>
      <c r="G22" s="132">
        <f t="shared" si="19"/>
        <v>13330092</v>
      </c>
      <c r="H22" s="37">
        <f t="shared" si="6"/>
        <v>0</v>
      </c>
      <c r="I22" s="133">
        <f t="shared" si="7"/>
        <v>0</v>
      </c>
      <c r="J22" s="131">
        <f t="shared" si="20"/>
        <v>1454432</v>
      </c>
      <c r="K22" s="116">
        <f t="shared" si="15"/>
        <v>0</v>
      </c>
      <c r="L22" s="134">
        <f t="shared" si="21"/>
        <v>1791996</v>
      </c>
      <c r="M22" s="37">
        <f t="shared" si="8"/>
        <v>0</v>
      </c>
      <c r="N22" s="131">
        <f t="shared" si="22"/>
        <v>8239890</v>
      </c>
      <c r="O22" s="37">
        <f t="shared" si="16"/>
        <v>0</v>
      </c>
      <c r="P22" s="134">
        <f t="shared" si="23"/>
        <v>9359285</v>
      </c>
      <c r="Q22" s="37">
        <f t="shared" si="9"/>
        <v>0</v>
      </c>
      <c r="R22" s="131">
        <f t="shared" si="24"/>
        <v>24220348</v>
      </c>
      <c r="S22" s="37">
        <f t="shared" si="10"/>
        <v>0</v>
      </c>
      <c r="T22" s="131"/>
      <c r="U22" s="135"/>
      <c r="V22" s="131">
        <f t="shared" si="25"/>
        <v>2232083</v>
      </c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35919.483308800001</v>
      </c>
    </row>
    <row r="23" spans="1:27" ht="16.5" thickBot="1" x14ac:dyDescent="0.3">
      <c r="A23" s="9">
        <v>45006</v>
      </c>
      <c r="B23" s="37"/>
      <c r="C23" s="130">
        <f t="shared" si="17"/>
        <v>20599</v>
      </c>
      <c r="D23" s="37">
        <f t="shared" si="4"/>
        <v>0</v>
      </c>
      <c r="E23" s="131">
        <f t="shared" si="18"/>
        <v>36028035</v>
      </c>
      <c r="F23" s="37">
        <f t="shared" si="5"/>
        <v>0</v>
      </c>
      <c r="G23" s="132">
        <f t="shared" si="19"/>
        <v>13330092</v>
      </c>
      <c r="H23" s="37">
        <f t="shared" si="6"/>
        <v>0</v>
      </c>
      <c r="I23" s="133">
        <f t="shared" si="7"/>
        <v>0</v>
      </c>
      <c r="J23" s="131">
        <f t="shared" si="20"/>
        <v>1454432</v>
      </c>
      <c r="K23" s="116">
        <f t="shared" si="15"/>
        <v>0</v>
      </c>
      <c r="L23" s="134">
        <f t="shared" si="21"/>
        <v>1791996</v>
      </c>
      <c r="M23" s="37">
        <f t="shared" si="8"/>
        <v>0</v>
      </c>
      <c r="N23" s="131">
        <f t="shared" si="22"/>
        <v>8239890</v>
      </c>
      <c r="O23" s="37">
        <f t="shared" si="16"/>
        <v>0</v>
      </c>
      <c r="P23" s="134">
        <f t="shared" si="23"/>
        <v>9359285</v>
      </c>
      <c r="Q23" s="37">
        <f t="shared" si="9"/>
        <v>0</v>
      </c>
      <c r="R23" s="131">
        <f t="shared" si="24"/>
        <v>24220348</v>
      </c>
      <c r="S23" s="37">
        <f t="shared" si="10"/>
        <v>0</v>
      </c>
      <c r="T23" s="131"/>
      <c r="U23" s="135"/>
      <c r="V23" s="131">
        <f t="shared" si="25"/>
        <v>2232083</v>
      </c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35919.483308800001</v>
      </c>
    </row>
    <row r="24" spans="1:27" ht="16.5" thickBot="1" x14ac:dyDescent="0.3">
      <c r="A24" s="9">
        <v>45007</v>
      </c>
      <c r="B24" s="37"/>
      <c r="C24" s="130">
        <f t="shared" si="17"/>
        <v>20599</v>
      </c>
      <c r="D24" s="37">
        <f t="shared" si="4"/>
        <v>0</v>
      </c>
      <c r="E24" s="131">
        <f t="shared" si="18"/>
        <v>36028035</v>
      </c>
      <c r="F24" s="37">
        <f t="shared" si="5"/>
        <v>0</v>
      </c>
      <c r="G24" s="132">
        <f t="shared" si="19"/>
        <v>13330092</v>
      </c>
      <c r="H24" s="37">
        <f t="shared" si="6"/>
        <v>0</v>
      </c>
      <c r="I24" s="133">
        <f t="shared" si="7"/>
        <v>0</v>
      </c>
      <c r="J24" s="131">
        <f t="shared" si="20"/>
        <v>1454432</v>
      </c>
      <c r="K24" s="116">
        <f t="shared" si="15"/>
        <v>0</v>
      </c>
      <c r="L24" s="134">
        <f t="shared" si="21"/>
        <v>1791996</v>
      </c>
      <c r="M24" s="37">
        <f t="shared" si="8"/>
        <v>0</v>
      </c>
      <c r="N24" s="131">
        <f t="shared" si="22"/>
        <v>8239890</v>
      </c>
      <c r="O24" s="37">
        <f t="shared" si="16"/>
        <v>0</v>
      </c>
      <c r="P24" s="134">
        <f t="shared" si="23"/>
        <v>9359285</v>
      </c>
      <c r="Q24" s="37">
        <f t="shared" si="9"/>
        <v>0</v>
      </c>
      <c r="R24" s="131">
        <f t="shared" si="24"/>
        <v>24220348</v>
      </c>
      <c r="S24" s="37">
        <f t="shared" si="10"/>
        <v>0</v>
      </c>
      <c r="T24" s="131"/>
      <c r="U24" s="135"/>
      <c r="V24" s="131">
        <f t="shared" si="25"/>
        <v>2232083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35919.483308800001</v>
      </c>
    </row>
    <row r="25" spans="1:27" ht="16.5" thickBot="1" x14ac:dyDescent="0.3">
      <c r="A25" s="9">
        <v>45008</v>
      </c>
      <c r="B25" s="37"/>
      <c r="C25" s="130">
        <f t="shared" si="17"/>
        <v>20599</v>
      </c>
      <c r="D25" s="37">
        <f t="shared" si="4"/>
        <v>0</v>
      </c>
      <c r="E25" s="131">
        <f t="shared" si="18"/>
        <v>36028035</v>
      </c>
      <c r="F25" s="37">
        <f t="shared" si="5"/>
        <v>0</v>
      </c>
      <c r="G25" s="132">
        <f t="shared" si="19"/>
        <v>13330092</v>
      </c>
      <c r="H25" s="37">
        <f t="shared" si="6"/>
        <v>0</v>
      </c>
      <c r="I25" s="133">
        <f t="shared" si="7"/>
        <v>0</v>
      </c>
      <c r="J25" s="131">
        <f t="shared" si="20"/>
        <v>1454432</v>
      </c>
      <c r="K25" s="116">
        <f t="shared" si="15"/>
        <v>0</v>
      </c>
      <c r="L25" s="134">
        <f t="shared" si="21"/>
        <v>1791996</v>
      </c>
      <c r="M25" s="37">
        <f t="shared" si="8"/>
        <v>0</v>
      </c>
      <c r="N25" s="131">
        <f t="shared" si="22"/>
        <v>8239890</v>
      </c>
      <c r="O25" s="37">
        <f t="shared" si="16"/>
        <v>0</v>
      </c>
      <c r="P25" s="134">
        <f t="shared" si="23"/>
        <v>9359285</v>
      </c>
      <c r="Q25" s="37">
        <f t="shared" si="9"/>
        <v>0</v>
      </c>
      <c r="R25" s="131">
        <f t="shared" si="24"/>
        <v>24220348</v>
      </c>
      <c r="S25" s="37">
        <f t="shared" si="10"/>
        <v>0</v>
      </c>
      <c r="T25" s="131"/>
      <c r="U25" s="135"/>
      <c r="V25" s="131">
        <f t="shared" si="25"/>
        <v>2232083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35919.483308800001</v>
      </c>
    </row>
    <row r="26" spans="1:27" ht="16.5" thickBot="1" x14ac:dyDescent="0.3">
      <c r="A26" s="9">
        <v>45009</v>
      </c>
      <c r="B26" s="37"/>
      <c r="C26" s="130">
        <f t="shared" si="17"/>
        <v>20599</v>
      </c>
      <c r="D26" s="37">
        <f t="shared" si="4"/>
        <v>0</v>
      </c>
      <c r="E26" s="131">
        <f t="shared" si="18"/>
        <v>36028035</v>
      </c>
      <c r="F26" s="37">
        <f t="shared" si="5"/>
        <v>0</v>
      </c>
      <c r="G26" s="132">
        <f t="shared" si="19"/>
        <v>13330092</v>
      </c>
      <c r="H26" s="37">
        <f t="shared" si="6"/>
        <v>0</v>
      </c>
      <c r="I26" s="133">
        <f t="shared" si="7"/>
        <v>0</v>
      </c>
      <c r="J26" s="131">
        <f t="shared" si="20"/>
        <v>1454432</v>
      </c>
      <c r="K26" s="116">
        <f t="shared" si="15"/>
        <v>0</v>
      </c>
      <c r="L26" s="134">
        <f t="shared" si="21"/>
        <v>1791996</v>
      </c>
      <c r="M26" s="37">
        <f t="shared" si="8"/>
        <v>0</v>
      </c>
      <c r="N26" s="131">
        <f t="shared" si="22"/>
        <v>8239890</v>
      </c>
      <c r="O26" s="37">
        <f t="shared" si="16"/>
        <v>0</v>
      </c>
      <c r="P26" s="134">
        <f t="shared" si="23"/>
        <v>9359285</v>
      </c>
      <c r="Q26" s="37">
        <f t="shared" si="9"/>
        <v>0</v>
      </c>
      <c r="R26" s="131">
        <f t="shared" si="24"/>
        <v>24220348</v>
      </c>
      <c r="S26" s="37">
        <f t="shared" si="10"/>
        <v>0</v>
      </c>
      <c r="T26" s="131"/>
      <c r="U26" s="135"/>
      <c r="V26" s="131">
        <f t="shared" si="25"/>
        <v>2232083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35919.483308800001</v>
      </c>
    </row>
    <row r="27" spans="1:27" ht="16.5" thickBot="1" x14ac:dyDescent="0.3">
      <c r="A27" s="9">
        <v>45010</v>
      </c>
      <c r="B27" s="37"/>
      <c r="C27" s="130">
        <f t="shared" si="17"/>
        <v>20599</v>
      </c>
      <c r="D27" s="37">
        <f t="shared" si="4"/>
        <v>0</v>
      </c>
      <c r="E27" s="131">
        <f t="shared" si="18"/>
        <v>36028035</v>
      </c>
      <c r="F27" s="37">
        <f t="shared" si="5"/>
        <v>0</v>
      </c>
      <c r="G27" s="132">
        <f t="shared" si="19"/>
        <v>13330092</v>
      </c>
      <c r="H27" s="37">
        <f t="shared" si="6"/>
        <v>0</v>
      </c>
      <c r="I27" s="133">
        <f t="shared" si="7"/>
        <v>0</v>
      </c>
      <c r="J27" s="131">
        <f t="shared" si="20"/>
        <v>1454432</v>
      </c>
      <c r="K27" s="116">
        <f t="shared" si="15"/>
        <v>0</v>
      </c>
      <c r="L27" s="134">
        <f t="shared" si="21"/>
        <v>1791996</v>
      </c>
      <c r="M27" s="37">
        <f t="shared" si="8"/>
        <v>0</v>
      </c>
      <c r="N27" s="131">
        <f t="shared" si="22"/>
        <v>8239890</v>
      </c>
      <c r="O27" s="37">
        <f t="shared" si="16"/>
        <v>0</v>
      </c>
      <c r="P27" s="134">
        <f t="shared" si="23"/>
        <v>9359285</v>
      </c>
      <c r="Q27" s="37">
        <f t="shared" si="9"/>
        <v>0</v>
      </c>
      <c r="R27" s="131">
        <f t="shared" si="24"/>
        <v>24220348</v>
      </c>
      <c r="S27" s="37">
        <f t="shared" si="10"/>
        <v>0</v>
      </c>
      <c r="T27" s="131"/>
      <c r="U27" s="135"/>
      <c r="V27" s="131">
        <f t="shared" si="25"/>
        <v>2232083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35919.483308800001</v>
      </c>
    </row>
    <row r="28" spans="1:27" ht="16.5" thickBot="1" x14ac:dyDescent="0.3">
      <c r="A28" s="9">
        <v>45011</v>
      </c>
      <c r="B28" s="37"/>
      <c r="C28" s="130">
        <f t="shared" si="17"/>
        <v>20599</v>
      </c>
      <c r="D28" s="37">
        <f t="shared" si="4"/>
        <v>0</v>
      </c>
      <c r="E28" s="131">
        <f t="shared" si="18"/>
        <v>36028035</v>
      </c>
      <c r="F28" s="37">
        <f t="shared" si="5"/>
        <v>0</v>
      </c>
      <c r="G28" s="132">
        <f t="shared" si="19"/>
        <v>13330092</v>
      </c>
      <c r="H28" s="37">
        <f t="shared" si="6"/>
        <v>0</v>
      </c>
      <c r="I28" s="133">
        <f t="shared" si="7"/>
        <v>0</v>
      </c>
      <c r="J28" s="131">
        <f t="shared" si="20"/>
        <v>1454432</v>
      </c>
      <c r="K28" s="116">
        <f t="shared" si="15"/>
        <v>0</v>
      </c>
      <c r="L28" s="134">
        <f t="shared" si="21"/>
        <v>1791996</v>
      </c>
      <c r="M28" s="37">
        <f t="shared" si="8"/>
        <v>0</v>
      </c>
      <c r="N28" s="131">
        <f t="shared" si="22"/>
        <v>8239890</v>
      </c>
      <c r="O28" s="37">
        <f t="shared" si="16"/>
        <v>0</v>
      </c>
      <c r="P28" s="134">
        <f t="shared" si="23"/>
        <v>9359285</v>
      </c>
      <c r="Q28" s="37">
        <f t="shared" si="9"/>
        <v>0</v>
      </c>
      <c r="R28" s="131">
        <f t="shared" si="24"/>
        <v>24220348</v>
      </c>
      <c r="S28" s="37">
        <f t="shared" si="10"/>
        <v>0</v>
      </c>
      <c r="T28" s="131"/>
      <c r="U28" s="135"/>
      <c r="V28" s="131">
        <f t="shared" si="25"/>
        <v>2232083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35919.483308800001</v>
      </c>
    </row>
    <row r="29" spans="1:27" ht="16.5" thickBot="1" x14ac:dyDescent="0.3">
      <c r="A29" s="9">
        <v>45012</v>
      </c>
      <c r="B29" s="37"/>
      <c r="C29" s="130">
        <f t="shared" si="17"/>
        <v>20599</v>
      </c>
      <c r="D29" s="37">
        <f t="shared" si="4"/>
        <v>0</v>
      </c>
      <c r="E29" s="131">
        <f t="shared" si="18"/>
        <v>36028035</v>
      </c>
      <c r="F29" s="37">
        <f t="shared" si="5"/>
        <v>0</v>
      </c>
      <c r="G29" s="132">
        <f t="shared" si="19"/>
        <v>13330092</v>
      </c>
      <c r="H29" s="37">
        <f t="shared" si="6"/>
        <v>0</v>
      </c>
      <c r="I29" s="133">
        <f t="shared" si="7"/>
        <v>0</v>
      </c>
      <c r="J29" s="131">
        <f t="shared" si="20"/>
        <v>1454432</v>
      </c>
      <c r="K29" s="116">
        <f t="shared" si="15"/>
        <v>0</v>
      </c>
      <c r="L29" s="134">
        <f t="shared" si="21"/>
        <v>1791996</v>
      </c>
      <c r="M29" s="37">
        <f t="shared" si="8"/>
        <v>0</v>
      </c>
      <c r="N29" s="131">
        <f t="shared" si="22"/>
        <v>8239890</v>
      </c>
      <c r="O29" s="37">
        <f t="shared" si="16"/>
        <v>0</v>
      </c>
      <c r="P29" s="134">
        <f t="shared" si="23"/>
        <v>9359285</v>
      </c>
      <c r="Q29" s="37">
        <f t="shared" si="9"/>
        <v>0</v>
      </c>
      <c r="R29" s="131">
        <f t="shared" si="24"/>
        <v>24220348</v>
      </c>
      <c r="S29" s="37">
        <f t="shared" si="10"/>
        <v>0</v>
      </c>
      <c r="T29" s="131"/>
      <c r="U29" s="135"/>
      <c r="V29" s="131">
        <f t="shared" si="25"/>
        <v>2232083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35919.483308800001</v>
      </c>
    </row>
    <row r="30" spans="1:27" ht="16.5" thickBot="1" x14ac:dyDescent="0.3">
      <c r="A30" s="9">
        <v>45013</v>
      </c>
      <c r="B30" s="37"/>
      <c r="C30" s="130">
        <f t="shared" si="17"/>
        <v>20599</v>
      </c>
      <c r="D30" s="37">
        <f>IF((C30-C29)&lt;0,"0",(C30-C29))*160</f>
        <v>0</v>
      </c>
      <c r="E30" s="131">
        <f t="shared" si="18"/>
        <v>36028035</v>
      </c>
      <c r="F30" s="37">
        <f>IF((E30-E29)&lt;0,"0",(E30-E29))</f>
        <v>0</v>
      </c>
      <c r="G30" s="132">
        <f t="shared" si="19"/>
        <v>13330092</v>
      </c>
      <c r="H30" s="37">
        <f t="shared" si="6"/>
        <v>0</v>
      </c>
      <c r="I30" s="133">
        <f t="shared" si="7"/>
        <v>0</v>
      </c>
      <c r="J30" s="131">
        <f t="shared" si="20"/>
        <v>1454432</v>
      </c>
      <c r="K30" s="116">
        <f t="shared" si="15"/>
        <v>0</v>
      </c>
      <c r="L30" s="134">
        <f t="shared" si="21"/>
        <v>1791996</v>
      </c>
      <c r="M30" s="37">
        <f>IF((L30-L29)&lt;0,"0",(L30-L29))</f>
        <v>0</v>
      </c>
      <c r="N30" s="131">
        <f t="shared" si="22"/>
        <v>8239890</v>
      </c>
      <c r="O30" s="37">
        <f>(IF((N30-N29)&lt;0,"0",(N30-N29)))*2</f>
        <v>0</v>
      </c>
      <c r="P30" s="134">
        <f t="shared" si="23"/>
        <v>9359285</v>
      </c>
      <c r="Q30" s="37">
        <f>IF((P30-P29)&lt;0,"0",(P30-P29))</f>
        <v>0</v>
      </c>
      <c r="R30" s="131">
        <f t="shared" si="24"/>
        <v>24220348</v>
      </c>
      <c r="S30" s="37">
        <f t="shared" si="10"/>
        <v>0</v>
      </c>
      <c r="T30" s="131"/>
      <c r="U30" s="135"/>
      <c r="V30" s="131">
        <f t="shared" si="25"/>
        <v>2232083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35919.483308800001</v>
      </c>
    </row>
    <row r="31" spans="1:27" ht="16.5" thickBot="1" x14ac:dyDescent="0.3">
      <c r="A31" s="9">
        <v>45014</v>
      </c>
      <c r="B31" s="37"/>
      <c r="C31" s="130">
        <f t="shared" si="17"/>
        <v>20599</v>
      </c>
      <c r="D31" s="37">
        <f t="shared" ref="D31:D33" si="45">IF((C31-C30)&lt;0,"0",(C31-C30))*160</f>
        <v>0</v>
      </c>
      <c r="E31" s="131">
        <f t="shared" si="18"/>
        <v>36028035</v>
      </c>
      <c r="F31" s="37">
        <f t="shared" ref="F31:F33" si="46">IF((E31-E30)&lt;0,"0",(E31-E30))</f>
        <v>0</v>
      </c>
      <c r="G31" s="132">
        <f t="shared" si="19"/>
        <v>13330092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20"/>
        <v>1454432</v>
      </c>
      <c r="K31" s="116">
        <f t="shared" ref="K31:K33" si="49">(IF((J31-J30)&lt;0,"0",(J31-J30)))*2</f>
        <v>0</v>
      </c>
      <c r="L31" s="134">
        <f t="shared" si="21"/>
        <v>1791996</v>
      </c>
      <c r="M31" s="37">
        <f t="shared" ref="M31:M33" si="50">IF((L31-L30)&lt;0,"0",(L31-L30))</f>
        <v>0</v>
      </c>
      <c r="N31" s="131">
        <f t="shared" si="22"/>
        <v>8239890</v>
      </c>
      <c r="O31" s="37">
        <f t="shared" ref="O31:O33" si="51">(IF((N31-N30)&lt;0,"0",(N31-N30)))*2</f>
        <v>0</v>
      </c>
      <c r="P31" s="134">
        <f t="shared" si="23"/>
        <v>9359285</v>
      </c>
      <c r="Q31" s="37">
        <f t="shared" ref="Q31:Q33" si="52">IF((P31-P30)&lt;0,"0",(P31-P30))</f>
        <v>0</v>
      </c>
      <c r="R31" s="131">
        <f t="shared" si="24"/>
        <v>24220348</v>
      </c>
      <c r="S31" s="37">
        <f t="shared" ref="S31:S33" si="53">IF((R31-R30)&lt;0,"0",(R31-R30))</f>
        <v>0</v>
      </c>
      <c r="T31" s="131"/>
      <c r="U31" s="135"/>
      <c r="V31" s="131">
        <f t="shared" si="25"/>
        <v>2232083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35919.483308800001</v>
      </c>
    </row>
    <row r="32" spans="1:27" ht="16.5" thickBot="1" x14ac:dyDescent="0.3">
      <c r="A32" s="9">
        <v>45015</v>
      </c>
      <c r="B32" s="37"/>
      <c r="C32" s="130">
        <f t="shared" si="17"/>
        <v>20599</v>
      </c>
      <c r="D32" s="37">
        <f t="shared" si="45"/>
        <v>0</v>
      </c>
      <c r="E32" s="131">
        <f t="shared" si="18"/>
        <v>36028035</v>
      </c>
      <c r="F32" s="37">
        <f t="shared" si="46"/>
        <v>0</v>
      </c>
      <c r="G32" s="132">
        <f t="shared" si="19"/>
        <v>13330092</v>
      </c>
      <c r="H32" s="37">
        <f t="shared" si="47"/>
        <v>0</v>
      </c>
      <c r="I32" s="133">
        <f t="shared" si="48"/>
        <v>0</v>
      </c>
      <c r="J32" s="131">
        <f t="shared" si="20"/>
        <v>1454432</v>
      </c>
      <c r="K32" s="116">
        <f t="shared" si="49"/>
        <v>0</v>
      </c>
      <c r="L32" s="134">
        <f t="shared" si="21"/>
        <v>1791996</v>
      </c>
      <c r="M32" s="37">
        <f t="shared" si="50"/>
        <v>0</v>
      </c>
      <c r="N32" s="131">
        <f t="shared" si="22"/>
        <v>8239890</v>
      </c>
      <c r="O32" s="37">
        <f t="shared" si="51"/>
        <v>0</v>
      </c>
      <c r="P32" s="134">
        <f t="shared" si="23"/>
        <v>9359285</v>
      </c>
      <c r="Q32" s="37">
        <f t="shared" si="52"/>
        <v>0</v>
      </c>
      <c r="R32" s="131">
        <f t="shared" si="24"/>
        <v>24220348</v>
      </c>
      <c r="S32" s="37">
        <f t="shared" si="53"/>
        <v>0</v>
      </c>
      <c r="T32" s="131"/>
      <c r="U32" s="135"/>
      <c r="V32" s="131">
        <f t="shared" si="25"/>
        <v>2232083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35919.483308800001</v>
      </c>
    </row>
    <row r="33" spans="1:27" ht="16.5" thickBot="1" x14ac:dyDescent="0.3">
      <c r="A33" s="9">
        <v>45016</v>
      </c>
      <c r="B33" s="37"/>
      <c r="C33" s="130">
        <f t="shared" si="17"/>
        <v>20599</v>
      </c>
      <c r="D33" s="37">
        <f t="shared" si="45"/>
        <v>0</v>
      </c>
      <c r="E33" s="131">
        <f t="shared" si="18"/>
        <v>36028035</v>
      </c>
      <c r="F33" s="37">
        <f t="shared" si="46"/>
        <v>0</v>
      </c>
      <c r="G33" s="132">
        <f t="shared" si="19"/>
        <v>13330092</v>
      </c>
      <c r="H33" s="37">
        <f t="shared" si="47"/>
        <v>0</v>
      </c>
      <c r="I33" s="133">
        <f t="shared" si="48"/>
        <v>0</v>
      </c>
      <c r="J33" s="131">
        <f t="shared" si="20"/>
        <v>1454432</v>
      </c>
      <c r="K33" s="116">
        <f t="shared" si="49"/>
        <v>0</v>
      </c>
      <c r="L33" s="134">
        <f t="shared" si="21"/>
        <v>1791996</v>
      </c>
      <c r="M33" s="37">
        <f t="shared" si="50"/>
        <v>0</v>
      </c>
      <c r="N33" s="131">
        <f t="shared" si="22"/>
        <v>8239890</v>
      </c>
      <c r="O33" s="37">
        <f t="shared" si="51"/>
        <v>0</v>
      </c>
      <c r="P33" s="134">
        <f t="shared" si="23"/>
        <v>9359285</v>
      </c>
      <c r="Q33" s="37">
        <f t="shared" si="52"/>
        <v>0</v>
      </c>
      <c r="R33" s="131">
        <f t="shared" si="24"/>
        <v>24220348</v>
      </c>
      <c r="S33" s="37">
        <f t="shared" si="53"/>
        <v>0</v>
      </c>
      <c r="T33" s="131"/>
      <c r="U33" s="135"/>
      <c r="V33" s="131">
        <f t="shared" si="25"/>
        <v>2232083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27502.987844800002</v>
      </c>
    </row>
    <row r="34" spans="1:27" ht="16.5" thickBot="1" x14ac:dyDescent="0.3">
      <c r="A34" s="123" t="s">
        <v>23</v>
      </c>
      <c r="B34" s="123">
        <f>SUM(B3:B33)</f>
        <v>1522</v>
      </c>
      <c r="C34" s="123"/>
      <c r="D34" s="123">
        <f>SUM(D3:D33)</f>
        <v>1760</v>
      </c>
      <c r="E34" s="54"/>
      <c r="F34" s="123">
        <f>SUM(F3:F33)</f>
        <v>39824</v>
      </c>
      <c r="G34" s="54"/>
      <c r="H34" s="123">
        <f>SUM(H3:H33)</f>
        <v>233340</v>
      </c>
      <c r="I34" s="123">
        <f t="shared" ref="I34" si="59">F34+H34</f>
        <v>273164</v>
      </c>
      <c r="J34" s="54"/>
      <c r="K34" s="123">
        <f>SUM(K3:K33)</f>
        <v>45868</v>
      </c>
      <c r="L34" s="54"/>
      <c r="M34" s="123">
        <f>SUM(M3:M33)</f>
        <v>27767</v>
      </c>
      <c r="N34" s="54"/>
      <c r="O34" s="123">
        <f>SUM(O3:O33)</f>
        <v>21352</v>
      </c>
      <c r="P34" s="54"/>
      <c r="Q34" s="123">
        <f>SUM(Q3:Q33)</f>
        <v>47633</v>
      </c>
      <c r="R34" s="54"/>
      <c r="S34" s="123">
        <f>SUM(S3:S33)</f>
        <v>55654</v>
      </c>
      <c r="T34" s="54"/>
      <c r="U34" s="123">
        <f>SUM(U3:U33)</f>
        <v>0</v>
      </c>
      <c r="V34" s="54"/>
      <c r="W34" s="123">
        <f>SUM(W3:W33)</f>
        <v>51190</v>
      </c>
      <c r="X34" s="123">
        <f>SUM(X3:X33)</f>
        <v>249464</v>
      </c>
      <c r="Y34" s="123">
        <f>SUM(Y3:Y33)</f>
        <v>32807</v>
      </c>
      <c r="Z34" s="123">
        <f>SUM(Z3:Z33)</f>
        <v>35919.483308800001</v>
      </c>
      <c r="AA34" s="123">
        <f>SUM(AA2:AA33)</f>
        <v>1029923.8328288005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/>
      <c r="C8" s="37">
        <f t="shared" si="2"/>
        <v>0</v>
      </c>
      <c r="D8" s="3"/>
      <c r="E8" s="37">
        <f t="shared" si="3"/>
        <v>0</v>
      </c>
      <c r="F8" s="3"/>
      <c r="G8" s="37">
        <f t="shared" si="4"/>
        <v>0</v>
      </c>
      <c r="H8" s="3"/>
      <c r="I8" s="42">
        <f t="shared" si="5"/>
        <v>0</v>
      </c>
      <c r="J8" s="19">
        <f t="shared" si="0"/>
        <v>0</v>
      </c>
      <c r="K8" s="160">
        <f t="shared" si="1"/>
        <v>0</v>
      </c>
    </row>
    <row r="9" spans="1:14" ht="16.5" thickBot="1" x14ac:dyDescent="0.3">
      <c r="A9" s="9">
        <v>44992</v>
      </c>
      <c r="B9" s="3"/>
      <c r="C9" s="37">
        <f t="shared" si="2"/>
        <v>0</v>
      </c>
      <c r="D9" s="3"/>
      <c r="E9" s="37">
        <f t="shared" si="3"/>
        <v>0</v>
      </c>
      <c r="F9" s="3"/>
      <c r="G9" s="37">
        <f t="shared" si="4"/>
        <v>0</v>
      </c>
      <c r="H9" s="3"/>
      <c r="I9" s="42">
        <f t="shared" si="5"/>
        <v>0</v>
      </c>
      <c r="J9" s="19">
        <f t="shared" si="0"/>
        <v>0</v>
      </c>
      <c r="K9" s="160">
        <f t="shared" si="1"/>
        <v>0</v>
      </c>
    </row>
    <row r="10" spans="1:14" ht="16.5" thickBot="1" x14ac:dyDescent="0.3">
      <c r="A10" s="9">
        <v>44993</v>
      </c>
      <c r="B10" s="3"/>
      <c r="C10" s="37">
        <f t="shared" si="2"/>
        <v>0</v>
      </c>
      <c r="D10" s="3"/>
      <c r="E10" s="37">
        <f t="shared" si="3"/>
        <v>0</v>
      </c>
      <c r="F10" s="3"/>
      <c r="G10" s="37">
        <f t="shared" si="4"/>
        <v>0</v>
      </c>
      <c r="H10" s="3"/>
      <c r="I10" s="42">
        <f t="shared" si="5"/>
        <v>0</v>
      </c>
      <c r="J10" s="19">
        <f t="shared" si="0"/>
        <v>0</v>
      </c>
      <c r="K10" s="160">
        <f t="shared" si="1"/>
        <v>0</v>
      </c>
    </row>
    <row r="11" spans="1:14" ht="16.5" thickBot="1" x14ac:dyDescent="0.3">
      <c r="A11" s="9">
        <v>44994</v>
      </c>
      <c r="B11" s="3"/>
      <c r="C11" s="37">
        <f t="shared" si="2"/>
        <v>0</v>
      </c>
      <c r="D11" s="3"/>
      <c r="E11" s="37">
        <f t="shared" si="3"/>
        <v>0</v>
      </c>
      <c r="F11" s="3"/>
      <c r="G11" s="37">
        <f t="shared" si="4"/>
        <v>0</v>
      </c>
      <c r="H11" s="3"/>
      <c r="I11" s="42">
        <f t="shared" si="5"/>
        <v>0</v>
      </c>
      <c r="J11" s="19">
        <f t="shared" si="0"/>
        <v>0</v>
      </c>
      <c r="K11" s="160">
        <f t="shared" si="1"/>
        <v>0</v>
      </c>
      <c r="N11" t="s">
        <v>12</v>
      </c>
    </row>
    <row r="12" spans="1:14" ht="16.5" thickBot="1" x14ac:dyDescent="0.3">
      <c r="A12" s="9">
        <v>44995</v>
      </c>
      <c r="B12" s="3"/>
      <c r="C12" s="37">
        <f t="shared" si="2"/>
        <v>0</v>
      </c>
      <c r="D12" s="3"/>
      <c r="E12" s="37">
        <f t="shared" si="3"/>
        <v>0</v>
      </c>
      <c r="F12" s="3"/>
      <c r="G12" s="37">
        <f t="shared" si="4"/>
        <v>0</v>
      </c>
      <c r="H12" s="3"/>
      <c r="I12" s="42">
        <f t="shared" si="5"/>
        <v>0</v>
      </c>
      <c r="J12" s="19">
        <f t="shared" si="0"/>
        <v>0</v>
      </c>
      <c r="K12" s="160">
        <f t="shared" si="1"/>
        <v>0</v>
      </c>
    </row>
    <row r="13" spans="1:14" ht="16.5" thickBot="1" x14ac:dyDescent="0.3">
      <c r="A13" s="9">
        <v>44996</v>
      </c>
      <c r="B13" s="3"/>
      <c r="C13" s="37">
        <f t="shared" si="2"/>
        <v>0</v>
      </c>
      <c r="D13" s="3"/>
      <c r="E13" s="37">
        <f t="shared" si="3"/>
        <v>0</v>
      </c>
      <c r="F13" s="3"/>
      <c r="G13" s="37">
        <f t="shared" si="4"/>
        <v>0</v>
      </c>
      <c r="H13" s="3"/>
      <c r="I13" s="42">
        <f t="shared" si="5"/>
        <v>0</v>
      </c>
      <c r="J13" s="19">
        <f t="shared" si="0"/>
        <v>0</v>
      </c>
      <c r="K13" s="160">
        <f t="shared" si="1"/>
        <v>0</v>
      </c>
    </row>
    <row r="14" spans="1:14" ht="16.5" thickBot="1" x14ac:dyDescent="0.3">
      <c r="A14" s="9">
        <v>44997</v>
      </c>
      <c r="B14" s="3"/>
      <c r="C14" s="37">
        <f t="shared" si="2"/>
        <v>0</v>
      </c>
      <c r="D14" s="3"/>
      <c r="E14" s="37">
        <f t="shared" si="3"/>
        <v>0</v>
      </c>
      <c r="F14" s="3"/>
      <c r="G14" s="37">
        <f t="shared" si="4"/>
        <v>0</v>
      </c>
      <c r="H14" s="3"/>
      <c r="I14" s="42">
        <f t="shared" si="5"/>
        <v>0</v>
      </c>
      <c r="J14" s="19">
        <f t="shared" si="0"/>
        <v>0</v>
      </c>
      <c r="K14" s="160">
        <f t="shared" si="1"/>
        <v>0</v>
      </c>
    </row>
    <row r="15" spans="1:14" ht="16.5" thickBot="1" x14ac:dyDescent="0.3">
      <c r="A15" s="9">
        <v>44998</v>
      </c>
      <c r="B15" s="3"/>
      <c r="C15" s="37">
        <f t="shared" si="2"/>
        <v>0</v>
      </c>
      <c r="D15" s="3"/>
      <c r="E15" s="37">
        <f t="shared" si="3"/>
        <v>0</v>
      </c>
      <c r="F15" s="3"/>
      <c r="G15" s="37">
        <f t="shared" si="4"/>
        <v>0</v>
      </c>
      <c r="H15" s="3"/>
      <c r="I15" s="42">
        <f t="shared" si="5"/>
        <v>0</v>
      </c>
      <c r="J15" s="19">
        <f t="shared" si="0"/>
        <v>0</v>
      </c>
      <c r="K15" s="160">
        <f t="shared" si="1"/>
        <v>0</v>
      </c>
      <c r="M15" s="33"/>
    </row>
    <row r="16" spans="1:14" ht="16.5" thickBot="1" x14ac:dyDescent="0.3">
      <c r="A16" s="9">
        <v>44999</v>
      </c>
      <c r="B16" s="3"/>
      <c r="C16" s="37">
        <f t="shared" si="2"/>
        <v>0</v>
      </c>
      <c r="D16" s="3"/>
      <c r="E16" s="37">
        <f t="shared" si="3"/>
        <v>0</v>
      </c>
      <c r="F16" s="3"/>
      <c r="G16" s="37">
        <f t="shared" si="4"/>
        <v>0</v>
      </c>
      <c r="H16" s="3"/>
      <c r="I16" s="42">
        <f t="shared" si="5"/>
        <v>0</v>
      </c>
      <c r="J16" s="19">
        <f t="shared" si="0"/>
        <v>0</v>
      </c>
      <c r="K16" s="160">
        <f t="shared" si="1"/>
        <v>0</v>
      </c>
    </row>
    <row r="17" spans="1:25" ht="16.5" thickBot="1" x14ac:dyDescent="0.3">
      <c r="A17" s="9">
        <v>45000</v>
      </c>
      <c r="B17" s="3"/>
      <c r="C17" s="37">
        <f t="shared" si="2"/>
        <v>0</v>
      </c>
      <c r="D17" s="3"/>
      <c r="E17" s="37">
        <f t="shared" si="3"/>
        <v>0</v>
      </c>
      <c r="F17" s="3"/>
      <c r="G17" s="37">
        <f t="shared" si="4"/>
        <v>0</v>
      </c>
      <c r="H17" s="3"/>
      <c r="I17" s="42">
        <f t="shared" si="5"/>
        <v>0</v>
      </c>
      <c r="J17" s="19">
        <f t="shared" si="0"/>
        <v>0</v>
      </c>
      <c r="K17" s="160">
        <f t="shared" si="1"/>
        <v>0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/>
      <c r="C18" s="37">
        <f t="shared" si="2"/>
        <v>0</v>
      </c>
      <c r="D18" s="3"/>
      <c r="E18" s="37">
        <f t="shared" si="3"/>
        <v>0</v>
      </c>
      <c r="F18" s="3"/>
      <c r="G18" s="37">
        <f t="shared" si="4"/>
        <v>0</v>
      </c>
      <c r="H18" s="3"/>
      <c r="I18" s="42">
        <f t="shared" si="5"/>
        <v>0</v>
      </c>
      <c r="J18" s="19">
        <f t="shared" si="0"/>
        <v>0</v>
      </c>
      <c r="K18" s="160">
        <f t="shared" si="1"/>
        <v>0</v>
      </c>
      <c r="Q18" t="s">
        <v>43</v>
      </c>
    </row>
    <row r="19" spans="1:25" ht="16.5" thickBot="1" x14ac:dyDescent="0.3">
      <c r="A19" s="9">
        <v>45002</v>
      </c>
      <c r="B19" s="3"/>
      <c r="C19" s="37">
        <f t="shared" si="2"/>
        <v>0</v>
      </c>
      <c r="D19" s="3"/>
      <c r="E19" s="37">
        <f t="shared" si="3"/>
        <v>0</v>
      </c>
      <c r="F19" s="3"/>
      <c r="G19" s="37">
        <f t="shared" si="4"/>
        <v>0</v>
      </c>
      <c r="H19" s="3"/>
      <c r="I19" s="42">
        <f t="shared" si="5"/>
        <v>0</v>
      </c>
      <c r="J19" s="19">
        <f t="shared" si="0"/>
        <v>0</v>
      </c>
      <c r="K19" s="160">
        <f t="shared" si="1"/>
        <v>0</v>
      </c>
      <c r="Q19" t="s">
        <v>12</v>
      </c>
    </row>
    <row r="20" spans="1:25" ht="16.5" thickBot="1" x14ac:dyDescent="0.3">
      <c r="A20" s="9">
        <v>45003</v>
      </c>
      <c r="B20" s="3"/>
      <c r="C20" s="37">
        <f t="shared" si="2"/>
        <v>0</v>
      </c>
      <c r="D20" s="3"/>
      <c r="E20" s="37">
        <f t="shared" si="3"/>
        <v>0</v>
      </c>
      <c r="F20" s="3"/>
      <c r="G20" s="37">
        <f t="shared" si="4"/>
        <v>0</v>
      </c>
      <c r="H20" s="3"/>
      <c r="I20" s="42">
        <f t="shared" si="5"/>
        <v>0</v>
      </c>
      <c r="J20" s="19">
        <f t="shared" si="0"/>
        <v>0</v>
      </c>
      <c r="K20" s="160">
        <f t="shared" si="1"/>
        <v>0</v>
      </c>
    </row>
    <row r="21" spans="1:25" ht="16.5" thickBot="1" x14ac:dyDescent="0.3">
      <c r="A21" s="9">
        <v>45004</v>
      </c>
      <c r="B21" s="3"/>
      <c r="C21" s="37">
        <f t="shared" si="2"/>
        <v>0</v>
      </c>
      <c r="D21" s="3"/>
      <c r="E21" s="37">
        <f t="shared" si="3"/>
        <v>0</v>
      </c>
      <c r="F21" s="3"/>
      <c r="G21" s="37">
        <f t="shared" si="4"/>
        <v>0</v>
      </c>
      <c r="H21" s="3"/>
      <c r="I21" s="42">
        <f t="shared" si="5"/>
        <v>0</v>
      </c>
      <c r="J21" s="19">
        <f t="shared" si="0"/>
        <v>0</v>
      </c>
      <c r="K21" s="160">
        <f t="shared" si="1"/>
        <v>0</v>
      </c>
    </row>
    <row r="22" spans="1:25" ht="16.5" thickBot="1" x14ac:dyDescent="0.3">
      <c r="A22" s="9">
        <v>45005</v>
      </c>
      <c r="B22" s="3"/>
      <c r="C22" s="37">
        <f t="shared" si="2"/>
        <v>0</v>
      </c>
      <c r="D22" s="3"/>
      <c r="E22" s="37">
        <f t="shared" si="3"/>
        <v>0</v>
      </c>
      <c r="F22" s="3"/>
      <c r="G22" s="37">
        <f t="shared" si="4"/>
        <v>0</v>
      </c>
      <c r="H22" s="3"/>
      <c r="I22" s="42">
        <f t="shared" si="5"/>
        <v>0</v>
      </c>
      <c r="J22" s="19">
        <f t="shared" si="0"/>
        <v>0</v>
      </c>
      <c r="K22" s="160">
        <f t="shared" si="1"/>
        <v>0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/>
      <c r="C23" s="37">
        <f t="shared" si="2"/>
        <v>0</v>
      </c>
      <c r="D23" s="3"/>
      <c r="E23" s="37">
        <f t="shared" si="3"/>
        <v>0</v>
      </c>
      <c r="F23" s="3"/>
      <c r="G23" s="37">
        <f t="shared" si="4"/>
        <v>0</v>
      </c>
      <c r="H23" s="3"/>
      <c r="I23" s="42">
        <f t="shared" si="5"/>
        <v>0</v>
      </c>
      <c r="J23" s="19">
        <f t="shared" si="0"/>
        <v>0</v>
      </c>
      <c r="K23" s="160">
        <f t="shared" si="1"/>
        <v>0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3870</v>
      </c>
      <c r="D34" s="54"/>
      <c r="E34" s="54">
        <f t="shared" ref="E34:K34" si="6">SUM(E3:E33)</f>
        <v>2220</v>
      </c>
      <c r="F34" s="54"/>
      <c r="G34" s="54">
        <f t="shared" si="6"/>
        <v>1819.8</v>
      </c>
      <c r="H34" s="54"/>
      <c r="I34" s="54">
        <f t="shared" si="6"/>
        <v>24.326999999999998</v>
      </c>
      <c r="J34" s="54">
        <f t="shared" si="6"/>
        <v>7934.1269999999995</v>
      </c>
      <c r="K34" s="54">
        <f t="shared" si="6"/>
        <v>46493.984220000006</v>
      </c>
    </row>
  </sheetData>
  <phoneticPr fontId="0" type="noConversion"/>
  <conditionalFormatting sqref="B34:K34">
    <cfRule type="cellIs" dxfId="8" priority="5" operator="lessThan">
      <formula>0</formula>
    </cfRule>
  </conditionalFormatting>
  <conditionalFormatting sqref="B2:K33">
    <cfRule type="cellIs" dxfId="7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A7" sqref="A7:XFD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18781662</v>
      </c>
      <c r="C8" s="43" t="str">
        <f t="shared" si="0"/>
        <v>0</v>
      </c>
    </row>
    <row r="9" spans="1:9" ht="24" thickBot="1" x14ac:dyDescent="0.4">
      <c r="A9" s="9">
        <v>44992</v>
      </c>
      <c r="B9" s="119">
        <v>18781662</v>
      </c>
      <c r="C9" s="43">
        <f t="shared" si="0"/>
        <v>0</v>
      </c>
    </row>
    <row r="10" spans="1:9" ht="24" thickBot="1" x14ac:dyDescent="0.4">
      <c r="A10" s="9">
        <v>44993</v>
      </c>
      <c r="B10" s="119">
        <v>18781662</v>
      </c>
      <c r="C10" s="43">
        <f t="shared" si="0"/>
        <v>0</v>
      </c>
    </row>
    <row r="11" spans="1:9" ht="24" thickBot="1" x14ac:dyDescent="0.4">
      <c r="A11" s="9">
        <v>44994</v>
      </c>
      <c r="B11" s="119">
        <v>18781662</v>
      </c>
      <c r="C11" s="43">
        <f t="shared" si="0"/>
        <v>0</v>
      </c>
    </row>
    <row r="12" spans="1:9" ht="24" thickBot="1" x14ac:dyDescent="0.4">
      <c r="A12" s="9">
        <v>44995</v>
      </c>
      <c r="B12" s="119">
        <v>18781662</v>
      </c>
      <c r="C12" s="43">
        <f t="shared" si="0"/>
        <v>0</v>
      </c>
    </row>
    <row r="13" spans="1:9" ht="24" thickBot="1" x14ac:dyDescent="0.4">
      <c r="A13" s="9">
        <v>44996</v>
      </c>
      <c r="B13" s="119">
        <v>18781662</v>
      </c>
      <c r="C13" s="43">
        <f t="shared" si="0"/>
        <v>0</v>
      </c>
    </row>
    <row r="14" spans="1:9" ht="24" thickBot="1" x14ac:dyDescent="0.4">
      <c r="A14" s="9">
        <v>44997</v>
      </c>
      <c r="B14" s="119">
        <v>18781662</v>
      </c>
      <c r="C14" s="43">
        <f t="shared" si="0"/>
        <v>0</v>
      </c>
      <c r="I14" s="33"/>
    </row>
    <row r="15" spans="1:9" ht="24" thickBot="1" x14ac:dyDescent="0.4">
      <c r="A15" s="9">
        <v>44998</v>
      </c>
      <c r="B15" s="119">
        <v>18781662</v>
      </c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44999</v>
      </c>
      <c r="B16" s="119">
        <v>18781662</v>
      </c>
      <c r="C16" s="43">
        <f t="shared" si="0"/>
        <v>0</v>
      </c>
      <c r="F16" s="139"/>
    </row>
    <row r="17" spans="1:9" ht="25.5" customHeight="1" thickBot="1" x14ac:dyDescent="0.4">
      <c r="A17" s="9">
        <v>45000</v>
      </c>
      <c r="B17" s="119">
        <v>18781662</v>
      </c>
      <c r="C17" s="43">
        <f t="shared" si="0"/>
        <v>0</v>
      </c>
    </row>
    <row r="18" spans="1:9" ht="24" thickBot="1" x14ac:dyDescent="0.4">
      <c r="A18" s="9">
        <v>45001</v>
      </c>
      <c r="B18" s="119">
        <v>18781662</v>
      </c>
      <c r="C18" s="43">
        <f t="shared" si="0"/>
        <v>0</v>
      </c>
      <c r="I18" s="33"/>
    </row>
    <row r="19" spans="1:9" ht="24" thickBot="1" x14ac:dyDescent="0.4">
      <c r="A19" s="9">
        <v>45002</v>
      </c>
      <c r="B19" s="119">
        <v>18781662</v>
      </c>
      <c r="C19" s="43">
        <f t="shared" si="0"/>
        <v>0</v>
      </c>
    </row>
    <row r="20" spans="1:9" ht="24" thickBot="1" x14ac:dyDescent="0.4">
      <c r="A20" s="9">
        <v>45003</v>
      </c>
      <c r="B20" s="119">
        <v>18781662</v>
      </c>
      <c r="C20" s="43">
        <f t="shared" si="0"/>
        <v>0</v>
      </c>
      <c r="I20" s="33"/>
    </row>
    <row r="21" spans="1:9" ht="24" thickBot="1" x14ac:dyDescent="0.4">
      <c r="A21" s="9">
        <v>45004</v>
      </c>
      <c r="B21" s="119">
        <v>18781662</v>
      </c>
      <c r="C21" s="43">
        <f t="shared" si="0"/>
        <v>0</v>
      </c>
    </row>
    <row r="22" spans="1:9" ht="24" thickBot="1" x14ac:dyDescent="0.4">
      <c r="A22" s="9">
        <v>45005</v>
      </c>
      <c r="B22" s="119">
        <v>18781662</v>
      </c>
      <c r="C22" s="43">
        <f t="shared" si="0"/>
        <v>0</v>
      </c>
    </row>
    <row r="23" spans="1:9" ht="24" thickBot="1" x14ac:dyDescent="0.4">
      <c r="A23" s="9">
        <v>45006</v>
      </c>
      <c r="B23" s="119">
        <v>18781662</v>
      </c>
      <c r="C23" s="43">
        <f t="shared" si="0"/>
        <v>0</v>
      </c>
      <c r="F23" t="s">
        <v>12</v>
      </c>
    </row>
    <row r="24" spans="1:9" ht="24" thickBot="1" x14ac:dyDescent="0.4">
      <c r="A24" s="9">
        <v>45007</v>
      </c>
      <c r="B24" s="119">
        <v>18781662</v>
      </c>
      <c r="C24" s="43">
        <f t="shared" si="0"/>
        <v>0</v>
      </c>
      <c r="E24" t="s">
        <v>12</v>
      </c>
    </row>
    <row r="25" spans="1:9" ht="24" thickBot="1" x14ac:dyDescent="0.4">
      <c r="A25" s="9">
        <v>45008</v>
      </c>
      <c r="B25" s="119">
        <v>18781662</v>
      </c>
      <c r="C25" s="43">
        <f t="shared" si="0"/>
        <v>0</v>
      </c>
    </row>
    <row r="26" spans="1:9" ht="24" thickBot="1" x14ac:dyDescent="0.4">
      <c r="A26" s="9">
        <v>45009</v>
      </c>
      <c r="B26" s="119">
        <v>18781662</v>
      </c>
      <c r="C26" s="43">
        <f t="shared" si="0"/>
        <v>0</v>
      </c>
    </row>
    <row r="27" spans="1:9" ht="24" thickBot="1" x14ac:dyDescent="0.4">
      <c r="A27" s="9">
        <v>45010</v>
      </c>
      <c r="B27" s="119">
        <v>18781662</v>
      </c>
      <c r="C27" s="43">
        <f t="shared" si="0"/>
        <v>0</v>
      </c>
    </row>
    <row r="28" spans="1:9" ht="24" thickBot="1" x14ac:dyDescent="0.4">
      <c r="A28" s="9">
        <v>45011</v>
      </c>
      <c r="B28" s="119">
        <v>18781662</v>
      </c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>
        <v>18781662</v>
      </c>
      <c r="C29" s="43">
        <f t="shared" si="0"/>
        <v>0</v>
      </c>
    </row>
    <row r="30" spans="1:9" ht="24" thickBot="1" x14ac:dyDescent="0.4">
      <c r="A30" s="9">
        <v>45013</v>
      </c>
      <c r="B30" s="119">
        <v>18781662</v>
      </c>
      <c r="C30" s="43">
        <f t="shared" si="0"/>
        <v>0</v>
      </c>
    </row>
    <row r="31" spans="1:9" ht="24" thickBot="1" x14ac:dyDescent="0.4">
      <c r="A31" s="9">
        <v>45014</v>
      </c>
      <c r="B31" s="119">
        <v>18781662</v>
      </c>
      <c r="C31" s="43">
        <f t="shared" si="0"/>
        <v>0</v>
      </c>
    </row>
    <row r="32" spans="1:9" ht="24" thickBot="1" x14ac:dyDescent="0.4">
      <c r="A32" s="9">
        <v>45015</v>
      </c>
      <c r="B32" s="119">
        <v>18781662</v>
      </c>
      <c r="C32" s="43">
        <f t="shared" si="0"/>
        <v>0</v>
      </c>
    </row>
    <row r="33" spans="1:3" ht="24" thickBot="1" x14ac:dyDescent="0.4">
      <c r="A33" s="9">
        <v>45016</v>
      </c>
      <c r="B33" s="119">
        <v>18781662</v>
      </c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8614</v>
      </c>
    </row>
  </sheetData>
  <phoneticPr fontId="0" type="noConversion"/>
  <conditionalFormatting sqref="B34:C34">
    <cfRule type="cellIs" dxfId="6" priority="6" operator="lessThan">
      <formula>0</formula>
    </cfRule>
  </conditionalFormatting>
  <conditionalFormatting sqref="B2:C2 B3:B33">
    <cfRule type="cellIs" dxfId="5" priority="2" operator="lessThan">
      <formula>0</formula>
    </cfRule>
  </conditionalFormatting>
  <conditionalFormatting sqref="C3:C33">
    <cfRule type="cellIs" dxfId="4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139</v>
      </c>
      <c r="AC1" s="164"/>
      <c r="AD1" s="166" t="s">
        <v>140</v>
      </c>
      <c r="AE1" s="164"/>
      <c r="AF1" s="163" t="s">
        <v>141</v>
      </c>
      <c r="AG1" s="164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f t="shared" ref="B7:B33" si="42">B7</f>
        <v>25785.379000000001</v>
      </c>
      <c r="C8" s="42">
        <f t="shared" si="22"/>
        <v>0</v>
      </c>
      <c r="D8" s="27">
        <f t="shared" si="23"/>
        <v>0</v>
      </c>
      <c r="E8" s="1">
        <f t="shared" ref="E7:E33" si="43">E7</f>
        <v>4752.0159999999996</v>
      </c>
      <c r="F8" s="42">
        <f t="shared" si="24"/>
        <v>0</v>
      </c>
      <c r="G8" s="27">
        <f t="shared" si="25"/>
        <v>0</v>
      </c>
      <c r="H8" s="1">
        <f t="shared" ref="H7:H33" si="44">H7</f>
        <v>6879</v>
      </c>
      <c r="I8" s="42">
        <f t="shared" si="26"/>
        <v>0</v>
      </c>
      <c r="J8" s="27">
        <f t="shared" si="27"/>
        <v>0</v>
      </c>
      <c r="K8" s="7">
        <f t="shared" ref="K7:K33" si="45">K7</f>
        <v>14382.23</v>
      </c>
      <c r="L8" s="42">
        <f t="shared" si="28"/>
        <v>0</v>
      </c>
      <c r="M8" s="27">
        <f t="shared" si="29"/>
        <v>0</v>
      </c>
      <c r="N8" s="7">
        <f t="shared" ref="N7:N33" si="46">N7</f>
        <v>4124.8239999999996</v>
      </c>
      <c r="O8" s="42">
        <f t="shared" si="30"/>
        <v>0</v>
      </c>
      <c r="P8" s="27">
        <f t="shared" si="31"/>
        <v>0</v>
      </c>
      <c r="Q8" s="7">
        <f t="shared" ref="Q7:Q33" si="47">Q7</f>
        <v>5674.5</v>
      </c>
      <c r="R8" s="42">
        <f t="shared" si="32"/>
        <v>0</v>
      </c>
      <c r="S8" s="27">
        <f t="shared" si="33"/>
        <v>0</v>
      </c>
      <c r="T8" s="8">
        <f t="shared" si="34"/>
        <v>0</v>
      </c>
      <c r="U8" s="29">
        <f t="shared" si="35"/>
        <v>0</v>
      </c>
      <c r="W8" s="140">
        <v>44991</v>
      </c>
      <c r="X8" s="141">
        <f t="shared" ref="X7:X33" si="48">X7</f>
        <v>229893</v>
      </c>
      <c r="Y8" s="146">
        <f t="shared" si="36"/>
        <v>0</v>
      </c>
      <c r="Z8" s="141">
        <f t="shared" ref="Z7:Z33" si="49">Z7</f>
        <v>10660</v>
      </c>
      <c r="AA8" s="146">
        <f t="shared" si="37"/>
        <v>0</v>
      </c>
      <c r="AB8" s="141">
        <f t="shared" si="38"/>
        <v>146.5</v>
      </c>
      <c r="AC8" s="146">
        <f t="shared" si="39"/>
        <v>0</v>
      </c>
      <c r="AD8" s="141">
        <v>973</v>
      </c>
      <c r="AE8" s="146" t="str">
        <f t="shared" si="40"/>
        <v>0</v>
      </c>
      <c r="AF8" s="141">
        <f t="shared" ref="AF7:AF33" si="50">AF7</f>
        <v>10464</v>
      </c>
      <c r="AG8" s="146">
        <f t="shared" si="41"/>
        <v>0</v>
      </c>
    </row>
    <row r="9" spans="1:33" ht="16.5" thickBot="1" x14ac:dyDescent="0.25">
      <c r="A9" s="162">
        <v>44992</v>
      </c>
      <c r="B9" s="143">
        <f t="shared" si="42"/>
        <v>25785.379000000001</v>
      </c>
      <c r="C9" s="42">
        <f t="shared" si="22"/>
        <v>0</v>
      </c>
      <c r="D9" s="27">
        <f t="shared" si="23"/>
        <v>0</v>
      </c>
      <c r="E9" s="1">
        <f t="shared" si="43"/>
        <v>4752.0159999999996</v>
      </c>
      <c r="F9" s="42">
        <f t="shared" si="24"/>
        <v>0</v>
      </c>
      <c r="G9" s="27">
        <f t="shared" si="25"/>
        <v>0</v>
      </c>
      <c r="H9" s="1">
        <f t="shared" si="44"/>
        <v>6879</v>
      </c>
      <c r="I9" s="42">
        <f t="shared" si="26"/>
        <v>0</v>
      </c>
      <c r="J9" s="27">
        <f t="shared" si="27"/>
        <v>0</v>
      </c>
      <c r="K9" s="7">
        <f t="shared" si="45"/>
        <v>14382.23</v>
      </c>
      <c r="L9" s="42">
        <f t="shared" si="28"/>
        <v>0</v>
      </c>
      <c r="M9" s="27">
        <f t="shared" si="29"/>
        <v>0</v>
      </c>
      <c r="N9" s="7">
        <f t="shared" si="46"/>
        <v>4124.8239999999996</v>
      </c>
      <c r="O9" s="42">
        <f t="shared" si="30"/>
        <v>0</v>
      </c>
      <c r="P9" s="27">
        <f t="shared" si="31"/>
        <v>0</v>
      </c>
      <c r="Q9" s="7">
        <f t="shared" si="47"/>
        <v>5674.5</v>
      </c>
      <c r="R9" s="42">
        <f t="shared" si="32"/>
        <v>0</v>
      </c>
      <c r="S9" s="27">
        <f t="shared" si="33"/>
        <v>0</v>
      </c>
      <c r="T9" s="8">
        <f t="shared" si="34"/>
        <v>0</v>
      </c>
      <c r="U9" s="29">
        <f t="shared" si="35"/>
        <v>0</v>
      </c>
      <c r="W9" s="140">
        <v>44992</v>
      </c>
      <c r="X9" s="141">
        <f t="shared" si="48"/>
        <v>229893</v>
      </c>
      <c r="Y9" s="146">
        <f t="shared" si="36"/>
        <v>0</v>
      </c>
      <c r="Z9" s="141">
        <f t="shared" si="49"/>
        <v>10660</v>
      </c>
      <c r="AA9" s="146">
        <f t="shared" si="37"/>
        <v>0</v>
      </c>
      <c r="AB9" s="141">
        <f t="shared" si="38"/>
        <v>146.5</v>
      </c>
      <c r="AC9" s="146">
        <f t="shared" si="39"/>
        <v>0</v>
      </c>
      <c r="AD9" s="141">
        <v>973</v>
      </c>
      <c r="AE9" s="146">
        <f t="shared" si="40"/>
        <v>0</v>
      </c>
      <c r="AF9" s="141">
        <f t="shared" si="50"/>
        <v>10464</v>
      </c>
      <c r="AG9" s="146">
        <f t="shared" si="41"/>
        <v>0</v>
      </c>
    </row>
    <row r="10" spans="1:33" ht="16.5" thickBot="1" x14ac:dyDescent="0.25">
      <c r="A10" s="162">
        <v>44993</v>
      </c>
      <c r="B10" s="143">
        <f t="shared" si="42"/>
        <v>25785.379000000001</v>
      </c>
      <c r="C10" s="42">
        <f t="shared" si="22"/>
        <v>0</v>
      </c>
      <c r="D10" s="27">
        <f t="shared" si="23"/>
        <v>0</v>
      </c>
      <c r="E10" s="1">
        <f t="shared" si="43"/>
        <v>4752.0159999999996</v>
      </c>
      <c r="F10" s="42">
        <f t="shared" si="24"/>
        <v>0</v>
      </c>
      <c r="G10" s="27">
        <f t="shared" si="25"/>
        <v>0</v>
      </c>
      <c r="H10" s="1">
        <f t="shared" si="44"/>
        <v>6879</v>
      </c>
      <c r="I10" s="42">
        <f t="shared" si="26"/>
        <v>0</v>
      </c>
      <c r="J10" s="27">
        <f t="shared" si="27"/>
        <v>0</v>
      </c>
      <c r="K10" s="7">
        <f t="shared" si="45"/>
        <v>14382.23</v>
      </c>
      <c r="L10" s="42">
        <f t="shared" si="28"/>
        <v>0</v>
      </c>
      <c r="M10" s="27">
        <f t="shared" si="29"/>
        <v>0</v>
      </c>
      <c r="N10" s="7">
        <f t="shared" si="46"/>
        <v>4124.8239999999996</v>
      </c>
      <c r="O10" s="42">
        <f t="shared" si="30"/>
        <v>0</v>
      </c>
      <c r="P10" s="27">
        <f t="shared" si="31"/>
        <v>0</v>
      </c>
      <c r="Q10" s="7">
        <f t="shared" si="47"/>
        <v>5674.5</v>
      </c>
      <c r="R10" s="42">
        <f t="shared" si="32"/>
        <v>0</v>
      </c>
      <c r="S10" s="27">
        <f t="shared" si="33"/>
        <v>0</v>
      </c>
      <c r="T10" s="8">
        <f t="shared" si="34"/>
        <v>0</v>
      </c>
      <c r="U10" s="29">
        <f t="shared" si="35"/>
        <v>0</v>
      </c>
      <c r="W10" s="140">
        <v>44993</v>
      </c>
      <c r="X10" s="141">
        <f t="shared" si="48"/>
        <v>229893</v>
      </c>
      <c r="Y10" s="146">
        <f t="shared" si="36"/>
        <v>0</v>
      </c>
      <c r="Z10" s="141">
        <f t="shared" si="49"/>
        <v>10660</v>
      </c>
      <c r="AA10" s="146">
        <f t="shared" si="37"/>
        <v>0</v>
      </c>
      <c r="AB10" s="141">
        <f t="shared" si="38"/>
        <v>146.5</v>
      </c>
      <c r="AC10" s="146">
        <f t="shared" si="39"/>
        <v>0</v>
      </c>
      <c r="AD10" s="141">
        <v>973</v>
      </c>
      <c r="AE10" s="146">
        <f t="shared" si="40"/>
        <v>0</v>
      </c>
      <c r="AF10" s="141">
        <f t="shared" si="50"/>
        <v>10464</v>
      </c>
      <c r="AG10" s="146">
        <f t="shared" si="41"/>
        <v>0</v>
      </c>
    </row>
    <row r="11" spans="1:33" ht="16.5" thickBot="1" x14ac:dyDescent="0.25">
      <c r="A11" s="162">
        <v>44994</v>
      </c>
      <c r="B11" s="143">
        <f t="shared" si="42"/>
        <v>25785.379000000001</v>
      </c>
      <c r="C11" s="42">
        <f t="shared" si="22"/>
        <v>0</v>
      </c>
      <c r="D11" s="27">
        <f t="shared" si="23"/>
        <v>0</v>
      </c>
      <c r="E11" s="1">
        <f t="shared" si="43"/>
        <v>4752.0159999999996</v>
      </c>
      <c r="F11" s="42">
        <f t="shared" si="24"/>
        <v>0</v>
      </c>
      <c r="G11" s="27">
        <f t="shared" si="25"/>
        <v>0</v>
      </c>
      <c r="H11" s="1">
        <f t="shared" si="44"/>
        <v>6879</v>
      </c>
      <c r="I11" s="42">
        <f t="shared" si="26"/>
        <v>0</v>
      </c>
      <c r="J11" s="27">
        <f t="shared" si="27"/>
        <v>0</v>
      </c>
      <c r="K11" s="7">
        <f t="shared" si="45"/>
        <v>14382.23</v>
      </c>
      <c r="L11" s="42">
        <f t="shared" si="28"/>
        <v>0</v>
      </c>
      <c r="M11" s="27">
        <f t="shared" si="29"/>
        <v>0</v>
      </c>
      <c r="N11" s="7">
        <f t="shared" si="46"/>
        <v>4124.8239999999996</v>
      </c>
      <c r="O11" s="42">
        <f t="shared" si="30"/>
        <v>0</v>
      </c>
      <c r="P11" s="27">
        <f t="shared" si="31"/>
        <v>0</v>
      </c>
      <c r="Q11" s="7">
        <f t="shared" si="47"/>
        <v>5674.5</v>
      </c>
      <c r="R11" s="42">
        <f t="shared" si="32"/>
        <v>0</v>
      </c>
      <c r="S11" s="27">
        <f t="shared" si="33"/>
        <v>0</v>
      </c>
      <c r="T11" s="8">
        <f t="shared" si="34"/>
        <v>0</v>
      </c>
      <c r="U11" s="29">
        <f t="shared" si="35"/>
        <v>0</v>
      </c>
      <c r="W11" s="140">
        <v>44994</v>
      </c>
      <c r="X11" s="141">
        <f t="shared" si="48"/>
        <v>229893</v>
      </c>
      <c r="Y11" s="146">
        <f t="shared" si="36"/>
        <v>0</v>
      </c>
      <c r="Z11" s="141">
        <f t="shared" si="49"/>
        <v>10660</v>
      </c>
      <c r="AA11" s="146">
        <f t="shared" si="37"/>
        <v>0</v>
      </c>
      <c r="AB11" s="141">
        <f t="shared" si="38"/>
        <v>146.5</v>
      </c>
      <c r="AC11" s="146">
        <f t="shared" si="39"/>
        <v>0</v>
      </c>
      <c r="AD11" s="141">
        <v>973</v>
      </c>
      <c r="AE11" s="146">
        <f t="shared" si="40"/>
        <v>0</v>
      </c>
      <c r="AF11" s="141">
        <f t="shared" si="50"/>
        <v>10464</v>
      </c>
      <c r="AG11" s="146">
        <f t="shared" si="41"/>
        <v>0</v>
      </c>
    </row>
    <row r="12" spans="1:33" ht="16.5" thickBot="1" x14ac:dyDescent="0.25">
      <c r="A12" s="162">
        <v>44995</v>
      </c>
      <c r="B12" s="143">
        <f t="shared" si="42"/>
        <v>25785.379000000001</v>
      </c>
      <c r="C12" s="42">
        <f t="shared" si="22"/>
        <v>0</v>
      </c>
      <c r="D12" s="27">
        <f t="shared" si="23"/>
        <v>0</v>
      </c>
      <c r="E12" s="1">
        <f t="shared" si="43"/>
        <v>4752.0159999999996</v>
      </c>
      <c r="F12" s="42">
        <f t="shared" si="24"/>
        <v>0</v>
      </c>
      <c r="G12" s="27">
        <f t="shared" si="25"/>
        <v>0</v>
      </c>
      <c r="H12" s="1">
        <f t="shared" si="44"/>
        <v>6879</v>
      </c>
      <c r="I12" s="42">
        <f t="shared" si="26"/>
        <v>0</v>
      </c>
      <c r="J12" s="27">
        <f t="shared" si="27"/>
        <v>0</v>
      </c>
      <c r="K12" s="7">
        <f t="shared" si="45"/>
        <v>14382.23</v>
      </c>
      <c r="L12" s="42">
        <f t="shared" si="28"/>
        <v>0</v>
      </c>
      <c r="M12" s="27">
        <f t="shared" si="29"/>
        <v>0</v>
      </c>
      <c r="N12" s="7">
        <f t="shared" si="46"/>
        <v>4124.8239999999996</v>
      </c>
      <c r="O12" s="42">
        <f t="shared" si="30"/>
        <v>0</v>
      </c>
      <c r="P12" s="27">
        <f t="shared" si="31"/>
        <v>0</v>
      </c>
      <c r="Q12" s="7">
        <f t="shared" si="47"/>
        <v>5674.5</v>
      </c>
      <c r="R12" s="42">
        <f t="shared" si="32"/>
        <v>0</v>
      </c>
      <c r="S12" s="27">
        <f t="shared" si="33"/>
        <v>0</v>
      </c>
      <c r="T12" s="8">
        <f t="shared" si="34"/>
        <v>0</v>
      </c>
      <c r="U12" s="29">
        <f t="shared" si="35"/>
        <v>0</v>
      </c>
      <c r="W12" s="140">
        <v>44995</v>
      </c>
      <c r="X12" s="141">
        <f t="shared" si="48"/>
        <v>229893</v>
      </c>
      <c r="Y12" s="146">
        <f t="shared" si="36"/>
        <v>0</v>
      </c>
      <c r="Z12" s="141">
        <f t="shared" si="49"/>
        <v>10660</v>
      </c>
      <c r="AA12" s="146">
        <f t="shared" si="37"/>
        <v>0</v>
      </c>
      <c r="AB12" s="141">
        <f t="shared" si="38"/>
        <v>146.5</v>
      </c>
      <c r="AC12" s="146">
        <f t="shared" si="39"/>
        <v>0</v>
      </c>
      <c r="AD12" s="141">
        <v>973</v>
      </c>
      <c r="AE12" s="146">
        <f t="shared" si="40"/>
        <v>0</v>
      </c>
      <c r="AF12" s="141">
        <f t="shared" si="50"/>
        <v>10464</v>
      </c>
      <c r="AG12" s="146">
        <f t="shared" si="41"/>
        <v>0</v>
      </c>
    </row>
    <row r="13" spans="1:33" ht="16.5" thickBot="1" x14ac:dyDescent="0.25">
      <c r="A13" s="162">
        <v>44996</v>
      </c>
      <c r="B13" s="143">
        <f t="shared" si="42"/>
        <v>25785.379000000001</v>
      </c>
      <c r="C13" s="42">
        <f t="shared" si="22"/>
        <v>0</v>
      </c>
      <c r="D13" s="27">
        <f t="shared" si="23"/>
        <v>0</v>
      </c>
      <c r="E13" s="1">
        <f t="shared" si="43"/>
        <v>4752.0159999999996</v>
      </c>
      <c r="F13" s="42">
        <f t="shared" si="24"/>
        <v>0</v>
      </c>
      <c r="G13" s="27">
        <f t="shared" si="25"/>
        <v>0</v>
      </c>
      <c r="H13" s="1">
        <f t="shared" si="44"/>
        <v>6879</v>
      </c>
      <c r="I13" s="42">
        <f t="shared" si="26"/>
        <v>0</v>
      </c>
      <c r="J13" s="27">
        <f t="shared" si="27"/>
        <v>0</v>
      </c>
      <c r="K13" s="7">
        <f t="shared" si="45"/>
        <v>14382.23</v>
      </c>
      <c r="L13" s="42">
        <f t="shared" si="28"/>
        <v>0</v>
      </c>
      <c r="M13" s="27">
        <f t="shared" si="29"/>
        <v>0</v>
      </c>
      <c r="N13" s="7">
        <f t="shared" si="46"/>
        <v>4124.8239999999996</v>
      </c>
      <c r="O13" s="42">
        <f t="shared" si="30"/>
        <v>0</v>
      </c>
      <c r="P13" s="27">
        <f t="shared" si="31"/>
        <v>0</v>
      </c>
      <c r="Q13" s="7">
        <f t="shared" si="47"/>
        <v>5674.5</v>
      </c>
      <c r="R13" s="42">
        <f t="shared" si="32"/>
        <v>0</v>
      </c>
      <c r="S13" s="27">
        <f t="shared" si="33"/>
        <v>0</v>
      </c>
      <c r="T13" s="8">
        <f t="shared" si="34"/>
        <v>0</v>
      </c>
      <c r="U13" s="29">
        <f t="shared" si="35"/>
        <v>0</v>
      </c>
      <c r="W13" s="140">
        <v>44996</v>
      </c>
      <c r="X13" s="141">
        <f t="shared" si="48"/>
        <v>229893</v>
      </c>
      <c r="Y13" s="146">
        <f t="shared" si="36"/>
        <v>0</v>
      </c>
      <c r="Z13" s="141">
        <f t="shared" si="49"/>
        <v>10660</v>
      </c>
      <c r="AA13" s="146">
        <f t="shared" si="37"/>
        <v>0</v>
      </c>
      <c r="AB13" s="141">
        <f t="shared" si="38"/>
        <v>146.5</v>
      </c>
      <c r="AC13" s="146">
        <f t="shared" si="39"/>
        <v>0</v>
      </c>
      <c r="AD13" s="141">
        <v>973</v>
      </c>
      <c r="AE13" s="146">
        <f t="shared" si="40"/>
        <v>0</v>
      </c>
      <c r="AF13" s="141">
        <f t="shared" si="50"/>
        <v>10464</v>
      </c>
      <c r="AG13" s="146">
        <f t="shared" si="41"/>
        <v>0</v>
      </c>
    </row>
    <row r="14" spans="1:33" ht="16.5" thickBot="1" x14ac:dyDescent="0.25">
      <c r="A14" s="162">
        <v>44997</v>
      </c>
      <c r="B14" s="143">
        <f t="shared" si="42"/>
        <v>25785.379000000001</v>
      </c>
      <c r="C14" s="42">
        <f t="shared" si="22"/>
        <v>0</v>
      </c>
      <c r="D14" s="27">
        <f t="shared" si="23"/>
        <v>0</v>
      </c>
      <c r="E14" s="1">
        <f t="shared" si="43"/>
        <v>4752.0159999999996</v>
      </c>
      <c r="F14" s="42">
        <f t="shared" si="24"/>
        <v>0</v>
      </c>
      <c r="G14" s="27">
        <f t="shared" si="25"/>
        <v>0</v>
      </c>
      <c r="H14" s="1">
        <f t="shared" si="44"/>
        <v>6879</v>
      </c>
      <c r="I14" s="42">
        <f t="shared" si="26"/>
        <v>0</v>
      </c>
      <c r="J14" s="27">
        <f t="shared" si="27"/>
        <v>0</v>
      </c>
      <c r="K14" s="7">
        <f t="shared" si="45"/>
        <v>14382.23</v>
      </c>
      <c r="L14" s="42">
        <f t="shared" si="28"/>
        <v>0</v>
      </c>
      <c r="M14" s="27">
        <f t="shared" si="29"/>
        <v>0</v>
      </c>
      <c r="N14" s="7">
        <f t="shared" si="46"/>
        <v>4124.8239999999996</v>
      </c>
      <c r="O14" s="42">
        <f t="shared" si="30"/>
        <v>0</v>
      </c>
      <c r="P14" s="27">
        <f t="shared" si="31"/>
        <v>0</v>
      </c>
      <c r="Q14" s="7">
        <f t="shared" si="47"/>
        <v>5674.5</v>
      </c>
      <c r="R14" s="42">
        <f t="shared" si="32"/>
        <v>0</v>
      </c>
      <c r="S14" s="27">
        <f t="shared" si="33"/>
        <v>0</v>
      </c>
      <c r="T14" s="8">
        <f t="shared" si="34"/>
        <v>0</v>
      </c>
      <c r="U14" s="29">
        <f t="shared" si="35"/>
        <v>0</v>
      </c>
      <c r="W14" s="140">
        <v>44997</v>
      </c>
      <c r="X14" s="141">
        <f t="shared" si="48"/>
        <v>229893</v>
      </c>
      <c r="Y14" s="146">
        <f t="shared" si="36"/>
        <v>0</v>
      </c>
      <c r="Z14" s="141">
        <f t="shared" si="49"/>
        <v>10660</v>
      </c>
      <c r="AA14" s="146">
        <f t="shared" si="37"/>
        <v>0</v>
      </c>
      <c r="AB14" s="141">
        <f t="shared" si="38"/>
        <v>146.5</v>
      </c>
      <c r="AC14" s="146">
        <f t="shared" si="39"/>
        <v>0</v>
      </c>
      <c r="AD14" s="141">
        <v>973</v>
      </c>
      <c r="AE14" s="146">
        <f t="shared" si="40"/>
        <v>0</v>
      </c>
      <c r="AF14" s="141">
        <f t="shared" si="50"/>
        <v>10464</v>
      </c>
      <c r="AG14" s="146">
        <f t="shared" si="41"/>
        <v>0</v>
      </c>
    </row>
    <row r="15" spans="1:33" ht="16.5" thickBot="1" x14ac:dyDescent="0.25">
      <c r="A15" s="162">
        <v>44998</v>
      </c>
      <c r="B15" s="143">
        <f t="shared" si="42"/>
        <v>25785.379000000001</v>
      </c>
      <c r="C15" s="42">
        <f t="shared" si="22"/>
        <v>0</v>
      </c>
      <c r="D15" s="27">
        <f t="shared" si="23"/>
        <v>0</v>
      </c>
      <c r="E15" s="1">
        <f t="shared" si="43"/>
        <v>4752.0159999999996</v>
      </c>
      <c r="F15" s="42">
        <f t="shared" si="24"/>
        <v>0</v>
      </c>
      <c r="G15" s="27">
        <f t="shared" si="25"/>
        <v>0</v>
      </c>
      <c r="H15" s="1">
        <f t="shared" si="44"/>
        <v>6879</v>
      </c>
      <c r="I15" s="42">
        <f t="shared" si="26"/>
        <v>0</v>
      </c>
      <c r="J15" s="27">
        <f t="shared" si="27"/>
        <v>0</v>
      </c>
      <c r="K15" s="7">
        <f t="shared" si="45"/>
        <v>14382.23</v>
      </c>
      <c r="L15" s="42">
        <f t="shared" si="28"/>
        <v>0</v>
      </c>
      <c r="M15" s="27">
        <f t="shared" si="29"/>
        <v>0</v>
      </c>
      <c r="N15" s="7">
        <f t="shared" si="46"/>
        <v>4124.8239999999996</v>
      </c>
      <c r="O15" s="42">
        <f t="shared" si="30"/>
        <v>0</v>
      </c>
      <c r="P15" s="27">
        <f t="shared" si="31"/>
        <v>0</v>
      </c>
      <c r="Q15" s="7">
        <f t="shared" si="47"/>
        <v>5674.5</v>
      </c>
      <c r="R15" s="42">
        <f t="shared" si="32"/>
        <v>0</v>
      </c>
      <c r="S15" s="27">
        <f t="shared" si="33"/>
        <v>0</v>
      </c>
      <c r="T15" s="8">
        <f t="shared" si="34"/>
        <v>0</v>
      </c>
      <c r="U15" s="29">
        <f t="shared" si="35"/>
        <v>0</v>
      </c>
      <c r="W15" s="140">
        <v>44998</v>
      </c>
      <c r="X15" s="141">
        <f t="shared" si="48"/>
        <v>229893</v>
      </c>
      <c r="Y15" s="146">
        <f t="shared" si="36"/>
        <v>0</v>
      </c>
      <c r="Z15" s="141">
        <f t="shared" si="49"/>
        <v>10660</v>
      </c>
      <c r="AA15" s="146">
        <f t="shared" si="37"/>
        <v>0</v>
      </c>
      <c r="AB15" s="141">
        <f t="shared" si="38"/>
        <v>146.5</v>
      </c>
      <c r="AC15" s="146">
        <f t="shared" si="39"/>
        <v>0</v>
      </c>
      <c r="AD15" s="141">
        <v>973</v>
      </c>
      <c r="AE15" s="146">
        <f t="shared" si="40"/>
        <v>0</v>
      </c>
      <c r="AF15" s="141">
        <f t="shared" si="50"/>
        <v>10464</v>
      </c>
      <c r="AG15" s="146">
        <f t="shared" si="41"/>
        <v>0</v>
      </c>
    </row>
    <row r="16" spans="1:33" ht="16.5" thickBot="1" x14ac:dyDescent="0.25">
      <c r="A16" s="162">
        <v>44999</v>
      </c>
      <c r="B16" s="143">
        <f t="shared" si="42"/>
        <v>25785.379000000001</v>
      </c>
      <c r="C16" s="42">
        <f t="shared" si="22"/>
        <v>0</v>
      </c>
      <c r="D16" s="27">
        <f t="shared" si="23"/>
        <v>0</v>
      </c>
      <c r="E16" s="1">
        <f t="shared" si="43"/>
        <v>4752.0159999999996</v>
      </c>
      <c r="F16" s="42">
        <f t="shared" si="24"/>
        <v>0</v>
      </c>
      <c r="G16" s="27">
        <f t="shared" si="25"/>
        <v>0</v>
      </c>
      <c r="H16" s="1">
        <f t="shared" si="44"/>
        <v>6879</v>
      </c>
      <c r="I16" s="42">
        <f t="shared" si="26"/>
        <v>0</v>
      </c>
      <c r="J16" s="27">
        <f t="shared" si="27"/>
        <v>0</v>
      </c>
      <c r="K16" s="7">
        <f t="shared" si="45"/>
        <v>14382.23</v>
      </c>
      <c r="L16" s="42">
        <f t="shared" si="28"/>
        <v>0</v>
      </c>
      <c r="M16" s="27">
        <f t="shared" si="29"/>
        <v>0</v>
      </c>
      <c r="N16" s="7">
        <f t="shared" si="46"/>
        <v>4124.8239999999996</v>
      </c>
      <c r="O16" s="42">
        <f t="shared" si="30"/>
        <v>0</v>
      </c>
      <c r="P16" s="27">
        <f t="shared" si="31"/>
        <v>0</v>
      </c>
      <c r="Q16" s="7">
        <f t="shared" si="47"/>
        <v>5674.5</v>
      </c>
      <c r="R16" s="42">
        <f t="shared" si="32"/>
        <v>0</v>
      </c>
      <c r="S16" s="27">
        <f t="shared" si="33"/>
        <v>0</v>
      </c>
      <c r="T16" s="8">
        <f t="shared" si="34"/>
        <v>0</v>
      </c>
      <c r="U16" s="29">
        <f t="shared" si="35"/>
        <v>0</v>
      </c>
      <c r="W16" s="140">
        <v>44999</v>
      </c>
      <c r="X16" s="141">
        <f t="shared" si="48"/>
        <v>229893</v>
      </c>
      <c r="Y16" s="146">
        <f t="shared" si="36"/>
        <v>0</v>
      </c>
      <c r="Z16" s="141">
        <f t="shared" si="49"/>
        <v>10660</v>
      </c>
      <c r="AA16" s="146">
        <f t="shared" si="37"/>
        <v>0</v>
      </c>
      <c r="AB16" s="141">
        <f t="shared" si="38"/>
        <v>146.5</v>
      </c>
      <c r="AC16" s="146">
        <f t="shared" si="39"/>
        <v>0</v>
      </c>
      <c r="AD16" s="141">
        <v>973</v>
      </c>
      <c r="AE16" s="146">
        <f t="shared" si="40"/>
        <v>0</v>
      </c>
      <c r="AF16" s="141">
        <f t="shared" si="50"/>
        <v>10464</v>
      </c>
      <c r="AG16" s="146">
        <f t="shared" si="41"/>
        <v>0</v>
      </c>
    </row>
    <row r="17" spans="1:33" ht="16.5" thickBot="1" x14ac:dyDescent="0.25">
      <c r="A17" s="162">
        <v>45000</v>
      </c>
      <c r="B17" s="143">
        <f t="shared" si="42"/>
        <v>25785.379000000001</v>
      </c>
      <c r="C17" s="42">
        <f t="shared" si="22"/>
        <v>0</v>
      </c>
      <c r="D17" s="27">
        <f t="shared" si="23"/>
        <v>0</v>
      </c>
      <c r="E17" s="1">
        <f t="shared" si="43"/>
        <v>4752.0159999999996</v>
      </c>
      <c r="F17" s="42">
        <f t="shared" si="24"/>
        <v>0</v>
      </c>
      <c r="G17" s="27">
        <f t="shared" si="25"/>
        <v>0</v>
      </c>
      <c r="H17" s="1">
        <f t="shared" si="44"/>
        <v>6879</v>
      </c>
      <c r="I17" s="42">
        <f t="shared" si="26"/>
        <v>0</v>
      </c>
      <c r="J17" s="27">
        <f t="shared" si="27"/>
        <v>0</v>
      </c>
      <c r="K17" s="7">
        <f t="shared" si="45"/>
        <v>14382.23</v>
      </c>
      <c r="L17" s="42">
        <f t="shared" si="28"/>
        <v>0</v>
      </c>
      <c r="M17" s="27">
        <f t="shared" si="29"/>
        <v>0</v>
      </c>
      <c r="N17" s="7">
        <f t="shared" si="46"/>
        <v>4124.8239999999996</v>
      </c>
      <c r="O17" s="42">
        <f t="shared" si="30"/>
        <v>0</v>
      </c>
      <c r="P17" s="27">
        <f t="shared" si="31"/>
        <v>0</v>
      </c>
      <c r="Q17" s="7">
        <f t="shared" si="47"/>
        <v>5674.5</v>
      </c>
      <c r="R17" s="42">
        <f t="shared" si="32"/>
        <v>0</v>
      </c>
      <c r="S17" s="27">
        <f t="shared" si="33"/>
        <v>0</v>
      </c>
      <c r="T17" s="8">
        <f t="shared" si="34"/>
        <v>0</v>
      </c>
      <c r="U17" s="29">
        <f t="shared" si="35"/>
        <v>0</v>
      </c>
      <c r="W17" s="140">
        <v>45000</v>
      </c>
      <c r="X17" s="141">
        <f t="shared" si="48"/>
        <v>229893</v>
      </c>
      <c r="Y17" s="146">
        <f t="shared" si="36"/>
        <v>0</v>
      </c>
      <c r="Z17" s="141">
        <f t="shared" si="49"/>
        <v>10660</v>
      </c>
      <c r="AA17" s="146">
        <f t="shared" si="37"/>
        <v>0</v>
      </c>
      <c r="AB17" s="141">
        <f t="shared" si="38"/>
        <v>146.5</v>
      </c>
      <c r="AC17" s="146">
        <f t="shared" si="39"/>
        <v>0</v>
      </c>
      <c r="AD17" s="141">
        <v>973</v>
      </c>
      <c r="AE17" s="146">
        <f t="shared" si="40"/>
        <v>0</v>
      </c>
      <c r="AF17" s="141">
        <f t="shared" si="50"/>
        <v>10464</v>
      </c>
      <c r="AG17" s="146">
        <f t="shared" si="41"/>
        <v>0</v>
      </c>
    </row>
    <row r="18" spans="1:33" ht="16.5" thickBot="1" x14ac:dyDescent="0.25">
      <c r="A18" s="162">
        <v>45001</v>
      </c>
      <c r="B18" s="143">
        <f t="shared" si="42"/>
        <v>25785.379000000001</v>
      </c>
      <c r="C18" s="42">
        <f t="shared" si="22"/>
        <v>0</v>
      </c>
      <c r="D18" s="27">
        <f t="shared" si="23"/>
        <v>0</v>
      </c>
      <c r="E18" s="1">
        <f t="shared" si="43"/>
        <v>4752.0159999999996</v>
      </c>
      <c r="F18" s="42">
        <f t="shared" si="24"/>
        <v>0</v>
      </c>
      <c r="G18" s="27">
        <f t="shared" si="25"/>
        <v>0</v>
      </c>
      <c r="H18" s="1">
        <f t="shared" si="44"/>
        <v>6879</v>
      </c>
      <c r="I18" s="42">
        <f t="shared" si="26"/>
        <v>0</v>
      </c>
      <c r="J18" s="27">
        <f t="shared" si="27"/>
        <v>0</v>
      </c>
      <c r="K18" s="7">
        <f t="shared" si="45"/>
        <v>14382.23</v>
      </c>
      <c r="L18" s="42">
        <f t="shared" si="28"/>
        <v>0</v>
      </c>
      <c r="M18" s="27">
        <f t="shared" si="29"/>
        <v>0</v>
      </c>
      <c r="N18" s="7">
        <f t="shared" si="46"/>
        <v>4124.8239999999996</v>
      </c>
      <c r="O18" s="42">
        <f t="shared" si="30"/>
        <v>0</v>
      </c>
      <c r="P18" s="27">
        <f t="shared" si="31"/>
        <v>0</v>
      </c>
      <c r="Q18" s="7">
        <f t="shared" si="47"/>
        <v>5674.5</v>
      </c>
      <c r="R18" s="42">
        <f t="shared" si="32"/>
        <v>0</v>
      </c>
      <c r="S18" s="27">
        <f t="shared" si="33"/>
        <v>0</v>
      </c>
      <c r="T18" s="8">
        <f t="shared" si="34"/>
        <v>0</v>
      </c>
      <c r="U18" s="29">
        <f t="shared" si="35"/>
        <v>0</v>
      </c>
      <c r="W18" s="140">
        <v>45001</v>
      </c>
      <c r="X18" s="141">
        <f t="shared" si="48"/>
        <v>229893</v>
      </c>
      <c r="Y18" s="146">
        <f t="shared" si="36"/>
        <v>0</v>
      </c>
      <c r="Z18" s="141">
        <f t="shared" si="49"/>
        <v>10660</v>
      </c>
      <c r="AA18" s="146">
        <f t="shared" si="37"/>
        <v>0</v>
      </c>
      <c r="AB18" s="141">
        <f t="shared" si="38"/>
        <v>146.5</v>
      </c>
      <c r="AC18" s="146">
        <f t="shared" si="39"/>
        <v>0</v>
      </c>
      <c r="AD18" s="141">
        <v>973</v>
      </c>
      <c r="AE18" s="146">
        <f t="shared" si="40"/>
        <v>0</v>
      </c>
      <c r="AF18" s="141">
        <f t="shared" si="50"/>
        <v>10464</v>
      </c>
      <c r="AG18" s="146">
        <f t="shared" si="41"/>
        <v>0</v>
      </c>
    </row>
    <row r="19" spans="1:33" ht="16.5" thickBot="1" x14ac:dyDescent="0.25">
      <c r="A19" s="162">
        <v>45002</v>
      </c>
      <c r="B19" s="143">
        <f t="shared" si="42"/>
        <v>25785.379000000001</v>
      </c>
      <c r="C19" s="42">
        <f t="shared" si="22"/>
        <v>0</v>
      </c>
      <c r="D19" s="27">
        <f t="shared" si="23"/>
        <v>0</v>
      </c>
      <c r="E19" s="1">
        <f t="shared" si="43"/>
        <v>4752.0159999999996</v>
      </c>
      <c r="F19" s="42">
        <f t="shared" si="24"/>
        <v>0</v>
      </c>
      <c r="G19" s="27">
        <f t="shared" si="25"/>
        <v>0</v>
      </c>
      <c r="H19" s="1">
        <f t="shared" si="44"/>
        <v>6879</v>
      </c>
      <c r="I19" s="42">
        <f t="shared" si="26"/>
        <v>0</v>
      </c>
      <c r="J19" s="27">
        <f t="shared" si="27"/>
        <v>0</v>
      </c>
      <c r="K19" s="7">
        <f t="shared" si="45"/>
        <v>14382.23</v>
      </c>
      <c r="L19" s="42">
        <f t="shared" si="28"/>
        <v>0</v>
      </c>
      <c r="M19" s="27">
        <f t="shared" si="29"/>
        <v>0</v>
      </c>
      <c r="N19" s="7">
        <f t="shared" si="46"/>
        <v>4124.8239999999996</v>
      </c>
      <c r="O19" s="42">
        <f t="shared" si="30"/>
        <v>0</v>
      </c>
      <c r="P19" s="27">
        <f t="shared" si="31"/>
        <v>0</v>
      </c>
      <c r="Q19" s="7">
        <f t="shared" si="47"/>
        <v>5674.5</v>
      </c>
      <c r="R19" s="42">
        <f t="shared" si="32"/>
        <v>0</v>
      </c>
      <c r="S19" s="27">
        <f t="shared" si="33"/>
        <v>0</v>
      </c>
      <c r="T19" s="8">
        <f t="shared" si="34"/>
        <v>0</v>
      </c>
      <c r="U19" s="29">
        <f t="shared" si="35"/>
        <v>0</v>
      </c>
      <c r="W19" s="140">
        <v>45002</v>
      </c>
      <c r="X19" s="141">
        <f t="shared" si="48"/>
        <v>229893</v>
      </c>
      <c r="Y19" s="146">
        <f t="shared" si="36"/>
        <v>0</v>
      </c>
      <c r="Z19" s="141">
        <f t="shared" si="49"/>
        <v>10660</v>
      </c>
      <c r="AA19" s="146">
        <f t="shared" si="37"/>
        <v>0</v>
      </c>
      <c r="AB19" s="141">
        <f t="shared" si="38"/>
        <v>146.5</v>
      </c>
      <c r="AC19" s="146">
        <f t="shared" si="39"/>
        <v>0</v>
      </c>
      <c r="AD19" s="141">
        <v>973</v>
      </c>
      <c r="AE19" s="146">
        <f t="shared" si="40"/>
        <v>0</v>
      </c>
      <c r="AF19" s="141">
        <f t="shared" si="50"/>
        <v>10464</v>
      </c>
      <c r="AG19" s="146">
        <f t="shared" si="41"/>
        <v>0</v>
      </c>
    </row>
    <row r="20" spans="1:33" ht="16.5" thickBot="1" x14ac:dyDescent="0.25">
      <c r="A20" s="162">
        <v>45003</v>
      </c>
      <c r="B20" s="143">
        <f t="shared" si="42"/>
        <v>25785.379000000001</v>
      </c>
      <c r="C20" s="42">
        <f t="shared" si="22"/>
        <v>0</v>
      </c>
      <c r="D20" s="27">
        <f t="shared" si="23"/>
        <v>0</v>
      </c>
      <c r="E20" s="1">
        <f t="shared" si="43"/>
        <v>4752.0159999999996</v>
      </c>
      <c r="F20" s="42">
        <f t="shared" si="24"/>
        <v>0</v>
      </c>
      <c r="G20" s="27">
        <f t="shared" si="25"/>
        <v>0</v>
      </c>
      <c r="H20" s="1">
        <f t="shared" si="44"/>
        <v>6879</v>
      </c>
      <c r="I20" s="42">
        <f t="shared" si="26"/>
        <v>0</v>
      </c>
      <c r="J20" s="27">
        <f t="shared" si="27"/>
        <v>0</v>
      </c>
      <c r="K20" s="7">
        <f t="shared" si="45"/>
        <v>14382.23</v>
      </c>
      <c r="L20" s="42">
        <f t="shared" si="28"/>
        <v>0</v>
      </c>
      <c r="M20" s="27">
        <f t="shared" si="29"/>
        <v>0</v>
      </c>
      <c r="N20" s="7">
        <f t="shared" si="46"/>
        <v>4124.8239999999996</v>
      </c>
      <c r="O20" s="42">
        <f t="shared" si="30"/>
        <v>0</v>
      </c>
      <c r="P20" s="27">
        <f t="shared" si="31"/>
        <v>0</v>
      </c>
      <c r="Q20" s="7">
        <f t="shared" si="47"/>
        <v>5674.5</v>
      </c>
      <c r="R20" s="42">
        <f t="shared" si="32"/>
        <v>0</v>
      </c>
      <c r="S20" s="27">
        <f t="shared" si="33"/>
        <v>0</v>
      </c>
      <c r="T20" s="8">
        <f t="shared" si="34"/>
        <v>0</v>
      </c>
      <c r="U20" s="29">
        <f t="shared" si="35"/>
        <v>0</v>
      </c>
      <c r="W20" s="140">
        <v>45003</v>
      </c>
      <c r="X20" s="141">
        <f t="shared" si="48"/>
        <v>229893</v>
      </c>
      <c r="Y20" s="146">
        <f t="shared" si="36"/>
        <v>0</v>
      </c>
      <c r="Z20" s="141">
        <f t="shared" si="49"/>
        <v>10660</v>
      </c>
      <c r="AA20" s="146">
        <f t="shared" si="37"/>
        <v>0</v>
      </c>
      <c r="AB20" s="141">
        <f t="shared" si="38"/>
        <v>146.5</v>
      </c>
      <c r="AC20" s="146">
        <f t="shared" si="39"/>
        <v>0</v>
      </c>
      <c r="AD20" s="141">
        <v>973</v>
      </c>
      <c r="AE20" s="146">
        <f t="shared" si="40"/>
        <v>0</v>
      </c>
      <c r="AF20" s="141">
        <f t="shared" si="50"/>
        <v>10464</v>
      </c>
      <c r="AG20" s="146">
        <f t="shared" si="41"/>
        <v>0</v>
      </c>
    </row>
    <row r="21" spans="1:33" ht="16.5" thickBot="1" x14ac:dyDescent="0.25">
      <c r="A21" s="162">
        <v>45004</v>
      </c>
      <c r="B21" s="143">
        <f t="shared" si="42"/>
        <v>25785.379000000001</v>
      </c>
      <c r="C21" s="42">
        <f t="shared" si="22"/>
        <v>0</v>
      </c>
      <c r="D21" s="27">
        <f t="shared" si="23"/>
        <v>0</v>
      </c>
      <c r="E21" s="1">
        <f t="shared" si="43"/>
        <v>4752.0159999999996</v>
      </c>
      <c r="F21" s="42">
        <f t="shared" si="24"/>
        <v>0</v>
      </c>
      <c r="G21" s="27">
        <f t="shared" si="25"/>
        <v>0</v>
      </c>
      <c r="H21" s="1">
        <f t="shared" si="44"/>
        <v>6879</v>
      </c>
      <c r="I21" s="42">
        <f t="shared" si="26"/>
        <v>0</v>
      </c>
      <c r="J21" s="27">
        <f t="shared" si="27"/>
        <v>0</v>
      </c>
      <c r="K21" s="7">
        <f t="shared" si="45"/>
        <v>14382.23</v>
      </c>
      <c r="L21" s="42">
        <f t="shared" si="28"/>
        <v>0</v>
      </c>
      <c r="M21" s="27">
        <f t="shared" si="29"/>
        <v>0</v>
      </c>
      <c r="N21" s="7">
        <f t="shared" si="46"/>
        <v>4124.8239999999996</v>
      </c>
      <c r="O21" s="42">
        <f t="shared" si="30"/>
        <v>0</v>
      </c>
      <c r="P21" s="27">
        <f t="shared" si="31"/>
        <v>0</v>
      </c>
      <c r="Q21" s="7">
        <f t="shared" si="47"/>
        <v>5674.5</v>
      </c>
      <c r="R21" s="42">
        <f t="shared" si="32"/>
        <v>0</v>
      </c>
      <c r="S21" s="27">
        <f t="shared" si="33"/>
        <v>0</v>
      </c>
      <c r="T21" s="8">
        <f t="shared" si="34"/>
        <v>0</v>
      </c>
      <c r="U21" s="29">
        <f t="shared" si="35"/>
        <v>0</v>
      </c>
      <c r="W21" s="140">
        <v>45004</v>
      </c>
      <c r="X21" s="141">
        <f t="shared" si="48"/>
        <v>229893</v>
      </c>
      <c r="Y21" s="146">
        <f t="shared" si="36"/>
        <v>0</v>
      </c>
      <c r="Z21" s="141">
        <f t="shared" si="49"/>
        <v>10660</v>
      </c>
      <c r="AA21" s="146">
        <f t="shared" si="37"/>
        <v>0</v>
      </c>
      <c r="AB21" s="141">
        <f t="shared" si="38"/>
        <v>146.5</v>
      </c>
      <c r="AC21" s="146">
        <f t="shared" si="39"/>
        <v>0</v>
      </c>
      <c r="AD21" s="141">
        <v>973</v>
      </c>
      <c r="AE21" s="146">
        <f t="shared" si="40"/>
        <v>0</v>
      </c>
      <c r="AF21" s="141">
        <f t="shared" si="50"/>
        <v>10464</v>
      </c>
      <c r="AG21" s="146">
        <f t="shared" si="41"/>
        <v>0</v>
      </c>
    </row>
    <row r="22" spans="1:33" ht="16.5" thickBot="1" x14ac:dyDescent="0.25">
      <c r="A22" s="162">
        <v>45005</v>
      </c>
      <c r="B22" s="143">
        <f t="shared" si="42"/>
        <v>25785.379000000001</v>
      </c>
      <c r="C22" s="42">
        <f t="shared" si="22"/>
        <v>0</v>
      </c>
      <c r="D22" s="27">
        <f t="shared" si="23"/>
        <v>0</v>
      </c>
      <c r="E22" s="1">
        <f t="shared" si="43"/>
        <v>4752.0159999999996</v>
      </c>
      <c r="F22" s="42">
        <f t="shared" si="24"/>
        <v>0</v>
      </c>
      <c r="G22" s="27">
        <f t="shared" si="25"/>
        <v>0</v>
      </c>
      <c r="H22" s="1">
        <f t="shared" si="44"/>
        <v>6879</v>
      </c>
      <c r="I22" s="42">
        <f t="shared" si="26"/>
        <v>0</v>
      </c>
      <c r="J22" s="27">
        <f t="shared" si="27"/>
        <v>0</v>
      </c>
      <c r="K22" s="7">
        <f t="shared" si="45"/>
        <v>14382.23</v>
      </c>
      <c r="L22" s="42">
        <f t="shared" si="28"/>
        <v>0</v>
      </c>
      <c r="M22" s="27">
        <f t="shared" si="29"/>
        <v>0</v>
      </c>
      <c r="N22" s="7">
        <f t="shared" si="46"/>
        <v>4124.8239999999996</v>
      </c>
      <c r="O22" s="42">
        <f t="shared" si="30"/>
        <v>0</v>
      </c>
      <c r="P22" s="27">
        <f t="shared" si="31"/>
        <v>0</v>
      </c>
      <c r="Q22" s="7">
        <f t="shared" si="47"/>
        <v>5674.5</v>
      </c>
      <c r="R22" s="42">
        <f t="shared" si="32"/>
        <v>0</v>
      </c>
      <c r="S22" s="27">
        <f t="shared" si="33"/>
        <v>0</v>
      </c>
      <c r="T22" s="8">
        <f t="shared" si="34"/>
        <v>0</v>
      </c>
      <c r="U22" s="29">
        <f t="shared" si="35"/>
        <v>0</v>
      </c>
      <c r="W22" s="140">
        <v>45005</v>
      </c>
      <c r="X22" s="141">
        <f t="shared" si="48"/>
        <v>229893</v>
      </c>
      <c r="Y22" s="146">
        <f t="shared" si="36"/>
        <v>0</v>
      </c>
      <c r="Z22" s="141">
        <f t="shared" si="49"/>
        <v>10660</v>
      </c>
      <c r="AA22" s="146">
        <f t="shared" si="37"/>
        <v>0</v>
      </c>
      <c r="AB22" s="141">
        <f t="shared" si="38"/>
        <v>146.5</v>
      </c>
      <c r="AC22" s="146">
        <f t="shared" si="39"/>
        <v>0</v>
      </c>
      <c r="AD22" s="141">
        <v>973</v>
      </c>
      <c r="AE22" s="146">
        <f t="shared" si="40"/>
        <v>0</v>
      </c>
      <c r="AF22" s="141">
        <f t="shared" si="50"/>
        <v>10464</v>
      </c>
      <c r="AG22" s="146">
        <f t="shared" si="41"/>
        <v>0</v>
      </c>
    </row>
    <row r="23" spans="1:33" ht="16.5" thickBot="1" x14ac:dyDescent="0.25">
      <c r="A23" s="162">
        <v>45006</v>
      </c>
      <c r="B23" s="143">
        <f t="shared" si="42"/>
        <v>25785.379000000001</v>
      </c>
      <c r="C23" s="42">
        <f t="shared" si="22"/>
        <v>0</v>
      </c>
      <c r="D23" s="27">
        <f t="shared" si="23"/>
        <v>0</v>
      </c>
      <c r="E23" s="1">
        <f t="shared" si="43"/>
        <v>4752.0159999999996</v>
      </c>
      <c r="F23" s="42">
        <f t="shared" si="24"/>
        <v>0</v>
      </c>
      <c r="G23" s="27">
        <f t="shared" si="25"/>
        <v>0</v>
      </c>
      <c r="H23" s="1">
        <f t="shared" si="44"/>
        <v>6879</v>
      </c>
      <c r="I23" s="42">
        <f t="shared" si="26"/>
        <v>0</v>
      </c>
      <c r="J23" s="27">
        <f t="shared" si="27"/>
        <v>0</v>
      </c>
      <c r="K23" s="7">
        <f t="shared" si="45"/>
        <v>14382.23</v>
      </c>
      <c r="L23" s="42">
        <f t="shared" si="28"/>
        <v>0</v>
      </c>
      <c r="M23" s="27">
        <f t="shared" si="29"/>
        <v>0</v>
      </c>
      <c r="N23" s="7">
        <f t="shared" si="46"/>
        <v>4124.8239999999996</v>
      </c>
      <c r="O23" s="42">
        <f t="shared" si="30"/>
        <v>0</v>
      </c>
      <c r="P23" s="27">
        <f t="shared" si="31"/>
        <v>0</v>
      </c>
      <c r="Q23" s="7">
        <f t="shared" si="47"/>
        <v>5674.5</v>
      </c>
      <c r="R23" s="42">
        <f t="shared" si="32"/>
        <v>0</v>
      </c>
      <c r="S23" s="27">
        <f t="shared" si="33"/>
        <v>0</v>
      </c>
      <c r="T23" s="8">
        <f t="shared" si="34"/>
        <v>0</v>
      </c>
      <c r="U23" s="29">
        <f t="shared" si="35"/>
        <v>0</v>
      </c>
      <c r="W23" s="140">
        <v>45006</v>
      </c>
      <c r="X23" s="141">
        <f t="shared" si="48"/>
        <v>229893</v>
      </c>
      <c r="Y23" s="146">
        <f t="shared" si="36"/>
        <v>0</v>
      </c>
      <c r="Z23" s="141">
        <f t="shared" si="49"/>
        <v>10660</v>
      </c>
      <c r="AA23" s="146">
        <f t="shared" si="37"/>
        <v>0</v>
      </c>
      <c r="AB23" s="141">
        <f t="shared" si="38"/>
        <v>146.5</v>
      </c>
      <c r="AC23" s="146">
        <f t="shared" si="39"/>
        <v>0</v>
      </c>
      <c r="AD23" s="141">
        <v>973</v>
      </c>
      <c r="AE23" s="146">
        <f t="shared" si="40"/>
        <v>0</v>
      </c>
      <c r="AF23" s="141">
        <f t="shared" si="50"/>
        <v>10464</v>
      </c>
      <c r="AG23" s="146">
        <f t="shared" si="41"/>
        <v>0</v>
      </c>
    </row>
    <row r="24" spans="1:33" ht="16.5" thickBot="1" x14ac:dyDescent="0.25">
      <c r="A24" s="162">
        <v>45007</v>
      </c>
      <c r="B24" s="143">
        <f t="shared" si="42"/>
        <v>25785.379000000001</v>
      </c>
      <c r="C24" s="42">
        <f t="shared" si="22"/>
        <v>0</v>
      </c>
      <c r="D24" s="27">
        <f t="shared" si="23"/>
        <v>0</v>
      </c>
      <c r="E24" s="1">
        <f t="shared" si="43"/>
        <v>4752.0159999999996</v>
      </c>
      <c r="F24" s="42">
        <f t="shared" si="24"/>
        <v>0</v>
      </c>
      <c r="G24" s="27">
        <f t="shared" si="25"/>
        <v>0</v>
      </c>
      <c r="H24" s="1">
        <f t="shared" si="44"/>
        <v>6879</v>
      </c>
      <c r="I24" s="42">
        <f t="shared" si="26"/>
        <v>0</v>
      </c>
      <c r="J24" s="27">
        <f t="shared" si="27"/>
        <v>0</v>
      </c>
      <c r="K24" s="7">
        <f t="shared" si="45"/>
        <v>14382.23</v>
      </c>
      <c r="L24" s="42">
        <f t="shared" si="28"/>
        <v>0</v>
      </c>
      <c r="M24" s="27">
        <f t="shared" si="29"/>
        <v>0</v>
      </c>
      <c r="N24" s="7">
        <f t="shared" si="46"/>
        <v>4124.8239999999996</v>
      </c>
      <c r="O24" s="42">
        <f t="shared" si="30"/>
        <v>0</v>
      </c>
      <c r="P24" s="27">
        <f t="shared" si="31"/>
        <v>0</v>
      </c>
      <c r="Q24" s="7">
        <f t="shared" si="47"/>
        <v>5674.5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si="48"/>
        <v>229893</v>
      </c>
      <c r="Y24" s="146">
        <f t="shared" si="36"/>
        <v>0</v>
      </c>
      <c r="Z24" s="141">
        <f t="shared" si="49"/>
        <v>10660</v>
      </c>
      <c r="AA24" s="146">
        <f t="shared" si="37"/>
        <v>0</v>
      </c>
      <c r="AB24" s="141">
        <f t="shared" si="38"/>
        <v>146.5</v>
      </c>
      <c r="AC24" s="146">
        <f t="shared" si="39"/>
        <v>0</v>
      </c>
      <c r="AD24" s="141">
        <v>973</v>
      </c>
      <c r="AE24" s="146">
        <f t="shared" si="40"/>
        <v>0</v>
      </c>
      <c r="AF24" s="141">
        <f t="shared" si="50"/>
        <v>10464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25785.379000000001</v>
      </c>
      <c r="C25" s="42">
        <f t="shared" si="22"/>
        <v>0</v>
      </c>
      <c r="D25" s="27">
        <f t="shared" si="23"/>
        <v>0</v>
      </c>
      <c r="E25" s="1">
        <f t="shared" si="43"/>
        <v>4752.0159999999996</v>
      </c>
      <c r="F25" s="42">
        <f t="shared" si="24"/>
        <v>0</v>
      </c>
      <c r="G25" s="27">
        <f t="shared" si="25"/>
        <v>0</v>
      </c>
      <c r="H25" s="1">
        <f t="shared" si="44"/>
        <v>6879</v>
      </c>
      <c r="I25" s="42">
        <f t="shared" si="26"/>
        <v>0</v>
      </c>
      <c r="J25" s="27">
        <f t="shared" si="27"/>
        <v>0</v>
      </c>
      <c r="K25" s="7">
        <f t="shared" si="45"/>
        <v>14382.23</v>
      </c>
      <c r="L25" s="42">
        <f t="shared" si="28"/>
        <v>0</v>
      </c>
      <c r="M25" s="27">
        <f t="shared" si="29"/>
        <v>0</v>
      </c>
      <c r="N25" s="7">
        <f t="shared" si="46"/>
        <v>4124.8239999999996</v>
      </c>
      <c r="O25" s="42">
        <f t="shared" si="30"/>
        <v>0</v>
      </c>
      <c r="P25" s="27">
        <f t="shared" si="31"/>
        <v>0</v>
      </c>
      <c r="Q25" s="7">
        <f t="shared" si="47"/>
        <v>5674.5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229893</v>
      </c>
      <c r="Y25" s="146">
        <f t="shared" si="36"/>
        <v>0</v>
      </c>
      <c r="Z25" s="141">
        <f t="shared" si="49"/>
        <v>10660</v>
      </c>
      <c r="AA25" s="146">
        <f t="shared" si="37"/>
        <v>0</v>
      </c>
      <c r="AB25" s="141">
        <f t="shared" si="38"/>
        <v>146.5</v>
      </c>
      <c r="AC25" s="146">
        <f t="shared" si="39"/>
        <v>0</v>
      </c>
      <c r="AD25" s="141">
        <v>973</v>
      </c>
      <c r="AE25" s="146">
        <f t="shared" si="40"/>
        <v>0</v>
      </c>
      <c r="AF25" s="141">
        <f t="shared" si="50"/>
        <v>10464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25785.379000000001</v>
      </c>
      <c r="C26" s="42">
        <f t="shared" si="22"/>
        <v>0</v>
      </c>
      <c r="D26" s="27">
        <f t="shared" si="23"/>
        <v>0</v>
      </c>
      <c r="E26" s="1">
        <f t="shared" si="43"/>
        <v>4752.0159999999996</v>
      </c>
      <c r="F26" s="42">
        <f t="shared" si="24"/>
        <v>0</v>
      </c>
      <c r="G26" s="27">
        <f t="shared" si="25"/>
        <v>0</v>
      </c>
      <c r="H26" s="1">
        <f t="shared" si="44"/>
        <v>6879</v>
      </c>
      <c r="I26" s="42">
        <f t="shared" si="26"/>
        <v>0</v>
      </c>
      <c r="J26" s="27">
        <f t="shared" si="27"/>
        <v>0</v>
      </c>
      <c r="K26" s="7">
        <f t="shared" si="45"/>
        <v>14382.23</v>
      </c>
      <c r="L26" s="42">
        <f t="shared" si="28"/>
        <v>0</v>
      </c>
      <c r="M26" s="27">
        <f t="shared" si="29"/>
        <v>0</v>
      </c>
      <c r="N26" s="7">
        <f t="shared" si="46"/>
        <v>4124.8239999999996</v>
      </c>
      <c r="O26" s="42">
        <f t="shared" si="30"/>
        <v>0</v>
      </c>
      <c r="P26" s="27">
        <f t="shared" si="31"/>
        <v>0</v>
      </c>
      <c r="Q26" s="7">
        <f t="shared" si="47"/>
        <v>5674.5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229893</v>
      </c>
      <c r="Y26" s="146">
        <f t="shared" si="36"/>
        <v>0</v>
      </c>
      <c r="Z26" s="141">
        <f t="shared" si="49"/>
        <v>10660</v>
      </c>
      <c r="AA26" s="146">
        <f t="shared" si="37"/>
        <v>0</v>
      </c>
      <c r="AB26" s="141">
        <f t="shared" si="38"/>
        <v>146.5</v>
      </c>
      <c r="AC26" s="146">
        <f t="shared" si="39"/>
        <v>0</v>
      </c>
      <c r="AD26" s="141">
        <v>973</v>
      </c>
      <c r="AE26" s="146">
        <f t="shared" si="40"/>
        <v>0</v>
      </c>
      <c r="AF26" s="141">
        <f t="shared" si="50"/>
        <v>10464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25785.379000000001</v>
      </c>
      <c r="C27" s="42">
        <f t="shared" si="22"/>
        <v>0</v>
      </c>
      <c r="D27" s="27">
        <f t="shared" si="23"/>
        <v>0</v>
      </c>
      <c r="E27" s="1">
        <f t="shared" si="43"/>
        <v>4752.0159999999996</v>
      </c>
      <c r="F27" s="42">
        <f t="shared" si="24"/>
        <v>0</v>
      </c>
      <c r="G27" s="27">
        <f t="shared" si="25"/>
        <v>0</v>
      </c>
      <c r="H27" s="1">
        <f t="shared" si="44"/>
        <v>6879</v>
      </c>
      <c r="I27" s="42">
        <f t="shared" si="26"/>
        <v>0</v>
      </c>
      <c r="J27" s="27">
        <f t="shared" si="27"/>
        <v>0</v>
      </c>
      <c r="K27" s="7">
        <f t="shared" si="45"/>
        <v>14382.23</v>
      </c>
      <c r="L27" s="42">
        <f t="shared" si="28"/>
        <v>0</v>
      </c>
      <c r="M27" s="27">
        <f t="shared" si="29"/>
        <v>0</v>
      </c>
      <c r="N27" s="7">
        <f t="shared" si="46"/>
        <v>4124.8239999999996</v>
      </c>
      <c r="O27" s="42">
        <f t="shared" si="30"/>
        <v>0</v>
      </c>
      <c r="P27" s="27">
        <f t="shared" si="31"/>
        <v>0</v>
      </c>
      <c r="Q27" s="7">
        <f t="shared" si="47"/>
        <v>5674.5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229893</v>
      </c>
      <c r="Y27" s="146">
        <f t="shared" si="36"/>
        <v>0</v>
      </c>
      <c r="Z27" s="141">
        <f t="shared" si="49"/>
        <v>10660</v>
      </c>
      <c r="AA27" s="146">
        <f t="shared" si="37"/>
        <v>0</v>
      </c>
      <c r="AB27" s="141">
        <f t="shared" si="38"/>
        <v>146.5</v>
      </c>
      <c r="AC27" s="146">
        <f t="shared" si="39"/>
        <v>0</v>
      </c>
      <c r="AD27" s="141">
        <v>973</v>
      </c>
      <c r="AE27" s="146">
        <f t="shared" si="40"/>
        <v>0</v>
      </c>
      <c r="AF27" s="141">
        <f t="shared" si="50"/>
        <v>10464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25785.379000000001</v>
      </c>
      <c r="C28" s="42">
        <f t="shared" si="22"/>
        <v>0</v>
      </c>
      <c r="D28" s="27">
        <f t="shared" si="23"/>
        <v>0</v>
      </c>
      <c r="E28" s="1">
        <f t="shared" si="43"/>
        <v>4752.0159999999996</v>
      </c>
      <c r="F28" s="42">
        <f t="shared" si="24"/>
        <v>0</v>
      </c>
      <c r="G28" s="27">
        <f t="shared" si="25"/>
        <v>0</v>
      </c>
      <c r="H28" s="1">
        <f t="shared" si="44"/>
        <v>6879</v>
      </c>
      <c r="I28" s="42">
        <f t="shared" si="26"/>
        <v>0</v>
      </c>
      <c r="J28" s="27">
        <f t="shared" si="27"/>
        <v>0</v>
      </c>
      <c r="K28" s="7">
        <f t="shared" si="45"/>
        <v>14382.23</v>
      </c>
      <c r="L28" s="42">
        <f t="shared" si="28"/>
        <v>0</v>
      </c>
      <c r="M28" s="27">
        <f t="shared" si="29"/>
        <v>0</v>
      </c>
      <c r="N28" s="7">
        <f t="shared" si="46"/>
        <v>4124.8239999999996</v>
      </c>
      <c r="O28" s="42">
        <f t="shared" si="30"/>
        <v>0</v>
      </c>
      <c r="P28" s="27">
        <f t="shared" si="31"/>
        <v>0</v>
      </c>
      <c r="Q28" s="7">
        <f t="shared" si="47"/>
        <v>5674.5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229893</v>
      </c>
      <c r="Y28" s="146">
        <f t="shared" si="36"/>
        <v>0</v>
      </c>
      <c r="Z28" s="141">
        <f t="shared" si="49"/>
        <v>10660</v>
      </c>
      <c r="AA28" s="146">
        <f t="shared" si="37"/>
        <v>0</v>
      </c>
      <c r="AB28" s="141">
        <f t="shared" si="38"/>
        <v>146.5</v>
      </c>
      <c r="AC28" s="146">
        <f t="shared" si="39"/>
        <v>0</v>
      </c>
      <c r="AD28" s="141">
        <v>973</v>
      </c>
      <c r="AE28" s="146">
        <f t="shared" si="40"/>
        <v>0</v>
      </c>
      <c r="AF28" s="141">
        <f t="shared" si="50"/>
        <v>10464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25785.379000000001</v>
      </c>
      <c r="C29" s="42">
        <f t="shared" si="22"/>
        <v>0</v>
      </c>
      <c r="D29" s="27">
        <f t="shared" si="23"/>
        <v>0</v>
      </c>
      <c r="E29" s="1">
        <f t="shared" si="43"/>
        <v>4752.0159999999996</v>
      </c>
      <c r="F29" s="42">
        <f t="shared" si="24"/>
        <v>0</v>
      </c>
      <c r="G29" s="27">
        <f t="shared" si="25"/>
        <v>0</v>
      </c>
      <c r="H29" s="1">
        <f t="shared" si="44"/>
        <v>6879</v>
      </c>
      <c r="I29" s="42">
        <f t="shared" si="26"/>
        <v>0</v>
      </c>
      <c r="J29" s="27">
        <f t="shared" si="27"/>
        <v>0</v>
      </c>
      <c r="K29" s="7">
        <f t="shared" si="45"/>
        <v>14382.23</v>
      </c>
      <c r="L29" s="42">
        <f t="shared" si="28"/>
        <v>0</v>
      </c>
      <c r="M29" s="27">
        <f t="shared" si="29"/>
        <v>0</v>
      </c>
      <c r="N29" s="7">
        <f t="shared" si="46"/>
        <v>4124.8239999999996</v>
      </c>
      <c r="O29" s="42">
        <f t="shared" si="30"/>
        <v>0</v>
      </c>
      <c r="P29" s="27">
        <f t="shared" si="31"/>
        <v>0</v>
      </c>
      <c r="Q29" s="7">
        <f t="shared" si="47"/>
        <v>5674.5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229893</v>
      </c>
      <c r="Y29" s="146">
        <f t="shared" si="36"/>
        <v>0</v>
      </c>
      <c r="Z29" s="141">
        <f t="shared" si="49"/>
        <v>10660</v>
      </c>
      <c r="AA29" s="146">
        <f t="shared" si="37"/>
        <v>0</v>
      </c>
      <c r="AB29" s="141">
        <f t="shared" si="38"/>
        <v>146.5</v>
      </c>
      <c r="AC29" s="146">
        <f t="shared" si="39"/>
        <v>0</v>
      </c>
      <c r="AD29" s="141">
        <v>973</v>
      </c>
      <c r="AE29" s="146">
        <f t="shared" si="40"/>
        <v>0</v>
      </c>
      <c r="AF29" s="141">
        <f t="shared" si="50"/>
        <v>10464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25785.379000000001</v>
      </c>
      <c r="C30" s="42">
        <f t="shared" si="22"/>
        <v>0</v>
      </c>
      <c r="D30" s="27">
        <f t="shared" si="23"/>
        <v>0</v>
      </c>
      <c r="E30" s="1">
        <f t="shared" si="43"/>
        <v>4752.0159999999996</v>
      </c>
      <c r="F30" s="42">
        <f t="shared" si="24"/>
        <v>0</v>
      </c>
      <c r="G30" s="27">
        <f t="shared" si="25"/>
        <v>0</v>
      </c>
      <c r="H30" s="1">
        <f t="shared" si="44"/>
        <v>6879</v>
      </c>
      <c r="I30" s="42">
        <f t="shared" si="26"/>
        <v>0</v>
      </c>
      <c r="J30" s="27">
        <f t="shared" si="27"/>
        <v>0</v>
      </c>
      <c r="K30" s="7">
        <f t="shared" si="45"/>
        <v>14382.23</v>
      </c>
      <c r="L30" s="42">
        <f t="shared" si="28"/>
        <v>0</v>
      </c>
      <c r="M30" s="27">
        <f t="shared" si="29"/>
        <v>0</v>
      </c>
      <c r="N30" s="7">
        <f t="shared" si="46"/>
        <v>4124.8239999999996</v>
      </c>
      <c r="O30" s="42">
        <f t="shared" si="30"/>
        <v>0</v>
      </c>
      <c r="P30" s="27">
        <f t="shared" si="31"/>
        <v>0</v>
      </c>
      <c r="Q30" s="7">
        <f t="shared" si="47"/>
        <v>5674.5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229893</v>
      </c>
      <c r="Y30" s="146">
        <f t="shared" si="36"/>
        <v>0</v>
      </c>
      <c r="Z30" s="141">
        <f t="shared" si="49"/>
        <v>10660</v>
      </c>
      <c r="AA30" s="146">
        <f t="shared" si="37"/>
        <v>0</v>
      </c>
      <c r="AB30" s="141">
        <f t="shared" si="38"/>
        <v>146.5</v>
      </c>
      <c r="AC30" s="146">
        <f t="shared" si="39"/>
        <v>0</v>
      </c>
      <c r="AD30" s="141">
        <v>973</v>
      </c>
      <c r="AE30" s="146">
        <f t="shared" si="40"/>
        <v>0</v>
      </c>
      <c r="AF30" s="141">
        <f t="shared" si="50"/>
        <v>10464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25785.379000000001</v>
      </c>
      <c r="C31" s="42">
        <f t="shared" si="22"/>
        <v>0</v>
      </c>
      <c r="D31" s="27">
        <f t="shared" si="23"/>
        <v>0</v>
      </c>
      <c r="E31" s="1">
        <f t="shared" si="43"/>
        <v>4752.0159999999996</v>
      </c>
      <c r="F31" s="42">
        <f t="shared" si="24"/>
        <v>0</v>
      </c>
      <c r="G31" s="27">
        <f t="shared" si="25"/>
        <v>0</v>
      </c>
      <c r="H31" s="1">
        <f t="shared" si="44"/>
        <v>6879</v>
      </c>
      <c r="I31" s="42">
        <f t="shared" si="26"/>
        <v>0</v>
      </c>
      <c r="J31" s="27">
        <f t="shared" si="27"/>
        <v>0</v>
      </c>
      <c r="K31" s="7">
        <f t="shared" si="45"/>
        <v>14382.23</v>
      </c>
      <c r="L31" s="42">
        <f t="shared" si="28"/>
        <v>0</v>
      </c>
      <c r="M31" s="27">
        <f t="shared" si="29"/>
        <v>0</v>
      </c>
      <c r="N31" s="7">
        <f t="shared" si="46"/>
        <v>4124.8239999999996</v>
      </c>
      <c r="O31" s="42">
        <f t="shared" si="30"/>
        <v>0</v>
      </c>
      <c r="P31" s="27">
        <f t="shared" si="31"/>
        <v>0</v>
      </c>
      <c r="Q31" s="7">
        <f t="shared" si="47"/>
        <v>5674.5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229893</v>
      </c>
      <c r="Y31" s="146">
        <f t="shared" si="36"/>
        <v>0</v>
      </c>
      <c r="Z31" s="141">
        <f t="shared" si="49"/>
        <v>10660</v>
      </c>
      <c r="AA31" s="146">
        <f t="shared" si="37"/>
        <v>0</v>
      </c>
      <c r="AB31" s="141">
        <f t="shared" si="38"/>
        <v>146.5</v>
      </c>
      <c r="AC31" s="146">
        <f t="shared" si="39"/>
        <v>0</v>
      </c>
      <c r="AD31" s="141">
        <v>973</v>
      </c>
      <c r="AE31" s="146">
        <f t="shared" si="40"/>
        <v>0</v>
      </c>
      <c r="AF31" s="141">
        <f t="shared" si="50"/>
        <v>10464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25785.379000000001</v>
      </c>
      <c r="C32" s="42">
        <f t="shared" si="22"/>
        <v>0</v>
      </c>
      <c r="D32" s="27">
        <f t="shared" si="23"/>
        <v>0</v>
      </c>
      <c r="E32" s="1">
        <f t="shared" si="43"/>
        <v>4752.0159999999996</v>
      </c>
      <c r="F32" s="42">
        <f t="shared" si="24"/>
        <v>0</v>
      </c>
      <c r="G32" s="27">
        <f t="shared" si="25"/>
        <v>0</v>
      </c>
      <c r="H32" s="1">
        <f t="shared" si="44"/>
        <v>6879</v>
      </c>
      <c r="I32" s="42">
        <f t="shared" si="26"/>
        <v>0</v>
      </c>
      <c r="J32" s="27">
        <f t="shared" si="27"/>
        <v>0</v>
      </c>
      <c r="K32" s="7">
        <f t="shared" si="45"/>
        <v>14382.23</v>
      </c>
      <c r="L32" s="42">
        <f t="shared" si="28"/>
        <v>0</v>
      </c>
      <c r="M32" s="27">
        <f t="shared" si="29"/>
        <v>0</v>
      </c>
      <c r="N32" s="7">
        <f t="shared" si="46"/>
        <v>4124.8239999999996</v>
      </c>
      <c r="O32" s="42">
        <f t="shared" si="30"/>
        <v>0</v>
      </c>
      <c r="P32" s="27">
        <f t="shared" si="31"/>
        <v>0</v>
      </c>
      <c r="Q32" s="7">
        <f t="shared" si="47"/>
        <v>5674.5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229893</v>
      </c>
      <c r="Y32" s="146">
        <f t="shared" si="36"/>
        <v>0</v>
      </c>
      <c r="Z32" s="141">
        <f t="shared" si="49"/>
        <v>10660</v>
      </c>
      <c r="AA32" s="146">
        <f t="shared" si="37"/>
        <v>0</v>
      </c>
      <c r="AB32" s="141">
        <f t="shared" si="38"/>
        <v>146.5</v>
      </c>
      <c r="AC32" s="146">
        <f t="shared" si="39"/>
        <v>0</v>
      </c>
      <c r="AD32" s="141">
        <v>973</v>
      </c>
      <c r="AE32" s="146">
        <f t="shared" si="40"/>
        <v>0</v>
      </c>
      <c r="AF32" s="141">
        <f t="shared" si="50"/>
        <v>10464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25785.379000000001</v>
      </c>
      <c r="C33" s="42">
        <f t="shared" si="22"/>
        <v>0</v>
      </c>
      <c r="D33" s="27">
        <f t="shared" si="23"/>
        <v>0</v>
      </c>
      <c r="E33" s="1">
        <f t="shared" si="43"/>
        <v>4752.0159999999996</v>
      </c>
      <c r="F33" s="42">
        <f t="shared" si="24"/>
        <v>0</v>
      </c>
      <c r="G33" s="27">
        <f t="shared" si="25"/>
        <v>0</v>
      </c>
      <c r="H33" s="1">
        <f t="shared" si="44"/>
        <v>6879</v>
      </c>
      <c r="I33" s="42">
        <f t="shared" si="26"/>
        <v>0</v>
      </c>
      <c r="J33" s="27">
        <f t="shared" si="27"/>
        <v>0</v>
      </c>
      <c r="K33" s="7">
        <f t="shared" si="45"/>
        <v>14382.23</v>
      </c>
      <c r="L33" s="42">
        <f t="shared" si="28"/>
        <v>0</v>
      </c>
      <c r="M33" s="27">
        <f t="shared" si="29"/>
        <v>0</v>
      </c>
      <c r="N33" s="7">
        <f t="shared" si="46"/>
        <v>4124.8239999999996</v>
      </c>
      <c r="O33" s="42">
        <f t="shared" si="30"/>
        <v>0</v>
      </c>
      <c r="P33" s="27">
        <f t="shared" si="31"/>
        <v>0</v>
      </c>
      <c r="Q33" s="7">
        <f t="shared" si="47"/>
        <v>5674.5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229893</v>
      </c>
      <c r="Y33" s="146">
        <f t="shared" si="36"/>
        <v>0</v>
      </c>
      <c r="Z33" s="141">
        <f t="shared" si="49"/>
        <v>10660</v>
      </c>
      <c r="AA33" s="146">
        <f t="shared" si="37"/>
        <v>0</v>
      </c>
      <c r="AB33" s="141">
        <f t="shared" si="38"/>
        <v>146.5</v>
      </c>
      <c r="AC33" s="146">
        <f t="shared" si="39"/>
        <v>0</v>
      </c>
      <c r="AD33" s="141">
        <v>973</v>
      </c>
      <c r="AE33" s="146">
        <f t="shared" si="40"/>
        <v>0</v>
      </c>
      <c r="AF33" s="141">
        <f t="shared" si="50"/>
        <v>10464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20.755000000001019</v>
      </c>
      <c r="D34" s="123">
        <f>SUM(D3:D33)</f>
        <v>39434.500000001935</v>
      </c>
      <c r="E34" s="123"/>
      <c r="F34" s="123">
        <f t="shared" ref="F34:U34" si="51">SUM(F3:F33)</f>
        <v>5.4769999999998618</v>
      </c>
      <c r="G34" s="123">
        <f t="shared" si="51"/>
        <v>10406.299999999737</v>
      </c>
      <c r="H34" s="123"/>
      <c r="I34" s="123">
        <f t="shared" si="51"/>
        <v>23</v>
      </c>
      <c r="J34" s="123">
        <f t="shared" si="51"/>
        <v>43700</v>
      </c>
      <c r="K34" s="123"/>
      <c r="L34" s="123">
        <f t="shared" si="51"/>
        <v>4.1299999999991996</v>
      </c>
      <c r="M34" s="123">
        <f t="shared" si="51"/>
        <v>7846.9999999984793</v>
      </c>
      <c r="N34" s="123"/>
      <c r="O34" s="123">
        <f t="shared" si="51"/>
        <v>15.692000000000007</v>
      </c>
      <c r="P34" s="123">
        <f t="shared" si="51"/>
        <v>29814.800000000014</v>
      </c>
      <c r="Q34" s="123"/>
      <c r="R34" s="123">
        <f t="shared" si="51"/>
        <v>0.78999999999996362</v>
      </c>
      <c r="S34" s="123">
        <f t="shared" si="51"/>
        <v>1500.9999999999309</v>
      </c>
      <c r="T34" s="123">
        <f t="shared" si="51"/>
        <v>69.844000000000051</v>
      </c>
      <c r="U34" s="123">
        <f t="shared" si="51"/>
        <v>132703.60000000009</v>
      </c>
      <c r="V34"/>
      <c r="W34" s="140">
        <v>45017</v>
      </c>
      <c r="X34" s="123"/>
      <c r="Y34" s="123"/>
      <c r="Z34" s="123"/>
      <c r="AA34" s="123">
        <f t="shared" ref="AA34:AG34" si="52">SUM(AA3:AA33)</f>
        <v>38</v>
      </c>
      <c r="AB34" s="123"/>
      <c r="AC34" s="123">
        <f t="shared" si="52"/>
        <v>0</v>
      </c>
      <c r="AD34" s="123"/>
      <c r="AE34" s="123">
        <f t="shared" si="52"/>
        <v>15</v>
      </c>
      <c r="AF34" s="123"/>
      <c r="AG34" s="123">
        <f t="shared" si="52"/>
        <v>17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3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3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3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80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80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80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4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4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4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3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3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3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80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80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80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4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4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4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3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3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3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80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80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80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4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4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3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3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3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80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80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80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4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4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3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3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3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80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80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80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4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4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3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3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3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80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80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80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4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4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4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3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3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3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80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80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80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4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4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4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3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3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3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80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80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80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4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4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4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3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3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3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80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80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80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4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4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4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3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3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3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80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80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80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4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4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4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3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3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3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80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80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80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4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4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4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3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3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3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80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80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80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4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4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4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3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3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3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80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80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80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3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3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3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80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80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80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4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4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4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3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3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3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80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80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80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3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3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3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80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80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80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3">
        <v>23</v>
      </c>
      <c r="C49" s="58" t="s">
        <v>81</v>
      </c>
      <c r="D49" s="59"/>
      <c r="E49" s="59"/>
      <c r="F49" s="60">
        <f t="shared" si="6"/>
        <v>0</v>
      </c>
      <c r="G49" s="61"/>
      <c r="I49" s="173">
        <v>23</v>
      </c>
      <c r="J49" s="58" t="s">
        <v>81</v>
      </c>
      <c r="K49" s="59"/>
      <c r="L49" s="59"/>
      <c r="M49" s="60">
        <f t="shared" si="7"/>
        <v>0</v>
      </c>
      <c r="N49" s="61"/>
      <c r="P49" s="173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80"/>
      <c r="C50" s="58" t="s">
        <v>80</v>
      </c>
      <c r="D50" s="59"/>
      <c r="E50" s="59"/>
      <c r="F50" s="60">
        <f t="shared" si="6"/>
        <v>0</v>
      </c>
      <c r="G50" s="61"/>
      <c r="I50" s="180"/>
      <c r="J50" s="58" t="s">
        <v>80</v>
      </c>
      <c r="K50" s="59"/>
      <c r="L50" s="59"/>
      <c r="M50" s="60">
        <f t="shared" si="7"/>
        <v>0</v>
      </c>
      <c r="N50" s="61"/>
      <c r="P50" s="180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81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81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81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82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82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82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83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83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83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3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3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3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3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3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3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4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4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4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3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3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3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4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4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4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3">
        <v>28</v>
      </c>
      <c r="C62" s="177" t="s">
        <v>84</v>
      </c>
      <c r="D62" s="59"/>
      <c r="E62" s="59"/>
      <c r="F62" s="60">
        <f t="shared" si="6"/>
        <v>0</v>
      </c>
      <c r="G62" s="175" t="s">
        <v>85</v>
      </c>
      <c r="H62" s="154"/>
      <c r="I62" s="173">
        <v>28</v>
      </c>
      <c r="J62" s="177" t="s">
        <v>84</v>
      </c>
      <c r="K62" s="59"/>
      <c r="L62" s="59"/>
      <c r="M62" s="60">
        <f t="shared" si="7"/>
        <v>0</v>
      </c>
      <c r="N62" s="175" t="s">
        <v>85</v>
      </c>
      <c r="P62" s="173">
        <v>28</v>
      </c>
      <c r="Q62" s="177" t="s">
        <v>84</v>
      </c>
      <c r="R62" s="59"/>
      <c r="S62" s="59"/>
      <c r="T62" s="60">
        <f t="shared" si="5"/>
        <v>0</v>
      </c>
      <c r="U62" s="175" t="s">
        <v>85</v>
      </c>
    </row>
    <row r="63" spans="1:21" ht="15" x14ac:dyDescent="0.2">
      <c r="A63" s="152"/>
      <c r="B63" s="174"/>
      <c r="C63" s="178"/>
      <c r="D63" s="59"/>
      <c r="E63" s="59"/>
      <c r="F63" s="60">
        <f t="shared" si="6"/>
        <v>0</v>
      </c>
      <c r="G63" s="176"/>
      <c r="H63" s="154"/>
      <c r="I63" s="174"/>
      <c r="J63" s="178"/>
      <c r="K63" s="59"/>
      <c r="L63" s="59"/>
      <c r="M63" s="60">
        <f t="shared" si="7"/>
        <v>0</v>
      </c>
      <c r="N63" s="176"/>
      <c r="P63" s="174"/>
      <c r="Q63" s="178"/>
      <c r="R63" s="59"/>
      <c r="S63" s="59"/>
      <c r="T63" s="60">
        <f t="shared" si="5"/>
        <v>0</v>
      </c>
      <c r="U63" s="176"/>
    </row>
    <row r="64" spans="1:21" x14ac:dyDescent="0.2">
      <c r="A64" s="152"/>
      <c r="B64" s="179" t="s">
        <v>86</v>
      </c>
      <c r="C64" s="179"/>
      <c r="D64" s="179"/>
      <c r="E64" s="179"/>
      <c r="F64" s="72">
        <f>SUM(F2:F63)</f>
        <v>32315</v>
      </c>
      <c r="G64" s="73"/>
      <c r="H64" s="154"/>
      <c r="I64" s="179" t="s">
        <v>86</v>
      </c>
      <c r="J64" s="179"/>
      <c r="K64" s="179"/>
      <c r="L64" s="179"/>
      <c r="M64" s="72">
        <f>SUM(M2:M63)</f>
        <v>41869</v>
      </c>
      <c r="N64" s="73"/>
      <c r="P64" s="179" t="s">
        <v>86</v>
      </c>
      <c r="Q64" s="179"/>
      <c r="R64" s="179"/>
      <c r="S64" s="179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7">
        <v>44927</v>
      </c>
      <c r="B69" s="168"/>
      <c r="C69" s="168"/>
      <c r="D69" s="169"/>
      <c r="E69" s="157"/>
      <c r="F69" s="167">
        <v>44958</v>
      </c>
      <c r="G69" s="168"/>
      <c r="H69" s="168"/>
      <c r="I69" s="169"/>
      <c r="J69" s="157"/>
      <c r="K69" s="170" t="s">
        <v>25</v>
      </c>
      <c r="L69" s="171"/>
      <c r="M69" s="171"/>
      <c r="N69" s="172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J3" sqref="J3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64429</v>
      </c>
      <c r="D2" s="83">
        <f>C2*1.27</f>
        <v>81824.83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36028035</v>
      </c>
      <c r="K3" s="149">
        <f>J3-I3</f>
        <v>39824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13330092</v>
      </c>
      <c r="K4" s="149">
        <f>J4-I4</f>
        <v>233340</v>
      </c>
    </row>
    <row r="5" spans="1:13" ht="13.5" thickBot="1" x14ac:dyDescent="0.25">
      <c r="A5" s="81"/>
      <c r="B5" s="87" t="s">
        <v>27</v>
      </c>
      <c r="C5" s="91">
        <f>(K10+K12)*0.842284+K26</f>
        <v>134869.50965600001</v>
      </c>
      <c r="D5" s="91">
        <f t="shared" ref="D5:D11" si="0">C5*1.27</f>
        <v>171284.27726312002</v>
      </c>
      <c r="E5" s="92"/>
      <c r="F5" s="81"/>
      <c r="G5" s="81"/>
      <c r="H5" s="87" t="s">
        <v>23</v>
      </c>
      <c r="I5" s="93"/>
      <c r="J5" s="93"/>
      <c r="K5" s="113">
        <f>K3+K4</f>
        <v>273164</v>
      </c>
    </row>
    <row r="6" spans="1:13" ht="13.5" thickBot="1" x14ac:dyDescent="0.25">
      <c r="A6" s="81"/>
      <c r="B6" s="87" t="s">
        <v>97</v>
      </c>
      <c r="C6" s="91">
        <f>(K10+K12+K26)*0.1488</f>
        <v>23777.347199999997</v>
      </c>
      <c r="D6" s="91">
        <f t="shared" si="0"/>
        <v>30197.230943999995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1454432</v>
      </c>
      <c r="K6" s="149">
        <f>J6-I6</f>
        <v>22934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39535</v>
      </c>
      <c r="D7" s="91">
        <f t="shared" si="0"/>
        <v>50209.45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1791996</v>
      </c>
      <c r="K7" s="149">
        <f>J7-I7</f>
        <v>27767</v>
      </c>
    </row>
    <row r="8" spans="1:13" ht="13.5" thickBot="1" x14ac:dyDescent="0.25">
      <c r="A8" s="81"/>
      <c r="B8" s="87" t="s">
        <v>101</v>
      </c>
      <c r="C8" s="91">
        <f>K21+K22+K23+K24</f>
        <v>4877</v>
      </c>
      <c r="D8" s="91">
        <f t="shared" si="0"/>
        <v>6193.79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8239890</v>
      </c>
      <c r="K8" s="78">
        <f>(J8-I8)*2</f>
        <v>21352</v>
      </c>
    </row>
    <row r="9" spans="1:13" ht="13.5" thickBot="1" x14ac:dyDescent="0.25">
      <c r="A9" s="81"/>
      <c r="B9" s="87" t="s">
        <v>135</v>
      </c>
      <c r="C9" s="91">
        <f>K25+K16+K17</f>
        <v>1530</v>
      </c>
      <c r="D9" s="91">
        <f t="shared" si="0"/>
        <v>1943.1000000000001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9359285</v>
      </c>
      <c r="K9" s="78">
        <f>J9-I9</f>
        <v>47633</v>
      </c>
    </row>
    <row r="10" spans="1:13" ht="13.5" thickBot="1" x14ac:dyDescent="0.25">
      <c r="A10" s="81"/>
      <c r="B10" s="87" t="s">
        <v>104</v>
      </c>
      <c r="C10" s="91">
        <f>K18</f>
        <v>2400</v>
      </c>
      <c r="D10" s="91">
        <f t="shared" si="0"/>
        <v>3048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24220348</v>
      </c>
      <c r="K10" s="78">
        <f>J10-I10</f>
        <v>55654</v>
      </c>
    </row>
    <row r="11" spans="1:13" ht="13.5" thickBot="1" x14ac:dyDescent="0.25">
      <c r="A11" s="81"/>
      <c r="B11" s="87" t="s">
        <v>106</v>
      </c>
      <c r="C11" s="91">
        <f>K19+K20</f>
        <v>599</v>
      </c>
      <c r="D11" s="91">
        <f t="shared" si="0"/>
        <v>760.73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2232083</v>
      </c>
      <c r="K12" s="78">
        <f>(J12-I12)*2</f>
        <v>102380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277720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-4556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4203</v>
      </c>
      <c r="K16" s="80">
        <f>(J16-I16)*160</f>
        <v>960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27016</v>
      </c>
      <c r="K18" s="80">
        <f>(J18-I18)*160</f>
        <v>2400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191923</v>
      </c>
      <c r="J19" s="103">
        <f>'Mall, Citadel, Rotana'!P30</f>
        <v>192522</v>
      </c>
      <c r="K19" s="80">
        <f>J19-I19</f>
        <v>599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48334</v>
      </c>
      <c r="K21" s="80">
        <f>(J21-I21)*120</f>
        <v>2280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41465</v>
      </c>
      <c r="K22" s="80">
        <f>(J22-I22)*160</f>
        <v>2240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22665</v>
      </c>
      <c r="K23" s="80">
        <f>(J23-I23)*20</f>
        <v>280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262139</v>
      </c>
      <c r="K24" s="80">
        <f>J24-I24</f>
        <v>77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234060</v>
      </c>
      <c r="K25" s="80">
        <f>J25-I25</f>
        <v>570</v>
      </c>
    </row>
    <row r="26" spans="1:11" ht="13.5" thickBot="1" x14ac:dyDescent="0.25">
      <c r="A26" s="81"/>
      <c r="B26" s="87" t="s">
        <v>42</v>
      </c>
      <c r="C26" s="105">
        <f>K35</f>
        <v>0</v>
      </c>
      <c r="D26" s="91">
        <f>C26*3.65</f>
        <v>0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20599</v>
      </c>
      <c r="K26" s="80">
        <f>(J26-I26)*160</f>
        <v>1760</v>
      </c>
    </row>
    <row r="27" spans="1:11" ht="13.5" thickBot="1" x14ac:dyDescent="0.25">
      <c r="A27" s="81"/>
      <c r="B27" s="82" t="s">
        <v>122</v>
      </c>
      <c r="C27" s="105">
        <f>C26</f>
        <v>0</v>
      </c>
      <c r="D27" s="91">
        <f>C27*3.65</f>
        <v>0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18781662</v>
      </c>
      <c r="K35" s="111">
        <f>J35-I35</f>
        <v>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2023-03-06T00:52:06Z</dcterms:modified>
</cp:coreProperties>
</file>