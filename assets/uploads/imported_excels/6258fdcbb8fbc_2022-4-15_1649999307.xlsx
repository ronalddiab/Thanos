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k.Krisyana\Downloads\"/>
    </mc:Choice>
  </mc:AlternateContent>
  <bookViews>
    <workbookView xWindow="0" yWindow="0" windowWidth="19200" windowHeight="7305" tabRatio="762" activeTab="1"/>
  </bookViews>
  <sheets>
    <sheet name="TOTAL" sheetId="11" r:id="rId1"/>
    <sheet name="FS Jimbaran June 2021" sheetId="14" r:id="rId2"/>
    <sheet name="RNs &amp; Covers June 2021" sheetId="10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49" i="14" l="1"/>
  <c r="AH49" i="14"/>
  <c r="AA49" i="14"/>
  <c r="P49" i="14"/>
  <c r="R47" i="14" l="1"/>
  <c r="Q47" i="14"/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B38" i="10" l="1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8" i="10" l="1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G19" i="11"/>
  <c r="I17" i="11"/>
  <c r="K15" i="11"/>
  <c r="K7" i="11"/>
  <c r="L10" i="11"/>
  <c r="P13" i="14"/>
  <c r="AF47" i="14"/>
  <c r="I10" i="11"/>
  <c r="M47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7" i="14"/>
  <c r="O22" i="14"/>
  <c r="P26" i="14"/>
  <c r="E47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7" i="14"/>
  <c r="V47" i="14"/>
  <c r="W50" i="14" s="1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7" i="14"/>
  <c r="P12" i="14"/>
  <c r="J2" i="11"/>
  <c r="AC47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47" i="14"/>
  <c r="AB47" i="14" s="1"/>
  <c r="AH47" i="14"/>
  <c r="AI47" i="14" s="1"/>
  <c r="AI12" i="14"/>
  <c r="N47" i="14"/>
  <c r="O12" i="14"/>
  <c r="P47" i="14"/>
  <c r="S47" i="14" s="1"/>
  <c r="Z47" i="14"/>
  <c r="AB12" i="14"/>
  <c r="F7" i="11" l="1"/>
  <c r="F2" i="11"/>
  <c r="AB16" i="14"/>
  <c r="L6" i="11"/>
  <c r="O47" i="14"/>
  <c r="T47" i="14" s="1"/>
  <c r="U47" i="14" s="1"/>
  <c r="U48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<sst xmlns="http://schemas.openxmlformats.org/spreadsheetml/2006/main" count="100" uniqueCount="55">
  <si>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</si>
  <si>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</si>
  <si>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</si>
  <si>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</si>
  <si>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</si>
  <si>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</si>
  <si>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</si>
  <si>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</si>
  <si>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</si>
  <si>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</si>
  <si>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</si>
  <si>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</si>
  <si>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</si>
  <si>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</si>
  <si>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</si>
  <si>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</si>
  <si>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</si>
  <si>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</si>
  <si>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</si>
  <si>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</si>
  <si>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</si>
  <si>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</si>
  <si>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</si>
  <si>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</si>
  <si>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</si>
  <si>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</si>
  <si>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</si>
  <si>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</si>
  <si>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</si>
  <si>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</si>
  <si>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</si>
  <si>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</si>
  <si>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</si>
  <si>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</si>
  <si>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</si>
  <si>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</si>
  <si>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</si>
  <si>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</si>
  <si>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</si>
  <si>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</si>
  <si>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</si>
  <si>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</si>
  <si>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</si>
  <si>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</si>
  <si>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</si>
  <si>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</si>
  <si>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</si>
  <si>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</si>
  <si>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</si>
  <si>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</si>
  <si>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</si>
  <si>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</si>
  <si>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</si>
  <si>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m3/RNs</t>
  </si>
  <si>
    <t>JUNE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</si>
</sst>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66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0" fontId="1" fillId="4" borderId="36" xfId="0" applyFont="1" applyFill="1" applyBorder="1" applyAlignment="1">
      <alignment horizontal="center" vertical="center"/>
    </xf>
    <xf numFmtId="170" fontId="6" fillId="3" borderId="0" xfId="0" applyNumberFormat="1" applyFont="1" applyFill="1" applyBorder="1" applyAlignment="1"/>
    <xf numFmtId="170" fontId="1" fillId="4" borderId="4" xfId="0" applyNumberFormat="1" applyFont="1" applyFill="1" applyBorder="1" applyAlignment="1">
      <alignment horizontal="center" vertical="center"/>
    </xf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8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3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39" xfId="0" applyNumberFormat="1" applyFill="1" applyBorder="1"/>
    <xf numFmtId="168" fontId="1" fillId="0" borderId="39" xfId="0" applyNumberFormat="1" applyFont="1" applyBorder="1"/>
    <xf numFmtId="0" fontId="0" fillId="3" borderId="47" xfId="0" applyFill="1" applyBorder="1"/>
    <xf numFmtId="168" fontId="0" fillId="3" borderId="47" xfId="2" applyNumberFormat="1" applyFont="1" applyFill="1" applyBorder="1"/>
    <xf numFmtId="43" fontId="8" fillId="3" borderId="47" xfId="2" applyFont="1" applyFill="1" applyBorder="1"/>
    <xf numFmtId="168" fontId="8" fillId="3" borderId="47" xfId="2" applyNumberFormat="1" applyFont="1" applyFill="1" applyBorder="1"/>
    <xf numFmtId="43" fontId="0" fillId="3" borderId="47" xfId="0" applyNumberFormat="1" applyFill="1" applyBorder="1"/>
    <xf numFmtId="0" fontId="0" fillId="3" borderId="49" xfId="0" applyFill="1" applyBorder="1"/>
    <xf numFmtId="167" fontId="0" fillId="3" borderId="47" xfId="0" applyNumberFormat="1" applyFill="1" applyBorder="1"/>
    <xf numFmtId="168" fontId="0" fillId="3" borderId="47" xfId="0" applyNumberFormat="1" applyFill="1" applyBorder="1"/>
    <xf numFmtId="168" fontId="0" fillId="0" borderId="47" xfId="2" applyNumberFormat="1" applyFont="1" applyBorder="1"/>
    <xf numFmtId="170" fontId="0" fillId="3" borderId="49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7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8" fontId="9" fillId="0" borderId="53" xfId="2" applyNumberFormat="1" applyFont="1" applyBorder="1" applyAlignment="1">
      <alignment horizontal="center" vertical="center" wrapText="1"/>
    </xf>
    <xf numFmtId="168" fontId="8" fillId="0" borderId="54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6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7" xfId="0" applyBorder="1"/>
    <xf numFmtId="43" fontId="0" fillId="0" borderId="45" xfId="2" applyFont="1" applyBorder="1"/>
    <xf numFmtId="43" fontId="0" fillId="0" borderId="58" xfId="2" applyFont="1" applyBorder="1"/>
    <xf numFmtId="168" fontId="8" fillId="0" borderId="44" xfId="2" applyNumberFormat="1" applyFont="1" applyBorder="1" applyAlignment="1">
      <alignment horizontal="center" vertical="center" wrapText="1"/>
    </xf>
    <xf numFmtId="168" fontId="8" fillId="0" borderId="45" xfId="2" applyNumberFormat="1" applyFont="1" applyBorder="1"/>
    <xf numFmtId="168" fontId="8" fillId="0" borderId="58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8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167" fontId="0" fillId="3" borderId="5" xfId="0" applyNumberFormat="1" applyFill="1" applyBorder="1"/>
    <xf numFmtId="0" fontId="0" fillId="3" borderId="65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1" fillId="4" borderId="3" xfId="2" applyNumberFormat="1" applyFont="1" applyFill="1" applyBorder="1" applyAlignment="1">
      <alignment horizontal="center" vertical="center"/>
    </xf>
    <xf numFmtId="171" fontId="0" fillId="0" borderId="41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7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6" xfId="2" applyNumberFormat="1" applyFont="1" applyFill="1" applyBorder="1" applyProtection="1">
      <protection locked="0"/>
    </xf>
    <xf numFmtId="169" fontId="0" fillId="0" borderId="55" xfId="2" applyNumberFormat="1" applyFont="1" applyBorder="1"/>
    <xf numFmtId="168" fontId="14" fillId="3" borderId="45" xfId="2" applyNumberFormat="1" applyFont="1" applyFill="1" applyBorder="1" applyProtection="1">
      <protection locked="0"/>
    </xf>
    <xf numFmtId="168" fontId="0" fillId="0" borderId="58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8" fontId="14" fillId="3" borderId="63" xfId="2" applyNumberFormat="1" applyFont="1" applyFill="1" applyBorder="1" applyProtection="1">
      <protection locked="0"/>
    </xf>
    <xf numFmtId="168" fontId="14" fillId="3" borderId="46" xfId="2" applyNumberFormat="1" applyFont="1" applyFill="1" applyBorder="1" applyProtection="1">
      <protection locked="0"/>
    </xf>
    <xf numFmtId="0" fontId="7" fillId="0" borderId="67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49" xfId="0" applyNumberFormat="1" applyFill="1" applyBorder="1"/>
    <xf numFmtId="43" fontId="1" fillId="6" borderId="23" xfId="2" applyNumberFormat="1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43" fontId="0" fillId="3" borderId="69" xfId="2" applyFont="1" applyFill="1" applyBorder="1"/>
    <xf numFmtId="43" fontId="0" fillId="3" borderId="7" xfId="2" applyFont="1" applyFill="1" applyBorder="1"/>
    <xf numFmtId="43" fontId="0" fillId="3" borderId="46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43" fontId="0" fillId="3" borderId="45" xfId="2" applyFont="1" applyFill="1" applyBorder="1"/>
    <xf numFmtId="43" fontId="0" fillId="3" borderId="58" xfId="2" applyFont="1" applyFill="1" applyBorder="1"/>
    <xf numFmtId="43" fontId="17" fillId="0" borderId="0" xfId="0" applyNumberFormat="1" applyFont="1"/>
    <xf numFmtId="43" fontId="0" fillId="0" borderId="0" xfId="0" applyNumberFormat="1" applyBorder="1"/>
    <xf numFmtId="9" fontId="0" fillId="0" borderId="0" xfId="5" applyFont="1" applyBorder="1"/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8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39" xfId="2" applyNumberFormat="1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168" fontId="4" fillId="0" borderId="0" xfId="0" applyNumberFormat="1" applyFont="1" applyBorder="1"/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1"/>
  <sheetViews>
    <sheetView topLeftCell="A19" workbookViewId="0">
      <selection activeCell="G22" sqref="G22"/>
    </sheetView>
  </sheetViews>
  <sheetFormatPr defaultColWidth="11.5703125" defaultRowHeight="15" x14ac:dyDescent="0.25"/>
  <cols>
    <col min="1" max="1" width="18.42578125" style="169" customWidth="1"/>
    <col min="2" max="2" width="11.5703125" style="170"/>
    <col min="3" max="3" width="11.5703125" style="171"/>
    <col min="4" max="4" width="13.42578125" style="170" customWidth="1"/>
    <col min="5" max="5" width="12.5703125" style="168" customWidth="1"/>
    <col min="6" max="6" width="12.5703125" style="172" customWidth="1"/>
    <col min="7" max="7" width="11.5703125" style="168"/>
    <col min="8" max="8" width="11.5703125" style="172"/>
    <col min="9" max="9" width="11.5703125" style="173"/>
    <col min="10" max="10" width="11.5703125" style="174"/>
    <col min="11" max="11" width="11.5703125" style="168"/>
    <col min="12" max="12" width="11.5703125" style="174"/>
    <col min="13" max="26" width="11.5703125" style="168"/>
  </cols>
  <sheetData>
    <row r="1" spans="1:15" s="162" customFormat="1" ht="60" x14ac:dyDescent="0.25">
      <c r="A1" s="158" t="s">
        <v>37</v>
      </c>
      <c r="B1" s="158" t="s">
        <v>38</v>
      </c>
      <c r="C1" s="159" t="s">
        <v>39</v>
      </c>
      <c r="D1" s="158" t="s">
        <v>40</v>
      </c>
      <c r="E1" s="157" t="s">
        <v>41</v>
      </c>
      <c r="F1" s="160" t="s">
        <v>42</v>
      </c>
      <c r="G1" s="157" t="s">
        <v>47</v>
      </c>
      <c r="H1" s="160" t="s">
        <v>48</v>
      </c>
      <c r="I1" s="176" t="s">
        <v>50</v>
      </c>
      <c r="J1" s="160" t="s">
        <v>51</v>
      </c>
      <c r="K1" s="157" t="s">
        <v>43</v>
      </c>
      <c r="L1" s="161" t="s">
        <v>44</v>
      </c>
      <c r="M1" s="157" t="s">
        <v>45</v>
      </c>
      <c r="N1" s="157" t="s">
        <v>3</v>
      </c>
    </row>
    <row r="2" spans="1:15" x14ac:dyDescent="0.25">
      <c r="A2" s="163" t="s">
        <v>49</v>
      </c>
      <c r="B2" s="164">
        <v>1</v>
      </c>
      <c r="C2" s="165">
        <v>6</v>
      </c>
      <c r="D2" s="164">
        <v>2021</v>
      </c>
      <c r="E2" s="166">
        <f>'FS Jimbaran June 2021'!P12</f>
        <v>14339.999999999713</v>
      </c>
      <c r="F2" s="175">
        <f>'FS Jimbaran June 2021'!O12/'FS Jimbaran June 2021'!P12</f>
        <v>1129.6791631799185</v>
      </c>
      <c r="G2" s="166">
        <f>'FS Jimbaran June 2021'!AG12</f>
        <v>24</v>
      </c>
      <c r="H2" s="175">
        <f>'FS Jimbaran June 2021'!AH12/'FS Jimbaran June 2021'!AG12</f>
        <v>12423.240733332457</v>
      </c>
      <c r="I2" s="166">
        <f>'FS Jimbaran June 2021'!AJ12</f>
        <v>0</v>
      </c>
      <c r="J2" s="167" t="e">
        <f>'FS Jimbaran June 2021'!AK12/'FS Jimbaran June 2021'!AJ12</f>
        <v>#DIV/0!</v>
      </c>
      <c r="K2" s="166">
        <f>'FS Jimbaran June 2021'!V12</f>
        <v>1035.96</v>
      </c>
      <c r="L2" s="175">
        <f>'FS Jimbaran June 2021'!AA12/'FS Jimbaran June 2021'!V12</f>
        <v>9633.9009965635742</v>
      </c>
      <c r="M2" s="166">
        <f>+'RNs &amp; Covers June 2021'!B6</f>
        <v>15</v>
      </c>
      <c r="N2" s="177">
        <f>+'RNs &amp; Covers June 2021'!C6</f>
        <v>134</v>
      </c>
    </row>
    <row r="3" spans="1:15" x14ac:dyDescent="0.25">
      <c r="A3" s="163" t="s">
        <v>49</v>
      </c>
      <c r="B3" s="164">
        <f>B2+1</f>
        <v>2</v>
      </c>
      <c r="C3" s="165">
        <v>6</v>
      </c>
      <c r="D3" s="164">
        <v>2021</v>
      </c>
      <c r="E3" s="177">
        <f>'FS Jimbaran June 2021'!P13</f>
        <v>15280.000000000244</v>
      </c>
      <c r="F3" s="175">
        <f>'FS Jimbaran June 2021'!O13/'FS Jimbaran June 2021'!P13</f>
        <v>1123.2247774869086</v>
      </c>
      <c r="G3" s="177">
        <f>'FS Jimbaran June 2021'!AG13</f>
        <v>424</v>
      </c>
      <c r="H3" s="175">
        <f>'FS Jimbaran June 2021'!AH13/'FS Jimbaran June 2021'!AG13</f>
        <v>12497.641509433963</v>
      </c>
      <c r="I3" s="177">
        <f>'FS Jimbaran June 2021'!AJ13</f>
        <v>298.78999999999724</v>
      </c>
      <c r="J3" s="167">
        <f>'FS Jimbaran June 2021'!AK13/'FS Jimbaran June 2021'!AJ13</f>
        <v>8900</v>
      </c>
      <c r="K3" s="177">
        <f>'FS Jimbaran June 2021'!V13</f>
        <v>1069.78</v>
      </c>
      <c r="L3" s="175">
        <f>'FS Jimbaran June 2021'!AA13/'FS Jimbaran June 2021'!V13</f>
        <v>9463.5420965058256</v>
      </c>
      <c r="M3" s="177">
        <f>+'RNs &amp; Covers June 2021'!B7</f>
        <v>4</v>
      </c>
      <c r="N3" s="177">
        <f>+'RNs &amp; Covers June 2021'!C7</f>
        <v>120</v>
      </c>
    </row>
    <row r="4" spans="1:15" x14ac:dyDescent="0.25">
      <c r="A4" s="163" t="s">
        <v>49</v>
      </c>
      <c r="B4" s="164">
        <f t="shared" ref="B4:B31" si="0">B3+1</f>
        <v>3</v>
      </c>
      <c r="C4" s="165">
        <v>6</v>
      </c>
      <c r="D4" s="164">
        <v>2021</v>
      </c>
      <c r="E4" s="177">
        <f>'FS Jimbaran June 2021'!P14</f>
        <v>15200.00000000006</v>
      </c>
      <c r="F4" s="175">
        <f>'FS Jimbaran June 2021'!O14/'FS Jimbaran June 2021'!P14</f>
        <v>1124.3664473684221</v>
      </c>
      <c r="G4" s="177">
        <f>'FS Jimbaran June 2021'!AG14</f>
        <v>50</v>
      </c>
      <c r="H4" s="175">
        <f>'FS Jimbaran June 2021'!AH14/'FS Jimbaran June 2021'!AG14</f>
        <v>12560</v>
      </c>
      <c r="I4" s="177">
        <f>'FS Jimbaran June 2021'!AJ14</f>
        <v>429.81999999999971</v>
      </c>
      <c r="J4" s="167">
        <f>'FS Jimbaran June 2021'!AK14/'FS Jimbaran June 2021'!AJ14</f>
        <v>8900</v>
      </c>
      <c r="K4" s="177">
        <f>'FS Jimbaran June 2021'!V14</f>
        <v>970.10000000000014</v>
      </c>
      <c r="L4" s="175">
        <f>'FS Jimbaran June 2021'!AA14/'FS Jimbaran June 2021'!V14</f>
        <v>9936.7805871559613</v>
      </c>
      <c r="M4" s="177">
        <f>+'RNs &amp; Covers June 2021'!B8</f>
        <v>5</v>
      </c>
      <c r="N4" s="177">
        <f>+'RNs &amp; Covers June 2021'!C8</f>
        <v>52</v>
      </c>
    </row>
    <row r="5" spans="1:15" x14ac:dyDescent="0.25">
      <c r="A5" s="163" t="s">
        <v>49</v>
      </c>
      <c r="B5" s="164">
        <f t="shared" si="0"/>
        <v>4</v>
      </c>
      <c r="C5" s="165">
        <v>6</v>
      </c>
      <c r="D5" s="164">
        <v>2021</v>
      </c>
      <c r="E5" s="177">
        <f>'FS Jimbaran June 2021'!P15</f>
        <v>15159.999999999627</v>
      </c>
      <c r="F5" s="175">
        <f>'FS Jimbaran June 2021'!O15/'FS Jimbaran June 2021'!P15</f>
        <v>1128.016345646439</v>
      </c>
      <c r="G5" s="177">
        <f>'FS Jimbaran June 2021'!AG15</f>
        <v>0</v>
      </c>
      <c r="H5" s="175" t="e">
        <f>'FS Jimbaran June 2021'!AH15/'FS Jimbaran June 2021'!AG15</f>
        <v>#DIV/0!</v>
      </c>
      <c r="I5" s="177">
        <f>'FS Jimbaran June 2021'!AJ15</f>
        <v>265.5</v>
      </c>
      <c r="J5" s="167">
        <f>'FS Jimbaran June 2021'!AK15/'FS Jimbaran June 2021'!AJ15</f>
        <v>8900</v>
      </c>
      <c r="K5" s="177">
        <f>'FS Jimbaran June 2021'!V15</f>
        <v>1038.6300000000001</v>
      </c>
      <c r="L5" s="175">
        <f>'FS Jimbaran June 2021'!AA15/'FS Jimbaran June 2021'!V15</f>
        <v>9255.4510539845742</v>
      </c>
      <c r="M5" s="177">
        <f>+'RNs &amp; Covers June 2021'!B9</f>
        <v>11</v>
      </c>
      <c r="N5" s="177">
        <f>+'RNs &amp; Covers June 2021'!C9</f>
        <v>158</v>
      </c>
    </row>
    <row r="6" spans="1:15" x14ac:dyDescent="0.25">
      <c r="A6" s="163" t="s">
        <v>49</v>
      </c>
      <c r="B6" s="164">
        <f t="shared" si="0"/>
        <v>5</v>
      </c>
      <c r="C6" s="165">
        <v>6</v>
      </c>
      <c r="D6" s="164">
        <v>2021</v>
      </c>
      <c r="E6" s="177">
        <f>'FS Jimbaran June 2021'!P16</f>
        <v>15220.000000000069</v>
      </c>
      <c r="F6" s="175">
        <f>'FS Jimbaran June 2021'!O16/'FS Jimbaran June 2021'!P16</f>
        <v>1131.0554270696455</v>
      </c>
      <c r="G6" s="177">
        <f>'FS Jimbaran June 2021'!AG16</f>
        <v>134</v>
      </c>
      <c r="H6" s="175">
        <f>'FS Jimbaran June 2021'!AH16/'FS Jimbaran June 2021'!AG16</f>
        <v>11869.402985074626</v>
      </c>
      <c r="I6" s="177">
        <f>'FS Jimbaran June 2021'!AJ16</f>
        <v>139.81000000003769</v>
      </c>
      <c r="J6" s="167">
        <f>'FS Jimbaran June 2021'!AK16/'FS Jimbaran June 2021'!AJ16</f>
        <v>8900</v>
      </c>
      <c r="K6" s="177">
        <f>'FS Jimbaran June 2021'!V16</f>
        <v>1076.9000000000001</v>
      </c>
      <c r="L6" s="175">
        <f>'FS Jimbaran June 2021'!AA16/'FS Jimbaran June 2021'!V16</f>
        <v>8703.0731900826431</v>
      </c>
      <c r="M6" s="177">
        <f>+'RNs &amp; Covers June 2021'!B10</f>
        <v>16</v>
      </c>
      <c r="N6" s="177">
        <f>+'RNs &amp; Covers June 2021'!C10</f>
        <v>140</v>
      </c>
    </row>
    <row r="7" spans="1:15" x14ac:dyDescent="0.25">
      <c r="A7" s="163" t="s">
        <v>49</v>
      </c>
      <c r="B7" s="164">
        <f t="shared" si="0"/>
        <v>6</v>
      </c>
      <c r="C7" s="165">
        <v>6</v>
      </c>
      <c r="D7" s="164">
        <v>2021</v>
      </c>
      <c r="E7" s="177">
        <f>'FS Jimbaran June 2021'!P17</f>
        <v>15899.999999999949</v>
      </c>
      <c r="F7" s="175">
        <f>'FS Jimbaran June 2021'!O17/'FS Jimbaran June 2021'!P17</f>
        <v>1125.6778867924529</v>
      </c>
      <c r="G7" s="177">
        <f>'FS Jimbaran June 2021'!AG17</f>
        <v>0</v>
      </c>
      <c r="H7" s="175" t="e">
        <f>'FS Jimbaran June 2021'!AH17/'FS Jimbaran June 2021'!AG17</f>
        <v>#DIV/0!</v>
      </c>
      <c r="I7" s="177">
        <f>'FS Jimbaran June 2021'!AJ17</f>
        <v>275.36999999998807</v>
      </c>
      <c r="J7" s="167">
        <f>'FS Jimbaran June 2021'!AK17/'FS Jimbaran June 2021'!AJ17</f>
        <v>8900</v>
      </c>
      <c r="K7" s="177">
        <f>'FS Jimbaran June 2021'!V17</f>
        <v>1092.0300000000002</v>
      </c>
      <c r="L7" s="175">
        <f>'FS Jimbaran June 2021'!AA17/'FS Jimbaran June 2021'!V17</f>
        <v>8976.8917848410747</v>
      </c>
      <c r="M7" s="177">
        <f>+'RNs &amp; Covers June 2021'!B11</f>
        <v>8</v>
      </c>
      <c r="N7" s="177">
        <f>+'RNs &amp; Covers June 2021'!C11</f>
        <v>139</v>
      </c>
    </row>
    <row r="8" spans="1:15" x14ac:dyDescent="0.25">
      <c r="A8" s="163" t="s">
        <v>49</v>
      </c>
      <c r="B8" s="164">
        <f t="shared" si="0"/>
        <v>7</v>
      </c>
      <c r="C8" s="165">
        <v>6</v>
      </c>
      <c r="D8" s="164">
        <v>2021</v>
      </c>
      <c r="E8" s="177">
        <f>'FS Jimbaran June 2021'!P18</f>
        <v>15300.000000000082</v>
      </c>
      <c r="F8" s="175">
        <f>'FS Jimbaran June 2021'!O18/'FS Jimbaran June 2021'!P18</f>
        <v>1124.4644313725491</v>
      </c>
      <c r="G8" s="177">
        <f>'FS Jimbaran June 2021'!AG18</f>
        <v>0</v>
      </c>
      <c r="H8" s="175" t="e">
        <f>'FS Jimbaran June 2021'!AH18/'FS Jimbaran June 2021'!AG18</f>
        <v>#DIV/0!</v>
      </c>
      <c r="I8" s="177">
        <f>'FS Jimbaran June 2021'!AJ18</f>
        <v>167.68999999999869</v>
      </c>
      <c r="J8" s="167">
        <f>'FS Jimbaran June 2021'!AK18/'FS Jimbaran June 2021'!AJ18</f>
        <v>8900</v>
      </c>
      <c r="K8" s="177">
        <f>'FS Jimbaran June 2021'!V18</f>
        <v>1082.24</v>
      </c>
      <c r="L8" s="175">
        <f>'FS Jimbaran June 2021'!AA18/'FS Jimbaran June 2021'!V18</f>
        <v>8568.2043092105268</v>
      </c>
      <c r="M8" s="177">
        <f>+'RNs &amp; Covers June 2021'!B12</f>
        <v>5</v>
      </c>
      <c r="N8" s="177">
        <f>+'RNs &amp; Covers June 2021'!C12</f>
        <v>66</v>
      </c>
    </row>
    <row r="9" spans="1:15" x14ac:dyDescent="0.25">
      <c r="A9" s="163" t="s">
        <v>49</v>
      </c>
      <c r="B9" s="164">
        <f t="shared" si="0"/>
        <v>8</v>
      </c>
      <c r="C9" s="165">
        <v>6</v>
      </c>
      <c r="D9" s="164">
        <v>2021</v>
      </c>
      <c r="E9" s="177">
        <f>'FS Jimbaran June 2021'!P19</f>
        <v>14580.000000000338</v>
      </c>
      <c r="F9" s="175">
        <f>'FS Jimbaran June 2021'!O19/'FS Jimbaran June 2021'!P19</f>
        <v>1124.5814403292147</v>
      </c>
      <c r="G9" s="177">
        <f>'FS Jimbaran June 2021'!AG19</f>
        <v>412</v>
      </c>
      <c r="H9" s="175">
        <f>'FS Jimbaran June 2021'!AH19/'FS Jimbaran June 2021'!AG19</f>
        <v>12527.912621359223</v>
      </c>
      <c r="I9" s="177">
        <f>'FS Jimbaran June 2021'!AJ19</f>
        <v>151.33000000000175</v>
      </c>
      <c r="J9" s="167">
        <f>'FS Jimbaran June 2021'!AK19/'FS Jimbaran June 2021'!AJ19</f>
        <v>8900</v>
      </c>
      <c r="K9" s="177">
        <f>'FS Jimbaran June 2021'!V19</f>
        <v>888.22</v>
      </c>
      <c r="L9" s="175">
        <f>'FS Jimbaran June 2021'!AA19/'FS Jimbaran June 2021'!V19</f>
        <v>10035.119599198395</v>
      </c>
      <c r="M9" s="177">
        <f>+'RNs &amp; Covers June 2021'!B13</f>
        <v>3</v>
      </c>
      <c r="N9" s="177">
        <f>+'RNs &amp; Covers June 2021'!C13</f>
        <v>53</v>
      </c>
      <c r="O9" s="168" t="s">
        <v>46</v>
      </c>
    </row>
    <row r="10" spans="1:15" x14ac:dyDescent="0.25">
      <c r="A10" s="163" t="s">
        <v>49</v>
      </c>
      <c r="B10" s="164">
        <f t="shared" si="0"/>
        <v>9</v>
      </c>
      <c r="C10" s="165">
        <v>6</v>
      </c>
      <c r="D10" s="164">
        <v>2021</v>
      </c>
      <c r="E10" s="177">
        <f>'FS Jimbaran June 2021'!P20</f>
        <v>13879.999999999953</v>
      </c>
      <c r="F10" s="175">
        <f>'FS Jimbaran June 2021'!O20/'FS Jimbaran June 2021'!P20</f>
        <v>1129.0598991354475</v>
      </c>
      <c r="G10" s="177">
        <f>'FS Jimbaran June 2021'!AG20</f>
        <v>0</v>
      </c>
      <c r="H10" s="175" t="e">
        <f>'FS Jimbaran June 2021'!AH20/'FS Jimbaran June 2021'!AG20</f>
        <v>#DIV/0!</v>
      </c>
      <c r="I10" s="177">
        <f>'FS Jimbaran June 2021'!AJ20</f>
        <v>163.44999999999709</v>
      </c>
      <c r="J10" s="167">
        <f>'FS Jimbaran June 2021'!AK20/'FS Jimbaran June 2021'!AJ20</f>
        <v>8900</v>
      </c>
      <c r="K10" s="177">
        <f>'FS Jimbaran June 2021'!V20</f>
        <v>1044.8600000000001</v>
      </c>
      <c r="L10" s="175">
        <f>'FS Jimbaran June 2021'!AA20/'FS Jimbaran June 2021'!V20</f>
        <v>8255.218126064734</v>
      </c>
      <c r="M10" s="177">
        <f>+'RNs &amp; Covers June 2021'!B14</f>
        <v>3</v>
      </c>
      <c r="N10" s="177">
        <f>+'RNs &amp; Covers June 2021'!C14</f>
        <v>66</v>
      </c>
    </row>
    <row r="11" spans="1:15" x14ac:dyDescent="0.25">
      <c r="A11" s="163" t="s">
        <v>49</v>
      </c>
      <c r="B11" s="164">
        <f t="shared" si="0"/>
        <v>10</v>
      </c>
      <c r="C11" s="165">
        <v>6</v>
      </c>
      <c r="D11" s="164">
        <v>2021</v>
      </c>
      <c r="E11" s="177">
        <f>'FS Jimbaran June 2021'!P21</f>
        <v>15100.000000000036</v>
      </c>
      <c r="F11" s="175">
        <f>'FS Jimbaran June 2021'!O21/'FS Jimbaran June 2021'!P21</f>
        <v>1127.6969006622521</v>
      </c>
      <c r="G11" s="177">
        <f>'FS Jimbaran June 2021'!AG21</f>
        <v>0</v>
      </c>
      <c r="H11" s="175" t="e">
        <f>'FS Jimbaran June 2021'!AH21/'FS Jimbaran June 2021'!AG21</f>
        <v>#DIV/0!</v>
      </c>
      <c r="I11" s="177">
        <f>'FS Jimbaran June 2021'!AJ21</f>
        <v>310.40000000000146</v>
      </c>
      <c r="J11" s="167">
        <f>'FS Jimbaran June 2021'!AK21/'FS Jimbaran June 2021'!AJ21</f>
        <v>8900</v>
      </c>
      <c r="K11" s="177">
        <f>'FS Jimbaran June 2021'!V21</f>
        <v>1148.99</v>
      </c>
      <c r="L11" s="175">
        <f>'FS Jimbaran June 2021'!AA21/'FS Jimbaran June 2021'!V21</f>
        <v>8763.5851123160337</v>
      </c>
      <c r="M11" s="177">
        <f>+'RNs &amp; Covers June 2021'!B15</f>
        <v>6</v>
      </c>
      <c r="N11" s="177">
        <f>+'RNs &amp; Covers June 2021'!C15</f>
        <v>104</v>
      </c>
    </row>
    <row r="12" spans="1:15" x14ac:dyDescent="0.25">
      <c r="A12" s="163" t="s">
        <v>49</v>
      </c>
      <c r="B12" s="164">
        <f t="shared" si="0"/>
        <v>11</v>
      </c>
      <c r="C12" s="165">
        <v>6</v>
      </c>
      <c r="D12" s="164">
        <v>2021</v>
      </c>
      <c r="E12" s="177">
        <f>'FS Jimbaran June 2021'!P22</f>
        <v>15159.999999999925</v>
      </c>
      <c r="F12" s="175">
        <f>'FS Jimbaran June 2021'!O22/'FS Jimbaran June 2021'!P22</f>
        <v>1128.0163456464384</v>
      </c>
      <c r="G12" s="177">
        <f>'FS Jimbaran June 2021'!AG22</f>
        <v>0</v>
      </c>
      <c r="H12" s="175" t="e">
        <f>'FS Jimbaran June 2021'!AH22/'FS Jimbaran June 2021'!AG22</f>
        <v>#DIV/0!</v>
      </c>
      <c r="I12" s="177">
        <f>'FS Jimbaran June 2021'!AJ22</f>
        <v>227.77999999999884</v>
      </c>
      <c r="J12" s="167">
        <f>'FS Jimbaran June 2021'!AK22/'FS Jimbaran June 2021'!AJ22</f>
        <v>8900</v>
      </c>
      <c r="K12" s="177">
        <f>'FS Jimbaran June 2021'!V22</f>
        <v>1169.5489999999986</v>
      </c>
      <c r="L12" s="175">
        <f>'FS Jimbaran June 2021'!AA22/'FS Jimbaran June 2021'!V22</f>
        <v>8423.0416543642095</v>
      </c>
      <c r="M12" s="177">
        <f>+'RNs &amp; Covers June 2021'!B16</f>
        <v>9</v>
      </c>
      <c r="N12" s="177">
        <f>+'RNs &amp; Covers June 2021'!C16</f>
        <v>101</v>
      </c>
    </row>
    <row r="13" spans="1:15" x14ac:dyDescent="0.25">
      <c r="A13" s="163" t="s">
        <v>49</v>
      </c>
      <c r="B13" s="164">
        <f t="shared" si="0"/>
        <v>12</v>
      </c>
      <c r="C13" s="165">
        <v>6</v>
      </c>
      <c r="D13" s="164">
        <v>2021</v>
      </c>
      <c r="E13" s="177">
        <f>'FS Jimbaran June 2021'!P23</f>
        <v>15399.999999999822</v>
      </c>
      <c r="F13" s="175">
        <f>'FS Jimbaran June 2021'!O23/'FS Jimbaran June 2021'!P23</f>
        <v>1127.251480519481</v>
      </c>
      <c r="G13" s="177">
        <f>'FS Jimbaran June 2021'!AG23</f>
        <v>84</v>
      </c>
      <c r="H13" s="175">
        <f>'FS Jimbaran June 2021'!AH23/'FS Jimbaran June 2021'!AG23</f>
        <v>11458.333333333334</v>
      </c>
      <c r="I13" s="177">
        <f>'FS Jimbaran June 2021'!AJ23</f>
        <v>224.79500000000189</v>
      </c>
      <c r="J13" s="167">
        <f>'FS Jimbaran June 2021'!AK23/'FS Jimbaran June 2021'!AJ23</f>
        <v>8900</v>
      </c>
      <c r="K13" s="177">
        <f>'FS Jimbaran June 2021'!V23</f>
        <v>1065.2410000000013</v>
      </c>
      <c r="L13" s="175">
        <f>'FS Jimbaran June 2021'!AA23/'FS Jimbaran June 2021'!V23</f>
        <v>9256.4297618848632</v>
      </c>
      <c r="M13" s="177">
        <f>+'RNs &amp; Covers June 2021'!B17</f>
        <v>11</v>
      </c>
      <c r="N13" s="177">
        <f>+'RNs &amp; Covers June 2021'!C17</f>
        <v>148</v>
      </c>
    </row>
    <row r="14" spans="1:15" x14ac:dyDescent="0.25">
      <c r="A14" s="163" t="s">
        <v>49</v>
      </c>
      <c r="B14" s="164">
        <f t="shared" si="0"/>
        <v>13</v>
      </c>
      <c r="C14" s="165">
        <v>6</v>
      </c>
      <c r="D14" s="164">
        <v>2021</v>
      </c>
      <c r="E14" s="177">
        <f>'FS Jimbaran June 2021'!P24</f>
        <v>15020.000000000082</v>
      </c>
      <c r="F14" s="175">
        <f>'FS Jimbaran June 2021'!O24/'FS Jimbaran June 2021'!P24</f>
        <v>1129.5656724367509</v>
      </c>
      <c r="G14" s="177">
        <f>'FS Jimbaran June 2021'!AG24</f>
        <v>412</v>
      </c>
      <c r="H14" s="175">
        <f>'FS Jimbaran June 2021'!AH24/'FS Jimbaran June 2021'!AG24</f>
        <v>12527.912621359223</v>
      </c>
      <c r="I14" s="177">
        <f>'FS Jimbaran June 2021'!AJ24</f>
        <v>270.02499999999782</v>
      </c>
      <c r="J14" s="167">
        <f>'FS Jimbaran June 2021'!AK24/'FS Jimbaran June 2021'!AJ24</f>
        <v>8900</v>
      </c>
      <c r="K14" s="177">
        <f>'FS Jimbaran June 2021'!V24</f>
        <v>1096.48</v>
      </c>
      <c r="L14" s="175">
        <f>'FS Jimbaran June 2021'!AA24/'FS Jimbaran June 2021'!V24</f>
        <v>9481.3004545454551</v>
      </c>
      <c r="M14" s="177">
        <f>+'RNs &amp; Covers June 2021'!B18</f>
        <v>10</v>
      </c>
      <c r="N14" s="177">
        <f>+'RNs &amp; Covers June 2021'!C18</f>
        <v>154</v>
      </c>
    </row>
    <row r="15" spans="1:15" x14ac:dyDescent="0.25">
      <c r="A15" s="163" t="s">
        <v>49</v>
      </c>
      <c r="B15" s="164">
        <f t="shared" si="0"/>
        <v>14</v>
      </c>
      <c r="C15" s="165">
        <v>6</v>
      </c>
      <c r="D15" s="164">
        <v>2021</v>
      </c>
      <c r="E15" s="177">
        <f>'FS Jimbaran June 2021'!P25</f>
        <v>15400.000000000062</v>
      </c>
      <c r="F15" s="175">
        <f>'FS Jimbaran June 2021'!O25/'FS Jimbaran June 2021'!P25</f>
        <v>1123.8885584415573</v>
      </c>
      <c r="G15" s="177">
        <f>'FS Jimbaran June 2021'!AG25</f>
        <v>62</v>
      </c>
      <c r="H15" s="175">
        <f>'FS Jimbaran June 2021'!AH25/'FS Jimbaran June 2021'!AG25</f>
        <v>12346.774193548386</v>
      </c>
      <c r="I15" s="177">
        <f>'FS Jimbaran June 2021'!AJ25</f>
        <v>215.75</v>
      </c>
      <c r="J15" s="167">
        <f>'FS Jimbaran June 2021'!AK25/'FS Jimbaran June 2021'!AJ25</f>
        <v>8900</v>
      </c>
      <c r="K15" s="177">
        <f>'FS Jimbaran June 2021'!V25</f>
        <v>1116.95</v>
      </c>
      <c r="L15" s="175">
        <f>'FS Jimbaran June 2021'!AA25/'FS Jimbaran June 2021'!V25</f>
        <v>9057.2443824701204</v>
      </c>
      <c r="M15" s="177">
        <f>+'RNs &amp; Covers June 2021'!B19</f>
        <v>6</v>
      </c>
      <c r="N15" s="177">
        <f>+'RNs &amp; Covers June 2021'!C19</f>
        <v>118</v>
      </c>
    </row>
    <row r="16" spans="1:15" x14ac:dyDescent="0.25">
      <c r="A16" s="163" t="s">
        <v>49</v>
      </c>
      <c r="B16" s="164">
        <f t="shared" si="0"/>
        <v>15</v>
      </c>
      <c r="C16" s="165">
        <v>6</v>
      </c>
      <c r="D16" s="164">
        <v>2021</v>
      </c>
      <c r="E16" s="177">
        <f>'FS Jimbaran June 2021'!P26</f>
        <v>14499.999999999814</v>
      </c>
      <c r="F16" s="175">
        <f>'FS Jimbaran June 2021'!O26/'FS Jimbaran June 2021'!P26</f>
        <v>1125.7857103448277</v>
      </c>
      <c r="G16" s="177">
        <f>'FS Jimbaran June 2021'!AG26</f>
        <v>62</v>
      </c>
      <c r="H16" s="175">
        <f>'FS Jimbaran June 2021'!AH26/'FS Jimbaran June 2021'!AG26</f>
        <v>12346.774193548386</v>
      </c>
      <c r="I16" s="177">
        <f>'FS Jimbaran June 2021'!AJ26</f>
        <v>250.25</v>
      </c>
      <c r="J16" s="167">
        <f>'FS Jimbaran June 2021'!AK26/'FS Jimbaran June 2021'!AJ26</f>
        <v>8900</v>
      </c>
      <c r="K16" s="177">
        <f>'FS Jimbaran June 2021'!V26</f>
        <v>945.18000000000006</v>
      </c>
      <c r="L16" s="175">
        <f>'FS Jimbaran June 2021'!AA26/'FS Jimbaran June 2021'!V26</f>
        <v>10784.739246704332</v>
      </c>
      <c r="M16" s="177">
        <f>+'RNs &amp; Covers June 2021'!B20</f>
        <v>4</v>
      </c>
      <c r="N16" s="177">
        <f>+'RNs &amp; Covers June 2021'!C20</f>
        <v>81</v>
      </c>
    </row>
    <row r="17" spans="1:14" x14ac:dyDescent="0.25">
      <c r="A17" s="163" t="s">
        <v>49</v>
      </c>
      <c r="B17" s="164">
        <f t="shared" si="0"/>
        <v>16</v>
      </c>
      <c r="C17" s="165">
        <v>6</v>
      </c>
      <c r="D17" s="164">
        <v>2021</v>
      </c>
      <c r="E17" s="177">
        <f>'FS Jimbaran June 2021'!P27</f>
        <v>14820.000000000078</v>
      </c>
      <c r="F17" s="175">
        <f>'FS Jimbaran June 2021'!O27/'FS Jimbaran June 2021'!P27</f>
        <v>1123.1433603238893</v>
      </c>
      <c r="G17" s="177">
        <f>'FS Jimbaran June 2021'!AG27</f>
        <v>0</v>
      </c>
      <c r="H17" s="175" t="e">
        <f>'FS Jimbaran June 2021'!AH27/'FS Jimbaran June 2021'!AG27</f>
        <v>#DIV/0!</v>
      </c>
      <c r="I17" s="177">
        <f>'FS Jimbaran June 2021'!AJ27</f>
        <v>225.29000000000087</v>
      </c>
      <c r="J17" s="167">
        <f>'FS Jimbaran June 2021'!AK27/'FS Jimbaran June 2021'!AJ27</f>
        <v>8900</v>
      </c>
      <c r="K17" s="177">
        <f>'FS Jimbaran June 2021'!V27</f>
        <v>824.1400000000001</v>
      </c>
      <c r="L17" s="175">
        <f>'FS Jimbaran June 2021'!AA27/'FS Jimbaran June 2021'!V27</f>
        <v>9373.6473002159819</v>
      </c>
      <c r="M17" s="177">
        <f>+'RNs &amp; Covers June 2021'!B21</f>
        <v>3</v>
      </c>
      <c r="N17" s="177">
        <f>+'RNs &amp; Covers June 2021'!C21</f>
        <v>122</v>
      </c>
    </row>
    <row r="18" spans="1:14" x14ac:dyDescent="0.25">
      <c r="A18" s="163" t="s">
        <v>49</v>
      </c>
      <c r="B18" s="164">
        <f t="shared" si="0"/>
        <v>17</v>
      </c>
      <c r="C18" s="165">
        <v>6</v>
      </c>
      <c r="D18" s="164">
        <v>2021</v>
      </c>
      <c r="E18" s="177">
        <f>'FS Jimbaran June 2021'!P28</f>
        <v>15479.999999999947</v>
      </c>
      <c r="F18" s="175">
        <f>'FS Jimbaran June 2021'!O28/'FS Jimbaran June 2021'!P28</f>
        <v>1125.440542635657</v>
      </c>
      <c r="G18" s="177">
        <f>'FS Jimbaran June 2021'!AG28</f>
        <v>0</v>
      </c>
      <c r="H18" s="175" t="e">
        <f>'FS Jimbaran June 2021'!AH28/'FS Jimbaran June 2021'!AG28</f>
        <v>#DIV/0!</v>
      </c>
      <c r="I18" s="177">
        <f>'FS Jimbaran June 2021'!AJ28</f>
        <v>25.459999999999127</v>
      </c>
      <c r="J18" s="167">
        <f>'FS Jimbaran June 2021'!AK28/'FS Jimbaran June 2021'!AJ28</f>
        <v>8900</v>
      </c>
      <c r="K18" s="177">
        <f>'FS Jimbaran June 2021'!V28</f>
        <v>1017.27</v>
      </c>
      <c r="L18" s="175">
        <f>'FS Jimbaran June 2021'!AA28/'FS Jimbaran June 2021'!V28</f>
        <v>9336.6372878390193</v>
      </c>
      <c r="M18" s="177">
        <f>+'RNs &amp; Covers June 2021'!B22</f>
        <v>15</v>
      </c>
      <c r="N18" s="177">
        <f>+'RNs &amp; Covers June 2021'!C22</f>
        <v>121</v>
      </c>
    </row>
    <row r="19" spans="1:14" x14ac:dyDescent="0.25">
      <c r="A19" s="163" t="s">
        <v>49</v>
      </c>
      <c r="B19" s="164">
        <f t="shared" si="0"/>
        <v>18</v>
      </c>
      <c r="C19" s="165">
        <v>6</v>
      </c>
      <c r="D19" s="164">
        <v>2021</v>
      </c>
      <c r="E19" s="177">
        <f>'FS Jimbaran June 2021'!P29</f>
        <v>14480.000000000033</v>
      </c>
      <c r="F19" s="175">
        <f>'FS Jimbaran June 2021'!O29/'FS Jimbaran June 2021'!P29</f>
        <v>1131.6325690607721</v>
      </c>
      <c r="G19" s="177">
        <f>'FS Jimbaran June 2021'!AG29</f>
        <v>412</v>
      </c>
      <c r="H19" s="175">
        <f>'FS Jimbaran June 2021'!AH29/'FS Jimbaran June 2021'!AG29</f>
        <v>12527.912621359223</v>
      </c>
      <c r="I19" s="177">
        <f>'FS Jimbaran June 2021'!AJ29</f>
        <v>294.10000000000218</v>
      </c>
      <c r="J19" s="167">
        <f>'FS Jimbaran June 2021'!AK29/'FS Jimbaran June 2021'!AJ29</f>
        <v>8900</v>
      </c>
      <c r="K19" s="177">
        <f>'FS Jimbaran June 2021'!V29</f>
        <v>1025.28</v>
      </c>
      <c r="L19" s="175">
        <f>'FS Jimbaran June 2021'!AA29/'FS Jimbaran June 2021'!V29</f>
        <v>9690.0335069444463</v>
      </c>
      <c r="M19" s="177">
        <f>+'RNs &amp; Covers June 2021'!B23</f>
        <v>15</v>
      </c>
      <c r="N19" s="177">
        <f>+'RNs &amp; Covers June 2021'!C23</f>
        <v>164</v>
      </c>
    </row>
    <row r="20" spans="1:14" x14ac:dyDescent="0.25">
      <c r="A20" s="163" t="s">
        <v>49</v>
      </c>
      <c r="B20" s="164">
        <f t="shared" si="0"/>
        <v>19</v>
      </c>
      <c r="C20" s="165">
        <v>6</v>
      </c>
      <c r="D20" s="164">
        <v>2021</v>
      </c>
      <c r="E20" s="177">
        <f>'FS Jimbaran June 2021'!P30</f>
        <v>15700.000000000131</v>
      </c>
      <c r="F20" s="175">
        <f>'FS Jimbaran June 2021'!O30/'FS Jimbaran June 2021'!P30</f>
        <v>1129.4620127388546</v>
      </c>
      <c r="G20" s="177">
        <f>'FS Jimbaran June 2021'!AG30</f>
        <v>24</v>
      </c>
      <c r="H20" s="175">
        <f>'FS Jimbaran June 2021'!AH30/'FS Jimbaran June 2021'!AG30</f>
        <v>11458.333333333334</v>
      </c>
      <c r="I20" s="177">
        <f>'FS Jimbaran June 2021'!AJ30</f>
        <v>290.70000000000073</v>
      </c>
      <c r="J20" s="167">
        <f>'FS Jimbaran June 2021'!AK30/'FS Jimbaran June 2021'!AJ30</f>
        <v>8900</v>
      </c>
      <c r="K20" s="177">
        <f>'FS Jimbaran June 2021'!V30</f>
        <v>892.67000000000007</v>
      </c>
      <c r="L20" s="175">
        <f>'FS Jimbaran June 2021'!AA30/'FS Jimbaran June 2021'!V30</f>
        <v>9554.6756729810568</v>
      </c>
      <c r="M20" s="177">
        <f>+'RNs &amp; Covers June 2021'!B24</f>
        <v>13</v>
      </c>
      <c r="N20" s="177">
        <f>+'RNs &amp; Covers June 2021'!C24</f>
        <v>185</v>
      </c>
    </row>
    <row r="21" spans="1:14" x14ac:dyDescent="0.25">
      <c r="A21" s="163" t="s">
        <v>49</v>
      </c>
      <c r="B21" s="164">
        <f t="shared" si="0"/>
        <v>20</v>
      </c>
      <c r="C21" s="165">
        <v>6</v>
      </c>
      <c r="D21" s="164">
        <v>2021</v>
      </c>
      <c r="E21" s="177">
        <f>'FS Jimbaran June 2021'!P31</f>
        <v>14879.999999999825</v>
      </c>
      <c r="F21" s="175">
        <f>'FS Jimbaran June 2021'!O31/'FS Jimbaran June 2021'!P31</f>
        <v>1128.3597983870968</v>
      </c>
      <c r="G21" s="177">
        <f>'FS Jimbaran June 2021'!AG31</f>
        <v>12</v>
      </c>
      <c r="H21" s="175">
        <f>'FS Jimbaran June 2021'!AH31/'FS Jimbaran June 2021'!AG31</f>
        <v>11458.333333333334</v>
      </c>
      <c r="I21" s="177">
        <f>'FS Jimbaran June 2021'!AJ31</f>
        <v>261.39999999999782</v>
      </c>
      <c r="J21" s="167">
        <f>'FS Jimbaran June 2021'!AK31/'FS Jimbaran June 2021'!AJ31</f>
        <v>8900</v>
      </c>
      <c r="K21" s="177">
        <f>'FS Jimbaran June 2021'!V31</f>
        <v>873.98</v>
      </c>
      <c r="L21" s="175">
        <f>'FS Jimbaran June 2021'!AA31/'FS Jimbaran June 2021'!V31</f>
        <v>10157.410509164969</v>
      </c>
      <c r="M21" s="177">
        <f>+'RNs &amp; Covers June 2021'!B25</f>
        <v>11</v>
      </c>
      <c r="N21" s="177">
        <f>+'RNs &amp; Covers June 2021'!C25</f>
        <v>193</v>
      </c>
    </row>
    <row r="22" spans="1:14" x14ac:dyDescent="0.25">
      <c r="A22" s="163" t="s">
        <v>49</v>
      </c>
      <c r="B22" s="164">
        <f t="shared" si="0"/>
        <v>21</v>
      </c>
      <c r="C22" s="165">
        <v>6</v>
      </c>
      <c r="D22" s="164">
        <v>2021</v>
      </c>
      <c r="E22" s="177">
        <f>'FS Jimbaran June 2021'!P32</f>
        <v>15500.0000000001</v>
      </c>
      <c r="F22" s="175">
        <f>'FS Jimbaran June 2021'!O32/'FS Jimbaran June 2021'!P32</f>
        <v>1125.3248516129042</v>
      </c>
      <c r="G22" s="177">
        <f>'FS Jimbaran June 2021'!AG32</f>
        <v>424</v>
      </c>
      <c r="H22" s="175">
        <f>'FS Jimbaran June 2021'!AH32/'FS Jimbaran June 2021'!AG32</f>
        <v>12497.641509433963</v>
      </c>
      <c r="I22" s="177">
        <f>'FS Jimbaran June 2021'!AJ32</f>
        <v>338</v>
      </c>
      <c r="J22" s="167">
        <f>'FS Jimbaran June 2021'!AK32/'FS Jimbaran June 2021'!AJ32</f>
        <v>8900</v>
      </c>
      <c r="K22" s="177">
        <f>'FS Jimbaran June 2021'!V32</f>
        <v>898.90000000000009</v>
      </c>
      <c r="L22" s="175">
        <f>'FS Jimbaran June 2021'!AA32/'FS Jimbaran June 2021'!V32</f>
        <v>9830.4339801980204</v>
      </c>
      <c r="M22" s="177">
        <f>+'RNs &amp; Covers June 2021'!B26</f>
        <v>9</v>
      </c>
      <c r="N22" s="177">
        <f>+'RNs &amp; Covers June 2021'!C26</f>
        <v>193</v>
      </c>
    </row>
    <row r="23" spans="1:14" x14ac:dyDescent="0.25">
      <c r="A23" s="163" t="s">
        <v>49</v>
      </c>
      <c r="B23" s="164">
        <f t="shared" si="0"/>
        <v>22</v>
      </c>
      <c r="C23" s="165">
        <v>6</v>
      </c>
      <c r="D23" s="164">
        <v>2021</v>
      </c>
      <c r="E23" s="177">
        <f>'FS Jimbaran June 2021'!P33</f>
        <v>14899.999999999793</v>
      </c>
      <c r="F23" s="175">
        <f>'FS Jimbaran June 2021'!O33/'FS Jimbaran June 2021'!P33</f>
        <v>1127.5403758389264</v>
      </c>
      <c r="G23" s="177">
        <f>'FS Jimbaran June 2021'!AG33</f>
        <v>0</v>
      </c>
      <c r="H23" s="175" t="e">
        <f>'FS Jimbaran June 2021'!AH33/'FS Jimbaran June 2021'!AG33</f>
        <v>#DIV/0!</v>
      </c>
      <c r="I23" s="177">
        <f>'FS Jimbaran June 2021'!AJ33</f>
        <v>259.70000000000073</v>
      </c>
      <c r="J23" s="167">
        <f>'FS Jimbaran June 2021'!AK33/'FS Jimbaran June 2021'!AJ33</f>
        <v>8900</v>
      </c>
      <c r="K23" s="177">
        <f>'FS Jimbaran June 2021'!V33</f>
        <v>1133.8600000000001</v>
      </c>
      <c r="L23" s="175">
        <f>'FS Jimbaran June 2021'!AA33/'FS Jimbaran June 2021'!V33</f>
        <v>8597.6362637362636</v>
      </c>
      <c r="M23" s="177">
        <f>+'RNs &amp; Covers June 2021'!B27</f>
        <v>12</v>
      </c>
      <c r="N23" s="177">
        <f>+'RNs &amp; Covers June 2021'!C27</f>
        <v>114</v>
      </c>
    </row>
    <row r="24" spans="1:14" x14ac:dyDescent="0.25">
      <c r="A24" s="163" t="s">
        <v>49</v>
      </c>
      <c r="B24" s="164">
        <f t="shared" si="0"/>
        <v>23</v>
      </c>
      <c r="C24" s="165">
        <v>6</v>
      </c>
      <c r="D24" s="164">
        <v>2021</v>
      </c>
      <c r="E24" s="177">
        <f>'FS Jimbaran June 2021'!P34</f>
        <v>15660.000000000422</v>
      </c>
      <c r="F24" s="175">
        <f>'FS Jimbaran June 2021'!O34/'FS Jimbaran June 2021'!P34</f>
        <v>1125.7327969348644</v>
      </c>
      <c r="G24" s="177">
        <f>'FS Jimbaran June 2021'!AG34</f>
        <v>12</v>
      </c>
      <c r="H24" s="175">
        <f>'FS Jimbaran June 2021'!AH34/'FS Jimbaran June 2021'!AG34</f>
        <v>11458.333333333334</v>
      </c>
      <c r="I24" s="177">
        <f>'FS Jimbaran June 2021'!AJ34</f>
        <v>386.25</v>
      </c>
      <c r="J24" s="167">
        <f>'FS Jimbaran June 2021'!AK34/'FS Jimbaran June 2021'!AJ34</f>
        <v>8900</v>
      </c>
      <c r="K24" s="177">
        <f>'FS Jimbaran June 2021'!V34</f>
        <v>1116.95</v>
      </c>
      <c r="L24" s="175">
        <f>'FS Jimbaran June 2021'!AA34/'FS Jimbaran June 2021'!V34</f>
        <v>8608.8474741035861</v>
      </c>
      <c r="M24" s="177">
        <f>+'RNs &amp; Covers June 2021'!B28</f>
        <v>10</v>
      </c>
      <c r="N24" s="177">
        <f>+'RNs &amp; Covers June 2021'!C28</f>
        <v>138</v>
      </c>
    </row>
    <row r="25" spans="1:14" x14ac:dyDescent="0.25">
      <c r="A25" s="163" t="s">
        <v>49</v>
      </c>
      <c r="B25" s="164">
        <f t="shared" si="0"/>
        <v>24</v>
      </c>
      <c r="C25" s="165">
        <v>6</v>
      </c>
      <c r="D25" s="164">
        <v>2021</v>
      </c>
      <c r="E25" s="177">
        <f>'FS Jimbaran June 2021'!P35</f>
        <v>14539.999999999993</v>
      </c>
      <c r="F25" s="175">
        <f>'FS Jimbaran June 2021'!O35/'FS Jimbaran June 2021'!P35</f>
        <v>1129.0999312242102</v>
      </c>
      <c r="G25" s="177">
        <f>'FS Jimbaran June 2021'!AG35</f>
        <v>0</v>
      </c>
      <c r="H25" s="175" t="e">
        <f>'FS Jimbaran June 2021'!AH35/'FS Jimbaran June 2021'!AG35</f>
        <v>#DIV/0!</v>
      </c>
      <c r="I25" s="177">
        <f>'FS Jimbaran June 2021'!AJ35</f>
        <v>346.56999999999971</v>
      </c>
      <c r="J25" s="167">
        <f>'FS Jimbaran June 2021'!AK35/'FS Jimbaran June 2021'!AJ35</f>
        <v>8900</v>
      </c>
      <c r="K25" s="177">
        <f>'FS Jimbaran June 2021'!V35</f>
        <v>1153.44</v>
      </c>
      <c r="L25" s="175">
        <f>'FS Jimbaran June 2021'!AA35/'FS Jimbaran June 2021'!V35</f>
        <v>8926.1919135802455</v>
      </c>
      <c r="M25" s="177">
        <f>+'RNs &amp; Covers June 2021'!B29</f>
        <v>11</v>
      </c>
      <c r="N25" s="177">
        <f>+'RNs &amp; Covers June 2021'!C29</f>
        <v>101</v>
      </c>
    </row>
    <row r="26" spans="1:14" x14ac:dyDescent="0.25">
      <c r="A26" s="163" t="s">
        <v>49</v>
      </c>
      <c r="B26" s="164">
        <f>B25+1</f>
        <v>25</v>
      </c>
      <c r="C26" s="165">
        <v>6</v>
      </c>
      <c r="D26" s="164">
        <v>2021</v>
      </c>
      <c r="E26" s="177">
        <f>'FS Jimbaran June 2021'!P36</f>
        <v>15599.999999999767</v>
      </c>
      <c r="F26" s="175">
        <f>'FS Jimbaran June 2021'!O36/'FS Jimbaran June 2021'!P36</f>
        <v>1135.3742307692294</v>
      </c>
      <c r="G26" s="177">
        <f>'FS Jimbaran June 2021'!AG36</f>
        <v>412</v>
      </c>
      <c r="H26" s="175">
        <f>'FS Jimbaran June 2021'!AH36/'FS Jimbaran June 2021'!AG36</f>
        <v>12527.912621359223</v>
      </c>
      <c r="I26" s="177">
        <f>'FS Jimbaran June 2021'!AJ36</f>
        <v>294.15999999999985</v>
      </c>
      <c r="J26" s="167">
        <f>'FS Jimbaran June 2021'!AK36/'FS Jimbaran June 2021'!AJ36</f>
        <v>8900</v>
      </c>
      <c r="K26" s="177">
        <f>'FS Jimbaran June 2021'!V36</f>
        <v>1051.98</v>
      </c>
      <c r="L26" s="175">
        <f>'FS Jimbaran June 2021'!AA36/'FS Jimbaran June 2021'!V36</f>
        <v>8483.5402368866344</v>
      </c>
      <c r="M26" s="177">
        <f>+'RNs &amp; Covers June 2021'!B30</f>
        <v>20</v>
      </c>
      <c r="N26" s="177">
        <f>+'RNs &amp; Covers June 2021'!C30</f>
        <v>212</v>
      </c>
    </row>
    <row r="27" spans="1:14" x14ac:dyDescent="0.25">
      <c r="A27" s="163" t="s">
        <v>49</v>
      </c>
      <c r="B27" s="164">
        <f t="shared" si="0"/>
        <v>26</v>
      </c>
      <c r="C27" s="165">
        <v>6</v>
      </c>
      <c r="D27" s="164">
        <v>2021</v>
      </c>
      <c r="E27" s="177">
        <f>'FS Jimbaran June 2021'!P37</f>
        <v>15380.000000000124</v>
      </c>
      <c r="F27" s="175">
        <f>'FS Jimbaran June 2021'!O37/'FS Jimbaran June 2021'!P37</f>
        <v>1133.4315604681412</v>
      </c>
      <c r="G27" s="177">
        <f>'FS Jimbaran June 2021'!AG37</f>
        <v>50</v>
      </c>
      <c r="H27" s="175">
        <f>'FS Jimbaran June 2021'!AH37/'FS Jimbaran June 2021'!AG37</f>
        <v>12560</v>
      </c>
      <c r="I27" s="177">
        <f>'FS Jimbaran June 2021'!AJ37</f>
        <v>429.81999999999971</v>
      </c>
      <c r="J27" s="167">
        <f>'FS Jimbaran June 2021'!AK37/'FS Jimbaran June 2021'!AJ37</f>
        <v>8900</v>
      </c>
      <c r="K27" s="177">
        <f>'FS Jimbaran June 2021'!V37</f>
        <v>881.09999999999991</v>
      </c>
      <c r="L27" s="175">
        <f>'FS Jimbaran June 2021'!AA37/'FS Jimbaran June 2021'!V37</f>
        <v>10095.770949494949</v>
      </c>
      <c r="M27" s="177">
        <f>+'RNs &amp; Covers June 2021'!B31</f>
        <v>24</v>
      </c>
      <c r="N27" s="177">
        <f>+'RNs &amp; Covers June 2021'!C31</f>
        <v>194</v>
      </c>
    </row>
    <row r="28" spans="1:14" x14ac:dyDescent="0.25">
      <c r="A28" s="163" t="s">
        <v>49</v>
      </c>
      <c r="B28" s="164">
        <f t="shared" si="0"/>
        <v>27</v>
      </c>
      <c r="C28" s="165">
        <v>6</v>
      </c>
      <c r="D28" s="164">
        <v>2021</v>
      </c>
      <c r="E28" s="177">
        <f>'FS Jimbaran June 2021'!P38</f>
        <v>15919.999999999873</v>
      </c>
      <c r="F28" s="175">
        <f>'FS Jimbaran June 2021'!O38/'FS Jimbaran June 2021'!P38</f>
        <v>1125.5649497487452</v>
      </c>
      <c r="G28" s="177">
        <f>'FS Jimbaran June 2021'!AG38</f>
        <v>0</v>
      </c>
      <c r="H28" s="175" t="e">
        <f>'FS Jimbaran June 2021'!AH38/'FS Jimbaran June 2021'!AG38</f>
        <v>#DIV/0!</v>
      </c>
      <c r="I28" s="177">
        <f>'FS Jimbaran June 2021'!AJ38</f>
        <v>299.47999999999956</v>
      </c>
      <c r="J28" s="167">
        <f>'FS Jimbaran June 2021'!AK38/'FS Jimbaran June 2021'!AJ38</f>
        <v>8900</v>
      </c>
      <c r="K28" s="177">
        <f>'FS Jimbaran June 2021'!V38</f>
        <v>1018.1600000000001</v>
      </c>
      <c r="L28" s="175">
        <f>'FS Jimbaran June 2021'!AA38/'FS Jimbaran June 2021'!V38</f>
        <v>8180.4116083916088</v>
      </c>
      <c r="M28" s="177">
        <f>+'RNs &amp; Covers June 2021'!B32</f>
        <v>17</v>
      </c>
      <c r="N28" s="177">
        <f>+'RNs &amp; Covers June 2021'!C32</f>
        <v>216</v>
      </c>
    </row>
    <row r="29" spans="1:14" x14ac:dyDescent="0.25">
      <c r="A29" s="163" t="s">
        <v>49</v>
      </c>
      <c r="B29" s="164">
        <f t="shared" si="0"/>
        <v>28</v>
      </c>
      <c r="C29" s="165">
        <v>6</v>
      </c>
      <c r="D29" s="164">
        <v>2021</v>
      </c>
      <c r="E29" s="177">
        <f>'FS Jimbaran June 2021'!P39</f>
        <v>15839.999999999975</v>
      </c>
      <c r="F29" s="175">
        <f>'FS Jimbaran June 2021'!O39/'FS Jimbaran June 2021'!P39</f>
        <v>1127.9801136363619</v>
      </c>
      <c r="G29" s="177">
        <f>'FS Jimbaran June 2021'!AG39</f>
        <v>36</v>
      </c>
      <c r="H29" s="175">
        <f>'FS Jimbaran June 2021'!AH39/'FS Jimbaran June 2021'!AG39</f>
        <v>11458.333333333334</v>
      </c>
      <c r="I29" s="177">
        <f>'FS Jimbaran June 2021'!AJ39</f>
        <v>239.53000000000247</v>
      </c>
      <c r="J29" s="167">
        <f>'FS Jimbaran June 2021'!AK39/'FS Jimbaran June 2021'!AJ39</f>
        <v>8900</v>
      </c>
      <c r="K29" s="177">
        <f>'FS Jimbaran June 2021'!V39</f>
        <v>937.17</v>
      </c>
      <c r="L29" s="175">
        <f>'FS Jimbaran June 2021'!AA39/'FS Jimbaran June 2021'!V39</f>
        <v>8377.1139411206077</v>
      </c>
      <c r="M29" s="177">
        <f>+'RNs &amp; Covers June 2021'!B33</f>
        <v>13</v>
      </c>
      <c r="N29" s="177">
        <f>+'RNs &amp; Covers June 2021'!C33</f>
        <v>134</v>
      </c>
    </row>
    <row r="30" spans="1:14" x14ac:dyDescent="0.25">
      <c r="A30" s="163" t="s">
        <v>49</v>
      </c>
      <c r="B30" s="164">
        <f t="shared" si="0"/>
        <v>29</v>
      </c>
      <c r="C30" s="165">
        <v>6</v>
      </c>
      <c r="D30" s="164">
        <v>2021</v>
      </c>
      <c r="E30" s="177">
        <f>'FS Jimbaran June 2021'!P40</f>
        <v>15760.000000000018</v>
      </c>
      <c r="F30" s="175">
        <f>'FS Jimbaran June 2021'!O40/'FS Jimbaran June 2021'!P40</f>
        <v>1126.4764720812188</v>
      </c>
      <c r="G30" s="177">
        <f>'FS Jimbaran June 2021'!AG40</f>
        <v>412</v>
      </c>
      <c r="H30" s="175">
        <f>'FS Jimbaran June 2021'!AH40/'FS Jimbaran June 2021'!AG40</f>
        <v>12527.912621359223</v>
      </c>
      <c r="I30" s="177">
        <f>'FS Jimbaran June 2021'!AJ40</f>
        <v>277.43999999999869</v>
      </c>
      <c r="J30" s="167">
        <f>'FS Jimbaran June 2021'!AK40/'FS Jimbaran June 2021'!AJ40</f>
        <v>8900</v>
      </c>
      <c r="K30" s="177">
        <f>'FS Jimbaran June 2021'!V40</f>
        <v>696.87</v>
      </c>
      <c r="L30" s="175">
        <f>'FS Jimbaran June 2021'!AA40/'FS Jimbaran June 2021'!V40</f>
        <v>9889.5644699872282</v>
      </c>
      <c r="M30" s="177">
        <f>+'RNs &amp; Covers June 2021'!B34</f>
        <v>17</v>
      </c>
      <c r="N30" s="177">
        <f>+'RNs &amp; Covers June 2021'!C34</f>
        <v>163</v>
      </c>
    </row>
    <row r="31" spans="1:14" x14ac:dyDescent="0.25">
      <c r="A31" s="163" t="s">
        <v>49</v>
      </c>
      <c r="B31" s="164">
        <f t="shared" si="0"/>
        <v>30</v>
      </c>
      <c r="C31" s="165">
        <v>6</v>
      </c>
      <c r="D31" s="164">
        <v>2021</v>
      </c>
      <c r="E31" s="177">
        <f>'FS Jimbaran June 2021'!P41</f>
        <v>15880.000000000209</v>
      </c>
      <c r="F31" s="175">
        <f>'FS Jimbaran June 2021'!O41/'FS Jimbaran June 2021'!P41</f>
        <v>1120.5730730478581</v>
      </c>
      <c r="G31" s="177">
        <f>'FS Jimbaran June 2021'!AG41</f>
        <v>0</v>
      </c>
      <c r="H31" s="175" t="e">
        <f>'FS Jimbaran June 2021'!AH41/'FS Jimbaran June 2021'!AG41</f>
        <v>#DIV/0!</v>
      </c>
      <c r="I31" s="177">
        <f>'FS Jimbaran June 2021'!AJ41</f>
        <v>298.56999999999971</v>
      </c>
      <c r="J31" s="167">
        <f>'FS Jimbaran June 2021'!AK41/'FS Jimbaran June 2021'!AJ41</f>
        <v>8900</v>
      </c>
      <c r="K31" s="177">
        <f>'FS Jimbaran June 2021'!V41</f>
        <v>995.02</v>
      </c>
      <c r="L31" s="175">
        <f>'FS Jimbaran June 2021'!AA41/'FS Jimbaran June 2021'!V41</f>
        <v>7928.181788908767</v>
      </c>
      <c r="M31" s="177">
        <f>+'RNs &amp; Covers June 2021'!B35</f>
        <v>8</v>
      </c>
      <c r="N31" s="177">
        <f>+'RNs &amp; Covers June 2021'!C35</f>
        <v>113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70"/>
  <sheetViews>
    <sheetView tabSelected="1" zoomScale="62" zoomScaleNormal="62" workbookViewId="0">
      <pane xSplit="4" ySplit="10" topLeftCell="U11" activePane="bottomRight" state="frozen"/>
      <selection pane="topRight" activeCell="E1" sqref="E1"/>
      <selection pane="bottomLeft" activeCell="A11" sqref="A11"/>
      <selection pane="bottomRight" activeCell="AJ47" sqref="AJ47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6" bestFit="1" customWidth="1"/>
    <col min="14" max="14" width="20.42578125" style="70" customWidth="1"/>
    <col min="15" max="15" width="18.85546875" customWidth="1"/>
    <col min="16" max="16" width="15.140625" style="70" customWidth="1"/>
    <col min="17" max="17" width="19.7109375" customWidth="1"/>
    <col min="18" max="18" width="18.140625" style="91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4" customWidth="1"/>
    <col min="35" max="35" width="10.5703125" customWidth="1"/>
    <col min="36" max="36" width="13.28515625" style="91" bestFit="1" customWidth="1"/>
    <col min="37" max="37" width="20.7109375" bestFit="1" customWidth="1"/>
    <col min="38" max="38" width="9.42578125" style="43" bestFit="1" customWidth="1"/>
    <col min="39" max="39" width="2.28515625" style="15" customWidth="1"/>
  </cols>
  <sheetData>
    <row r="5" spans="1:39" x14ac:dyDescent="0.25">
      <c r="N5" s="178"/>
      <c r="X5" s="179"/>
    </row>
    <row r="6" spans="1:39" s="27" customFormat="1" ht="19.5" thickBot="1" x14ac:dyDescent="0.35">
      <c r="B6" s="27" t="s">
        <v>28</v>
      </c>
      <c r="C6" s="36"/>
      <c r="E6" s="36"/>
      <c r="F6" s="36"/>
      <c r="H6" s="36"/>
      <c r="L6" s="36"/>
      <c r="M6" s="61"/>
      <c r="N6" s="67"/>
      <c r="P6" s="67"/>
      <c r="R6" s="87"/>
      <c r="AD6" s="36"/>
      <c r="AH6" s="36"/>
      <c r="AJ6" s="87"/>
      <c r="AL6" s="39"/>
    </row>
    <row r="7" spans="1:39" s="12" customFormat="1" ht="16.5" thickBot="1" x14ac:dyDescent="0.3">
      <c r="A7" s="32"/>
      <c r="B7" s="233" t="s">
        <v>54</v>
      </c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4"/>
      <c r="AI7" s="234"/>
      <c r="AJ7" s="234"/>
      <c r="AK7" s="234"/>
      <c r="AL7" s="235"/>
      <c r="AM7" s="32"/>
    </row>
    <row r="8" spans="1:39" s="8" customFormat="1" ht="15.75" customHeight="1" thickBot="1" x14ac:dyDescent="0.3">
      <c r="A8" s="28"/>
      <c r="B8" s="236" t="s">
        <v>1</v>
      </c>
      <c r="C8" s="239" t="s">
        <v>2</v>
      </c>
      <c r="D8" s="242" t="s">
        <v>3</v>
      </c>
      <c r="E8" s="245" t="s">
        <v>34</v>
      </c>
      <c r="F8" s="245"/>
      <c r="G8" s="245"/>
      <c r="H8" s="245"/>
      <c r="I8" s="245"/>
      <c r="J8" s="245"/>
      <c r="K8" s="245"/>
      <c r="L8" s="245"/>
      <c r="M8" s="245"/>
      <c r="N8" s="245"/>
      <c r="O8" s="245"/>
      <c r="P8" s="245"/>
      <c r="Q8" s="245"/>
      <c r="R8" s="245"/>
      <c r="S8" s="245"/>
      <c r="T8" s="245"/>
      <c r="U8" s="246"/>
      <c r="V8" s="247" t="s">
        <v>19</v>
      </c>
      <c r="W8" s="248"/>
      <c r="X8" s="248"/>
      <c r="Y8" s="248"/>
      <c r="Z8" s="248"/>
      <c r="AA8" s="248"/>
      <c r="AB8" s="249"/>
      <c r="AC8" s="250" t="s">
        <v>24</v>
      </c>
      <c r="AD8" s="250"/>
      <c r="AE8" s="250"/>
      <c r="AF8" s="250"/>
      <c r="AG8" s="250"/>
      <c r="AH8" s="250"/>
      <c r="AI8" s="250"/>
      <c r="AJ8" s="250"/>
      <c r="AK8" s="250"/>
      <c r="AL8" s="251"/>
      <c r="AM8" s="30"/>
    </row>
    <row r="9" spans="1:39" ht="15" customHeight="1" thickBot="1" x14ac:dyDescent="0.3">
      <c r="A9" s="31"/>
      <c r="B9" s="237"/>
      <c r="C9" s="240"/>
      <c r="D9" s="243"/>
      <c r="E9" s="252" t="s">
        <v>33</v>
      </c>
      <c r="F9" s="253"/>
      <c r="G9" s="253"/>
      <c r="H9" s="253"/>
      <c r="I9" s="254"/>
      <c r="J9" s="255" t="s">
        <v>5</v>
      </c>
      <c r="K9" s="255"/>
      <c r="L9" s="255"/>
      <c r="M9" s="255"/>
      <c r="N9" s="256"/>
      <c r="O9" s="242" t="s">
        <v>12</v>
      </c>
      <c r="P9" s="257" t="s">
        <v>32</v>
      </c>
      <c r="Q9" s="259" t="s">
        <v>52</v>
      </c>
      <c r="R9" s="225" t="s">
        <v>21</v>
      </c>
      <c r="S9" s="227" t="s">
        <v>13</v>
      </c>
      <c r="T9" s="229" t="s">
        <v>18</v>
      </c>
      <c r="U9" s="230"/>
      <c r="V9" s="55"/>
      <c r="W9" s="55" t="s">
        <v>4</v>
      </c>
      <c r="X9" s="55"/>
      <c r="Y9" s="56"/>
      <c r="Z9" s="184"/>
      <c r="AA9" s="231" t="s">
        <v>27</v>
      </c>
      <c r="AB9" s="232"/>
      <c r="AC9" s="250" t="s">
        <v>22</v>
      </c>
      <c r="AD9" s="250"/>
      <c r="AE9" s="250"/>
      <c r="AF9" s="250"/>
      <c r="AG9" s="250"/>
      <c r="AH9" s="250"/>
      <c r="AI9" s="251"/>
      <c r="AJ9" s="142" t="s">
        <v>20</v>
      </c>
      <c r="AK9" s="38"/>
      <c r="AL9" s="40"/>
      <c r="AM9" s="31"/>
    </row>
    <row r="10" spans="1:39" ht="61.5" customHeight="1" thickBot="1" x14ac:dyDescent="0.3">
      <c r="A10" s="29"/>
      <c r="B10" s="238"/>
      <c r="C10" s="241"/>
      <c r="D10" s="244"/>
      <c r="E10" s="101" t="s">
        <v>35</v>
      </c>
      <c r="F10" s="85" t="s">
        <v>6</v>
      </c>
      <c r="G10" s="135" t="s">
        <v>36</v>
      </c>
      <c r="H10" s="19" t="s">
        <v>6</v>
      </c>
      <c r="I10" s="102" t="s">
        <v>14</v>
      </c>
      <c r="J10" s="101" t="s">
        <v>35</v>
      </c>
      <c r="K10" s="86" t="s">
        <v>6</v>
      </c>
      <c r="L10" s="135" t="s">
        <v>36</v>
      </c>
      <c r="M10" s="62" t="s">
        <v>6</v>
      </c>
      <c r="N10" s="94" t="s">
        <v>15</v>
      </c>
      <c r="O10" s="244"/>
      <c r="P10" s="258"/>
      <c r="Q10" s="260"/>
      <c r="R10" s="226"/>
      <c r="S10" s="228"/>
      <c r="T10" s="185" t="s">
        <v>16</v>
      </c>
      <c r="U10" s="24" t="s">
        <v>17</v>
      </c>
      <c r="V10" s="186" t="s">
        <v>8</v>
      </c>
      <c r="W10" s="57" t="s">
        <v>0</v>
      </c>
      <c r="X10" s="57" t="s">
        <v>26</v>
      </c>
      <c r="Y10" s="23" t="s">
        <v>10</v>
      </c>
      <c r="Z10" s="23" t="s">
        <v>30</v>
      </c>
      <c r="AA10" s="23" t="s">
        <v>16</v>
      </c>
      <c r="AB10" s="13" t="s">
        <v>17</v>
      </c>
      <c r="AC10" s="127" t="s">
        <v>7</v>
      </c>
      <c r="AD10" s="50" t="s">
        <v>31</v>
      </c>
      <c r="AE10" s="49" t="s">
        <v>11</v>
      </c>
      <c r="AF10" s="49" t="s">
        <v>9</v>
      </c>
      <c r="AG10" s="49" t="s">
        <v>25</v>
      </c>
      <c r="AH10" s="50" t="s">
        <v>16</v>
      </c>
      <c r="AI10" s="51" t="s">
        <v>17</v>
      </c>
      <c r="AJ10" s="143" t="s">
        <v>23</v>
      </c>
      <c r="AK10" s="49" t="s">
        <v>16</v>
      </c>
      <c r="AL10" s="53" t="s">
        <v>17</v>
      </c>
      <c r="AM10" s="29"/>
    </row>
    <row r="11" spans="1:39" x14ac:dyDescent="0.25">
      <c r="A11" s="29"/>
      <c r="B11" s="59"/>
      <c r="C11" s="103"/>
      <c r="D11" s="187"/>
      <c r="E11" s="188"/>
      <c r="F11" s="92"/>
      <c r="G11" s="20"/>
      <c r="H11" s="21"/>
      <c r="I11" s="104"/>
      <c r="J11" s="93"/>
      <c r="K11" s="20"/>
      <c r="L11" s="21"/>
      <c r="M11" s="63"/>
      <c r="N11" s="95"/>
      <c r="O11" s="58"/>
      <c r="P11" s="112"/>
      <c r="Q11" s="189"/>
      <c r="R11" s="115"/>
      <c r="S11" s="190"/>
      <c r="T11" s="190"/>
      <c r="U11" s="25"/>
      <c r="V11" s="93"/>
      <c r="W11" s="20"/>
      <c r="X11" s="20"/>
      <c r="Y11" s="22"/>
      <c r="Z11" s="22"/>
      <c r="AA11" s="22"/>
      <c r="AB11" s="104"/>
      <c r="AC11" s="128"/>
      <c r="AD11" s="47"/>
      <c r="AE11" s="44"/>
      <c r="AF11" s="44"/>
      <c r="AG11" s="44"/>
      <c r="AH11" s="47"/>
      <c r="AI11" s="48"/>
      <c r="AJ11" s="144"/>
      <c r="AK11" s="44"/>
      <c r="AL11" s="52"/>
      <c r="AM11" s="29"/>
    </row>
    <row r="12" spans="1:39" x14ac:dyDescent="0.25">
      <c r="A12" s="35"/>
      <c r="B12" s="60">
        <v>1</v>
      </c>
      <c r="C12" s="152">
        <v>15</v>
      </c>
      <c r="D12" s="154">
        <v>134</v>
      </c>
      <c r="E12" s="108">
        <v>10319.999999999709</v>
      </c>
      <c r="F12" s="3">
        <v>10689249.599999698</v>
      </c>
      <c r="G12" s="37">
        <v>2240.0000000000091</v>
      </c>
      <c r="H12" s="3">
        <v>3480220.8000000142</v>
      </c>
      <c r="I12" s="105">
        <f>F12+H12</f>
        <v>14169470.399999712</v>
      </c>
      <c r="J12" s="108">
        <v>1419.9999999999875</v>
      </c>
      <c r="K12" s="3">
        <v>1470807.5999999871</v>
      </c>
      <c r="L12" s="191">
        <v>360.00000000000654</v>
      </c>
      <c r="M12" s="192">
        <v>559321.2000000102</v>
      </c>
      <c r="N12" s="96">
        <f>+K12+M12</f>
        <v>2030128.7999999973</v>
      </c>
      <c r="O12" s="110">
        <f>N12+I12</f>
        <v>16199599.199999709</v>
      </c>
      <c r="P12" s="113">
        <f>L12+J12+G12+E12</f>
        <v>14339.999999999713</v>
      </c>
      <c r="Q12" s="137"/>
      <c r="R12" s="206"/>
      <c r="S12" s="220"/>
      <c r="T12" s="217"/>
      <c r="U12" s="215">
        <v>0</v>
      </c>
      <c r="V12" s="193">
        <f>Y12+W12</f>
        <v>1035.96</v>
      </c>
      <c r="W12" s="3">
        <v>406.73</v>
      </c>
      <c r="X12" s="3">
        <v>7309141.4650000008</v>
      </c>
      <c r="Y12" s="33">
        <v>629.23</v>
      </c>
      <c r="Z12" s="33">
        <v>2671194.6114000003</v>
      </c>
      <c r="AA12" s="33">
        <f t="shared" ref="AA12:AA39" si="0">Z12+X12</f>
        <v>9980336.0764000006</v>
      </c>
      <c r="AB12" s="130">
        <f t="shared" ref="AB12:AB39" si="1">AA12/$AL$48</f>
        <v>769.13277238366879</v>
      </c>
      <c r="AC12" s="136">
        <v>0</v>
      </c>
      <c r="AD12" s="3">
        <v>0</v>
      </c>
      <c r="AE12" s="3">
        <v>0</v>
      </c>
      <c r="AF12" s="3">
        <v>24</v>
      </c>
      <c r="AG12" s="3">
        <f t="shared" ref="AG12:AG31" si="2">+AE12+AF12</f>
        <v>24</v>
      </c>
      <c r="AH12" s="3">
        <v>298157.77759997896</v>
      </c>
      <c r="AI12" s="45">
        <f t="shared" ref="AI12:AI39" si="3">AH12/$AL$48</f>
        <v>22.977474539709494</v>
      </c>
      <c r="AJ12" s="145">
        <v>0</v>
      </c>
      <c r="AK12" s="3">
        <v>0</v>
      </c>
      <c r="AL12" s="41">
        <f t="shared" ref="AL12:AL41" si="4">AK12/$AL$48</f>
        <v>0</v>
      </c>
      <c r="AM12" s="7"/>
    </row>
    <row r="13" spans="1:39" x14ac:dyDescent="0.25">
      <c r="A13" s="35"/>
      <c r="B13" s="60">
        <v>2</v>
      </c>
      <c r="C13" s="152">
        <v>4</v>
      </c>
      <c r="D13" s="154">
        <v>120</v>
      </c>
      <c r="E13" s="108">
        <v>11200.000000000273</v>
      </c>
      <c r="F13" s="3">
        <v>11600736.000000283</v>
      </c>
      <c r="G13" s="37">
        <v>2159.9999999999682</v>
      </c>
      <c r="H13" s="3">
        <v>3355927.1999999508</v>
      </c>
      <c r="I13" s="105">
        <f t="shared" ref="I13:I41" si="5">F13+H13</f>
        <v>14956663.200000234</v>
      </c>
      <c r="J13" s="108">
        <v>1500</v>
      </c>
      <c r="K13" s="3">
        <v>1553670</v>
      </c>
      <c r="L13" s="191">
        <v>420.00000000000171</v>
      </c>
      <c r="M13" s="192">
        <v>652541.4000000027</v>
      </c>
      <c r="N13" s="96">
        <f t="shared" ref="N13:N41" si="6">+K13+M13</f>
        <v>2206211.4000000027</v>
      </c>
      <c r="O13" s="110">
        <f t="shared" ref="O13:O39" si="7">N13+I13</f>
        <v>17162874.600000236</v>
      </c>
      <c r="P13" s="113">
        <f t="shared" ref="P13:P39" si="8">L13+J13+G13+E13</f>
        <v>15280.000000000244</v>
      </c>
      <c r="Q13" s="196"/>
      <c r="R13" s="207"/>
      <c r="S13" s="220"/>
      <c r="T13" s="217"/>
      <c r="U13" s="215">
        <v>0</v>
      </c>
      <c r="V13" s="193">
        <f t="shared" ref="V13:V41" si="9">Y13+W13</f>
        <v>1069.78</v>
      </c>
      <c r="W13" s="3">
        <v>406.73</v>
      </c>
      <c r="X13" s="3">
        <v>7309141.4650000008</v>
      </c>
      <c r="Y13" s="33">
        <v>663.05</v>
      </c>
      <c r="Z13" s="33">
        <v>2814766.5989999999</v>
      </c>
      <c r="AA13" s="33">
        <f t="shared" si="0"/>
        <v>10123908.064000001</v>
      </c>
      <c r="AB13" s="130">
        <f t="shared" si="1"/>
        <v>780.19712132082941</v>
      </c>
      <c r="AC13" s="136">
        <v>0</v>
      </c>
      <c r="AD13" s="3">
        <v>0</v>
      </c>
      <c r="AE13" s="3">
        <v>400</v>
      </c>
      <c r="AF13" s="3">
        <v>24</v>
      </c>
      <c r="AG13" s="3">
        <f t="shared" si="2"/>
        <v>424</v>
      </c>
      <c r="AH13" s="3">
        <v>5299000</v>
      </c>
      <c r="AI13" s="45">
        <f t="shared" si="3"/>
        <v>408.36646478253465</v>
      </c>
      <c r="AJ13" s="145">
        <v>298.78999999999724</v>
      </c>
      <c r="AK13" s="3">
        <v>2659230.9999999753</v>
      </c>
      <c r="AL13" s="41">
        <f t="shared" si="4"/>
        <v>204.93315012457336</v>
      </c>
      <c r="AM13" s="7"/>
    </row>
    <row r="14" spans="1:39" x14ac:dyDescent="0.25">
      <c r="A14" s="35"/>
      <c r="B14" s="60">
        <v>3</v>
      </c>
      <c r="C14" s="152">
        <v>5</v>
      </c>
      <c r="D14" s="154">
        <v>52</v>
      </c>
      <c r="E14" s="108">
        <v>11000</v>
      </c>
      <c r="F14" s="3">
        <v>11393580</v>
      </c>
      <c r="G14" s="37">
        <v>2200.0000000000455</v>
      </c>
      <c r="H14" s="3">
        <v>3418074.0000000708</v>
      </c>
      <c r="I14" s="105">
        <f t="shared" si="5"/>
        <v>14811654.000000071</v>
      </c>
      <c r="J14" s="108">
        <v>1600.0000000000227</v>
      </c>
      <c r="K14" s="3">
        <v>1657248.0000000235</v>
      </c>
      <c r="L14" s="191">
        <v>399.99999999999147</v>
      </c>
      <c r="M14" s="192">
        <v>621467.99999998673</v>
      </c>
      <c r="N14" s="96">
        <f t="shared" si="6"/>
        <v>2278716.0000000102</v>
      </c>
      <c r="O14" s="110">
        <f t="shared" si="7"/>
        <v>17090370.000000082</v>
      </c>
      <c r="P14" s="113">
        <f t="shared" si="8"/>
        <v>15200.00000000006</v>
      </c>
      <c r="Q14" s="196"/>
      <c r="R14" s="207"/>
      <c r="S14" s="220"/>
      <c r="T14" s="217"/>
      <c r="U14" s="215">
        <v>0</v>
      </c>
      <c r="V14" s="193">
        <f t="shared" si="9"/>
        <v>970.10000000000014</v>
      </c>
      <c r="W14" s="3">
        <v>402.28000000000003</v>
      </c>
      <c r="X14" s="3">
        <v>7229172.7400000002</v>
      </c>
      <c r="Y14" s="33">
        <v>567.82000000000005</v>
      </c>
      <c r="Z14" s="33">
        <v>2410498.1076000002</v>
      </c>
      <c r="AA14" s="33">
        <f t="shared" si="0"/>
        <v>9639670.8476</v>
      </c>
      <c r="AB14" s="130">
        <f t="shared" si="1"/>
        <v>742.87946890010778</v>
      </c>
      <c r="AC14" s="136">
        <v>0</v>
      </c>
      <c r="AD14" s="3">
        <v>0</v>
      </c>
      <c r="AE14" s="3">
        <v>50</v>
      </c>
      <c r="AF14" s="3">
        <v>0</v>
      </c>
      <c r="AG14" s="3">
        <f t="shared" si="2"/>
        <v>50</v>
      </c>
      <c r="AH14" s="3">
        <v>628000</v>
      </c>
      <c r="AI14" s="45">
        <f t="shared" si="3"/>
        <v>48.396705016688387</v>
      </c>
      <c r="AJ14" s="145">
        <v>429.81999999999971</v>
      </c>
      <c r="AK14" s="3">
        <v>3825397.9999999972</v>
      </c>
      <c r="AL14" s="41">
        <f t="shared" si="4"/>
        <v>294.80359646087516</v>
      </c>
      <c r="AM14" s="7"/>
    </row>
    <row r="15" spans="1:39" x14ac:dyDescent="0.25">
      <c r="A15" s="35"/>
      <c r="B15" s="60">
        <v>4</v>
      </c>
      <c r="C15" s="152">
        <v>11</v>
      </c>
      <c r="D15" s="154">
        <v>158</v>
      </c>
      <c r="E15" s="108">
        <v>10839.999999999691</v>
      </c>
      <c r="F15" s="3">
        <v>11227855.199999679</v>
      </c>
      <c r="G15" s="37">
        <v>2239.9999999999523</v>
      </c>
      <c r="H15" s="3">
        <v>3480220.7999999258</v>
      </c>
      <c r="I15" s="105">
        <f t="shared" si="5"/>
        <v>14708075.999999605</v>
      </c>
      <c r="J15" s="108">
        <v>1619.9999999999761</v>
      </c>
      <c r="K15" s="3">
        <v>1677963.5999999752</v>
      </c>
      <c r="L15" s="191">
        <v>460.00000000000796</v>
      </c>
      <c r="M15" s="192">
        <v>714688.20000001241</v>
      </c>
      <c r="N15" s="96">
        <f t="shared" si="6"/>
        <v>2392651.7999999877</v>
      </c>
      <c r="O15" s="110">
        <f t="shared" si="7"/>
        <v>17100727.799999595</v>
      </c>
      <c r="P15" s="113">
        <f t="shared" si="8"/>
        <v>15159.999999999627</v>
      </c>
      <c r="Q15" s="196"/>
      <c r="R15" s="207"/>
      <c r="S15" s="220"/>
      <c r="T15" s="217"/>
      <c r="U15" s="215">
        <v>0</v>
      </c>
      <c r="V15" s="193">
        <f t="shared" si="9"/>
        <v>1038.6300000000001</v>
      </c>
      <c r="W15" s="3">
        <v>379.14</v>
      </c>
      <c r="X15" s="3">
        <v>6813335.3700000001</v>
      </c>
      <c r="Y15" s="33">
        <v>659.49</v>
      </c>
      <c r="Z15" s="33">
        <v>2799653.7582</v>
      </c>
      <c r="AA15" s="33">
        <f t="shared" si="0"/>
        <v>9612989.1282000002</v>
      </c>
      <c r="AB15" s="130">
        <f t="shared" si="1"/>
        <v>740.82324707982139</v>
      </c>
      <c r="AC15" s="136">
        <v>0</v>
      </c>
      <c r="AD15" s="3">
        <v>0</v>
      </c>
      <c r="AE15" s="3">
        <v>0</v>
      </c>
      <c r="AF15" s="3">
        <v>0</v>
      </c>
      <c r="AG15" s="3">
        <f t="shared" si="2"/>
        <v>0</v>
      </c>
      <c r="AH15" s="3">
        <v>0</v>
      </c>
      <c r="AI15" s="45">
        <f t="shared" si="3"/>
        <v>0</v>
      </c>
      <c r="AJ15" s="145">
        <v>265.5</v>
      </c>
      <c r="AK15" s="3">
        <v>2362950</v>
      </c>
      <c r="AL15" s="41">
        <f t="shared" si="4"/>
        <v>182.1003091069806</v>
      </c>
      <c r="AM15" s="7"/>
    </row>
    <row r="16" spans="1:39" x14ac:dyDescent="0.25">
      <c r="A16" s="35"/>
      <c r="B16" s="60">
        <v>5</v>
      </c>
      <c r="C16" s="152">
        <v>16</v>
      </c>
      <c r="D16" s="154">
        <v>140</v>
      </c>
      <c r="E16" s="108">
        <v>10960.000000000036</v>
      </c>
      <c r="F16" s="3">
        <v>11352148.800000038</v>
      </c>
      <c r="G16" s="37">
        <v>2400.0000000000341</v>
      </c>
      <c r="H16" s="3">
        <v>3728808.0000000531</v>
      </c>
      <c r="I16" s="105">
        <f t="shared" si="5"/>
        <v>15080956.80000009</v>
      </c>
      <c r="J16" s="108">
        <v>1460.000000000008</v>
      </c>
      <c r="K16" s="3">
        <v>1512238.8000000082</v>
      </c>
      <c r="L16" s="191">
        <v>399.99999999999147</v>
      </c>
      <c r="M16" s="192">
        <v>621467.99999998673</v>
      </c>
      <c r="N16" s="96">
        <f t="shared" si="6"/>
        <v>2133706.7999999952</v>
      </c>
      <c r="O16" s="110">
        <f t="shared" si="7"/>
        <v>17214663.600000083</v>
      </c>
      <c r="P16" s="113">
        <f t="shared" si="8"/>
        <v>15220.000000000069</v>
      </c>
      <c r="Q16" s="196"/>
      <c r="R16" s="207"/>
      <c r="S16" s="220"/>
      <c r="T16" s="217"/>
      <c r="U16" s="215">
        <v>0</v>
      </c>
      <c r="V16" s="193">
        <f t="shared" si="9"/>
        <v>1076.9000000000001</v>
      </c>
      <c r="W16" s="3">
        <v>349.77</v>
      </c>
      <c r="X16" s="3">
        <v>6285541.7849999992</v>
      </c>
      <c r="Y16" s="33">
        <v>727.13</v>
      </c>
      <c r="Z16" s="33">
        <v>3086797.7334000003</v>
      </c>
      <c r="AA16" s="33">
        <f t="shared" si="0"/>
        <v>9372339.5183999985</v>
      </c>
      <c r="AB16" s="130">
        <f t="shared" si="1"/>
        <v>722.2776289621911</v>
      </c>
      <c r="AC16" s="136">
        <v>0</v>
      </c>
      <c r="AD16" s="3">
        <v>0</v>
      </c>
      <c r="AE16" s="3">
        <v>50</v>
      </c>
      <c r="AF16" s="3">
        <v>84</v>
      </c>
      <c r="AG16" s="3">
        <f t="shared" si="2"/>
        <v>134</v>
      </c>
      <c r="AH16" s="3">
        <v>1590500</v>
      </c>
      <c r="AI16" s="45">
        <f t="shared" si="3"/>
        <v>122.57159128828484</v>
      </c>
      <c r="AJ16" s="145">
        <v>139.81000000003769</v>
      </c>
      <c r="AK16" s="3">
        <v>1244309.0000003355</v>
      </c>
      <c r="AL16" s="41">
        <f t="shared" si="4"/>
        <v>95.892445258959782</v>
      </c>
      <c r="AM16" s="7"/>
    </row>
    <row r="17" spans="1:39" x14ac:dyDescent="0.25">
      <c r="A17" s="35"/>
      <c r="B17" s="60">
        <v>6</v>
      </c>
      <c r="C17" s="152">
        <v>8</v>
      </c>
      <c r="D17" s="154">
        <v>139</v>
      </c>
      <c r="E17" s="108">
        <v>11559.999999999945</v>
      </c>
      <c r="F17" s="3">
        <v>11973616.799999943</v>
      </c>
      <c r="G17" s="37">
        <v>2319.9999999999932</v>
      </c>
      <c r="H17" s="3">
        <v>3604514.3999999897</v>
      </c>
      <c r="I17" s="105">
        <f t="shared" si="5"/>
        <v>15578131.199999932</v>
      </c>
      <c r="J17" s="108">
        <v>1580.0000000000125</v>
      </c>
      <c r="K17" s="3">
        <v>1636532.4000000129</v>
      </c>
      <c r="L17" s="191">
        <v>439.99999999999773</v>
      </c>
      <c r="M17" s="192">
        <v>683614.79999999655</v>
      </c>
      <c r="N17" s="96">
        <f t="shared" si="6"/>
        <v>2320147.2000000095</v>
      </c>
      <c r="O17" s="110">
        <f t="shared" si="7"/>
        <v>17898278.399999943</v>
      </c>
      <c r="P17" s="113">
        <f t="shared" si="8"/>
        <v>15899.999999999949</v>
      </c>
      <c r="Q17" s="196"/>
      <c r="R17" s="207"/>
      <c r="S17" s="220"/>
      <c r="T17" s="217"/>
      <c r="U17" s="215">
        <v>0</v>
      </c>
      <c r="V17" s="193">
        <f t="shared" si="9"/>
        <v>1092.0300000000002</v>
      </c>
      <c r="W17" s="3">
        <v>376.47</v>
      </c>
      <c r="X17" s="3">
        <v>6765354.1350000007</v>
      </c>
      <c r="Y17" s="33">
        <v>715.56000000000006</v>
      </c>
      <c r="Z17" s="33">
        <v>3037681.0008000005</v>
      </c>
      <c r="AA17" s="33">
        <f t="shared" si="0"/>
        <v>9803035.1358000003</v>
      </c>
      <c r="AB17" s="130">
        <f t="shared" si="1"/>
        <v>755.46910785914713</v>
      </c>
      <c r="AC17" s="136">
        <v>0</v>
      </c>
      <c r="AD17" s="3">
        <v>0</v>
      </c>
      <c r="AE17" s="3">
        <v>0</v>
      </c>
      <c r="AF17" s="3">
        <v>0</v>
      </c>
      <c r="AG17" s="3">
        <f t="shared" si="2"/>
        <v>0</v>
      </c>
      <c r="AH17" s="3">
        <v>0</v>
      </c>
      <c r="AI17" s="45">
        <f t="shared" si="3"/>
        <v>0</v>
      </c>
      <c r="AJ17" s="145">
        <v>275.36999999998807</v>
      </c>
      <c r="AK17" s="3">
        <v>2450792.9999998938</v>
      </c>
      <c r="AL17" s="41">
        <f t="shared" si="4"/>
        <v>188.86991381840707</v>
      </c>
      <c r="AM17" s="7"/>
    </row>
    <row r="18" spans="1:39" x14ac:dyDescent="0.25">
      <c r="A18" s="35"/>
      <c r="B18" s="60">
        <v>7</v>
      </c>
      <c r="C18" s="152">
        <v>5</v>
      </c>
      <c r="D18" s="154">
        <v>66</v>
      </c>
      <c r="E18" s="108">
        <v>10920.000000000073</v>
      </c>
      <c r="F18" s="3">
        <v>11310717.600000076</v>
      </c>
      <c r="G18" s="37">
        <v>2240.0000000000091</v>
      </c>
      <c r="H18" s="3">
        <v>3480220.8000000142</v>
      </c>
      <c r="I18" s="105">
        <f t="shared" si="5"/>
        <v>14790938.40000009</v>
      </c>
      <c r="J18" s="108">
        <v>1759.9999999999909</v>
      </c>
      <c r="K18" s="3">
        <v>1822972.7999999905</v>
      </c>
      <c r="L18" s="191">
        <v>380.00000000000966</v>
      </c>
      <c r="M18" s="192">
        <v>590394.60000001499</v>
      </c>
      <c r="N18" s="96">
        <f t="shared" si="6"/>
        <v>2413367.4000000055</v>
      </c>
      <c r="O18" s="110">
        <f t="shared" si="7"/>
        <v>17204305.800000094</v>
      </c>
      <c r="P18" s="113">
        <f t="shared" si="8"/>
        <v>15300.000000000082</v>
      </c>
      <c r="Q18" s="196"/>
      <c r="R18" s="207"/>
      <c r="S18" s="220"/>
      <c r="T18" s="217"/>
      <c r="U18" s="215">
        <v>0</v>
      </c>
      <c r="V18" s="193">
        <f t="shared" si="9"/>
        <v>1082.24</v>
      </c>
      <c r="W18" s="3">
        <v>340.87</v>
      </c>
      <c r="X18" s="3">
        <v>6125604.335</v>
      </c>
      <c r="Y18" s="33">
        <v>741.37</v>
      </c>
      <c r="Z18" s="33">
        <v>3147249.0966000003</v>
      </c>
      <c r="AA18" s="33">
        <f t="shared" si="0"/>
        <v>9272853.4316000007</v>
      </c>
      <c r="AB18" s="130">
        <f t="shared" si="1"/>
        <v>714.6107518982991</v>
      </c>
      <c r="AC18" s="136">
        <v>0</v>
      </c>
      <c r="AD18" s="3">
        <v>0</v>
      </c>
      <c r="AE18" s="3">
        <v>0</v>
      </c>
      <c r="AF18" s="3">
        <v>0</v>
      </c>
      <c r="AG18" s="3">
        <f t="shared" si="2"/>
        <v>0</v>
      </c>
      <c r="AH18" s="3">
        <v>0</v>
      </c>
      <c r="AI18" s="45">
        <f t="shared" si="3"/>
        <v>0</v>
      </c>
      <c r="AJ18" s="145">
        <v>167.68999999999869</v>
      </c>
      <c r="AK18" s="3">
        <v>1492440.9999999884</v>
      </c>
      <c r="AL18" s="41">
        <f t="shared" si="4"/>
        <v>115.01469240734214</v>
      </c>
      <c r="AM18" s="7"/>
    </row>
    <row r="19" spans="1:39" x14ac:dyDescent="0.25">
      <c r="A19" s="35"/>
      <c r="B19" s="60">
        <v>8</v>
      </c>
      <c r="C19" s="152">
        <v>3</v>
      </c>
      <c r="D19" s="154">
        <v>53</v>
      </c>
      <c r="E19" s="108">
        <v>10600.000000000364</v>
      </c>
      <c r="F19" s="3">
        <v>10979268.000000376</v>
      </c>
      <c r="G19" s="37">
        <v>2159.9999999999682</v>
      </c>
      <c r="H19" s="3">
        <v>3355927.1999999508</v>
      </c>
      <c r="I19" s="105">
        <f t="shared" si="5"/>
        <v>14335195.200000327</v>
      </c>
      <c r="J19" s="108">
        <v>1480.0000000000182</v>
      </c>
      <c r="K19" s="3">
        <v>1532954.4000000188</v>
      </c>
      <c r="L19" s="191">
        <v>339.9999999999892</v>
      </c>
      <c r="M19" s="192">
        <v>528247.79999998328</v>
      </c>
      <c r="N19" s="96">
        <f t="shared" si="6"/>
        <v>2061202.200000002</v>
      </c>
      <c r="O19" s="110">
        <f t="shared" si="7"/>
        <v>16396397.40000033</v>
      </c>
      <c r="P19" s="113">
        <f t="shared" si="8"/>
        <v>14580.000000000338</v>
      </c>
      <c r="Q19" s="196"/>
      <c r="R19" s="207"/>
      <c r="S19" s="220"/>
      <c r="T19" s="217"/>
      <c r="U19" s="215">
        <v>0</v>
      </c>
      <c r="V19" s="193">
        <f t="shared" si="9"/>
        <v>888.22</v>
      </c>
      <c r="W19" s="3">
        <v>374.69</v>
      </c>
      <c r="X19" s="3">
        <v>6733366.6449999996</v>
      </c>
      <c r="Y19" s="33">
        <v>513.53</v>
      </c>
      <c r="Z19" s="33">
        <v>2180027.2853999999</v>
      </c>
      <c r="AA19" s="33">
        <f t="shared" si="0"/>
        <v>8913393.930399999</v>
      </c>
      <c r="AB19" s="130">
        <f t="shared" si="1"/>
        <v>686.909071253359</v>
      </c>
      <c r="AC19" s="136">
        <v>0</v>
      </c>
      <c r="AD19" s="3">
        <v>0</v>
      </c>
      <c r="AE19" s="3">
        <v>400</v>
      </c>
      <c r="AF19" s="3">
        <v>12</v>
      </c>
      <c r="AG19" s="3">
        <f t="shared" si="2"/>
        <v>412</v>
      </c>
      <c r="AH19" s="3">
        <v>5161500</v>
      </c>
      <c r="AI19" s="45">
        <f t="shared" si="3"/>
        <v>397.77005245802087</v>
      </c>
      <c r="AJ19" s="145">
        <v>151.33000000000175</v>
      </c>
      <c r="AK19" s="3">
        <v>1346837.0000000156</v>
      </c>
      <c r="AL19" s="41">
        <f t="shared" si="4"/>
        <v>103.79374680662785</v>
      </c>
      <c r="AM19" s="7"/>
    </row>
    <row r="20" spans="1:39" x14ac:dyDescent="0.25">
      <c r="A20" s="35"/>
      <c r="B20" s="60">
        <v>9</v>
      </c>
      <c r="C20" s="152">
        <v>3</v>
      </c>
      <c r="D20" s="154">
        <v>66</v>
      </c>
      <c r="E20" s="108">
        <v>10039.999999999964</v>
      </c>
      <c r="F20" s="3">
        <v>10399231.199999962</v>
      </c>
      <c r="G20" s="37">
        <v>2120.0000000000045</v>
      </c>
      <c r="H20" s="3">
        <v>3293780.4000000074</v>
      </c>
      <c r="I20" s="105">
        <f t="shared" si="5"/>
        <v>13693011.59999997</v>
      </c>
      <c r="J20" s="108">
        <v>1339.999999999975</v>
      </c>
      <c r="K20" s="3">
        <v>1387945.1999999741</v>
      </c>
      <c r="L20" s="191">
        <v>380.00000000000966</v>
      </c>
      <c r="M20" s="192">
        <v>590394.60000001499</v>
      </c>
      <c r="N20" s="96">
        <f t="shared" si="6"/>
        <v>1978339.7999999891</v>
      </c>
      <c r="O20" s="110">
        <f t="shared" si="7"/>
        <v>15671351.399999959</v>
      </c>
      <c r="P20" s="113">
        <f t="shared" si="8"/>
        <v>13879.999999999953</v>
      </c>
      <c r="Q20" s="196"/>
      <c r="R20" s="207"/>
      <c r="S20" s="220"/>
      <c r="T20" s="217"/>
      <c r="U20" s="215">
        <v>0</v>
      </c>
      <c r="V20" s="193">
        <f t="shared" si="9"/>
        <v>1044.8600000000001</v>
      </c>
      <c r="W20" s="3">
        <v>305.27</v>
      </c>
      <c r="X20" s="3">
        <v>5485854.5349999992</v>
      </c>
      <c r="Y20" s="33">
        <v>739.59</v>
      </c>
      <c r="Z20" s="33">
        <v>3139692.6762000006</v>
      </c>
      <c r="AA20" s="33">
        <f t="shared" si="0"/>
        <v>8625547.2111999989</v>
      </c>
      <c r="AB20" s="130">
        <f t="shared" si="1"/>
        <v>664.72621654134639</v>
      </c>
      <c r="AC20" s="136">
        <v>0</v>
      </c>
      <c r="AD20" s="3">
        <v>0</v>
      </c>
      <c r="AE20" s="3">
        <v>0</v>
      </c>
      <c r="AF20" s="3">
        <v>0</v>
      </c>
      <c r="AG20" s="3">
        <f t="shared" si="2"/>
        <v>0</v>
      </c>
      <c r="AH20" s="3">
        <v>0</v>
      </c>
      <c r="AI20" s="45">
        <f t="shared" si="3"/>
        <v>0</v>
      </c>
      <c r="AJ20" s="145">
        <v>163.44999999999709</v>
      </c>
      <c r="AK20" s="3">
        <v>1454704.9999999742</v>
      </c>
      <c r="AL20" s="41">
        <f t="shared" si="4"/>
        <v>112.10657447659304</v>
      </c>
      <c r="AM20" s="7"/>
    </row>
    <row r="21" spans="1:39" x14ac:dyDescent="0.25">
      <c r="A21" s="35"/>
      <c r="B21" s="60">
        <v>10</v>
      </c>
      <c r="C21" s="152">
        <v>6</v>
      </c>
      <c r="D21" s="154">
        <v>104</v>
      </c>
      <c r="E21" s="108">
        <v>11000</v>
      </c>
      <c r="F21" s="3">
        <v>11393580</v>
      </c>
      <c r="G21" s="37">
        <v>2280.0000000000296</v>
      </c>
      <c r="H21" s="3">
        <v>3542367.6000000462</v>
      </c>
      <c r="I21" s="105">
        <f t="shared" si="5"/>
        <v>14935947.600000046</v>
      </c>
      <c r="J21" s="108">
        <v>1420.0000000000159</v>
      </c>
      <c r="K21" s="3">
        <v>1470807.6000000164</v>
      </c>
      <c r="L21" s="191">
        <v>399.99999999999147</v>
      </c>
      <c r="M21" s="192">
        <v>621467.99999998673</v>
      </c>
      <c r="N21" s="96">
        <f t="shared" si="6"/>
        <v>2092275.6000000031</v>
      </c>
      <c r="O21" s="110">
        <f t="shared" si="7"/>
        <v>17028223.200000048</v>
      </c>
      <c r="P21" s="113">
        <f t="shared" si="8"/>
        <v>15100.000000000036</v>
      </c>
      <c r="Q21" s="196"/>
      <c r="R21" s="207"/>
      <c r="S21" s="220"/>
      <c r="T21" s="217"/>
      <c r="U21" s="215">
        <v>0</v>
      </c>
      <c r="V21" s="193">
        <f t="shared" si="9"/>
        <v>1148.99</v>
      </c>
      <c r="W21" s="3">
        <v>378.25</v>
      </c>
      <c r="X21" s="3">
        <v>6797341.625</v>
      </c>
      <c r="Y21" s="33">
        <v>770.74</v>
      </c>
      <c r="Z21" s="33">
        <v>3271930.0332000004</v>
      </c>
      <c r="AA21" s="33">
        <f t="shared" si="0"/>
        <v>10069271.658199999</v>
      </c>
      <c r="AB21" s="130">
        <f t="shared" si="1"/>
        <v>775.98657671147464</v>
      </c>
      <c r="AC21" s="136">
        <v>0</v>
      </c>
      <c r="AD21" s="3">
        <v>0</v>
      </c>
      <c r="AE21" s="3">
        <v>0</v>
      </c>
      <c r="AF21" s="3">
        <v>0</v>
      </c>
      <c r="AG21" s="3">
        <f t="shared" si="2"/>
        <v>0</v>
      </c>
      <c r="AH21" s="3">
        <v>0</v>
      </c>
      <c r="AI21" s="45">
        <f t="shared" si="3"/>
        <v>0</v>
      </c>
      <c r="AJ21" s="145">
        <v>310.40000000000146</v>
      </c>
      <c r="AK21" s="3">
        <v>2762560.000000013</v>
      </c>
      <c r="AL21" s="41">
        <f t="shared" si="4"/>
        <v>212.89618059061036</v>
      </c>
      <c r="AM21" s="7"/>
    </row>
    <row r="22" spans="1:39" x14ac:dyDescent="0.25">
      <c r="A22" s="35"/>
      <c r="B22" s="60">
        <v>11</v>
      </c>
      <c r="C22" s="152">
        <v>9</v>
      </c>
      <c r="D22" s="154">
        <v>101</v>
      </c>
      <c r="E22" s="108">
        <v>11079.999999999927</v>
      </c>
      <c r="F22" s="3">
        <v>11476442.399999924</v>
      </c>
      <c r="G22" s="37">
        <v>2319.9999999999932</v>
      </c>
      <c r="H22" s="3">
        <v>3604514.3999999897</v>
      </c>
      <c r="I22" s="105">
        <f t="shared" si="5"/>
        <v>15080956.799999913</v>
      </c>
      <c r="J22" s="108">
        <v>1379.9999999999955</v>
      </c>
      <c r="K22" s="3">
        <v>1429376.3999999953</v>
      </c>
      <c r="L22" s="191">
        <v>380.00000000000966</v>
      </c>
      <c r="M22" s="192">
        <v>590394.60000001499</v>
      </c>
      <c r="N22" s="96">
        <f t="shared" si="6"/>
        <v>2019771.0000000102</v>
      </c>
      <c r="O22" s="110">
        <f t="shared" si="7"/>
        <v>17100727.799999923</v>
      </c>
      <c r="P22" s="113">
        <f t="shared" si="8"/>
        <v>15159.999999999925</v>
      </c>
      <c r="Q22" s="196"/>
      <c r="R22" s="207"/>
      <c r="S22" s="220"/>
      <c r="T22" s="217"/>
      <c r="U22" s="215">
        <v>0</v>
      </c>
      <c r="V22" s="193">
        <f t="shared" si="9"/>
        <v>1169.5489999999986</v>
      </c>
      <c r="W22" s="3">
        <v>356</v>
      </c>
      <c r="X22" s="3">
        <v>6397498</v>
      </c>
      <c r="Y22" s="33">
        <v>813.54899999999873</v>
      </c>
      <c r="Z22" s="33">
        <v>3453661.943819995</v>
      </c>
      <c r="AA22" s="33">
        <f t="shared" si="0"/>
        <v>9851159.943819996</v>
      </c>
      <c r="AB22" s="130">
        <f t="shared" si="1"/>
        <v>759.17783737782304</v>
      </c>
      <c r="AC22" s="136">
        <v>0</v>
      </c>
      <c r="AD22" s="3">
        <v>0</v>
      </c>
      <c r="AE22" s="3">
        <v>0</v>
      </c>
      <c r="AF22" s="3">
        <v>0</v>
      </c>
      <c r="AG22" s="3">
        <f t="shared" si="2"/>
        <v>0</v>
      </c>
      <c r="AH22" s="3">
        <v>0</v>
      </c>
      <c r="AI22" s="45">
        <f t="shared" si="3"/>
        <v>0</v>
      </c>
      <c r="AJ22" s="145">
        <v>227.77999999999884</v>
      </c>
      <c r="AK22" s="3">
        <v>2027241.9999999898</v>
      </c>
      <c r="AL22" s="41">
        <f t="shared" si="4"/>
        <v>156.22903355324985</v>
      </c>
      <c r="AM22" s="7"/>
    </row>
    <row r="23" spans="1:39" x14ac:dyDescent="0.25">
      <c r="A23" s="35"/>
      <c r="B23" s="60">
        <v>12</v>
      </c>
      <c r="C23" s="152">
        <v>11</v>
      </c>
      <c r="D23" s="154">
        <v>148</v>
      </c>
      <c r="E23" s="108">
        <v>11199.999999999818</v>
      </c>
      <c r="F23" s="3">
        <v>11600735.999999812</v>
      </c>
      <c r="G23" s="37">
        <v>2319.9999999999932</v>
      </c>
      <c r="H23" s="3">
        <v>3604514.3999999897</v>
      </c>
      <c r="I23" s="105">
        <f t="shared" si="5"/>
        <v>15205250.399999801</v>
      </c>
      <c r="J23" s="108">
        <v>1480.0000000000182</v>
      </c>
      <c r="K23" s="3">
        <v>1532954.4000000188</v>
      </c>
      <c r="L23" s="191">
        <v>399.99999999999147</v>
      </c>
      <c r="M23" s="192">
        <v>621467.99999998673</v>
      </c>
      <c r="N23" s="96">
        <f t="shared" si="6"/>
        <v>2154422.4000000055</v>
      </c>
      <c r="O23" s="110">
        <f t="shared" si="7"/>
        <v>17359672.799999807</v>
      </c>
      <c r="P23" s="113">
        <f t="shared" si="8"/>
        <v>15399.999999999822</v>
      </c>
      <c r="Q23" s="196"/>
      <c r="R23" s="207"/>
      <c r="S23" s="220"/>
      <c r="T23" s="217"/>
      <c r="U23" s="215">
        <v>0</v>
      </c>
      <c r="V23" s="193">
        <f t="shared" si="9"/>
        <v>1065.2410000000013</v>
      </c>
      <c r="W23" s="3">
        <v>388.93</v>
      </c>
      <c r="X23" s="3">
        <v>6989266.5650000004</v>
      </c>
      <c r="Y23" s="33">
        <v>676.31100000000129</v>
      </c>
      <c r="Z23" s="33">
        <v>2871061.9309800058</v>
      </c>
      <c r="AA23" s="33">
        <f t="shared" si="0"/>
        <v>9860328.4959800057</v>
      </c>
      <c r="AB23" s="130">
        <f t="shared" si="1"/>
        <v>759.88441017132322</v>
      </c>
      <c r="AC23" s="136">
        <v>0</v>
      </c>
      <c r="AD23" s="3">
        <v>0</v>
      </c>
      <c r="AE23" s="3">
        <v>0</v>
      </c>
      <c r="AF23" s="3">
        <v>84</v>
      </c>
      <c r="AG23" s="3">
        <f t="shared" si="2"/>
        <v>84</v>
      </c>
      <c r="AH23" s="3">
        <v>962500</v>
      </c>
      <c r="AI23" s="45">
        <f t="shared" si="3"/>
        <v>74.174886271596449</v>
      </c>
      <c r="AJ23" s="145">
        <v>224.79500000000189</v>
      </c>
      <c r="AK23" s="3">
        <v>2000675.5000000168</v>
      </c>
      <c r="AL23" s="41">
        <f t="shared" si="4"/>
        <v>154.1816910949305</v>
      </c>
      <c r="AM23" s="7"/>
    </row>
    <row r="24" spans="1:39" x14ac:dyDescent="0.25">
      <c r="A24" s="35"/>
      <c r="B24" s="60">
        <v>13</v>
      </c>
      <c r="C24" s="152">
        <v>10</v>
      </c>
      <c r="D24" s="154">
        <v>154</v>
      </c>
      <c r="E24" s="108">
        <v>10880.000000000109</v>
      </c>
      <c r="F24" s="3">
        <v>11269286.400000112</v>
      </c>
      <c r="G24" s="37">
        <v>2360.0000000000136</v>
      </c>
      <c r="H24" s="3">
        <v>3666661.2000000211</v>
      </c>
      <c r="I24" s="105">
        <f t="shared" si="5"/>
        <v>14935947.600000134</v>
      </c>
      <c r="J24" s="108">
        <v>1419.9999999999591</v>
      </c>
      <c r="K24" s="3">
        <v>1470807.5999999575</v>
      </c>
      <c r="L24" s="191">
        <v>359.99999999999943</v>
      </c>
      <c r="M24" s="192">
        <v>559321.19999999914</v>
      </c>
      <c r="N24" s="96">
        <f t="shared" si="6"/>
        <v>2030128.7999999565</v>
      </c>
      <c r="O24" s="110">
        <f t="shared" si="7"/>
        <v>16966076.400000092</v>
      </c>
      <c r="P24" s="113">
        <f t="shared" si="8"/>
        <v>15020.000000000082</v>
      </c>
      <c r="Q24" s="196"/>
      <c r="R24" s="207"/>
      <c r="S24" s="220"/>
      <c r="T24" s="217"/>
      <c r="U24" s="215">
        <v>0</v>
      </c>
      <c r="V24" s="193">
        <f>Y24+W24</f>
        <v>1096.48</v>
      </c>
      <c r="W24" s="3">
        <v>418.3</v>
      </c>
      <c r="X24" s="3">
        <v>7517060.1500000004</v>
      </c>
      <c r="Y24" s="33">
        <v>678.18000000000006</v>
      </c>
      <c r="Z24" s="33">
        <v>2878996.1724000005</v>
      </c>
      <c r="AA24" s="33">
        <f t="shared" si="0"/>
        <v>10396056.3224</v>
      </c>
      <c r="AB24" s="130">
        <f t="shared" si="1"/>
        <v>801.17017702559087</v>
      </c>
      <c r="AC24" s="136">
        <v>0</v>
      </c>
      <c r="AD24" s="3">
        <v>0</v>
      </c>
      <c r="AE24" s="3">
        <v>400</v>
      </c>
      <c r="AF24" s="3">
        <v>12</v>
      </c>
      <c r="AG24" s="3">
        <f t="shared" si="2"/>
        <v>412</v>
      </c>
      <c r="AH24" s="3">
        <v>5161500</v>
      </c>
      <c r="AI24" s="45">
        <f t="shared" si="3"/>
        <v>397.77005245802087</v>
      </c>
      <c r="AJ24" s="145">
        <v>270.02499999999782</v>
      </c>
      <c r="AK24" s="3">
        <v>2403222.4999999804</v>
      </c>
      <c r="AL24" s="41">
        <f t="shared" si="4"/>
        <v>185.20390194580804</v>
      </c>
      <c r="AM24" s="7"/>
    </row>
    <row r="25" spans="1:39" x14ac:dyDescent="0.25">
      <c r="A25" s="35"/>
      <c r="B25" s="60">
        <v>14</v>
      </c>
      <c r="C25" s="152">
        <v>6</v>
      </c>
      <c r="D25" s="154">
        <v>118</v>
      </c>
      <c r="E25" s="108">
        <v>11440.000000000055</v>
      </c>
      <c r="F25" s="3">
        <v>11849323.200000057</v>
      </c>
      <c r="G25" s="37">
        <v>2279.9999999999727</v>
      </c>
      <c r="H25" s="3">
        <v>3542367.5999999577</v>
      </c>
      <c r="I25" s="105">
        <f t="shared" si="5"/>
        <v>15391690.800000016</v>
      </c>
      <c r="J25" s="108">
        <v>1340.0000000000318</v>
      </c>
      <c r="K25" s="3">
        <v>1387945.200000033</v>
      </c>
      <c r="L25" s="191">
        <v>340.00000000000341</v>
      </c>
      <c r="M25" s="192">
        <v>528247.80000000529</v>
      </c>
      <c r="N25" s="96">
        <f t="shared" si="6"/>
        <v>1916193.0000000382</v>
      </c>
      <c r="O25" s="110">
        <f t="shared" si="7"/>
        <v>17307883.800000053</v>
      </c>
      <c r="P25" s="113">
        <f t="shared" si="8"/>
        <v>15400.000000000062</v>
      </c>
      <c r="Q25" s="196"/>
      <c r="R25" s="207"/>
      <c r="S25" s="220"/>
      <c r="T25" s="217"/>
      <c r="U25" s="215">
        <v>0</v>
      </c>
      <c r="V25" s="193">
        <f t="shared" si="9"/>
        <v>1116.95</v>
      </c>
      <c r="W25" s="3">
        <v>391.6</v>
      </c>
      <c r="X25" s="3">
        <v>7037247.8000000007</v>
      </c>
      <c r="Y25" s="33">
        <v>725.35</v>
      </c>
      <c r="Z25" s="33">
        <v>3079241.3130000001</v>
      </c>
      <c r="AA25" s="33">
        <f t="shared" si="0"/>
        <v>10116489.113000002</v>
      </c>
      <c r="AB25" s="130">
        <f t="shared" si="1"/>
        <v>779.62538122038313</v>
      </c>
      <c r="AC25" s="136">
        <v>0</v>
      </c>
      <c r="AD25" s="3">
        <v>0</v>
      </c>
      <c r="AE25" s="3">
        <v>50</v>
      </c>
      <c r="AF25" s="3">
        <v>12</v>
      </c>
      <c r="AG25" s="3">
        <f t="shared" si="2"/>
        <v>62</v>
      </c>
      <c r="AH25" s="3">
        <v>765500</v>
      </c>
      <c r="AI25" s="45">
        <f t="shared" si="3"/>
        <v>58.993117341202165</v>
      </c>
      <c r="AJ25" s="145">
        <v>215.75</v>
      </c>
      <c r="AK25" s="3">
        <v>1920175</v>
      </c>
      <c r="AL25" s="41">
        <f t="shared" si="4"/>
        <v>147.9779348016236</v>
      </c>
      <c r="AM25" s="7"/>
    </row>
    <row r="26" spans="1:39" x14ac:dyDescent="0.25">
      <c r="A26" s="35"/>
      <c r="B26" s="60">
        <v>15</v>
      </c>
      <c r="C26" s="152">
        <v>4</v>
      </c>
      <c r="D26" s="154">
        <v>81</v>
      </c>
      <c r="E26" s="108">
        <v>10639.999999999873</v>
      </c>
      <c r="F26" s="3">
        <v>11020699.199999867</v>
      </c>
      <c r="G26" s="37">
        <v>2159.9999999999682</v>
      </c>
      <c r="H26" s="3">
        <v>3355927.1999999508</v>
      </c>
      <c r="I26" s="105">
        <f t="shared" si="5"/>
        <v>14376626.399999818</v>
      </c>
      <c r="J26" s="108">
        <v>1339.999999999975</v>
      </c>
      <c r="K26" s="3">
        <v>1387945.1999999741</v>
      </c>
      <c r="L26" s="191">
        <v>359.99999999999943</v>
      </c>
      <c r="M26" s="192">
        <v>559321.19999999914</v>
      </c>
      <c r="N26" s="96">
        <f t="shared" si="6"/>
        <v>1947266.3999999734</v>
      </c>
      <c r="O26" s="110">
        <f t="shared" si="7"/>
        <v>16323892.799999792</v>
      </c>
      <c r="P26" s="113">
        <f t="shared" si="8"/>
        <v>14499.999999999814</v>
      </c>
      <c r="Q26" s="196"/>
      <c r="R26" s="207"/>
      <c r="S26" s="220"/>
      <c r="T26" s="217"/>
      <c r="U26" s="215">
        <v>0</v>
      </c>
      <c r="V26" s="193">
        <f t="shared" si="9"/>
        <v>945.18000000000006</v>
      </c>
      <c r="W26" s="3">
        <v>450.34000000000003</v>
      </c>
      <c r="X26" s="3">
        <v>8092834.9700000007</v>
      </c>
      <c r="Y26" s="33">
        <v>494.84000000000003</v>
      </c>
      <c r="Z26" s="33">
        <v>2100684.8712000004</v>
      </c>
      <c r="AA26" s="33">
        <f t="shared" si="0"/>
        <v>10193519.841200002</v>
      </c>
      <c r="AB26" s="130">
        <f t="shared" si="1"/>
        <v>785.56174018521767</v>
      </c>
      <c r="AC26" s="136">
        <v>0</v>
      </c>
      <c r="AD26" s="3">
        <v>0</v>
      </c>
      <c r="AE26" s="3">
        <v>50</v>
      </c>
      <c r="AF26" s="3">
        <v>12</v>
      </c>
      <c r="AG26" s="3">
        <f t="shared" si="2"/>
        <v>62</v>
      </c>
      <c r="AH26" s="3">
        <v>765500</v>
      </c>
      <c r="AI26" s="45">
        <f t="shared" si="3"/>
        <v>58.993117341202165</v>
      </c>
      <c r="AJ26" s="145">
        <v>250.25</v>
      </c>
      <c r="AK26" s="3">
        <v>2227225</v>
      </c>
      <c r="AL26" s="41">
        <f t="shared" si="4"/>
        <v>171.64068683247419</v>
      </c>
      <c r="AM26" s="7"/>
    </row>
    <row r="27" spans="1:39" x14ac:dyDescent="0.25">
      <c r="A27" s="35"/>
      <c r="B27" s="60">
        <v>16</v>
      </c>
      <c r="C27" s="152">
        <v>3</v>
      </c>
      <c r="D27" s="154">
        <v>122</v>
      </c>
      <c r="E27" s="108">
        <v>11000</v>
      </c>
      <c r="F27" s="3">
        <v>11393580</v>
      </c>
      <c r="G27" s="37">
        <v>2160.0000000000819</v>
      </c>
      <c r="H27" s="3">
        <v>3355927.2000001273</v>
      </c>
      <c r="I27" s="105">
        <f t="shared" si="5"/>
        <v>14749507.200000128</v>
      </c>
      <c r="J27" s="108">
        <v>1319.9999999999932</v>
      </c>
      <c r="K27" s="3">
        <v>1367229.5999999929</v>
      </c>
      <c r="L27" s="191">
        <v>340.00000000000341</v>
      </c>
      <c r="M27" s="192">
        <v>528247.80000000529</v>
      </c>
      <c r="N27" s="96">
        <f t="shared" si="6"/>
        <v>1895477.399999998</v>
      </c>
      <c r="O27" s="110">
        <f t="shared" si="7"/>
        <v>16644984.600000126</v>
      </c>
      <c r="P27" s="113">
        <f t="shared" si="8"/>
        <v>14820.000000000078</v>
      </c>
      <c r="Q27" s="196"/>
      <c r="R27" s="207"/>
      <c r="S27" s="220"/>
      <c r="T27" s="217"/>
      <c r="U27" s="215">
        <v>0</v>
      </c>
      <c r="V27" s="193">
        <f t="shared" si="9"/>
        <v>824.1400000000001</v>
      </c>
      <c r="W27" s="3">
        <v>307.94</v>
      </c>
      <c r="X27" s="3">
        <v>5533835.7699999996</v>
      </c>
      <c r="Y27" s="33">
        <v>516.20000000000005</v>
      </c>
      <c r="Z27" s="33">
        <v>2191361.9160000002</v>
      </c>
      <c r="AA27" s="33">
        <f t="shared" si="0"/>
        <v>7725197.6859999998</v>
      </c>
      <c r="AB27" s="130">
        <f t="shared" si="1"/>
        <v>595.34094523080523</v>
      </c>
      <c r="AC27" s="136">
        <v>0</v>
      </c>
      <c r="AD27" s="3">
        <v>0</v>
      </c>
      <c r="AE27" s="3">
        <v>0</v>
      </c>
      <c r="AF27" s="3">
        <v>0</v>
      </c>
      <c r="AG27" s="3">
        <f t="shared" si="2"/>
        <v>0</v>
      </c>
      <c r="AH27" s="3">
        <v>0</v>
      </c>
      <c r="AI27" s="45">
        <f t="shared" si="3"/>
        <v>0</v>
      </c>
      <c r="AJ27" s="145">
        <v>225.29000000000087</v>
      </c>
      <c r="AK27" s="3">
        <v>2005081.0000000077</v>
      </c>
      <c r="AL27" s="41">
        <f t="shared" si="4"/>
        <v>154.52120014580723</v>
      </c>
      <c r="AM27" s="7"/>
    </row>
    <row r="28" spans="1:39" x14ac:dyDescent="0.25">
      <c r="A28" s="35"/>
      <c r="B28" s="60">
        <v>17</v>
      </c>
      <c r="C28" s="152">
        <v>15</v>
      </c>
      <c r="D28" s="154">
        <v>121</v>
      </c>
      <c r="E28" s="108">
        <v>11519.999999999982</v>
      </c>
      <c r="F28" s="3">
        <v>11932185.599999981</v>
      </c>
      <c r="G28" s="37">
        <v>2319.9999999999363</v>
      </c>
      <c r="H28" s="3">
        <v>3604514.3999999012</v>
      </c>
      <c r="I28" s="105">
        <f t="shared" si="5"/>
        <v>15536699.999999883</v>
      </c>
      <c r="J28" s="108">
        <v>1280.0000000000296</v>
      </c>
      <c r="K28" s="3">
        <v>1325798.4000000306</v>
      </c>
      <c r="L28" s="191">
        <v>359.99999999999943</v>
      </c>
      <c r="M28" s="192">
        <v>559321.19999999914</v>
      </c>
      <c r="N28" s="96">
        <f t="shared" si="6"/>
        <v>1885119.6000000299</v>
      </c>
      <c r="O28" s="110">
        <f t="shared" si="7"/>
        <v>17421819.599999912</v>
      </c>
      <c r="P28" s="113">
        <f t="shared" si="8"/>
        <v>15479.999999999947</v>
      </c>
      <c r="Q28" s="196"/>
      <c r="R28" s="209"/>
      <c r="S28" s="220"/>
      <c r="T28" s="217"/>
      <c r="U28" s="215">
        <v>0</v>
      </c>
      <c r="V28" s="193">
        <f t="shared" si="9"/>
        <v>1017.27</v>
      </c>
      <c r="W28" s="3">
        <v>377.36</v>
      </c>
      <c r="X28" s="3">
        <v>6781347.8799999999</v>
      </c>
      <c r="Y28" s="33">
        <v>639.91</v>
      </c>
      <c r="Z28" s="33">
        <v>2716533.1338</v>
      </c>
      <c r="AA28" s="33">
        <f t="shared" si="0"/>
        <v>9497881.0137999989</v>
      </c>
      <c r="AB28" s="130">
        <f t="shared" si="1"/>
        <v>731.95246131924171</v>
      </c>
      <c r="AC28" s="136">
        <v>0</v>
      </c>
      <c r="AD28" s="3">
        <v>0</v>
      </c>
      <c r="AE28" s="3">
        <v>0</v>
      </c>
      <c r="AF28" s="3">
        <v>0</v>
      </c>
      <c r="AG28" s="3">
        <f t="shared" si="2"/>
        <v>0</v>
      </c>
      <c r="AH28" s="3">
        <v>0</v>
      </c>
      <c r="AI28" s="45">
        <f t="shared" si="3"/>
        <v>0</v>
      </c>
      <c r="AJ28" s="145">
        <v>25.459999999999127</v>
      </c>
      <c r="AK28" s="3">
        <v>226593.99999999223</v>
      </c>
      <c r="AL28" s="41">
        <f t="shared" si="4"/>
        <v>17.462425121896676</v>
      </c>
      <c r="AM28" s="7"/>
    </row>
    <row r="29" spans="1:39" x14ac:dyDescent="0.25">
      <c r="A29" s="35"/>
      <c r="B29" s="60">
        <v>18</v>
      </c>
      <c r="C29" s="152">
        <v>15</v>
      </c>
      <c r="D29" s="154">
        <v>164</v>
      </c>
      <c r="E29" s="108">
        <v>10440.000000000055</v>
      </c>
      <c r="F29" s="3">
        <v>10813543.200000057</v>
      </c>
      <c r="G29" s="37">
        <v>2279.9999999999727</v>
      </c>
      <c r="H29" s="3">
        <v>3542367.5999999577</v>
      </c>
      <c r="I29" s="105">
        <f t="shared" si="5"/>
        <v>14355910.800000016</v>
      </c>
      <c r="J29" s="108">
        <v>1360.0000000000136</v>
      </c>
      <c r="K29" s="3">
        <v>1408660.800000014</v>
      </c>
      <c r="L29" s="191">
        <v>399.99999999999147</v>
      </c>
      <c r="M29" s="192">
        <v>621467.99999998673</v>
      </c>
      <c r="N29" s="96">
        <f t="shared" si="6"/>
        <v>2030128.8000000007</v>
      </c>
      <c r="O29" s="110">
        <f t="shared" si="7"/>
        <v>16386039.600000016</v>
      </c>
      <c r="P29" s="113">
        <f t="shared" si="8"/>
        <v>14480.000000000033</v>
      </c>
      <c r="Q29" s="197"/>
      <c r="R29" s="210"/>
      <c r="S29" s="220"/>
      <c r="T29" s="217"/>
      <c r="U29" s="215">
        <v>0</v>
      </c>
      <c r="V29" s="193">
        <f t="shared" si="9"/>
        <v>1025.28</v>
      </c>
      <c r="W29" s="3">
        <v>406.73</v>
      </c>
      <c r="X29" s="3">
        <v>7309141.4650000008</v>
      </c>
      <c r="Y29" s="33">
        <v>618.54999999999995</v>
      </c>
      <c r="Z29" s="33">
        <v>2625856.0890000002</v>
      </c>
      <c r="AA29" s="33">
        <f t="shared" si="0"/>
        <v>9934997.5540000014</v>
      </c>
      <c r="AB29" s="130">
        <f t="shared" si="1"/>
        <v>765.63876745614448</v>
      </c>
      <c r="AC29" s="136">
        <v>0</v>
      </c>
      <c r="AD29" s="3">
        <v>0</v>
      </c>
      <c r="AE29" s="3">
        <v>400</v>
      </c>
      <c r="AF29" s="3">
        <v>12</v>
      </c>
      <c r="AG29" s="3">
        <f t="shared" si="2"/>
        <v>412</v>
      </c>
      <c r="AH29" s="3">
        <v>5161500</v>
      </c>
      <c r="AI29" s="45">
        <f t="shared" si="3"/>
        <v>397.77005245802087</v>
      </c>
      <c r="AJ29" s="145">
        <v>294.10000000000218</v>
      </c>
      <c r="AK29" s="3">
        <v>2617490.0000000196</v>
      </c>
      <c r="AL29" s="41">
        <f t="shared" si="4"/>
        <v>201.71638760212201</v>
      </c>
      <c r="AM29" s="7"/>
    </row>
    <row r="30" spans="1:39" x14ac:dyDescent="0.25">
      <c r="A30" s="35"/>
      <c r="B30" s="60">
        <v>19</v>
      </c>
      <c r="C30" s="152">
        <v>13</v>
      </c>
      <c r="D30" s="154">
        <v>185</v>
      </c>
      <c r="E30" s="108">
        <v>11400.000000000091</v>
      </c>
      <c r="F30" s="3">
        <v>11807892.000000093</v>
      </c>
      <c r="G30" s="37">
        <v>2440.0000000000546</v>
      </c>
      <c r="H30" s="3">
        <v>3790954.800000085</v>
      </c>
      <c r="I30" s="105">
        <f t="shared" si="5"/>
        <v>15598846.800000178</v>
      </c>
      <c r="J30" s="108">
        <v>1459.9999999999795</v>
      </c>
      <c r="K30" s="3">
        <v>1512238.7999999789</v>
      </c>
      <c r="L30" s="191">
        <v>400.00000000000568</v>
      </c>
      <c r="M30" s="192">
        <v>621468.00000000885</v>
      </c>
      <c r="N30" s="96">
        <f t="shared" si="6"/>
        <v>2133706.7999999877</v>
      </c>
      <c r="O30" s="110">
        <f t="shared" si="7"/>
        <v>17732553.600000165</v>
      </c>
      <c r="P30" s="113">
        <f t="shared" si="8"/>
        <v>15700.000000000131</v>
      </c>
      <c r="Q30" s="196"/>
      <c r="R30" s="209"/>
      <c r="S30" s="220"/>
      <c r="T30" s="217"/>
      <c r="U30" s="215">
        <v>0</v>
      </c>
      <c r="V30" s="193">
        <f t="shared" si="9"/>
        <v>892.67000000000007</v>
      </c>
      <c r="W30" s="3">
        <v>345.32</v>
      </c>
      <c r="X30" s="3">
        <v>6205573.0599999996</v>
      </c>
      <c r="Y30" s="33">
        <v>547.35</v>
      </c>
      <c r="Z30" s="33">
        <v>2323599.273</v>
      </c>
      <c r="AA30" s="33">
        <f t="shared" si="0"/>
        <v>8529172.3330000006</v>
      </c>
      <c r="AB30" s="130">
        <f t="shared" si="1"/>
        <v>657.29910419856833</v>
      </c>
      <c r="AC30" s="136">
        <v>0</v>
      </c>
      <c r="AD30" s="3">
        <v>0</v>
      </c>
      <c r="AE30" s="3">
        <v>0</v>
      </c>
      <c r="AF30" s="3">
        <v>24</v>
      </c>
      <c r="AG30" s="3">
        <f t="shared" si="2"/>
        <v>24</v>
      </c>
      <c r="AH30" s="3">
        <v>275000</v>
      </c>
      <c r="AI30" s="45">
        <f t="shared" si="3"/>
        <v>21.192824649027557</v>
      </c>
      <c r="AJ30" s="145">
        <v>290.70000000000073</v>
      </c>
      <c r="AK30" s="3">
        <v>2587230.0000000065</v>
      </c>
      <c r="AL30" s="41">
        <f t="shared" si="4"/>
        <v>199.38440624255892</v>
      </c>
      <c r="AM30" s="7"/>
    </row>
    <row r="31" spans="1:39" x14ac:dyDescent="0.25">
      <c r="A31" s="35"/>
      <c r="B31" s="60">
        <v>20</v>
      </c>
      <c r="C31" s="152">
        <v>11</v>
      </c>
      <c r="D31" s="154">
        <v>193</v>
      </c>
      <c r="E31" s="108">
        <v>10639.999999999873</v>
      </c>
      <c r="F31" s="3">
        <v>11020699.199999867</v>
      </c>
      <c r="G31" s="37">
        <v>2279.9999999999727</v>
      </c>
      <c r="H31" s="3">
        <v>3542367.5999999577</v>
      </c>
      <c r="I31" s="105">
        <f t="shared" si="5"/>
        <v>14563066.799999826</v>
      </c>
      <c r="J31" s="108">
        <v>1579.9999999999841</v>
      </c>
      <c r="K31" s="3">
        <v>1636532.3999999834</v>
      </c>
      <c r="L31" s="191">
        <v>379.99999999999545</v>
      </c>
      <c r="M31" s="192">
        <v>590394.59999999299</v>
      </c>
      <c r="N31" s="96">
        <f t="shared" si="6"/>
        <v>2226926.9999999763</v>
      </c>
      <c r="O31" s="110">
        <f t="shared" si="7"/>
        <v>16789993.799999803</v>
      </c>
      <c r="P31" s="113">
        <f t="shared" si="8"/>
        <v>14879.999999999825</v>
      </c>
      <c r="Q31" s="197"/>
      <c r="R31" s="210"/>
      <c r="S31" s="220"/>
      <c r="T31" s="217"/>
      <c r="U31" s="215">
        <v>0</v>
      </c>
      <c r="V31" s="193">
        <f t="shared" si="9"/>
        <v>873.98</v>
      </c>
      <c r="W31" s="3">
        <v>376.47</v>
      </c>
      <c r="X31" s="3">
        <v>6765354.1350000007</v>
      </c>
      <c r="Y31" s="33">
        <v>497.51</v>
      </c>
      <c r="Z31" s="33">
        <v>2112019.5018000002</v>
      </c>
      <c r="AA31" s="33">
        <f t="shared" si="0"/>
        <v>8877373.6368000004</v>
      </c>
      <c r="AB31" s="130">
        <f t="shared" si="1"/>
        <v>684.13317392219074</v>
      </c>
      <c r="AC31" s="136">
        <v>0</v>
      </c>
      <c r="AD31" s="3">
        <v>0</v>
      </c>
      <c r="AE31" s="3">
        <v>0</v>
      </c>
      <c r="AF31" s="3">
        <v>12</v>
      </c>
      <c r="AG31" s="3">
        <f t="shared" si="2"/>
        <v>12</v>
      </c>
      <c r="AH31" s="3">
        <v>137500</v>
      </c>
      <c r="AI31" s="45">
        <f t="shared" si="3"/>
        <v>10.596412324513778</v>
      </c>
      <c r="AJ31" s="145">
        <v>261.39999999999782</v>
      </c>
      <c r="AK31" s="3">
        <v>2326459.9999999804</v>
      </c>
      <c r="AL31" s="41">
        <f t="shared" si="4"/>
        <v>179.2882139380954</v>
      </c>
      <c r="AM31" s="7"/>
    </row>
    <row r="32" spans="1:39" x14ac:dyDescent="0.25">
      <c r="A32" s="35"/>
      <c r="B32" s="60">
        <v>21</v>
      </c>
      <c r="C32" s="152">
        <v>9</v>
      </c>
      <c r="D32" s="154">
        <v>193</v>
      </c>
      <c r="E32" s="108">
        <v>11440.000000000055</v>
      </c>
      <c r="F32" s="3">
        <v>11849323.200000057</v>
      </c>
      <c r="G32" s="37">
        <v>2320.00000000005</v>
      </c>
      <c r="H32" s="3">
        <v>3604514.4000000777</v>
      </c>
      <c r="I32" s="105">
        <f t="shared" si="5"/>
        <v>15453837.600000136</v>
      </c>
      <c r="J32" s="108">
        <v>1379.9999999999955</v>
      </c>
      <c r="K32" s="3">
        <v>1429376.3999999953</v>
      </c>
      <c r="L32" s="191">
        <v>359.99999999999943</v>
      </c>
      <c r="M32" s="192">
        <v>559321.19999999914</v>
      </c>
      <c r="N32" s="96">
        <f>+K32+M32</f>
        <v>1988697.5999999945</v>
      </c>
      <c r="O32" s="110">
        <f t="shared" si="7"/>
        <v>17442535.20000013</v>
      </c>
      <c r="P32" s="113">
        <f t="shared" si="8"/>
        <v>15500.0000000001</v>
      </c>
      <c r="Q32" s="196"/>
      <c r="R32" s="208"/>
      <c r="S32" s="220"/>
      <c r="T32" s="217"/>
      <c r="U32" s="215">
        <v>0</v>
      </c>
      <c r="V32" s="193">
        <f t="shared" si="9"/>
        <v>898.90000000000009</v>
      </c>
      <c r="W32" s="3">
        <v>365.79</v>
      </c>
      <c r="X32" s="3">
        <v>6573429.1950000003</v>
      </c>
      <c r="Y32" s="33">
        <v>533.11</v>
      </c>
      <c r="Z32" s="33">
        <v>2263147.9098</v>
      </c>
      <c r="AA32" s="33">
        <f t="shared" si="0"/>
        <v>8836577.1048000008</v>
      </c>
      <c r="AB32" s="130">
        <f t="shared" si="1"/>
        <v>680.98919665322921</v>
      </c>
      <c r="AC32" s="136">
        <v>0</v>
      </c>
      <c r="AD32" s="3">
        <v>0</v>
      </c>
      <c r="AE32" s="3">
        <v>400</v>
      </c>
      <c r="AF32" s="3">
        <v>24</v>
      </c>
      <c r="AG32" s="3">
        <f t="shared" ref="AG32:AG40" si="10">+AE32+AF32</f>
        <v>424</v>
      </c>
      <c r="AH32" s="3">
        <v>5299000</v>
      </c>
      <c r="AI32" s="45">
        <f t="shared" si="3"/>
        <v>408.36646478253465</v>
      </c>
      <c r="AJ32" s="145">
        <v>338</v>
      </c>
      <c r="AK32" s="3">
        <v>3008200</v>
      </c>
      <c r="AL32" s="41">
        <f t="shared" si="4"/>
        <v>231.82638221528981</v>
      </c>
      <c r="AM32" s="7"/>
    </row>
    <row r="33" spans="1:39" x14ac:dyDescent="0.25">
      <c r="A33" s="35"/>
      <c r="B33" s="60">
        <v>22</v>
      </c>
      <c r="C33" s="152">
        <v>12</v>
      </c>
      <c r="D33" s="154">
        <v>114</v>
      </c>
      <c r="E33" s="108">
        <v>10719.9999999998</v>
      </c>
      <c r="F33" s="3">
        <v>11103561.599999793</v>
      </c>
      <c r="G33" s="37">
        <v>2279.9999999999727</v>
      </c>
      <c r="H33" s="3">
        <v>3542367.5999999577</v>
      </c>
      <c r="I33" s="105">
        <f t="shared" si="5"/>
        <v>14645929.19999975</v>
      </c>
      <c r="J33" s="108">
        <v>1540.0000000000205</v>
      </c>
      <c r="K33" s="3">
        <v>1595101.2000000211</v>
      </c>
      <c r="L33" s="191">
        <v>359.99999999999943</v>
      </c>
      <c r="M33" s="192">
        <v>559321.19999999914</v>
      </c>
      <c r="N33" s="96">
        <f t="shared" si="6"/>
        <v>2154422.4000000204</v>
      </c>
      <c r="O33" s="110">
        <f t="shared" si="7"/>
        <v>16800351.599999771</v>
      </c>
      <c r="P33" s="113">
        <f t="shared" si="8"/>
        <v>14899.999999999793</v>
      </c>
      <c r="Q33" s="196"/>
      <c r="R33" s="209"/>
      <c r="S33" s="220"/>
      <c r="T33" s="217"/>
      <c r="U33" s="215">
        <v>0</v>
      </c>
      <c r="V33" s="193">
        <f t="shared" si="9"/>
        <v>1133.8600000000001</v>
      </c>
      <c r="W33" s="3">
        <v>359.56</v>
      </c>
      <c r="X33" s="3">
        <v>6461472.9800000004</v>
      </c>
      <c r="Y33" s="33">
        <v>774.30000000000007</v>
      </c>
      <c r="Z33" s="33">
        <v>3287042.8740000003</v>
      </c>
      <c r="AA33" s="33">
        <f t="shared" si="0"/>
        <v>9748515.8540000003</v>
      </c>
      <c r="AB33" s="130">
        <f t="shared" si="1"/>
        <v>751.26758938940782</v>
      </c>
      <c r="AC33" s="136">
        <v>0</v>
      </c>
      <c r="AD33" s="3">
        <v>0</v>
      </c>
      <c r="AE33" s="3">
        <v>0</v>
      </c>
      <c r="AF33" s="3">
        <v>0</v>
      </c>
      <c r="AG33" s="3">
        <f t="shared" si="10"/>
        <v>0</v>
      </c>
      <c r="AH33" s="3">
        <v>0</v>
      </c>
      <c r="AI33" s="45">
        <f t="shared" si="3"/>
        <v>0</v>
      </c>
      <c r="AJ33" s="145">
        <v>259.70000000000073</v>
      </c>
      <c r="AK33" s="3">
        <v>2311330.0000000065</v>
      </c>
      <c r="AL33" s="41">
        <f t="shared" si="4"/>
        <v>178.12222325831638</v>
      </c>
      <c r="AM33" s="7"/>
    </row>
    <row r="34" spans="1:39" x14ac:dyDescent="0.25">
      <c r="A34" s="35"/>
      <c r="B34" s="60">
        <v>23</v>
      </c>
      <c r="C34" s="152">
        <v>10</v>
      </c>
      <c r="D34" s="154">
        <v>138</v>
      </c>
      <c r="E34" s="108">
        <v>11560.0000000004</v>
      </c>
      <c r="F34" s="3">
        <v>11973616.800000414</v>
      </c>
      <c r="G34" s="37">
        <v>2360.0000000000136</v>
      </c>
      <c r="H34" s="3">
        <v>3666661.2000000211</v>
      </c>
      <c r="I34" s="105">
        <f t="shared" si="5"/>
        <v>15640278.000000436</v>
      </c>
      <c r="J34" s="108">
        <v>1379.9999999999955</v>
      </c>
      <c r="K34" s="3">
        <v>1429376.3999999953</v>
      </c>
      <c r="L34" s="191">
        <v>360.00000000001364</v>
      </c>
      <c r="M34" s="192">
        <v>559321.20000002126</v>
      </c>
      <c r="N34" s="96">
        <f t="shared" si="6"/>
        <v>1988697.6000000164</v>
      </c>
      <c r="O34" s="110">
        <f t="shared" si="7"/>
        <v>17628975.600000452</v>
      </c>
      <c r="P34" s="113">
        <f t="shared" si="8"/>
        <v>15660.000000000422</v>
      </c>
      <c r="Q34" s="197"/>
      <c r="R34" s="210"/>
      <c r="S34" s="220"/>
      <c r="T34" s="217"/>
      <c r="U34" s="215">
        <v>0</v>
      </c>
      <c r="V34" s="193">
        <f t="shared" si="9"/>
        <v>1116.95</v>
      </c>
      <c r="W34" s="3">
        <v>355.11</v>
      </c>
      <c r="X34" s="3">
        <v>6381504.2549999999</v>
      </c>
      <c r="Y34" s="33">
        <v>761.84</v>
      </c>
      <c r="Z34" s="33">
        <v>3234147.9312000005</v>
      </c>
      <c r="AA34" s="33">
        <f t="shared" si="0"/>
        <v>9615652.1862000003</v>
      </c>
      <c r="AB34" s="130">
        <f t="shared" si="1"/>
        <v>741.02847515700034</v>
      </c>
      <c r="AC34" s="136">
        <v>0</v>
      </c>
      <c r="AD34" s="3">
        <v>0</v>
      </c>
      <c r="AE34" s="3">
        <v>0</v>
      </c>
      <c r="AF34" s="3">
        <v>12</v>
      </c>
      <c r="AG34" s="3">
        <f t="shared" si="10"/>
        <v>12</v>
      </c>
      <c r="AH34" s="3">
        <v>137500</v>
      </c>
      <c r="AI34" s="45">
        <f t="shared" si="3"/>
        <v>10.596412324513778</v>
      </c>
      <c r="AJ34" s="145">
        <v>386.25</v>
      </c>
      <c r="AK34" s="3">
        <v>3437625</v>
      </c>
      <c r="AL34" s="41">
        <f t="shared" si="4"/>
        <v>264.91994121495765</v>
      </c>
      <c r="AM34" s="7"/>
    </row>
    <row r="35" spans="1:39" x14ac:dyDescent="0.25">
      <c r="A35" s="35"/>
      <c r="B35" s="60">
        <v>24</v>
      </c>
      <c r="C35" s="152">
        <v>11</v>
      </c>
      <c r="D35" s="154">
        <v>101</v>
      </c>
      <c r="E35" s="108">
        <v>10559.999999999945</v>
      </c>
      <c r="F35" s="3">
        <v>10937836.799999943</v>
      </c>
      <c r="G35" s="37">
        <v>2200.0000000000455</v>
      </c>
      <c r="H35" s="3">
        <v>3418074.0000000708</v>
      </c>
      <c r="I35" s="105">
        <f t="shared" si="5"/>
        <v>14355910.800000014</v>
      </c>
      <c r="J35" s="108">
        <v>1360.0000000000136</v>
      </c>
      <c r="K35" s="3">
        <v>1408660.800000014</v>
      </c>
      <c r="L35" s="191">
        <v>419.99999999998749</v>
      </c>
      <c r="M35" s="192">
        <v>652541.39999998058</v>
      </c>
      <c r="N35" s="96">
        <f t="shared" si="6"/>
        <v>2061202.1999999946</v>
      </c>
      <c r="O35" s="110">
        <f t="shared" si="7"/>
        <v>16417113.000000007</v>
      </c>
      <c r="P35" s="113">
        <f t="shared" si="8"/>
        <v>14539.999999999993</v>
      </c>
      <c r="Q35" s="196"/>
      <c r="R35" s="208"/>
      <c r="S35" s="220"/>
      <c r="T35" s="217"/>
      <c r="U35" s="215">
        <v>0</v>
      </c>
      <c r="V35" s="193">
        <f t="shared" si="9"/>
        <v>1153.44</v>
      </c>
      <c r="W35" s="3">
        <v>393.38</v>
      </c>
      <c r="X35" s="3">
        <v>7069235.29</v>
      </c>
      <c r="Y35" s="33">
        <v>760.06000000000006</v>
      </c>
      <c r="Z35" s="33">
        <v>3226591.5108000003</v>
      </c>
      <c r="AA35" s="33">
        <f t="shared" si="0"/>
        <v>10295826.800799999</v>
      </c>
      <c r="AB35" s="130">
        <f t="shared" si="1"/>
        <v>793.44600729495551</v>
      </c>
      <c r="AC35" s="136">
        <v>0</v>
      </c>
      <c r="AD35" s="3">
        <v>0</v>
      </c>
      <c r="AE35" s="3">
        <v>0</v>
      </c>
      <c r="AF35" s="3">
        <v>0</v>
      </c>
      <c r="AG35" s="3">
        <f t="shared" si="10"/>
        <v>0</v>
      </c>
      <c r="AH35" s="3">
        <v>0</v>
      </c>
      <c r="AI35" s="45">
        <f t="shared" si="3"/>
        <v>0</v>
      </c>
      <c r="AJ35" s="145">
        <v>346.56999999999971</v>
      </c>
      <c r="AK35" s="3">
        <v>3084472.9999999972</v>
      </c>
      <c r="AL35" s="41">
        <f t="shared" si="4"/>
        <v>237.70434699512697</v>
      </c>
      <c r="AM35" s="7"/>
    </row>
    <row r="36" spans="1:39" x14ac:dyDescent="0.25">
      <c r="A36" s="35"/>
      <c r="B36" s="60">
        <v>25</v>
      </c>
      <c r="C36" s="152">
        <v>20</v>
      </c>
      <c r="D36" s="154">
        <v>212</v>
      </c>
      <c r="E36" s="108">
        <v>11119.999999999891</v>
      </c>
      <c r="F36" s="3">
        <v>11517873.599999886</v>
      </c>
      <c r="G36" s="37">
        <v>2599.9999999999091</v>
      </c>
      <c r="H36" s="3">
        <v>4039541.9999998589</v>
      </c>
      <c r="I36" s="105">
        <f t="shared" si="5"/>
        <v>15557415.599999744</v>
      </c>
      <c r="J36" s="108">
        <v>1479.9999999999613</v>
      </c>
      <c r="K36" s="3">
        <v>1532954.3999999599</v>
      </c>
      <c r="L36" s="191">
        <v>400.00000000000568</v>
      </c>
      <c r="M36" s="192">
        <v>621468.00000000885</v>
      </c>
      <c r="N36" s="96">
        <f t="shared" si="6"/>
        <v>2154422.3999999687</v>
      </c>
      <c r="O36" s="110">
        <f t="shared" si="7"/>
        <v>17711837.999999713</v>
      </c>
      <c r="P36" s="113">
        <f t="shared" si="8"/>
        <v>15599.999999999767</v>
      </c>
      <c r="Q36" s="196"/>
      <c r="R36" s="208"/>
      <c r="S36" s="220"/>
      <c r="T36" s="217"/>
      <c r="U36" s="215">
        <v>0</v>
      </c>
      <c r="V36" s="193">
        <f t="shared" si="9"/>
        <v>1051.98</v>
      </c>
      <c r="W36" s="3">
        <v>324.85000000000002</v>
      </c>
      <c r="X36" s="3">
        <v>5837716.9250000007</v>
      </c>
      <c r="Y36" s="33">
        <v>727.13</v>
      </c>
      <c r="Z36" s="33">
        <v>3086797.7334000003</v>
      </c>
      <c r="AA36" s="33">
        <f t="shared" si="0"/>
        <v>8924514.658400001</v>
      </c>
      <c r="AB36" s="130">
        <f t="shared" si="1"/>
        <v>687.76608812053564</v>
      </c>
      <c r="AC36" s="136">
        <v>0</v>
      </c>
      <c r="AD36" s="3">
        <v>0</v>
      </c>
      <c r="AE36" s="3">
        <v>400</v>
      </c>
      <c r="AF36" s="3">
        <v>12</v>
      </c>
      <c r="AG36" s="3">
        <f t="shared" si="10"/>
        <v>412</v>
      </c>
      <c r="AH36" s="3">
        <v>5161500</v>
      </c>
      <c r="AI36" s="45">
        <f t="shared" si="3"/>
        <v>397.77005245802087</v>
      </c>
      <c r="AJ36" s="145">
        <v>294.15999999999985</v>
      </c>
      <c r="AK36" s="3">
        <v>2618023.9999999986</v>
      </c>
      <c r="AL36" s="41">
        <f t="shared" si="4"/>
        <v>201.75754021434798</v>
      </c>
      <c r="AM36" s="7"/>
    </row>
    <row r="37" spans="1:39" x14ac:dyDescent="0.25">
      <c r="A37" s="35"/>
      <c r="B37" s="60">
        <v>26</v>
      </c>
      <c r="C37" s="152">
        <v>24</v>
      </c>
      <c r="D37" s="154">
        <v>194</v>
      </c>
      <c r="E37" s="108">
        <v>10960.000000000036</v>
      </c>
      <c r="F37" s="3">
        <v>11352148.800000038</v>
      </c>
      <c r="G37" s="37">
        <v>2440.0000000000546</v>
      </c>
      <c r="H37" s="3">
        <v>3790954.800000085</v>
      </c>
      <c r="I37" s="105">
        <f t="shared" si="5"/>
        <v>15143103.600000123</v>
      </c>
      <c r="J37" s="108">
        <v>1520.0000000000387</v>
      </c>
      <c r="K37" s="3">
        <v>1574385.6000000399</v>
      </c>
      <c r="L37" s="191">
        <v>459.99999999999375</v>
      </c>
      <c r="M37" s="192">
        <v>714688.19999999029</v>
      </c>
      <c r="N37" s="96">
        <f t="shared" si="6"/>
        <v>2289073.8000000301</v>
      </c>
      <c r="O37" s="110">
        <f t="shared" si="7"/>
        <v>17432177.400000151</v>
      </c>
      <c r="P37" s="113">
        <f t="shared" si="8"/>
        <v>15380.000000000124</v>
      </c>
      <c r="Q37" s="196"/>
      <c r="R37" s="208"/>
      <c r="S37" s="220"/>
      <c r="T37" s="217"/>
      <c r="U37" s="215">
        <v>0</v>
      </c>
      <c r="V37" s="193">
        <f t="shared" si="9"/>
        <v>881.09999999999991</v>
      </c>
      <c r="W37" s="3">
        <v>375.58</v>
      </c>
      <c r="X37" s="3">
        <v>6749360.3899999997</v>
      </c>
      <c r="Y37" s="33">
        <v>505.52</v>
      </c>
      <c r="Z37" s="33">
        <v>2146023.3936000001</v>
      </c>
      <c r="AA37" s="33">
        <f t="shared" si="0"/>
        <v>8895383.7835999988</v>
      </c>
      <c r="AB37" s="130">
        <f t="shared" si="1"/>
        <v>685.52112258777481</v>
      </c>
      <c r="AC37" s="136">
        <v>0</v>
      </c>
      <c r="AD37" s="3">
        <v>0</v>
      </c>
      <c r="AE37" s="3">
        <v>50</v>
      </c>
      <c r="AF37" s="3">
        <v>0</v>
      </c>
      <c r="AG37" s="3">
        <f t="shared" si="10"/>
        <v>50</v>
      </c>
      <c r="AH37" s="3">
        <v>628000</v>
      </c>
      <c r="AI37" s="45">
        <f t="shared" si="3"/>
        <v>48.396705016688387</v>
      </c>
      <c r="AJ37" s="145">
        <v>429.81999999999971</v>
      </c>
      <c r="AK37" s="3">
        <v>3825397.9999999972</v>
      </c>
      <c r="AL37" s="41">
        <f t="shared" si="4"/>
        <v>294.80359646087516</v>
      </c>
      <c r="AM37" s="7"/>
    </row>
    <row r="38" spans="1:39" x14ac:dyDescent="0.25">
      <c r="A38" s="35"/>
      <c r="B38" s="60">
        <v>27</v>
      </c>
      <c r="C38" s="152">
        <v>17</v>
      </c>
      <c r="D38" s="154">
        <v>216</v>
      </c>
      <c r="E38" s="108">
        <v>11639.999999999873</v>
      </c>
      <c r="F38" s="3">
        <v>12056479.199999867</v>
      </c>
      <c r="G38" s="37">
        <v>2360.0000000000136</v>
      </c>
      <c r="H38" s="3">
        <v>3666661.2000000211</v>
      </c>
      <c r="I38" s="105">
        <f t="shared" si="5"/>
        <v>15723140.399999889</v>
      </c>
      <c r="J38" s="108">
        <v>1519.9999999999818</v>
      </c>
      <c r="K38" s="3">
        <v>1574385.5999999812</v>
      </c>
      <c r="L38" s="191">
        <v>400.00000000000568</v>
      </c>
      <c r="M38" s="192">
        <v>621468.00000000885</v>
      </c>
      <c r="N38" s="96">
        <f t="shared" si="6"/>
        <v>2195853.5999999903</v>
      </c>
      <c r="O38" s="110">
        <f t="shared" si="7"/>
        <v>17918993.999999881</v>
      </c>
      <c r="P38" s="113">
        <f t="shared" si="8"/>
        <v>15919.999999999873</v>
      </c>
      <c r="Q38" s="196"/>
      <c r="R38" s="208"/>
      <c r="S38" s="220"/>
      <c r="T38" s="217"/>
      <c r="U38" s="215">
        <v>0</v>
      </c>
      <c r="V38" s="193">
        <f t="shared" si="9"/>
        <v>1018.1600000000001</v>
      </c>
      <c r="W38" s="3">
        <v>291.92</v>
      </c>
      <c r="X38" s="3">
        <v>5245948.3600000003</v>
      </c>
      <c r="Y38" s="33">
        <v>726.24</v>
      </c>
      <c r="Z38" s="33">
        <v>3083019.5232000002</v>
      </c>
      <c r="AA38" s="33">
        <f t="shared" si="0"/>
        <v>8328967.883200001</v>
      </c>
      <c r="AB38" s="130">
        <f t="shared" si="1"/>
        <v>641.87038493105399</v>
      </c>
      <c r="AC38" s="136">
        <v>0</v>
      </c>
      <c r="AD38" s="3">
        <v>0</v>
      </c>
      <c r="AE38" s="3">
        <v>0</v>
      </c>
      <c r="AF38" s="3">
        <v>0</v>
      </c>
      <c r="AG38" s="3">
        <f t="shared" si="10"/>
        <v>0</v>
      </c>
      <c r="AH38" s="3">
        <v>0</v>
      </c>
      <c r="AI38" s="45">
        <f t="shared" si="3"/>
        <v>0</v>
      </c>
      <c r="AJ38" s="145">
        <v>299.47999999999956</v>
      </c>
      <c r="AK38" s="3">
        <v>2665371.9999999963</v>
      </c>
      <c r="AL38" s="41">
        <f t="shared" si="4"/>
        <v>205.40640516519201</v>
      </c>
      <c r="AM38" s="7"/>
    </row>
    <row r="39" spans="1:39" x14ac:dyDescent="0.25">
      <c r="A39" s="35"/>
      <c r="B39" s="60">
        <v>28</v>
      </c>
      <c r="C39" s="152">
        <v>13</v>
      </c>
      <c r="D39" s="154">
        <v>134</v>
      </c>
      <c r="E39" s="108">
        <v>11440.000000000055</v>
      </c>
      <c r="F39" s="3">
        <v>11849323.200000057</v>
      </c>
      <c r="G39" s="37">
        <v>2439.9999999999409</v>
      </c>
      <c r="H39" s="3">
        <v>3790954.7999999085</v>
      </c>
      <c r="I39" s="105">
        <f t="shared" si="5"/>
        <v>15640277.999999966</v>
      </c>
      <c r="J39" s="108">
        <v>1579.9999999999841</v>
      </c>
      <c r="K39" s="3">
        <v>1636532.3999999834</v>
      </c>
      <c r="L39" s="191">
        <v>379.99999999999545</v>
      </c>
      <c r="M39" s="192">
        <v>590394.59999999299</v>
      </c>
      <c r="N39" s="96">
        <f t="shared" si="6"/>
        <v>2226926.9999999763</v>
      </c>
      <c r="O39" s="110">
        <f t="shared" si="7"/>
        <v>17867204.999999944</v>
      </c>
      <c r="P39" s="113">
        <f t="shared" si="8"/>
        <v>15839.999999999975</v>
      </c>
      <c r="Q39" s="196"/>
      <c r="R39" s="211"/>
      <c r="S39" s="220"/>
      <c r="T39" s="217"/>
      <c r="U39" s="215">
        <v>0</v>
      </c>
      <c r="V39" s="193">
        <f t="shared" si="9"/>
        <v>937.17</v>
      </c>
      <c r="W39" s="3">
        <v>282.13</v>
      </c>
      <c r="X39" s="3">
        <v>5070017.165</v>
      </c>
      <c r="Y39" s="33">
        <v>655.04</v>
      </c>
      <c r="Z39" s="33">
        <v>2780762.7072000001</v>
      </c>
      <c r="AA39" s="33">
        <f t="shared" si="0"/>
        <v>7850779.8722000001</v>
      </c>
      <c r="AB39" s="130">
        <f t="shared" si="1"/>
        <v>605.01891341690759</v>
      </c>
      <c r="AC39" s="136">
        <v>0</v>
      </c>
      <c r="AD39" s="3">
        <v>0</v>
      </c>
      <c r="AE39" s="3">
        <v>0</v>
      </c>
      <c r="AF39" s="3">
        <v>36</v>
      </c>
      <c r="AG39" s="3">
        <f t="shared" si="10"/>
        <v>36</v>
      </c>
      <c r="AH39" s="3">
        <v>412500</v>
      </c>
      <c r="AI39" s="45">
        <f t="shared" si="3"/>
        <v>31.789236973541335</v>
      </c>
      <c r="AJ39" s="145">
        <v>239.53000000000247</v>
      </c>
      <c r="AK39" s="3">
        <v>2131817.0000000219</v>
      </c>
      <c r="AL39" s="41">
        <f t="shared" si="4"/>
        <v>164.2880867811507</v>
      </c>
      <c r="AM39" s="7"/>
    </row>
    <row r="40" spans="1:39" x14ac:dyDescent="0.25">
      <c r="A40" s="35"/>
      <c r="B40" s="60">
        <v>29</v>
      </c>
      <c r="C40" s="152">
        <v>17</v>
      </c>
      <c r="D40" s="154">
        <v>163</v>
      </c>
      <c r="E40" s="108">
        <v>11519.999999999982</v>
      </c>
      <c r="F40" s="3">
        <v>11932185.599999981</v>
      </c>
      <c r="G40" s="37">
        <v>2360.0000000000136</v>
      </c>
      <c r="H40" s="3">
        <v>3666661.2000000211</v>
      </c>
      <c r="I40" s="105">
        <f t="shared" si="5"/>
        <v>15598846.800000003</v>
      </c>
      <c r="J40" s="108">
        <v>1480.0000000000182</v>
      </c>
      <c r="K40" s="3">
        <v>1532954.4000000188</v>
      </c>
      <c r="L40" s="191">
        <v>400.00000000000568</v>
      </c>
      <c r="M40" s="192">
        <v>621468.00000000885</v>
      </c>
      <c r="N40" s="96">
        <f t="shared" si="6"/>
        <v>2154422.4000000274</v>
      </c>
      <c r="O40" s="110">
        <f t="shared" ref="O40:O41" si="11">N40+I40</f>
        <v>17753269.200000029</v>
      </c>
      <c r="P40" s="113">
        <f t="shared" ref="P40:P41" si="12">L40+J40+G40+E40</f>
        <v>15760.000000000018</v>
      </c>
      <c r="Q40" s="197"/>
      <c r="R40" s="212"/>
      <c r="S40" s="220"/>
      <c r="T40" s="217"/>
      <c r="U40" s="215">
        <v>0</v>
      </c>
      <c r="V40" s="193">
        <f t="shared" si="9"/>
        <v>696.87</v>
      </c>
      <c r="W40" s="3">
        <v>286.58</v>
      </c>
      <c r="X40" s="3">
        <v>5149985.8899999997</v>
      </c>
      <c r="Y40" s="33">
        <v>410.29</v>
      </c>
      <c r="Z40" s="33">
        <v>1741754.9022000001</v>
      </c>
      <c r="AA40" s="33">
        <f t="shared" ref="AA40:AA41" si="13">Z40+X40</f>
        <v>6891740.7922</v>
      </c>
      <c r="AB40" s="130">
        <f t="shared" ref="AB40:AB41" si="14">AA40/$AL$48</f>
        <v>531.11074231143584</v>
      </c>
      <c r="AC40" s="136">
        <v>0</v>
      </c>
      <c r="AD40" s="3">
        <v>0</v>
      </c>
      <c r="AE40" s="3">
        <v>400</v>
      </c>
      <c r="AF40" s="3">
        <v>12</v>
      </c>
      <c r="AG40" s="3">
        <f t="shared" si="10"/>
        <v>412</v>
      </c>
      <c r="AH40" s="3">
        <v>5161500</v>
      </c>
      <c r="AI40" s="45">
        <f t="shared" ref="AI40:AI41" si="15">AH40/$AL$48</f>
        <v>397.77005245802087</v>
      </c>
      <c r="AJ40" s="145">
        <v>277.43999999999869</v>
      </c>
      <c r="AK40" s="3">
        <v>2469215.9999999884</v>
      </c>
      <c r="AL40" s="41">
        <f t="shared" si="4"/>
        <v>190.28967894026539</v>
      </c>
      <c r="AM40" s="7"/>
    </row>
    <row r="41" spans="1:39" ht="17.25" customHeight="1" x14ac:dyDescent="0.25">
      <c r="A41" s="35"/>
      <c r="B41" s="60">
        <v>30</v>
      </c>
      <c r="C41" s="152">
        <v>8</v>
      </c>
      <c r="D41" s="154">
        <v>113</v>
      </c>
      <c r="E41" s="108">
        <v>11780.0000000002</v>
      </c>
      <c r="F41" s="3">
        <v>12201488.400000207</v>
      </c>
      <c r="G41" s="37">
        <v>2240.0000000000091</v>
      </c>
      <c r="H41" s="3">
        <v>3480220.8000000142</v>
      </c>
      <c r="I41" s="105">
        <f t="shared" si="5"/>
        <v>15681709.200000221</v>
      </c>
      <c r="J41" s="108">
        <v>1500</v>
      </c>
      <c r="K41" s="3">
        <v>1553670</v>
      </c>
      <c r="L41" s="191">
        <v>359.99999999999943</v>
      </c>
      <c r="M41" s="192">
        <v>559321.19999999914</v>
      </c>
      <c r="N41" s="96">
        <f t="shared" si="6"/>
        <v>2112991.1999999993</v>
      </c>
      <c r="O41" s="110">
        <f t="shared" si="11"/>
        <v>17794700.400000222</v>
      </c>
      <c r="P41" s="113">
        <f t="shared" si="12"/>
        <v>15880.000000000209</v>
      </c>
      <c r="Q41" s="196"/>
      <c r="R41" s="213"/>
      <c r="S41" s="220"/>
      <c r="T41" s="217"/>
      <c r="U41" s="215">
        <v>0</v>
      </c>
      <c r="V41" s="193">
        <f t="shared" si="9"/>
        <v>995.02</v>
      </c>
      <c r="W41" s="3">
        <v>267</v>
      </c>
      <c r="X41" s="3">
        <v>4798123.5</v>
      </c>
      <c r="Y41" s="33">
        <v>728.02</v>
      </c>
      <c r="Z41" s="33">
        <v>3090575.9436000003</v>
      </c>
      <c r="AA41" s="33">
        <f t="shared" si="13"/>
        <v>7888699.4436000008</v>
      </c>
      <c r="AB41" s="130">
        <f t="shared" si="14"/>
        <v>607.94117824398575</v>
      </c>
      <c r="AC41" s="136">
        <v>0</v>
      </c>
      <c r="AD41" s="3">
        <v>0</v>
      </c>
      <c r="AE41" s="3">
        <v>0</v>
      </c>
      <c r="AF41" s="3">
        <v>0</v>
      </c>
      <c r="AG41" s="3">
        <f>+AE41+AF41</f>
        <v>0</v>
      </c>
      <c r="AH41" s="3">
        <v>0</v>
      </c>
      <c r="AI41" s="45">
        <f t="shared" si="15"/>
        <v>0</v>
      </c>
      <c r="AJ41" s="145">
        <v>298.56999999999971</v>
      </c>
      <c r="AK41" s="3">
        <v>2657272.9999999972</v>
      </c>
      <c r="AL41" s="41">
        <f t="shared" si="4"/>
        <v>204.78225721307399</v>
      </c>
      <c r="AM41" s="7"/>
    </row>
    <row r="42" spans="1:39" x14ac:dyDescent="0.25">
      <c r="A42" s="35"/>
      <c r="B42" s="60"/>
      <c r="C42" s="180"/>
      <c r="D42" s="181"/>
      <c r="E42" s="108"/>
      <c r="F42" s="3"/>
      <c r="G42" s="37"/>
      <c r="H42" s="3"/>
      <c r="I42" s="105"/>
      <c r="J42" s="108"/>
      <c r="K42" s="3"/>
      <c r="L42" s="191"/>
      <c r="M42" s="192"/>
      <c r="N42" s="96"/>
      <c r="O42" s="110"/>
      <c r="P42" s="113"/>
      <c r="Q42" s="196"/>
      <c r="R42" s="213"/>
      <c r="S42" s="220"/>
      <c r="T42" s="217"/>
      <c r="U42" s="215"/>
      <c r="V42" s="193"/>
      <c r="W42" s="3"/>
      <c r="X42" s="3"/>
      <c r="Y42" s="33"/>
      <c r="Z42" s="33"/>
      <c r="AA42" s="33"/>
      <c r="AB42" s="130"/>
      <c r="AC42" s="136"/>
      <c r="AD42" s="3"/>
      <c r="AE42" s="3"/>
      <c r="AF42" s="3"/>
      <c r="AG42" s="3"/>
      <c r="AH42" s="3"/>
      <c r="AI42" s="45"/>
      <c r="AJ42" s="145"/>
      <c r="AK42" s="3"/>
      <c r="AL42" s="41"/>
      <c r="AM42" s="7"/>
    </row>
    <row r="43" spans="1:39" ht="16.5" thickBot="1" x14ac:dyDescent="0.3">
      <c r="A43" s="35"/>
      <c r="B43" s="124"/>
      <c r="C43" s="153"/>
      <c r="D43" s="155"/>
      <c r="E43" s="106"/>
      <c r="F43" s="106"/>
      <c r="G43" s="97"/>
      <c r="H43" s="98"/>
      <c r="I43" s="107"/>
      <c r="J43" s="109"/>
      <c r="K43" s="97"/>
      <c r="L43" s="98"/>
      <c r="M43" s="99"/>
      <c r="N43" s="100"/>
      <c r="O43" s="111"/>
      <c r="P43" s="114"/>
      <c r="Q43" s="182"/>
      <c r="R43" s="214"/>
      <c r="S43" s="221"/>
      <c r="T43" s="221"/>
      <c r="U43" s="216"/>
      <c r="V43" s="193"/>
      <c r="W43" s="3"/>
      <c r="X43" s="3"/>
      <c r="Y43" s="33"/>
      <c r="Z43" s="33"/>
      <c r="AA43" s="18"/>
      <c r="AB43" s="131"/>
      <c r="AC43" s="129"/>
      <c r="AD43" s="3"/>
      <c r="AE43" s="2"/>
      <c r="AF43" s="2"/>
      <c r="AG43" s="2"/>
      <c r="AH43" s="3"/>
      <c r="AI43" s="45"/>
      <c r="AJ43" s="145"/>
      <c r="AK43" s="3"/>
      <c r="AL43" s="41"/>
      <c r="AM43" s="7"/>
    </row>
    <row r="44" spans="1:39" s="8" customFormat="1" ht="4.5" customHeight="1" x14ac:dyDescent="0.25">
      <c r="A44" s="15"/>
      <c r="B44" s="119"/>
      <c r="C44" s="120"/>
      <c r="D44" s="120"/>
      <c r="E44" s="118"/>
      <c r="F44" s="7"/>
      <c r="G44" s="15"/>
      <c r="H44" s="7"/>
      <c r="I44" s="15"/>
      <c r="J44" s="15"/>
      <c r="K44" s="15"/>
      <c r="L44" s="7"/>
      <c r="M44" s="64"/>
      <c r="N44" s="68"/>
      <c r="O44" s="15"/>
      <c r="P44" s="68"/>
      <c r="Q44" s="15"/>
      <c r="R44" s="88"/>
      <c r="S44" s="7"/>
      <c r="T44" s="15"/>
      <c r="U44" s="34"/>
      <c r="V44" s="132"/>
      <c r="W44" s="15"/>
      <c r="X44" s="15"/>
      <c r="Y44" s="15"/>
      <c r="Z44" s="15"/>
      <c r="AA44" s="15"/>
      <c r="AB44" s="34"/>
      <c r="AC44" s="15"/>
      <c r="AD44" s="7"/>
      <c r="AE44" s="15"/>
      <c r="AF44" s="15"/>
      <c r="AG44" s="15"/>
      <c r="AH44" s="15"/>
      <c r="AI44" s="15"/>
      <c r="AJ44" s="88"/>
      <c r="AK44" s="15"/>
      <c r="AL44" s="34"/>
      <c r="AM44" s="15"/>
    </row>
    <row r="45" spans="1:39" s="8" customFormat="1" ht="6" customHeight="1" x14ac:dyDescent="0.25">
      <c r="A45" s="15"/>
      <c r="B45" s="119"/>
      <c r="C45" s="120"/>
      <c r="D45" s="120"/>
      <c r="E45" s="118"/>
      <c r="F45" s="7"/>
      <c r="G45" s="15"/>
      <c r="H45" s="7"/>
      <c r="I45" s="15"/>
      <c r="J45" s="15"/>
      <c r="K45" s="15"/>
      <c r="L45" s="7"/>
      <c r="M45" s="64"/>
      <c r="N45" s="68"/>
      <c r="O45" s="15"/>
      <c r="P45" s="68"/>
      <c r="Q45" s="15"/>
      <c r="R45" s="88"/>
      <c r="S45" s="16"/>
      <c r="T45" s="16"/>
      <c r="U45" s="34"/>
      <c r="V45" s="132"/>
      <c r="W45" s="15"/>
      <c r="X45" s="15"/>
      <c r="Y45" s="15"/>
      <c r="Z45" s="15"/>
      <c r="AA45" s="15"/>
      <c r="AB45" s="133"/>
      <c r="AC45" s="15"/>
      <c r="AD45" s="7"/>
      <c r="AE45" s="15"/>
      <c r="AF45" s="15"/>
      <c r="AG45" s="15"/>
      <c r="AH45" s="7"/>
      <c r="AI45" s="15"/>
      <c r="AJ45" s="90"/>
      <c r="AK45" s="5"/>
      <c r="AL45" s="42"/>
      <c r="AM45" s="15"/>
    </row>
    <row r="46" spans="1:39" s="8" customFormat="1" ht="16.5" thickBot="1" x14ac:dyDescent="0.3">
      <c r="A46" s="15"/>
      <c r="B46" s="121"/>
      <c r="C46" s="122"/>
      <c r="D46" s="122"/>
      <c r="E46" s="123"/>
      <c r="F46" s="74"/>
      <c r="G46" s="73"/>
      <c r="H46" s="74"/>
      <c r="I46" s="73"/>
      <c r="J46" s="73"/>
      <c r="K46" s="73"/>
      <c r="L46" s="74"/>
      <c r="M46" s="75"/>
      <c r="N46" s="76"/>
      <c r="O46" s="73"/>
      <c r="P46" s="76"/>
      <c r="Q46" s="73"/>
      <c r="R46" s="89"/>
      <c r="S46" s="77"/>
      <c r="T46" s="73"/>
      <c r="U46" s="194"/>
      <c r="V46" s="134"/>
      <c r="W46" s="79"/>
      <c r="X46" s="73"/>
      <c r="Y46" s="73"/>
      <c r="Z46" s="73"/>
      <c r="AA46" s="73"/>
      <c r="AB46" s="78"/>
      <c r="AC46" s="80"/>
      <c r="AD46" s="74"/>
      <c r="AE46" s="80"/>
      <c r="AF46" s="80"/>
      <c r="AG46" s="80"/>
      <c r="AH46" s="74"/>
      <c r="AI46" s="73"/>
      <c r="AJ46" s="146"/>
      <c r="AK46" s="81"/>
      <c r="AL46" s="82"/>
      <c r="AM46" s="15"/>
    </row>
    <row r="47" spans="1:39" ht="17.25" thickTop="1" thickBot="1" x14ac:dyDescent="0.3">
      <c r="A47" s="26"/>
      <c r="B47" s="71"/>
      <c r="C47" s="72">
        <f>SUM(C12:C43)</f>
        <v>314</v>
      </c>
      <c r="D47" s="72">
        <f>SUM(D12:D43)</f>
        <v>3997</v>
      </c>
      <c r="E47" s="72">
        <f>SUM(E12:E43)</f>
        <v>331420.00000000012</v>
      </c>
      <c r="F47" s="72">
        <f>SUM(F12:F43)</f>
        <v>343278207.60000002</v>
      </c>
      <c r="G47" s="72">
        <f>SUM(G12:G43)</f>
        <v>68880</v>
      </c>
      <c r="H47" s="72">
        <f t="shared" ref="H47:O47" si="16">SUM(H12:H43)</f>
        <v>107016789.60000001</v>
      </c>
      <c r="I47" s="72">
        <f t="shared" si="16"/>
        <v>450294997.20000011</v>
      </c>
      <c r="J47" s="72">
        <f t="shared" si="16"/>
        <v>43880</v>
      </c>
      <c r="K47" s="72">
        <f t="shared" si="16"/>
        <v>45450026.399999999</v>
      </c>
      <c r="L47" s="72">
        <f t="shared" si="16"/>
        <v>11600.000000000002</v>
      </c>
      <c r="M47" s="72">
        <f t="shared" si="16"/>
        <v>18022572</v>
      </c>
      <c r="N47" s="72">
        <f t="shared" si="16"/>
        <v>63472598.400000006</v>
      </c>
      <c r="O47" s="72">
        <f t="shared" si="16"/>
        <v>513767595.59999996</v>
      </c>
      <c r="P47" s="84">
        <f>SUM(P12:P43)</f>
        <v>455780.00000000006</v>
      </c>
      <c r="Q47" s="195" t="e">
        <f>+#REF!</f>
        <v>#REF!</v>
      </c>
      <c r="R47" s="125" t="e">
        <f>+#REF!</f>
        <v>#REF!</v>
      </c>
      <c r="S47" s="117" t="e">
        <f>Q47+P47</f>
        <v>#REF!</v>
      </c>
      <c r="T47" s="117" t="e">
        <f>R47+O47</f>
        <v>#REF!</v>
      </c>
      <c r="U47" s="139" t="e">
        <f>T47/AL48</f>
        <v>#REF!</v>
      </c>
      <c r="V47" s="183">
        <f>SUM(V12:V42)</f>
        <v>30357.899999999998</v>
      </c>
      <c r="W47" s="54">
        <f>SUM(W12:W42)</f>
        <v>10841.089999999998</v>
      </c>
      <c r="X47" s="54">
        <f t="shared" ref="X47:Z47" si="17">SUM(X12:X42)</f>
        <v>194819807.84499994</v>
      </c>
      <c r="Y47" s="54">
        <f t="shared" si="17"/>
        <v>19516.810000000005</v>
      </c>
      <c r="Z47" s="54">
        <f t="shared" si="17"/>
        <v>82852371.475800022</v>
      </c>
      <c r="AA47" s="138">
        <f>SUM(AA12:AA42)</f>
        <v>277672179.32080001</v>
      </c>
      <c r="AB47" s="126">
        <f>AA47/$AL$48</f>
        <v>21398.755659123821</v>
      </c>
      <c r="AC47" s="46">
        <f>SUM(AC12:AC41)</f>
        <v>0</v>
      </c>
      <c r="AD47" s="140">
        <f>SUM(AD12:AD41)</f>
        <v>0</v>
      </c>
      <c r="AE47" s="46">
        <f>SUM(AE12:AE42)</f>
        <v>3050</v>
      </c>
      <c r="AF47" s="46">
        <f>SUM(AF12:AF42)</f>
        <v>408</v>
      </c>
      <c r="AG47" s="219">
        <f>SUM(AG12:AG42)</f>
        <v>3458</v>
      </c>
      <c r="AH47" s="149">
        <f>SUM(AH12:AH43)</f>
        <v>43006157.777599975</v>
      </c>
      <c r="AI47" s="150">
        <f>AH47/$AL$48</f>
        <v>3314.2616749421418</v>
      </c>
      <c r="AJ47" s="218">
        <f>SUM(AJ12:AJ43)</f>
        <v>7657.2300000000214</v>
      </c>
      <c r="AK47" s="147">
        <f>SUM(AK12:AK43)</f>
        <v>68149347.000000194</v>
      </c>
      <c r="AL47" s="148">
        <f>AK47/AL48</f>
        <v>5251.9169487881318</v>
      </c>
      <c r="AM47" s="26"/>
    </row>
    <row r="48" spans="1:39" s="1" customFormat="1" x14ac:dyDescent="0.25">
      <c r="A48" s="26"/>
      <c r="B48" s="26"/>
      <c r="C48" s="5"/>
      <c r="D48" s="11"/>
      <c r="E48" s="5"/>
      <c r="F48" s="5"/>
      <c r="G48" s="11"/>
      <c r="H48" s="5"/>
      <c r="I48" s="9"/>
      <c r="J48" s="9"/>
      <c r="K48" s="9"/>
      <c r="L48" s="17"/>
      <c r="M48" s="65"/>
      <c r="N48" s="69"/>
      <c r="O48" s="10"/>
      <c r="P48" s="69"/>
      <c r="Q48" s="10"/>
      <c r="R48" s="116"/>
      <c r="S48" s="14"/>
      <c r="T48" s="83" t="s">
        <v>29</v>
      </c>
      <c r="U48" s="156" t="e">
        <f>U47/S47</f>
        <v>#REF!</v>
      </c>
      <c r="V48" s="198" t="s">
        <v>53</v>
      </c>
      <c r="W48" s="11"/>
      <c r="X48" s="11"/>
      <c r="Y48" s="141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90"/>
      <c r="AK48" s="11"/>
      <c r="AL48" s="151">
        <v>12976.09</v>
      </c>
      <c r="AM48" s="26"/>
    </row>
    <row r="49" spans="1:39" s="1" customFormat="1" x14ac:dyDescent="0.25">
      <c r="A49" s="26"/>
      <c r="B49" s="26"/>
      <c r="C49" s="5"/>
      <c r="D49" s="11"/>
      <c r="E49" s="5"/>
      <c r="F49" s="5"/>
      <c r="G49" s="11"/>
      <c r="H49" s="5"/>
      <c r="I49" s="9"/>
      <c r="J49" s="9"/>
      <c r="K49" s="9"/>
      <c r="L49" s="17"/>
      <c r="M49" s="65"/>
      <c r="N49" s="69"/>
      <c r="O49" s="10"/>
      <c r="P49" s="69">
        <f>O47/P47</f>
        <v>1127.2271613497737</v>
      </c>
      <c r="Q49" s="10"/>
      <c r="R49" s="116"/>
      <c r="S49" s="14"/>
      <c r="T49" s="83"/>
      <c r="U49" s="156"/>
      <c r="V49" s="198"/>
      <c r="W49" s="11"/>
      <c r="X49" s="223"/>
      <c r="Y49" s="141"/>
      <c r="Z49" s="11"/>
      <c r="AA49" s="265">
        <f>AA47/V47</f>
        <v>9146.6201325124603</v>
      </c>
      <c r="AB49" s="11"/>
      <c r="AC49" s="16"/>
      <c r="AD49" s="7"/>
      <c r="AE49" s="16"/>
      <c r="AF49" s="16"/>
      <c r="AG49" s="7"/>
      <c r="AH49" s="17">
        <f>AH47/AG47</f>
        <v>12436.714221399647</v>
      </c>
      <c r="AI49" s="265"/>
      <c r="AJ49" s="116"/>
      <c r="AK49" s="265">
        <f>AK47/AJ47</f>
        <v>8900</v>
      </c>
      <c r="AL49" s="151"/>
      <c r="AM49" s="26"/>
    </row>
    <row r="50" spans="1:39" s="1" customFormat="1" x14ac:dyDescent="0.25">
      <c r="A50" s="26"/>
      <c r="B50" s="26"/>
      <c r="C50" s="5"/>
      <c r="D50" s="11"/>
      <c r="E50" s="5"/>
      <c r="F50" s="5"/>
      <c r="G50" s="11"/>
      <c r="H50" s="5"/>
      <c r="I50" s="9"/>
      <c r="J50" s="9"/>
      <c r="K50" s="9"/>
      <c r="L50" s="17"/>
      <c r="M50" s="65"/>
      <c r="N50" s="69"/>
      <c r="O50" s="10"/>
      <c r="P50" s="69"/>
      <c r="Q50" s="10"/>
      <c r="R50" s="116"/>
      <c r="S50" s="14"/>
      <c r="T50" s="83"/>
      <c r="U50" s="156"/>
      <c r="V50" s="198"/>
      <c r="W50" s="224">
        <f>W47/V47</f>
        <v>0.35710935209615946</v>
      </c>
      <c r="X50" s="11"/>
      <c r="Y50" s="141"/>
      <c r="Z50" s="11"/>
      <c r="AA50" s="11"/>
      <c r="AB50" s="11"/>
      <c r="AC50" s="16"/>
      <c r="AD50" s="7"/>
      <c r="AE50" s="16"/>
      <c r="AF50" s="16"/>
      <c r="AG50" s="7"/>
      <c r="AH50" s="5"/>
      <c r="AI50" s="11"/>
      <c r="AJ50" s="90"/>
      <c r="AK50" s="11"/>
      <c r="AL50" s="151"/>
      <c r="AM50" s="26"/>
    </row>
    <row r="51" spans="1:39" s="201" customFormat="1" x14ac:dyDescent="0.25">
      <c r="A51" s="199"/>
      <c r="B51" s="199"/>
      <c r="C51" s="200"/>
      <c r="E51" s="200"/>
      <c r="F51" s="200"/>
      <c r="H51" s="200"/>
      <c r="L51" s="200"/>
      <c r="M51" s="202"/>
      <c r="N51" s="203"/>
      <c r="P51" s="203"/>
      <c r="R51" s="204"/>
      <c r="T51" s="222"/>
      <c r="AD51" s="200"/>
      <c r="AH51" s="200"/>
      <c r="AJ51" s="204"/>
      <c r="AL51" s="205"/>
      <c r="AM51" s="199"/>
    </row>
    <row r="52" spans="1:39" s="201" customFormat="1" x14ac:dyDescent="0.25">
      <c r="A52" s="199"/>
      <c r="B52" s="199"/>
      <c r="C52" s="200"/>
      <c r="E52" s="200"/>
      <c r="F52" s="200"/>
      <c r="H52" s="200"/>
      <c r="L52" s="200"/>
      <c r="M52" s="202"/>
      <c r="N52" s="203"/>
      <c r="P52" s="203"/>
      <c r="R52" s="204"/>
      <c r="AD52" s="200"/>
      <c r="AH52" s="200"/>
      <c r="AJ52" s="204"/>
      <c r="AL52" s="205"/>
      <c r="AM52" s="199"/>
    </row>
    <row r="53" spans="1:39" s="201" customFormat="1" x14ac:dyDescent="0.25">
      <c r="A53" s="199"/>
      <c r="B53" s="199"/>
      <c r="C53" s="200"/>
      <c r="E53" s="200"/>
      <c r="F53" s="200"/>
      <c r="H53" s="200"/>
      <c r="L53" s="200"/>
      <c r="M53" s="202"/>
      <c r="N53" s="203"/>
      <c r="P53" s="203"/>
      <c r="R53" s="204"/>
      <c r="AD53" s="200"/>
      <c r="AH53" s="200"/>
      <c r="AJ53" s="204"/>
      <c r="AL53" s="205"/>
      <c r="AM53" s="199"/>
    </row>
    <row r="54" spans="1:39" s="201" customFormat="1" x14ac:dyDescent="0.25">
      <c r="A54" s="199"/>
      <c r="B54" s="199"/>
      <c r="C54" s="200"/>
      <c r="E54" s="200"/>
      <c r="F54" s="200"/>
      <c r="H54" s="200"/>
      <c r="L54" s="200"/>
      <c r="M54" s="202"/>
      <c r="N54" s="203"/>
      <c r="P54" s="203"/>
      <c r="R54" s="204"/>
      <c r="AD54" s="200"/>
      <c r="AH54" s="200"/>
      <c r="AJ54" s="204"/>
      <c r="AL54" s="205"/>
      <c r="AM54" s="199"/>
    </row>
    <row r="55" spans="1:39" s="201" customFormat="1" x14ac:dyDescent="0.25">
      <c r="A55" s="199"/>
      <c r="B55" s="199"/>
      <c r="C55" s="200"/>
      <c r="E55" s="200"/>
      <c r="F55" s="200"/>
      <c r="H55" s="200"/>
      <c r="L55" s="200"/>
      <c r="M55" s="202"/>
      <c r="N55" s="203"/>
      <c r="P55" s="203"/>
      <c r="R55" s="204"/>
      <c r="AD55" s="200"/>
      <c r="AH55" s="200"/>
      <c r="AJ55" s="204"/>
      <c r="AL55" s="205"/>
      <c r="AM55" s="199"/>
    </row>
    <row r="56" spans="1:39" s="201" customFormat="1" x14ac:dyDescent="0.25">
      <c r="A56" s="199"/>
      <c r="B56" s="199"/>
      <c r="C56" s="200"/>
      <c r="E56" s="200"/>
      <c r="F56" s="200"/>
      <c r="H56" s="200"/>
      <c r="L56" s="200"/>
      <c r="M56" s="202"/>
      <c r="N56" s="203"/>
      <c r="P56" s="203"/>
      <c r="R56" s="204"/>
      <c r="AD56" s="200"/>
      <c r="AH56" s="200"/>
      <c r="AJ56" s="204"/>
      <c r="AL56" s="205"/>
      <c r="AM56" s="199"/>
    </row>
    <row r="57" spans="1:39" s="201" customFormat="1" x14ac:dyDescent="0.25">
      <c r="A57" s="199"/>
      <c r="B57" s="199"/>
      <c r="C57" s="200"/>
      <c r="E57" s="200"/>
      <c r="F57" s="200"/>
      <c r="H57" s="200"/>
      <c r="L57" s="200"/>
      <c r="M57" s="202"/>
      <c r="N57" s="203"/>
      <c r="P57" s="203"/>
      <c r="R57" s="204"/>
      <c r="AD57" s="200"/>
      <c r="AH57" s="200"/>
      <c r="AJ57" s="204"/>
      <c r="AL57" s="205"/>
      <c r="AM57" s="199"/>
    </row>
    <row r="58" spans="1:39" s="201" customFormat="1" x14ac:dyDescent="0.25">
      <c r="A58" s="199"/>
      <c r="B58" s="199"/>
      <c r="C58" s="200"/>
      <c r="E58" s="200"/>
      <c r="F58" s="200"/>
      <c r="H58" s="200"/>
      <c r="L58" s="200"/>
      <c r="M58" s="202"/>
      <c r="N58" s="203"/>
      <c r="P58" s="203"/>
      <c r="R58" s="204"/>
      <c r="AD58" s="200"/>
      <c r="AH58" s="200"/>
      <c r="AJ58" s="204"/>
      <c r="AL58" s="205"/>
      <c r="AM58" s="199"/>
    </row>
    <row r="59" spans="1:39" s="201" customFormat="1" x14ac:dyDescent="0.25">
      <c r="A59" s="199"/>
      <c r="B59" s="199"/>
      <c r="C59" s="200"/>
      <c r="E59" s="200"/>
      <c r="F59" s="200"/>
      <c r="H59" s="200"/>
      <c r="L59" s="200"/>
      <c r="M59" s="202"/>
      <c r="N59" s="203"/>
      <c r="P59" s="203"/>
      <c r="R59" s="204"/>
      <c r="AD59" s="200"/>
      <c r="AH59" s="200"/>
      <c r="AJ59" s="204"/>
      <c r="AL59" s="205"/>
      <c r="AM59" s="199"/>
    </row>
    <row r="60" spans="1:39" s="201" customFormat="1" x14ac:dyDescent="0.25">
      <c r="A60" s="199"/>
      <c r="B60" s="199"/>
      <c r="C60" s="200"/>
      <c r="E60" s="200"/>
      <c r="F60" s="200"/>
      <c r="H60" s="200"/>
      <c r="L60" s="200"/>
      <c r="M60" s="202"/>
      <c r="N60" s="203"/>
      <c r="P60" s="203"/>
      <c r="R60" s="204"/>
      <c r="AD60" s="200"/>
      <c r="AH60" s="200"/>
      <c r="AJ60" s="204"/>
      <c r="AL60" s="205"/>
      <c r="AM60" s="199"/>
    </row>
    <row r="61" spans="1:39" s="201" customFormat="1" x14ac:dyDescent="0.25">
      <c r="A61" s="199"/>
      <c r="B61" s="199"/>
      <c r="C61" s="200"/>
      <c r="E61" s="200"/>
      <c r="F61" s="200"/>
      <c r="H61" s="200"/>
      <c r="L61" s="200"/>
      <c r="M61" s="202"/>
      <c r="N61" s="203"/>
      <c r="P61" s="203"/>
      <c r="R61" s="204"/>
      <c r="AD61" s="200"/>
      <c r="AH61" s="200"/>
      <c r="AJ61" s="204"/>
      <c r="AL61" s="205"/>
      <c r="AM61" s="199"/>
    </row>
    <row r="62" spans="1:39" s="201" customFormat="1" x14ac:dyDescent="0.25">
      <c r="A62" s="199"/>
      <c r="B62" s="199"/>
      <c r="C62" s="200"/>
      <c r="E62" s="200"/>
      <c r="F62" s="200"/>
      <c r="H62" s="200"/>
      <c r="L62" s="200"/>
      <c r="M62" s="202"/>
      <c r="N62" s="203"/>
      <c r="P62" s="203"/>
      <c r="R62" s="204"/>
      <c r="AD62" s="200"/>
      <c r="AH62" s="200"/>
      <c r="AJ62" s="204"/>
      <c r="AL62" s="205"/>
      <c r="AM62" s="199"/>
    </row>
    <row r="63" spans="1:39" s="201" customFormat="1" x14ac:dyDescent="0.25">
      <c r="A63" s="199"/>
      <c r="B63" s="199"/>
      <c r="C63" s="200"/>
      <c r="E63" s="200"/>
      <c r="F63" s="200"/>
      <c r="H63" s="200"/>
      <c r="L63" s="200"/>
      <c r="M63" s="202"/>
      <c r="N63" s="203"/>
      <c r="P63" s="203"/>
      <c r="R63" s="204"/>
      <c r="AD63" s="200"/>
      <c r="AH63" s="200"/>
      <c r="AJ63" s="204"/>
      <c r="AL63" s="205"/>
      <c r="AM63" s="199"/>
    </row>
    <row r="64" spans="1:39" s="201" customFormat="1" x14ac:dyDescent="0.25">
      <c r="A64" s="199"/>
      <c r="B64" s="199"/>
      <c r="C64" s="200"/>
      <c r="E64" s="200"/>
      <c r="F64" s="200"/>
      <c r="H64" s="200"/>
      <c r="L64" s="200"/>
      <c r="M64" s="202"/>
      <c r="N64" s="203"/>
      <c r="P64" s="203"/>
      <c r="R64" s="204"/>
      <c r="AD64" s="200"/>
      <c r="AH64" s="200"/>
      <c r="AJ64" s="204"/>
      <c r="AL64" s="205"/>
      <c r="AM64" s="199"/>
    </row>
    <row r="65" spans="1:39" s="201" customFormat="1" x14ac:dyDescent="0.25">
      <c r="A65" s="199"/>
      <c r="B65" s="199"/>
      <c r="C65" s="200"/>
      <c r="E65" s="200"/>
      <c r="F65" s="200"/>
      <c r="H65" s="200"/>
      <c r="L65" s="200"/>
      <c r="M65" s="202"/>
      <c r="N65" s="203"/>
      <c r="P65" s="203"/>
      <c r="R65" s="204"/>
      <c r="AD65" s="200"/>
      <c r="AH65" s="200"/>
      <c r="AJ65" s="204"/>
      <c r="AL65" s="205"/>
      <c r="AM65" s="199"/>
    </row>
    <row r="66" spans="1:39" s="201" customFormat="1" x14ac:dyDescent="0.25">
      <c r="A66" s="199"/>
      <c r="B66" s="199"/>
      <c r="C66" s="200"/>
      <c r="E66" s="200"/>
      <c r="F66" s="200"/>
      <c r="H66" s="200"/>
      <c r="L66" s="200"/>
      <c r="M66" s="202"/>
      <c r="N66" s="203"/>
      <c r="P66" s="203"/>
      <c r="R66" s="204"/>
      <c r="AD66" s="200"/>
      <c r="AH66" s="200"/>
      <c r="AJ66" s="204"/>
      <c r="AL66" s="205"/>
      <c r="AM66" s="199"/>
    </row>
    <row r="67" spans="1:39" s="201" customFormat="1" x14ac:dyDescent="0.25">
      <c r="A67" s="199"/>
      <c r="B67" s="199"/>
      <c r="C67" s="200"/>
      <c r="E67" s="200"/>
      <c r="F67" s="200"/>
      <c r="H67" s="200"/>
      <c r="L67" s="200"/>
      <c r="M67" s="202"/>
      <c r="N67" s="203"/>
      <c r="P67" s="203"/>
      <c r="R67" s="204"/>
      <c r="AD67" s="200"/>
      <c r="AH67" s="200"/>
      <c r="AJ67" s="204"/>
      <c r="AL67" s="205"/>
      <c r="AM67" s="199"/>
    </row>
    <row r="68" spans="1:39" s="201" customFormat="1" x14ac:dyDescent="0.25">
      <c r="A68" s="199"/>
      <c r="B68" s="199"/>
      <c r="C68" s="200"/>
      <c r="E68" s="200"/>
      <c r="F68" s="200"/>
      <c r="H68" s="200"/>
      <c r="L68" s="200"/>
      <c r="M68" s="202"/>
      <c r="N68" s="203"/>
      <c r="P68" s="203"/>
      <c r="R68" s="204"/>
      <c r="AD68" s="200"/>
      <c r="AH68" s="200"/>
      <c r="AJ68" s="204"/>
      <c r="AL68" s="205"/>
      <c r="AM68" s="199"/>
    </row>
    <row r="69" spans="1:39" s="201" customFormat="1" x14ac:dyDescent="0.25">
      <c r="A69" s="199"/>
      <c r="B69" s="199"/>
      <c r="C69" s="200"/>
      <c r="E69" s="200"/>
      <c r="F69" s="200"/>
      <c r="H69" s="200"/>
      <c r="L69" s="200"/>
      <c r="M69" s="202"/>
      <c r="N69" s="203"/>
      <c r="P69" s="203"/>
      <c r="R69" s="204"/>
      <c r="AD69" s="200"/>
      <c r="AH69" s="200"/>
      <c r="AJ69" s="204"/>
      <c r="AL69" s="205"/>
      <c r="AM69" s="199"/>
    </row>
    <row r="70" spans="1:39" s="201" customFormat="1" x14ac:dyDescent="0.25">
      <c r="A70" s="199"/>
      <c r="B70" s="199"/>
      <c r="C70" s="200"/>
      <c r="E70" s="200"/>
      <c r="F70" s="200"/>
      <c r="H70" s="200"/>
      <c r="L70" s="200"/>
      <c r="M70" s="202"/>
      <c r="N70" s="203"/>
      <c r="P70" s="203"/>
      <c r="R70" s="204"/>
      <c r="AD70" s="200"/>
      <c r="AH70" s="200"/>
      <c r="AJ70" s="204"/>
      <c r="AL70" s="205"/>
      <c r="AM70" s="199"/>
    </row>
  </sheetData>
  <mergeCells count="17">
    <mergeCell ref="Q9:Q10"/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12" activePane="bottomRight" state="frozen"/>
      <selection pane="topRight" activeCell="B1" sqref="B1"/>
      <selection pane="bottomLeft" activeCell="A6" sqref="A6"/>
      <selection pane="bottomRight" activeCell="H34" sqref="H34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 x14ac:dyDescent="0.3">
      <c r="A1" s="27" t="s">
        <v>28</v>
      </c>
    </row>
    <row r="2" spans="1:3" ht="18.75" x14ac:dyDescent="0.3">
      <c r="A2" s="261">
        <v>44348</v>
      </c>
      <c r="B2" s="262"/>
      <c r="C2" s="262"/>
    </row>
    <row r="3" spans="1:3" x14ac:dyDescent="0.25">
      <c r="A3" s="264" t="s">
        <v>1</v>
      </c>
      <c r="B3" s="263" t="s">
        <v>2</v>
      </c>
      <c r="C3" s="263" t="s">
        <v>3</v>
      </c>
    </row>
    <row r="4" spans="1:3" x14ac:dyDescent="0.25">
      <c r="A4" s="264"/>
      <c r="B4" s="263"/>
      <c r="C4" s="263"/>
    </row>
    <row r="5" spans="1:3" x14ac:dyDescent="0.25">
      <c r="A5" s="264"/>
      <c r="B5" s="263"/>
      <c r="C5" s="263"/>
    </row>
    <row r="6" spans="1:3" x14ac:dyDescent="0.25">
      <c r="A6" s="2">
        <v>1</v>
      </c>
      <c r="B6" s="2">
        <v>15</v>
      </c>
      <c r="C6" s="2">
        <v>134</v>
      </c>
    </row>
    <row r="7" spans="1:3" x14ac:dyDescent="0.25">
      <c r="A7" s="2">
        <v>2</v>
      </c>
      <c r="B7" s="2">
        <v>4</v>
      </c>
      <c r="C7" s="2">
        <v>120</v>
      </c>
    </row>
    <row r="8" spans="1:3" x14ac:dyDescent="0.25">
      <c r="A8" s="2">
        <f>A7+1</f>
        <v>3</v>
      </c>
      <c r="B8" s="2">
        <v>5</v>
      </c>
      <c r="C8" s="2">
        <v>52</v>
      </c>
    </row>
    <row r="9" spans="1:3" x14ac:dyDescent="0.25">
      <c r="A9" s="2">
        <f>A8+1</f>
        <v>4</v>
      </c>
      <c r="B9" s="2">
        <v>11</v>
      </c>
      <c r="C9" s="2">
        <v>158</v>
      </c>
    </row>
    <row r="10" spans="1:3" x14ac:dyDescent="0.25">
      <c r="A10" s="2">
        <f t="shared" ref="A10:A35" si="0">A9+1</f>
        <v>5</v>
      </c>
      <c r="B10" s="2">
        <v>16</v>
      </c>
      <c r="C10" s="2">
        <v>140</v>
      </c>
    </row>
    <row r="11" spans="1:3" x14ac:dyDescent="0.25">
      <c r="A11" s="2">
        <f t="shared" si="0"/>
        <v>6</v>
      </c>
      <c r="B11" s="2">
        <v>8</v>
      </c>
      <c r="C11" s="2">
        <v>139</v>
      </c>
    </row>
    <row r="12" spans="1:3" x14ac:dyDescent="0.25">
      <c r="A12" s="2">
        <f t="shared" si="0"/>
        <v>7</v>
      </c>
      <c r="B12" s="2">
        <v>5</v>
      </c>
      <c r="C12" s="2">
        <v>66</v>
      </c>
    </row>
    <row r="13" spans="1:3" x14ac:dyDescent="0.25">
      <c r="A13" s="2">
        <f t="shared" si="0"/>
        <v>8</v>
      </c>
      <c r="B13" s="2">
        <v>3</v>
      </c>
      <c r="C13" s="2">
        <v>53</v>
      </c>
    </row>
    <row r="14" spans="1:3" x14ac:dyDescent="0.25">
      <c r="A14" s="2">
        <f t="shared" si="0"/>
        <v>9</v>
      </c>
      <c r="B14" s="2">
        <v>3</v>
      </c>
      <c r="C14" s="2">
        <v>66</v>
      </c>
    </row>
    <row r="15" spans="1:3" x14ac:dyDescent="0.25">
      <c r="A15" s="2">
        <f t="shared" si="0"/>
        <v>10</v>
      </c>
      <c r="B15" s="2">
        <v>6</v>
      </c>
      <c r="C15" s="2">
        <v>104</v>
      </c>
    </row>
    <row r="16" spans="1:3" x14ac:dyDescent="0.25">
      <c r="A16" s="2">
        <f t="shared" si="0"/>
        <v>11</v>
      </c>
      <c r="B16" s="2">
        <v>9</v>
      </c>
      <c r="C16" s="2">
        <v>101</v>
      </c>
    </row>
    <row r="17" spans="1:3" x14ac:dyDescent="0.25">
      <c r="A17" s="2">
        <f t="shared" si="0"/>
        <v>12</v>
      </c>
      <c r="B17" s="2">
        <v>11</v>
      </c>
      <c r="C17" s="2">
        <v>148</v>
      </c>
    </row>
    <row r="18" spans="1:3" x14ac:dyDescent="0.25">
      <c r="A18" s="2">
        <f t="shared" si="0"/>
        <v>13</v>
      </c>
      <c r="B18" s="2">
        <v>10</v>
      </c>
      <c r="C18" s="2">
        <v>154</v>
      </c>
    </row>
    <row r="19" spans="1:3" x14ac:dyDescent="0.25">
      <c r="A19" s="2">
        <f t="shared" si="0"/>
        <v>14</v>
      </c>
      <c r="B19" s="2">
        <v>6</v>
      </c>
      <c r="C19" s="2">
        <v>118</v>
      </c>
    </row>
    <row r="20" spans="1:3" x14ac:dyDescent="0.25">
      <c r="A20" s="2">
        <f t="shared" si="0"/>
        <v>15</v>
      </c>
      <c r="B20" s="2">
        <v>4</v>
      </c>
      <c r="C20" s="2">
        <v>81</v>
      </c>
    </row>
    <row r="21" spans="1:3" x14ac:dyDescent="0.25">
      <c r="A21" s="2">
        <f t="shared" si="0"/>
        <v>16</v>
      </c>
      <c r="B21" s="2">
        <v>3</v>
      </c>
      <c r="C21" s="2">
        <v>122</v>
      </c>
    </row>
    <row r="22" spans="1:3" x14ac:dyDescent="0.25">
      <c r="A22" s="2">
        <f t="shared" si="0"/>
        <v>17</v>
      </c>
      <c r="B22" s="2">
        <v>15</v>
      </c>
      <c r="C22" s="2">
        <v>121</v>
      </c>
    </row>
    <row r="23" spans="1:3" x14ac:dyDescent="0.25">
      <c r="A23" s="2">
        <f t="shared" si="0"/>
        <v>18</v>
      </c>
      <c r="B23" s="2">
        <v>15</v>
      </c>
      <c r="C23" s="2">
        <v>164</v>
      </c>
    </row>
    <row r="24" spans="1:3" x14ac:dyDescent="0.25">
      <c r="A24" s="2">
        <f t="shared" si="0"/>
        <v>19</v>
      </c>
      <c r="B24" s="2">
        <v>13</v>
      </c>
      <c r="C24" s="2">
        <v>185</v>
      </c>
    </row>
    <row r="25" spans="1:3" x14ac:dyDescent="0.25">
      <c r="A25" s="2">
        <f t="shared" si="0"/>
        <v>20</v>
      </c>
      <c r="B25" s="2">
        <v>11</v>
      </c>
      <c r="C25" s="2">
        <v>193</v>
      </c>
    </row>
    <row r="26" spans="1:3" x14ac:dyDescent="0.25">
      <c r="A26" s="2">
        <f t="shared" si="0"/>
        <v>21</v>
      </c>
      <c r="B26" s="2">
        <v>9</v>
      </c>
      <c r="C26" s="2">
        <v>193</v>
      </c>
    </row>
    <row r="27" spans="1:3" x14ac:dyDescent="0.25">
      <c r="A27" s="2">
        <f t="shared" si="0"/>
        <v>22</v>
      </c>
      <c r="B27" s="2">
        <v>12</v>
      </c>
      <c r="C27" s="2">
        <v>114</v>
      </c>
    </row>
    <row r="28" spans="1:3" x14ac:dyDescent="0.25">
      <c r="A28" s="2">
        <f t="shared" si="0"/>
        <v>23</v>
      </c>
      <c r="B28" s="2">
        <v>10</v>
      </c>
      <c r="C28" s="2">
        <v>138</v>
      </c>
    </row>
    <row r="29" spans="1:3" x14ac:dyDescent="0.25">
      <c r="A29" s="2">
        <f t="shared" si="0"/>
        <v>24</v>
      </c>
      <c r="B29" s="2">
        <v>11</v>
      </c>
      <c r="C29" s="2">
        <v>101</v>
      </c>
    </row>
    <row r="30" spans="1:3" x14ac:dyDescent="0.25">
      <c r="A30" s="2">
        <f t="shared" si="0"/>
        <v>25</v>
      </c>
      <c r="B30" s="2">
        <v>20</v>
      </c>
      <c r="C30" s="2">
        <v>212</v>
      </c>
    </row>
    <row r="31" spans="1:3" x14ac:dyDescent="0.25">
      <c r="A31" s="2">
        <f t="shared" si="0"/>
        <v>26</v>
      </c>
      <c r="B31" s="2">
        <v>24</v>
      </c>
      <c r="C31" s="2">
        <v>194</v>
      </c>
    </row>
    <row r="32" spans="1:3" x14ac:dyDescent="0.25">
      <c r="A32" s="2">
        <f t="shared" si="0"/>
        <v>27</v>
      </c>
      <c r="B32" s="2">
        <v>17</v>
      </c>
      <c r="C32" s="2">
        <v>216</v>
      </c>
    </row>
    <row r="33" spans="1:3" x14ac:dyDescent="0.25">
      <c r="A33" s="2">
        <f t="shared" si="0"/>
        <v>28</v>
      </c>
      <c r="B33" s="2">
        <v>13</v>
      </c>
      <c r="C33" s="2">
        <v>134</v>
      </c>
    </row>
    <row r="34" spans="1:3" x14ac:dyDescent="0.25">
      <c r="A34" s="2">
        <f t="shared" si="0"/>
        <v>29</v>
      </c>
      <c r="B34" s="2">
        <v>17</v>
      </c>
      <c r="C34" s="2">
        <v>163</v>
      </c>
    </row>
    <row r="35" spans="1:3" x14ac:dyDescent="0.25">
      <c r="A35" s="2">
        <f t="shared" si="0"/>
        <v>30</v>
      </c>
      <c r="B35" s="2">
        <v>8</v>
      </c>
      <c r="C35" s="2">
        <v>113</v>
      </c>
    </row>
    <row r="36" spans="1:3" x14ac:dyDescent="0.25">
      <c r="A36" s="2"/>
      <c r="B36" s="2"/>
      <c r="C36" s="2"/>
    </row>
    <row r="38" spans="1:3" x14ac:dyDescent="0.25">
      <c r="B38" s="6">
        <f>SUM(B6:B36)</f>
        <v>314</v>
      </c>
      <c r="C38" s="6">
        <f>SUM(C6:C36)</f>
        <v>3997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8ef1ac0fa7950221b240831bd00c37d2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daaea8e627dc5dd4dabc3c1c97dc245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7B5696C-CD80-4CA5-8250-E741F63720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June 2021</vt:lpstr>
      <vt:lpstr>RNs &amp; Covers June 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Tjokorda Gde Sparsa Krisyana Krisyana</cp:lastModifiedBy>
  <cp:lastPrinted>2020-11-17T04:34:44Z</cp:lastPrinted>
  <dcterms:created xsi:type="dcterms:W3CDTF">2020-09-16T08:52:25Z</dcterms:created>
  <dcterms:modified xsi:type="dcterms:W3CDTF">2022-04-15T04:42:13Z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