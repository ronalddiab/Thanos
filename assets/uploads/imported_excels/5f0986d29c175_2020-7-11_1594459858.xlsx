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0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4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8" i="7"/>
  <c r="AZ9" i="7"/>
  <c r="AZ10" i="7"/>
  <c r="AZ11" i="7"/>
  <c r="AZ12" i="7"/>
  <c r="AZ13" i="7"/>
  <c r="AZ14" i="7"/>
  <c r="AZ15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<sst xmlns="http://schemas.openxmlformats.org/spreadsheetml/2006/main" count="308" uniqueCount="145">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</sst>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 t="e">
        <f>Submetering!E12+Submetering!F12+Submetering!G12+Submetering!H12+Submetering!J12-Submetering!AV12</f>
        <v>#VALUE!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 t="e">
        <f>'FS Desroches Daily'!CM14</f>
        <v>#VALUE!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10199.999999999989</v>
      </c>
      <c r="F33" s="17">
        <f t="shared" ref="F33:BC33" si="1">SUM(F2:F32)</f>
        <v>5599.9999999998272</v>
      </c>
      <c r="G33" s="17">
        <f t="shared" si="1"/>
        <v>15799.999999999591</v>
      </c>
      <c r="H33" s="17">
        <f t="shared" si="1"/>
        <v>8199.9999999999836</v>
      </c>
      <c r="I33" s="17">
        <f t="shared" si="1"/>
        <v>16800.000000000149</v>
      </c>
      <c r="J33" s="17">
        <f t="shared" si="1"/>
        <v>4199.9999999999818</v>
      </c>
      <c r="K33" s="17">
        <f t="shared" si="1"/>
        <v>6</v>
      </c>
      <c r="L33" s="17">
        <f t="shared" si="1"/>
        <v>29</v>
      </c>
      <c r="M33" s="17">
        <f t="shared" si="1"/>
        <v>2071.0999999999767</v>
      </c>
      <c r="N33" s="17">
        <f t="shared" si="1"/>
        <v>881.39999999996508</v>
      </c>
      <c r="O33" s="17">
        <f t="shared" si="1"/>
        <v>740.00000000000909</v>
      </c>
      <c r="P33" s="17">
        <f t="shared" si="1"/>
        <v>3799.9999999995812</v>
      </c>
      <c r="Q33" s="17">
        <f t="shared" si="1"/>
        <v>579.99999999998408</v>
      </c>
      <c r="R33" s="17">
        <f t="shared" si="1"/>
        <v>1020.0000000000387</v>
      </c>
      <c r="S33" s="17">
        <f t="shared" si="1"/>
        <v>1569.9999999999932</v>
      </c>
      <c r="T33" s="17">
        <f t="shared" si="1"/>
        <v>12.299999999999955</v>
      </c>
      <c r="U33" s="35">
        <f t="shared" si="1"/>
        <v>6149.9999999999782</v>
      </c>
      <c r="V33" s="35">
        <f t="shared" si="1"/>
        <v>330.00000000001251</v>
      </c>
      <c r="W33" s="35">
        <f t="shared" si="1"/>
        <v>330.00000000001251</v>
      </c>
      <c r="X33" s="35">
        <f t="shared" si="1"/>
        <v>270.00000000001023</v>
      </c>
      <c r="Y33" s="35">
        <f t="shared" si="1"/>
        <v>229.99999999998977</v>
      </c>
      <c r="Z33" s="35">
        <f t="shared" si="1"/>
        <v>189.99999999999773</v>
      </c>
      <c r="AA33" s="35">
        <f t="shared" si="1"/>
        <v>189.99999999999773</v>
      </c>
      <c r="AB33" s="35">
        <f t="shared" si="1"/>
        <v>189.99999999999773</v>
      </c>
      <c r="AC33" s="35">
        <f t="shared" si="1"/>
        <v>189.99999999999773</v>
      </c>
      <c r="AD33" s="35">
        <f t="shared" si="1"/>
        <v>139.99999999998636</v>
      </c>
      <c r="AE33" s="35">
        <f t="shared" si="1"/>
        <v>180.00000000000682</v>
      </c>
      <c r="AF33" s="17">
        <f t="shared" si="1"/>
        <v>202</v>
      </c>
      <c r="AG33" s="32">
        <f t="shared" si="1"/>
        <v>150.00000000000568</v>
      </c>
      <c r="AH33" s="32">
        <f t="shared" si="1"/>
        <v>239.99999999995225</v>
      </c>
      <c r="AI33" s="32">
        <f t="shared" si="1"/>
        <v>110.00000000001364</v>
      </c>
      <c r="AJ33" s="32">
        <f t="shared" si="1"/>
        <v>289.99999999999204</v>
      </c>
      <c r="AK33" s="32">
        <f t="shared" si="1"/>
        <v>290.00000000002046</v>
      </c>
      <c r="AL33" s="32">
        <f t="shared" si="1"/>
        <v>134</v>
      </c>
      <c r="AM33" s="32">
        <f t="shared" si="1"/>
        <v>69.999999999993179</v>
      </c>
      <c r="AN33" s="32">
        <f t="shared" si="1"/>
        <v>73</v>
      </c>
      <c r="AO33" s="32">
        <f t="shared" si="1"/>
        <v>170.00000000001592</v>
      </c>
      <c r="AP33" s="32">
        <f t="shared" si="1"/>
        <v>100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455</v>
      </c>
      <c r="AU33" s="17">
        <f t="shared" si="1"/>
        <v>2023</v>
      </c>
      <c r="AV33" s="17">
        <f t="shared" si="1"/>
        <v>3720.0000000000273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54.945</v>
      </c>
      <c r="BC33" s="17">
        <f t="shared" si="1"/>
        <v>0</v>
      </c>
    </row>
    <row r="35" spans="5:55" x14ac:dyDescent="0.25">
      <c r="E35" s="38">
        <f>E33/E37</f>
        <v>0.29028402299505296</v>
      </c>
      <c r="G35" s="29">
        <f>G33-M36</f>
        <v>12847.499999999649</v>
      </c>
      <c r="AE35" s="35">
        <f>SUM(U33:AE33)</f>
        <v>8389.9999999999891</v>
      </c>
      <c r="AG35" s="32">
        <f>SUM(AG33:AP33)</f>
        <v>1626.9999999999932</v>
      </c>
    </row>
    <row r="36" spans="5:55" x14ac:dyDescent="0.25">
      <c r="G36" s="29">
        <f>G35-633*14</f>
        <v>3985.4999999996489</v>
      </c>
      <c r="M36" s="29">
        <f>M33+N33</f>
        <v>2952.4999999999418</v>
      </c>
    </row>
    <row r="37" spans="5:55" x14ac:dyDescent="0.25">
      <c r="E37" s="17">
        <f>E33+F33+G33+H33+J33-633*14</f>
        <v>35137.999999999374</v>
      </c>
      <c r="G37" s="37">
        <f>M36/E37</f>
        <v>8.4025840969889992E-2</v>
      </c>
      <c r="M37" s="35">
        <f>AE35</f>
        <v>8389.9999999999891</v>
      </c>
    </row>
    <row r="38" spans="5:55" x14ac:dyDescent="0.25">
      <c r="L38" s="27">
        <f>M38/E37</f>
        <v>4.6303147589504871E-2</v>
      </c>
      <c r="M38" s="29">
        <f>AG35</f>
        <v>1626.9999999999932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C1" zoomScale="60" zoomScaleNormal="60" workbookViewId="0">
      <pane ySplit="1" topLeftCell="A2" activePane="bottomLeft" state="frozen"/>
      <selection pane="bottomLeft" activeCell="BF14" sqref="BF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 t="shared" si="38"/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 t="shared" si="38"/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 t="shared" si="38"/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/>
      <c r="D14" s="64" t="str">
        <f t="shared" si="0"/>
        <v>0</v>
      </c>
      <c r="E14" s="58"/>
      <c r="F14" s="64" t="str">
        <f t="shared" si="1"/>
        <v>0</v>
      </c>
      <c r="G14" s="58"/>
      <c r="H14" s="64" t="str">
        <f t="shared" si="2"/>
        <v>0</v>
      </c>
      <c r="I14" s="58"/>
      <c r="J14" s="64" t="str">
        <f t="shared" si="3"/>
        <v>0</v>
      </c>
      <c r="K14" s="58"/>
      <c r="L14" s="64" t="str">
        <f t="shared" si="4"/>
        <v>0</v>
      </c>
      <c r="M14" s="58"/>
      <c r="N14" s="64" t="str">
        <f t="shared" si="5"/>
        <v/>
      </c>
      <c r="O14" s="58"/>
      <c r="P14" s="67" t="str">
        <f t="shared" si="44"/>
        <v/>
      </c>
      <c r="Q14" s="58"/>
      <c r="R14" s="67" t="str">
        <f t="shared" si="6"/>
        <v/>
      </c>
      <c r="S14" s="58"/>
      <c r="T14" s="67" t="str">
        <f t="shared" si="7"/>
        <v/>
      </c>
      <c r="U14" s="58"/>
      <c r="V14" s="67" t="str">
        <f t="shared" si="8"/>
        <v/>
      </c>
      <c r="W14" s="58"/>
      <c r="X14" s="65" t="str">
        <f t="shared" si="9"/>
        <v/>
      </c>
      <c r="Y14" s="58"/>
      <c r="Z14" s="65" t="str">
        <f t="shared" si="10"/>
        <v/>
      </c>
      <c r="AA14" s="58"/>
      <c r="AB14" s="65" t="str">
        <f t="shared" si="11"/>
        <v/>
      </c>
      <c r="AC14" s="58"/>
      <c r="AD14" s="65" t="str">
        <f t="shared" si="12"/>
        <v/>
      </c>
      <c r="AE14" s="58"/>
      <c r="AF14" s="65" t="str">
        <f t="shared" si="13"/>
        <v/>
      </c>
      <c r="AG14" s="58"/>
      <c r="AH14" s="67" t="str">
        <f t="shared" si="14"/>
        <v/>
      </c>
      <c r="AI14" s="58"/>
      <c r="AJ14" s="65" t="str">
        <f t="shared" si="15"/>
        <v/>
      </c>
      <c r="AK14" s="58"/>
      <c r="AL14" s="65" t="str">
        <f t="shared" ref="AL14:AL34" si="45">IF((AK14-AK13&lt;0), "",AK14-AK13)</f>
        <v/>
      </c>
      <c r="AM14" s="58"/>
      <c r="AN14" s="65" t="str">
        <f t="shared" ref="AN14:AN34" si="46">IF((AM14-AM13&lt;0), "",AM14-AM13)</f>
        <v/>
      </c>
      <c r="AO14" s="58"/>
      <c r="AP14" s="65" t="str">
        <f t="shared" ref="AP14:AP34" si="47">IF((AO14-AO13&lt;0), "",AO14-AO13)</f>
        <v/>
      </c>
      <c r="AQ14" s="58"/>
      <c r="AR14" s="65" t="str">
        <f t="shared" si="16"/>
        <v/>
      </c>
      <c r="AS14" s="58"/>
      <c r="AT14" s="65" t="str">
        <f t="shared" si="17"/>
        <v/>
      </c>
      <c r="AU14" s="58"/>
      <c r="AV14" s="65" t="str">
        <f t="shared" si="18"/>
        <v/>
      </c>
      <c r="AW14" s="58"/>
      <c r="AX14" s="65" t="str">
        <f t="shared" si="19"/>
        <v/>
      </c>
      <c r="AY14" s="58"/>
      <c r="AZ14" s="65" t="str">
        <f t="shared" si="20"/>
        <v/>
      </c>
      <c r="BA14" s="58"/>
      <c r="BB14" s="65" t="str">
        <f t="shared" si="21"/>
        <v/>
      </c>
      <c r="BC14" s="58"/>
      <c r="BD14" s="65" t="str">
        <f t="shared" si="22"/>
        <v/>
      </c>
      <c r="BE14" s="59"/>
      <c r="BF14" s="67" t="str">
        <f t="shared" si="39"/>
        <v/>
      </c>
      <c r="BG14" s="60"/>
      <c r="BH14" s="65" t="str">
        <f t="shared" si="23"/>
        <v/>
      </c>
      <c r="BI14" s="60"/>
      <c r="BJ14" s="65" t="str">
        <f t="shared" si="40"/>
        <v/>
      </c>
      <c r="BK14" s="60"/>
      <c r="BL14" s="65" t="str">
        <f t="shared" si="24"/>
        <v/>
      </c>
      <c r="BM14" s="60"/>
      <c r="BN14" s="65" t="str">
        <f t="shared" si="25"/>
        <v/>
      </c>
      <c r="BO14" s="60"/>
      <c r="BP14" s="65" t="str">
        <f t="shared" si="26"/>
        <v/>
      </c>
      <c r="BQ14" s="60"/>
      <c r="BR14" s="65" t="str">
        <f t="shared" si="27"/>
        <v/>
      </c>
      <c r="BS14" s="60"/>
      <c r="BT14" s="65" t="str">
        <f t="shared" si="43"/>
        <v/>
      </c>
      <c r="BU14" s="60"/>
      <c r="BV14" s="65" t="str">
        <f t="shared" si="29"/>
        <v/>
      </c>
      <c r="BW14" s="60"/>
      <c r="BX14" s="65" t="str">
        <f t="shared" si="30"/>
        <v/>
      </c>
      <c r="BY14" s="60"/>
      <c r="BZ14" s="67" t="str">
        <f t="shared" si="31"/>
        <v/>
      </c>
      <c r="CA14" s="60"/>
      <c r="CB14" s="67" t="str">
        <f t="shared" si="32"/>
        <v/>
      </c>
      <c r="CC14" s="60"/>
      <c r="CD14" s="67" t="str">
        <f t="shared" si="33"/>
        <v/>
      </c>
      <c r="CE14" s="60"/>
      <c r="CF14" s="67" t="str">
        <f t="shared" si="34"/>
        <v/>
      </c>
      <c r="CG14" s="60"/>
      <c r="CH14" s="67" t="str">
        <f t="shared" si="35"/>
        <v/>
      </c>
      <c r="CI14" s="60"/>
      <c r="CJ14" s="67" t="str">
        <f t="shared" si="36"/>
        <v/>
      </c>
      <c r="CK14" s="60"/>
      <c r="CL14" s="64" t="str">
        <f t="shared" si="37"/>
        <v/>
      </c>
      <c r="CM14" s="65" t="e">
        <f t="shared" si="41"/>
        <v>#VALUE!</v>
      </c>
      <c r="CN14" s="62">
        <v>0</v>
      </c>
      <c r="CO14" s="62">
        <v>0</v>
      </c>
      <c r="CP14" s="68"/>
      <c r="CQ14" s="67" t="str">
        <f t="shared" si="38"/>
        <v/>
      </c>
      <c r="CR14" s="68"/>
      <c r="CS14" s="67" t="str">
        <f t="shared" si="38"/>
        <v/>
      </c>
      <c r="CT14" s="75"/>
      <c r="CU14" s="67" t="str">
        <f t="shared" si="38"/>
        <v/>
      </c>
      <c r="CV14" s="68"/>
      <c r="CW14" s="67" t="str">
        <f t="shared" si="38"/>
        <v/>
      </c>
    </row>
    <row r="15" spans="1:102" ht="25.5" customHeight="1" thickBot="1" x14ac:dyDescent="0.45">
      <c r="A15" s="63">
        <v>44024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45"/>
        <v>0</v>
      </c>
      <c r="AM15" s="58"/>
      <c r="AN15" s="65">
        <f t="shared" si="46"/>
        <v>0</v>
      </c>
      <c r="AO15" s="58"/>
      <c r="AP15" s="65">
        <f t="shared" si="47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3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44025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45"/>
        <v>0</v>
      </c>
      <c r="AM16" s="58"/>
      <c r="AN16" s="65">
        <f t="shared" si="46"/>
        <v>0</v>
      </c>
      <c r="AO16" s="58"/>
      <c r="AP16" s="65">
        <f t="shared" si="47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/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3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44026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45"/>
        <v>0</v>
      </c>
      <c r="AM17" s="58"/>
      <c r="AN17" s="65">
        <f t="shared" si="46"/>
        <v>0</v>
      </c>
      <c r="AO17" s="58"/>
      <c r="AP17" s="65">
        <f t="shared" si="47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44027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45"/>
        <v>0</v>
      </c>
      <c r="AM18" s="58"/>
      <c r="AN18" s="65">
        <f t="shared" si="46"/>
        <v>0</v>
      </c>
      <c r="AO18" s="58"/>
      <c r="AP18" s="65">
        <f t="shared" si="47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44028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45"/>
        <v>0</v>
      </c>
      <c r="AM19" s="58"/>
      <c r="AN19" s="65">
        <f t="shared" si="46"/>
        <v>0</v>
      </c>
      <c r="AO19" s="58"/>
      <c r="AP19" s="65">
        <f t="shared" si="47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44029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45"/>
        <v>0</v>
      </c>
      <c r="AM20" s="58"/>
      <c r="AN20" s="65">
        <f t="shared" si="46"/>
        <v>0</v>
      </c>
      <c r="AO20" s="58"/>
      <c r="AP20" s="65">
        <f t="shared" si="47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44030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45"/>
        <v>0</v>
      </c>
      <c r="AM21" s="58"/>
      <c r="AN21" s="65">
        <f t="shared" si="46"/>
        <v>0</v>
      </c>
      <c r="AO21" s="58"/>
      <c r="AP21" s="65">
        <f t="shared" si="47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44031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45"/>
        <v>0</v>
      </c>
      <c r="AM22" s="58"/>
      <c r="AN22" s="65">
        <f t="shared" si="46"/>
        <v>0</v>
      </c>
      <c r="AO22" s="58"/>
      <c r="AP22" s="65">
        <f t="shared" si="47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44032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45"/>
        <v>0</v>
      </c>
      <c r="AM23" s="58"/>
      <c r="AN23" s="65">
        <f t="shared" si="46"/>
        <v>0</v>
      </c>
      <c r="AO23" s="58"/>
      <c r="AP23" s="65">
        <f t="shared" si="47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45"/>
        <v>0</v>
      </c>
      <c r="AM24" s="58"/>
      <c r="AN24" s="65">
        <f t="shared" si="46"/>
        <v>0</v>
      </c>
      <c r="AO24" s="58"/>
      <c r="AP24" s="65">
        <f t="shared" si="47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45"/>
        <v>0</v>
      </c>
      <c r="AM25" s="58"/>
      <c r="AN25" s="65">
        <f t="shared" si="46"/>
        <v>0</v>
      </c>
      <c r="AO25" s="58"/>
      <c r="AP25" s="65">
        <f t="shared" si="47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45"/>
        <v>0</v>
      </c>
      <c r="AM26" s="58"/>
      <c r="AN26" s="65">
        <f t="shared" si="46"/>
        <v>0</v>
      </c>
      <c r="AO26" s="58"/>
      <c r="AP26" s="65">
        <f t="shared" si="47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45"/>
        <v>0</v>
      </c>
      <c r="AM27" s="58"/>
      <c r="AN27" s="65">
        <f t="shared" si="46"/>
        <v>0</v>
      </c>
      <c r="AO27" s="58"/>
      <c r="AP27" s="65">
        <f t="shared" si="47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45"/>
        <v>0</v>
      </c>
      <c r="AM28" s="58"/>
      <c r="AN28" s="65">
        <f t="shared" si="46"/>
        <v>0</v>
      </c>
      <c r="AO28" s="58"/>
      <c r="AP28" s="65">
        <f t="shared" si="47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45"/>
        <v>0</v>
      </c>
      <c r="AM29" s="58"/>
      <c r="AN29" s="65">
        <f t="shared" si="46"/>
        <v>0</v>
      </c>
      <c r="AO29" s="58"/>
      <c r="AP29" s="65">
        <f t="shared" si="47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45"/>
        <v>0</v>
      </c>
      <c r="AM30" s="58"/>
      <c r="AN30" s="65">
        <f t="shared" si="46"/>
        <v>0</v>
      </c>
      <c r="AO30" s="58"/>
      <c r="AP30" s="65">
        <f t="shared" si="47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45"/>
        <v>0</v>
      </c>
      <c r="AM31" s="58"/>
      <c r="AN31" s="65">
        <f t="shared" si="46"/>
        <v>0</v>
      </c>
      <c r="AO31" s="58"/>
      <c r="AP31" s="65">
        <f t="shared" si="47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45"/>
        <v>0</v>
      </c>
      <c r="AM32" s="58"/>
      <c r="AN32" s="65">
        <f t="shared" si="46"/>
        <v>0</v>
      </c>
      <c r="AO32" s="58"/>
      <c r="AP32" s="65">
        <f t="shared" si="47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45"/>
        <v>0</v>
      </c>
      <c r="AM33" s="58"/>
      <c r="AN33" s="65">
        <f t="shared" si="46"/>
        <v>0</v>
      </c>
      <c r="AO33" s="58"/>
      <c r="AP33" s="65">
        <f t="shared" si="47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45"/>
        <v>0</v>
      </c>
      <c r="AM34" s="58"/>
      <c r="AN34" s="65">
        <f t="shared" si="46"/>
        <v>0</v>
      </c>
      <c r="AO34" s="58"/>
      <c r="AP34" s="65">
        <f t="shared" si="47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8">IF((CA34-CA33&lt;0), "",CA34-CA33)</f>
        <v>0</v>
      </c>
      <c r="CC34" s="60"/>
      <c r="CD34" s="67">
        <f t="shared" si="33"/>
        <v>0</v>
      </c>
      <c r="CE34" s="60"/>
      <c r="CF34" s="67">
        <f t="shared" ref="CF34" si="49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50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19" sqref="Q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2020-07-11T09:27:38Z</dcterms:modified>
</cp:coreProperties>
</file>