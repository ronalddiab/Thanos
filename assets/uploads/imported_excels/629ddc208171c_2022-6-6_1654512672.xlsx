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3. ENG UBU\4. Energy\4.5 Hotel Energy Portal (HEP)\2020\Monthly Spread Sheet HEP\"/>
    </mc:Choice>
  </mc:AlternateContent>
  <bookViews>
    <workbookView xWindow="0" yWindow="0" windowWidth="25200" windowHeight="11985" activeTab="4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1" l="1"/>
  <c r="H32" i="4" l="1"/>
  <c r="F37" i="2"/>
  <c r="G37" i="2" s="1"/>
  <c r="F38" i="2"/>
  <c r="G38" i="2" s="1"/>
  <c r="I19" i="1"/>
  <c r="I18" i="1"/>
  <c r="I17" i="1"/>
  <c r="G22" i="4"/>
  <c r="I14" i="1"/>
  <c r="I13" i="1"/>
  <c r="G19" i="4"/>
  <c r="J12" i="1" s="1"/>
  <c r="I11" i="1"/>
  <c r="I9" i="1"/>
  <c r="I6" i="1"/>
  <c r="I5" i="1"/>
  <c r="G10" i="4"/>
  <c r="D10" i="3"/>
  <c r="D10" i="4" s="1"/>
  <c r="D10" i="5" s="1"/>
  <c r="D11" i="3"/>
  <c r="D11" i="4" s="1"/>
  <c r="D11" i="5" s="1"/>
  <c r="D12" i="3"/>
  <c r="D12" i="4" s="1"/>
  <c r="D12" i="5" s="1"/>
  <c r="D13" i="3"/>
  <c r="D13" i="4" s="1"/>
  <c r="D13" i="5" s="1"/>
  <c r="D14" i="3"/>
  <c r="D15" i="3"/>
  <c r="D15" i="4"/>
  <c r="D15" i="5" s="1"/>
  <c r="D16" i="3"/>
  <c r="D16" i="4" s="1"/>
  <c r="D16" i="5" s="1"/>
  <c r="D17" i="3"/>
  <c r="D17" i="4" s="1"/>
  <c r="D17" i="5" s="1"/>
  <c r="D18" i="3"/>
  <c r="D18" i="4" s="1"/>
  <c r="D18" i="5" s="1"/>
  <c r="D19" i="3"/>
  <c r="D19" i="4" s="1"/>
  <c r="D19" i="5" s="1"/>
  <c r="D20" i="3"/>
  <c r="D20" i="4" s="1"/>
  <c r="D20" i="5" s="1"/>
  <c r="D21" i="3"/>
  <c r="D21" i="4" s="1"/>
  <c r="D21" i="5" s="1"/>
  <c r="D22" i="3"/>
  <c r="D22" i="4" s="1"/>
  <c r="D22" i="5" s="1"/>
  <c r="D23" i="3"/>
  <c r="D23" i="4" s="1"/>
  <c r="D23" i="5" s="1"/>
  <c r="D24" i="3"/>
  <c r="D24" i="4" s="1"/>
  <c r="D24" i="5" s="1"/>
  <c r="D25" i="3"/>
  <c r="D25" i="4" s="1"/>
  <c r="D25" i="5" s="1"/>
  <c r="D26" i="3"/>
  <c r="D26" i="4" s="1"/>
  <c r="D26" i="5" s="1"/>
  <c r="D27" i="3"/>
  <c r="D27" i="4" s="1"/>
  <c r="D27" i="5" s="1"/>
  <c r="D28" i="3"/>
  <c r="D28" i="4" s="1"/>
  <c r="D28" i="5" s="1"/>
  <c r="D29" i="3"/>
  <c r="D29" i="4" s="1"/>
  <c r="D29" i="5" s="1"/>
  <c r="D30" i="3"/>
  <c r="D30" i="4" s="1"/>
  <c r="D30" i="5" s="1"/>
  <c r="D31" i="3"/>
  <c r="D31" i="4" s="1"/>
  <c r="D31" i="5" s="1"/>
  <c r="D32" i="3"/>
  <c r="D32" i="4" s="1"/>
  <c r="D32" i="5" s="1"/>
  <c r="D33" i="3"/>
  <c r="D33" i="4" s="1"/>
  <c r="D33" i="5" s="1"/>
  <c r="D34" i="3"/>
  <c r="D34" i="4" s="1"/>
  <c r="D34" i="5" s="1"/>
  <c r="D35" i="3"/>
  <c r="D35" i="4" s="1"/>
  <c r="D35" i="5" s="1"/>
  <c r="D36" i="3"/>
  <c r="D36" i="4" s="1"/>
  <c r="D36" i="5" s="1"/>
  <c r="D37" i="3"/>
  <c r="D37" i="4" s="1"/>
  <c r="D37" i="5" s="1"/>
  <c r="D38" i="3"/>
  <c r="D38" i="4" s="1"/>
  <c r="D38" i="5" s="1"/>
  <c r="D39" i="3"/>
  <c r="D39" i="4" s="1"/>
  <c r="D39" i="5" s="1"/>
  <c r="D9" i="3"/>
  <c r="D9" i="4" s="1"/>
  <c r="C10" i="3"/>
  <c r="C11" i="3"/>
  <c r="C11" i="4" s="1"/>
  <c r="C11" i="5" s="1"/>
  <c r="C12" i="3"/>
  <c r="C12" i="4" s="1"/>
  <c r="C12" i="5" s="1"/>
  <c r="C13" i="3"/>
  <c r="C13" i="4" s="1"/>
  <c r="C13" i="5" s="1"/>
  <c r="C14" i="3"/>
  <c r="C14" i="4" s="1"/>
  <c r="C14" i="5" s="1"/>
  <c r="C15" i="3"/>
  <c r="C15" i="4" s="1"/>
  <c r="C15" i="5" s="1"/>
  <c r="C16" i="3"/>
  <c r="C16" i="4" s="1"/>
  <c r="C16" i="5" s="1"/>
  <c r="C17" i="3"/>
  <c r="C17" i="4" s="1"/>
  <c r="C17" i="5" s="1"/>
  <c r="C18" i="3"/>
  <c r="C18" i="4" s="1"/>
  <c r="C18" i="5" s="1"/>
  <c r="C19" i="3"/>
  <c r="C19" i="4" s="1"/>
  <c r="C19" i="5" s="1"/>
  <c r="C20" i="3"/>
  <c r="C20" i="4" s="1"/>
  <c r="C20" i="5" s="1"/>
  <c r="C21" i="3"/>
  <c r="C21" i="4" s="1"/>
  <c r="C21" i="5" s="1"/>
  <c r="C22" i="3"/>
  <c r="C22" i="4" s="1"/>
  <c r="C22" i="5" s="1"/>
  <c r="C23" i="3"/>
  <c r="C23" i="4" s="1"/>
  <c r="C23" i="5" s="1"/>
  <c r="C24" i="3"/>
  <c r="C24" i="4" s="1"/>
  <c r="C24" i="5" s="1"/>
  <c r="C25" i="3"/>
  <c r="C25" i="4" s="1"/>
  <c r="C25" i="5" s="1"/>
  <c r="C26" i="3"/>
  <c r="C26" i="4" s="1"/>
  <c r="C26" i="5" s="1"/>
  <c r="C27" i="3"/>
  <c r="C27" i="4" s="1"/>
  <c r="C27" i="5" s="1"/>
  <c r="C28" i="3"/>
  <c r="C28" i="4" s="1"/>
  <c r="C28" i="5" s="1"/>
  <c r="C29" i="3"/>
  <c r="C29" i="4" s="1"/>
  <c r="C29" i="5" s="1"/>
  <c r="C30" i="3"/>
  <c r="C30" i="4" s="1"/>
  <c r="C30" i="5" s="1"/>
  <c r="C31" i="3"/>
  <c r="C31" i="4" s="1"/>
  <c r="C31" i="5" s="1"/>
  <c r="C32" i="3"/>
  <c r="C32" i="4" s="1"/>
  <c r="C32" i="5" s="1"/>
  <c r="C33" i="3"/>
  <c r="C33" i="4" s="1"/>
  <c r="C33" i="5" s="1"/>
  <c r="C34" i="3"/>
  <c r="C34" i="4" s="1"/>
  <c r="C34" i="5" s="1"/>
  <c r="C35" i="3"/>
  <c r="C35" i="4" s="1"/>
  <c r="C35" i="5" s="1"/>
  <c r="C36" i="3"/>
  <c r="C36" i="4" s="1"/>
  <c r="C36" i="5" s="1"/>
  <c r="C37" i="3"/>
  <c r="C37" i="4" s="1"/>
  <c r="C37" i="5" s="1"/>
  <c r="C38" i="3"/>
  <c r="C38" i="4" s="1"/>
  <c r="C38" i="5" s="1"/>
  <c r="C39" i="3"/>
  <c r="C39" i="4" s="1"/>
  <c r="C39" i="5" s="1"/>
  <c r="C9" i="3"/>
  <c r="C9" i="4" s="1"/>
  <c r="C9" i="5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G34" i="4"/>
  <c r="J27" i="1" s="1"/>
  <c r="I4" i="1"/>
  <c r="I7" i="1"/>
  <c r="I8" i="1"/>
  <c r="I10" i="1"/>
  <c r="I16" i="1"/>
  <c r="I20" i="1"/>
  <c r="I21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N2" i="1"/>
  <c r="M2" i="1"/>
  <c r="K2" i="1"/>
  <c r="I2" i="1"/>
  <c r="G2" i="1"/>
  <c r="I40" i="5"/>
  <c r="G40" i="5"/>
  <c r="J39" i="5"/>
  <c r="H39" i="5"/>
  <c r="F39" i="5"/>
  <c r="J38" i="5"/>
  <c r="H38" i="5"/>
  <c r="F38" i="5"/>
  <c r="J37" i="5"/>
  <c r="H37" i="5"/>
  <c r="F37" i="5"/>
  <c r="J36" i="5"/>
  <c r="H36" i="5"/>
  <c r="F36" i="5"/>
  <c r="J35" i="5"/>
  <c r="H35" i="5"/>
  <c r="F35" i="5"/>
  <c r="J34" i="5"/>
  <c r="H34" i="5"/>
  <c r="F34" i="5"/>
  <c r="J33" i="5"/>
  <c r="H33" i="5"/>
  <c r="F33" i="5"/>
  <c r="J32" i="5"/>
  <c r="H32" i="5"/>
  <c r="F32" i="5"/>
  <c r="J31" i="5"/>
  <c r="H31" i="5"/>
  <c r="F31" i="5"/>
  <c r="J30" i="5"/>
  <c r="H30" i="5"/>
  <c r="F30" i="5"/>
  <c r="J29" i="5"/>
  <c r="H29" i="5"/>
  <c r="F29" i="5"/>
  <c r="J28" i="5"/>
  <c r="H28" i="5"/>
  <c r="F28" i="5"/>
  <c r="J27" i="5"/>
  <c r="H27" i="5"/>
  <c r="F27" i="5"/>
  <c r="J26" i="5"/>
  <c r="H26" i="5"/>
  <c r="F26" i="5"/>
  <c r="J25" i="5"/>
  <c r="H25" i="5"/>
  <c r="F25" i="5"/>
  <c r="J24" i="5"/>
  <c r="H24" i="5"/>
  <c r="K24" i="5" s="1"/>
  <c r="L24" i="5" s="1"/>
  <c r="F24" i="5"/>
  <c r="J23" i="5"/>
  <c r="H23" i="5"/>
  <c r="F23" i="5"/>
  <c r="J22" i="5"/>
  <c r="H22" i="5"/>
  <c r="F22" i="5"/>
  <c r="J21" i="5"/>
  <c r="H21" i="5"/>
  <c r="F21" i="5"/>
  <c r="J20" i="5"/>
  <c r="H20" i="5"/>
  <c r="F20" i="5"/>
  <c r="J19" i="5"/>
  <c r="H19" i="5"/>
  <c r="F19" i="5"/>
  <c r="J18" i="5"/>
  <c r="H18" i="5"/>
  <c r="F18" i="5"/>
  <c r="J17" i="5"/>
  <c r="H17" i="5"/>
  <c r="F17" i="5"/>
  <c r="J16" i="5"/>
  <c r="H16" i="5"/>
  <c r="F16" i="5"/>
  <c r="J15" i="5"/>
  <c r="H15" i="5"/>
  <c r="F15" i="5"/>
  <c r="J14" i="5"/>
  <c r="H14" i="5"/>
  <c r="F14" i="5"/>
  <c r="J13" i="5"/>
  <c r="H13" i="5"/>
  <c r="F13" i="5"/>
  <c r="J12" i="5"/>
  <c r="H12" i="5"/>
  <c r="F12" i="5"/>
  <c r="J11" i="5"/>
  <c r="H11" i="5"/>
  <c r="F11" i="5"/>
  <c r="J10" i="5"/>
  <c r="H10" i="5"/>
  <c r="K10" i="5" s="1"/>
  <c r="L10" i="5" s="1"/>
  <c r="F10" i="5"/>
  <c r="J9" i="5"/>
  <c r="H9" i="5"/>
  <c r="F9" i="5"/>
  <c r="G39" i="4"/>
  <c r="J32" i="1" s="1"/>
  <c r="G38" i="4"/>
  <c r="J31" i="1" s="1"/>
  <c r="G37" i="4"/>
  <c r="J30" i="1" s="1"/>
  <c r="G36" i="4"/>
  <c r="J29" i="1" s="1"/>
  <c r="G35" i="4"/>
  <c r="J28" i="1" s="1"/>
  <c r="G33" i="4"/>
  <c r="J26" i="1" s="1"/>
  <c r="J33" i="1" s="1"/>
  <c r="G31" i="4"/>
  <c r="J24" i="1" s="1"/>
  <c r="G30" i="4"/>
  <c r="J23" i="1" s="1"/>
  <c r="I22" i="1"/>
  <c r="G28" i="4"/>
  <c r="J21" i="1" s="1"/>
  <c r="G26" i="4"/>
  <c r="J19" i="1" s="1"/>
  <c r="G25" i="4"/>
  <c r="J18" i="1" s="1"/>
  <c r="G23" i="4"/>
  <c r="J16" i="1" s="1"/>
  <c r="G17" i="4"/>
  <c r="J10" i="1" s="1"/>
  <c r="G15" i="4"/>
  <c r="J8" i="1" s="1"/>
  <c r="G14" i="4"/>
  <c r="H14" i="4" s="1"/>
  <c r="G11" i="4"/>
  <c r="H11" i="4" s="1"/>
  <c r="G9" i="4"/>
  <c r="J2" i="1" s="1"/>
  <c r="O40" i="3"/>
  <c r="F40" i="3"/>
  <c r="O41" i="3" s="1"/>
  <c r="G39" i="3"/>
  <c r="J8" i="3"/>
  <c r="J38" i="3" s="1"/>
  <c r="G38" i="3"/>
  <c r="G37" i="3"/>
  <c r="G36" i="3"/>
  <c r="J35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U8" i="3"/>
  <c r="D39" i="2"/>
  <c r="C39" i="2"/>
  <c r="I38" i="2"/>
  <c r="J38" i="2" s="1"/>
  <c r="I37" i="2"/>
  <c r="E31" i="1" s="1"/>
  <c r="I36" i="2"/>
  <c r="J36" i="2" s="1"/>
  <c r="F36" i="2"/>
  <c r="G36" i="2" s="1"/>
  <c r="I35" i="2"/>
  <c r="J35" i="2" s="1"/>
  <c r="F35" i="2"/>
  <c r="G35" i="2" s="1"/>
  <c r="I34" i="2"/>
  <c r="J34" i="2" s="1"/>
  <c r="F34" i="2"/>
  <c r="G34" i="2" s="1"/>
  <c r="I33" i="2"/>
  <c r="J33" i="2" s="1"/>
  <c r="F33" i="2"/>
  <c r="G33" i="2" s="1"/>
  <c r="I32" i="2"/>
  <c r="J32" i="2" s="1"/>
  <c r="F32" i="2"/>
  <c r="G32" i="2" s="1"/>
  <c r="I31" i="2"/>
  <c r="J31" i="2" s="1"/>
  <c r="F31" i="2"/>
  <c r="G31" i="2" s="1"/>
  <c r="I30" i="2"/>
  <c r="J30" i="2" s="1"/>
  <c r="F30" i="2"/>
  <c r="G30" i="2" s="1"/>
  <c r="I29" i="2"/>
  <c r="J29" i="2" s="1"/>
  <c r="F29" i="2"/>
  <c r="G29" i="2" s="1"/>
  <c r="I28" i="2"/>
  <c r="J28" i="2" s="1"/>
  <c r="F28" i="2"/>
  <c r="G28" i="2" s="1"/>
  <c r="I27" i="2"/>
  <c r="J27" i="2" s="1"/>
  <c r="F27" i="2"/>
  <c r="G27" i="2" s="1"/>
  <c r="I26" i="2"/>
  <c r="J26" i="2" s="1"/>
  <c r="F26" i="2"/>
  <c r="G26" i="2" s="1"/>
  <c r="I25" i="2"/>
  <c r="J25" i="2" s="1"/>
  <c r="F25" i="2"/>
  <c r="G25" i="2" s="1"/>
  <c r="I24" i="2"/>
  <c r="J24" i="2" s="1"/>
  <c r="F24" i="2"/>
  <c r="I23" i="2"/>
  <c r="J23" i="2" s="1"/>
  <c r="F23" i="2"/>
  <c r="I22" i="2"/>
  <c r="J22" i="2" s="1"/>
  <c r="F22" i="2"/>
  <c r="I21" i="2"/>
  <c r="J21" i="2" s="1"/>
  <c r="F21" i="2"/>
  <c r="G21" i="2" s="1"/>
  <c r="I20" i="2"/>
  <c r="J20" i="2" s="1"/>
  <c r="F20" i="2"/>
  <c r="G20" i="2" s="1"/>
  <c r="I19" i="2"/>
  <c r="J19" i="2" s="1"/>
  <c r="F19" i="2"/>
  <c r="G19" i="2" s="1"/>
  <c r="I18" i="2"/>
  <c r="J18" i="2" s="1"/>
  <c r="F18" i="2"/>
  <c r="G18" i="2" s="1"/>
  <c r="I17" i="2"/>
  <c r="J17" i="2" s="1"/>
  <c r="F17" i="2"/>
  <c r="G17" i="2" s="1"/>
  <c r="I16" i="2"/>
  <c r="J16" i="2" s="1"/>
  <c r="F16" i="2"/>
  <c r="I15" i="2"/>
  <c r="J15" i="2" s="1"/>
  <c r="F15" i="2"/>
  <c r="G15" i="2" s="1"/>
  <c r="I14" i="2"/>
  <c r="J14" i="2" s="1"/>
  <c r="F14" i="2"/>
  <c r="G14" i="2" s="1"/>
  <c r="I13" i="2"/>
  <c r="J13" i="2" s="1"/>
  <c r="F13" i="2"/>
  <c r="G13" i="2" s="1"/>
  <c r="I12" i="2"/>
  <c r="J12" i="2" s="1"/>
  <c r="F12" i="2"/>
  <c r="I11" i="2"/>
  <c r="J11" i="2" s="1"/>
  <c r="F11" i="2"/>
  <c r="G11" i="2" s="1"/>
  <c r="I10" i="2"/>
  <c r="J10" i="2" s="1"/>
  <c r="F10" i="2"/>
  <c r="G10" i="2" s="1"/>
  <c r="I9" i="2"/>
  <c r="J9" i="2" s="1"/>
  <c r="F9" i="2"/>
  <c r="G9" i="2" s="1"/>
  <c r="I8" i="2"/>
  <c r="F8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G12" i="4"/>
  <c r="J5" i="1" s="1"/>
  <c r="G20" i="4"/>
  <c r="J13" i="1" s="1"/>
  <c r="G13" i="4"/>
  <c r="J6" i="1" s="1"/>
  <c r="G21" i="4"/>
  <c r="J14" i="1" s="1"/>
  <c r="G29" i="4"/>
  <c r="J22" i="1" s="1"/>
  <c r="G27" i="4"/>
  <c r="J20" i="1" s="1"/>
  <c r="J34" i="3"/>
  <c r="J23" i="3"/>
  <c r="J9" i="3"/>
  <c r="J15" i="3"/>
  <c r="J17" i="3"/>
  <c r="K15" i="5" l="1"/>
  <c r="L8" i="1" s="1"/>
  <c r="K18" i="5"/>
  <c r="L18" i="5" s="1"/>
  <c r="K26" i="5"/>
  <c r="L26" i="5" s="1"/>
  <c r="J7" i="1"/>
  <c r="E10" i="1"/>
  <c r="E16" i="1"/>
  <c r="E18" i="1"/>
  <c r="E15" i="1"/>
  <c r="K11" i="5"/>
  <c r="L11" i="5" s="1"/>
  <c r="K27" i="5"/>
  <c r="L27" i="5" s="1"/>
  <c r="K9" i="5"/>
  <c r="L9" i="5" s="1"/>
  <c r="K25" i="5"/>
  <c r="L25" i="5" s="1"/>
  <c r="K38" i="5"/>
  <c r="L38" i="5" s="1"/>
  <c r="K31" i="5"/>
  <c r="L24" i="1" s="1"/>
  <c r="G16" i="2"/>
  <c r="K16" i="2" s="1"/>
  <c r="L16" i="2" s="1"/>
  <c r="K14" i="5"/>
  <c r="L14" i="5" s="1"/>
  <c r="K22" i="5"/>
  <c r="L22" i="5" s="1"/>
  <c r="K33" i="5"/>
  <c r="L33" i="5" s="1"/>
  <c r="K28" i="5"/>
  <c r="L21" i="1" s="1"/>
  <c r="K36" i="5"/>
  <c r="L29" i="1" s="1"/>
  <c r="K34" i="5"/>
  <c r="L34" i="5" s="1"/>
  <c r="K30" i="5"/>
  <c r="L30" i="5" s="1"/>
  <c r="K35" i="5"/>
  <c r="L35" i="5" s="1"/>
  <c r="H9" i="4"/>
  <c r="J16" i="3"/>
  <c r="J26" i="3"/>
  <c r="J19" i="3"/>
  <c r="J29" i="3"/>
  <c r="J14" i="3"/>
  <c r="J39" i="3"/>
  <c r="J20" i="3"/>
  <c r="J30" i="3"/>
  <c r="J24" i="3"/>
  <c r="J13" i="3"/>
  <c r="J31" i="3"/>
  <c r="J33" i="3"/>
  <c r="J36" i="3"/>
  <c r="J12" i="3"/>
  <c r="M8" i="3"/>
  <c r="J21" i="3"/>
  <c r="J11" i="3"/>
  <c r="J18" i="3"/>
  <c r="J32" i="3"/>
  <c r="J25" i="3"/>
  <c r="J10" i="3"/>
  <c r="P8" i="3"/>
  <c r="J22" i="3"/>
  <c r="J28" i="3"/>
  <c r="J27" i="3"/>
  <c r="E8" i="1"/>
  <c r="E11" i="1"/>
  <c r="E25" i="1"/>
  <c r="G22" i="2"/>
  <c r="K22" i="2" s="1"/>
  <c r="L22" i="2" s="1"/>
  <c r="M22" i="2" s="1"/>
  <c r="E29" i="1"/>
  <c r="D40" i="3"/>
  <c r="L4" i="1"/>
  <c r="K17" i="5"/>
  <c r="L10" i="1" s="1"/>
  <c r="K13" i="5"/>
  <c r="L6" i="1" s="1"/>
  <c r="K32" i="5"/>
  <c r="L25" i="1" s="1"/>
  <c r="K19" i="5"/>
  <c r="L19" i="5" s="1"/>
  <c r="K20" i="5"/>
  <c r="L20" i="5" s="1"/>
  <c r="K21" i="5"/>
  <c r="L14" i="1" s="1"/>
  <c r="K29" i="5"/>
  <c r="L29" i="5" s="1"/>
  <c r="K37" i="5"/>
  <c r="L37" i="5" s="1"/>
  <c r="K16" i="5"/>
  <c r="L9" i="1" s="1"/>
  <c r="I12" i="1"/>
  <c r="H26" i="4"/>
  <c r="J37" i="3"/>
  <c r="I39" i="2"/>
  <c r="K38" i="2"/>
  <c r="L38" i="2" s="1"/>
  <c r="M38" i="2" s="1"/>
  <c r="E6" i="1"/>
  <c r="E32" i="1"/>
  <c r="E17" i="1"/>
  <c r="K32" i="2"/>
  <c r="L32" i="2" s="1"/>
  <c r="M32" i="2" s="1"/>
  <c r="K35" i="2"/>
  <c r="L35" i="2" s="1"/>
  <c r="M35" i="2" s="1"/>
  <c r="E2" i="1"/>
  <c r="K28" i="2"/>
  <c r="L28" i="2" s="1"/>
  <c r="M28" i="2" s="1"/>
  <c r="G24" i="2"/>
  <c r="K24" i="2" s="1"/>
  <c r="L24" i="2" s="1"/>
  <c r="E23" i="1"/>
  <c r="G12" i="2"/>
  <c r="K12" i="2" s="1"/>
  <c r="L12" i="2" s="1"/>
  <c r="M12" i="2" s="1"/>
  <c r="E3" i="1"/>
  <c r="G23" i="2"/>
  <c r="K23" i="2" s="1"/>
  <c r="L23" i="2" s="1"/>
  <c r="E13" i="1"/>
  <c r="K11" i="2"/>
  <c r="L11" i="2" s="1"/>
  <c r="M11" i="2" s="1"/>
  <c r="E21" i="1"/>
  <c r="E27" i="1"/>
  <c r="K9" i="2"/>
  <c r="L9" i="2" s="1"/>
  <c r="M9" i="2" s="1"/>
  <c r="K17" i="2"/>
  <c r="L17" i="2" s="1"/>
  <c r="M17" i="2" s="1"/>
  <c r="G8" i="2"/>
  <c r="K26" i="2"/>
  <c r="L26" i="2" s="1"/>
  <c r="M26" i="2" s="1"/>
  <c r="K20" i="2"/>
  <c r="L20" i="2" s="1"/>
  <c r="M20" i="2" s="1"/>
  <c r="E19" i="1"/>
  <c r="F39" i="2"/>
  <c r="K12" i="5"/>
  <c r="L12" i="5" s="1"/>
  <c r="K23" i="5"/>
  <c r="L23" i="5" s="1"/>
  <c r="K39" i="5"/>
  <c r="L32" i="1" s="1"/>
  <c r="I41" i="5"/>
  <c r="L17" i="1"/>
  <c r="J40" i="5"/>
  <c r="L3" i="1"/>
  <c r="K33" i="1"/>
  <c r="H34" i="4"/>
  <c r="H31" i="4"/>
  <c r="H39" i="4"/>
  <c r="H30" i="4"/>
  <c r="H38" i="4"/>
  <c r="H29" i="4"/>
  <c r="H35" i="4"/>
  <c r="H37" i="4"/>
  <c r="H28" i="4"/>
  <c r="H36" i="4"/>
  <c r="H27" i="4"/>
  <c r="H33" i="4"/>
  <c r="J15" i="1"/>
  <c r="H22" i="4"/>
  <c r="J3" i="1"/>
  <c r="H10" i="4"/>
  <c r="G24" i="4"/>
  <c r="H25" i="4"/>
  <c r="H17" i="4"/>
  <c r="G16" i="4"/>
  <c r="I15" i="1"/>
  <c r="I3" i="1"/>
  <c r="H23" i="4"/>
  <c r="H15" i="4"/>
  <c r="F40" i="4"/>
  <c r="G18" i="4"/>
  <c r="H21" i="4"/>
  <c r="H13" i="4"/>
  <c r="J4" i="1"/>
  <c r="H20" i="4"/>
  <c r="H12" i="4"/>
  <c r="H19" i="4"/>
  <c r="G33" i="1"/>
  <c r="K34" i="2"/>
  <c r="L34" i="2" s="1"/>
  <c r="M34" i="2" s="1"/>
  <c r="E5" i="1"/>
  <c r="E12" i="1"/>
  <c r="E4" i="1"/>
  <c r="K14" i="2"/>
  <c r="L14" i="2" s="1"/>
  <c r="M14" i="2" s="1"/>
  <c r="K19" i="2"/>
  <c r="L19" i="2" s="1"/>
  <c r="M19" i="2" s="1"/>
  <c r="K21" i="2"/>
  <c r="L21" i="2" s="1"/>
  <c r="M21" i="2" s="1"/>
  <c r="K25" i="2"/>
  <c r="L25" i="2" s="1"/>
  <c r="K27" i="2"/>
  <c r="L27" i="2" s="1"/>
  <c r="M27" i="2" s="1"/>
  <c r="K29" i="2"/>
  <c r="L29" i="2" s="1"/>
  <c r="M29" i="2" s="1"/>
  <c r="J37" i="2"/>
  <c r="K37" i="2" s="1"/>
  <c r="L37" i="2" s="1"/>
  <c r="E7" i="1"/>
  <c r="J8" i="2"/>
  <c r="K10" i="2"/>
  <c r="L10" i="2" s="1"/>
  <c r="M10" i="2" s="1"/>
  <c r="K15" i="2"/>
  <c r="L15" i="2" s="1"/>
  <c r="M15" i="2" s="1"/>
  <c r="K30" i="2"/>
  <c r="L30" i="2" s="1"/>
  <c r="M30" i="2" s="1"/>
  <c r="E14" i="1"/>
  <c r="K33" i="2"/>
  <c r="L33" i="2" s="1"/>
  <c r="M33" i="2" s="1"/>
  <c r="E22" i="1"/>
  <c r="K13" i="2"/>
  <c r="L13" i="2" s="1"/>
  <c r="M13" i="2" s="1"/>
  <c r="K18" i="2"/>
  <c r="L18" i="2" s="1"/>
  <c r="M18" i="2" s="1"/>
  <c r="K36" i="2"/>
  <c r="L36" i="2" s="1"/>
  <c r="E30" i="1"/>
  <c r="E20" i="1"/>
  <c r="K31" i="2"/>
  <c r="L31" i="2" s="1"/>
  <c r="M31" i="2" s="1"/>
  <c r="E9" i="1"/>
  <c r="E26" i="1"/>
  <c r="E28" i="1"/>
  <c r="E24" i="1"/>
  <c r="N33" i="1"/>
  <c r="D14" i="4"/>
  <c r="D14" i="5" s="1"/>
  <c r="C40" i="3"/>
  <c r="M33" i="1"/>
  <c r="C10" i="4"/>
  <c r="C10" i="5" s="1"/>
  <c r="C40" i="5" s="1"/>
  <c r="D9" i="5"/>
  <c r="F18" i="1" l="1"/>
  <c r="L31" i="5"/>
  <c r="L15" i="5"/>
  <c r="L18" i="1"/>
  <c r="L11" i="1"/>
  <c r="L19" i="1"/>
  <c r="F10" i="1"/>
  <c r="L27" i="1"/>
  <c r="L36" i="5"/>
  <c r="L28" i="5"/>
  <c r="L15" i="1"/>
  <c r="L2" i="1"/>
  <c r="L31" i="1"/>
  <c r="L30" i="1"/>
  <c r="L20" i="1"/>
  <c r="L26" i="1"/>
  <c r="F19" i="1"/>
  <c r="F29" i="1"/>
  <c r="F22" i="1"/>
  <c r="F32" i="1"/>
  <c r="D40" i="4"/>
  <c r="D40" i="5"/>
  <c r="L13" i="5"/>
  <c r="L17" i="5"/>
  <c r="L7" i="1"/>
  <c r="L32" i="5"/>
  <c r="L23" i="1"/>
  <c r="L12" i="1"/>
  <c r="L5" i="1"/>
  <c r="L22" i="1"/>
  <c r="L28" i="1"/>
  <c r="L21" i="5"/>
  <c r="M38" i="3"/>
  <c r="M37" i="3"/>
  <c r="M19" i="3"/>
  <c r="M15" i="3"/>
  <c r="M17" i="3"/>
  <c r="M31" i="3"/>
  <c r="M36" i="3"/>
  <c r="M26" i="3"/>
  <c r="M20" i="3"/>
  <c r="M10" i="3"/>
  <c r="M29" i="3"/>
  <c r="M28" i="3"/>
  <c r="M25" i="3"/>
  <c r="M16" i="3"/>
  <c r="M32" i="3"/>
  <c r="M39" i="3"/>
  <c r="M23" i="3"/>
  <c r="M30" i="3"/>
  <c r="M13" i="3"/>
  <c r="M35" i="3"/>
  <c r="M22" i="3"/>
  <c r="M21" i="3"/>
  <c r="M12" i="3"/>
  <c r="M18" i="3"/>
  <c r="M14" i="3"/>
  <c r="M34" i="3"/>
  <c r="M24" i="3"/>
  <c r="M33" i="3"/>
  <c r="M11" i="3"/>
  <c r="M27" i="3"/>
  <c r="M9" i="3"/>
  <c r="P14" i="3"/>
  <c r="P34" i="3"/>
  <c r="P10" i="3"/>
  <c r="P35" i="3"/>
  <c r="P27" i="3"/>
  <c r="P38" i="3"/>
  <c r="P37" i="3"/>
  <c r="P19" i="3"/>
  <c r="P30" i="3"/>
  <c r="P26" i="3"/>
  <c r="Q26" i="3" s="1"/>
  <c r="P21" i="3"/>
  <c r="P15" i="3"/>
  <c r="P25" i="3"/>
  <c r="P17" i="3"/>
  <c r="P31" i="3"/>
  <c r="P18" i="3"/>
  <c r="P12" i="3"/>
  <c r="P29" i="3"/>
  <c r="P28" i="3"/>
  <c r="P16" i="3"/>
  <c r="P36" i="3"/>
  <c r="P9" i="3"/>
  <c r="P22" i="3"/>
  <c r="Q22" i="3" s="1"/>
  <c r="P39" i="3"/>
  <c r="P23" i="3"/>
  <c r="P13" i="3"/>
  <c r="P33" i="3"/>
  <c r="P32" i="3"/>
  <c r="P20" i="3"/>
  <c r="P11" i="3"/>
  <c r="Q11" i="3" s="1"/>
  <c r="P24" i="3"/>
  <c r="F30" i="1"/>
  <c r="M16" i="2"/>
  <c r="L16" i="5"/>
  <c r="L16" i="1"/>
  <c r="L13" i="1"/>
  <c r="F26" i="1"/>
  <c r="F11" i="1"/>
  <c r="F17" i="1"/>
  <c r="F9" i="1"/>
  <c r="M36" i="2"/>
  <c r="F23" i="1"/>
  <c r="F14" i="1"/>
  <c r="I41" i="2"/>
  <c r="F28" i="1"/>
  <c r="F13" i="1"/>
  <c r="F21" i="1"/>
  <c r="F16" i="1"/>
  <c r="F24" i="1"/>
  <c r="M25" i="2"/>
  <c r="F12" i="1"/>
  <c r="F3" i="1"/>
  <c r="F20" i="1"/>
  <c r="F25" i="1"/>
  <c r="F8" i="1"/>
  <c r="F27" i="1"/>
  <c r="F5" i="1"/>
  <c r="F6" i="1"/>
  <c r="M24" i="2"/>
  <c r="K8" i="2"/>
  <c r="L8" i="2" s="1"/>
  <c r="L39" i="2" s="1"/>
  <c r="L39" i="5"/>
  <c r="J9" i="1"/>
  <c r="H16" i="4"/>
  <c r="J17" i="1"/>
  <c r="H24" i="4"/>
  <c r="J11" i="1"/>
  <c r="H18" i="4"/>
  <c r="I33" i="1"/>
  <c r="M37" i="2"/>
  <c r="F31" i="1"/>
  <c r="F4" i="1"/>
  <c r="F7" i="1"/>
  <c r="F15" i="1"/>
  <c r="M23" i="2"/>
  <c r="E33" i="1"/>
  <c r="C40" i="4"/>
  <c r="Q10" i="3" l="1"/>
  <c r="Q20" i="3"/>
  <c r="Q32" i="3"/>
  <c r="Q21" i="3"/>
  <c r="H14" i="1" s="1"/>
  <c r="L33" i="1"/>
  <c r="Q18" i="3"/>
  <c r="H11" i="1" s="1"/>
  <c r="Q12" i="3"/>
  <c r="R12" i="3" s="1"/>
  <c r="Q36" i="3"/>
  <c r="R36" i="3" s="1"/>
  <c r="Q31" i="3"/>
  <c r="Q33" i="3"/>
  <c r="Q39" i="3"/>
  <c r="R39" i="3" s="1"/>
  <c r="Q13" i="3"/>
  <c r="R13" i="3" s="1"/>
  <c r="Q19" i="3"/>
  <c r="R19" i="3" s="1"/>
  <c r="Q30" i="3"/>
  <c r="H23" i="1" s="1"/>
  <c r="Q14" i="3"/>
  <c r="Q37" i="3"/>
  <c r="H30" i="1" s="1"/>
  <c r="L40" i="5"/>
  <c r="Q9" i="3"/>
  <c r="Q29" i="3"/>
  <c r="H22" i="1" s="1"/>
  <c r="Q28" i="3"/>
  <c r="R28" i="3" s="1"/>
  <c r="R11" i="3"/>
  <c r="H4" i="1"/>
  <c r="R22" i="3"/>
  <c r="H15" i="1"/>
  <c r="R31" i="3"/>
  <c r="H24" i="1"/>
  <c r="R32" i="3"/>
  <c r="H25" i="1"/>
  <c r="R20" i="3"/>
  <c r="H13" i="1"/>
  <c r="R21" i="3"/>
  <c r="R33" i="3"/>
  <c r="H26" i="1"/>
  <c r="Q27" i="3"/>
  <c r="Q16" i="3"/>
  <c r="Q25" i="3"/>
  <c r="Q17" i="3"/>
  <c r="H32" i="1"/>
  <c r="Q35" i="3"/>
  <c r="Q15" i="3"/>
  <c r="H19" i="1"/>
  <c r="R26" i="3"/>
  <c r="R10" i="3"/>
  <c r="H3" i="1"/>
  <c r="Q24" i="3"/>
  <c r="Q34" i="3"/>
  <c r="R9" i="3"/>
  <c r="H2" i="1"/>
  <c r="Q23" i="3"/>
  <c r="Q38" i="3"/>
  <c r="H40" i="4"/>
  <c r="M8" i="2"/>
  <c r="M39" i="2" s="1"/>
  <c r="F2" i="1"/>
  <c r="F33" i="1" s="1"/>
  <c r="R30" i="3" l="1"/>
  <c r="R18" i="3"/>
  <c r="H5" i="1"/>
  <c r="H29" i="1"/>
  <c r="H21" i="1"/>
  <c r="R29" i="3"/>
  <c r="R37" i="3"/>
  <c r="H6" i="1"/>
  <c r="H12" i="1"/>
  <c r="R14" i="3"/>
  <c r="H7" i="1"/>
  <c r="R23" i="3"/>
  <c r="H16" i="1"/>
  <c r="H10" i="1"/>
  <c r="R17" i="3"/>
  <c r="R38" i="3"/>
  <c r="H31" i="1"/>
  <c r="R25" i="3"/>
  <c r="H18" i="1"/>
  <c r="H20" i="1"/>
  <c r="R27" i="3"/>
  <c r="R15" i="3"/>
  <c r="H8" i="1"/>
  <c r="H28" i="1"/>
  <c r="R35" i="3"/>
  <c r="R34" i="3"/>
  <c r="H27" i="1"/>
  <c r="R16" i="3"/>
  <c r="H9" i="1"/>
  <c r="R24" i="3"/>
  <c r="H17" i="1"/>
  <c r="R40" i="3" l="1"/>
  <c r="H33" i="1"/>
</calcChain>
</file>

<file path=xl/sharedStrings.xml><?xml version="1.0" encoding="utf-8"?>
<sst xmlns="http://schemas.openxmlformats.org/spreadsheetml/2006/main" count="118" uniqueCount="60">
  <si>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</si>
  <si>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</si>
  <si>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</si>
  <si>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</si>
  <si>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</si>
  <si>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</si>
  <si>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</si>
  <si>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</si>
  <si>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</si>
  <si>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</si>
  <si>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</si>
  <si>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</si>
  <si>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</si>
  <si>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</si>
  <si>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</si>
  <si>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</si>
  <si>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</si>
  <si>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</si>
  <si>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</si>
  <si>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</si>
  <si>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</si>
  <si>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</si>
  <si>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</si>
  <si>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</si>
  <si>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</si>
  <si>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</si>
  <si>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</si>
  <si>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</si>
  <si>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</si>
  <si>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</si>
  <si>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</si>
  <si>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</si>
  <si>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</si>
  <si>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</si>
  <si>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</si>
  <si>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</si>
  <si>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</si>
  <si>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</si>
  <si>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</si>
  <si>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</si>
  <si>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</si>
  <si>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</si>
  <si>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</si>
  <si>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</si>
  <si>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kg</t>
  </si>
  <si>
    <t xml:space="preserve">Daily Fuel Consumption 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</si>
  <si>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</si>
  <si>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</si>
  <si>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</si>
  <si>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</si>
  <si>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</si>
  <si>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</si>
  <si>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</si>
  <si>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</si>
  <si>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</si>
  <si>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</si>
  <si>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</si>
  <si>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</si>
  <si>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</si>
  <si>
    <t xml:space="preserve">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</si>
</sst>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* #,##0_);_(* \(#,##0\);_(* &quot;-&quot;??_);_(@_)"/>
    <numFmt numFmtId="169" formatCode="[$$-409]#,##0.00"/>
    <numFmt numFmtId="170" formatCode="[$IDR]\ #,##0_);\([$IDR]\ #,##0\)"/>
    <numFmt numFmtId="171" formatCode="_(* #,##0.00_);_(* \(#,##0.00\);_(* &quot;-&quot;_);_(@_)"/>
    <numFmt numFmtId="172" formatCode="&quot;$&quot;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/>
    <xf numFmtId="0" fontId="0" fillId="3" borderId="0" xfId="0" applyFill="1"/>
    <xf numFmtId="0" fontId="0" fillId="3" borderId="0" xfId="0" applyFill="1" applyBorder="1"/>
    <xf numFmtId="0" fontId="0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8" fontId="1" fillId="0" borderId="1" xfId="4" applyNumberFormat="1" applyFont="1" applyBorder="1"/>
    <xf numFmtId="43" fontId="11" fillId="0" borderId="1" xfId="1" applyFont="1" applyFill="1" applyBorder="1" applyAlignment="1">
      <alignment horizontal="center" shrinkToFit="1"/>
    </xf>
    <xf numFmtId="168" fontId="11" fillId="0" borderId="1" xfId="1" applyNumberFormat="1" applyFont="1" applyFill="1" applyBorder="1" applyAlignment="1">
      <alignment horizontal="center" shrinkToFit="1"/>
    </xf>
    <xf numFmtId="43" fontId="10" fillId="0" borderId="1" xfId="1" applyFont="1" applyFill="1" applyBorder="1" applyAlignment="1">
      <alignment horizontal="center" shrinkToFit="1"/>
    </xf>
    <xf numFmtId="43" fontId="10" fillId="0" borderId="1" xfId="0" applyNumberFormat="1" applyFont="1" applyFill="1" applyBorder="1" applyAlignment="1">
      <alignment shrinkToFit="1"/>
    </xf>
    <xf numFmtId="169" fontId="0" fillId="0" borderId="1" xfId="0" applyNumberFormat="1" applyBorder="1"/>
    <xf numFmtId="169" fontId="0" fillId="0" borderId="3" xfId="0" applyNumberFormat="1" applyBorder="1"/>
    <xf numFmtId="41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70" fontId="9" fillId="0" borderId="0" xfId="2" applyNumberFormat="1" applyFont="1" applyFill="1" applyBorder="1" applyAlignment="1">
      <alignment shrinkToFit="1"/>
    </xf>
    <xf numFmtId="169" fontId="12" fillId="0" borderId="0" xfId="2" applyNumberFormat="1" applyFont="1" applyFill="1" applyBorder="1" applyAlignment="1">
      <alignment shrinkToFit="1"/>
    </xf>
    <xf numFmtId="169" fontId="0" fillId="0" borderId="0" xfId="0" applyNumberFormat="1" applyBorder="1"/>
    <xf numFmtId="44" fontId="0" fillId="0" borderId="0" xfId="3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1" fillId="0" borderId="0" xfId="0" applyFont="1" applyFill="1" applyBorder="1" applyAlignment="1">
      <alignment horizontal="center" shrinkToFit="1"/>
    </xf>
    <xf numFmtId="43" fontId="10" fillId="0" borderId="0" xfId="1" applyFont="1" applyFill="1" applyBorder="1" applyAlignment="1">
      <alignment horizontal="center" shrinkToFit="1"/>
    </xf>
    <xf numFmtId="168" fontId="10" fillId="0" borderId="0" xfId="1" applyNumberFormat="1" applyFont="1" applyFill="1" applyBorder="1" applyAlignment="1">
      <alignment horizontal="center" shrinkToFit="1"/>
    </xf>
    <xf numFmtId="43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41" fontId="13" fillId="0" borderId="1" xfId="0" applyNumberFormat="1" applyFont="1" applyBorder="1" applyAlignment="1">
      <alignment horizontal="center"/>
    </xf>
    <xf numFmtId="0" fontId="11" fillId="0" borderId="1" xfId="0" applyFont="1" applyFill="1" applyBorder="1" applyAlignment="1">
      <alignment horizontal="center" shrinkToFit="1"/>
    </xf>
    <xf numFmtId="168" fontId="10" fillId="0" borderId="1" xfId="1" applyNumberFormat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41" fontId="11" fillId="0" borderId="1" xfId="2" applyFont="1" applyFill="1" applyBorder="1" applyAlignment="1">
      <alignment horizontal="center" vertical="center" shrinkToFit="1"/>
    </xf>
    <xf numFmtId="166" fontId="11" fillId="0" borderId="1" xfId="1" applyNumberFormat="1" applyFont="1" applyFill="1" applyBorder="1" applyAlignment="1">
      <alignment horizontal="center" shrinkToFit="1"/>
    </xf>
    <xf numFmtId="41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Fill="1" applyBorder="1" applyAlignment="1">
      <alignment horizontal="center" shrinkToFit="1"/>
    </xf>
    <xf numFmtId="43" fontId="11" fillId="0" borderId="0" xfId="1" applyFont="1" applyFill="1" applyBorder="1" applyAlignment="1">
      <alignment horizontal="center" shrinkToFit="1"/>
    </xf>
    <xf numFmtId="168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165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8" fontId="7" fillId="0" borderId="0" xfId="1" applyNumberFormat="1" applyFont="1" applyAlignment="1">
      <alignment vertical="center"/>
    </xf>
    <xf numFmtId="167" fontId="0" fillId="0" borderId="0" xfId="0" applyNumberFormat="1" applyAlignment="1">
      <alignment horizontal="center"/>
    </xf>
    <xf numFmtId="168" fontId="0" fillId="0" borderId="0" xfId="1" applyNumberFormat="1" applyFont="1" applyAlignment="1">
      <alignment horizontal="center"/>
    </xf>
    <xf numFmtId="168" fontId="10" fillId="0" borderId="0" xfId="1" applyNumberFormat="1" applyFont="1" applyFill="1" applyBorder="1" applyAlignment="1">
      <alignment horizontal="center" vertical="center" shrinkToFit="1"/>
    </xf>
    <xf numFmtId="43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3" fontId="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43" fontId="13" fillId="0" borderId="1" xfId="1" applyFont="1" applyBorder="1"/>
    <xf numFmtId="0" fontId="14" fillId="0" borderId="1" xfId="0" applyFont="1" applyBorder="1"/>
    <xf numFmtId="172" fontId="9" fillId="0" borderId="0" xfId="2" applyNumberFormat="1" applyFont="1" applyFill="1" applyBorder="1" applyAlignment="1">
      <alignment shrinkToFit="1"/>
    </xf>
    <xf numFmtId="43" fontId="9" fillId="0" borderId="0" xfId="1" applyFont="1" applyFill="1" applyBorder="1" applyAlignment="1">
      <alignment shrinkToFit="1"/>
    </xf>
    <xf numFmtId="43" fontId="7" fillId="0" borderId="0" xfId="1" applyFont="1" applyAlignment="1">
      <alignment vertical="center"/>
    </xf>
    <xf numFmtId="43" fontId="0" fillId="0" borderId="0" xfId="1" applyFont="1" applyAlignment="1">
      <alignment horizontal="center" vertical="center"/>
    </xf>
    <xf numFmtId="172" fontId="0" fillId="0" borderId="1" xfId="0" applyNumberFormat="1" applyBorder="1"/>
    <xf numFmtId="168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171" fontId="11" fillId="3" borderId="6" xfId="2" applyNumberFormat="1" applyFont="1" applyFill="1" applyBorder="1" applyAlignment="1">
      <alignment horizontal="center" vertical="center" shrinkToFit="1"/>
    </xf>
    <xf numFmtId="171" fontId="11" fillId="3" borderId="1" xfId="0" applyNumberFormat="1" applyFont="1" applyFill="1" applyBorder="1" applyAlignment="1">
      <alignment horizontal="center" shrinkToFit="1"/>
    </xf>
    <xf numFmtId="0" fontId="11" fillId="0" borderId="1" xfId="0" applyFont="1" applyFill="1" applyBorder="1" applyAlignment="1">
      <alignment horizontal="center" vertical="center" shrinkToFit="1"/>
    </xf>
    <xf numFmtId="2" fontId="11" fillId="0" borderId="1" xfId="0" applyNumberFormat="1" applyFont="1" applyFill="1" applyBorder="1" applyAlignment="1">
      <alignment horizontal="center" vertical="center" shrinkToFit="1"/>
    </xf>
    <xf numFmtId="1" fontId="0" fillId="0" borderId="0" xfId="0" applyNumberFormat="1"/>
    <xf numFmtId="164" fontId="11" fillId="0" borderId="1" xfId="1" applyNumberFormat="1" applyFont="1" applyFill="1" applyBorder="1" applyAlignment="1">
      <alignment horizontal="center" shrinkToFit="1"/>
    </xf>
    <xf numFmtId="172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165" fontId="15" fillId="0" borderId="0" xfId="0" applyNumberFormat="1" applyFont="1" applyAlignment="1"/>
    <xf numFmtId="165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8" fontId="16" fillId="0" borderId="0" xfId="1" applyNumberFormat="1" applyFont="1" applyFill="1" applyBorder="1" applyAlignment="1">
      <alignment horizontal="center" shrinkToFit="1"/>
    </xf>
    <xf numFmtId="166" fontId="8" fillId="0" borderId="0" xfId="2" applyNumberFormat="1" applyFont="1" applyFill="1" applyBorder="1" applyAlignment="1">
      <alignment shrinkToFit="1"/>
    </xf>
    <xf numFmtId="0" fontId="0" fillId="0" borderId="0" xfId="1" applyNumberFormat="1" applyFont="1"/>
    <xf numFmtId="4" fontId="11" fillId="0" borderId="1" xfId="0" applyNumberFormat="1" applyFont="1" applyFill="1" applyBorder="1" applyAlignment="1">
      <alignment horizontal="center" vertical="center" shrinkToFit="1"/>
    </xf>
    <xf numFmtId="167" fontId="10" fillId="0" borderId="1" xfId="1" applyNumberFormat="1" applyFont="1" applyFill="1" applyBorder="1" applyAlignment="1">
      <alignment horizontal="center" shrinkToFit="1"/>
    </xf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43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</cellXfs>
  <cellStyles count="5">
    <cellStyle name="Comma" xfId="1" builtinId="3"/>
    <cellStyle name="Comma [0]" xfId="2" builtinId="6"/>
    <cellStyle name="Comma 4" xfId="4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:C32"/>
    </sheetView>
  </sheetViews>
  <sheetFormatPr defaultRowHeight="15" x14ac:dyDescent="0.25"/>
  <cols>
    <col min="1" max="1" width="12.7109375" bestFit="1" customWidth="1"/>
    <col min="2" max="2" width="4.28515625" bestFit="1" customWidth="1"/>
    <col min="3" max="3" width="7" bestFit="1" customWidth="1"/>
    <col min="4" max="4" width="5" bestFit="1" customWidth="1"/>
    <col min="5" max="5" width="10.7109375" customWidth="1"/>
    <col min="6" max="6" width="12.140625" customWidth="1"/>
    <col min="7" max="7" width="8.42578125" bestFit="1" customWidth="1"/>
    <col min="8" max="8" width="11.5703125" bestFit="1" customWidth="1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x14ac:dyDescent="0.25">
      <c r="A2" s="6" t="s">
        <v>14</v>
      </c>
      <c r="B2" s="7">
        <v>1</v>
      </c>
      <c r="C2" s="8">
        <v>9</v>
      </c>
      <c r="D2" s="7">
        <v>2020</v>
      </c>
      <c r="E2" s="9">
        <f>Electricity!F8+Electricity!I8</f>
        <v>6120</v>
      </c>
      <c r="F2" s="10">
        <f>Electricity!L8/TOTAL!E2</f>
        <v>1232.1096405228759</v>
      </c>
      <c r="G2" s="9">
        <f>Gas!F9+Gas!I9+Gas!L9+Gas!O9</f>
        <v>42.490437158469945</v>
      </c>
      <c r="H2" s="10">
        <f>Gas!Q9/TOTAL!G2</f>
        <v>10630</v>
      </c>
      <c r="I2" s="9">
        <f>'Fuel Diesel'!F9</f>
        <v>0</v>
      </c>
      <c r="J2" s="11" t="e">
        <f>'Fuel Diesel'!G9/'Fuel Diesel'!F9</f>
        <v>#DIV/0!</v>
      </c>
      <c r="K2" s="9">
        <f>Water!E9+Water!G9+Water!I9</f>
        <v>122</v>
      </c>
      <c r="L2" s="10">
        <f>Water!K9/TOTAL!K2</f>
        <v>4000</v>
      </c>
      <c r="M2" s="9">
        <f>Electricity!C8</f>
        <v>7</v>
      </c>
      <c r="N2" s="9">
        <f>Electricity!D8</f>
        <v>19</v>
      </c>
    </row>
    <row r="3" spans="1:14" x14ac:dyDescent="0.25">
      <c r="A3" s="6" t="s">
        <v>14</v>
      </c>
      <c r="B3" s="7">
        <f>B2+1</f>
        <v>2</v>
      </c>
      <c r="C3" s="8">
        <v>9</v>
      </c>
      <c r="D3" s="7">
        <v>2020</v>
      </c>
      <c r="E3" s="9">
        <f>Electricity!F9+Electricity!I9</f>
        <v>6280.0000000000009</v>
      </c>
      <c r="F3" s="10">
        <f>Electricity!L9/TOTAL!E3</f>
        <v>1229.7386942675159</v>
      </c>
      <c r="G3" s="9">
        <f>Gas!F10+Gas!I10+Gas!L10+Gas!O10</f>
        <v>53.672131147540988</v>
      </c>
      <c r="H3" s="10">
        <f>Gas!Q10/TOTAL!G3</f>
        <v>10630</v>
      </c>
      <c r="I3" s="9">
        <f>'Fuel Diesel'!F10</f>
        <v>0</v>
      </c>
      <c r="J3" s="11" t="e">
        <f>'Fuel Diesel'!G10/'Fuel Diesel'!F10</f>
        <v>#DIV/0!</v>
      </c>
      <c r="K3" s="9">
        <f>Water!E10+Water!G10+Water!I10</f>
        <v>109</v>
      </c>
      <c r="L3" s="10">
        <f>Water!K10/TOTAL!K3</f>
        <v>4000</v>
      </c>
      <c r="M3" s="9">
        <f>Electricity!C9</f>
        <v>5</v>
      </c>
      <c r="N3" s="9">
        <f>Electricity!D9</f>
        <v>24</v>
      </c>
    </row>
    <row r="4" spans="1:14" x14ac:dyDescent="0.25">
      <c r="A4" s="6" t="s">
        <v>14</v>
      </c>
      <c r="B4" s="7">
        <f t="shared" ref="B4:B30" si="0">B3+1</f>
        <v>3</v>
      </c>
      <c r="C4" s="8">
        <v>9</v>
      </c>
      <c r="D4" s="7">
        <v>2020</v>
      </c>
      <c r="E4" s="9">
        <f>Electricity!F10+Electricity!I10</f>
        <v>5780.0000000000018</v>
      </c>
      <c r="F4" s="10">
        <f>Electricity!L10/TOTAL!E4</f>
        <v>1231.6717128027678</v>
      </c>
      <c r="G4" s="9">
        <f>Gas!F11+Gas!I11+Gas!L11+Gas!O11</f>
        <v>46.963114754098363</v>
      </c>
      <c r="H4" s="10">
        <f>Gas!Q11/TOTAL!G4</f>
        <v>10630</v>
      </c>
      <c r="I4" s="9">
        <f>'Fuel Diesel'!F11</f>
        <v>0</v>
      </c>
      <c r="J4" s="11" t="e">
        <f>'Fuel Diesel'!G11/'Fuel Diesel'!F11</f>
        <v>#DIV/0!</v>
      </c>
      <c r="K4" s="9">
        <f>Water!E11+Water!G11+Water!I11</f>
        <v>106</v>
      </c>
      <c r="L4" s="10">
        <f>Water!K11/TOTAL!K4</f>
        <v>4000</v>
      </c>
      <c r="M4" s="9">
        <f>Electricity!C10</f>
        <v>2</v>
      </c>
      <c r="N4" s="9">
        <f>Electricity!D10</f>
        <v>21</v>
      </c>
    </row>
    <row r="5" spans="1:14" x14ac:dyDescent="0.25">
      <c r="A5" s="6" t="s">
        <v>14</v>
      </c>
      <c r="B5" s="7">
        <f t="shared" si="0"/>
        <v>4</v>
      </c>
      <c r="C5" s="8">
        <v>9</v>
      </c>
      <c r="D5" s="7">
        <v>2020</v>
      </c>
      <c r="E5" s="9">
        <f>Electricity!F11+Electricity!I11</f>
        <v>6039.9999999999918</v>
      </c>
      <c r="F5" s="10">
        <f>Electricity!L11/TOTAL!E5</f>
        <v>1233.3422185430466</v>
      </c>
      <c r="G5" s="9">
        <f>Gas!F12+Gas!I12+Gas!L12+Gas!O12</f>
        <v>24.599726775956285</v>
      </c>
      <c r="H5" s="10">
        <f>Gas!Q12/TOTAL!G5</f>
        <v>10630</v>
      </c>
      <c r="I5" s="9">
        <f>'Fuel Diesel'!F12</f>
        <v>0</v>
      </c>
      <c r="J5" s="11" t="e">
        <f>'Fuel Diesel'!G12/'Fuel Diesel'!F12</f>
        <v>#DIV/0!</v>
      </c>
      <c r="K5" s="9">
        <f>Water!E12+Water!G12+Water!I12</f>
        <v>111</v>
      </c>
      <c r="L5" s="10">
        <f>Water!K12/TOTAL!K5</f>
        <v>4000</v>
      </c>
      <c r="M5" s="9">
        <f>Electricity!C11</f>
        <v>7</v>
      </c>
      <c r="N5" s="9">
        <f>Electricity!D11</f>
        <v>11</v>
      </c>
    </row>
    <row r="6" spans="1:14" x14ac:dyDescent="0.25">
      <c r="A6" s="6" t="s">
        <v>14</v>
      </c>
      <c r="B6" s="7">
        <f t="shared" si="0"/>
        <v>5</v>
      </c>
      <c r="C6" s="8">
        <v>9</v>
      </c>
      <c r="D6" s="7">
        <v>2020</v>
      </c>
      <c r="E6" s="9">
        <f>Electricity!F12+Electricity!I12</f>
        <v>6120.0000000000045</v>
      </c>
      <c r="F6" s="10">
        <f>Electricity!L12/TOTAL!E6</f>
        <v>1232.1096405228759</v>
      </c>
      <c r="G6" s="9">
        <f>Gas!F13+Gas!I13+Gas!L13+Gas!O13</f>
        <v>53.672131147540988</v>
      </c>
      <c r="H6" s="10">
        <f>Gas!Q13/TOTAL!G6</f>
        <v>10630</v>
      </c>
      <c r="I6" s="9">
        <f>'Fuel Diesel'!F13</f>
        <v>0</v>
      </c>
      <c r="J6" s="11" t="e">
        <f>'Fuel Diesel'!G13/'Fuel Diesel'!F13</f>
        <v>#DIV/0!</v>
      </c>
      <c r="K6" s="9">
        <f>Water!E13+Water!G13+Water!I13</f>
        <v>123</v>
      </c>
      <c r="L6" s="10">
        <f>Water!K13/TOTAL!K6</f>
        <v>4000</v>
      </c>
      <c r="M6" s="9">
        <f>Electricity!C12</f>
        <v>7</v>
      </c>
      <c r="N6" s="9">
        <f>Electricity!D12</f>
        <v>24</v>
      </c>
    </row>
    <row r="7" spans="1:14" x14ac:dyDescent="0.25">
      <c r="A7" s="6" t="s">
        <v>14</v>
      </c>
      <c r="B7" s="7">
        <f t="shared" si="0"/>
        <v>6</v>
      </c>
      <c r="C7" s="8">
        <v>9</v>
      </c>
      <c r="D7" s="7">
        <v>2020</v>
      </c>
      <c r="E7" s="9">
        <f>Electricity!F13+Electricity!I13</f>
        <v>6020.0000000000109</v>
      </c>
      <c r="F7" s="10">
        <f>Electricity!L13/TOTAL!E7</f>
        <v>1239.3318106312292</v>
      </c>
      <c r="G7" s="9">
        <f>Gas!F14+Gas!I14+Gas!L14+Gas!O14</f>
        <v>55.908469945355193</v>
      </c>
      <c r="H7" s="10">
        <f>Gas!Q14/TOTAL!G7</f>
        <v>10629.999999999998</v>
      </c>
      <c r="I7" s="9">
        <f>'Fuel Diesel'!F14</f>
        <v>0</v>
      </c>
      <c r="J7" s="11" t="e">
        <f>'Fuel Diesel'!G14/'Fuel Diesel'!F14</f>
        <v>#DIV/0!</v>
      </c>
      <c r="K7" s="9">
        <f>Water!E14+Water!G14+Water!I14</f>
        <v>123</v>
      </c>
      <c r="L7" s="10">
        <f>Water!K14/TOTAL!K7</f>
        <v>4000</v>
      </c>
      <c r="M7" s="9">
        <f>Electricity!C13</f>
        <v>6</v>
      </c>
      <c r="N7" s="9">
        <f>Electricity!D13</f>
        <v>25</v>
      </c>
    </row>
    <row r="8" spans="1:14" x14ac:dyDescent="0.25">
      <c r="A8" s="6" t="s">
        <v>14</v>
      </c>
      <c r="B8" s="7">
        <f t="shared" si="0"/>
        <v>7</v>
      </c>
      <c r="C8" s="8">
        <v>9</v>
      </c>
      <c r="D8" s="7">
        <v>2020</v>
      </c>
      <c r="E8" s="9">
        <f>Electricity!F14+Electricity!I14</f>
        <v>6079.9999999999836</v>
      </c>
      <c r="F8" s="10">
        <f>Electricity!L14/TOTAL!E8</f>
        <v>1227.1015625000002</v>
      </c>
      <c r="G8" s="9">
        <f>Gas!F15+Gas!I15+Gas!L15+Gas!O15</f>
        <v>38.017759562841533</v>
      </c>
      <c r="H8" s="10">
        <f>Gas!Q15/TOTAL!G8</f>
        <v>10630</v>
      </c>
      <c r="I8" s="9">
        <f>'Fuel Diesel'!F15</f>
        <v>49</v>
      </c>
      <c r="J8" s="11">
        <f>'Fuel Diesel'!G15/'Fuel Diesel'!F15</f>
        <v>10700</v>
      </c>
      <c r="K8" s="9">
        <f>Water!E15+Water!G15+Water!I15</f>
        <v>141</v>
      </c>
      <c r="L8" s="10">
        <f>Water!K15/TOTAL!K8</f>
        <v>4000</v>
      </c>
      <c r="M8" s="9">
        <f>Electricity!C14</f>
        <v>2</v>
      </c>
      <c r="N8" s="9">
        <f>Electricity!D14</f>
        <v>17</v>
      </c>
    </row>
    <row r="9" spans="1:14" x14ac:dyDescent="0.25">
      <c r="A9" s="6" t="s">
        <v>14</v>
      </c>
      <c r="B9" s="7">
        <f t="shared" si="0"/>
        <v>8</v>
      </c>
      <c r="C9" s="8">
        <v>9</v>
      </c>
      <c r="D9" s="7">
        <v>2020</v>
      </c>
      <c r="E9" s="9">
        <f>Electricity!F15+Electricity!I15</f>
        <v>5739.9999999999945</v>
      </c>
      <c r="F9" s="10">
        <f>Electricity!L15/TOTAL!E9</f>
        <v>1236.2859756097569</v>
      </c>
      <c r="G9" s="9">
        <f>Gas!F16+Gas!I16+Gas!L16+Gas!O16</f>
        <v>13.418032786885247</v>
      </c>
      <c r="H9" s="10">
        <f>Gas!Q16/TOTAL!G9</f>
        <v>10630</v>
      </c>
      <c r="I9" s="9">
        <f>'Fuel Diesel'!F16</f>
        <v>0</v>
      </c>
      <c r="J9" s="11" t="e">
        <f>'Fuel Diesel'!G16/'Fuel Diesel'!F16</f>
        <v>#DIV/0!</v>
      </c>
      <c r="K9" s="9">
        <f>Water!E16+Water!G16+Water!I16</f>
        <v>172</v>
      </c>
      <c r="L9" s="10">
        <f>Water!K16/TOTAL!K9</f>
        <v>4000</v>
      </c>
      <c r="M9" s="9">
        <f>Electricity!C15</f>
        <v>2</v>
      </c>
      <c r="N9" s="9">
        <f>Electricity!D15</f>
        <v>6</v>
      </c>
    </row>
    <row r="10" spans="1:14" x14ac:dyDescent="0.25">
      <c r="A10" s="6" t="s">
        <v>14</v>
      </c>
      <c r="B10" s="7">
        <f t="shared" si="0"/>
        <v>9</v>
      </c>
      <c r="C10" s="8">
        <v>9</v>
      </c>
      <c r="D10" s="7">
        <v>2020</v>
      </c>
      <c r="E10" s="9">
        <f>Electricity!F16+Electricity!I16</f>
        <v>6080.0000000000127</v>
      </c>
      <c r="F10" s="10">
        <f>Electricity!L16/TOTAL!E10</f>
        <v>1227.1015624999995</v>
      </c>
      <c r="G10" s="9">
        <f>Gas!F17+Gas!I17+Gas!L17+Gas!O17</f>
        <v>29.072404371584696</v>
      </c>
      <c r="H10" s="10">
        <f>Gas!Q17/TOTAL!G10</f>
        <v>10630</v>
      </c>
      <c r="I10" s="9">
        <f>'Fuel Diesel'!F17</f>
        <v>192</v>
      </c>
      <c r="J10" s="11">
        <f>'Fuel Diesel'!G17/'Fuel Diesel'!F17</f>
        <v>10700</v>
      </c>
      <c r="K10" s="9">
        <f>Water!E17+Water!G17+Water!I17</f>
        <v>138</v>
      </c>
      <c r="L10" s="10">
        <f>Water!K17/TOTAL!K10</f>
        <v>4000</v>
      </c>
      <c r="M10" s="9">
        <f>Electricity!C16</f>
        <v>1</v>
      </c>
      <c r="N10" s="9">
        <f>Electricity!D16</f>
        <v>13</v>
      </c>
    </row>
    <row r="11" spans="1:14" x14ac:dyDescent="0.25">
      <c r="A11" s="6" t="s">
        <v>14</v>
      </c>
      <c r="B11" s="7">
        <f t="shared" si="0"/>
        <v>10</v>
      </c>
      <c r="C11" s="8">
        <v>9</v>
      </c>
      <c r="D11" s="7">
        <v>2020</v>
      </c>
      <c r="E11" s="9">
        <f>Electricity!F17+Electricity!I17</f>
        <v>4740.0000000000018</v>
      </c>
      <c r="F11" s="10">
        <f>Electricity!L17/TOTAL!E11</f>
        <v>1235.1723628691991</v>
      </c>
      <c r="G11" s="9">
        <f>Gas!F18+Gas!I18+Gas!L18+Gas!O18</f>
        <v>33.545081967213115</v>
      </c>
      <c r="H11" s="10">
        <f>Gas!Q18/TOTAL!G11</f>
        <v>10630.000000000002</v>
      </c>
      <c r="I11" s="9">
        <f>'Fuel Diesel'!F18</f>
        <v>0</v>
      </c>
      <c r="J11" s="11" t="e">
        <f>'Fuel Diesel'!G18/'Fuel Diesel'!F18</f>
        <v>#DIV/0!</v>
      </c>
      <c r="K11" s="9">
        <f>Water!E18+Water!G18+Water!I18</f>
        <v>111</v>
      </c>
      <c r="L11" s="10">
        <f>Water!K18/TOTAL!K11</f>
        <v>4000</v>
      </c>
      <c r="M11" s="9">
        <f>Electricity!C17</f>
        <v>2</v>
      </c>
      <c r="N11" s="9">
        <f>Electricity!D17</f>
        <v>15</v>
      </c>
    </row>
    <row r="12" spans="1:14" x14ac:dyDescent="0.25">
      <c r="A12" s="6" t="s">
        <v>14</v>
      </c>
      <c r="B12" s="7">
        <f t="shared" si="0"/>
        <v>11</v>
      </c>
      <c r="C12" s="8">
        <v>9</v>
      </c>
      <c r="D12" s="7">
        <v>2020</v>
      </c>
      <c r="E12" s="9">
        <f>Electricity!F18+Electricity!I18</f>
        <v>4619.9999999999982</v>
      </c>
      <c r="F12" s="10">
        <f>Electricity!L18/TOTAL!E12</f>
        <v>1235.2035714285707</v>
      </c>
      <c r="G12" s="9">
        <f>Gas!F19+Gas!I19+Gas!L19+Gas!O19</f>
        <v>15.654371584699454</v>
      </c>
      <c r="H12" s="10">
        <f>Gas!Q19/TOTAL!G12</f>
        <v>10630</v>
      </c>
      <c r="I12" s="9">
        <f>'Fuel Diesel'!F19</f>
        <v>0</v>
      </c>
      <c r="J12" s="11" t="e">
        <f>'Fuel Diesel'!G19/'Fuel Diesel'!F19</f>
        <v>#DIV/0!</v>
      </c>
      <c r="K12" s="9">
        <f>Water!E19+Water!G19+Water!I19</f>
        <v>123</v>
      </c>
      <c r="L12" s="10">
        <f>Water!K19/TOTAL!K12</f>
        <v>4000</v>
      </c>
      <c r="M12" s="9">
        <f>Electricity!C18</f>
        <v>5</v>
      </c>
      <c r="N12" s="9">
        <f>Electricity!D18</f>
        <v>7</v>
      </c>
    </row>
    <row r="13" spans="1:14" x14ac:dyDescent="0.25">
      <c r="A13" s="6" t="s">
        <v>14</v>
      </c>
      <c r="B13" s="7">
        <f t="shared" si="0"/>
        <v>12</v>
      </c>
      <c r="C13" s="8">
        <v>9</v>
      </c>
      <c r="D13" s="7">
        <v>2020</v>
      </c>
      <c r="E13" s="9">
        <f>Electricity!F19+Electricity!I19</f>
        <v>4619.9999999999973</v>
      </c>
      <c r="F13" s="10">
        <f>Electricity!L19/TOTAL!E13</f>
        <v>1237.6690476190483</v>
      </c>
      <c r="G13" s="9">
        <f>Gas!F20+Gas!I20+Gas!L20+Gas!O20</f>
        <v>44.72677595628415</v>
      </c>
      <c r="H13" s="10">
        <f>Gas!Q20/TOTAL!G13</f>
        <v>10630</v>
      </c>
      <c r="I13" s="9">
        <f>'Fuel Diesel'!F20</f>
        <v>0</v>
      </c>
      <c r="J13" s="11" t="e">
        <f>'Fuel Diesel'!G20/'Fuel Diesel'!F20</f>
        <v>#DIV/0!</v>
      </c>
      <c r="K13" s="9">
        <f>Water!E20+Water!G20+Water!I20</f>
        <v>135</v>
      </c>
      <c r="L13" s="10">
        <f>Water!K20/TOTAL!K13</f>
        <v>4000</v>
      </c>
      <c r="M13" s="9">
        <f>Electricity!C19</f>
        <v>6</v>
      </c>
      <c r="N13" s="9">
        <f>Electricity!D19</f>
        <v>20</v>
      </c>
    </row>
    <row r="14" spans="1:14" x14ac:dyDescent="0.25">
      <c r="A14" s="6" t="s">
        <v>14</v>
      </c>
      <c r="B14" s="7">
        <f t="shared" si="0"/>
        <v>13</v>
      </c>
      <c r="C14" s="8">
        <v>9</v>
      </c>
      <c r="D14" s="7">
        <v>2020</v>
      </c>
      <c r="E14" s="9">
        <f>Electricity!F20+Electricity!I20</f>
        <v>4540.0000000000136</v>
      </c>
      <c r="F14" s="10">
        <f>Electricity!L20/TOTAL!E14</f>
        <v>1231.8800660792951</v>
      </c>
      <c r="G14" s="9">
        <f>Gas!F21+Gas!I21+Gas!L21+Gas!O21</f>
        <v>51.435792349726775</v>
      </c>
      <c r="H14" s="10">
        <f>Gas!Q21/TOTAL!G14</f>
        <v>10629.999999999998</v>
      </c>
      <c r="I14" s="9">
        <f>'Fuel Diesel'!F21</f>
        <v>0</v>
      </c>
      <c r="J14" s="11" t="e">
        <f>'Fuel Diesel'!G21/'Fuel Diesel'!F21</f>
        <v>#DIV/0!</v>
      </c>
      <c r="K14" s="9">
        <f>Water!E21+Water!G21+Water!I21</f>
        <v>107</v>
      </c>
      <c r="L14" s="10">
        <f>Water!K21/TOTAL!K14</f>
        <v>4000</v>
      </c>
      <c r="M14" s="9">
        <f>Electricity!C20</f>
        <v>4</v>
      </c>
      <c r="N14" s="9">
        <f>Electricity!D20</f>
        <v>23</v>
      </c>
    </row>
    <row r="15" spans="1:14" x14ac:dyDescent="0.25">
      <c r="A15" s="6" t="s">
        <v>14</v>
      </c>
      <c r="B15" s="7">
        <f t="shared" si="0"/>
        <v>14</v>
      </c>
      <c r="C15" s="8">
        <v>9</v>
      </c>
      <c r="D15" s="7">
        <v>2020</v>
      </c>
      <c r="E15" s="9">
        <f>Electricity!F21+Electricity!I21</f>
        <v>4620.0000000000118</v>
      </c>
      <c r="F15" s="10">
        <f>Electricity!L21/TOTAL!E15</f>
        <v>1232.738095238095</v>
      </c>
      <c r="G15" s="9">
        <f>Gas!F22+Gas!I22+Gas!L22+Gas!O22</f>
        <v>31.308743169398909</v>
      </c>
      <c r="H15" s="10">
        <f>Gas!Q22/TOTAL!G15</f>
        <v>10630</v>
      </c>
      <c r="I15" s="9">
        <f>'Fuel Diesel'!F22</f>
        <v>49</v>
      </c>
      <c r="J15" s="11">
        <f>'Fuel Diesel'!G22/'Fuel Diesel'!F22</f>
        <v>10700</v>
      </c>
      <c r="K15" s="9">
        <f>Water!E22+Water!G22+Water!I22</f>
        <v>141</v>
      </c>
      <c r="L15" s="10">
        <f>Water!K22/TOTAL!K15</f>
        <v>4000</v>
      </c>
      <c r="M15" s="9">
        <f>Electricity!C21</f>
        <v>7</v>
      </c>
      <c r="N15" s="9">
        <f>Electricity!D21</f>
        <v>14</v>
      </c>
    </row>
    <row r="16" spans="1:14" x14ac:dyDescent="0.25">
      <c r="A16" s="6" t="s">
        <v>14</v>
      </c>
      <c r="B16" s="7">
        <f t="shared" si="0"/>
        <v>15</v>
      </c>
      <c r="C16" s="8">
        <v>9</v>
      </c>
      <c r="D16" s="7">
        <v>2020</v>
      </c>
      <c r="E16" s="9">
        <f>Electricity!F22+Electricity!I22</f>
        <v>4279.99999999998</v>
      </c>
      <c r="F16" s="10">
        <f>Electricity!L22/TOTAL!E16</f>
        <v>1232.1966121495325</v>
      </c>
      <c r="G16" s="9">
        <f>Gas!F23+Gas!I23+Gas!L23+Gas!O23</f>
        <v>49.199453551912569</v>
      </c>
      <c r="H16" s="10">
        <f>Gas!Q23/TOTAL!G16</f>
        <v>10630</v>
      </c>
      <c r="I16" s="9">
        <f>'Fuel Diesel'!F23</f>
        <v>0</v>
      </c>
      <c r="J16" s="11" t="e">
        <f>'Fuel Diesel'!G23/'Fuel Diesel'!F23</f>
        <v>#DIV/0!</v>
      </c>
      <c r="K16" s="9">
        <f>Water!E23+Water!G23+Water!I23</f>
        <v>155</v>
      </c>
      <c r="L16" s="10">
        <f>Water!K23/TOTAL!K16</f>
        <v>4000</v>
      </c>
      <c r="M16" s="9">
        <f>Electricity!C22</f>
        <v>5</v>
      </c>
      <c r="N16" s="9">
        <f>Electricity!D22</f>
        <v>22</v>
      </c>
    </row>
    <row r="17" spans="1:14" x14ac:dyDescent="0.25">
      <c r="A17" s="6" t="s">
        <v>14</v>
      </c>
      <c r="B17" s="7">
        <f t="shared" si="0"/>
        <v>16</v>
      </c>
      <c r="C17" s="8">
        <v>9</v>
      </c>
      <c r="D17" s="7">
        <v>2020</v>
      </c>
      <c r="E17" s="9">
        <f>Electricity!F23+Electricity!I23</f>
        <v>4519.9999999999745</v>
      </c>
      <c r="F17" s="10">
        <f>Electricity!L23/TOTAL!E17</f>
        <v>1239.8508849557534</v>
      </c>
      <c r="G17" s="9">
        <f>Gas!F24+Gas!I24+Gas!L24+Gas!O24</f>
        <v>73.799180327868854</v>
      </c>
      <c r="H17" s="10">
        <f>Gas!Q24/TOTAL!G17</f>
        <v>10629.999999999998</v>
      </c>
      <c r="I17" s="9">
        <f>'Fuel Diesel'!F24</f>
        <v>0</v>
      </c>
      <c r="J17" s="11" t="e">
        <f>'Fuel Diesel'!G24/'Fuel Diesel'!F24</f>
        <v>#DIV/0!</v>
      </c>
      <c r="K17" s="9">
        <f>Water!E24+Water!G24+Water!I24</f>
        <v>96</v>
      </c>
      <c r="L17" s="10">
        <f>Water!K24/TOTAL!K17</f>
        <v>4000</v>
      </c>
      <c r="M17" s="9">
        <f>Electricity!C23</f>
        <v>7</v>
      </c>
      <c r="N17" s="9">
        <f>Electricity!D23</f>
        <v>33</v>
      </c>
    </row>
    <row r="18" spans="1:14" x14ac:dyDescent="0.25">
      <c r="A18" s="6" t="s">
        <v>14</v>
      </c>
      <c r="B18" s="7">
        <f t="shared" si="0"/>
        <v>17</v>
      </c>
      <c r="C18" s="8">
        <v>9</v>
      </c>
      <c r="D18" s="7">
        <v>2020</v>
      </c>
      <c r="E18" s="9">
        <f>Electricity!F24+Electricity!I24</f>
        <v>4560.0000000000091</v>
      </c>
      <c r="F18" s="10">
        <f>Electricity!L24/TOTAL!E18</f>
        <v>1233.9708333333328</v>
      </c>
      <c r="G18" s="9">
        <f>Gas!F25+Gas!I25+Gas!L25+Gas!O25</f>
        <v>55.908469945355193</v>
      </c>
      <c r="H18" s="10">
        <f>Gas!Q25/TOTAL!G18</f>
        <v>10629.999999999998</v>
      </c>
      <c r="I18" s="9">
        <f>'Fuel Diesel'!F25</f>
        <v>0</v>
      </c>
      <c r="J18" s="11" t="e">
        <f>'Fuel Diesel'!G25/'Fuel Diesel'!F25</f>
        <v>#DIV/0!</v>
      </c>
      <c r="K18" s="9">
        <f>Water!E25+Water!G25+Water!I25</f>
        <v>116</v>
      </c>
      <c r="L18" s="10">
        <f>Water!K25/TOTAL!K18</f>
        <v>4000</v>
      </c>
      <c r="M18" s="9">
        <f>Electricity!C24</f>
        <v>6</v>
      </c>
      <c r="N18" s="9">
        <f>Electricity!D24</f>
        <v>25</v>
      </c>
    </row>
    <row r="19" spans="1:14" x14ac:dyDescent="0.25">
      <c r="A19" s="6" t="s">
        <v>14</v>
      </c>
      <c r="B19" s="7">
        <f t="shared" si="0"/>
        <v>18</v>
      </c>
      <c r="C19" s="8">
        <v>9</v>
      </c>
      <c r="D19" s="7">
        <v>2020</v>
      </c>
      <c r="E19" s="9">
        <f>Electricity!F25+Electricity!I25</f>
        <v>4899.9999999999982</v>
      </c>
      <c r="F19" s="10">
        <f>Electricity!L25/TOTAL!E19</f>
        <v>1250.6304081632657</v>
      </c>
      <c r="G19" s="9">
        <f>Gas!F26+Gas!I26+Gas!L26+Gas!O26</f>
        <v>78.271857923497265</v>
      </c>
      <c r="H19" s="10">
        <f>Gas!Q26/TOTAL!G19</f>
        <v>10630</v>
      </c>
      <c r="I19" s="9">
        <f>'Fuel Diesel'!F26</f>
        <v>0</v>
      </c>
      <c r="J19" s="11" t="e">
        <f>'Fuel Diesel'!G26/'Fuel Diesel'!F26</f>
        <v>#DIV/0!</v>
      </c>
      <c r="K19" s="9">
        <f>Water!E26+Water!G26+Water!I26</f>
        <v>133</v>
      </c>
      <c r="L19" s="10">
        <f>Water!K26/TOTAL!K19</f>
        <v>4000</v>
      </c>
      <c r="M19" s="9">
        <f>Electricity!C25</f>
        <v>13</v>
      </c>
      <c r="N19" s="9">
        <f>Electricity!D25</f>
        <v>35</v>
      </c>
    </row>
    <row r="20" spans="1:14" x14ac:dyDescent="0.25">
      <c r="A20" s="6" t="s">
        <v>14</v>
      </c>
      <c r="B20" s="7">
        <f t="shared" si="0"/>
        <v>19</v>
      </c>
      <c r="C20" s="8">
        <v>9</v>
      </c>
      <c r="D20" s="7">
        <v>2020</v>
      </c>
      <c r="E20" s="9">
        <f>Electricity!F26+Electricity!I26</f>
        <v>5560.0000000000018</v>
      </c>
      <c r="F20" s="10">
        <f>Electricity!L26/TOTAL!E20</f>
        <v>1235.3366007194245</v>
      </c>
      <c r="G20" s="9">
        <f>Gas!F27+Gas!I27+Gas!L27+Gas!O27</f>
        <v>127.47131147540983</v>
      </c>
      <c r="H20" s="10">
        <f>Gas!Q27/TOTAL!G20</f>
        <v>10630</v>
      </c>
      <c r="I20" s="9">
        <f>'Fuel Diesel'!F27</f>
        <v>0</v>
      </c>
      <c r="J20" s="11" t="e">
        <f>'Fuel Diesel'!G27/'Fuel Diesel'!F27</f>
        <v>#DIV/0!</v>
      </c>
      <c r="K20" s="9">
        <f>Water!E27+Water!G27+Water!I27</f>
        <v>142</v>
      </c>
      <c r="L20" s="10">
        <f>Water!K27/TOTAL!K20</f>
        <v>4000</v>
      </c>
      <c r="M20" s="9">
        <f>Electricity!C26</f>
        <v>16</v>
      </c>
      <c r="N20" s="9">
        <f>Electricity!D26</f>
        <v>57</v>
      </c>
    </row>
    <row r="21" spans="1:14" x14ac:dyDescent="0.25">
      <c r="A21" s="6" t="s">
        <v>14</v>
      </c>
      <c r="B21" s="7">
        <f t="shared" si="0"/>
        <v>20</v>
      </c>
      <c r="C21" s="8">
        <v>9</v>
      </c>
      <c r="D21" s="7">
        <v>2020</v>
      </c>
      <c r="E21" s="9">
        <f>Electricity!F27+Electricity!I27</f>
        <v>5420.0000000000227</v>
      </c>
      <c r="F21" s="10">
        <f>Electricity!L27/TOTAL!E21</f>
        <v>1231.5190036900367</v>
      </c>
      <c r="G21" s="9">
        <f>Gas!F28+Gas!I28+Gas!L28+Gas!O28</f>
        <v>143.12568306010928</v>
      </c>
      <c r="H21" s="10">
        <f>Gas!Q28/TOTAL!G21</f>
        <v>10630</v>
      </c>
      <c r="I21" s="9">
        <f>'Fuel Diesel'!F28</f>
        <v>0</v>
      </c>
      <c r="J21" s="11" t="e">
        <f>'Fuel Diesel'!G28/'Fuel Diesel'!F28</f>
        <v>#DIV/0!</v>
      </c>
      <c r="K21" s="9">
        <f>Water!E28+Water!G28+Water!I28</f>
        <v>166</v>
      </c>
      <c r="L21" s="10">
        <f>Water!K28/TOTAL!K21</f>
        <v>4000</v>
      </c>
      <c r="M21" s="9">
        <f>Electricity!C27</f>
        <v>10</v>
      </c>
      <c r="N21" s="9">
        <f>Electricity!D27</f>
        <v>64</v>
      </c>
    </row>
    <row r="22" spans="1:14" x14ac:dyDescent="0.25">
      <c r="A22" s="6" t="s">
        <v>14</v>
      </c>
      <c r="B22" s="7">
        <f t="shared" si="0"/>
        <v>21</v>
      </c>
      <c r="C22" s="8">
        <v>9</v>
      </c>
      <c r="D22" s="7">
        <v>2020</v>
      </c>
      <c r="E22" s="9">
        <f>Electricity!F28+Electricity!I28</f>
        <v>5439.9999999999827</v>
      </c>
      <c r="F22" s="10">
        <f>Electricity!L28/TOTAL!E22</f>
        <v>1229.0852022058828</v>
      </c>
      <c r="G22" s="9">
        <f>Gas!F29+Gas!I29+Gas!L29+Gas!O29</f>
        <v>96.16256830601094</v>
      </c>
      <c r="H22" s="10">
        <f>Gas!Q29/TOTAL!G22</f>
        <v>10629.999999999998</v>
      </c>
      <c r="I22" s="9">
        <f>'Fuel Diesel'!F29</f>
        <v>52</v>
      </c>
      <c r="J22" s="11">
        <f>'Fuel Diesel'!G29/'Fuel Diesel'!F29</f>
        <v>10700</v>
      </c>
      <c r="K22" s="9">
        <f>Water!E29+Water!G29+Water!I29</f>
        <v>156</v>
      </c>
      <c r="L22" s="10">
        <f>Water!K29/TOTAL!K22</f>
        <v>4000</v>
      </c>
      <c r="M22" s="9">
        <f>Electricity!C28</f>
        <v>9</v>
      </c>
      <c r="N22" s="9">
        <f>Electricity!D28</f>
        <v>43</v>
      </c>
    </row>
    <row r="23" spans="1:14" x14ac:dyDescent="0.25">
      <c r="A23" s="6" t="s">
        <v>14</v>
      </c>
      <c r="B23" s="7">
        <f t="shared" si="0"/>
        <v>22</v>
      </c>
      <c r="C23" s="8">
        <v>9</v>
      </c>
      <c r="D23" s="7">
        <v>2020</v>
      </c>
      <c r="E23" s="9">
        <f>Electricity!F29+Electricity!I29</f>
        <v>5100.0000000000291</v>
      </c>
      <c r="F23" s="10">
        <f>Electricity!L29/TOTAL!E23</f>
        <v>1230.6206862745094</v>
      </c>
      <c r="G23" s="9">
        <f>Gas!F30+Gas!I30+Gas!L30+Gas!O30</f>
        <v>87.217213114754088</v>
      </c>
      <c r="H23" s="10">
        <f>Gas!Q30/TOTAL!G23</f>
        <v>10630</v>
      </c>
      <c r="I23" s="9">
        <f>'Fuel Diesel'!F30</f>
        <v>0</v>
      </c>
      <c r="J23" s="11" t="e">
        <f>'Fuel Diesel'!G30/'Fuel Diesel'!F30</f>
        <v>#DIV/0!</v>
      </c>
      <c r="K23" s="9">
        <f>Water!E30+Water!G30+Water!I30</f>
        <v>123</v>
      </c>
      <c r="L23" s="10">
        <f>Water!K30/TOTAL!K23</f>
        <v>4000</v>
      </c>
      <c r="M23" s="9">
        <f>Electricity!C29</f>
        <v>7</v>
      </c>
      <c r="N23" s="9">
        <f>Electricity!D29</f>
        <v>39</v>
      </c>
    </row>
    <row r="24" spans="1:14" x14ac:dyDescent="0.25">
      <c r="A24" s="6" t="s">
        <v>14</v>
      </c>
      <c r="B24" s="7">
        <f t="shared" si="0"/>
        <v>23</v>
      </c>
      <c r="C24" s="8">
        <v>9</v>
      </c>
      <c r="D24" s="7">
        <v>2020</v>
      </c>
      <c r="E24" s="9">
        <f>Electricity!F30+Electricity!I30</f>
        <v>4499.9999999999645</v>
      </c>
      <c r="F24" s="10">
        <f>Electricity!L30/TOTAL!E24</f>
        <v>1252.9550000000008</v>
      </c>
      <c r="G24" s="9">
        <f>Gas!F31+Gas!I31+Gas!L31+Gas!O31</f>
        <v>40.254098360655739</v>
      </c>
      <c r="H24" s="10">
        <f>Gas!Q31/TOTAL!G24</f>
        <v>10630</v>
      </c>
      <c r="I24" s="9">
        <f>'Fuel Diesel'!F31</f>
        <v>0</v>
      </c>
      <c r="J24" s="11" t="e">
        <f>'Fuel Diesel'!G31/'Fuel Diesel'!F31</f>
        <v>#DIV/0!</v>
      </c>
      <c r="K24" s="9">
        <f>Water!E31+Water!G31+Water!I31</f>
        <v>130</v>
      </c>
      <c r="L24" s="10">
        <f>Water!K31/TOTAL!K24</f>
        <v>4000</v>
      </c>
      <c r="M24" s="9">
        <f>Electricity!C30</f>
        <v>2</v>
      </c>
      <c r="N24" s="9">
        <f>Electricity!D30</f>
        <v>18</v>
      </c>
    </row>
    <row r="25" spans="1:14" x14ac:dyDescent="0.25">
      <c r="A25" s="6" t="s">
        <v>14</v>
      </c>
      <c r="B25" s="7">
        <f t="shared" si="0"/>
        <v>24</v>
      </c>
      <c r="C25" s="8">
        <v>9</v>
      </c>
      <c r="D25" s="7">
        <v>2020</v>
      </c>
      <c r="E25" s="9">
        <f>Electricity!F31+Electricity!I31</f>
        <v>5479.9999999999964</v>
      </c>
      <c r="F25" s="10">
        <f>Electricity!L31/TOTAL!E25</f>
        <v>1201.4067518248178</v>
      </c>
      <c r="G25" s="9">
        <f>Gas!F32+Gas!I32+Gas!L32+Gas!O32</f>
        <v>24.599726775956285</v>
      </c>
      <c r="H25" s="10">
        <f>Gas!Q32/TOTAL!G25</f>
        <v>10630</v>
      </c>
      <c r="I25" s="9">
        <f>'Fuel Diesel'!F32</f>
        <v>0</v>
      </c>
      <c r="J25" s="11" t="e">
        <f>'Fuel Diesel'!G32/'Fuel Diesel'!F32</f>
        <v>#DIV/0!</v>
      </c>
      <c r="K25" s="9">
        <f>Water!E32+Water!G32+Water!I32</f>
        <v>96</v>
      </c>
      <c r="L25" s="10">
        <f>Water!K32/TOTAL!K25</f>
        <v>4000</v>
      </c>
      <c r="M25" s="9">
        <f>Electricity!C31</f>
        <v>2</v>
      </c>
      <c r="N25" s="9">
        <f>Electricity!D31</f>
        <v>11</v>
      </c>
    </row>
    <row r="26" spans="1:14" x14ac:dyDescent="0.25">
      <c r="A26" s="6" t="s">
        <v>14</v>
      </c>
      <c r="B26" s="7">
        <f>B25+1</f>
        <v>25</v>
      </c>
      <c r="C26" s="8">
        <v>9</v>
      </c>
      <c r="D26" s="7">
        <v>2020</v>
      </c>
      <c r="E26" s="9">
        <f>Electricity!F32+Electricity!I32</f>
        <v>4300.00000000004</v>
      </c>
      <c r="F26" s="10">
        <f>Electricity!L32/TOTAL!E26</f>
        <v>1250.3060465116273</v>
      </c>
      <c r="G26" s="9">
        <f>Gas!F33+Gas!I33+Gas!L33+Gas!O33</f>
        <v>31.308743169398909</v>
      </c>
      <c r="H26" s="10">
        <f>Gas!Q33/TOTAL!G26</f>
        <v>10630</v>
      </c>
      <c r="I26" s="9">
        <f>'Fuel Diesel'!F33</f>
        <v>0</v>
      </c>
      <c r="J26" s="11" t="e">
        <f>'Fuel Diesel'!G33/'Fuel Diesel'!F33</f>
        <v>#DIV/0!</v>
      </c>
      <c r="K26" s="9">
        <f>Water!E33+Water!G33+Water!I33</f>
        <v>127</v>
      </c>
      <c r="L26" s="10">
        <f>Water!K33/TOTAL!K26</f>
        <v>4000</v>
      </c>
      <c r="M26" s="9">
        <f>Electricity!C32</f>
        <v>4</v>
      </c>
      <c r="N26" s="9">
        <f>Electricity!D32</f>
        <v>14</v>
      </c>
    </row>
    <row r="27" spans="1:14" x14ac:dyDescent="0.25">
      <c r="A27" s="6" t="s">
        <v>14</v>
      </c>
      <c r="B27" s="7">
        <f t="shared" si="0"/>
        <v>26</v>
      </c>
      <c r="C27" s="8">
        <v>9</v>
      </c>
      <c r="D27" s="7">
        <v>2020</v>
      </c>
      <c r="E27" s="9">
        <f>Electricity!F33+Electricity!I33</f>
        <v>4539.9999999999491</v>
      </c>
      <c r="F27" s="10">
        <f>Electricity!L33/TOTAL!E27</f>
        <v>1246.9335903083715</v>
      </c>
      <c r="G27" s="9">
        <f>Gas!F34+Gas!I34+Gas!L34+Gas!O34</f>
        <v>40.254098360655739</v>
      </c>
      <c r="H27" s="10">
        <f>Gas!Q34/TOTAL!G27</f>
        <v>10630</v>
      </c>
      <c r="I27" s="9">
        <f>'Fuel Diesel'!F34</f>
        <v>0</v>
      </c>
      <c r="J27" s="11" t="e">
        <f>'Fuel Diesel'!G34/'Fuel Diesel'!F34</f>
        <v>#DIV/0!</v>
      </c>
      <c r="K27" s="9">
        <f>Water!E34+Water!G34+Water!I34</f>
        <v>123</v>
      </c>
      <c r="L27" s="10">
        <f>Water!K34/TOTAL!K27</f>
        <v>4000</v>
      </c>
      <c r="M27" s="9">
        <f>Electricity!C33</f>
        <v>8</v>
      </c>
      <c r="N27" s="9">
        <f>Electricity!D33</f>
        <v>18</v>
      </c>
    </row>
    <row r="28" spans="1:14" x14ac:dyDescent="0.25">
      <c r="A28" s="6" t="s">
        <v>14</v>
      </c>
      <c r="B28" s="7">
        <f t="shared" si="0"/>
        <v>27</v>
      </c>
      <c r="C28" s="8">
        <v>9</v>
      </c>
      <c r="D28" s="7">
        <v>2020</v>
      </c>
      <c r="E28" s="9">
        <f>Electricity!F34+Electricity!I34</f>
        <v>4880.0000000000382</v>
      </c>
      <c r="F28" s="10">
        <f>Electricity!L34/TOTAL!E28</f>
        <v>1239.4171106557369</v>
      </c>
      <c r="G28" s="9">
        <f>Gas!F35+Gas!I35+Gas!L35+Gas!O35</f>
        <v>80.508196721311478</v>
      </c>
      <c r="H28" s="10">
        <f>Gas!Q35/TOTAL!G28</f>
        <v>10630</v>
      </c>
      <c r="I28" s="9">
        <f>'Fuel Diesel'!F35</f>
        <v>0</v>
      </c>
      <c r="J28" s="11" t="e">
        <f>'Fuel Diesel'!G35/'Fuel Diesel'!F35</f>
        <v>#DIV/0!</v>
      </c>
      <c r="K28" s="9">
        <f>Water!E35+Water!G35+Water!I35</f>
        <v>143</v>
      </c>
      <c r="L28" s="10">
        <f>Water!K35/TOTAL!K28</f>
        <v>4000</v>
      </c>
      <c r="M28" s="9">
        <f>Electricity!C34</f>
        <v>5</v>
      </c>
      <c r="N28" s="9">
        <f>Electricity!D34</f>
        <v>36</v>
      </c>
    </row>
    <row r="29" spans="1:14" x14ac:dyDescent="0.25">
      <c r="A29" s="6" t="s">
        <v>14</v>
      </c>
      <c r="B29" s="7">
        <f t="shared" si="0"/>
        <v>28</v>
      </c>
      <c r="C29" s="8">
        <v>9</v>
      </c>
      <c r="D29" s="7">
        <v>2020</v>
      </c>
      <c r="E29" s="9">
        <f>Electricity!F35+Electricity!I35</f>
        <v>4979.9999999999827</v>
      </c>
      <c r="F29" s="10">
        <f>Electricity!L35/TOTAL!E29</f>
        <v>1235.1144578313254</v>
      </c>
      <c r="G29" s="9">
        <f>Gas!F36+Gas!I36+Gas!L36+Gas!O36</f>
        <v>46.963114754098363</v>
      </c>
      <c r="H29" s="10">
        <f>Gas!Q36/TOTAL!G29</f>
        <v>10630</v>
      </c>
      <c r="I29" s="9">
        <f>'Fuel Diesel'!F36</f>
        <v>53</v>
      </c>
      <c r="J29" s="11">
        <f>'Fuel Diesel'!G36/'Fuel Diesel'!F36</f>
        <v>10700</v>
      </c>
      <c r="K29" s="9">
        <f>Water!E36+Water!G36+Water!I36</f>
        <v>131</v>
      </c>
      <c r="L29" s="10">
        <f>Water!K36/TOTAL!K29</f>
        <v>4000</v>
      </c>
      <c r="M29" s="9">
        <f>Electricity!C35</f>
        <v>7</v>
      </c>
      <c r="N29" s="9">
        <f>Electricity!D35</f>
        <v>21</v>
      </c>
    </row>
    <row r="30" spans="1:14" x14ac:dyDescent="0.25">
      <c r="A30" s="6" t="s">
        <v>14</v>
      </c>
      <c r="B30" s="7">
        <f t="shared" si="0"/>
        <v>29</v>
      </c>
      <c r="C30" s="8">
        <v>9</v>
      </c>
      <c r="D30" s="7">
        <v>2020</v>
      </c>
      <c r="E30" s="9">
        <f>Electricity!F36+Electricity!I36</f>
        <v>5119.9999999999973</v>
      </c>
      <c r="F30" s="10">
        <f>Electricity!L36/TOTAL!E30</f>
        <v>1234.7124023437509</v>
      </c>
      <c r="G30" s="9">
        <f>Gas!F37+Gas!I37+Gas!L37+Gas!O37</f>
        <v>76.035519125683066</v>
      </c>
      <c r="H30" s="10">
        <f>Gas!Q37/TOTAL!G30</f>
        <v>10629.999999999998</v>
      </c>
      <c r="I30" s="9">
        <f>'Fuel Diesel'!F37</f>
        <v>0</v>
      </c>
      <c r="J30" s="11" t="e">
        <f>'Fuel Diesel'!G37/'Fuel Diesel'!F37</f>
        <v>#DIV/0!</v>
      </c>
      <c r="K30" s="9">
        <f>Water!E37+Water!G37+Water!I37</f>
        <v>121</v>
      </c>
      <c r="L30" s="10">
        <f>Water!K37/TOTAL!K30</f>
        <v>4000</v>
      </c>
      <c r="M30" s="9">
        <f>Electricity!C36</f>
        <v>6</v>
      </c>
      <c r="N30" s="9">
        <f>Electricity!D36</f>
        <v>34</v>
      </c>
    </row>
    <row r="31" spans="1:14" x14ac:dyDescent="0.25">
      <c r="A31" s="6" t="s">
        <v>14</v>
      </c>
      <c r="B31" s="7">
        <v>30</v>
      </c>
      <c r="C31" s="8">
        <v>9</v>
      </c>
      <c r="D31" s="7">
        <v>2020</v>
      </c>
      <c r="E31" s="9">
        <f>Electricity!F37+Electricity!I37</f>
        <v>5160.00000000001</v>
      </c>
      <c r="F31" s="10">
        <f>Electricity!L37/TOTAL!E31</f>
        <v>1233.9708333333333</v>
      </c>
      <c r="G31" s="9">
        <f>Gas!F38+Gas!I38+Gas!L38+Gas!O38</f>
        <v>51.435792349726775</v>
      </c>
      <c r="H31" s="10">
        <f>Gas!Q38/TOTAL!G31</f>
        <v>10629.999999999998</v>
      </c>
      <c r="I31" s="9">
        <f>'Fuel Diesel'!F38</f>
        <v>0</v>
      </c>
      <c r="J31" s="11" t="e">
        <f>'Fuel Diesel'!G38/'Fuel Diesel'!F38</f>
        <v>#DIV/0!</v>
      </c>
      <c r="K31" s="9">
        <f>Water!E38+Water!G38+Water!I38</f>
        <v>126</v>
      </c>
      <c r="L31" s="10">
        <f>Water!K38/TOTAL!K31</f>
        <v>4000</v>
      </c>
      <c r="M31" s="9">
        <f>Electricity!C37</f>
        <v>8</v>
      </c>
      <c r="N31" s="9">
        <f>Electricity!D37</f>
        <v>23</v>
      </c>
    </row>
    <row r="32" spans="1:14" x14ac:dyDescent="0.25">
      <c r="A32" s="6" t="s">
        <v>14</v>
      </c>
      <c r="B32" s="7">
        <v>31</v>
      </c>
      <c r="C32" s="8">
        <v>9</v>
      </c>
      <c r="D32" s="7">
        <v>2020</v>
      </c>
      <c r="E32" s="9">
        <f>Electricity!F38+Electricity!I38</f>
        <v>0</v>
      </c>
      <c r="F32" s="10" t="e">
        <f>Electricity!L38/TOTAL!E32</f>
        <v>#DIV/0!</v>
      </c>
      <c r="G32" s="9">
        <f>Gas!F39+Gas!I39+Gas!L39+Gas!O39</f>
        <v>0</v>
      </c>
      <c r="H32" s="10" t="e">
        <f>Gas!Q39/TOTAL!G32</f>
        <v>#DIV/0!</v>
      </c>
      <c r="I32" s="9">
        <f>'Fuel Diesel'!F39</f>
        <v>0</v>
      </c>
      <c r="J32" s="11" t="e">
        <f>'Fuel Diesel'!G39/'Fuel Diesel'!F39</f>
        <v>#DIV/0!</v>
      </c>
      <c r="K32" s="9">
        <f>Water!E39+Water!G39+Water!I39</f>
        <v>0</v>
      </c>
      <c r="L32" s="10" t="e">
        <f>Water!K39/TOTAL!K32</f>
        <v>#DIV/0!</v>
      </c>
      <c r="M32" s="9" t="str">
        <f>Electricity!C38</f>
        <v xml:space="preserve"> -   </v>
      </c>
      <c r="N32" s="9" t="str">
        <f>Electricity!D38</f>
        <v xml:space="preserve"> -   </v>
      </c>
    </row>
    <row r="33" spans="5:14" x14ac:dyDescent="0.25">
      <c r="E33" s="86">
        <f>SUM(E2:E32)</f>
        <v>156140</v>
      </c>
      <c r="F33" s="86" t="e">
        <f>SUM(F2:F32)/31</f>
        <v>#DIV/0!</v>
      </c>
      <c r="G33" s="86">
        <f>SUM(G2:G32)</f>
        <v>1636.9999999999998</v>
      </c>
      <c r="H33" s="96" t="e">
        <f>SUM(H2:H32)/31</f>
        <v>#DIV/0!</v>
      </c>
      <c r="I33" s="86">
        <f>SUM(I2:I32)</f>
        <v>395</v>
      </c>
      <c r="J33" s="96" t="e">
        <f>J26</f>
        <v>#DIV/0!</v>
      </c>
      <c r="K33" s="86">
        <f>SUM(K2:K32)</f>
        <v>3846</v>
      </c>
      <c r="L33" s="96" t="e">
        <f>SUM(L2:L32)/31</f>
        <v>#DIV/0!</v>
      </c>
      <c r="M33" s="86">
        <f t="shared" ref="M33:N33" si="1">SUM(M2:M32)</f>
        <v>178</v>
      </c>
      <c r="N33" s="86">
        <f t="shared" si="1"/>
        <v>732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opLeftCell="A4" workbookViewId="0">
      <selection activeCell="E8" sqref="E8:E38"/>
    </sheetView>
  </sheetViews>
  <sheetFormatPr defaultRowHeight="15" x14ac:dyDescent="0.25"/>
  <cols>
    <col min="1" max="1" width="2.5703125" style="12" customWidth="1"/>
    <col min="2" max="2" width="5.85546875" customWidth="1"/>
    <col min="3" max="3" width="6.5703125" customWidth="1"/>
    <col min="4" max="4" width="7.5703125" style="21" customWidth="1"/>
    <col min="5" max="5" width="9.42578125" style="33" customWidth="1"/>
    <col min="6" max="6" width="11.28515625" style="33" customWidth="1"/>
    <col min="7" max="7" width="16.5703125" style="33" customWidth="1"/>
    <col min="8" max="8" width="10.28515625" style="33" customWidth="1"/>
    <col min="9" max="9" width="11.140625" style="33" customWidth="1"/>
    <col min="10" max="10" width="16.7109375" style="33" customWidth="1"/>
    <col min="11" max="11" width="16.28515625" style="33" customWidth="1"/>
    <col min="12" max="12" width="18" customWidth="1"/>
    <col min="13" max="13" width="16.7109375" customWidth="1"/>
    <col min="14" max="14" width="2.5703125" style="12" customWidth="1"/>
    <col min="16" max="16" width="16.7109375" customWidth="1"/>
  </cols>
  <sheetData>
    <row r="1" spans="1:14" ht="15.75" x14ac:dyDescent="0.25">
      <c r="B1" s="100" t="s">
        <v>15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3"/>
      <c r="N1" s="14"/>
    </row>
    <row r="2" spans="1:14" ht="15.75" x14ac:dyDescent="0.25">
      <c r="B2" s="100" t="s">
        <v>16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3"/>
      <c r="N2" s="14"/>
    </row>
    <row r="3" spans="1:14" x14ac:dyDescent="0.25">
      <c r="B3" s="15"/>
      <c r="C3" s="16"/>
      <c r="D3" s="17"/>
      <c r="E3" s="16"/>
      <c r="F3" s="16"/>
      <c r="G3" s="16"/>
      <c r="H3" s="16"/>
      <c r="I3" s="16"/>
      <c r="J3" s="16"/>
      <c r="K3" s="16"/>
      <c r="L3" s="16"/>
      <c r="M3" s="13"/>
      <c r="N3" s="14"/>
    </row>
    <row r="4" spans="1:14" x14ac:dyDescent="0.25">
      <c r="A4" s="18"/>
      <c r="B4" s="101">
        <v>44075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8"/>
    </row>
    <row r="5" spans="1:14" x14ac:dyDescent="0.25">
      <c r="A5" s="19"/>
      <c r="B5" s="99" t="s">
        <v>17</v>
      </c>
      <c r="C5" s="99" t="s">
        <v>18</v>
      </c>
      <c r="D5" s="99" t="s">
        <v>13</v>
      </c>
      <c r="E5" s="102" t="s">
        <v>19</v>
      </c>
      <c r="F5" s="102"/>
      <c r="G5" s="102"/>
      <c r="H5" s="103" t="s">
        <v>20</v>
      </c>
      <c r="I5" s="103"/>
      <c r="J5" s="103"/>
      <c r="K5" s="99" t="s">
        <v>21</v>
      </c>
      <c r="L5" s="99" t="s">
        <v>22</v>
      </c>
      <c r="M5" s="99" t="s">
        <v>23</v>
      </c>
      <c r="N5" s="20"/>
    </row>
    <row r="6" spans="1:14" s="21" customFormat="1" x14ac:dyDescent="0.25">
      <c r="A6" s="19"/>
      <c r="B6" s="99"/>
      <c r="C6" s="99"/>
      <c r="D6" s="99"/>
      <c r="E6" s="99" t="s">
        <v>24</v>
      </c>
      <c r="F6" s="99" t="s">
        <v>25</v>
      </c>
      <c r="G6" s="99" t="s">
        <v>26</v>
      </c>
      <c r="H6" s="99" t="s">
        <v>24</v>
      </c>
      <c r="I6" s="99" t="s">
        <v>25</v>
      </c>
      <c r="J6" s="99" t="s">
        <v>27</v>
      </c>
      <c r="K6" s="99"/>
      <c r="L6" s="99"/>
      <c r="M6" s="99"/>
      <c r="N6" s="20"/>
    </row>
    <row r="7" spans="1:14" x14ac:dyDescent="0.25">
      <c r="A7" s="22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23"/>
    </row>
    <row r="8" spans="1:14" x14ac:dyDescent="0.25">
      <c r="A8" s="22"/>
      <c r="B8" s="24">
        <v>1</v>
      </c>
      <c r="C8" s="25">
        <v>7</v>
      </c>
      <c r="D8" s="25">
        <v>19</v>
      </c>
      <c r="E8" s="26">
        <v>2.56</v>
      </c>
      <c r="F8" s="27">
        <f t="shared" ref="F8:F38" si="0">E8*2000</f>
        <v>5120</v>
      </c>
      <c r="G8" s="28">
        <f t="shared" ref="G8:G38" si="1">F8*1035.5</f>
        <v>5301760</v>
      </c>
      <c r="H8" s="26">
        <v>0.5</v>
      </c>
      <c r="I8" s="27">
        <f t="shared" ref="I8:I38" si="2">H8*2000</f>
        <v>1000</v>
      </c>
      <c r="J8" s="28">
        <f t="shared" ref="J8:J38" si="3">I8*1553.25</f>
        <v>1553250</v>
      </c>
      <c r="K8" s="26">
        <f t="shared" ref="K8:K38" si="4">G8+J8</f>
        <v>6855010</v>
      </c>
      <c r="L8" s="29">
        <f t="shared" ref="L8:L38" si="5">K8*1.1</f>
        <v>7540511.0000000009</v>
      </c>
      <c r="M8" s="30">
        <f>L8/14381</f>
        <v>524.33843265419659</v>
      </c>
      <c r="N8" s="31"/>
    </row>
    <row r="9" spans="1:14" x14ac:dyDescent="0.25">
      <c r="A9" s="22"/>
      <c r="B9" s="24">
        <v>2</v>
      </c>
      <c r="C9" s="25">
        <v>5</v>
      </c>
      <c r="D9" s="25">
        <v>24</v>
      </c>
      <c r="E9" s="26">
        <v>2.6400000000000006</v>
      </c>
      <c r="F9" s="27">
        <f t="shared" si="0"/>
        <v>5280.0000000000009</v>
      </c>
      <c r="G9" s="28">
        <f t="shared" si="1"/>
        <v>5467440.0000000009</v>
      </c>
      <c r="H9" s="26">
        <v>0.5</v>
      </c>
      <c r="I9" s="27">
        <f t="shared" si="2"/>
        <v>1000</v>
      </c>
      <c r="J9" s="28">
        <f t="shared" si="3"/>
        <v>1553250</v>
      </c>
      <c r="K9" s="26">
        <f t="shared" si="4"/>
        <v>7020690.0000000009</v>
      </c>
      <c r="L9" s="29">
        <f t="shared" si="5"/>
        <v>7722759.0000000019</v>
      </c>
      <c r="M9" s="30">
        <f t="shared" ref="M9:M38" si="6">L9/14381</f>
        <v>537.01126486336148</v>
      </c>
      <c r="N9" s="31"/>
    </row>
    <row r="10" spans="1:14" x14ac:dyDescent="0.25">
      <c r="A10" s="22"/>
      <c r="B10" s="24">
        <v>3</v>
      </c>
      <c r="C10" s="25">
        <v>2</v>
      </c>
      <c r="D10" s="25">
        <v>21</v>
      </c>
      <c r="E10" s="26">
        <v>2.4200000000000017</v>
      </c>
      <c r="F10" s="27">
        <f t="shared" si="0"/>
        <v>4840.0000000000036</v>
      </c>
      <c r="G10" s="28">
        <f t="shared" si="1"/>
        <v>5011820.0000000037</v>
      </c>
      <c r="H10" s="26">
        <v>0.46999999999999886</v>
      </c>
      <c r="I10" s="27">
        <f t="shared" si="2"/>
        <v>939.99999999999773</v>
      </c>
      <c r="J10" s="28">
        <f t="shared" si="3"/>
        <v>1460054.9999999965</v>
      </c>
      <c r="K10" s="26">
        <f t="shared" si="4"/>
        <v>6471875</v>
      </c>
      <c r="L10" s="29">
        <f t="shared" si="5"/>
        <v>7119062.5000000009</v>
      </c>
      <c r="M10" s="30">
        <f t="shared" si="6"/>
        <v>495.03250817050281</v>
      </c>
      <c r="N10" s="31"/>
    </row>
    <row r="11" spans="1:14" x14ac:dyDescent="0.25">
      <c r="A11" s="22"/>
      <c r="B11" s="24">
        <v>4</v>
      </c>
      <c r="C11" s="25">
        <v>7</v>
      </c>
      <c r="D11" s="25">
        <v>11</v>
      </c>
      <c r="E11" s="26">
        <v>2.519999999999996</v>
      </c>
      <c r="F11" s="27">
        <f t="shared" si="0"/>
        <v>5039.9999999999918</v>
      </c>
      <c r="G11" s="28">
        <f t="shared" si="1"/>
        <v>5218919.9999999916</v>
      </c>
      <c r="H11" s="26">
        <v>0.5</v>
      </c>
      <c r="I11" s="27">
        <f t="shared" si="2"/>
        <v>1000</v>
      </c>
      <c r="J11" s="28">
        <f t="shared" si="3"/>
        <v>1553250</v>
      </c>
      <c r="K11" s="26">
        <f t="shared" si="4"/>
        <v>6772169.9999999916</v>
      </c>
      <c r="L11" s="29">
        <f t="shared" si="5"/>
        <v>7449386.9999999916</v>
      </c>
      <c r="M11" s="30">
        <f t="shared" si="6"/>
        <v>518.00201654961347</v>
      </c>
      <c r="N11" s="31"/>
    </row>
    <row r="12" spans="1:14" x14ac:dyDescent="0.25">
      <c r="A12" s="22"/>
      <c r="B12" s="24">
        <v>5</v>
      </c>
      <c r="C12" s="25">
        <v>7</v>
      </c>
      <c r="D12" s="25">
        <v>24</v>
      </c>
      <c r="E12" s="26">
        <v>2.5600000000000023</v>
      </c>
      <c r="F12" s="27">
        <f t="shared" si="0"/>
        <v>5120.0000000000045</v>
      </c>
      <c r="G12" s="28">
        <f t="shared" si="1"/>
        <v>5301760.0000000047</v>
      </c>
      <c r="H12" s="26">
        <v>0.5</v>
      </c>
      <c r="I12" s="27">
        <f t="shared" si="2"/>
        <v>1000</v>
      </c>
      <c r="J12" s="28">
        <f t="shared" si="3"/>
        <v>1553250</v>
      </c>
      <c r="K12" s="26">
        <f t="shared" si="4"/>
        <v>6855010.0000000047</v>
      </c>
      <c r="L12" s="29">
        <f t="shared" si="5"/>
        <v>7540511.0000000056</v>
      </c>
      <c r="M12" s="30">
        <f t="shared" si="6"/>
        <v>524.33843265419694</v>
      </c>
      <c r="N12" s="31"/>
    </row>
    <row r="13" spans="1:14" x14ac:dyDescent="0.25">
      <c r="A13" s="22"/>
      <c r="B13" s="24">
        <v>6</v>
      </c>
      <c r="C13" s="25">
        <v>6</v>
      </c>
      <c r="D13" s="25">
        <v>25</v>
      </c>
      <c r="E13" s="26">
        <v>2.480000000000004</v>
      </c>
      <c r="F13" s="27">
        <f t="shared" si="0"/>
        <v>4960.0000000000082</v>
      </c>
      <c r="G13" s="28">
        <f t="shared" si="1"/>
        <v>5136080.0000000084</v>
      </c>
      <c r="H13" s="26">
        <v>0.53000000000000114</v>
      </c>
      <c r="I13" s="27">
        <f t="shared" si="2"/>
        <v>1060.0000000000023</v>
      </c>
      <c r="J13" s="28">
        <f t="shared" si="3"/>
        <v>1646445.0000000035</v>
      </c>
      <c r="K13" s="26">
        <f t="shared" si="4"/>
        <v>6782525.0000000121</v>
      </c>
      <c r="L13" s="29">
        <f t="shared" si="5"/>
        <v>7460777.500000014</v>
      </c>
      <c r="M13" s="30">
        <f t="shared" si="6"/>
        <v>518.79406856268781</v>
      </c>
      <c r="N13" s="31"/>
    </row>
    <row r="14" spans="1:14" x14ac:dyDescent="0.25">
      <c r="A14" s="22"/>
      <c r="B14" s="24">
        <v>7</v>
      </c>
      <c r="C14" s="25">
        <v>2</v>
      </c>
      <c r="D14" s="25">
        <v>17</v>
      </c>
      <c r="E14" s="26">
        <v>2.5699999999999932</v>
      </c>
      <c r="F14" s="27">
        <f t="shared" si="0"/>
        <v>5139.9999999999864</v>
      </c>
      <c r="G14" s="28">
        <f t="shared" si="1"/>
        <v>5322469.999999986</v>
      </c>
      <c r="H14" s="26">
        <v>0.46999999999999886</v>
      </c>
      <c r="I14" s="27">
        <f t="shared" si="2"/>
        <v>939.99999999999773</v>
      </c>
      <c r="J14" s="28">
        <f t="shared" si="3"/>
        <v>1460054.9999999965</v>
      </c>
      <c r="K14" s="26">
        <f t="shared" si="4"/>
        <v>6782524.9999999823</v>
      </c>
      <c r="L14" s="29">
        <f t="shared" si="5"/>
        <v>7460777.4999999814</v>
      </c>
      <c r="M14" s="30">
        <f t="shared" si="6"/>
        <v>518.79406856268554</v>
      </c>
      <c r="N14" s="31"/>
    </row>
    <row r="15" spans="1:14" x14ac:dyDescent="0.25">
      <c r="A15" s="22"/>
      <c r="B15" s="24">
        <v>8</v>
      </c>
      <c r="C15" s="25">
        <v>2</v>
      </c>
      <c r="D15" s="25">
        <v>6</v>
      </c>
      <c r="E15" s="26">
        <v>2.3799999999999955</v>
      </c>
      <c r="F15" s="27">
        <f t="shared" si="0"/>
        <v>4759.9999999999909</v>
      </c>
      <c r="G15" s="28">
        <f t="shared" si="1"/>
        <v>4928979.9999999907</v>
      </c>
      <c r="H15" s="26">
        <v>0.49000000000000199</v>
      </c>
      <c r="I15" s="27">
        <f t="shared" si="2"/>
        <v>980.00000000000398</v>
      </c>
      <c r="J15" s="28">
        <f t="shared" si="3"/>
        <v>1522185.0000000063</v>
      </c>
      <c r="K15" s="26">
        <f t="shared" si="4"/>
        <v>6451164.9999999972</v>
      </c>
      <c r="L15" s="29">
        <f t="shared" si="5"/>
        <v>7096281.4999999972</v>
      </c>
      <c r="M15" s="30">
        <f t="shared" si="6"/>
        <v>493.44840414435697</v>
      </c>
      <c r="N15" s="31"/>
    </row>
    <row r="16" spans="1:14" x14ac:dyDescent="0.25">
      <c r="A16" s="22"/>
      <c r="B16" s="24">
        <v>9</v>
      </c>
      <c r="C16" s="25">
        <v>1</v>
      </c>
      <c r="D16" s="25">
        <v>13</v>
      </c>
      <c r="E16" s="26">
        <v>2.5700000000000074</v>
      </c>
      <c r="F16" s="27">
        <f t="shared" si="0"/>
        <v>5140.0000000000146</v>
      </c>
      <c r="G16" s="28">
        <f t="shared" si="1"/>
        <v>5322470.0000000149</v>
      </c>
      <c r="H16" s="26">
        <v>0.46999999999999886</v>
      </c>
      <c r="I16" s="27">
        <f t="shared" si="2"/>
        <v>939.99999999999773</v>
      </c>
      <c r="J16" s="28">
        <f t="shared" si="3"/>
        <v>1460054.9999999965</v>
      </c>
      <c r="K16" s="26">
        <f t="shared" si="4"/>
        <v>6782525.0000000112</v>
      </c>
      <c r="L16" s="29">
        <f t="shared" si="5"/>
        <v>7460777.500000013</v>
      </c>
      <c r="M16" s="30">
        <f t="shared" si="6"/>
        <v>518.79406856268781</v>
      </c>
      <c r="N16" s="31"/>
    </row>
    <row r="17" spans="1:14" x14ac:dyDescent="0.25">
      <c r="A17" s="22"/>
      <c r="B17" s="24">
        <v>10</v>
      </c>
      <c r="C17" s="25">
        <v>2</v>
      </c>
      <c r="D17" s="25">
        <v>15</v>
      </c>
      <c r="E17" s="26">
        <v>1.9699999999999989</v>
      </c>
      <c r="F17" s="27">
        <f t="shared" si="0"/>
        <v>3939.9999999999977</v>
      </c>
      <c r="G17" s="28">
        <f t="shared" si="1"/>
        <v>4079869.9999999977</v>
      </c>
      <c r="H17" s="26">
        <v>0.40000000000000213</v>
      </c>
      <c r="I17" s="27">
        <f t="shared" si="2"/>
        <v>800.00000000000432</v>
      </c>
      <c r="J17" s="28">
        <f t="shared" si="3"/>
        <v>1242600.0000000068</v>
      </c>
      <c r="K17" s="26">
        <f t="shared" si="4"/>
        <v>5322470.0000000047</v>
      </c>
      <c r="L17" s="29">
        <f t="shared" si="5"/>
        <v>5854717.0000000056</v>
      </c>
      <c r="M17" s="30">
        <f t="shared" si="6"/>
        <v>407.11473471942185</v>
      </c>
      <c r="N17" s="31"/>
    </row>
    <row r="18" spans="1:14" x14ac:dyDescent="0.25">
      <c r="A18" s="22"/>
      <c r="B18" s="24">
        <v>11</v>
      </c>
      <c r="C18" s="25">
        <v>5</v>
      </c>
      <c r="D18" s="25">
        <v>7</v>
      </c>
      <c r="E18" s="26">
        <v>1.9200000000000017</v>
      </c>
      <c r="F18" s="27">
        <f t="shared" si="0"/>
        <v>3840.0000000000036</v>
      </c>
      <c r="G18" s="28">
        <f t="shared" si="1"/>
        <v>3976320.0000000037</v>
      </c>
      <c r="H18" s="26">
        <v>0.38999999999999702</v>
      </c>
      <c r="I18" s="27">
        <f t="shared" si="2"/>
        <v>779.99999999999409</v>
      </c>
      <c r="J18" s="28">
        <f t="shared" si="3"/>
        <v>1211534.9999999909</v>
      </c>
      <c r="K18" s="26">
        <f t="shared" si="4"/>
        <v>5187854.9999999944</v>
      </c>
      <c r="L18" s="29">
        <f t="shared" si="5"/>
        <v>5706640.4999999944</v>
      </c>
      <c r="M18" s="30">
        <f t="shared" si="6"/>
        <v>396.81805854947459</v>
      </c>
      <c r="N18" s="31"/>
    </row>
    <row r="19" spans="1:14" x14ac:dyDescent="0.25">
      <c r="A19" s="22"/>
      <c r="B19" s="24">
        <v>12</v>
      </c>
      <c r="C19" s="25">
        <v>6</v>
      </c>
      <c r="D19" s="25">
        <v>20</v>
      </c>
      <c r="E19" s="26">
        <v>1.9099999999999966</v>
      </c>
      <c r="F19" s="27">
        <f t="shared" si="0"/>
        <v>3819.9999999999932</v>
      </c>
      <c r="G19" s="28">
        <f t="shared" si="1"/>
        <v>3955609.999999993</v>
      </c>
      <c r="H19" s="26">
        <v>0.40000000000000213</v>
      </c>
      <c r="I19" s="27">
        <f t="shared" si="2"/>
        <v>800.00000000000432</v>
      </c>
      <c r="J19" s="28">
        <f t="shared" si="3"/>
        <v>1242600.0000000068</v>
      </c>
      <c r="K19" s="26">
        <f t="shared" si="4"/>
        <v>5198210</v>
      </c>
      <c r="L19" s="29">
        <f t="shared" si="5"/>
        <v>5718031</v>
      </c>
      <c r="M19" s="30">
        <f t="shared" si="6"/>
        <v>397.61011056254779</v>
      </c>
      <c r="N19" s="31"/>
    </row>
    <row r="20" spans="1:14" x14ac:dyDescent="0.25">
      <c r="A20" s="22"/>
      <c r="B20" s="24">
        <v>13</v>
      </c>
      <c r="C20" s="25">
        <v>4</v>
      </c>
      <c r="D20" s="25">
        <v>23</v>
      </c>
      <c r="E20" s="26">
        <v>1.9000000000000057</v>
      </c>
      <c r="F20" s="27">
        <f t="shared" si="0"/>
        <v>3800.0000000000114</v>
      </c>
      <c r="G20" s="28">
        <f t="shared" si="1"/>
        <v>3934900.0000000116</v>
      </c>
      <c r="H20" s="26">
        <v>0.37000000000000099</v>
      </c>
      <c r="I20" s="27">
        <f t="shared" si="2"/>
        <v>740.00000000000205</v>
      </c>
      <c r="J20" s="28">
        <f t="shared" si="3"/>
        <v>1149405.0000000033</v>
      </c>
      <c r="K20" s="26">
        <f t="shared" si="4"/>
        <v>5084305.0000000149</v>
      </c>
      <c r="L20" s="29">
        <f t="shared" si="5"/>
        <v>5592735.5000000168</v>
      </c>
      <c r="M20" s="30">
        <f t="shared" si="6"/>
        <v>388.89753841874813</v>
      </c>
      <c r="N20" s="31"/>
    </row>
    <row r="21" spans="1:14" x14ac:dyDescent="0.25">
      <c r="A21" s="22"/>
      <c r="B21" s="24">
        <v>14</v>
      </c>
      <c r="C21" s="25">
        <v>7</v>
      </c>
      <c r="D21" s="25">
        <v>14</v>
      </c>
      <c r="E21" s="26">
        <v>1.9300000000000068</v>
      </c>
      <c r="F21" s="27">
        <f t="shared" si="0"/>
        <v>3860.0000000000136</v>
      </c>
      <c r="G21" s="28">
        <f t="shared" si="1"/>
        <v>3997030.000000014</v>
      </c>
      <c r="H21" s="26">
        <v>0.37999999999999901</v>
      </c>
      <c r="I21" s="27">
        <f t="shared" si="2"/>
        <v>759.99999999999795</v>
      </c>
      <c r="J21" s="28">
        <f t="shared" si="3"/>
        <v>1180469.9999999967</v>
      </c>
      <c r="K21" s="26">
        <f t="shared" si="4"/>
        <v>5177500.0000000112</v>
      </c>
      <c r="L21" s="29">
        <f t="shared" si="5"/>
        <v>5695250.000000013</v>
      </c>
      <c r="M21" s="30">
        <f t="shared" si="6"/>
        <v>396.02600653640309</v>
      </c>
      <c r="N21" s="31"/>
    </row>
    <row r="22" spans="1:14" x14ac:dyDescent="0.25">
      <c r="A22" s="22"/>
      <c r="B22" s="24">
        <v>15</v>
      </c>
      <c r="C22" s="25">
        <v>5</v>
      </c>
      <c r="D22" s="25">
        <v>22</v>
      </c>
      <c r="E22" s="26">
        <v>1.789999999999992</v>
      </c>
      <c r="F22" s="27">
        <f t="shared" si="0"/>
        <v>3579.9999999999841</v>
      </c>
      <c r="G22" s="28">
        <f t="shared" si="1"/>
        <v>3707089.9999999837</v>
      </c>
      <c r="H22" s="26">
        <v>0.34999999999999787</v>
      </c>
      <c r="I22" s="27">
        <f t="shared" si="2"/>
        <v>699.99999999999568</v>
      </c>
      <c r="J22" s="28">
        <f t="shared" si="3"/>
        <v>1087274.9999999932</v>
      </c>
      <c r="K22" s="26">
        <f t="shared" si="4"/>
        <v>4794364.9999999767</v>
      </c>
      <c r="L22" s="29">
        <f t="shared" si="5"/>
        <v>5273801.4999999749</v>
      </c>
      <c r="M22" s="30">
        <f t="shared" si="6"/>
        <v>366.72008205270669</v>
      </c>
      <c r="N22" s="31"/>
    </row>
    <row r="23" spans="1:14" x14ac:dyDescent="0.25">
      <c r="A23" s="22"/>
      <c r="B23" s="24">
        <v>16</v>
      </c>
      <c r="C23" s="25">
        <v>7</v>
      </c>
      <c r="D23" s="25">
        <v>33</v>
      </c>
      <c r="E23" s="26">
        <v>1.8599999999999852</v>
      </c>
      <c r="F23" s="27">
        <f t="shared" si="0"/>
        <v>3719.9999999999704</v>
      </c>
      <c r="G23" s="28">
        <f t="shared" si="1"/>
        <v>3852059.9999999693</v>
      </c>
      <c r="H23" s="26">
        <v>0.40000000000000213</v>
      </c>
      <c r="I23" s="27">
        <f t="shared" si="2"/>
        <v>800.00000000000432</v>
      </c>
      <c r="J23" s="28">
        <f t="shared" si="3"/>
        <v>1242600.0000000068</v>
      </c>
      <c r="K23" s="26">
        <f t="shared" si="4"/>
        <v>5094659.9999999758</v>
      </c>
      <c r="L23" s="29">
        <f t="shared" si="5"/>
        <v>5604125.9999999739</v>
      </c>
      <c r="M23" s="30">
        <f t="shared" si="6"/>
        <v>389.68959043181798</v>
      </c>
      <c r="N23" s="31"/>
    </row>
    <row r="24" spans="1:14" x14ac:dyDescent="0.25">
      <c r="A24" s="22"/>
      <c r="B24" s="24">
        <v>17</v>
      </c>
      <c r="C24" s="25">
        <v>6</v>
      </c>
      <c r="D24" s="25">
        <v>25</v>
      </c>
      <c r="E24" s="26">
        <v>1.9000000000000057</v>
      </c>
      <c r="F24" s="27">
        <f t="shared" si="0"/>
        <v>3800.0000000000114</v>
      </c>
      <c r="G24" s="28">
        <f t="shared" si="1"/>
        <v>3934900.0000000116</v>
      </c>
      <c r="H24" s="26">
        <v>0.37999999999999901</v>
      </c>
      <c r="I24" s="27">
        <f t="shared" si="2"/>
        <v>759.99999999999795</v>
      </c>
      <c r="J24" s="28">
        <f t="shared" si="3"/>
        <v>1180469.9999999967</v>
      </c>
      <c r="K24" s="26">
        <f t="shared" si="4"/>
        <v>5115370.0000000084</v>
      </c>
      <c r="L24" s="29">
        <f t="shared" si="5"/>
        <v>5626907.0000000093</v>
      </c>
      <c r="M24" s="30">
        <f t="shared" si="6"/>
        <v>391.27369445796603</v>
      </c>
      <c r="N24" s="31"/>
    </row>
    <row r="25" spans="1:14" x14ac:dyDescent="0.25">
      <c r="A25" s="22"/>
      <c r="B25" s="24">
        <v>18</v>
      </c>
      <c r="C25" s="25">
        <v>13</v>
      </c>
      <c r="D25" s="25">
        <v>35</v>
      </c>
      <c r="E25" s="26">
        <v>1.9699999999999989</v>
      </c>
      <c r="F25" s="27">
        <f t="shared" si="0"/>
        <v>3939.9999999999977</v>
      </c>
      <c r="G25" s="28">
        <f t="shared" si="1"/>
        <v>4079869.9999999977</v>
      </c>
      <c r="H25" s="26">
        <v>0.48000000000000043</v>
      </c>
      <c r="I25" s="27">
        <f t="shared" si="2"/>
        <v>960.00000000000091</v>
      </c>
      <c r="J25" s="28">
        <f t="shared" si="3"/>
        <v>1491120.0000000014</v>
      </c>
      <c r="K25" s="26">
        <f t="shared" si="4"/>
        <v>5570989.9999999991</v>
      </c>
      <c r="L25" s="29">
        <f t="shared" si="5"/>
        <v>6128088.9999999991</v>
      </c>
      <c r="M25" s="30">
        <f t="shared" si="6"/>
        <v>426.12398303316871</v>
      </c>
      <c r="N25" s="31"/>
    </row>
    <row r="26" spans="1:14" x14ac:dyDescent="0.25">
      <c r="A26" s="22"/>
      <c r="B26" s="24">
        <v>19</v>
      </c>
      <c r="C26" s="25">
        <v>16</v>
      </c>
      <c r="D26" s="25">
        <v>57</v>
      </c>
      <c r="E26" s="26">
        <v>2.3100000000000023</v>
      </c>
      <c r="F26" s="27">
        <f t="shared" si="0"/>
        <v>4620.0000000000045</v>
      </c>
      <c r="G26" s="28">
        <f t="shared" si="1"/>
        <v>4784010.0000000047</v>
      </c>
      <c r="H26" s="26">
        <v>0.46999999999999886</v>
      </c>
      <c r="I26" s="27">
        <f t="shared" si="2"/>
        <v>939.99999999999773</v>
      </c>
      <c r="J26" s="28">
        <f t="shared" si="3"/>
        <v>1460054.9999999965</v>
      </c>
      <c r="K26" s="26">
        <f t="shared" si="4"/>
        <v>6244065.0000000009</v>
      </c>
      <c r="L26" s="29">
        <f t="shared" si="5"/>
        <v>6868471.5000000019</v>
      </c>
      <c r="M26" s="30">
        <f t="shared" si="6"/>
        <v>477.60736388290115</v>
      </c>
      <c r="N26" s="31"/>
    </row>
    <row r="27" spans="1:14" x14ac:dyDescent="0.25">
      <c r="A27" s="22"/>
      <c r="B27" s="24">
        <v>20</v>
      </c>
      <c r="C27" s="25">
        <v>10</v>
      </c>
      <c r="D27" s="25">
        <v>64</v>
      </c>
      <c r="E27" s="26">
        <v>2.2700000000000102</v>
      </c>
      <c r="F27" s="27">
        <f t="shared" si="0"/>
        <v>4540.00000000002</v>
      </c>
      <c r="G27" s="28">
        <f t="shared" si="1"/>
        <v>4701170.0000000205</v>
      </c>
      <c r="H27" s="26">
        <v>0.44000000000000128</v>
      </c>
      <c r="I27" s="27">
        <f t="shared" si="2"/>
        <v>880.0000000000025</v>
      </c>
      <c r="J27" s="28">
        <f t="shared" si="3"/>
        <v>1366860.000000004</v>
      </c>
      <c r="K27" s="26">
        <f t="shared" si="4"/>
        <v>6068030.0000000242</v>
      </c>
      <c r="L27" s="29">
        <f t="shared" si="5"/>
        <v>6674833.000000027</v>
      </c>
      <c r="M27" s="30">
        <f t="shared" si="6"/>
        <v>464.14247966066523</v>
      </c>
      <c r="N27" s="31"/>
    </row>
    <row r="28" spans="1:14" x14ac:dyDescent="0.25">
      <c r="A28" s="22"/>
      <c r="B28" s="24">
        <v>21</v>
      </c>
      <c r="C28" s="25">
        <v>9</v>
      </c>
      <c r="D28" s="25">
        <v>43</v>
      </c>
      <c r="E28" s="26">
        <v>2.289999999999992</v>
      </c>
      <c r="F28" s="27">
        <f t="shared" si="0"/>
        <v>4579.9999999999836</v>
      </c>
      <c r="G28" s="28">
        <f t="shared" si="1"/>
        <v>4742589.9999999832</v>
      </c>
      <c r="H28" s="26">
        <v>0.42999999999999972</v>
      </c>
      <c r="I28" s="27">
        <f t="shared" si="2"/>
        <v>859.99999999999943</v>
      </c>
      <c r="J28" s="28">
        <f t="shared" si="3"/>
        <v>1335794.9999999991</v>
      </c>
      <c r="K28" s="26">
        <f t="shared" si="4"/>
        <v>6078384.9999999823</v>
      </c>
      <c r="L28" s="29">
        <f t="shared" si="5"/>
        <v>6686223.4999999814</v>
      </c>
      <c r="M28" s="30">
        <f t="shared" si="6"/>
        <v>464.93453167373491</v>
      </c>
      <c r="N28" s="31"/>
    </row>
    <row r="29" spans="1:14" x14ac:dyDescent="0.25">
      <c r="A29" s="22"/>
      <c r="B29" s="24">
        <v>22</v>
      </c>
      <c r="C29" s="25">
        <v>7</v>
      </c>
      <c r="D29" s="25">
        <v>39</v>
      </c>
      <c r="E29" s="26">
        <v>2.1400000000000148</v>
      </c>
      <c r="F29" s="27">
        <f t="shared" si="0"/>
        <v>4280.0000000000291</v>
      </c>
      <c r="G29" s="28">
        <f t="shared" si="1"/>
        <v>4431940.0000000298</v>
      </c>
      <c r="H29" s="26">
        <v>0.41000000000000014</v>
      </c>
      <c r="I29" s="27">
        <f t="shared" si="2"/>
        <v>820.00000000000023</v>
      </c>
      <c r="J29" s="28">
        <f t="shared" si="3"/>
        <v>1273665.0000000005</v>
      </c>
      <c r="K29" s="26">
        <f t="shared" si="4"/>
        <v>5705605.0000000298</v>
      </c>
      <c r="L29" s="29">
        <f t="shared" si="5"/>
        <v>6276165.5000000335</v>
      </c>
      <c r="M29" s="30">
        <f t="shared" si="6"/>
        <v>436.42065920311757</v>
      </c>
      <c r="N29" s="31"/>
    </row>
    <row r="30" spans="1:14" x14ac:dyDescent="0.25">
      <c r="A30" s="22"/>
      <c r="B30" s="24">
        <v>23</v>
      </c>
      <c r="C30" s="25">
        <v>2</v>
      </c>
      <c r="D30" s="25">
        <v>18</v>
      </c>
      <c r="E30" s="26">
        <v>1.7999999999999829</v>
      </c>
      <c r="F30" s="27">
        <f t="shared" si="0"/>
        <v>3599.9999999999659</v>
      </c>
      <c r="G30" s="28">
        <f t="shared" si="1"/>
        <v>3727799.9999999646</v>
      </c>
      <c r="H30" s="26">
        <v>0.44999999999999929</v>
      </c>
      <c r="I30" s="27">
        <f t="shared" si="2"/>
        <v>899.99999999999864</v>
      </c>
      <c r="J30" s="28">
        <f t="shared" si="3"/>
        <v>1397924.9999999979</v>
      </c>
      <c r="K30" s="26">
        <f t="shared" si="4"/>
        <v>5125724.9999999627</v>
      </c>
      <c r="L30" s="29">
        <f t="shared" si="5"/>
        <v>5638297.499999959</v>
      </c>
      <c r="M30" s="30">
        <f t="shared" si="6"/>
        <v>392.06574647103531</v>
      </c>
      <c r="N30" s="31"/>
    </row>
    <row r="31" spans="1:14" x14ac:dyDescent="0.25">
      <c r="A31" s="22"/>
      <c r="B31" s="24">
        <v>24</v>
      </c>
      <c r="C31" s="25">
        <v>2</v>
      </c>
      <c r="D31" s="25">
        <v>11</v>
      </c>
      <c r="E31" s="26">
        <v>2.4399999999999977</v>
      </c>
      <c r="F31" s="27">
        <f t="shared" si="0"/>
        <v>4879.9999999999955</v>
      </c>
      <c r="G31" s="28">
        <f t="shared" si="1"/>
        <v>5053239.9999999953</v>
      </c>
      <c r="H31" s="26">
        <v>0.30000000000000071</v>
      </c>
      <c r="I31" s="27">
        <f t="shared" si="2"/>
        <v>600.00000000000136</v>
      </c>
      <c r="J31" s="28">
        <f t="shared" si="3"/>
        <v>931950.0000000021</v>
      </c>
      <c r="K31" s="26">
        <f t="shared" si="4"/>
        <v>5985189.9999999972</v>
      </c>
      <c r="L31" s="29">
        <f t="shared" si="5"/>
        <v>6583708.9999999972</v>
      </c>
      <c r="M31" s="30">
        <f t="shared" si="6"/>
        <v>457.80606355608074</v>
      </c>
      <c r="N31" s="31"/>
    </row>
    <row r="32" spans="1:14" x14ac:dyDescent="0.25">
      <c r="A32" s="22"/>
      <c r="B32" s="24">
        <v>25</v>
      </c>
      <c r="C32" s="25">
        <v>4</v>
      </c>
      <c r="D32" s="25">
        <v>14</v>
      </c>
      <c r="E32" s="26">
        <v>1.7300000000000182</v>
      </c>
      <c r="F32" s="27">
        <f t="shared" si="0"/>
        <v>3460.0000000000364</v>
      </c>
      <c r="G32" s="28">
        <f t="shared" si="1"/>
        <v>3582830.0000000377</v>
      </c>
      <c r="H32" s="26">
        <v>0.42000000000000171</v>
      </c>
      <c r="I32" s="27">
        <f t="shared" si="2"/>
        <v>840.00000000000341</v>
      </c>
      <c r="J32" s="28">
        <f t="shared" si="3"/>
        <v>1304730.0000000054</v>
      </c>
      <c r="K32" s="26">
        <f t="shared" si="4"/>
        <v>4887560.0000000428</v>
      </c>
      <c r="L32" s="29">
        <f t="shared" si="5"/>
        <v>5376316.0000000475</v>
      </c>
      <c r="M32" s="30">
        <f t="shared" si="6"/>
        <v>373.84855017036699</v>
      </c>
      <c r="N32" s="31"/>
    </row>
    <row r="33" spans="1:16" x14ac:dyDescent="0.25">
      <c r="A33" s="22"/>
      <c r="B33" s="24">
        <v>26</v>
      </c>
      <c r="C33" s="25">
        <v>8</v>
      </c>
      <c r="D33" s="25">
        <v>18</v>
      </c>
      <c r="E33" s="26">
        <v>1.839999999999975</v>
      </c>
      <c r="F33" s="27">
        <f t="shared" si="0"/>
        <v>3679.99999999995</v>
      </c>
      <c r="G33" s="28">
        <f t="shared" si="1"/>
        <v>3810639.9999999483</v>
      </c>
      <c r="H33" s="26">
        <v>0.42999999999999972</v>
      </c>
      <c r="I33" s="27">
        <f t="shared" si="2"/>
        <v>859.99999999999943</v>
      </c>
      <c r="J33" s="28">
        <f t="shared" si="3"/>
        <v>1335794.9999999991</v>
      </c>
      <c r="K33" s="26">
        <f t="shared" si="4"/>
        <v>5146434.9999999478</v>
      </c>
      <c r="L33" s="29">
        <f t="shared" si="5"/>
        <v>5661078.4999999432</v>
      </c>
      <c r="M33" s="30">
        <f t="shared" si="6"/>
        <v>393.64985049717984</v>
      </c>
      <c r="N33" s="31"/>
    </row>
    <row r="34" spans="1:16" x14ac:dyDescent="0.25">
      <c r="A34" s="22"/>
      <c r="B34" s="24">
        <v>27</v>
      </c>
      <c r="C34" s="25">
        <v>5</v>
      </c>
      <c r="D34" s="25">
        <v>36</v>
      </c>
      <c r="E34" s="26">
        <v>2.0100000000000193</v>
      </c>
      <c r="F34" s="27">
        <f t="shared" si="0"/>
        <v>4020.0000000000387</v>
      </c>
      <c r="G34" s="28">
        <f t="shared" si="1"/>
        <v>4162710.00000004</v>
      </c>
      <c r="H34" s="26">
        <v>0.42999999999999972</v>
      </c>
      <c r="I34" s="27">
        <f t="shared" si="2"/>
        <v>859.99999999999943</v>
      </c>
      <c r="J34" s="28">
        <f t="shared" si="3"/>
        <v>1335794.9999999991</v>
      </c>
      <c r="K34" s="26">
        <f t="shared" si="4"/>
        <v>5498505.0000000391</v>
      </c>
      <c r="L34" s="29">
        <f t="shared" si="5"/>
        <v>6048355.5000000438</v>
      </c>
      <c r="M34" s="30">
        <f t="shared" si="6"/>
        <v>420.5796189416622</v>
      </c>
      <c r="N34" s="31"/>
    </row>
    <row r="35" spans="1:16" x14ac:dyDescent="0.25">
      <c r="A35" s="22"/>
      <c r="B35" s="24">
        <v>28</v>
      </c>
      <c r="C35" s="25">
        <v>7</v>
      </c>
      <c r="D35" s="25">
        <v>21</v>
      </c>
      <c r="E35" s="26">
        <v>2.0699999999999932</v>
      </c>
      <c r="F35" s="27">
        <f t="shared" si="0"/>
        <v>4139.9999999999864</v>
      </c>
      <c r="G35" s="28">
        <f t="shared" si="1"/>
        <v>4286969.999999986</v>
      </c>
      <c r="H35" s="26">
        <v>0.41999999999999815</v>
      </c>
      <c r="I35" s="27">
        <f t="shared" si="2"/>
        <v>839.99999999999636</v>
      </c>
      <c r="J35" s="28">
        <f t="shared" si="3"/>
        <v>1304729.9999999944</v>
      </c>
      <c r="K35" s="26">
        <f t="shared" si="4"/>
        <v>5591699.9999999804</v>
      </c>
      <c r="L35" s="29">
        <f t="shared" si="5"/>
        <v>6150869.9999999786</v>
      </c>
      <c r="M35" s="30">
        <f t="shared" si="6"/>
        <v>427.7080870593129</v>
      </c>
      <c r="N35" s="31"/>
    </row>
    <row r="36" spans="1:16" x14ac:dyDescent="0.25">
      <c r="A36" s="22"/>
      <c r="B36" s="24">
        <v>29</v>
      </c>
      <c r="C36" s="25">
        <v>6</v>
      </c>
      <c r="D36" s="25">
        <v>34</v>
      </c>
      <c r="E36" s="26">
        <v>2.1299999999999955</v>
      </c>
      <c r="F36" s="27">
        <f t="shared" si="0"/>
        <v>4259.9999999999909</v>
      </c>
      <c r="G36" s="28">
        <f t="shared" si="1"/>
        <v>4411229.9999999907</v>
      </c>
      <c r="H36" s="26">
        <v>0.43000000000000327</v>
      </c>
      <c r="I36" s="27">
        <f t="shared" si="2"/>
        <v>860.00000000000659</v>
      </c>
      <c r="J36" s="28">
        <f t="shared" si="3"/>
        <v>1335795.0000000102</v>
      </c>
      <c r="K36" s="26">
        <f t="shared" si="4"/>
        <v>5747025.0000000009</v>
      </c>
      <c r="L36" s="29">
        <f t="shared" si="5"/>
        <v>6321727.5000000019</v>
      </c>
      <c r="M36" s="30">
        <f t="shared" si="6"/>
        <v>439.58886725540657</v>
      </c>
      <c r="N36" s="31"/>
    </row>
    <row r="37" spans="1:16" x14ac:dyDescent="0.25">
      <c r="A37" s="22"/>
      <c r="B37" s="24">
        <v>30</v>
      </c>
      <c r="C37" s="25">
        <v>8</v>
      </c>
      <c r="D37" s="25">
        <v>23</v>
      </c>
      <c r="E37" s="26">
        <v>2.1500000000000057</v>
      </c>
      <c r="F37" s="27">
        <f t="shared" si="0"/>
        <v>4300.0000000000109</v>
      </c>
      <c r="G37" s="28">
        <f>F37*1035.5</f>
        <v>4452650.0000000112</v>
      </c>
      <c r="H37" s="26">
        <v>0.42999999999999972</v>
      </c>
      <c r="I37" s="27">
        <f t="shared" si="2"/>
        <v>859.99999999999943</v>
      </c>
      <c r="J37" s="28">
        <f t="shared" si="3"/>
        <v>1335794.9999999991</v>
      </c>
      <c r="K37" s="26">
        <f t="shared" si="4"/>
        <v>5788445.0000000102</v>
      </c>
      <c r="L37" s="29">
        <f t="shared" si="5"/>
        <v>6367289.5000000121</v>
      </c>
      <c r="M37" s="30">
        <f t="shared" si="6"/>
        <v>442.75707530769847</v>
      </c>
      <c r="N37" s="31"/>
    </row>
    <row r="38" spans="1:16" x14ac:dyDescent="0.25">
      <c r="A38" s="22"/>
      <c r="B38" s="24">
        <v>31</v>
      </c>
      <c r="C38" s="25" t="s">
        <v>59</v>
      </c>
      <c r="D38" s="25" t="s">
        <v>59</v>
      </c>
      <c r="E38" s="26"/>
      <c r="F38" s="27">
        <f t="shared" si="0"/>
        <v>0</v>
      </c>
      <c r="G38" s="28">
        <f t="shared" si="1"/>
        <v>0</v>
      </c>
      <c r="H38" s="26"/>
      <c r="I38" s="27">
        <f t="shared" si="2"/>
        <v>0</v>
      </c>
      <c r="J38" s="28">
        <f t="shared" si="3"/>
        <v>0</v>
      </c>
      <c r="K38" s="26">
        <f t="shared" si="4"/>
        <v>0</v>
      </c>
      <c r="L38" s="29">
        <f t="shared" si="5"/>
        <v>0</v>
      </c>
      <c r="M38" s="30">
        <f t="shared" si="6"/>
        <v>0</v>
      </c>
      <c r="N38" s="31"/>
    </row>
    <row r="39" spans="1:16" x14ac:dyDescent="0.25">
      <c r="C39" s="32">
        <f>SUM(C8:C38)</f>
        <v>178</v>
      </c>
      <c r="D39" s="32">
        <f>SUM(D8:D38)</f>
        <v>732</v>
      </c>
      <c r="E39" s="33">
        <v>3.2799999999999727</v>
      </c>
      <c r="F39" s="32">
        <f>SUM(F8:F38)</f>
        <v>130060.00000000001</v>
      </c>
      <c r="I39" s="32">
        <f>SUM(I8:I38)</f>
        <v>26080.000000000007</v>
      </c>
      <c r="L39" s="34">
        <f>SUM(L8:L38)</f>
        <v>192704479</v>
      </c>
      <c r="M39" s="35">
        <f>SUM(M8:M38)</f>
        <v>13399.935957165704</v>
      </c>
      <c r="N39" s="36"/>
      <c r="P39" s="37"/>
    </row>
    <row r="41" spans="1:16" x14ac:dyDescent="0.25">
      <c r="G41" s="89" t="s">
        <v>28</v>
      </c>
      <c r="H41" s="90"/>
      <c r="I41" s="91">
        <f>F39+I39</f>
        <v>156140.00000000003</v>
      </c>
      <c r="M41" s="38"/>
      <c r="P41" s="39"/>
    </row>
    <row r="42" spans="1:16" x14ac:dyDescent="0.25">
      <c r="M42" s="40"/>
    </row>
  </sheetData>
  <mergeCells count="17">
    <mergeCell ref="H6:H7"/>
    <mergeCell ref="I6:I7"/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  <mergeCell ref="F6:F7"/>
    <mergeCell ref="G6:G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opLeftCell="C3" workbookViewId="0">
      <selection activeCell="F9" sqref="F9:F39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style="33" customWidth="1"/>
    <col min="4" max="4" width="8.42578125" style="21" customWidth="1"/>
    <col min="5" max="5" width="11" style="33" customWidth="1"/>
    <col min="6" max="6" width="9.5703125" style="33" customWidth="1"/>
    <col min="7" max="7" width="11.140625" style="33" customWidth="1"/>
    <col min="8" max="8" width="9.42578125" style="33" customWidth="1"/>
    <col min="9" max="9" width="7.140625" style="33" customWidth="1"/>
    <col min="10" max="10" width="13.7109375" style="33" customWidth="1"/>
    <col min="11" max="11" width="11.140625" style="33" customWidth="1"/>
    <col min="12" max="12" width="6.7109375" style="33" customWidth="1"/>
    <col min="13" max="13" width="13.7109375" style="64" customWidth="1"/>
    <col min="14" max="14" width="8.7109375" style="33" customWidth="1"/>
    <col min="15" max="15" width="6.42578125" style="33" customWidth="1"/>
    <col min="16" max="16" width="11.140625" style="33" customWidth="1"/>
    <col min="17" max="17" width="15" style="21" customWidth="1"/>
    <col min="18" max="18" width="16.28515625" style="33" customWidth="1"/>
    <col min="19" max="19" width="2.5703125" style="12" customWidth="1"/>
    <col min="21" max="21" width="21.5703125" customWidth="1"/>
  </cols>
  <sheetData>
    <row r="1" spans="1:21" ht="15.75" x14ac:dyDescent="0.25">
      <c r="B1" s="100" t="s">
        <v>29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</row>
    <row r="2" spans="1:21" ht="15.75" x14ac:dyDescent="0.25">
      <c r="B2" s="100" t="s">
        <v>16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</row>
    <row r="3" spans="1:21" x14ac:dyDescent="0.25">
      <c r="E3" s="41"/>
      <c r="F3" s="42"/>
      <c r="G3" s="42"/>
      <c r="H3" s="42"/>
      <c r="I3" s="42"/>
      <c r="J3" s="42"/>
      <c r="K3" s="42"/>
      <c r="L3" s="42"/>
      <c r="M3" s="43"/>
      <c r="N3" s="41"/>
      <c r="O3" s="42"/>
      <c r="P3" s="42"/>
      <c r="Q3" s="44"/>
    </row>
    <row r="4" spans="1:21" x14ac:dyDescent="0.25">
      <c r="A4" s="18"/>
      <c r="B4" s="104">
        <v>44075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8"/>
    </row>
    <row r="5" spans="1:21" x14ac:dyDescent="0.25">
      <c r="A5" s="19"/>
      <c r="B5" s="99" t="s">
        <v>17</v>
      </c>
      <c r="C5" s="99" t="s">
        <v>18</v>
      </c>
      <c r="D5" s="99" t="s">
        <v>13</v>
      </c>
      <c r="E5" s="105" t="s">
        <v>30</v>
      </c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6" t="s">
        <v>31</v>
      </c>
      <c r="R5" s="106"/>
      <c r="S5" s="20"/>
    </row>
    <row r="6" spans="1:21" s="21" customFormat="1" x14ac:dyDescent="0.25">
      <c r="A6" s="19"/>
      <c r="B6" s="99"/>
      <c r="C6" s="99"/>
      <c r="D6" s="99"/>
      <c r="E6" s="105" t="s">
        <v>32</v>
      </c>
      <c r="F6" s="105"/>
      <c r="G6" s="105"/>
      <c r="H6" s="105" t="s">
        <v>33</v>
      </c>
      <c r="I6" s="105"/>
      <c r="J6" s="105"/>
      <c r="K6" s="105" t="s">
        <v>34</v>
      </c>
      <c r="L6" s="105"/>
      <c r="M6" s="105"/>
      <c r="N6" s="107" t="s">
        <v>35</v>
      </c>
      <c r="O6" s="107"/>
      <c r="P6" s="107"/>
      <c r="Q6" s="106"/>
      <c r="R6" s="106"/>
      <c r="S6" s="20"/>
    </row>
    <row r="7" spans="1:21" ht="22.5" x14ac:dyDescent="0.25">
      <c r="A7" s="22"/>
      <c r="B7" s="99"/>
      <c r="C7" s="99"/>
      <c r="D7" s="99"/>
      <c r="E7" s="99" t="s">
        <v>36</v>
      </c>
      <c r="F7" s="108" t="s">
        <v>37</v>
      </c>
      <c r="G7" s="45" t="s">
        <v>38</v>
      </c>
      <c r="H7" s="99" t="s">
        <v>39</v>
      </c>
      <c r="I7" s="99" t="s">
        <v>37</v>
      </c>
      <c r="J7" s="45" t="s">
        <v>38</v>
      </c>
      <c r="K7" s="99" t="s">
        <v>36</v>
      </c>
      <c r="L7" s="99" t="s">
        <v>37</v>
      </c>
      <c r="M7" s="45" t="s">
        <v>40</v>
      </c>
      <c r="N7" s="99" t="s">
        <v>41</v>
      </c>
      <c r="O7" s="99" t="s">
        <v>37</v>
      </c>
      <c r="P7" s="45" t="s">
        <v>40</v>
      </c>
      <c r="Q7" s="106"/>
      <c r="R7" s="106"/>
      <c r="S7" s="23"/>
    </row>
    <row r="8" spans="1:21" x14ac:dyDescent="0.25">
      <c r="A8" s="22"/>
      <c r="B8" s="99"/>
      <c r="C8" s="99"/>
      <c r="D8" s="99"/>
      <c r="E8" s="99"/>
      <c r="F8" s="109"/>
      <c r="G8" s="46">
        <v>10630</v>
      </c>
      <c r="H8" s="99"/>
      <c r="I8" s="99"/>
      <c r="J8" s="46">
        <f>G8</f>
        <v>10630</v>
      </c>
      <c r="K8" s="99"/>
      <c r="L8" s="99"/>
      <c r="M8" s="46">
        <f>J8</f>
        <v>10630</v>
      </c>
      <c r="N8" s="99"/>
      <c r="O8" s="99"/>
      <c r="P8" s="46">
        <f>J8</f>
        <v>10630</v>
      </c>
      <c r="Q8" s="47" t="s">
        <v>42</v>
      </c>
      <c r="R8" s="45" t="s">
        <v>23</v>
      </c>
      <c r="S8" s="23"/>
      <c r="U8">
        <f>792000/50</f>
        <v>15840</v>
      </c>
    </row>
    <row r="9" spans="1:21" x14ac:dyDescent="0.25">
      <c r="A9" s="22"/>
      <c r="B9" s="24">
        <v>1</v>
      </c>
      <c r="C9" s="48">
        <f>Electricity!C8</f>
        <v>7</v>
      </c>
      <c r="D9" s="49">
        <f>Electricity!D8</f>
        <v>19</v>
      </c>
      <c r="E9" s="97"/>
      <c r="F9" s="26">
        <v>35.350437158469944</v>
      </c>
      <c r="G9" s="51">
        <f>F9*$G$8</f>
        <v>375775.14699453552</v>
      </c>
      <c r="H9" s="50"/>
      <c r="I9" s="98"/>
      <c r="J9" s="51">
        <f>I9*$J$8</f>
        <v>0</v>
      </c>
      <c r="K9" s="50"/>
      <c r="L9" s="26"/>
      <c r="M9" s="27">
        <f>L9*$M$8</f>
        <v>0</v>
      </c>
      <c r="N9" s="50"/>
      <c r="O9" s="26">
        <v>7.14</v>
      </c>
      <c r="P9" s="52">
        <f>O9*$P$8</f>
        <v>75898.2</v>
      </c>
      <c r="Q9" s="53">
        <f>P9+G9+J9+M9</f>
        <v>451673.34699453553</v>
      </c>
      <c r="R9" s="54">
        <f>Q9/14381</f>
        <v>31.407645295496526</v>
      </c>
      <c r="S9" s="23"/>
    </row>
    <row r="10" spans="1:21" x14ac:dyDescent="0.25">
      <c r="A10" s="22"/>
      <c r="B10" s="24">
        <v>2</v>
      </c>
      <c r="C10" s="48">
        <f>Electricity!C9</f>
        <v>5</v>
      </c>
      <c r="D10" s="49">
        <f>Electricity!D9</f>
        <v>24</v>
      </c>
      <c r="E10" s="97"/>
      <c r="F10" s="26">
        <v>46.532131147540987</v>
      </c>
      <c r="G10" s="51">
        <f>F10*$G$8</f>
        <v>494636.55409836071</v>
      </c>
      <c r="H10" s="50"/>
      <c r="I10" s="98"/>
      <c r="J10" s="51">
        <f>I10*$J$8</f>
        <v>0</v>
      </c>
      <c r="K10" s="50"/>
      <c r="L10" s="26"/>
      <c r="M10" s="27">
        <f t="shared" ref="M10:M39" si="0">L10*$M$8</f>
        <v>0</v>
      </c>
      <c r="N10" s="50"/>
      <c r="O10" s="26">
        <v>7.14</v>
      </c>
      <c r="P10" s="52">
        <f>O10*$P$8</f>
        <v>75898.2</v>
      </c>
      <c r="Q10" s="53">
        <f>J10+M10+G10+P10</f>
        <v>570534.75409836066</v>
      </c>
      <c r="R10" s="54">
        <f t="shared" ref="R10:R39" si="1">Q10/14381</f>
        <v>39.672815110100871</v>
      </c>
      <c r="S10" s="23"/>
    </row>
    <row r="11" spans="1:21" x14ac:dyDescent="0.25">
      <c r="A11" s="22"/>
      <c r="B11" s="24">
        <v>3</v>
      </c>
      <c r="C11" s="48">
        <f>Electricity!C10</f>
        <v>2</v>
      </c>
      <c r="D11" s="49">
        <f>Electricity!D10</f>
        <v>21</v>
      </c>
      <c r="E11" s="97"/>
      <c r="F11" s="26">
        <v>39.823114754098363</v>
      </c>
      <c r="G11" s="51">
        <f t="shared" ref="G11:G39" si="2">F11*$G$8</f>
        <v>423319.70983606559</v>
      </c>
      <c r="H11" s="50"/>
      <c r="I11" s="98"/>
      <c r="J11" s="51">
        <f t="shared" ref="J11:J39" si="3">I11*$J$8</f>
        <v>0</v>
      </c>
      <c r="K11" s="50"/>
      <c r="L11" s="26"/>
      <c r="M11" s="27">
        <f t="shared" si="0"/>
        <v>0</v>
      </c>
      <c r="N11" s="50"/>
      <c r="O11" s="26">
        <v>7.14</v>
      </c>
      <c r="P11" s="52">
        <f t="shared" ref="P11:P39" si="4">O11*$P$8</f>
        <v>75898.2</v>
      </c>
      <c r="Q11" s="53">
        <f t="shared" ref="Q11:Q39" si="5">J11+M11+G11+P11</f>
        <v>499217.90983606561</v>
      </c>
      <c r="R11" s="54">
        <f t="shared" si="1"/>
        <v>34.713713221338267</v>
      </c>
      <c r="S11" s="23"/>
    </row>
    <row r="12" spans="1:21" x14ac:dyDescent="0.25">
      <c r="A12" s="22"/>
      <c r="B12" s="24">
        <v>4</v>
      </c>
      <c r="C12" s="48">
        <f>Electricity!C11</f>
        <v>7</v>
      </c>
      <c r="D12" s="49">
        <f>Electricity!D11</f>
        <v>11</v>
      </c>
      <c r="E12" s="97"/>
      <c r="F12" s="26">
        <v>17.459726775956284</v>
      </c>
      <c r="G12" s="51">
        <f t="shared" si="2"/>
        <v>185596.89562841531</v>
      </c>
      <c r="H12" s="50"/>
      <c r="I12" s="98"/>
      <c r="J12" s="51">
        <f t="shared" si="3"/>
        <v>0</v>
      </c>
      <c r="K12" s="50"/>
      <c r="L12" s="26"/>
      <c r="M12" s="27">
        <f t="shared" si="0"/>
        <v>0</v>
      </c>
      <c r="N12" s="50"/>
      <c r="O12" s="26">
        <v>7.14</v>
      </c>
      <c r="P12" s="52">
        <f t="shared" si="4"/>
        <v>75898.2</v>
      </c>
      <c r="Q12" s="53">
        <f t="shared" si="5"/>
        <v>261495.09562841529</v>
      </c>
      <c r="R12" s="54">
        <f t="shared" si="1"/>
        <v>18.183373592129566</v>
      </c>
      <c r="S12" s="23"/>
    </row>
    <row r="13" spans="1:21" x14ac:dyDescent="0.25">
      <c r="A13" s="22"/>
      <c r="B13" s="24">
        <v>5</v>
      </c>
      <c r="C13" s="48">
        <f>Electricity!C12</f>
        <v>7</v>
      </c>
      <c r="D13" s="49">
        <f>Electricity!D12</f>
        <v>24</v>
      </c>
      <c r="E13" s="97"/>
      <c r="F13" s="26">
        <v>46.532131147540987</v>
      </c>
      <c r="G13" s="51">
        <f t="shared" si="2"/>
        <v>494636.55409836071</v>
      </c>
      <c r="H13" s="50"/>
      <c r="I13" s="98"/>
      <c r="J13" s="51">
        <f t="shared" si="3"/>
        <v>0</v>
      </c>
      <c r="K13" s="50"/>
      <c r="L13" s="26"/>
      <c r="M13" s="27">
        <f t="shared" si="0"/>
        <v>0</v>
      </c>
      <c r="N13" s="50"/>
      <c r="O13" s="26">
        <v>7.14</v>
      </c>
      <c r="P13" s="52">
        <f t="shared" si="4"/>
        <v>75898.2</v>
      </c>
      <c r="Q13" s="53">
        <f t="shared" si="5"/>
        <v>570534.75409836066</v>
      </c>
      <c r="R13" s="54">
        <f t="shared" si="1"/>
        <v>39.672815110100871</v>
      </c>
      <c r="S13" s="23"/>
    </row>
    <row r="14" spans="1:21" x14ac:dyDescent="0.25">
      <c r="A14" s="22"/>
      <c r="B14" s="24">
        <v>6</v>
      </c>
      <c r="C14" s="48">
        <f>Electricity!C13</f>
        <v>6</v>
      </c>
      <c r="D14" s="49">
        <f>Electricity!D13</f>
        <v>25</v>
      </c>
      <c r="E14" s="97"/>
      <c r="F14" s="26">
        <v>48.768469945355193</v>
      </c>
      <c r="G14" s="51">
        <f t="shared" si="2"/>
        <v>518408.83551912569</v>
      </c>
      <c r="H14" s="50"/>
      <c r="I14" s="98"/>
      <c r="J14" s="51">
        <f t="shared" si="3"/>
        <v>0</v>
      </c>
      <c r="K14" s="50"/>
      <c r="L14" s="26"/>
      <c r="M14" s="27">
        <f t="shared" si="0"/>
        <v>0</v>
      </c>
      <c r="N14" s="50"/>
      <c r="O14" s="26">
        <v>7.14</v>
      </c>
      <c r="P14" s="52">
        <f t="shared" si="4"/>
        <v>75898.2</v>
      </c>
      <c r="Q14" s="53">
        <f t="shared" si="5"/>
        <v>594307.03551912564</v>
      </c>
      <c r="R14" s="54">
        <f t="shared" si="1"/>
        <v>41.325849073021743</v>
      </c>
      <c r="S14" s="23"/>
    </row>
    <row r="15" spans="1:21" x14ac:dyDescent="0.25">
      <c r="A15" s="22"/>
      <c r="B15" s="24">
        <v>7</v>
      </c>
      <c r="C15" s="48">
        <f>Electricity!C14</f>
        <v>2</v>
      </c>
      <c r="D15" s="49">
        <f>Electricity!D14</f>
        <v>17</v>
      </c>
      <c r="E15" s="97"/>
      <c r="F15" s="26">
        <v>30.877759562841533</v>
      </c>
      <c r="G15" s="51">
        <f t="shared" si="2"/>
        <v>328230.5841530055</v>
      </c>
      <c r="H15" s="50"/>
      <c r="I15" s="98"/>
      <c r="J15" s="51">
        <f t="shared" si="3"/>
        <v>0</v>
      </c>
      <c r="K15" s="50"/>
      <c r="L15" s="26"/>
      <c r="M15" s="27">
        <f t="shared" si="0"/>
        <v>0</v>
      </c>
      <c r="N15" s="50"/>
      <c r="O15" s="26">
        <v>7.14</v>
      </c>
      <c r="P15" s="52">
        <f t="shared" si="4"/>
        <v>75898.2</v>
      </c>
      <c r="Q15" s="53">
        <f t="shared" si="5"/>
        <v>404128.78415300552</v>
      </c>
      <c r="R15" s="54">
        <f t="shared" si="1"/>
        <v>28.101577369654787</v>
      </c>
      <c r="S15" s="23"/>
    </row>
    <row r="16" spans="1:21" x14ac:dyDescent="0.25">
      <c r="A16" s="22"/>
      <c r="B16" s="24">
        <v>8</v>
      </c>
      <c r="C16" s="48">
        <f>Electricity!C15</f>
        <v>2</v>
      </c>
      <c r="D16" s="49">
        <f>Electricity!D15</f>
        <v>6</v>
      </c>
      <c r="E16" s="97"/>
      <c r="F16" s="26">
        <v>6.2780327868852472</v>
      </c>
      <c r="G16" s="51">
        <f t="shared" si="2"/>
        <v>66735.488524590182</v>
      </c>
      <c r="H16" s="50"/>
      <c r="I16" s="98"/>
      <c r="J16" s="51">
        <f t="shared" si="3"/>
        <v>0</v>
      </c>
      <c r="K16" s="50"/>
      <c r="L16" s="26"/>
      <c r="M16" s="27">
        <f t="shared" si="0"/>
        <v>0</v>
      </c>
      <c r="N16" s="50"/>
      <c r="O16" s="26">
        <v>7.14</v>
      </c>
      <c r="P16" s="52">
        <f t="shared" si="4"/>
        <v>75898.2</v>
      </c>
      <c r="Q16" s="53">
        <f t="shared" si="5"/>
        <v>142633.68852459016</v>
      </c>
      <c r="R16" s="54">
        <f t="shared" si="1"/>
        <v>9.9182037775252176</v>
      </c>
      <c r="S16" s="23"/>
    </row>
    <row r="17" spans="1:19" x14ac:dyDescent="0.25">
      <c r="A17" s="22"/>
      <c r="B17" s="24">
        <v>9</v>
      </c>
      <c r="C17" s="48">
        <f>Electricity!C16</f>
        <v>1</v>
      </c>
      <c r="D17" s="49">
        <f>Electricity!D16</f>
        <v>13</v>
      </c>
      <c r="E17" s="85"/>
      <c r="F17" s="26">
        <v>21.932404371584695</v>
      </c>
      <c r="G17" s="51">
        <f t="shared" si="2"/>
        <v>233141.45846994533</v>
      </c>
      <c r="H17" s="50"/>
      <c r="I17" s="98"/>
      <c r="J17" s="51">
        <f t="shared" si="3"/>
        <v>0</v>
      </c>
      <c r="K17" s="50"/>
      <c r="L17" s="26"/>
      <c r="M17" s="27">
        <f t="shared" si="0"/>
        <v>0</v>
      </c>
      <c r="N17" s="50"/>
      <c r="O17" s="26">
        <v>7.14</v>
      </c>
      <c r="P17" s="52">
        <f t="shared" si="4"/>
        <v>75898.2</v>
      </c>
      <c r="Q17" s="53">
        <f t="shared" si="5"/>
        <v>309039.65846994531</v>
      </c>
      <c r="R17" s="54">
        <f t="shared" si="1"/>
        <v>21.489441517971304</v>
      </c>
      <c r="S17" s="23"/>
    </row>
    <row r="18" spans="1:19" x14ac:dyDescent="0.25">
      <c r="A18" s="22"/>
      <c r="B18" s="24">
        <v>10</v>
      </c>
      <c r="C18" s="48">
        <f>Electricity!C17</f>
        <v>2</v>
      </c>
      <c r="D18" s="49">
        <f>Electricity!D17</f>
        <v>15</v>
      </c>
      <c r="E18" s="97"/>
      <c r="F18" s="26">
        <v>26.405081967213114</v>
      </c>
      <c r="G18" s="51">
        <f t="shared" si="2"/>
        <v>280686.02131147543</v>
      </c>
      <c r="H18" s="50"/>
      <c r="I18" s="98"/>
      <c r="J18" s="51">
        <f t="shared" si="3"/>
        <v>0</v>
      </c>
      <c r="K18" s="50"/>
      <c r="L18" s="26"/>
      <c r="M18" s="27">
        <f t="shared" si="0"/>
        <v>0</v>
      </c>
      <c r="N18" s="50"/>
      <c r="O18" s="26">
        <v>7.14</v>
      </c>
      <c r="P18" s="52">
        <f t="shared" si="4"/>
        <v>75898.2</v>
      </c>
      <c r="Q18" s="53">
        <f t="shared" si="5"/>
        <v>356584.22131147544</v>
      </c>
      <c r="R18" s="54">
        <f t="shared" si="1"/>
        <v>24.795509443813049</v>
      </c>
      <c r="S18" s="23"/>
    </row>
    <row r="19" spans="1:19" x14ac:dyDescent="0.25">
      <c r="A19" s="22"/>
      <c r="B19" s="24">
        <v>11</v>
      </c>
      <c r="C19" s="48">
        <f>Electricity!C18</f>
        <v>5</v>
      </c>
      <c r="D19" s="49">
        <f>Electricity!D18</f>
        <v>7</v>
      </c>
      <c r="E19" s="97"/>
      <c r="F19" s="26">
        <v>8.5143715846994539</v>
      </c>
      <c r="G19" s="51">
        <f t="shared" si="2"/>
        <v>90507.76994535519</v>
      </c>
      <c r="H19" s="50"/>
      <c r="I19" s="98"/>
      <c r="J19" s="51">
        <f t="shared" si="3"/>
        <v>0</v>
      </c>
      <c r="K19" s="50"/>
      <c r="L19" s="26"/>
      <c r="M19" s="27">
        <f t="shared" si="0"/>
        <v>0</v>
      </c>
      <c r="N19" s="50"/>
      <c r="O19" s="26">
        <v>7.14</v>
      </c>
      <c r="P19" s="52">
        <f t="shared" si="4"/>
        <v>75898.2</v>
      </c>
      <c r="Q19" s="53">
        <f t="shared" si="5"/>
        <v>166405.9699453552</v>
      </c>
      <c r="R19" s="54">
        <f t="shared" si="1"/>
        <v>11.571237740446088</v>
      </c>
      <c r="S19" s="23"/>
    </row>
    <row r="20" spans="1:19" x14ac:dyDescent="0.25">
      <c r="A20" s="22"/>
      <c r="B20" s="24">
        <v>12</v>
      </c>
      <c r="C20" s="48">
        <f>Electricity!C19</f>
        <v>6</v>
      </c>
      <c r="D20" s="49">
        <f>Electricity!D19</f>
        <v>20</v>
      </c>
      <c r="E20" s="97"/>
      <c r="F20" s="26">
        <v>37.58677595628415</v>
      </c>
      <c r="G20" s="51">
        <f t="shared" si="2"/>
        <v>399547.4284153005</v>
      </c>
      <c r="H20" s="50"/>
      <c r="I20" s="98"/>
      <c r="J20" s="51">
        <f t="shared" si="3"/>
        <v>0</v>
      </c>
      <c r="K20" s="50"/>
      <c r="L20" s="26"/>
      <c r="M20" s="27">
        <f t="shared" si="0"/>
        <v>0</v>
      </c>
      <c r="N20" s="50"/>
      <c r="O20" s="26">
        <v>7.14</v>
      </c>
      <c r="P20" s="52">
        <f t="shared" si="4"/>
        <v>75898.2</v>
      </c>
      <c r="Q20" s="53">
        <f t="shared" si="5"/>
        <v>475445.62841530051</v>
      </c>
      <c r="R20" s="54">
        <f t="shared" si="1"/>
        <v>33.060679258417395</v>
      </c>
      <c r="S20" s="23"/>
    </row>
    <row r="21" spans="1:19" x14ac:dyDescent="0.25">
      <c r="A21" s="22"/>
      <c r="B21" s="24">
        <v>13</v>
      </c>
      <c r="C21" s="48">
        <f>Electricity!C20</f>
        <v>4</v>
      </c>
      <c r="D21" s="49">
        <f>Electricity!D20</f>
        <v>23</v>
      </c>
      <c r="E21" s="97"/>
      <c r="F21" s="26">
        <v>44.295792349726774</v>
      </c>
      <c r="G21" s="51">
        <f t="shared" si="2"/>
        <v>470864.27267759561</v>
      </c>
      <c r="H21" s="50"/>
      <c r="I21" s="98"/>
      <c r="J21" s="51">
        <f t="shared" si="3"/>
        <v>0</v>
      </c>
      <c r="K21" s="50"/>
      <c r="L21" s="26"/>
      <c r="M21" s="27">
        <f t="shared" si="0"/>
        <v>0</v>
      </c>
      <c r="N21" s="50"/>
      <c r="O21" s="26">
        <v>7.14</v>
      </c>
      <c r="P21" s="52">
        <f t="shared" si="4"/>
        <v>75898.2</v>
      </c>
      <c r="Q21" s="53">
        <f t="shared" si="5"/>
        <v>546762.47267759556</v>
      </c>
      <c r="R21" s="54">
        <f t="shared" si="1"/>
        <v>38.019781147179998</v>
      </c>
      <c r="S21" s="23"/>
    </row>
    <row r="22" spans="1:19" x14ac:dyDescent="0.25">
      <c r="A22" s="22"/>
      <c r="B22" s="24">
        <v>14</v>
      </c>
      <c r="C22" s="48">
        <f>Electricity!C21</f>
        <v>7</v>
      </c>
      <c r="D22" s="49">
        <f>Electricity!D21</f>
        <v>14</v>
      </c>
      <c r="E22" s="97"/>
      <c r="F22" s="26">
        <v>24.168743169398908</v>
      </c>
      <c r="G22" s="51">
        <f t="shared" si="2"/>
        <v>256913.73989071039</v>
      </c>
      <c r="H22" s="50"/>
      <c r="I22" s="98"/>
      <c r="J22" s="51">
        <f t="shared" si="3"/>
        <v>0</v>
      </c>
      <c r="K22" s="50"/>
      <c r="L22" s="26"/>
      <c r="M22" s="27">
        <f t="shared" si="0"/>
        <v>0</v>
      </c>
      <c r="N22" s="50"/>
      <c r="O22" s="26">
        <v>7.14</v>
      </c>
      <c r="P22" s="52">
        <f t="shared" si="4"/>
        <v>75898.2</v>
      </c>
      <c r="Q22" s="53">
        <f t="shared" si="5"/>
        <v>332811.9398907104</v>
      </c>
      <c r="R22" s="54">
        <f t="shared" si="1"/>
        <v>23.142475480892177</v>
      </c>
      <c r="S22" s="23"/>
    </row>
    <row r="23" spans="1:19" x14ac:dyDescent="0.25">
      <c r="A23" s="22"/>
      <c r="B23" s="24">
        <v>15</v>
      </c>
      <c r="C23" s="48">
        <f>Electricity!C22</f>
        <v>5</v>
      </c>
      <c r="D23" s="49">
        <f>Electricity!D22</f>
        <v>22</v>
      </c>
      <c r="E23" s="97"/>
      <c r="F23" s="26">
        <v>42.059453551912569</v>
      </c>
      <c r="G23" s="51">
        <f t="shared" si="2"/>
        <v>447091.99125683063</v>
      </c>
      <c r="H23" s="50"/>
      <c r="I23" s="98"/>
      <c r="J23" s="51">
        <f t="shared" si="3"/>
        <v>0</v>
      </c>
      <c r="K23" s="50"/>
      <c r="L23" s="26"/>
      <c r="M23" s="27">
        <f t="shared" si="0"/>
        <v>0</v>
      </c>
      <c r="N23" s="50"/>
      <c r="O23" s="26">
        <v>7.14</v>
      </c>
      <c r="P23" s="52">
        <f t="shared" si="4"/>
        <v>75898.2</v>
      </c>
      <c r="Q23" s="53">
        <f t="shared" si="5"/>
        <v>522990.19125683064</v>
      </c>
      <c r="R23" s="54">
        <f t="shared" si="1"/>
        <v>36.36674718425914</v>
      </c>
      <c r="S23" s="23"/>
    </row>
    <row r="24" spans="1:19" x14ac:dyDescent="0.25">
      <c r="A24" s="22"/>
      <c r="B24" s="24">
        <v>16</v>
      </c>
      <c r="C24" s="48">
        <f>Electricity!C23</f>
        <v>7</v>
      </c>
      <c r="D24" s="49">
        <f>Electricity!D23</f>
        <v>33</v>
      </c>
      <c r="E24" s="97"/>
      <c r="F24" s="26">
        <v>66.659180327868853</v>
      </c>
      <c r="G24" s="51">
        <f t="shared" si="2"/>
        <v>708587.08688524587</v>
      </c>
      <c r="H24" s="50"/>
      <c r="I24" s="98"/>
      <c r="J24" s="51">
        <f t="shared" si="3"/>
        <v>0</v>
      </c>
      <c r="K24" s="50"/>
      <c r="L24" s="26"/>
      <c r="M24" s="27">
        <f t="shared" si="0"/>
        <v>0</v>
      </c>
      <c r="N24" s="50"/>
      <c r="O24" s="26">
        <v>7.14</v>
      </c>
      <c r="P24" s="52">
        <f t="shared" si="4"/>
        <v>75898.2</v>
      </c>
      <c r="Q24" s="53">
        <f t="shared" si="5"/>
        <v>784485.28688524582</v>
      </c>
      <c r="R24" s="54">
        <f t="shared" si="1"/>
        <v>54.550120776388695</v>
      </c>
      <c r="S24" s="23"/>
    </row>
    <row r="25" spans="1:19" x14ac:dyDescent="0.25">
      <c r="A25" s="22"/>
      <c r="B25" s="24">
        <v>17</v>
      </c>
      <c r="C25" s="48">
        <f>Electricity!C24</f>
        <v>6</v>
      </c>
      <c r="D25" s="49">
        <f>Electricity!D24</f>
        <v>25</v>
      </c>
      <c r="E25" s="97"/>
      <c r="F25" s="26">
        <v>48.768469945355193</v>
      </c>
      <c r="G25" s="51">
        <f t="shared" si="2"/>
        <v>518408.83551912569</v>
      </c>
      <c r="H25" s="50"/>
      <c r="I25" s="98"/>
      <c r="J25" s="51">
        <f t="shared" si="3"/>
        <v>0</v>
      </c>
      <c r="K25" s="50"/>
      <c r="L25" s="26"/>
      <c r="M25" s="27">
        <f t="shared" si="0"/>
        <v>0</v>
      </c>
      <c r="N25" s="50"/>
      <c r="O25" s="26">
        <v>7.14</v>
      </c>
      <c r="P25" s="52">
        <f t="shared" si="4"/>
        <v>75898.2</v>
      </c>
      <c r="Q25" s="53">
        <f t="shared" si="5"/>
        <v>594307.03551912564</v>
      </c>
      <c r="R25" s="54">
        <f t="shared" si="1"/>
        <v>41.325849073021743</v>
      </c>
      <c r="S25" s="23"/>
    </row>
    <row r="26" spans="1:19" x14ac:dyDescent="0.25">
      <c r="A26" s="22"/>
      <c r="B26" s="24">
        <v>18</v>
      </c>
      <c r="C26" s="48">
        <f>Electricity!C25</f>
        <v>13</v>
      </c>
      <c r="D26" s="49">
        <f>Electricity!D25</f>
        <v>35</v>
      </c>
      <c r="E26" s="97"/>
      <c r="F26" s="26">
        <v>71.131857923497265</v>
      </c>
      <c r="G26" s="51">
        <f t="shared" si="2"/>
        <v>756131.64972677594</v>
      </c>
      <c r="H26" s="50"/>
      <c r="I26" s="98"/>
      <c r="J26" s="51">
        <f t="shared" si="3"/>
        <v>0</v>
      </c>
      <c r="K26" s="50"/>
      <c r="L26" s="26"/>
      <c r="M26" s="27">
        <f t="shared" si="0"/>
        <v>0</v>
      </c>
      <c r="N26" s="50"/>
      <c r="O26" s="26">
        <v>7.14</v>
      </c>
      <c r="P26" s="52">
        <f t="shared" si="4"/>
        <v>75898.2</v>
      </c>
      <c r="Q26" s="53">
        <f t="shared" si="5"/>
        <v>832029.84972677589</v>
      </c>
      <c r="R26" s="54">
        <f t="shared" si="1"/>
        <v>57.856188702230433</v>
      </c>
      <c r="S26" s="23"/>
    </row>
    <row r="27" spans="1:19" x14ac:dyDescent="0.25">
      <c r="A27" s="22"/>
      <c r="B27" s="24">
        <v>19</v>
      </c>
      <c r="C27" s="48">
        <f>Electricity!C26</f>
        <v>16</v>
      </c>
      <c r="D27" s="49">
        <f>Electricity!D26</f>
        <v>57</v>
      </c>
      <c r="E27" s="84"/>
      <c r="F27" s="26">
        <v>120.33131147540983</v>
      </c>
      <c r="G27" s="51">
        <f t="shared" si="2"/>
        <v>1279121.8409836066</v>
      </c>
      <c r="H27" s="50"/>
      <c r="I27" s="51"/>
      <c r="J27" s="51">
        <f t="shared" si="3"/>
        <v>0</v>
      </c>
      <c r="K27" s="50"/>
      <c r="L27" s="26"/>
      <c r="M27" s="27">
        <f t="shared" si="0"/>
        <v>0</v>
      </c>
      <c r="N27" s="50"/>
      <c r="O27" s="26">
        <v>7.14</v>
      </c>
      <c r="P27" s="52">
        <f t="shared" si="4"/>
        <v>75898.2</v>
      </c>
      <c r="Q27" s="53">
        <f t="shared" si="5"/>
        <v>1355020.0409836066</v>
      </c>
      <c r="R27" s="54">
        <f t="shared" si="1"/>
        <v>94.22293588648958</v>
      </c>
      <c r="S27" s="23"/>
    </row>
    <row r="28" spans="1:19" x14ac:dyDescent="0.25">
      <c r="A28" s="22"/>
      <c r="B28" s="24">
        <v>20</v>
      </c>
      <c r="C28" s="48">
        <f>Electricity!C27</f>
        <v>10</v>
      </c>
      <c r="D28" s="49">
        <f>Electricity!D27</f>
        <v>64</v>
      </c>
      <c r="E28" s="84"/>
      <c r="F28" s="26">
        <v>135.9856830601093</v>
      </c>
      <c r="G28" s="51">
        <f t="shared" si="2"/>
        <v>1445527.8109289617</v>
      </c>
      <c r="H28" s="50"/>
      <c r="I28" s="51"/>
      <c r="J28" s="51">
        <f t="shared" si="3"/>
        <v>0</v>
      </c>
      <c r="K28" s="50"/>
      <c r="L28" s="26"/>
      <c r="M28" s="27">
        <f t="shared" si="0"/>
        <v>0</v>
      </c>
      <c r="N28" s="50"/>
      <c r="O28" s="26">
        <v>7.14</v>
      </c>
      <c r="P28" s="52">
        <f t="shared" si="4"/>
        <v>75898.2</v>
      </c>
      <c r="Q28" s="53">
        <f t="shared" si="5"/>
        <v>1521426.0109289617</v>
      </c>
      <c r="R28" s="54">
        <f t="shared" si="1"/>
        <v>105.79417362693566</v>
      </c>
      <c r="S28" s="23"/>
    </row>
    <row r="29" spans="1:19" x14ac:dyDescent="0.25">
      <c r="A29" s="22"/>
      <c r="B29" s="24">
        <v>21</v>
      </c>
      <c r="C29" s="48">
        <f>Electricity!C28</f>
        <v>9</v>
      </c>
      <c r="D29" s="49">
        <f>Electricity!D28</f>
        <v>43</v>
      </c>
      <c r="E29" s="84"/>
      <c r="F29" s="26">
        <v>89.022568306010939</v>
      </c>
      <c r="G29" s="51">
        <f t="shared" si="2"/>
        <v>946309.90109289624</v>
      </c>
      <c r="H29" s="50"/>
      <c r="I29" s="51"/>
      <c r="J29" s="51">
        <f t="shared" si="3"/>
        <v>0</v>
      </c>
      <c r="K29" s="50"/>
      <c r="L29" s="26"/>
      <c r="M29" s="27">
        <f t="shared" si="0"/>
        <v>0</v>
      </c>
      <c r="N29" s="50"/>
      <c r="O29" s="26">
        <v>7.14</v>
      </c>
      <c r="P29" s="52">
        <f t="shared" si="4"/>
        <v>75898.2</v>
      </c>
      <c r="Q29" s="53">
        <f t="shared" si="5"/>
        <v>1022208.1010928962</v>
      </c>
      <c r="R29" s="54">
        <f t="shared" si="1"/>
        <v>71.080460405597393</v>
      </c>
      <c r="S29" s="23"/>
    </row>
    <row r="30" spans="1:19" x14ac:dyDescent="0.25">
      <c r="A30" s="22"/>
      <c r="B30" s="24">
        <v>22</v>
      </c>
      <c r="C30" s="48">
        <f>Electricity!C29</f>
        <v>7</v>
      </c>
      <c r="D30" s="49">
        <f>Electricity!D29</f>
        <v>39</v>
      </c>
      <c r="E30" s="84"/>
      <c r="F30" s="26">
        <v>80.077213114754088</v>
      </c>
      <c r="G30" s="51">
        <f t="shared" si="2"/>
        <v>851220.77540983597</v>
      </c>
      <c r="H30" s="50"/>
      <c r="I30" s="51"/>
      <c r="J30" s="51">
        <f t="shared" si="3"/>
        <v>0</v>
      </c>
      <c r="K30" s="50"/>
      <c r="L30" s="26"/>
      <c r="M30" s="27">
        <f t="shared" si="0"/>
        <v>0</v>
      </c>
      <c r="N30" s="50"/>
      <c r="O30" s="26">
        <v>7.14</v>
      </c>
      <c r="P30" s="52">
        <f t="shared" si="4"/>
        <v>75898.2</v>
      </c>
      <c r="Q30" s="53">
        <f t="shared" si="5"/>
        <v>927118.97540983593</v>
      </c>
      <c r="R30" s="54">
        <f t="shared" si="1"/>
        <v>64.468324553913902</v>
      </c>
      <c r="S30" s="23"/>
    </row>
    <row r="31" spans="1:19" x14ac:dyDescent="0.25">
      <c r="A31" s="22"/>
      <c r="B31" s="24">
        <v>23</v>
      </c>
      <c r="C31" s="48">
        <f>Electricity!C30</f>
        <v>2</v>
      </c>
      <c r="D31" s="49">
        <f>Electricity!D30</f>
        <v>18</v>
      </c>
      <c r="E31" s="84"/>
      <c r="F31" s="26">
        <v>33.114098360655738</v>
      </c>
      <c r="G31" s="51">
        <f t="shared" si="2"/>
        <v>352002.86557377048</v>
      </c>
      <c r="H31" s="50"/>
      <c r="I31" s="51"/>
      <c r="J31" s="51">
        <f t="shared" si="3"/>
        <v>0</v>
      </c>
      <c r="K31" s="50"/>
      <c r="L31" s="26"/>
      <c r="M31" s="27">
        <f t="shared" si="0"/>
        <v>0</v>
      </c>
      <c r="N31" s="50"/>
      <c r="O31" s="26">
        <v>7.14</v>
      </c>
      <c r="P31" s="52">
        <f t="shared" si="4"/>
        <v>75898.2</v>
      </c>
      <c r="Q31" s="53">
        <f t="shared" si="5"/>
        <v>427901.06557377049</v>
      </c>
      <c r="R31" s="54">
        <f t="shared" si="1"/>
        <v>29.754611332575656</v>
      </c>
      <c r="S31" s="23"/>
    </row>
    <row r="32" spans="1:19" x14ac:dyDescent="0.25">
      <c r="A32" s="22"/>
      <c r="B32" s="24">
        <v>24</v>
      </c>
      <c r="C32" s="48">
        <f>Electricity!C31</f>
        <v>2</v>
      </c>
      <c r="D32" s="49">
        <f>Electricity!D31</f>
        <v>11</v>
      </c>
      <c r="E32" s="84"/>
      <c r="F32" s="83">
        <v>17.459726775956284</v>
      </c>
      <c r="G32" s="51">
        <f t="shared" si="2"/>
        <v>185596.89562841531</v>
      </c>
      <c r="H32" s="50"/>
      <c r="I32" s="51"/>
      <c r="J32" s="51">
        <f t="shared" si="3"/>
        <v>0</v>
      </c>
      <c r="K32" s="50"/>
      <c r="L32" s="26"/>
      <c r="M32" s="27">
        <f t="shared" si="0"/>
        <v>0</v>
      </c>
      <c r="N32" s="50"/>
      <c r="O32" s="26">
        <v>7.14</v>
      </c>
      <c r="P32" s="52">
        <f t="shared" si="4"/>
        <v>75898.2</v>
      </c>
      <c r="Q32" s="53">
        <f t="shared" si="5"/>
        <v>261495.09562841529</v>
      </c>
      <c r="R32" s="54">
        <f t="shared" si="1"/>
        <v>18.183373592129566</v>
      </c>
      <c r="S32" s="23"/>
    </row>
    <row r="33" spans="1:21" x14ac:dyDescent="0.25">
      <c r="A33" s="22"/>
      <c r="B33" s="24">
        <v>25</v>
      </c>
      <c r="C33" s="48">
        <f>Electricity!C32</f>
        <v>4</v>
      </c>
      <c r="D33" s="49">
        <f>Electricity!D32</f>
        <v>14</v>
      </c>
      <c r="E33" s="84"/>
      <c r="F33" s="83">
        <v>24.168743169398908</v>
      </c>
      <c r="G33" s="51">
        <f t="shared" si="2"/>
        <v>256913.73989071039</v>
      </c>
      <c r="H33" s="50"/>
      <c r="I33" s="51"/>
      <c r="J33" s="51">
        <f t="shared" si="3"/>
        <v>0</v>
      </c>
      <c r="K33" s="50"/>
      <c r="L33" s="26"/>
      <c r="M33" s="27">
        <f t="shared" si="0"/>
        <v>0</v>
      </c>
      <c r="N33" s="50"/>
      <c r="O33" s="26">
        <v>7.14</v>
      </c>
      <c r="P33" s="52">
        <f t="shared" si="4"/>
        <v>75898.2</v>
      </c>
      <c r="Q33" s="53">
        <f t="shared" si="5"/>
        <v>332811.9398907104</v>
      </c>
      <c r="R33" s="54">
        <f t="shared" si="1"/>
        <v>23.142475480892177</v>
      </c>
      <c r="S33" s="23"/>
    </row>
    <row r="34" spans="1:21" x14ac:dyDescent="0.25">
      <c r="A34" s="22"/>
      <c r="B34" s="24">
        <v>26</v>
      </c>
      <c r="C34" s="48">
        <f>Electricity!C33</f>
        <v>8</v>
      </c>
      <c r="D34" s="49">
        <f>Electricity!D33</f>
        <v>18</v>
      </c>
      <c r="E34" s="84"/>
      <c r="F34" s="83">
        <v>33.114098360655738</v>
      </c>
      <c r="G34" s="51">
        <f t="shared" si="2"/>
        <v>352002.86557377048</v>
      </c>
      <c r="H34" s="50"/>
      <c r="I34" s="51"/>
      <c r="J34" s="51">
        <f t="shared" si="3"/>
        <v>0</v>
      </c>
      <c r="K34" s="50"/>
      <c r="L34" s="26"/>
      <c r="M34" s="27">
        <f t="shared" si="0"/>
        <v>0</v>
      </c>
      <c r="N34" s="50"/>
      <c r="O34" s="26">
        <v>7.14</v>
      </c>
      <c r="P34" s="52">
        <f t="shared" si="4"/>
        <v>75898.2</v>
      </c>
      <c r="Q34" s="53">
        <f t="shared" si="5"/>
        <v>427901.06557377049</v>
      </c>
      <c r="R34" s="54">
        <f t="shared" si="1"/>
        <v>29.754611332575656</v>
      </c>
      <c r="S34" s="23"/>
    </row>
    <row r="35" spans="1:21" x14ac:dyDescent="0.25">
      <c r="A35" s="22"/>
      <c r="B35" s="24">
        <v>27</v>
      </c>
      <c r="C35" s="48">
        <f>Electricity!C34</f>
        <v>5</v>
      </c>
      <c r="D35" s="49">
        <f>Electricity!D34</f>
        <v>36</v>
      </c>
      <c r="E35" s="84"/>
      <c r="F35" s="83">
        <v>73.368196721311477</v>
      </c>
      <c r="G35" s="51">
        <f t="shared" si="2"/>
        <v>779903.93114754104</v>
      </c>
      <c r="H35" s="50"/>
      <c r="I35" s="51"/>
      <c r="J35" s="51">
        <f t="shared" si="3"/>
        <v>0</v>
      </c>
      <c r="K35" s="50"/>
      <c r="L35" s="26"/>
      <c r="M35" s="27">
        <f t="shared" si="0"/>
        <v>0</v>
      </c>
      <c r="N35" s="50"/>
      <c r="O35" s="26">
        <v>7.14</v>
      </c>
      <c r="P35" s="52">
        <f t="shared" si="4"/>
        <v>75898.2</v>
      </c>
      <c r="Q35" s="53">
        <f t="shared" si="5"/>
        <v>855802.13114754099</v>
      </c>
      <c r="R35" s="54">
        <f t="shared" si="1"/>
        <v>59.509222665151313</v>
      </c>
      <c r="S35" s="23"/>
    </row>
    <row r="36" spans="1:21" x14ac:dyDescent="0.25">
      <c r="A36" s="22"/>
      <c r="B36" s="24">
        <v>28</v>
      </c>
      <c r="C36" s="48">
        <f>Electricity!C35</f>
        <v>7</v>
      </c>
      <c r="D36" s="49">
        <f>Electricity!D35</f>
        <v>21</v>
      </c>
      <c r="E36" s="84"/>
      <c r="F36" s="83">
        <v>39.823114754098363</v>
      </c>
      <c r="G36" s="51">
        <f t="shared" si="2"/>
        <v>423319.70983606559</v>
      </c>
      <c r="H36" s="50"/>
      <c r="I36" s="51"/>
      <c r="J36" s="51">
        <f t="shared" si="3"/>
        <v>0</v>
      </c>
      <c r="K36" s="50"/>
      <c r="L36" s="26"/>
      <c r="M36" s="27">
        <f t="shared" si="0"/>
        <v>0</v>
      </c>
      <c r="N36" s="50"/>
      <c r="O36" s="26">
        <v>7.14</v>
      </c>
      <c r="P36" s="52">
        <f t="shared" si="4"/>
        <v>75898.2</v>
      </c>
      <c r="Q36" s="53">
        <f t="shared" si="5"/>
        <v>499217.90983606561</v>
      </c>
      <c r="R36" s="54">
        <f t="shared" si="1"/>
        <v>34.713713221338267</v>
      </c>
      <c r="S36" s="23"/>
    </row>
    <row r="37" spans="1:21" x14ac:dyDescent="0.25">
      <c r="A37" s="22"/>
      <c r="B37" s="24">
        <v>29</v>
      </c>
      <c r="C37" s="48">
        <f>Electricity!C36</f>
        <v>6</v>
      </c>
      <c r="D37" s="49">
        <f>Electricity!D36</f>
        <v>34</v>
      </c>
      <c r="E37" s="82"/>
      <c r="F37" s="83">
        <v>68.895519125683066</v>
      </c>
      <c r="G37" s="51">
        <f t="shared" si="2"/>
        <v>732359.36830601096</v>
      </c>
      <c r="H37" s="50"/>
      <c r="I37" s="51"/>
      <c r="J37" s="51">
        <f t="shared" si="3"/>
        <v>0</v>
      </c>
      <c r="K37" s="50"/>
      <c r="L37" s="26"/>
      <c r="M37" s="27">
        <f t="shared" si="0"/>
        <v>0</v>
      </c>
      <c r="N37" s="50"/>
      <c r="O37" s="26">
        <v>7.14</v>
      </c>
      <c r="P37" s="52">
        <f t="shared" si="4"/>
        <v>75898.2</v>
      </c>
      <c r="Q37" s="53">
        <f t="shared" si="5"/>
        <v>808257.56830601091</v>
      </c>
      <c r="R37" s="54">
        <f t="shared" si="1"/>
        <v>56.203154739309568</v>
      </c>
      <c r="S37" s="23"/>
    </row>
    <row r="38" spans="1:21" x14ac:dyDescent="0.25">
      <c r="A38" s="22"/>
      <c r="B38" s="24">
        <v>30</v>
      </c>
      <c r="C38" s="48">
        <f>Electricity!C37</f>
        <v>8</v>
      </c>
      <c r="D38" s="49">
        <f>Electricity!D37</f>
        <v>23</v>
      </c>
      <c r="E38" s="82"/>
      <c r="F38" s="83">
        <v>44.295792349726774</v>
      </c>
      <c r="G38" s="51">
        <f t="shared" si="2"/>
        <v>470864.27267759561</v>
      </c>
      <c r="H38" s="50"/>
      <c r="I38" s="51"/>
      <c r="J38" s="51">
        <f t="shared" si="3"/>
        <v>0</v>
      </c>
      <c r="K38" s="50"/>
      <c r="L38" s="26"/>
      <c r="M38" s="27">
        <f t="shared" si="0"/>
        <v>0</v>
      </c>
      <c r="N38" s="50"/>
      <c r="O38" s="26">
        <v>7.14</v>
      </c>
      <c r="P38" s="52">
        <f t="shared" si="4"/>
        <v>75898.2</v>
      </c>
      <c r="Q38" s="53">
        <f t="shared" si="5"/>
        <v>546762.47267759556</v>
      </c>
      <c r="R38" s="54">
        <f t="shared" si="1"/>
        <v>38.019781147179998</v>
      </c>
      <c r="S38" s="23"/>
    </row>
    <row r="39" spans="1:21" x14ac:dyDescent="0.25">
      <c r="A39" s="22"/>
      <c r="B39" s="24">
        <v>31</v>
      </c>
      <c r="C39" s="48" t="str">
        <f>Electricity!C38</f>
        <v xml:space="preserve"> -   </v>
      </c>
      <c r="D39" s="49" t="str">
        <f>Electricity!D38</f>
        <v xml:space="preserve"> -   </v>
      </c>
      <c r="E39" s="82"/>
      <c r="F39" s="83"/>
      <c r="G39" s="51">
        <f t="shared" si="2"/>
        <v>0</v>
      </c>
      <c r="H39" s="50"/>
      <c r="I39" s="51"/>
      <c r="J39" s="51">
        <f t="shared" si="3"/>
        <v>0</v>
      </c>
      <c r="K39" s="50"/>
      <c r="L39" s="26"/>
      <c r="M39" s="27">
        <f t="shared" si="0"/>
        <v>0</v>
      </c>
      <c r="N39" s="50"/>
      <c r="O39" s="26"/>
      <c r="P39" s="52">
        <f t="shared" si="4"/>
        <v>0</v>
      </c>
      <c r="Q39" s="53">
        <f t="shared" si="5"/>
        <v>0</v>
      </c>
      <c r="R39" s="54">
        <f t="shared" si="1"/>
        <v>0</v>
      </c>
      <c r="S39" s="23"/>
    </row>
    <row r="40" spans="1:21" s="12" customFormat="1" x14ac:dyDescent="0.25">
      <c r="C40" s="55">
        <f>SUM(C9:C39)</f>
        <v>178</v>
      </c>
      <c r="D40" s="55">
        <f>SUM(D9:D39)</f>
        <v>732</v>
      </c>
      <c r="E40" s="32"/>
      <c r="F40" s="32">
        <f>SUM(F9:F39)</f>
        <v>1422.8000000000002</v>
      </c>
      <c r="G40" s="42"/>
      <c r="H40" s="42"/>
      <c r="I40" s="32" t="s">
        <v>43</v>
      </c>
      <c r="J40" s="42"/>
      <c r="K40" s="42"/>
      <c r="L40" s="32" t="s">
        <v>43</v>
      </c>
      <c r="M40" s="42"/>
      <c r="N40" s="41"/>
      <c r="O40" s="32">
        <f>SUM(O9:O39)</f>
        <v>214.19999999999982</v>
      </c>
      <c r="P40" s="42"/>
      <c r="R40" s="95">
        <f>SUM(R9:R39)</f>
        <v>1210.0208608580767</v>
      </c>
      <c r="U40" s="37"/>
    </row>
    <row r="41" spans="1:21" x14ac:dyDescent="0.25">
      <c r="E41" s="56"/>
      <c r="F41" s="57"/>
      <c r="G41" s="43"/>
      <c r="H41" s="43"/>
      <c r="I41" s="43"/>
      <c r="J41" s="43"/>
      <c r="K41" s="43"/>
      <c r="L41" s="43"/>
      <c r="M41" s="43"/>
      <c r="N41" s="61" t="s">
        <v>44</v>
      </c>
      <c r="O41" s="65">
        <f>F40+O40</f>
        <v>1637</v>
      </c>
      <c r="P41" s="58"/>
      <c r="Q41" s="32"/>
      <c r="R41" s="43"/>
      <c r="U41" s="39"/>
    </row>
    <row r="42" spans="1:21" x14ac:dyDescent="0.25">
      <c r="B42" s="59"/>
      <c r="E42" s="41"/>
      <c r="F42" s="42"/>
      <c r="G42" s="42"/>
      <c r="H42" s="42"/>
      <c r="I42" s="42"/>
      <c r="J42" s="42"/>
      <c r="K42" s="42"/>
      <c r="L42" s="42"/>
      <c r="M42" s="43"/>
      <c r="N42" s="41"/>
      <c r="O42" s="42"/>
      <c r="P42" s="42"/>
      <c r="Q42" s="44"/>
      <c r="R42" s="60"/>
    </row>
    <row r="43" spans="1:21" x14ac:dyDescent="0.25">
      <c r="E43" s="61"/>
      <c r="F43" s="61"/>
      <c r="G43" s="61"/>
      <c r="H43" s="61"/>
      <c r="I43" s="61"/>
      <c r="J43" s="61"/>
      <c r="K43" s="61"/>
      <c r="L43" s="61"/>
      <c r="M43" s="62"/>
      <c r="N43" s="61"/>
      <c r="O43" s="61"/>
      <c r="Q43" s="61"/>
      <c r="R43" s="63"/>
    </row>
    <row r="44" spans="1:21" x14ac:dyDescent="0.25">
      <c r="R44" s="63"/>
    </row>
  </sheetData>
  <mergeCells count="20"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  <mergeCell ref="E7:E8"/>
    <mergeCell ref="F7:F8"/>
    <mergeCell ref="H7:H8"/>
    <mergeCell ref="I7:I8"/>
    <mergeCell ref="K7:K8"/>
    <mergeCell ref="L7:L8"/>
    <mergeCell ref="N7:N8"/>
    <mergeCell ref="O7:O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opLeftCell="A4" workbookViewId="0">
      <selection activeCell="F9" sqref="F9:F39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customWidth="1"/>
    <col min="4" max="4" width="8.42578125" style="21" customWidth="1"/>
    <col min="5" max="5" width="9.85546875" style="21" customWidth="1"/>
    <col min="6" max="6" width="8" style="78" bestFit="1" customWidth="1"/>
    <col min="7" max="7" width="13.28515625" style="78" bestFit="1" customWidth="1"/>
    <col min="8" max="8" width="16.28515625" style="33" customWidth="1"/>
    <col min="9" max="9" width="2.5703125" style="12" customWidth="1"/>
    <col min="11" max="11" width="21.5703125" customWidth="1"/>
  </cols>
  <sheetData>
    <row r="1" spans="1:9" ht="15.75" x14ac:dyDescent="0.25">
      <c r="B1" s="100" t="s">
        <v>45</v>
      </c>
      <c r="C1" s="100"/>
      <c r="D1" s="100"/>
      <c r="E1" s="100"/>
      <c r="F1" s="100"/>
      <c r="G1" s="100"/>
      <c r="H1" s="100"/>
    </row>
    <row r="2" spans="1:9" ht="15.75" x14ac:dyDescent="0.25">
      <c r="B2" s="100" t="s">
        <v>16</v>
      </c>
      <c r="C2" s="100"/>
      <c r="D2" s="100"/>
      <c r="E2" s="100"/>
      <c r="F2" s="100"/>
      <c r="G2" s="100"/>
      <c r="H2" s="100"/>
    </row>
    <row r="3" spans="1:9" x14ac:dyDescent="0.25">
      <c r="B3" s="15"/>
      <c r="C3" s="16"/>
      <c r="D3" s="17"/>
      <c r="E3" s="17"/>
      <c r="F3" s="66"/>
      <c r="G3" s="66"/>
      <c r="H3" s="16"/>
    </row>
    <row r="4" spans="1:9" x14ac:dyDescent="0.25">
      <c r="A4" s="67"/>
      <c r="B4" s="104">
        <v>44075</v>
      </c>
      <c r="C4" s="104"/>
      <c r="D4" s="104"/>
      <c r="E4" s="104"/>
      <c r="F4" s="104"/>
      <c r="G4" s="104"/>
      <c r="H4" s="104"/>
      <c r="I4" s="18"/>
    </row>
    <row r="5" spans="1:9" x14ac:dyDescent="0.25">
      <c r="A5" s="68"/>
      <c r="B5" s="99" t="s">
        <v>17</v>
      </c>
      <c r="C5" s="99" t="s">
        <v>18</v>
      </c>
      <c r="D5" s="99" t="s">
        <v>13</v>
      </c>
      <c r="E5" s="99" t="s">
        <v>46</v>
      </c>
      <c r="F5" s="99"/>
      <c r="G5" s="99"/>
      <c r="H5" s="99" t="s">
        <v>23</v>
      </c>
      <c r="I5" s="20"/>
    </row>
    <row r="6" spans="1:9" x14ac:dyDescent="0.25">
      <c r="A6" s="68"/>
      <c r="B6" s="99"/>
      <c r="C6" s="99"/>
      <c r="D6" s="99"/>
      <c r="E6" s="99"/>
      <c r="F6" s="99"/>
      <c r="G6" s="99"/>
      <c r="H6" s="99"/>
      <c r="I6" s="20"/>
    </row>
    <row r="7" spans="1:9" s="21" customFormat="1" ht="22.5" x14ac:dyDescent="0.25">
      <c r="A7" s="68"/>
      <c r="B7" s="99"/>
      <c r="C7" s="99"/>
      <c r="D7" s="99"/>
      <c r="E7" s="45" t="s">
        <v>36</v>
      </c>
      <c r="F7" s="110" t="s">
        <v>47</v>
      </c>
      <c r="G7" s="69" t="s">
        <v>40</v>
      </c>
      <c r="H7" s="99"/>
      <c r="I7" s="20"/>
    </row>
    <row r="8" spans="1:9" s="21" customFormat="1" x14ac:dyDescent="0.25">
      <c r="A8" s="68"/>
      <c r="B8" s="99"/>
      <c r="C8" s="99"/>
      <c r="D8" s="99"/>
      <c r="E8" s="70"/>
      <c r="F8" s="110"/>
      <c r="G8" s="69">
        <v>10700</v>
      </c>
      <c r="H8" s="99"/>
      <c r="I8" s="20"/>
    </row>
    <row r="9" spans="1:9" x14ac:dyDescent="0.25">
      <c r="A9" s="71"/>
      <c r="B9" s="24">
        <v>1</v>
      </c>
      <c r="C9" s="25">
        <f>Gas!C9</f>
        <v>7</v>
      </c>
      <c r="D9" s="25">
        <f>Gas!D9</f>
        <v>19</v>
      </c>
      <c r="E9" s="72"/>
      <c r="F9" s="73">
        <v>0</v>
      </c>
      <c r="G9" s="73">
        <f t="shared" ref="G9:G39" si="0">F9*$G$8</f>
        <v>0</v>
      </c>
      <c r="H9" s="87">
        <f>G9/14381</f>
        <v>0</v>
      </c>
      <c r="I9" s="23"/>
    </row>
    <row r="10" spans="1:9" x14ac:dyDescent="0.25">
      <c r="A10" s="71"/>
      <c r="B10" s="24">
        <v>2</v>
      </c>
      <c r="C10" s="25">
        <f>Gas!C10</f>
        <v>5</v>
      </c>
      <c r="D10" s="25">
        <f>Gas!D10</f>
        <v>24</v>
      </c>
      <c r="E10" s="72"/>
      <c r="F10" s="74">
        <v>0</v>
      </c>
      <c r="G10" s="73">
        <f>F10*$G$8</f>
        <v>0</v>
      </c>
      <c r="H10" s="87">
        <f t="shared" ref="H10:H39" si="1">G10/14381</f>
        <v>0</v>
      </c>
      <c r="I10" s="23"/>
    </row>
    <row r="11" spans="1:9" x14ac:dyDescent="0.25">
      <c r="A11" s="71"/>
      <c r="B11" s="24">
        <v>3</v>
      </c>
      <c r="C11" s="25">
        <f>Gas!C11</f>
        <v>2</v>
      </c>
      <c r="D11" s="25">
        <f>Gas!D11</f>
        <v>21</v>
      </c>
      <c r="E11" s="72"/>
      <c r="F11" s="74">
        <v>0</v>
      </c>
      <c r="G11" s="73">
        <f t="shared" si="0"/>
        <v>0</v>
      </c>
      <c r="H11" s="87">
        <f t="shared" si="1"/>
        <v>0</v>
      </c>
      <c r="I11" s="23"/>
    </row>
    <row r="12" spans="1:9" x14ac:dyDescent="0.25">
      <c r="A12" s="71"/>
      <c r="B12" s="24">
        <v>4</v>
      </c>
      <c r="C12" s="25">
        <f>Gas!C12</f>
        <v>7</v>
      </c>
      <c r="D12" s="25">
        <f>Gas!D12</f>
        <v>11</v>
      </c>
      <c r="E12" s="72"/>
      <c r="F12" s="74">
        <v>0</v>
      </c>
      <c r="G12" s="73">
        <f t="shared" si="0"/>
        <v>0</v>
      </c>
      <c r="H12" s="87">
        <f t="shared" si="1"/>
        <v>0</v>
      </c>
      <c r="I12" s="23"/>
    </row>
    <row r="13" spans="1:9" x14ac:dyDescent="0.25">
      <c r="A13" s="71"/>
      <c r="B13" s="24">
        <v>5</v>
      </c>
      <c r="C13" s="25">
        <f>Gas!C13</f>
        <v>7</v>
      </c>
      <c r="D13" s="25">
        <f>Gas!D13</f>
        <v>24</v>
      </c>
      <c r="E13" s="72"/>
      <c r="F13" s="74">
        <v>0</v>
      </c>
      <c r="G13" s="73">
        <f t="shared" si="0"/>
        <v>0</v>
      </c>
      <c r="H13" s="87">
        <f t="shared" si="1"/>
        <v>0</v>
      </c>
      <c r="I13" s="23"/>
    </row>
    <row r="14" spans="1:9" x14ac:dyDescent="0.25">
      <c r="A14" s="71"/>
      <c r="B14" s="24">
        <v>6</v>
      </c>
      <c r="C14" s="25">
        <f>Gas!C14</f>
        <v>6</v>
      </c>
      <c r="D14" s="25">
        <f>Gas!D14</f>
        <v>25</v>
      </c>
      <c r="E14" s="72"/>
      <c r="F14" s="74">
        <v>0</v>
      </c>
      <c r="G14" s="73">
        <f t="shared" si="0"/>
        <v>0</v>
      </c>
      <c r="H14" s="87">
        <f t="shared" si="1"/>
        <v>0</v>
      </c>
      <c r="I14" s="23"/>
    </row>
    <row r="15" spans="1:9" x14ac:dyDescent="0.25">
      <c r="A15" s="71"/>
      <c r="B15" s="24">
        <v>7</v>
      </c>
      <c r="C15" s="25">
        <f>Gas!C15</f>
        <v>2</v>
      </c>
      <c r="D15" s="25">
        <f>Gas!D15</f>
        <v>17</v>
      </c>
      <c r="E15" s="72"/>
      <c r="F15" s="74">
        <v>49</v>
      </c>
      <c r="G15" s="73">
        <f t="shared" si="0"/>
        <v>524300</v>
      </c>
      <c r="H15" s="87">
        <f t="shared" si="1"/>
        <v>36.457826298588415</v>
      </c>
      <c r="I15" s="23"/>
    </row>
    <row r="16" spans="1:9" x14ac:dyDescent="0.25">
      <c r="A16" s="71"/>
      <c r="B16" s="24">
        <v>8</v>
      </c>
      <c r="C16" s="25">
        <f>Gas!C16</f>
        <v>2</v>
      </c>
      <c r="D16" s="25">
        <f>Gas!D16</f>
        <v>6</v>
      </c>
      <c r="E16" s="72"/>
      <c r="F16" s="74">
        <v>0</v>
      </c>
      <c r="G16" s="73">
        <f t="shared" si="0"/>
        <v>0</v>
      </c>
      <c r="H16" s="87">
        <f t="shared" si="1"/>
        <v>0</v>
      </c>
      <c r="I16" s="23"/>
    </row>
    <row r="17" spans="1:9" x14ac:dyDescent="0.25">
      <c r="A17" s="71"/>
      <c r="B17" s="24">
        <v>9</v>
      </c>
      <c r="C17" s="25">
        <f>Gas!C17</f>
        <v>1</v>
      </c>
      <c r="D17" s="25">
        <f>Gas!D17</f>
        <v>13</v>
      </c>
      <c r="E17" s="72"/>
      <c r="F17" s="74">
        <v>192</v>
      </c>
      <c r="G17" s="73">
        <f t="shared" si="0"/>
        <v>2054400</v>
      </c>
      <c r="H17" s="87">
        <f t="shared" si="1"/>
        <v>142.85515610875461</v>
      </c>
      <c r="I17" s="23"/>
    </row>
    <row r="18" spans="1:9" x14ac:dyDescent="0.25">
      <c r="A18" s="71"/>
      <c r="B18" s="24">
        <v>10</v>
      </c>
      <c r="C18" s="25">
        <f>Gas!C18</f>
        <v>2</v>
      </c>
      <c r="D18" s="25">
        <f>Gas!D18</f>
        <v>15</v>
      </c>
      <c r="E18" s="72"/>
      <c r="F18" s="74">
        <v>0</v>
      </c>
      <c r="G18" s="73">
        <f t="shared" si="0"/>
        <v>0</v>
      </c>
      <c r="H18" s="87">
        <f t="shared" si="1"/>
        <v>0</v>
      </c>
      <c r="I18" s="23"/>
    </row>
    <row r="19" spans="1:9" x14ac:dyDescent="0.25">
      <c r="A19" s="71"/>
      <c r="B19" s="24">
        <v>11</v>
      </c>
      <c r="C19" s="25">
        <f>Gas!C19</f>
        <v>5</v>
      </c>
      <c r="D19" s="25">
        <f>Gas!D19</f>
        <v>7</v>
      </c>
      <c r="E19" s="72"/>
      <c r="F19" s="74">
        <v>0</v>
      </c>
      <c r="G19" s="73">
        <f t="shared" si="0"/>
        <v>0</v>
      </c>
      <c r="H19" s="87">
        <f t="shared" si="1"/>
        <v>0</v>
      </c>
      <c r="I19" s="23"/>
    </row>
    <row r="20" spans="1:9" x14ac:dyDescent="0.25">
      <c r="A20" s="71"/>
      <c r="B20" s="24">
        <v>12</v>
      </c>
      <c r="C20" s="25">
        <f>Gas!C20</f>
        <v>6</v>
      </c>
      <c r="D20" s="25">
        <f>Gas!D20</f>
        <v>20</v>
      </c>
      <c r="E20" s="72"/>
      <c r="F20" s="74">
        <v>0</v>
      </c>
      <c r="G20" s="73">
        <f t="shared" si="0"/>
        <v>0</v>
      </c>
      <c r="H20" s="87">
        <f t="shared" si="1"/>
        <v>0</v>
      </c>
      <c r="I20" s="23"/>
    </row>
    <row r="21" spans="1:9" x14ac:dyDescent="0.25">
      <c r="A21" s="71"/>
      <c r="B21" s="24">
        <v>13</v>
      </c>
      <c r="C21" s="25">
        <f>Gas!C21</f>
        <v>4</v>
      </c>
      <c r="D21" s="25">
        <f>Gas!D21</f>
        <v>23</v>
      </c>
      <c r="E21" s="72"/>
      <c r="F21" s="74">
        <v>0</v>
      </c>
      <c r="G21" s="73">
        <f t="shared" si="0"/>
        <v>0</v>
      </c>
      <c r="H21" s="87">
        <f t="shared" si="1"/>
        <v>0</v>
      </c>
      <c r="I21" s="23"/>
    </row>
    <row r="22" spans="1:9" x14ac:dyDescent="0.25">
      <c r="A22" s="71"/>
      <c r="B22" s="24">
        <v>14</v>
      </c>
      <c r="C22" s="25">
        <f>Gas!C22</f>
        <v>7</v>
      </c>
      <c r="D22" s="25">
        <f>Gas!D22</f>
        <v>14</v>
      </c>
      <c r="E22" s="72"/>
      <c r="F22" s="74">
        <v>49</v>
      </c>
      <c r="G22" s="73">
        <f t="shared" si="0"/>
        <v>524300</v>
      </c>
      <c r="H22" s="87">
        <f t="shared" si="1"/>
        <v>36.457826298588415</v>
      </c>
      <c r="I22" s="23"/>
    </row>
    <row r="23" spans="1:9" x14ac:dyDescent="0.25">
      <c r="A23" s="71"/>
      <c r="B23" s="24">
        <v>15</v>
      </c>
      <c r="C23" s="25">
        <f>Gas!C23</f>
        <v>5</v>
      </c>
      <c r="D23" s="25">
        <f>Gas!D23</f>
        <v>22</v>
      </c>
      <c r="E23" s="72"/>
      <c r="F23" s="74">
        <v>0</v>
      </c>
      <c r="G23" s="73">
        <f t="shared" si="0"/>
        <v>0</v>
      </c>
      <c r="H23" s="87">
        <f t="shared" si="1"/>
        <v>0</v>
      </c>
      <c r="I23" s="23"/>
    </row>
    <row r="24" spans="1:9" x14ac:dyDescent="0.25">
      <c r="A24" s="71"/>
      <c r="B24" s="24">
        <v>16</v>
      </c>
      <c r="C24" s="25">
        <f>Gas!C24</f>
        <v>7</v>
      </c>
      <c r="D24" s="25">
        <f>Gas!D24</f>
        <v>33</v>
      </c>
      <c r="E24" s="72"/>
      <c r="F24" s="74">
        <v>0</v>
      </c>
      <c r="G24" s="73">
        <f t="shared" si="0"/>
        <v>0</v>
      </c>
      <c r="H24" s="87">
        <f t="shared" si="1"/>
        <v>0</v>
      </c>
      <c r="I24" s="23"/>
    </row>
    <row r="25" spans="1:9" x14ac:dyDescent="0.25">
      <c r="A25" s="71"/>
      <c r="B25" s="24">
        <v>17</v>
      </c>
      <c r="C25" s="25">
        <f>Gas!C25</f>
        <v>6</v>
      </c>
      <c r="D25" s="25">
        <f>Gas!D25</f>
        <v>25</v>
      </c>
      <c r="E25" s="72"/>
      <c r="F25" s="74">
        <v>0</v>
      </c>
      <c r="G25" s="73">
        <f t="shared" si="0"/>
        <v>0</v>
      </c>
      <c r="H25" s="87">
        <f t="shared" si="1"/>
        <v>0</v>
      </c>
      <c r="I25" s="23"/>
    </row>
    <row r="26" spans="1:9" x14ac:dyDescent="0.25">
      <c r="A26" s="71"/>
      <c r="B26" s="24">
        <v>18</v>
      </c>
      <c r="C26" s="25">
        <f>Gas!C26</f>
        <v>13</v>
      </c>
      <c r="D26" s="25">
        <f>Gas!D26</f>
        <v>35</v>
      </c>
      <c r="E26" s="72"/>
      <c r="F26" s="74">
        <v>0</v>
      </c>
      <c r="G26" s="73">
        <f t="shared" si="0"/>
        <v>0</v>
      </c>
      <c r="H26" s="87">
        <f t="shared" si="1"/>
        <v>0</v>
      </c>
      <c r="I26" s="23"/>
    </row>
    <row r="27" spans="1:9" x14ac:dyDescent="0.25">
      <c r="A27" s="71"/>
      <c r="B27" s="24">
        <v>19</v>
      </c>
      <c r="C27" s="25">
        <f>Gas!C27</f>
        <v>16</v>
      </c>
      <c r="D27" s="25">
        <f>Gas!D27</f>
        <v>57</v>
      </c>
      <c r="E27" s="72"/>
      <c r="F27" s="74">
        <v>0</v>
      </c>
      <c r="G27" s="73">
        <f t="shared" si="0"/>
        <v>0</v>
      </c>
      <c r="H27" s="87">
        <f t="shared" si="1"/>
        <v>0</v>
      </c>
      <c r="I27" s="23"/>
    </row>
    <row r="28" spans="1:9" x14ac:dyDescent="0.25">
      <c r="A28" s="71"/>
      <c r="B28" s="24">
        <v>20</v>
      </c>
      <c r="C28" s="25">
        <f>Gas!C28</f>
        <v>10</v>
      </c>
      <c r="D28" s="25">
        <f>Gas!D28</f>
        <v>64</v>
      </c>
      <c r="E28" s="72"/>
      <c r="F28" s="74">
        <v>0</v>
      </c>
      <c r="G28" s="73">
        <f t="shared" si="0"/>
        <v>0</v>
      </c>
      <c r="H28" s="87">
        <f t="shared" si="1"/>
        <v>0</v>
      </c>
      <c r="I28" s="23"/>
    </row>
    <row r="29" spans="1:9" x14ac:dyDescent="0.25">
      <c r="A29" s="71"/>
      <c r="B29" s="24">
        <v>21</v>
      </c>
      <c r="C29" s="25">
        <f>Gas!C29</f>
        <v>9</v>
      </c>
      <c r="D29" s="25">
        <f>Gas!D29</f>
        <v>43</v>
      </c>
      <c r="E29" s="72"/>
      <c r="F29" s="74">
        <v>52</v>
      </c>
      <c r="G29" s="73">
        <f t="shared" si="0"/>
        <v>556400</v>
      </c>
      <c r="H29" s="87">
        <f t="shared" si="1"/>
        <v>38.689938112787708</v>
      </c>
      <c r="I29" s="23"/>
    </row>
    <row r="30" spans="1:9" x14ac:dyDescent="0.25">
      <c r="A30" s="71"/>
      <c r="B30" s="24">
        <v>22</v>
      </c>
      <c r="C30" s="25">
        <f>Gas!C30</f>
        <v>7</v>
      </c>
      <c r="D30" s="25">
        <f>Gas!D30</f>
        <v>39</v>
      </c>
      <c r="E30" s="72"/>
      <c r="F30" s="74">
        <v>0</v>
      </c>
      <c r="G30" s="73">
        <f t="shared" si="0"/>
        <v>0</v>
      </c>
      <c r="H30" s="87">
        <f t="shared" si="1"/>
        <v>0</v>
      </c>
      <c r="I30" s="23"/>
    </row>
    <row r="31" spans="1:9" x14ac:dyDescent="0.25">
      <c r="A31" s="71"/>
      <c r="B31" s="24">
        <v>23</v>
      </c>
      <c r="C31" s="25">
        <f>Gas!C31</f>
        <v>2</v>
      </c>
      <c r="D31" s="25">
        <f>Gas!D31</f>
        <v>18</v>
      </c>
      <c r="E31" s="72"/>
      <c r="F31" s="74">
        <v>0</v>
      </c>
      <c r="G31" s="73">
        <f t="shared" si="0"/>
        <v>0</v>
      </c>
      <c r="H31" s="87">
        <f t="shared" si="1"/>
        <v>0</v>
      </c>
      <c r="I31" s="23"/>
    </row>
    <row r="32" spans="1:9" x14ac:dyDescent="0.25">
      <c r="A32" s="71"/>
      <c r="B32" s="24">
        <v>24</v>
      </c>
      <c r="C32" s="25">
        <f>Gas!C32</f>
        <v>2</v>
      </c>
      <c r="D32" s="25">
        <f>Gas!D32</f>
        <v>11</v>
      </c>
      <c r="E32" s="72"/>
      <c r="F32" s="74">
        <v>0</v>
      </c>
      <c r="G32" s="73"/>
      <c r="H32" s="87">
        <f t="shared" si="1"/>
        <v>0</v>
      </c>
      <c r="I32" s="23"/>
    </row>
    <row r="33" spans="1:11" x14ac:dyDescent="0.25">
      <c r="A33" s="71"/>
      <c r="B33" s="24">
        <v>25</v>
      </c>
      <c r="C33" s="25">
        <f>Gas!C33</f>
        <v>4</v>
      </c>
      <c r="D33" s="25">
        <f>Gas!D33</f>
        <v>14</v>
      </c>
      <c r="E33" s="72"/>
      <c r="F33" s="74">
        <v>0</v>
      </c>
      <c r="G33" s="73">
        <f t="shared" si="0"/>
        <v>0</v>
      </c>
      <c r="H33" s="87">
        <f t="shared" si="1"/>
        <v>0</v>
      </c>
      <c r="I33" s="23"/>
    </row>
    <row r="34" spans="1:11" x14ac:dyDescent="0.25">
      <c r="A34" s="71"/>
      <c r="B34" s="24">
        <v>26</v>
      </c>
      <c r="C34" s="25">
        <f>Gas!C34</f>
        <v>8</v>
      </c>
      <c r="D34" s="25">
        <f>Gas!D34</f>
        <v>18</v>
      </c>
      <c r="E34" s="72"/>
      <c r="F34" s="74">
        <v>0</v>
      </c>
      <c r="G34" s="73">
        <f t="shared" si="0"/>
        <v>0</v>
      </c>
      <c r="H34" s="87">
        <f t="shared" si="1"/>
        <v>0</v>
      </c>
      <c r="I34" s="23"/>
    </row>
    <row r="35" spans="1:11" x14ac:dyDescent="0.25">
      <c r="A35" s="71"/>
      <c r="B35" s="24">
        <v>27</v>
      </c>
      <c r="C35" s="25">
        <f>Gas!C35</f>
        <v>5</v>
      </c>
      <c r="D35" s="25">
        <f>Gas!D35</f>
        <v>36</v>
      </c>
      <c r="E35" s="72"/>
      <c r="F35" s="74">
        <v>0</v>
      </c>
      <c r="G35" s="73">
        <f t="shared" si="0"/>
        <v>0</v>
      </c>
      <c r="H35" s="87">
        <f t="shared" si="1"/>
        <v>0</v>
      </c>
      <c r="I35" s="23"/>
    </row>
    <row r="36" spans="1:11" x14ac:dyDescent="0.25">
      <c r="A36" s="71"/>
      <c r="B36" s="24">
        <v>28</v>
      </c>
      <c r="C36" s="25">
        <f>Gas!C36</f>
        <v>7</v>
      </c>
      <c r="D36" s="25">
        <f>Gas!D36</f>
        <v>21</v>
      </c>
      <c r="E36" s="72"/>
      <c r="F36" s="74">
        <v>53</v>
      </c>
      <c r="G36" s="73">
        <f t="shared" si="0"/>
        <v>567100</v>
      </c>
      <c r="H36" s="87">
        <f t="shared" si="1"/>
        <v>39.43397538418747</v>
      </c>
      <c r="I36" s="23"/>
    </row>
    <row r="37" spans="1:11" x14ac:dyDescent="0.25">
      <c r="A37" s="71"/>
      <c r="B37" s="24">
        <v>29</v>
      </c>
      <c r="C37" s="25">
        <f>Gas!C37</f>
        <v>6</v>
      </c>
      <c r="D37" s="25">
        <f>Gas!D37</f>
        <v>34</v>
      </c>
      <c r="E37" s="72"/>
      <c r="F37" s="74">
        <v>0</v>
      </c>
      <c r="G37" s="73">
        <f t="shared" si="0"/>
        <v>0</v>
      </c>
      <c r="H37" s="87">
        <f t="shared" si="1"/>
        <v>0</v>
      </c>
      <c r="I37" s="23"/>
    </row>
    <row r="38" spans="1:11" x14ac:dyDescent="0.25">
      <c r="A38" s="71"/>
      <c r="B38" s="24">
        <v>30</v>
      </c>
      <c r="C38" s="25">
        <f>Gas!C38</f>
        <v>8</v>
      </c>
      <c r="D38" s="25">
        <f>Gas!D38</f>
        <v>23</v>
      </c>
      <c r="E38" s="72"/>
      <c r="F38" s="74">
        <v>0</v>
      </c>
      <c r="G38" s="73">
        <f t="shared" si="0"/>
        <v>0</v>
      </c>
      <c r="H38" s="87">
        <f t="shared" si="1"/>
        <v>0</v>
      </c>
      <c r="I38" s="23"/>
    </row>
    <row r="39" spans="1:11" x14ac:dyDescent="0.25">
      <c r="A39" s="71"/>
      <c r="B39" s="24">
        <v>31</v>
      </c>
      <c r="C39" s="25" t="str">
        <f>Gas!C39</f>
        <v xml:space="preserve"> -   </v>
      </c>
      <c r="D39" s="25" t="str">
        <f>Gas!D39</f>
        <v xml:space="preserve"> -   </v>
      </c>
      <c r="E39" s="72"/>
      <c r="F39" s="74">
        <v>0</v>
      </c>
      <c r="G39" s="73">
        <f t="shared" si="0"/>
        <v>0</v>
      </c>
      <c r="H39" s="87">
        <f t="shared" si="1"/>
        <v>0</v>
      </c>
      <c r="I39" s="23"/>
    </row>
    <row r="40" spans="1:11" s="12" customFormat="1" x14ac:dyDescent="0.25">
      <c r="C40" s="32">
        <f>SUM(C9:C39)</f>
        <v>178</v>
      </c>
      <c r="D40" s="32">
        <f>SUM(D9:D39)</f>
        <v>732</v>
      </c>
      <c r="E40" s="32"/>
      <c r="F40" s="32">
        <f>SUM(F9:F39)</f>
        <v>395</v>
      </c>
      <c r="G40" s="32"/>
      <c r="H40" s="75">
        <f>SUM(H9:H39)</f>
        <v>293.89472220290662</v>
      </c>
      <c r="K40" s="37"/>
    </row>
    <row r="41" spans="1:11" x14ac:dyDescent="0.25">
      <c r="E41" s="32"/>
      <c r="F41" s="76"/>
      <c r="G41" s="76"/>
      <c r="H41" s="43"/>
    </row>
    <row r="42" spans="1:11" x14ac:dyDescent="0.25">
      <c r="E42" s="61"/>
      <c r="F42" s="77"/>
      <c r="G42" s="77"/>
    </row>
    <row r="43" spans="1:11" x14ac:dyDescent="0.25">
      <c r="E43" s="61"/>
      <c r="F43" s="77"/>
      <c r="G43" s="77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3"/>
  <sheetViews>
    <sheetView tabSelected="1" topLeftCell="A3" workbookViewId="0">
      <selection activeCell="O23" sqref="O23"/>
    </sheetView>
  </sheetViews>
  <sheetFormatPr defaultRowHeight="15" x14ac:dyDescent="0.25"/>
  <cols>
    <col min="1" max="1" width="2.5703125" style="12" customWidth="1"/>
    <col min="2" max="2" width="4.7109375" customWidth="1"/>
    <col min="3" max="3" width="6.42578125" customWidth="1"/>
    <col min="4" max="4" width="6.42578125" style="21" customWidth="1"/>
    <col min="5" max="5" width="9.42578125" style="33" customWidth="1"/>
    <col min="6" max="6" width="16.5703125" style="33" customWidth="1"/>
    <col min="7" max="7" width="10.28515625" style="33" customWidth="1"/>
    <col min="8" max="8" width="16.7109375" style="33" customWidth="1"/>
    <col min="9" max="9" width="10.28515625" style="33" customWidth="1"/>
    <col min="10" max="10" width="16.7109375" style="33" customWidth="1"/>
    <col min="11" max="11" width="16.28515625" style="33" customWidth="1"/>
    <col min="12" max="12" width="19.7109375" customWidth="1"/>
    <col min="13" max="13" width="2.5703125" style="12" customWidth="1"/>
    <col min="15" max="15" width="20.5703125" customWidth="1"/>
  </cols>
  <sheetData>
    <row r="2" spans="1:13" ht="15.75" x14ac:dyDescent="0.25">
      <c r="B2" s="100" t="s">
        <v>48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</row>
    <row r="3" spans="1:13" ht="15.75" x14ac:dyDescent="0.25">
      <c r="B3" s="100" t="s">
        <v>16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</row>
    <row r="4" spans="1:13" ht="8.25" customHeight="1" x14ac:dyDescent="0.25">
      <c r="B4" s="15"/>
      <c r="C4" s="16"/>
      <c r="D4" s="17"/>
      <c r="E4" s="16"/>
      <c r="F4" s="16"/>
      <c r="G4" s="16"/>
      <c r="H4" s="16"/>
      <c r="I4" s="16"/>
      <c r="J4" s="16"/>
      <c r="K4" s="16"/>
    </row>
    <row r="5" spans="1:13" x14ac:dyDescent="0.25">
      <c r="A5" s="18"/>
      <c r="B5" s="101">
        <v>44075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8"/>
    </row>
    <row r="6" spans="1:13" x14ac:dyDescent="0.25">
      <c r="A6" s="19"/>
      <c r="B6" s="99" t="s">
        <v>17</v>
      </c>
      <c r="C6" s="99" t="s">
        <v>49</v>
      </c>
      <c r="D6" s="99" t="s">
        <v>13</v>
      </c>
      <c r="E6" s="105" t="s">
        <v>50</v>
      </c>
      <c r="F6" s="105"/>
      <c r="G6" s="107" t="s">
        <v>51</v>
      </c>
      <c r="H6" s="107"/>
      <c r="I6" s="107"/>
      <c r="J6" s="107"/>
      <c r="K6" s="99" t="s">
        <v>52</v>
      </c>
      <c r="L6" s="99" t="s">
        <v>53</v>
      </c>
      <c r="M6" s="20"/>
    </row>
    <row r="7" spans="1:13" s="21" customFormat="1" x14ac:dyDescent="0.25">
      <c r="A7" s="19"/>
      <c r="B7" s="99"/>
      <c r="C7" s="99"/>
      <c r="D7" s="99"/>
      <c r="E7" s="99" t="s">
        <v>54</v>
      </c>
      <c r="F7" s="99" t="s">
        <v>55</v>
      </c>
      <c r="G7" s="99" t="s">
        <v>54</v>
      </c>
      <c r="H7" s="99" t="s">
        <v>56</v>
      </c>
      <c r="I7" s="99" t="s">
        <v>54</v>
      </c>
      <c r="J7" s="99" t="s">
        <v>57</v>
      </c>
      <c r="K7" s="99"/>
      <c r="L7" s="99"/>
      <c r="M7" s="20"/>
    </row>
    <row r="8" spans="1:13" x14ac:dyDescent="0.25">
      <c r="A8" s="22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23"/>
    </row>
    <row r="9" spans="1:13" x14ac:dyDescent="0.25">
      <c r="A9" s="22"/>
      <c r="B9" s="24">
        <v>1</v>
      </c>
      <c r="C9" s="25">
        <f>'Fuel Diesel'!C9</f>
        <v>7</v>
      </c>
      <c r="D9" s="25">
        <f>'Fuel Diesel'!D9</f>
        <v>19</v>
      </c>
      <c r="E9" s="26"/>
      <c r="F9" s="28">
        <f>E9*13582</f>
        <v>0</v>
      </c>
      <c r="G9" s="26">
        <v>52</v>
      </c>
      <c r="H9" s="28">
        <f>G9*4000</f>
        <v>208000</v>
      </c>
      <c r="I9" s="26">
        <v>70</v>
      </c>
      <c r="J9" s="28">
        <f>I9*4000</f>
        <v>280000</v>
      </c>
      <c r="K9" s="26">
        <f t="shared" ref="K9:K39" si="0">F9+H9+J9</f>
        <v>488000</v>
      </c>
      <c r="L9" s="79">
        <f>K9/14381</f>
        <v>33.933662471316318</v>
      </c>
      <c r="M9" s="23"/>
    </row>
    <row r="10" spans="1:13" x14ac:dyDescent="0.25">
      <c r="A10" s="22"/>
      <c r="B10" s="24">
        <v>2</v>
      </c>
      <c r="C10" s="25">
        <f>'Fuel Diesel'!C10</f>
        <v>5</v>
      </c>
      <c r="D10" s="25">
        <f>'Fuel Diesel'!D10</f>
        <v>24</v>
      </c>
      <c r="E10" s="26"/>
      <c r="F10" s="28">
        <f>E10*13582</f>
        <v>0</v>
      </c>
      <c r="G10" s="26">
        <v>45</v>
      </c>
      <c r="H10" s="28">
        <f>G10*4000</f>
        <v>180000</v>
      </c>
      <c r="I10" s="26">
        <v>64</v>
      </c>
      <c r="J10" s="28">
        <f>I10*4000</f>
        <v>256000</v>
      </c>
      <c r="K10" s="26">
        <f t="shared" si="0"/>
        <v>436000</v>
      </c>
      <c r="L10" s="79">
        <f t="shared" ref="L10:L39" si="1">K10/14381</f>
        <v>30.317780404700645</v>
      </c>
      <c r="M10" s="23"/>
    </row>
    <row r="11" spans="1:13" x14ac:dyDescent="0.25">
      <c r="A11" s="22"/>
      <c r="B11" s="24">
        <v>3</v>
      </c>
      <c r="C11" s="25">
        <f>'Fuel Diesel'!C11</f>
        <v>2</v>
      </c>
      <c r="D11" s="25">
        <f>'Fuel Diesel'!D11</f>
        <v>21</v>
      </c>
      <c r="E11" s="26"/>
      <c r="F11" s="28">
        <f t="shared" ref="F11:F39" si="2">E11*13582</f>
        <v>0</v>
      </c>
      <c r="G11" s="26">
        <v>44</v>
      </c>
      <c r="H11" s="28">
        <f t="shared" ref="H11:H39" si="3">G11*4000</f>
        <v>176000</v>
      </c>
      <c r="I11" s="26">
        <v>62</v>
      </c>
      <c r="J11" s="28">
        <f t="shared" ref="J11:J39" si="4">I11*4000</f>
        <v>248000</v>
      </c>
      <c r="K11" s="26">
        <f t="shared" si="0"/>
        <v>424000</v>
      </c>
      <c r="L11" s="79">
        <f t="shared" si="1"/>
        <v>29.483346081635492</v>
      </c>
      <c r="M11" s="23"/>
    </row>
    <row r="12" spans="1:13" x14ac:dyDescent="0.25">
      <c r="A12" s="22"/>
      <c r="B12" s="24">
        <v>4</v>
      </c>
      <c r="C12" s="25">
        <f>'Fuel Diesel'!C12</f>
        <v>7</v>
      </c>
      <c r="D12" s="25">
        <f>'Fuel Diesel'!D12</f>
        <v>11</v>
      </c>
      <c r="E12" s="26"/>
      <c r="F12" s="28">
        <f t="shared" si="2"/>
        <v>0</v>
      </c>
      <c r="G12" s="26">
        <v>46</v>
      </c>
      <c r="H12" s="28">
        <f t="shared" si="3"/>
        <v>184000</v>
      </c>
      <c r="I12" s="26">
        <v>65</v>
      </c>
      <c r="J12" s="28">
        <f t="shared" si="4"/>
        <v>260000</v>
      </c>
      <c r="K12" s="26">
        <f t="shared" si="0"/>
        <v>444000</v>
      </c>
      <c r="L12" s="79">
        <f t="shared" si="1"/>
        <v>30.87406995341075</v>
      </c>
      <c r="M12" s="23"/>
    </row>
    <row r="13" spans="1:13" x14ac:dyDescent="0.25">
      <c r="A13" s="22"/>
      <c r="B13" s="24">
        <v>5</v>
      </c>
      <c r="C13" s="25">
        <f>'Fuel Diesel'!C13</f>
        <v>7</v>
      </c>
      <c r="D13" s="25">
        <f>'Fuel Diesel'!D13</f>
        <v>24</v>
      </c>
      <c r="E13" s="26"/>
      <c r="F13" s="28">
        <f t="shared" si="2"/>
        <v>0</v>
      </c>
      <c r="G13" s="26">
        <v>51</v>
      </c>
      <c r="H13" s="28">
        <f t="shared" si="3"/>
        <v>204000</v>
      </c>
      <c r="I13" s="26">
        <v>72</v>
      </c>
      <c r="J13" s="28">
        <f t="shared" si="4"/>
        <v>288000</v>
      </c>
      <c r="K13" s="26">
        <f t="shared" si="0"/>
        <v>492000</v>
      </c>
      <c r="L13" s="79">
        <f t="shared" si="1"/>
        <v>34.211807245671373</v>
      </c>
      <c r="M13" s="23"/>
    </row>
    <row r="14" spans="1:13" x14ac:dyDescent="0.25">
      <c r="A14" s="22"/>
      <c r="B14" s="24">
        <v>6</v>
      </c>
      <c r="C14" s="25">
        <f>'Fuel Diesel'!C14</f>
        <v>6</v>
      </c>
      <c r="D14" s="25">
        <f>'Fuel Diesel'!D14</f>
        <v>25</v>
      </c>
      <c r="E14" s="26"/>
      <c r="F14" s="28">
        <f t="shared" si="2"/>
        <v>0</v>
      </c>
      <c r="G14" s="26">
        <v>50</v>
      </c>
      <c r="H14" s="28">
        <f t="shared" si="3"/>
        <v>200000</v>
      </c>
      <c r="I14" s="26">
        <v>73</v>
      </c>
      <c r="J14" s="28">
        <f t="shared" si="4"/>
        <v>292000</v>
      </c>
      <c r="K14" s="26">
        <f t="shared" si="0"/>
        <v>492000</v>
      </c>
      <c r="L14" s="79">
        <f t="shared" si="1"/>
        <v>34.211807245671373</v>
      </c>
      <c r="M14" s="23"/>
    </row>
    <row r="15" spans="1:13" x14ac:dyDescent="0.25">
      <c r="A15" s="22"/>
      <c r="B15" s="24">
        <v>7</v>
      </c>
      <c r="C15" s="25">
        <f>'Fuel Diesel'!C15</f>
        <v>2</v>
      </c>
      <c r="D15" s="25">
        <f>'Fuel Diesel'!D15</f>
        <v>17</v>
      </c>
      <c r="E15" s="26"/>
      <c r="F15" s="28">
        <f t="shared" si="2"/>
        <v>0</v>
      </c>
      <c r="G15" s="26">
        <v>63</v>
      </c>
      <c r="H15" s="28">
        <f t="shared" si="3"/>
        <v>252000</v>
      </c>
      <c r="I15" s="26">
        <v>78</v>
      </c>
      <c r="J15" s="28">
        <f t="shared" si="4"/>
        <v>312000</v>
      </c>
      <c r="K15" s="26">
        <f t="shared" si="0"/>
        <v>564000</v>
      </c>
      <c r="L15" s="79">
        <f t="shared" si="1"/>
        <v>39.218413184062307</v>
      </c>
      <c r="M15" s="23"/>
    </row>
    <row r="16" spans="1:13" x14ac:dyDescent="0.25">
      <c r="A16" s="22"/>
      <c r="B16" s="24">
        <v>8</v>
      </c>
      <c r="C16" s="25">
        <f>'Fuel Diesel'!C16</f>
        <v>2</v>
      </c>
      <c r="D16" s="25">
        <f>'Fuel Diesel'!D16</f>
        <v>6</v>
      </c>
      <c r="E16" s="26"/>
      <c r="F16" s="28">
        <f t="shared" si="2"/>
        <v>0</v>
      </c>
      <c r="G16" s="26">
        <v>69</v>
      </c>
      <c r="H16" s="28">
        <f t="shared" si="3"/>
        <v>276000</v>
      </c>
      <c r="I16" s="26">
        <v>103</v>
      </c>
      <c r="J16" s="28">
        <f t="shared" si="4"/>
        <v>412000</v>
      </c>
      <c r="K16" s="26">
        <f t="shared" si="0"/>
        <v>688000</v>
      </c>
      <c r="L16" s="79">
        <f t="shared" si="1"/>
        <v>47.840901189068909</v>
      </c>
      <c r="M16" s="23"/>
    </row>
    <row r="17" spans="1:13" x14ac:dyDescent="0.25">
      <c r="A17" s="22"/>
      <c r="B17" s="24">
        <v>9</v>
      </c>
      <c r="C17" s="25">
        <f>'Fuel Diesel'!C17</f>
        <v>1</v>
      </c>
      <c r="D17" s="25">
        <f>'Fuel Diesel'!D17</f>
        <v>13</v>
      </c>
      <c r="E17" s="26"/>
      <c r="F17" s="28">
        <f t="shared" si="2"/>
        <v>0</v>
      </c>
      <c r="G17" s="26">
        <v>43</v>
      </c>
      <c r="H17" s="28">
        <f t="shared" si="3"/>
        <v>172000</v>
      </c>
      <c r="I17" s="26">
        <v>95</v>
      </c>
      <c r="J17" s="28">
        <f t="shared" si="4"/>
        <v>380000</v>
      </c>
      <c r="K17" s="26">
        <f t="shared" si="0"/>
        <v>552000</v>
      </c>
      <c r="L17" s="79">
        <f t="shared" si="1"/>
        <v>38.383978860997146</v>
      </c>
      <c r="M17" s="23"/>
    </row>
    <row r="18" spans="1:13" x14ac:dyDescent="0.25">
      <c r="A18" s="22"/>
      <c r="B18" s="24">
        <v>10</v>
      </c>
      <c r="C18" s="25">
        <f>'Fuel Diesel'!C18</f>
        <v>2</v>
      </c>
      <c r="D18" s="25">
        <f>'Fuel Diesel'!D18</f>
        <v>15</v>
      </c>
      <c r="E18" s="26"/>
      <c r="F18" s="28">
        <f t="shared" si="2"/>
        <v>0</v>
      </c>
      <c r="G18" s="26">
        <v>0</v>
      </c>
      <c r="H18" s="28">
        <f t="shared" si="3"/>
        <v>0</v>
      </c>
      <c r="I18" s="26">
        <v>111</v>
      </c>
      <c r="J18" s="28">
        <f t="shared" si="4"/>
        <v>444000</v>
      </c>
      <c r="K18" s="26">
        <f t="shared" si="0"/>
        <v>444000</v>
      </c>
      <c r="L18" s="79">
        <f t="shared" si="1"/>
        <v>30.87406995341075</v>
      </c>
      <c r="M18" s="23"/>
    </row>
    <row r="19" spans="1:13" x14ac:dyDescent="0.25">
      <c r="A19" s="22"/>
      <c r="B19" s="24">
        <v>11</v>
      </c>
      <c r="C19" s="25">
        <f>'Fuel Diesel'!C19</f>
        <v>5</v>
      </c>
      <c r="D19" s="25">
        <f>'Fuel Diesel'!D19</f>
        <v>7</v>
      </c>
      <c r="E19" s="26"/>
      <c r="F19" s="28">
        <f t="shared" si="2"/>
        <v>0</v>
      </c>
      <c r="G19" s="26">
        <v>0</v>
      </c>
      <c r="H19" s="28">
        <f t="shared" si="3"/>
        <v>0</v>
      </c>
      <c r="I19" s="26">
        <v>123</v>
      </c>
      <c r="J19" s="28">
        <f t="shared" si="4"/>
        <v>492000</v>
      </c>
      <c r="K19" s="26">
        <f t="shared" si="0"/>
        <v>492000</v>
      </c>
      <c r="L19" s="79">
        <f t="shared" si="1"/>
        <v>34.211807245671373</v>
      </c>
      <c r="M19" s="23"/>
    </row>
    <row r="20" spans="1:13" x14ac:dyDescent="0.25">
      <c r="A20" s="22"/>
      <c r="B20" s="24">
        <v>12</v>
      </c>
      <c r="C20" s="25">
        <f>'Fuel Diesel'!C20</f>
        <v>6</v>
      </c>
      <c r="D20" s="25">
        <f>'Fuel Diesel'!D20</f>
        <v>20</v>
      </c>
      <c r="E20" s="26"/>
      <c r="F20" s="28">
        <f t="shared" si="2"/>
        <v>0</v>
      </c>
      <c r="G20" s="26">
        <v>0</v>
      </c>
      <c r="H20" s="28">
        <f>G20*4000</f>
        <v>0</v>
      </c>
      <c r="I20" s="26">
        <v>135</v>
      </c>
      <c r="J20" s="28">
        <f t="shared" si="4"/>
        <v>540000</v>
      </c>
      <c r="K20" s="26">
        <f t="shared" si="0"/>
        <v>540000</v>
      </c>
      <c r="L20" s="79">
        <f t="shared" si="1"/>
        <v>37.549544537931993</v>
      </c>
      <c r="M20" s="23"/>
    </row>
    <row r="21" spans="1:13" x14ac:dyDescent="0.25">
      <c r="A21" s="22"/>
      <c r="B21" s="24">
        <v>13</v>
      </c>
      <c r="C21" s="25">
        <f>'Fuel Diesel'!C21</f>
        <v>4</v>
      </c>
      <c r="D21" s="25">
        <f>'Fuel Diesel'!D21</f>
        <v>23</v>
      </c>
      <c r="E21" s="26"/>
      <c r="F21" s="28">
        <f t="shared" si="2"/>
        <v>0</v>
      </c>
      <c r="G21" s="26">
        <v>0</v>
      </c>
      <c r="H21" s="28">
        <f t="shared" si="3"/>
        <v>0</v>
      </c>
      <c r="I21" s="26">
        <v>107</v>
      </c>
      <c r="J21" s="28">
        <f t="shared" si="4"/>
        <v>428000</v>
      </c>
      <c r="K21" s="26">
        <f t="shared" si="0"/>
        <v>428000</v>
      </c>
      <c r="L21" s="79">
        <f t="shared" si="1"/>
        <v>29.761490855990544</v>
      </c>
      <c r="M21" s="23"/>
    </row>
    <row r="22" spans="1:13" x14ac:dyDescent="0.25">
      <c r="A22" s="22"/>
      <c r="B22" s="24">
        <v>14</v>
      </c>
      <c r="C22" s="25">
        <f>'Fuel Diesel'!C22</f>
        <v>7</v>
      </c>
      <c r="D22" s="25">
        <f>'Fuel Diesel'!D22</f>
        <v>14</v>
      </c>
      <c r="E22" s="26"/>
      <c r="F22" s="28">
        <f t="shared" si="2"/>
        <v>0</v>
      </c>
      <c r="G22" s="26">
        <v>0</v>
      </c>
      <c r="H22" s="28">
        <f t="shared" si="3"/>
        <v>0</v>
      </c>
      <c r="I22" s="26">
        <v>141</v>
      </c>
      <c r="J22" s="28">
        <f t="shared" si="4"/>
        <v>564000</v>
      </c>
      <c r="K22" s="26">
        <f t="shared" si="0"/>
        <v>564000</v>
      </c>
      <c r="L22" s="79">
        <f t="shared" si="1"/>
        <v>39.218413184062307</v>
      </c>
      <c r="M22" s="23"/>
    </row>
    <row r="23" spans="1:13" x14ac:dyDescent="0.25">
      <c r="A23" s="22"/>
      <c r="B23" s="24">
        <v>15</v>
      </c>
      <c r="C23" s="25">
        <f>'Fuel Diesel'!C23</f>
        <v>5</v>
      </c>
      <c r="D23" s="25">
        <f>'Fuel Diesel'!D23</f>
        <v>22</v>
      </c>
      <c r="E23" s="26"/>
      <c r="F23" s="28">
        <f t="shared" si="2"/>
        <v>0</v>
      </c>
      <c r="G23" s="26">
        <v>0</v>
      </c>
      <c r="H23" s="28">
        <f t="shared" si="3"/>
        <v>0</v>
      </c>
      <c r="I23" s="26">
        <v>155</v>
      </c>
      <c r="J23" s="28">
        <f t="shared" si="4"/>
        <v>620000</v>
      </c>
      <c r="K23" s="26">
        <f t="shared" si="0"/>
        <v>620000</v>
      </c>
      <c r="L23" s="79">
        <f t="shared" si="1"/>
        <v>43.112440025033031</v>
      </c>
      <c r="M23" s="23"/>
    </row>
    <row r="24" spans="1:13" x14ac:dyDescent="0.25">
      <c r="A24" s="22"/>
      <c r="B24" s="24">
        <v>16</v>
      </c>
      <c r="C24" s="25">
        <f>'Fuel Diesel'!C24</f>
        <v>7</v>
      </c>
      <c r="D24" s="25">
        <f>'Fuel Diesel'!D24</f>
        <v>33</v>
      </c>
      <c r="E24" s="26"/>
      <c r="F24" s="28">
        <f t="shared" si="2"/>
        <v>0</v>
      </c>
      <c r="G24" s="26">
        <v>0</v>
      </c>
      <c r="H24" s="28">
        <f t="shared" si="3"/>
        <v>0</v>
      </c>
      <c r="I24" s="26">
        <v>96</v>
      </c>
      <c r="J24" s="28">
        <f t="shared" si="4"/>
        <v>384000</v>
      </c>
      <c r="K24" s="26">
        <f t="shared" si="0"/>
        <v>384000</v>
      </c>
      <c r="L24" s="79">
        <f t="shared" si="1"/>
        <v>26.701898338084973</v>
      </c>
      <c r="M24" s="23"/>
    </row>
    <row r="25" spans="1:13" x14ac:dyDescent="0.25">
      <c r="A25" s="22"/>
      <c r="B25" s="24">
        <v>17</v>
      </c>
      <c r="C25" s="25">
        <f>'Fuel Diesel'!C25</f>
        <v>6</v>
      </c>
      <c r="D25" s="25">
        <f>'Fuel Diesel'!D25</f>
        <v>25</v>
      </c>
      <c r="E25" s="26"/>
      <c r="F25" s="28">
        <f t="shared" si="2"/>
        <v>0</v>
      </c>
      <c r="G25" s="26">
        <v>0</v>
      </c>
      <c r="H25" s="28">
        <f t="shared" si="3"/>
        <v>0</v>
      </c>
      <c r="I25" s="26">
        <v>116</v>
      </c>
      <c r="J25" s="28">
        <f t="shared" si="4"/>
        <v>464000</v>
      </c>
      <c r="K25" s="26">
        <f t="shared" si="0"/>
        <v>464000</v>
      </c>
      <c r="L25" s="79">
        <f t="shared" si="1"/>
        <v>32.264793825186011</v>
      </c>
      <c r="M25" s="23"/>
    </row>
    <row r="26" spans="1:13" x14ac:dyDescent="0.25">
      <c r="A26" s="22"/>
      <c r="B26" s="24">
        <v>18</v>
      </c>
      <c r="C26" s="25">
        <f>'Fuel Diesel'!C26</f>
        <v>13</v>
      </c>
      <c r="D26" s="25">
        <f>'Fuel Diesel'!D26</f>
        <v>35</v>
      </c>
      <c r="E26" s="26"/>
      <c r="F26" s="28">
        <f t="shared" si="2"/>
        <v>0</v>
      </c>
      <c r="G26" s="26">
        <v>0</v>
      </c>
      <c r="H26" s="28">
        <f t="shared" si="3"/>
        <v>0</v>
      </c>
      <c r="I26" s="26">
        <v>133</v>
      </c>
      <c r="J26" s="28">
        <f t="shared" si="4"/>
        <v>532000</v>
      </c>
      <c r="K26" s="26">
        <f t="shared" si="0"/>
        <v>532000</v>
      </c>
      <c r="L26" s="79">
        <f t="shared" si="1"/>
        <v>36.993254989221889</v>
      </c>
      <c r="M26" s="23"/>
    </row>
    <row r="27" spans="1:13" x14ac:dyDescent="0.25">
      <c r="A27" s="22"/>
      <c r="B27" s="24">
        <v>19</v>
      </c>
      <c r="C27" s="25">
        <f>'Fuel Diesel'!C27</f>
        <v>16</v>
      </c>
      <c r="D27" s="25">
        <f>'Fuel Diesel'!D27</f>
        <v>57</v>
      </c>
      <c r="E27" s="26"/>
      <c r="F27" s="28">
        <f t="shared" si="2"/>
        <v>0</v>
      </c>
      <c r="G27" s="26">
        <v>0</v>
      </c>
      <c r="H27" s="28">
        <f t="shared" si="3"/>
        <v>0</v>
      </c>
      <c r="I27" s="26">
        <v>142</v>
      </c>
      <c r="J27" s="28">
        <f t="shared" si="4"/>
        <v>568000</v>
      </c>
      <c r="K27" s="26">
        <f t="shared" si="0"/>
        <v>568000</v>
      </c>
      <c r="L27" s="79">
        <f t="shared" si="1"/>
        <v>39.496557958417355</v>
      </c>
      <c r="M27" s="23"/>
    </row>
    <row r="28" spans="1:13" x14ac:dyDescent="0.25">
      <c r="A28" s="22"/>
      <c r="B28" s="24">
        <v>20</v>
      </c>
      <c r="C28" s="25">
        <f>'Fuel Diesel'!C28</f>
        <v>10</v>
      </c>
      <c r="D28" s="25">
        <f>'Fuel Diesel'!D28</f>
        <v>64</v>
      </c>
      <c r="E28" s="26"/>
      <c r="F28" s="28">
        <f t="shared" si="2"/>
        <v>0</v>
      </c>
      <c r="G28" s="26">
        <v>0</v>
      </c>
      <c r="H28" s="28">
        <f t="shared" si="3"/>
        <v>0</v>
      </c>
      <c r="I28" s="26">
        <v>166</v>
      </c>
      <c r="J28" s="28">
        <f t="shared" si="4"/>
        <v>664000</v>
      </c>
      <c r="K28" s="26">
        <f t="shared" si="0"/>
        <v>664000</v>
      </c>
      <c r="L28" s="79">
        <f t="shared" si="1"/>
        <v>46.172032542938602</v>
      </c>
      <c r="M28" s="23"/>
    </row>
    <row r="29" spans="1:13" x14ac:dyDescent="0.25">
      <c r="A29" s="22"/>
      <c r="B29" s="24">
        <v>21</v>
      </c>
      <c r="C29" s="25">
        <f>'Fuel Diesel'!C29</f>
        <v>9</v>
      </c>
      <c r="D29" s="25">
        <f>'Fuel Diesel'!D29</f>
        <v>43</v>
      </c>
      <c r="E29" s="26"/>
      <c r="F29" s="28">
        <f t="shared" si="2"/>
        <v>0</v>
      </c>
      <c r="G29" s="26">
        <v>0</v>
      </c>
      <c r="H29" s="28">
        <f t="shared" si="3"/>
        <v>0</v>
      </c>
      <c r="I29" s="26">
        <v>156</v>
      </c>
      <c r="J29" s="28">
        <f t="shared" si="4"/>
        <v>624000</v>
      </c>
      <c r="K29" s="26">
        <f t="shared" si="0"/>
        <v>624000</v>
      </c>
      <c r="L29" s="79">
        <f t="shared" si="1"/>
        <v>43.39058479938808</v>
      </c>
      <c r="M29" s="23"/>
    </row>
    <row r="30" spans="1:13" x14ac:dyDescent="0.25">
      <c r="A30" s="22"/>
      <c r="B30" s="24">
        <v>22</v>
      </c>
      <c r="C30" s="25">
        <f>'Fuel Diesel'!C30</f>
        <v>7</v>
      </c>
      <c r="D30" s="25">
        <f>'Fuel Diesel'!D30</f>
        <v>39</v>
      </c>
      <c r="E30" s="26"/>
      <c r="F30" s="28">
        <f t="shared" si="2"/>
        <v>0</v>
      </c>
      <c r="G30" s="26">
        <v>0</v>
      </c>
      <c r="H30" s="28">
        <f t="shared" si="3"/>
        <v>0</v>
      </c>
      <c r="I30" s="26">
        <v>123</v>
      </c>
      <c r="J30" s="28">
        <f t="shared" si="4"/>
        <v>492000</v>
      </c>
      <c r="K30" s="26">
        <f t="shared" si="0"/>
        <v>492000</v>
      </c>
      <c r="L30" s="79">
        <f t="shared" si="1"/>
        <v>34.211807245671373</v>
      </c>
      <c r="M30" s="23"/>
    </row>
    <row r="31" spans="1:13" x14ac:dyDescent="0.25">
      <c r="A31" s="22"/>
      <c r="B31" s="24">
        <v>23</v>
      </c>
      <c r="C31" s="25">
        <f>'Fuel Diesel'!C31</f>
        <v>2</v>
      </c>
      <c r="D31" s="25">
        <f>'Fuel Diesel'!D31</f>
        <v>18</v>
      </c>
      <c r="E31" s="26"/>
      <c r="F31" s="28">
        <f t="shared" si="2"/>
        <v>0</v>
      </c>
      <c r="G31" s="26">
        <v>0</v>
      </c>
      <c r="H31" s="28">
        <f t="shared" si="3"/>
        <v>0</v>
      </c>
      <c r="I31" s="26">
        <v>130</v>
      </c>
      <c r="J31" s="28">
        <f t="shared" si="4"/>
        <v>520000</v>
      </c>
      <c r="K31" s="26">
        <f t="shared" si="0"/>
        <v>520000</v>
      </c>
      <c r="L31" s="79">
        <f t="shared" si="1"/>
        <v>36.158820666156736</v>
      </c>
      <c r="M31" s="23"/>
    </row>
    <row r="32" spans="1:13" x14ac:dyDescent="0.25">
      <c r="A32" s="22"/>
      <c r="B32" s="24">
        <v>24</v>
      </c>
      <c r="C32" s="25">
        <f>'Fuel Diesel'!C32</f>
        <v>2</v>
      </c>
      <c r="D32" s="25">
        <f>'Fuel Diesel'!D32</f>
        <v>11</v>
      </c>
      <c r="E32" s="26"/>
      <c r="F32" s="28">
        <f t="shared" si="2"/>
        <v>0</v>
      </c>
      <c r="G32" s="26">
        <v>0</v>
      </c>
      <c r="H32" s="28">
        <f t="shared" si="3"/>
        <v>0</v>
      </c>
      <c r="I32" s="26">
        <v>96</v>
      </c>
      <c r="J32" s="28">
        <f t="shared" si="4"/>
        <v>384000</v>
      </c>
      <c r="K32" s="26">
        <f t="shared" si="0"/>
        <v>384000</v>
      </c>
      <c r="L32" s="79">
        <f t="shared" si="1"/>
        <v>26.701898338084973</v>
      </c>
      <c r="M32" s="23"/>
    </row>
    <row r="33" spans="1:15" x14ac:dyDescent="0.25">
      <c r="A33" s="22"/>
      <c r="B33" s="24">
        <v>25</v>
      </c>
      <c r="C33" s="25">
        <f>'Fuel Diesel'!C33</f>
        <v>4</v>
      </c>
      <c r="D33" s="25">
        <f>'Fuel Diesel'!D33</f>
        <v>14</v>
      </c>
      <c r="E33" s="26"/>
      <c r="F33" s="28">
        <f t="shared" si="2"/>
        <v>0</v>
      </c>
      <c r="G33" s="26">
        <v>0</v>
      </c>
      <c r="H33" s="28">
        <f t="shared" si="3"/>
        <v>0</v>
      </c>
      <c r="I33" s="26">
        <v>127</v>
      </c>
      <c r="J33" s="28">
        <f t="shared" si="4"/>
        <v>508000</v>
      </c>
      <c r="K33" s="26">
        <f t="shared" si="0"/>
        <v>508000</v>
      </c>
      <c r="L33" s="79">
        <f t="shared" si="1"/>
        <v>35.324386343091582</v>
      </c>
      <c r="M33" s="23"/>
    </row>
    <row r="34" spans="1:15" x14ac:dyDescent="0.25">
      <c r="A34" s="22"/>
      <c r="B34" s="24">
        <v>26</v>
      </c>
      <c r="C34" s="25">
        <f>'Fuel Diesel'!C34</f>
        <v>8</v>
      </c>
      <c r="D34" s="25">
        <f>'Fuel Diesel'!D34</f>
        <v>18</v>
      </c>
      <c r="E34" s="26"/>
      <c r="F34" s="28">
        <f t="shared" si="2"/>
        <v>0</v>
      </c>
      <c r="G34" s="26">
        <v>0</v>
      </c>
      <c r="H34" s="28">
        <f t="shared" si="3"/>
        <v>0</v>
      </c>
      <c r="I34" s="26">
        <v>123</v>
      </c>
      <c r="J34" s="28">
        <f t="shared" si="4"/>
        <v>492000</v>
      </c>
      <c r="K34" s="26">
        <f t="shared" si="0"/>
        <v>492000</v>
      </c>
      <c r="L34" s="79">
        <f t="shared" si="1"/>
        <v>34.211807245671373</v>
      </c>
      <c r="M34" s="23"/>
    </row>
    <row r="35" spans="1:15" x14ac:dyDescent="0.25">
      <c r="A35" s="22"/>
      <c r="B35" s="24">
        <v>27</v>
      </c>
      <c r="C35" s="25">
        <f>'Fuel Diesel'!C35</f>
        <v>5</v>
      </c>
      <c r="D35" s="25">
        <f>'Fuel Diesel'!D35</f>
        <v>36</v>
      </c>
      <c r="E35" s="26"/>
      <c r="F35" s="28">
        <f t="shared" si="2"/>
        <v>0</v>
      </c>
      <c r="G35" s="26">
        <v>0</v>
      </c>
      <c r="H35" s="28">
        <f t="shared" si="3"/>
        <v>0</v>
      </c>
      <c r="I35" s="26">
        <v>143</v>
      </c>
      <c r="J35" s="28">
        <f t="shared" si="4"/>
        <v>572000</v>
      </c>
      <c r="K35" s="26">
        <f t="shared" si="0"/>
        <v>572000</v>
      </c>
      <c r="L35" s="79">
        <f t="shared" si="1"/>
        <v>39.774702732772411</v>
      </c>
      <c r="M35" s="23"/>
    </row>
    <row r="36" spans="1:15" x14ac:dyDescent="0.25">
      <c r="A36" s="22"/>
      <c r="B36" s="24">
        <v>28</v>
      </c>
      <c r="C36" s="25">
        <f>'Fuel Diesel'!C36</f>
        <v>7</v>
      </c>
      <c r="D36" s="25">
        <f>'Fuel Diesel'!D36</f>
        <v>21</v>
      </c>
      <c r="E36" s="26"/>
      <c r="F36" s="28">
        <f t="shared" si="2"/>
        <v>0</v>
      </c>
      <c r="G36" s="26">
        <v>0</v>
      </c>
      <c r="H36" s="28">
        <f t="shared" si="3"/>
        <v>0</v>
      </c>
      <c r="I36" s="26">
        <v>131</v>
      </c>
      <c r="J36" s="28">
        <f t="shared" si="4"/>
        <v>524000</v>
      </c>
      <c r="K36" s="26">
        <f t="shared" si="0"/>
        <v>524000</v>
      </c>
      <c r="L36" s="79">
        <f t="shared" si="1"/>
        <v>36.436965440511784</v>
      </c>
      <c r="M36" s="23"/>
    </row>
    <row r="37" spans="1:15" x14ac:dyDescent="0.25">
      <c r="A37" s="22"/>
      <c r="B37" s="24">
        <v>29</v>
      </c>
      <c r="C37" s="25">
        <f>'Fuel Diesel'!C37</f>
        <v>6</v>
      </c>
      <c r="D37" s="25">
        <f>'Fuel Diesel'!D37</f>
        <v>34</v>
      </c>
      <c r="E37" s="26"/>
      <c r="F37" s="28">
        <f t="shared" si="2"/>
        <v>0</v>
      </c>
      <c r="G37" s="26">
        <v>0</v>
      </c>
      <c r="H37" s="28">
        <f t="shared" si="3"/>
        <v>0</v>
      </c>
      <c r="I37" s="26">
        <v>121</v>
      </c>
      <c r="J37" s="28">
        <f t="shared" si="4"/>
        <v>484000</v>
      </c>
      <c r="K37" s="26">
        <f t="shared" si="0"/>
        <v>484000</v>
      </c>
      <c r="L37" s="79">
        <f t="shared" si="1"/>
        <v>33.655517696961269</v>
      </c>
      <c r="M37" s="23"/>
    </row>
    <row r="38" spans="1:15" x14ac:dyDescent="0.25">
      <c r="A38" s="22"/>
      <c r="B38" s="24">
        <v>30</v>
      </c>
      <c r="C38" s="25">
        <f>'Fuel Diesel'!C38</f>
        <v>8</v>
      </c>
      <c r="D38" s="25">
        <f>'Fuel Diesel'!D38</f>
        <v>23</v>
      </c>
      <c r="E38" s="26"/>
      <c r="F38" s="28">
        <f t="shared" si="2"/>
        <v>0</v>
      </c>
      <c r="G38" s="26">
        <v>0</v>
      </c>
      <c r="H38" s="28">
        <f t="shared" si="3"/>
        <v>0</v>
      </c>
      <c r="I38" s="26">
        <v>126</v>
      </c>
      <c r="J38" s="28">
        <f t="shared" si="4"/>
        <v>504000</v>
      </c>
      <c r="K38" s="26">
        <f t="shared" si="0"/>
        <v>504000</v>
      </c>
      <c r="L38" s="79">
        <f t="shared" si="1"/>
        <v>35.046241568736527</v>
      </c>
      <c r="M38" s="23"/>
    </row>
    <row r="39" spans="1:15" x14ac:dyDescent="0.25">
      <c r="A39" s="22"/>
      <c r="B39" s="24">
        <v>31</v>
      </c>
      <c r="C39" s="25" t="str">
        <f>'Fuel Diesel'!C39</f>
        <v xml:space="preserve"> -   </v>
      </c>
      <c r="D39" s="25" t="str">
        <f>'Fuel Diesel'!D39</f>
        <v xml:space="preserve"> -   </v>
      </c>
      <c r="E39" s="26"/>
      <c r="F39" s="28">
        <f t="shared" si="2"/>
        <v>0</v>
      </c>
      <c r="G39" s="26"/>
      <c r="H39" s="28">
        <f t="shared" si="3"/>
        <v>0</v>
      </c>
      <c r="I39" s="26"/>
      <c r="J39" s="28">
        <f t="shared" si="4"/>
        <v>0</v>
      </c>
      <c r="K39" s="26">
        <f t="shared" si="0"/>
        <v>0</v>
      </c>
      <c r="L39" s="79">
        <f t="shared" si="1"/>
        <v>0</v>
      </c>
      <c r="M39" s="23"/>
    </row>
    <row r="40" spans="1:15" x14ac:dyDescent="0.25">
      <c r="C40" s="32">
        <f>SUM(C9:C39)</f>
        <v>178</v>
      </c>
      <c r="D40" s="32">
        <f>SUM(D9:D39)</f>
        <v>732</v>
      </c>
      <c r="E40" s="32">
        <v>0</v>
      </c>
      <c r="G40" s="32">
        <f>SUM(G9:G39)</f>
        <v>463</v>
      </c>
      <c r="I40" s="32">
        <f>SUM(I9:I39)</f>
        <v>3383</v>
      </c>
      <c r="J40" s="94">
        <f>G40+I40</f>
        <v>3846</v>
      </c>
      <c r="K40" s="80"/>
      <c r="L40" s="88">
        <f>SUM(L9:L39)</f>
        <v>1069.7448021695293</v>
      </c>
      <c r="O40" s="37"/>
    </row>
    <row r="41" spans="1:15" x14ac:dyDescent="0.25">
      <c r="H41" s="93" t="s">
        <v>58</v>
      </c>
      <c r="I41" s="92">
        <f>G40+I40</f>
        <v>3846</v>
      </c>
      <c r="L41" s="38"/>
    </row>
    <row r="42" spans="1:15" x14ac:dyDescent="0.25">
      <c r="E42" s="21"/>
      <c r="F42" s="21"/>
      <c r="G42" s="21"/>
      <c r="H42" s="21"/>
      <c r="I42" s="81"/>
      <c r="J42" s="81"/>
      <c r="L42" s="40"/>
    </row>
    <row r="43" spans="1:15" x14ac:dyDescent="0.25">
      <c r="E43" s="21"/>
      <c r="F43" s="21"/>
      <c r="G43" s="21"/>
      <c r="H43" s="21"/>
      <c r="I43" s="81"/>
      <c r="J43" s="81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Siget Pamungkas</dc:creator>
  <cp:lastModifiedBy>Siget Pamungkas</cp:lastModifiedBy>
  <dcterms:created xsi:type="dcterms:W3CDTF">2022-01-19T02:48:06Z</dcterms:created>
  <dcterms:modified xsi:type="dcterms:W3CDTF">2022-06-05T06:23:15Z</dcterms:modified>
</cp:coreProperties>
</file>