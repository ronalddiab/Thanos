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" i="2" l="1"/>
  <c r="H9" i="4" l="1"/>
  <c r="K7" i="9" l="1"/>
  <c r="G4" i="3" l="1"/>
  <c r="AA5" i="4"/>
  <c r="AA4" i="4"/>
  <c r="Y4" i="4" l="1"/>
  <c r="T7" i="2" l="1"/>
  <c r="T10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5" i="2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5" i="2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5" i="2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5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<sst xmlns="http://schemas.openxmlformats.org/spreadsheetml/2006/main" count="511" uniqueCount="150">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</sst>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64314.137043999996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89601.863263999985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9">
        <v>1.27</v>
      </c>
      <c r="G14" s="37">
        <f>Gas!C15*0.9147</f>
        <v>0</v>
      </c>
      <c r="H14" s="140">
        <v>3.65</v>
      </c>
      <c r="I14" s="142">
        <f>Submetering!H14+Submetering!AD14+Submetering!AE14</f>
        <v>-194</v>
      </c>
      <c r="J14" s="142">
        <v>10.029999999999999</v>
      </c>
      <c r="K14" s="37">
        <f>ELECT.!B15</f>
        <v>0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9">
        <v>1.27</v>
      </c>
      <c r="G15" s="37">
        <f>Gas!C16*0.9147</f>
        <v>0</v>
      </c>
      <c r="H15" s="140">
        <v>3.65</v>
      </c>
      <c r="I15" s="142">
        <f>Submetering!H15+Submetering!AD15+Submetering!AE15</f>
        <v>-194</v>
      </c>
      <c r="J15" s="142">
        <v>10.029999999999999</v>
      </c>
      <c r="K15" s="37">
        <f>ELECT.!B16</f>
        <v>0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28" sqref="G2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1243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1558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0</v>
      </c>
      <c r="F14" s="37">
        <f>Water!E15</f>
        <v>0</v>
      </c>
      <c r="G14" s="37">
        <f>Water!G15</f>
        <v>0</v>
      </c>
      <c r="H14" s="37">
        <f>Water!I15</f>
        <v>0</v>
      </c>
      <c r="I14" s="37" t="str">
        <f>ELECT.!F15</f>
        <v>0</v>
      </c>
      <c r="J14" s="37" t="str">
        <f>ELECT.!H15</f>
        <v>0</v>
      </c>
      <c r="K14" s="37">
        <f>ELECT.!K15</f>
        <v>0</v>
      </c>
      <c r="L14" s="37" t="str">
        <f>ELECT.!M15</f>
        <v>0</v>
      </c>
      <c r="M14" s="37">
        <f>ELECT.!O15</f>
        <v>0</v>
      </c>
      <c r="N14" s="37" t="str">
        <f>ELECT.!Q15</f>
        <v>0</v>
      </c>
      <c r="O14" s="37" t="str">
        <f>ELECT.!S15</f>
        <v>0</v>
      </c>
      <c r="P14" s="37">
        <f>ELECT.!W15*2</f>
        <v>0</v>
      </c>
      <c r="Q14" s="37">
        <f>ELECT.!D15</f>
        <v>0</v>
      </c>
      <c r="R14" s="142" t="str">
        <f>BTU!C15</f>
        <v>0</v>
      </c>
      <c r="S14" s="142" t="str">
        <f>BTU!F15</f>
        <v>0</v>
      </c>
      <c r="T14" s="142" t="str">
        <f>BTU!I15</f>
        <v>0</v>
      </c>
      <c r="U14" s="142" t="str">
        <f>BTU!O15</f>
        <v>0</v>
      </c>
      <c r="V14" s="142" t="str">
        <f>BTU!L15</f>
        <v>0</v>
      </c>
      <c r="W14" s="142" t="str">
        <f>BTU!R15</f>
        <v>0</v>
      </c>
      <c r="X14" s="35">
        <f>ELECT.!B15</f>
        <v>0</v>
      </c>
      <c r="Y14" s="3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5">
        <f t="shared" si="1"/>
        <v>-25.569199999999999</v>
      </c>
      <c r="AE14" s="35">
        <f t="shared" si="2"/>
        <v>-168.4308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0</v>
      </c>
      <c r="F15" s="37">
        <f>Water!E16</f>
        <v>0</v>
      </c>
      <c r="G15" s="37">
        <f>Water!G16</f>
        <v>0</v>
      </c>
      <c r="H15" s="37">
        <f>Water!I16</f>
        <v>0</v>
      </c>
      <c r="I15" s="37">
        <f>ELECT.!F16</f>
        <v>0</v>
      </c>
      <c r="J15" s="37">
        <f>ELECT.!H16</f>
        <v>0</v>
      </c>
      <c r="K15" s="37">
        <f>ELECT.!K16</f>
        <v>0</v>
      </c>
      <c r="L15" s="37">
        <f>ELECT.!M16</f>
        <v>0</v>
      </c>
      <c r="M15" s="37">
        <f>ELECT.!O16</f>
        <v>0</v>
      </c>
      <c r="N15" s="37">
        <f>ELECT.!Q16</f>
        <v>0</v>
      </c>
      <c r="O15" s="37">
        <f>ELECT.!S16</f>
        <v>0</v>
      </c>
      <c r="P15" s="37">
        <f>ELECT.!W16*2</f>
        <v>0</v>
      </c>
      <c r="Q15" s="37">
        <f>ELECT.!D16</f>
        <v>0</v>
      </c>
      <c r="R15" s="142">
        <f>BTU!C16</f>
        <v>0</v>
      </c>
      <c r="S15" s="142">
        <f>BTU!F16</f>
        <v>0</v>
      </c>
      <c r="T15" s="142">
        <f>BTU!I16</f>
        <v>0</v>
      </c>
      <c r="U15" s="142">
        <f>BTU!O16</f>
        <v>0</v>
      </c>
      <c r="V15" s="142">
        <f>BTU!L16</f>
        <v>0</v>
      </c>
      <c r="W15" s="142">
        <f>BTU!R16</f>
        <v>0</v>
      </c>
      <c r="X15" s="35">
        <f>ELECT.!B16</f>
        <v>0</v>
      </c>
      <c r="Y15" s="3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5">
        <f t="shared" si="1"/>
        <v>-25.569199999999999</v>
      </c>
      <c r="AE15" s="35">
        <f t="shared" si="2"/>
        <v>-168.4308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>
        <f>ELECT.!F17</f>
        <v>0</v>
      </c>
      <c r="J16" s="37">
        <f>ELECT.!H17</f>
        <v>0</v>
      </c>
      <c r="K16" s="37">
        <f>ELECT.!K17</f>
        <v>0</v>
      </c>
      <c r="L16" s="37">
        <f>ELECT.!M17</f>
        <v>0</v>
      </c>
      <c r="M16" s="37">
        <f>ELECT.!O17</f>
        <v>0</v>
      </c>
      <c r="N16" s="37">
        <f>ELECT.!Q17</f>
        <v>0</v>
      </c>
      <c r="O16" s="37">
        <f>ELECT.!S17</f>
        <v>0</v>
      </c>
      <c r="P16" s="37">
        <f>ELECT.!W17*2</f>
        <v>0</v>
      </c>
      <c r="Q16" s="37">
        <f>ELECT.!D17</f>
        <v>0</v>
      </c>
      <c r="R16" s="142">
        <f>BTU!C17</f>
        <v>0</v>
      </c>
      <c r="S16" s="142">
        <f>BTU!F17</f>
        <v>0</v>
      </c>
      <c r="T16" s="142">
        <f>BTU!I17</f>
        <v>0</v>
      </c>
      <c r="U16" s="142">
        <f>BTU!O17</f>
        <v>0</v>
      </c>
      <c r="V16" s="142">
        <f>BTU!L17</f>
        <v>0</v>
      </c>
      <c r="W16" s="142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142">
        <f>BTU!C18</f>
        <v>0</v>
      </c>
      <c r="S17" s="142">
        <f>BTU!F18</f>
        <v>0</v>
      </c>
      <c r="T17" s="142">
        <f>BTU!I18</f>
        <v>0</v>
      </c>
      <c r="U17" s="142">
        <f>BTU!O18</f>
        <v>0</v>
      </c>
      <c r="V17" s="142">
        <f>BTU!L18</f>
        <v>0</v>
      </c>
      <c r="W17" s="142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142">
        <f>BTU!C19</f>
        <v>0</v>
      </c>
      <c r="S18" s="142">
        <f>BTU!F19</f>
        <v>0</v>
      </c>
      <c r="T18" s="142">
        <f>BTU!I19</f>
        <v>0</v>
      </c>
      <c r="U18" s="142">
        <f>BTU!O19</f>
        <v>0</v>
      </c>
      <c r="V18" s="142">
        <f>BTU!L19</f>
        <v>0</v>
      </c>
      <c r="W18" s="142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142">
        <f>BTU!C20</f>
        <v>0</v>
      </c>
      <c r="S19" s="142">
        <f>BTU!F20</f>
        <v>0</v>
      </c>
      <c r="T19" s="142">
        <f>BTU!I20</f>
        <v>0</v>
      </c>
      <c r="U19" s="142">
        <f>BTU!O20</f>
        <v>0</v>
      </c>
      <c r="V19" s="142">
        <f>BTU!L20</f>
        <v>0</v>
      </c>
      <c r="W19" s="142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142">
        <f>BTU!C21</f>
        <v>0</v>
      </c>
      <c r="S20" s="142">
        <f>BTU!F21</f>
        <v>0</v>
      </c>
      <c r="T20" s="142">
        <f>BTU!I21</f>
        <v>0</v>
      </c>
      <c r="U20" s="142">
        <f>BTU!O21</f>
        <v>0</v>
      </c>
      <c r="V20" s="142">
        <f>BTU!L21</f>
        <v>0</v>
      </c>
      <c r="W20" s="142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142">
        <f>BTU!C22</f>
        <v>0</v>
      </c>
      <c r="S21" s="142">
        <f>BTU!F22</f>
        <v>0</v>
      </c>
      <c r="T21" s="142">
        <f>BTU!I22</f>
        <v>0</v>
      </c>
      <c r="U21" s="142">
        <f>BTU!O22</f>
        <v>0</v>
      </c>
      <c r="V21" s="142">
        <f>BTU!L22</f>
        <v>0</v>
      </c>
      <c r="W21" s="142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255634</v>
      </c>
      <c r="I13" s="14">
        <f t="shared" si="3"/>
        <v>63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255692</v>
      </c>
      <c r="I14" s="14">
        <f t="shared" si="3"/>
        <v>58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f t="shared" ref="B14:B32" si="13">B14</f>
        <v>47143</v>
      </c>
      <c r="C15" s="14">
        <f t="shared" si="9"/>
        <v>0</v>
      </c>
      <c r="D15" s="32">
        <f t="shared" ref="D14:D32" si="14">D14</f>
        <v>40677</v>
      </c>
      <c r="E15" s="14">
        <f t="shared" si="1"/>
        <v>0</v>
      </c>
      <c r="F15" s="32">
        <f t="shared" ref="F14:F32" si="15">F14</f>
        <v>21730</v>
      </c>
      <c r="G15" s="14">
        <f t="shared" ref="G15" si="16">(F15-F14)*100/5</f>
        <v>0</v>
      </c>
      <c r="H15" s="32">
        <f t="shared" ref="H14:H32" si="17">H14</f>
        <v>255692</v>
      </c>
      <c r="I15" s="14">
        <f t="shared" ref="I15" si="18">(H15-H14)</f>
        <v>0</v>
      </c>
      <c r="J15" s="32">
        <f t="shared" ref="J14:J32" si="19">J14</f>
        <v>318202</v>
      </c>
      <c r="K15" s="14">
        <f t="shared" si="4"/>
        <v>0</v>
      </c>
      <c r="L15" s="32">
        <f t="shared" ref="L14:L32" si="20">L14</f>
        <v>26209</v>
      </c>
      <c r="M15" s="14">
        <f t="shared" si="5"/>
        <v>0</v>
      </c>
      <c r="N15" s="32">
        <f t="shared" ref="N14:N32" si="21">N14</f>
        <v>226075</v>
      </c>
      <c r="O15" s="14">
        <f t="shared" ref="O15" si="22">N15-N14</f>
        <v>0</v>
      </c>
      <c r="P15" s="32">
        <f t="shared" si="12"/>
        <v>155690</v>
      </c>
      <c r="Q15" s="14">
        <f t="shared" si="0"/>
        <v>0</v>
      </c>
      <c r="R15" s="1">
        <f t="shared" si="10"/>
        <v>55047</v>
      </c>
      <c r="S15" s="14">
        <v>0</v>
      </c>
      <c r="T15" s="32">
        <f>T14</f>
        <v>4006</v>
      </c>
      <c r="U15" s="14">
        <f t="shared" ref="U15" si="23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f t="shared" si="13"/>
        <v>47143</v>
      </c>
      <c r="C16" s="14">
        <f t="shared" si="9"/>
        <v>0</v>
      </c>
      <c r="D16" s="32">
        <f t="shared" si="14"/>
        <v>40677</v>
      </c>
      <c r="E16" s="14">
        <f t="shared" si="1"/>
        <v>0</v>
      </c>
      <c r="F16" s="32">
        <f t="shared" si="15"/>
        <v>21730</v>
      </c>
      <c r="G16" s="14">
        <f t="shared" si="2"/>
        <v>0</v>
      </c>
      <c r="H16" s="32">
        <f t="shared" si="17"/>
        <v>255692</v>
      </c>
      <c r="I16" s="14">
        <f t="shared" si="3"/>
        <v>0</v>
      </c>
      <c r="J16" s="32">
        <f t="shared" si="19"/>
        <v>318202</v>
      </c>
      <c r="K16" s="14">
        <f t="shared" si="4"/>
        <v>0</v>
      </c>
      <c r="L16" s="32">
        <f t="shared" si="20"/>
        <v>26209</v>
      </c>
      <c r="M16" s="14">
        <f t="shared" si="5"/>
        <v>0</v>
      </c>
      <c r="N16" s="32">
        <f t="shared" si="21"/>
        <v>226075</v>
      </c>
      <c r="O16" s="14">
        <f t="shared" si="6"/>
        <v>0</v>
      </c>
      <c r="P16" s="32">
        <f t="shared" si="12"/>
        <v>155690</v>
      </c>
      <c r="Q16" s="14">
        <f t="shared" si="0"/>
        <v>0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f t="shared" si="13"/>
        <v>47143</v>
      </c>
      <c r="C17" s="14">
        <f t="shared" si="9"/>
        <v>0</v>
      </c>
      <c r="D17" s="32">
        <f t="shared" si="14"/>
        <v>40677</v>
      </c>
      <c r="E17" s="14">
        <f t="shared" si="1"/>
        <v>0</v>
      </c>
      <c r="F17" s="32">
        <f t="shared" si="15"/>
        <v>21730</v>
      </c>
      <c r="G17" s="14">
        <f t="shared" si="2"/>
        <v>0</v>
      </c>
      <c r="H17" s="32">
        <f t="shared" si="17"/>
        <v>255692</v>
      </c>
      <c r="I17" s="14">
        <f t="shared" si="3"/>
        <v>0</v>
      </c>
      <c r="J17" s="32">
        <f t="shared" si="19"/>
        <v>318202</v>
      </c>
      <c r="K17" s="14">
        <f t="shared" si="4"/>
        <v>0</v>
      </c>
      <c r="L17" s="32">
        <f t="shared" si="20"/>
        <v>26209</v>
      </c>
      <c r="M17" s="14">
        <f t="shared" si="5"/>
        <v>0</v>
      </c>
      <c r="N17" s="32">
        <f t="shared" si="21"/>
        <v>226075</v>
      </c>
      <c r="O17" s="14">
        <f t="shared" si="6"/>
        <v>0</v>
      </c>
      <c r="P17" s="32">
        <f t="shared" si="12"/>
        <v>155690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f t="shared" si="11"/>
        <v>4006</v>
      </c>
      <c r="U17" s="14">
        <f t="shared" si="8"/>
        <v>0</v>
      </c>
    </row>
    <row r="18" spans="1:23" ht="13.5" thickBot="1" x14ac:dyDescent="0.25">
      <c r="A18" s="9">
        <v>44728</v>
      </c>
      <c r="B18" s="32">
        <f t="shared" si="13"/>
        <v>47143</v>
      </c>
      <c r="C18" s="14">
        <f t="shared" si="9"/>
        <v>0</v>
      </c>
      <c r="D18" s="32">
        <f t="shared" si="14"/>
        <v>40677</v>
      </c>
      <c r="E18" s="14">
        <f t="shared" si="1"/>
        <v>0</v>
      </c>
      <c r="F18" s="32">
        <f t="shared" si="15"/>
        <v>21730</v>
      </c>
      <c r="G18" s="14">
        <f t="shared" si="2"/>
        <v>0</v>
      </c>
      <c r="H18" s="32">
        <f t="shared" si="17"/>
        <v>255692</v>
      </c>
      <c r="I18" s="14">
        <f t="shared" si="3"/>
        <v>0</v>
      </c>
      <c r="J18" s="32">
        <f t="shared" si="19"/>
        <v>318202</v>
      </c>
      <c r="K18" s="14">
        <f t="shared" si="4"/>
        <v>0</v>
      </c>
      <c r="L18" s="32">
        <f t="shared" si="20"/>
        <v>26209</v>
      </c>
      <c r="M18" s="14">
        <f t="shared" si="5"/>
        <v>0</v>
      </c>
      <c r="N18" s="32">
        <f t="shared" si="21"/>
        <v>226075</v>
      </c>
      <c r="O18" s="14">
        <f t="shared" si="6"/>
        <v>0</v>
      </c>
      <c r="P18" s="32">
        <f t="shared" si="12"/>
        <v>155690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4006</v>
      </c>
      <c r="U18" s="14">
        <f t="shared" si="8"/>
        <v>0</v>
      </c>
    </row>
    <row r="19" spans="1:23" ht="13.5" thickBot="1" x14ac:dyDescent="0.25">
      <c r="A19" s="9">
        <v>44729</v>
      </c>
      <c r="B19" s="32">
        <f t="shared" si="13"/>
        <v>47143</v>
      </c>
      <c r="C19" s="14">
        <f t="shared" si="9"/>
        <v>0</v>
      </c>
      <c r="D19" s="32">
        <f t="shared" si="14"/>
        <v>40677</v>
      </c>
      <c r="E19" s="14">
        <f t="shared" si="1"/>
        <v>0</v>
      </c>
      <c r="F19" s="32">
        <f t="shared" si="15"/>
        <v>21730</v>
      </c>
      <c r="G19" s="14">
        <f t="shared" si="2"/>
        <v>0</v>
      </c>
      <c r="H19" s="32">
        <f t="shared" si="17"/>
        <v>255692</v>
      </c>
      <c r="I19" s="14">
        <f t="shared" si="3"/>
        <v>0</v>
      </c>
      <c r="J19" s="32">
        <f t="shared" si="19"/>
        <v>318202</v>
      </c>
      <c r="K19" s="14">
        <f t="shared" si="4"/>
        <v>0</v>
      </c>
      <c r="L19" s="32">
        <f t="shared" si="20"/>
        <v>26209</v>
      </c>
      <c r="M19" s="14">
        <f t="shared" si="5"/>
        <v>0</v>
      </c>
      <c r="N19" s="32">
        <f t="shared" si="21"/>
        <v>226075</v>
      </c>
      <c r="O19" s="14">
        <f t="shared" si="6"/>
        <v>0</v>
      </c>
      <c r="P19" s="32">
        <f t="shared" si="12"/>
        <v>155690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f t="shared" si="11"/>
        <v>4006</v>
      </c>
      <c r="U19" s="14">
        <f t="shared" si="8"/>
        <v>0</v>
      </c>
      <c r="W19" t="s">
        <v>12</v>
      </c>
    </row>
    <row r="20" spans="1:23" ht="13.5" thickBot="1" x14ac:dyDescent="0.25">
      <c r="A20" s="9">
        <v>44730</v>
      </c>
      <c r="B20" s="32">
        <f t="shared" si="13"/>
        <v>47143</v>
      </c>
      <c r="C20" s="14">
        <f t="shared" si="9"/>
        <v>0</v>
      </c>
      <c r="D20" s="32">
        <f t="shared" si="14"/>
        <v>40677</v>
      </c>
      <c r="E20" s="14">
        <f t="shared" si="1"/>
        <v>0</v>
      </c>
      <c r="F20" s="32">
        <f t="shared" si="15"/>
        <v>21730</v>
      </c>
      <c r="G20" s="14">
        <f t="shared" si="2"/>
        <v>0</v>
      </c>
      <c r="H20" s="32">
        <f t="shared" si="17"/>
        <v>255692</v>
      </c>
      <c r="I20" s="14">
        <f t="shared" si="3"/>
        <v>0</v>
      </c>
      <c r="J20" s="32">
        <f t="shared" si="19"/>
        <v>318202</v>
      </c>
      <c r="K20" s="14">
        <f t="shared" si="4"/>
        <v>0</v>
      </c>
      <c r="L20" s="32">
        <f t="shared" si="20"/>
        <v>26209</v>
      </c>
      <c r="M20" s="14">
        <f t="shared" si="5"/>
        <v>0</v>
      </c>
      <c r="N20" s="32">
        <f t="shared" si="21"/>
        <v>226075</v>
      </c>
      <c r="O20" s="14">
        <f t="shared" si="6"/>
        <v>0</v>
      </c>
      <c r="P20" s="32">
        <f t="shared" si="12"/>
        <v>155690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4006</v>
      </c>
      <c r="U20" s="14">
        <f t="shared" si="8"/>
        <v>0</v>
      </c>
    </row>
    <row r="21" spans="1:23" ht="13.5" thickBot="1" x14ac:dyDescent="0.25">
      <c r="A21" s="9">
        <v>44731</v>
      </c>
      <c r="B21" s="32">
        <f t="shared" si="13"/>
        <v>47143</v>
      </c>
      <c r="C21" s="14">
        <f t="shared" si="9"/>
        <v>0</v>
      </c>
      <c r="D21" s="32">
        <f t="shared" si="14"/>
        <v>40677</v>
      </c>
      <c r="E21" s="14">
        <f t="shared" si="1"/>
        <v>0</v>
      </c>
      <c r="F21" s="32">
        <f t="shared" si="15"/>
        <v>21730</v>
      </c>
      <c r="G21" s="14">
        <f t="shared" si="2"/>
        <v>0</v>
      </c>
      <c r="H21" s="32">
        <f t="shared" si="17"/>
        <v>255692</v>
      </c>
      <c r="I21" s="14">
        <f t="shared" si="3"/>
        <v>0</v>
      </c>
      <c r="J21" s="32">
        <f t="shared" si="19"/>
        <v>318202</v>
      </c>
      <c r="K21" s="14">
        <f t="shared" si="4"/>
        <v>0</v>
      </c>
      <c r="L21" s="32">
        <f t="shared" si="20"/>
        <v>26209</v>
      </c>
      <c r="M21" s="14">
        <f t="shared" si="5"/>
        <v>0</v>
      </c>
      <c r="N21" s="32">
        <f t="shared" si="21"/>
        <v>226075</v>
      </c>
      <c r="O21" s="14">
        <f t="shared" si="6"/>
        <v>0</v>
      </c>
      <c r="P21" s="32">
        <f t="shared" si="12"/>
        <v>155690</v>
      </c>
      <c r="Q21" s="14">
        <f t="shared" si="0"/>
        <v>0</v>
      </c>
      <c r="R21" s="1">
        <f t="shared" si="10"/>
        <v>55047</v>
      </c>
      <c r="S21" s="14">
        <f t="shared" si="7"/>
        <v>0</v>
      </c>
      <c r="T21" s="32">
        <f t="shared" si="11"/>
        <v>4006</v>
      </c>
      <c r="U21" s="14">
        <f t="shared" si="8"/>
        <v>0</v>
      </c>
    </row>
    <row r="22" spans="1:23" ht="13.5" thickBot="1" x14ac:dyDescent="0.25">
      <c r="A22" s="9">
        <v>44732</v>
      </c>
      <c r="B22" s="32">
        <f t="shared" si="13"/>
        <v>47143</v>
      </c>
      <c r="C22" s="14">
        <f t="shared" si="9"/>
        <v>0</v>
      </c>
      <c r="D22" s="32">
        <f t="shared" si="14"/>
        <v>40677</v>
      </c>
      <c r="E22" s="14">
        <f t="shared" si="1"/>
        <v>0</v>
      </c>
      <c r="F22" s="32">
        <f t="shared" si="15"/>
        <v>21730</v>
      </c>
      <c r="G22" s="14">
        <f t="shared" si="2"/>
        <v>0</v>
      </c>
      <c r="H22" s="32">
        <f t="shared" si="17"/>
        <v>255692</v>
      </c>
      <c r="I22" s="14">
        <f t="shared" si="3"/>
        <v>0</v>
      </c>
      <c r="J22" s="32">
        <f t="shared" si="19"/>
        <v>318202</v>
      </c>
      <c r="K22" s="14">
        <f t="shared" si="4"/>
        <v>0</v>
      </c>
      <c r="L22" s="32">
        <f t="shared" si="20"/>
        <v>26209</v>
      </c>
      <c r="M22" s="14">
        <f t="shared" si="5"/>
        <v>0</v>
      </c>
      <c r="N22" s="32">
        <f t="shared" si="21"/>
        <v>226075</v>
      </c>
      <c r="O22" s="14">
        <f t="shared" si="6"/>
        <v>0</v>
      </c>
      <c r="P22" s="32">
        <f t="shared" si="12"/>
        <v>155690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4006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3"/>
        <v>47143</v>
      </c>
      <c r="C23" s="14">
        <f t="shared" si="9"/>
        <v>0</v>
      </c>
      <c r="D23" s="32">
        <f t="shared" si="14"/>
        <v>40677</v>
      </c>
      <c r="E23" s="14">
        <f t="shared" si="1"/>
        <v>0</v>
      </c>
      <c r="F23" s="32">
        <f t="shared" si="15"/>
        <v>21730</v>
      </c>
      <c r="G23" s="14">
        <f t="shared" si="2"/>
        <v>0</v>
      </c>
      <c r="H23" s="32">
        <f t="shared" si="17"/>
        <v>255692</v>
      </c>
      <c r="I23" s="14">
        <f t="shared" si="3"/>
        <v>0</v>
      </c>
      <c r="J23" s="32">
        <f t="shared" si="19"/>
        <v>318202</v>
      </c>
      <c r="K23" s="14">
        <f t="shared" si="4"/>
        <v>0</v>
      </c>
      <c r="L23" s="32">
        <f t="shared" si="20"/>
        <v>26209</v>
      </c>
      <c r="M23" s="14">
        <f t="shared" si="5"/>
        <v>0</v>
      </c>
      <c r="N23" s="32">
        <f t="shared" si="21"/>
        <v>226075</v>
      </c>
      <c r="O23" s="14">
        <f t="shared" si="6"/>
        <v>0</v>
      </c>
      <c r="P23" s="32">
        <f t="shared" si="12"/>
        <v>155690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4006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3"/>
        <v>47143</v>
      </c>
      <c r="C24" s="14">
        <f t="shared" si="9"/>
        <v>0</v>
      </c>
      <c r="D24" s="32">
        <f t="shared" si="14"/>
        <v>40677</v>
      </c>
      <c r="E24" s="14">
        <f t="shared" si="1"/>
        <v>0</v>
      </c>
      <c r="F24" s="32">
        <f t="shared" si="15"/>
        <v>21730</v>
      </c>
      <c r="G24" s="14">
        <f t="shared" si="2"/>
        <v>0</v>
      </c>
      <c r="H24" s="32">
        <f t="shared" si="17"/>
        <v>255692</v>
      </c>
      <c r="I24" s="14">
        <f t="shared" si="3"/>
        <v>0</v>
      </c>
      <c r="J24" s="32">
        <f t="shared" si="19"/>
        <v>318202</v>
      </c>
      <c r="K24" s="14">
        <f t="shared" si="4"/>
        <v>0</v>
      </c>
      <c r="L24" s="32">
        <f t="shared" si="20"/>
        <v>26209</v>
      </c>
      <c r="M24" s="14">
        <f t="shared" si="5"/>
        <v>0</v>
      </c>
      <c r="N24" s="32">
        <f t="shared" si="21"/>
        <v>226075</v>
      </c>
      <c r="O24" s="14">
        <f t="shared" si="6"/>
        <v>0</v>
      </c>
      <c r="P24" s="32">
        <f t="shared" si="12"/>
        <v>155690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4006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3"/>
        <v>47143</v>
      </c>
      <c r="C25" s="14">
        <f t="shared" si="9"/>
        <v>0</v>
      </c>
      <c r="D25" s="32">
        <f t="shared" si="14"/>
        <v>40677</v>
      </c>
      <c r="E25" s="14">
        <f t="shared" si="1"/>
        <v>0</v>
      </c>
      <c r="F25" s="32">
        <f t="shared" si="15"/>
        <v>21730</v>
      </c>
      <c r="G25" s="14">
        <f t="shared" si="2"/>
        <v>0</v>
      </c>
      <c r="H25" s="32">
        <f t="shared" si="17"/>
        <v>255692</v>
      </c>
      <c r="I25" s="14">
        <f t="shared" si="3"/>
        <v>0</v>
      </c>
      <c r="J25" s="32">
        <f t="shared" si="19"/>
        <v>318202</v>
      </c>
      <c r="K25" s="14">
        <f t="shared" si="4"/>
        <v>0</v>
      </c>
      <c r="L25" s="32">
        <f t="shared" si="20"/>
        <v>26209</v>
      </c>
      <c r="M25" s="14">
        <f t="shared" si="5"/>
        <v>0</v>
      </c>
      <c r="N25" s="32">
        <f t="shared" si="21"/>
        <v>226075</v>
      </c>
      <c r="O25" s="14">
        <f t="shared" si="6"/>
        <v>0</v>
      </c>
      <c r="P25" s="32">
        <f t="shared" si="12"/>
        <v>155690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4006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3"/>
        <v>47143</v>
      </c>
      <c r="C26" s="14">
        <f t="shared" si="9"/>
        <v>0</v>
      </c>
      <c r="D26" s="32">
        <f t="shared" si="14"/>
        <v>40677</v>
      </c>
      <c r="E26" s="14">
        <f t="shared" si="1"/>
        <v>0</v>
      </c>
      <c r="F26" s="32">
        <f t="shared" si="15"/>
        <v>21730</v>
      </c>
      <c r="G26" s="14">
        <f t="shared" si="2"/>
        <v>0</v>
      </c>
      <c r="H26" s="32">
        <f t="shared" si="17"/>
        <v>255692</v>
      </c>
      <c r="I26" s="14">
        <f t="shared" si="3"/>
        <v>0</v>
      </c>
      <c r="J26" s="32">
        <f t="shared" si="19"/>
        <v>318202</v>
      </c>
      <c r="K26" s="14">
        <f t="shared" si="4"/>
        <v>0</v>
      </c>
      <c r="L26" s="32">
        <f t="shared" si="20"/>
        <v>26209</v>
      </c>
      <c r="M26" s="14">
        <f t="shared" si="5"/>
        <v>0</v>
      </c>
      <c r="N26" s="32">
        <f t="shared" si="21"/>
        <v>226075</v>
      </c>
      <c r="O26" s="14">
        <f t="shared" si="6"/>
        <v>0</v>
      </c>
      <c r="P26" s="32">
        <f t="shared" si="12"/>
        <v>155690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4006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3"/>
        <v>47143</v>
      </c>
      <c r="C27" s="14">
        <f t="shared" si="9"/>
        <v>0</v>
      </c>
      <c r="D27" s="32">
        <f t="shared" si="14"/>
        <v>40677</v>
      </c>
      <c r="E27" s="14">
        <f t="shared" si="1"/>
        <v>0</v>
      </c>
      <c r="F27" s="32">
        <f t="shared" si="15"/>
        <v>21730</v>
      </c>
      <c r="G27" s="14">
        <f t="shared" si="2"/>
        <v>0</v>
      </c>
      <c r="H27" s="32">
        <f t="shared" si="17"/>
        <v>255692</v>
      </c>
      <c r="I27" s="14">
        <f t="shared" si="3"/>
        <v>0</v>
      </c>
      <c r="J27" s="32">
        <f t="shared" si="19"/>
        <v>318202</v>
      </c>
      <c r="K27" s="14">
        <f t="shared" si="4"/>
        <v>0</v>
      </c>
      <c r="L27" s="32">
        <f t="shared" si="20"/>
        <v>26209</v>
      </c>
      <c r="M27" s="14">
        <f t="shared" si="5"/>
        <v>0</v>
      </c>
      <c r="N27" s="32">
        <f t="shared" si="21"/>
        <v>226075</v>
      </c>
      <c r="O27" s="14">
        <f t="shared" si="6"/>
        <v>0</v>
      </c>
      <c r="P27" s="32">
        <f t="shared" si="12"/>
        <v>155690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4006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3"/>
        <v>47143</v>
      </c>
      <c r="C28" s="14">
        <f t="shared" si="9"/>
        <v>0</v>
      </c>
      <c r="D28" s="32">
        <f t="shared" si="14"/>
        <v>40677</v>
      </c>
      <c r="E28" s="14">
        <f t="shared" si="1"/>
        <v>0</v>
      </c>
      <c r="F28" s="32">
        <f t="shared" si="15"/>
        <v>21730</v>
      </c>
      <c r="G28" s="14">
        <f t="shared" si="2"/>
        <v>0</v>
      </c>
      <c r="H28" s="32">
        <f t="shared" si="17"/>
        <v>255692</v>
      </c>
      <c r="I28" s="14">
        <f t="shared" si="3"/>
        <v>0</v>
      </c>
      <c r="J28" s="32">
        <f t="shared" si="19"/>
        <v>318202</v>
      </c>
      <c r="K28" s="14">
        <f t="shared" si="4"/>
        <v>0</v>
      </c>
      <c r="L28" s="32">
        <f t="shared" si="20"/>
        <v>26209</v>
      </c>
      <c r="M28" s="14">
        <f t="shared" si="5"/>
        <v>0</v>
      </c>
      <c r="N28" s="32">
        <f t="shared" si="21"/>
        <v>226075</v>
      </c>
      <c r="O28" s="14">
        <f t="shared" si="6"/>
        <v>0</v>
      </c>
      <c r="P28" s="32">
        <f t="shared" si="12"/>
        <v>155690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4006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3"/>
        <v>47143</v>
      </c>
      <c r="C29" s="14">
        <f t="shared" si="9"/>
        <v>0</v>
      </c>
      <c r="D29" s="32">
        <f t="shared" si="14"/>
        <v>40677</v>
      </c>
      <c r="E29" s="14">
        <f t="shared" si="1"/>
        <v>0</v>
      </c>
      <c r="F29" s="32">
        <f t="shared" si="15"/>
        <v>21730</v>
      </c>
      <c r="G29" s="14">
        <f t="shared" si="2"/>
        <v>0</v>
      </c>
      <c r="H29" s="32">
        <f t="shared" si="17"/>
        <v>255692</v>
      </c>
      <c r="I29" s="14">
        <f t="shared" si="3"/>
        <v>0</v>
      </c>
      <c r="J29" s="32">
        <f t="shared" si="19"/>
        <v>318202</v>
      </c>
      <c r="K29" s="14">
        <f t="shared" si="4"/>
        <v>0</v>
      </c>
      <c r="L29" s="32">
        <f t="shared" si="20"/>
        <v>26209</v>
      </c>
      <c r="M29" s="14">
        <f t="shared" si="5"/>
        <v>0</v>
      </c>
      <c r="N29" s="32">
        <f t="shared" si="21"/>
        <v>226075</v>
      </c>
      <c r="O29" s="14">
        <f t="shared" si="6"/>
        <v>0</v>
      </c>
      <c r="P29" s="32">
        <f t="shared" si="12"/>
        <v>155690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4006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3"/>
        <v>47143</v>
      </c>
      <c r="C30" s="14">
        <f t="shared" si="9"/>
        <v>0</v>
      </c>
      <c r="D30" s="32">
        <f t="shared" si="14"/>
        <v>40677</v>
      </c>
      <c r="E30" s="14">
        <f t="shared" si="1"/>
        <v>0</v>
      </c>
      <c r="F30" s="32">
        <f t="shared" si="15"/>
        <v>21730</v>
      </c>
      <c r="G30" s="14">
        <f t="shared" si="2"/>
        <v>0</v>
      </c>
      <c r="H30" s="32">
        <f t="shared" si="17"/>
        <v>255692</v>
      </c>
      <c r="I30" s="14">
        <f t="shared" si="3"/>
        <v>0</v>
      </c>
      <c r="J30" s="32">
        <f t="shared" si="19"/>
        <v>318202</v>
      </c>
      <c r="K30" s="14">
        <f t="shared" si="4"/>
        <v>0</v>
      </c>
      <c r="L30" s="32">
        <f t="shared" si="20"/>
        <v>26209</v>
      </c>
      <c r="M30" s="14">
        <f t="shared" si="5"/>
        <v>0</v>
      </c>
      <c r="N30" s="32">
        <f t="shared" si="21"/>
        <v>226075</v>
      </c>
      <c r="O30" s="14">
        <f t="shared" si="6"/>
        <v>0</v>
      </c>
      <c r="P30" s="32">
        <f t="shared" si="12"/>
        <v>155690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4006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3"/>
        <v>47143</v>
      </c>
      <c r="C31" s="14">
        <f t="shared" si="9"/>
        <v>0</v>
      </c>
      <c r="D31" s="32">
        <f t="shared" si="14"/>
        <v>40677</v>
      </c>
      <c r="E31" s="14">
        <f t="shared" si="1"/>
        <v>0</v>
      </c>
      <c r="F31" s="32">
        <f t="shared" si="15"/>
        <v>21730</v>
      </c>
      <c r="G31" s="14">
        <f t="shared" si="2"/>
        <v>0</v>
      </c>
      <c r="H31" s="32">
        <f t="shared" si="17"/>
        <v>255692</v>
      </c>
      <c r="I31" s="14">
        <f t="shared" si="3"/>
        <v>0</v>
      </c>
      <c r="J31" s="32">
        <f t="shared" si="19"/>
        <v>318202</v>
      </c>
      <c r="K31" s="14">
        <f t="shared" si="4"/>
        <v>0</v>
      </c>
      <c r="L31" s="32">
        <f t="shared" si="20"/>
        <v>26209</v>
      </c>
      <c r="M31" s="14">
        <f t="shared" si="5"/>
        <v>0</v>
      </c>
      <c r="N31" s="32">
        <f t="shared" si="21"/>
        <v>226075</v>
      </c>
      <c r="O31" s="14">
        <f t="shared" si="6"/>
        <v>0</v>
      </c>
      <c r="P31" s="32">
        <f t="shared" si="12"/>
        <v>155690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4006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3"/>
        <v>47143</v>
      </c>
      <c r="C32" s="14">
        <f t="shared" si="9"/>
        <v>0</v>
      </c>
      <c r="D32" s="32">
        <f t="shared" si="14"/>
        <v>40677</v>
      </c>
      <c r="E32" s="14">
        <f t="shared" si="1"/>
        <v>0</v>
      </c>
      <c r="F32" s="32">
        <f t="shared" si="15"/>
        <v>21730</v>
      </c>
      <c r="G32" s="14">
        <f t="shared" si="2"/>
        <v>0</v>
      </c>
      <c r="H32" s="32">
        <f t="shared" si="17"/>
        <v>255692</v>
      </c>
      <c r="I32" s="14">
        <f t="shared" si="3"/>
        <v>0</v>
      </c>
      <c r="J32" s="32">
        <f t="shared" si="19"/>
        <v>318202</v>
      </c>
      <c r="K32" s="14">
        <f t="shared" si="4"/>
        <v>0</v>
      </c>
      <c r="L32" s="32">
        <f t="shared" si="20"/>
        <v>26209</v>
      </c>
      <c r="M32" s="14">
        <f t="shared" si="5"/>
        <v>0</v>
      </c>
      <c r="N32" s="32">
        <f t="shared" si="21"/>
        <v>226075</v>
      </c>
      <c r="O32" s="14">
        <f t="shared" si="6"/>
        <v>0</v>
      </c>
      <c r="P32" s="32">
        <f t="shared" si="12"/>
        <v>155690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4006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8960</v>
      </c>
      <c r="D33" s="11"/>
      <c r="E33" s="14">
        <f>SUM(E3:E32)</f>
        <v>6240</v>
      </c>
      <c r="F33" s="11"/>
      <c r="G33" s="14">
        <f>SUM(G3:G32)</f>
        <v>860</v>
      </c>
      <c r="H33" s="11"/>
      <c r="I33" s="14">
        <f>SUM(I3:I32)</f>
        <v>393</v>
      </c>
      <c r="J33" s="11"/>
      <c r="K33" s="14">
        <f>SUM(K3:K32)</f>
        <v>1798</v>
      </c>
      <c r="L33" s="11"/>
      <c r="M33" s="14">
        <f>SUM(M3:M32)</f>
        <v>2280</v>
      </c>
      <c r="N33" s="33"/>
      <c r="O33" s="14">
        <f>SUM(O3:O32)</f>
        <v>39</v>
      </c>
      <c r="P33" s="32"/>
      <c r="Q33" s="14">
        <f>SUM(Q3:Q32)</f>
        <v>1324</v>
      </c>
      <c r="R33" s="1"/>
      <c r="S33" s="14">
        <f>SUM(S3:S32)</f>
        <v>0</v>
      </c>
      <c r="T33" s="1"/>
      <c r="U33" s="14">
        <f>SUM(U3:U32)</f>
        <v>1440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B14" sqref="B14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ref="Y13" si="24">I13-X13</f>
        <v>6760</v>
      </c>
      <c r="Z13" s="3">
        <f t="shared" ref="Z13" si="25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39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/>
      <c r="C15" s="145"/>
      <c r="D15" s="39">
        <f t="shared" si="1"/>
        <v>0</v>
      </c>
      <c r="E15" s="146"/>
      <c r="F15" s="39" t="str">
        <f t="shared" si="2"/>
        <v>0</v>
      </c>
      <c r="G15" s="147"/>
      <c r="H15" s="39" t="str">
        <f t="shared" si="3"/>
        <v>0</v>
      </c>
      <c r="I15" s="148">
        <f t="shared" si="4"/>
        <v>0</v>
      </c>
      <c r="J15" s="146"/>
      <c r="K15" s="39">
        <f t="shared" si="12"/>
        <v>0</v>
      </c>
      <c r="L15" s="149"/>
      <c r="M15" s="39" t="str">
        <f t="shared" si="5"/>
        <v>0</v>
      </c>
      <c r="N15" s="146"/>
      <c r="O15" s="39">
        <f t="shared" si="13"/>
        <v>0</v>
      </c>
      <c r="P15" s="149"/>
      <c r="Q15" s="39" t="str">
        <f t="shared" si="6"/>
        <v>0</v>
      </c>
      <c r="R15" s="146"/>
      <c r="S15" s="39" t="str">
        <f>IF((R15-R14)&lt;0,"0",(R15-R14))</f>
        <v>0</v>
      </c>
      <c r="T15" s="146">
        <v>0</v>
      </c>
      <c r="U15" s="150"/>
      <c r="V15" s="146"/>
      <c r="W15" s="39" t="str">
        <f t="shared" si="8"/>
        <v>0</v>
      </c>
      <c r="X15" s="19">
        <f t="shared" si="9"/>
        <v>0</v>
      </c>
      <c r="Y15" s="151">
        <f t="shared" si="10"/>
        <v>0</v>
      </c>
      <c r="Z15" s="3">
        <f t="shared" si="11"/>
        <v>0</v>
      </c>
      <c r="AA15" s="3">
        <f>SUM(Z1:Z15)</f>
        <v>113047.12199040002</v>
      </c>
    </row>
    <row r="16" spans="1:27" ht="16.5" thickBot="1" x14ac:dyDescent="0.3">
      <c r="A16" s="9">
        <v>44726</v>
      </c>
      <c r="B16" s="39"/>
      <c r="C16" s="145"/>
      <c r="D16" s="39">
        <f t="shared" si="1"/>
        <v>0</v>
      </c>
      <c r="E16" s="146"/>
      <c r="F16" s="39">
        <f t="shared" si="2"/>
        <v>0</v>
      </c>
      <c r="G16" s="147"/>
      <c r="H16" s="39">
        <f t="shared" si="3"/>
        <v>0</v>
      </c>
      <c r="I16" s="148">
        <f t="shared" si="4"/>
        <v>0</v>
      </c>
      <c r="J16" s="146"/>
      <c r="K16" s="39">
        <f t="shared" si="12"/>
        <v>0</v>
      </c>
      <c r="L16" s="149"/>
      <c r="M16" s="39">
        <f t="shared" si="5"/>
        <v>0</v>
      </c>
      <c r="N16" s="146"/>
      <c r="O16" s="39">
        <f t="shared" si="13"/>
        <v>0</v>
      </c>
      <c r="P16" s="149"/>
      <c r="Q16" s="39">
        <f t="shared" si="6"/>
        <v>0</v>
      </c>
      <c r="R16" s="146"/>
      <c r="S16" s="39">
        <f t="shared" si="7"/>
        <v>0</v>
      </c>
      <c r="T16" s="146">
        <v>0</v>
      </c>
      <c r="U16" s="150"/>
      <c r="V16" s="146"/>
      <c r="W16" s="39">
        <f t="shared" si="8"/>
        <v>0</v>
      </c>
      <c r="X16" s="19">
        <f t="shared" si="9"/>
        <v>0</v>
      </c>
      <c r="Y16" s="151">
        <f t="shared" si="10"/>
        <v>0</v>
      </c>
      <c r="Z16" s="3">
        <f t="shared" si="11"/>
        <v>0</v>
      </c>
      <c r="AA16" s="3">
        <f>SUM(Z1:Z16)</f>
        <v>113047.12199040002</v>
      </c>
    </row>
    <row r="17" spans="1:27" s="131" customFormat="1" ht="16.5" thickBot="1" x14ac:dyDescent="0.3">
      <c r="A17" s="9">
        <v>44727</v>
      </c>
      <c r="B17" s="39"/>
      <c r="C17" s="145"/>
      <c r="D17" s="39">
        <f t="shared" si="1"/>
        <v>0</v>
      </c>
      <c r="E17" s="146"/>
      <c r="F17" s="39">
        <f t="shared" si="2"/>
        <v>0</v>
      </c>
      <c r="G17" s="147"/>
      <c r="H17" s="39">
        <f t="shared" si="3"/>
        <v>0</v>
      </c>
      <c r="I17" s="152">
        <f t="shared" si="4"/>
        <v>0</v>
      </c>
      <c r="J17" s="146"/>
      <c r="K17" s="130">
        <f t="shared" si="12"/>
        <v>0</v>
      </c>
      <c r="L17" s="149"/>
      <c r="M17" s="130">
        <f t="shared" si="5"/>
        <v>0</v>
      </c>
      <c r="N17" s="146"/>
      <c r="O17" s="130">
        <f t="shared" si="13"/>
        <v>0</v>
      </c>
      <c r="P17" s="149"/>
      <c r="Q17" s="130">
        <f t="shared" si="6"/>
        <v>0</v>
      </c>
      <c r="R17" s="146"/>
      <c r="S17" s="130">
        <f t="shared" si="7"/>
        <v>0</v>
      </c>
      <c r="T17" s="153">
        <v>0</v>
      </c>
      <c r="U17" s="150"/>
      <c r="V17" s="146"/>
      <c r="W17" s="130">
        <f t="shared" si="8"/>
        <v>0</v>
      </c>
      <c r="X17" s="19">
        <f t="shared" si="9"/>
        <v>0</v>
      </c>
      <c r="Y17" s="154">
        <f t="shared" si="10"/>
        <v>0</v>
      </c>
      <c r="Z17" s="155">
        <f t="shared" si="11"/>
        <v>0</v>
      </c>
      <c r="AA17" s="3">
        <f>SUM(Z1:Z17)</f>
        <v>113047.12199040002</v>
      </c>
    </row>
    <row r="18" spans="1:27" s="131" customFormat="1" ht="16.5" thickBot="1" x14ac:dyDescent="0.3">
      <c r="A18" s="9">
        <v>44728</v>
      </c>
      <c r="B18" s="39"/>
      <c r="C18" s="145"/>
      <c r="D18" s="39">
        <f t="shared" si="1"/>
        <v>0</v>
      </c>
      <c r="E18" s="146"/>
      <c r="F18" s="39">
        <f t="shared" si="2"/>
        <v>0</v>
      </c>
      <c r="G18" s="147"/>
      <c r="H18" s="39">
        <f t="shared" si="3"/>
        <v>0</v>
      </c>
      <c r="I18" s="152">
        <f t="shared" si="4"/>
        <v>0</v>
      </c>
      <c r="J18" s="146"/>
      <c r="K18" s="130">
        <f t="shared" si="12"/>
        <v>0</v>
      </c>
      <c r="L18" s="149"/>
      <c r="M18" s="130">
        <f t="shared" si="5"/>
        <v>0</v>
      </c>
      <c r="N18" s="146"/>
      <c r="O18" s="130">
        <f t="shared" si="13"/>
        <v>0</v>
      </c>
      <c r="P18" s="149"/>
      <c r="Q18" s="130">
        <f t="shared" si="6"/>
        <v>0</v>
      </c>
      <c r="R18" s="146"/>
      <c r="S18" s="130">
        <f t="shared" si="7"/>
        <v>0</v>
      </c>
      <c r="T18" s="153">
        <v>0</v>
      </c>
      <c r="U18" s="150"/>
      <c r="V18" s="146"/>
      <c r="W18" s="130">
        <f t="shared" si="8"/>
        <v>0</v>
      </c>
      <c r="X18" s="19">
        <f t="shared" si="9"/>
        <v>0</v>
      </c>
      <c r="Y18" s="154">
        <f t="shared" si="10"/>
        <v>0</v>
      </c>
      <c r="Z18" s="155">
        <f t="shared" si="11"/>
        <v>0</v>
      </c>
      <c r="AA18" s="3">
        <f>SUM(Z1:Z18)</f>
        <v>113047.12199040002</v>
      </c>
    </row>
    <row r="19" spans="1:27" s="131" customFormat="1" ht="16.5" thickBot="1" x14ac:dyDescent="0.3">
      <c r="A19" s="9">
        <v>44729</v>
      </c>
      <c r="B19" s="39"/>
      <c r="C19" s="145"/>
      <c r="D19" s="39">
        <f t="shared" si="1"/>
        <v>0</v>
      </c>
      <c r="E19" s="146"/>
      <c r="F19" s="39">
        <f t="shared" si="2"/>
        <v>0</v>
      </c>
      <c r="G19" s="147"/>
      <c r="H19" s="39">
        <f t="shared" si="3"/>
        <v>0</v>
      </c>
      <c r="I19" s="152">
        <f t="shared" si="4"/>
        <v>0</v>
      </c>
      <c r="J19" s="146"/>
      <c r="K19" s="130">
        <f t="shared" si="12"/>
        <v>0</v>
      </c>
      <c r="L19" s="149"/>
      <c r="M19" s="130">
        <f t="shared" si="5"/>
        <v>0</v>
      </c>
      <c r="N19" s="146"/>
      <c r="O19" s="130">
        <f t="shared" si="13"/>
        <v>0</v>
      </c>
      <c r="P19" s="149"/>
      <c r="Q19" s="130">
        <f t="shared" si="6"/>
        <v>0</v>
      </c>
      <c r="R19" s="146"/>
      <c r="S19" s="130">
        <f t="shared" si="7"/>
        <v>0</v>
      </c>
      <c r="T19" s="153">
        <v>0</v>
      </c>
      <c r="U19" s="150"/>
      <c r="V19" s="146"/>
      <c r="W19" s="130">
        <f t="shared" si="8"/>
        <v>0</v>
      </c>
      <c r="X19" s="19">
        <f t="shared" si="9"/>
        <v>0</v>
      </c>
      <c r="Y19" s="154">
        <f t="shared" si="10"/>
        <v>0</v>
      </c>
      <c r="Z19" s="155">
        <f t="shared" si="11"/>
        <v>0</v>
      </c>
      <c r="AA19" s="3">
        <f>SUM(Z1:Z19)</f>
        <v>113047.12199040002</v>
      </c>
    </row>
    <row r="20" spans="1:27" s="131" customFormat="1" ht="16.5" thickBot="1" x14ac:dyDescent="0.3">
      <c r="A20" s="9">
        <v>44730</v>
      </c>
      <c r="B20" s="39"/>
      <c r="C20" s="145"/>
      <c r="D20" s="39">
        <f t="shared" si="1"/>
        <v>0</v>
      </c>
      <c r="E20" s="146"/>
      <c r="F20" s="39">
        <f t="shared" si="2"/>
        <v>0</v>
      </c>
      <c r="G20" s="147"/>
      <c r="H20" s="39">
        <f t="shared" si="3"/>
        <v>0</v>
      </c>
      <c r="I20" s="152">
        <f t="shared" si="4"/>
        <v>0</v>
      </c>
      <c r="J20" s="146"/>
      <c r="K20" s="130">
        <f t="shared" si="12"/>
        <v>0</v>
      </c>
      <c r="L20" s="149"/>
      <c r="M20" s="130">
        <f t="shared" si="5"/>
        <v>0</v>
      </c>
      <c r="N20" s="146"/>
      <c r="O20" s="130">
        <f t="shared" si="13"/>
        <v>0</v>
      </c>
      <c r="P20" s="149"/>
      <c r="Q20" s="130">
        <f t="shared" si="6"/>
        <v>0</v>
      </c>
      <c r="R20" s="146"/>
      <c r="S20" s="130">
        <f t="shared" si="7"/>
        <v>0</v>
      </c>
      <c r="T20" s="153">
        <v>0</v>
      </c>
      <c r="U20" s="150"/>
      <c r="V20" s="146"/>
      <c r="W20" s="130">
        <f t="shared" si="8"/>
        <v>0</v>
      </c>
      <c r="X20" s="19">
        <f t="shared" si="9"/>
        <v>0</v>
      </c>
      <c r="Y20" s="154">
        <f t="shared" si="10"/>
        <v>0</v>
      </c>
      <c r="Z20" s="155">
        <f t="shared" si="11"/>
        <v>0</v>
      </c>
      <c r="AA20" s="3">
        <f>SUM(Z1:Z20)</f>
        <v>113047.12199040002</v>
      </c>
    </row>
    <row r="21" spans="1:27" s="131" customFormat="1" ht="16.5" thickBot="1" x14ac:dyDescent="0.3">
      <c r="A21" s="9">
        <v>44731</v>
      </c>
      <c r="B21" s="39"/>
      <c r="C21" s="145"/>
      <c r="D21" s="39">
        <f t="shared" si="1"/>
        <v>0</v>
      </c>
      <c r="E21" s="146"/>
      <c r="F21" s="39">
        <f t="shared" si="2"/>
        <v>0</v>
      </c>
      <c r="G21" s="147"/>
      <c r="H21" s="39">
        <f t="shared" si="3"/>
        <v>0</v>
      </c>
      <c r="I21" s="152">
        <f t="shared" si="4"/>
        <v>0</v>
      </c>
      <c r="J21" s="146"/>
      <c r="K21" s="130">
        <f t="shared" si="12"/>
        <v>0</v>
      </c>
      <c r="L21" s="149"/>
      <c r="M21" s="130">
        <f t="shared" si="5"/>
        <v>0</v>
      </c>
      <c r="N21" s="146"/>
      <c r="O21" s="130">
        <f t="shared" si="13"/>
        <v>0</v>
      </c>
      <c r="P21" s="149"/>
      <c r="Q21" s="130">
        <f t="shared" si="6"/>
        <v>0</v>
      </c>
      <c r="R21" s="146"/>
      <c r="S21" s="130">
        <f t="shared" si="7"/>
        <v>0</v>
      </c>
      <c r="T21" s="153">
        <v>0</v>
      </c>
      <c r="U21" s="150"/>
      <c r="V21" s="146"/>
      <c r="W21" s="130">
        <f t="shared" si="8"/>
        <v>0</v>
      </c>
      <c r="X21" s="19">
        <f t="shared" si="9"/>
        <v>0</v>
      </c>
      <c r="Y21" s="154">
        <f t="shared" si="10"/>
        <v>0</v>
      </c>
      <c r="Z21" s="155">
        <f t="shared" si="11"/>
        <v>0</v>
      </c>
      <c r="AA21" s="3">
        <f>SUM(Z1:Z21)</f>
        <v>113047.12199040002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>
        <f t="shared" si="2"/>
        <v>0</v>
      </c>
      <c r="G22" s="147"/>
      <c r="H22" s="39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>
        <f t="shared" si="5"/>
        <v>0</v>
      </c>
      <c r="N22" s="146"/>
      <c r="O22" s="39">
        <f t="shared" si="13"/>
        <v>0</v>
      </c>
      <c r="P22" s="149"/>
      <c r="Q22" s="39">
        <f t="shared" si="6"/>
        <v>0</v>
      </c>
      <c r="R22" s="146"/>
      <c r="S22" s="39">
        <f t="shared" si="7"/>
        <v>0</v>
      </c>
      <c r="T22" s="146">
        <v>0</v>
      </c>
      <c r="U22" s="150"/>
      <c r="V22" s="146"/>
      <c r="W22" s="39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113047.12199040002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113047.12199040002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113047.12199040002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113047.12199040002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113047.12199040002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113047.12199040002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113047.12199040002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113047.12199040002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113047.12199040002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113047.12199040002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113047.12199040002</v>
      </c>
    </row>
    <row r="33" spans="1:27" ht="16.5" thickBot="1" x14ac:dyDescent="0.3">
      <c r="A33" s="137" t="s">
        <v>23</v>
      </c>
      <c r="B33" s="137">
        <f>SUM(B3:B32)</f>
        <v>2548</v>
      </c>
      <c r="C33" s="137">
        <v>0</v>
      </c>
      <c r="D33" s="137">
        <f>SUM(D3:D32)</f>
        <v>7680</v>
      </c>
      <c r="E33" s="56">
        <v>0</v>
      </c>
      <c r="F33" s="56">
        <f>SUM(F3:F32)</f>
        <v>259688</v>
      </c>
      <c r="G33" s="56">
        <v>0</v>
      </c>
      <c r="H33" s="56">
        <f>SUM(H3:H32)</f>
        <v>640302</v>
      </c>
      <c r="I33" s="56">
        <f>SUM(I3:I32)</f>
        <v>899990</v>
      </c>
      <c r="J33" s="56">
        <v>0</v>
      </c>
      <c r="K33" s="56">
        <f>SUM(K2:K32)</f>
        <v>126206</v>
      </c>
      <c r="L33" s="56">
        <v>0</v>
      </c>
      <c r="M33" s="56">
        <f>SUM(M3:M32)</f>
        <v>81964</v>
      </c>
      <c r="N33" s="56">
        <v>0</v>
      </c>
      <c r="O33" s="56">
        <f>SUM(O3:O32)</f>
        <v>175360</v>
      </c>
      <c r="P33" s="56">
        <v>0</v>
      </c>
      <c r="Q33" s="56">
        <f>SUM(Q3:Q32)</f>
        <v>162485</v>
      </c>
      <c r="R33" s="56">
        <v>0</v>
      </c>
      <c r="S33" s="56">
        <f>SUM(S3:S32)</f>
        <v>128030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136222</v>
      </c>
      <c r="X33" s="56">
        <f>SUM(X3:X32)</f>
        <v>810267</v>
      </c>
      <c r="Y33" s="56">
        <f>SUM(Y3:Y32)</f>
        <v>89723</v>
      </c>
      <c r="Z33" s="56">
        <f>SUM(Z3:Z32)</f>
        <v>113047.12199040002</v>
      </c>
      <c r="AA33" s="56">
        <f>SUM(AA3:AA32)</f>
        <v>2767595.0278911986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/>
      <c r="C15" s="39">
        <f t="shared" si="5"/>
        <v>0</v>
      </c>
      <c r="D15" s="3"/>
      <c r="E15" s="39">
        <f t="shared" si="0"/>
        <v>0</v>
      </c>
      <c r="F15" s="3"/>
      <c r="G15" s="39">
        <f t="shared" si="3"/>
        <v>0</v>
      </c>
      <c r="H15" s="3"/>
      <c r="I15" s="44">
        <f t="shared" si="4"/>
        <v>0</v>
      </c>
      <c r="J15" s="19">
        <f t="shared" si="1"/>
        <v>0</v>
      </c>
      <c r="K15" s="20">
        <f t="shared" si="2"/>
        <v>0</v>
      </c>
    </row>
    <row r="16" spans="1:14" ht="16.5" thickBot="1" x14ac:dyDescent="0.3">
      <c r="A16" s="9">
        <v>44726</v>
      </c>
      <c r="B16" s="3"/>
      <c r="C16" s="39">
        <f t="shared" si="5"/>
        <v>0</v>
      </c>
      <c r="D16" s="3"/>
      <c r="E16" s="39">
        <f t="shared" si="0"/>
        <v>0</v>
      </c>
      <c r="F16" s="3"/>
      <c r="G16" s="39">
        <f t="shared" si="3"/>
        <v>0</v>
      </c>
      <c r="H16" s="3"/>
      <c r="I16" s="44">
        <f t="shared" si="4"/>
        <v>0</v>
      </c>
      <c r="J16" s="19">
        <f t="shared" si="1"/>
        <v>0</v>
      </c>
      <c r="K16" s="20">
        <f t="shared" si="2"/>
        <v>0</v>
      </c>
    </row>
    <row r="17" spans="1:25" ht="16.5" thickBot="1" x14ac:dyDescent="0.3">
      <c r="A17" s="9">
        <v>44727</v>
      </c>
      <c r="B17" s="3"/>
      <c r="C17" s="39">
        <f t="shared" si="5"/>
        <v>0</v>
      </c>
      <c r="D17" s="3"/>
      <c r="E17" s="39">
        <f t="shared" si="0"/>
        <v>0</v>
      </c>
      <c r="F17" s="3"/>
      <c r="G17" s="39">
        <f t="shared" si="3"/>
        <v>0</v>
      </c>
      <c r="H17" s="3"/>
      <c r="I17" s="44">
        <f t="shared" si="4"/>
        <v>0</v>
      </c>
      <c r="J17" s="19">
        <f t="shared" si="1"/>
        <v>0</v>
      </c>
      <c r="K17" s="20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/>
      <c r="C18" s="39">
        <f t="shared" si="5"/>
        <v>0</v>
      </c>
      <c r="D18" s="3"/>
      <c r="E18" s="39">
        <f t="shared" si="0"/>
        <v>0</v>
      </c>
      <c r="F18" s="3"/>
      <c r="G18" s="39">
        <f t="shared" si="3"/>
        <v>0</v>
      </c>
      <c r="H18" s="3"/>
      <c r="I18" s="44">
        <f t="shared" si="4"/>
        <v>0</v>
      </c>
      <c r="J18" s="19">
        <f t="shared" si="1"/>
        <v>0</v>
      </c>
      <c r="K18" s="20">
        <f t="shared" si="2"/>
        <v>0</v>
      </c>
      <c r="Q18" t="s">
        <v>43</v>
      </c>
    </row>
    <row r="19" spans="1:25" ht="16.5" thickBot="1" x14ac:dyDescent="0.3">
      <c r="A19" s="9">
        <v>44729</v>
      </c>
      <c r="B19" s="3"/>
      <c r="C19" s="39">
        <f t="shared" si="5"/>
        <v>0</v>
      </c>
      <c r="D19" s="3"/>
      <c r="E19" s="39">
        <f t="shared" ref="E19:E32" si="6">(IF((D19-D18)&lt;0,"0",(D19-D18)))*10</f>
        <v>0</v>
      </c>
      <c r="F19" s="3"/>
      <c r="G19" s="39">
        <f t="shared" si="3"/>
        <v>0</v>
      </c>
      <c r="H19" s="3"/>
      <c r="I19" s="44">
        <f t="shared" si="4"/>
        <v>0</v>
      </c>
      <c r="J19" s="19">
        <f t="shared" si="1"/>
        <v>0</v>
      </c>
      <c r="K19" s="20">
        <f t="shared" si="2"/>
        <v>0</v>
      </c>
      <c r="Q19" t="s">
        <v>12</v>
      </c>
    </row>
    <row r="20" spans="1:25" ht="16.5" thickBot="1" x14ac:dyDescent="0.3">
      <c r="A20" s="9">
        <v>44730</v>
      </c>
      <c r="B20" s="3"/>
      <c r="C20" s="39">
        <f t="shared" si="5"/>
        <v>0</v>
      </c>
      <c r="D20" s="3"/>
      <c r="E20" s="39">
        <f t="shared" si="6"/>
        <v>0</v>
      </c>
      <c r="F20" s="3"/>
      <c r="G20" s="39">
        <f t="shared" si="3"/>
        <v>0</v>
      </c>
      <c r="H20" s="3"/>
      <c r="I20" s="44">
        <f t="shared" si="4"/>
        <v>0</v>
      </c>
      <c r="J20" s="19">
        <f t="shared" si="1"/>
        <v>0</v>
      </c>
      <c r="K20" s="20">
        <f t="shared" si="2"/>
        <v>0</v>
      </c>
    </row>
    <row r="21" spans="1:25" ht="16.5" thickBot="1" x14ac:dyDescent="0.3">
      <c r="A21" s="9">
        <v>44731</v>
      </c>
      <c r="B21" s="3"/>
      <c r="C21" s="39">
        <f t="shared" si="5"/>
        <v>0</v>
      </c>
      <c r="D21" s="3"/>
      <c r="E21" s="39">
        <f t="shared" si="6"/>
        <v>0</v>
      </c>
      <c r="F21" s="3"/>
      <c r="G21" s="39">
        <f t="shared" si="3"/>
        <v>0</v>
      </c>
      <c r="H21" s="3"/>
      <c r="I21" s="44">
        <f t="shared" si="4"/>
        <v>0</v>
      </c>
      <c r="J21" s="19">
        <f t="shared" si="1"/>
        <v>0</v>
      </c>
      <c r="K21" s="20">
        <f t="shared" si="2"/>
        <v>0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13110</v>
      </c>
      <c r="D33" s="3"/>
      <c r="E33" s="56">
        <f>SUM(E3:E32)</f>
        <v>6030</v>
      </c>
      <c r="F33" s="3"/>
      <c r="G33" s="56">
        <f>SUM(G3:G32)</f>
        <v>6466.4999999999991</v>
      </c>
      <c r="H33" s="3"/>
      <c r="I33" s="56">
        <f>SUM(I3:I32)</f>
        <v>65.960999999999999</v>
      </c>
      <c r="J33" s="56">
        <f>SUM(J3:J32)</f>
        <v>25672.460999999999</v>
      </c>
      <c r="K33" s="56">
        <f>SUM(K3:K32)</f>
        <v>150440.62145999999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14" sqref="A14:XFD1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/>
      <c r="C15" s="45" t="str">
        <f t="shared" si="0"/>
        <v>0</v>
      </c>
      <c r="I15" t="s">
        <v>12</v>
      </c>
    </row>
    <row r="16" spans="1:9" ht="26.25" customHeight="1" thickBot="1" x14ac:dyDescent="0.4">
      <c r="A16" s="9">
        <v>44726</v>
      </c>
      <c r="B16" s="133"/>
      <c r="C16" s="45">
        <f t="shared" si="0"/>
        <v>0</v>
      </c>
      <c r="F16" s="156"/>
    </row>
    <row r="17" spans="1:9" ht="25.5" customHeight="1" thickBot="1" x14ac:dyDescent="0.4">
      <c r="A17" s="9">
        <v>44727</v>
      </c>
      <c r="B17" s="133"/>
      <c r="C17" s="45">
        <f t="shared" si="0"/>
        <v>0</v>
      </c>
    </row>
    <row r="18" spans="1:9" ht="24" thickBot="1" x14ac:dyDescent="0.4">
      <c r="A18" s="9">
        <v>44728</v>
      </c>
      <c r="B18" s="133"/>
      <c r="C18" s="45">
        <f t="shared" si="0"/>
        <v>0</v>
      </c>
      <c r="I18" s="35"/>
    </row>
    <row r="19" spans="1:9" ht="24" thickBot="1" x14ac:dyDescent="0.4">
      <c r="A19" s="9">
        <v>44729</v>
      </c>
      <c r="B19" s="133"/>
      <c r="C19" s="45">
        <f t="shared" si="0"/>
        <v>0</v>
      </c>
    </row>
    <row r="20" spans="1:9" ht="24" thickBot="1" x14ac:dyDescent="0.4">
      <c r="A20" s="9">
        <v>44730</v>
      </c>
      <c r="B20" s="133"/>
      <c r="C20" s="45">
        <f t="shared" si="0"/>
        <v>0</v>
      </c>
    </row>
    <row r="21" spans="1:9" ht="24" thickBot="1" x14ac:dyDescent="0.4">
      <c r="A21" s="9">
        <v>44731</v>
      </c>
      <c r="B21" s="133"/>
      <c r="C21" s="45">
        <f t="shared" si="0"/>
        <v>0</v>
      </c>
    </row>
    <row r="22" spans="1:9" ht="24" thickBot="1" x14ac:dyDescent="0.4">
      <c r="A22" s="9">
        <v>44732</v>
      </c>
      <c r="B22" s="133"/>
      <c r="C22" s="45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27813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14" sqref="A14:XFD14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/>
      <c r="C15" s="44" t="str">
        <f t="shared" ref="C15" si="36">IF((B15-B14)&lt;0,"0",(B15-B14))</f>
        <v>0</v>
      </c>
      <c r="D15" s="28">
        <f t="shared" ref="D15" si="37">C15*1.9*1000</f>
        <v>0</v>
      </c>
      <c r="E15" s="160"/>
      <c r="F15" s="44" t="str">
        <f t="shared" ref="F15" si="38">IF((E15-E14)&lt;0,"0",(E15-E14))</f>
        <v>0</v>
      </c>
      <c r="G15" s="28">
        <f t="shared" ref="G15" si="39">F15*1.9*1000</f>
        <v>0</v>
      </c>
      <c r="H15" s="160"/>
      <c r="I15" s="44" t="str">
        <f t="shared" ref="I15" si="40">IF((H15-H14)&lt;0,"0",(H15-H14))</f>
        <v>0</v>
      </c>
      <c r="J15" s="28">
        <f t="shared" ref="J15" si="41">I15*1.9*1000</f>
        <v>0</v>
      </c>
      <c r="K15" s="7"/>
      <c r="L15" s="44" t="str">
        <f t="shared" ref="L15" si="42">IF((K15-K14)&lt;0,"0",(K15-K14))</f>
        <v>0</v>
      </c>
      <c r="M15" s="28">
        <f t="shared" ref="M15" si="43">L15*1.9*1000</f>
        <v>0</v>
      </c>
      <c r="N15" s="160"/>
      <c r="O15" s="44" t="str">
        <f>IF((N15-N14)&lt;0,"0",(N15-N14))</f>
        <v>0</v>
      </c>
      <c r="P15" s="28">
        <f t="shared" ref="P15" si="44">O15*1.9*1000</f>
        <v>0</v>
      </c>
      <c r="Q15" s="160"/>
      <c r="R15" s="44" t="str">
        <f t="shared" ref="R15" si="45">IF((Q15-Q14)&lt;0,"0",(Q15-Q14))</f>
        <v>0</v>
      </c>
      <c r="S15" s="28">
        <f t="shared" ref="S15" si="46">R15*1.9*1000</f>
        <v>0</v>
      </c>
      <c r="T15" s="8">
        <f t="shared" ref="T15" si="47">C15+F15+I15+L15+O15+R15</f>
        <v>0</v>
      </c>
      <c r="U15" s="30">
        <f t="shared" ref="U15" si="48">T15*1.9*1000</f>
        <v>0</v>
      </c>
      <c r="W15" s="157">
        <v>44725</v>
      </c>
      <c r="X15" s="158"/>
      <c r="Y15" s="163" t="str">
        <f t="shared" si="21"/>
        <v>0</v>
      </c>
      <c r="Z15" s="158"/>
      <c r="AA15" s="163" t="str">
        <f t="shared" si="21"/>
        <v>0</v>
      </c>
      <c r="AB15" s="158"/>
      <c r="AC15" s="163" t="str">
        <f t="shared" si="21"/>
        <v>0</v>
      </c>
      <c r="AD15" s="158"/>
      <c r="AE15" s="163" t="str">
        <f t="shared" si="21"/>
        <v>0</v>
      </c>
      <c r="AF15" s="158"/>
      <c r="AG15" s="163" t="str">
        <f t="shared" si="21"/>
        <v>0</v>
      </c>
    </row>
    <row r="16" spans="1:33" ht="16.5" thickBot="1" x14ac:dyDescent="0.25">
      <c r="A16" s="9">
        <v>44726</v>
      </c>
      <c r="B16" s="160"/>
      <c r="C16" s="44">
        <f t="shared" si="22"/>
        <v>0</v>
      </c>
      <c r="D16" s="28">
        <f t="shared" si="23"/>
        <v>0</v>
      </c>
      <c r="E16" s="160"/>
      <c r="F16" s="44">
        <f t="shared" si="24"/>
        <v>0</v>
      </c>
      <c r="G16" s="28">
        <f t="shared" si="25"/>
        <v>0</v>
      </c>
      <c r="H16" s="160"/>
      <c r="I16" s="44">
        <f t="shared" si="26"/>
        <v>0</v>
      </c>
      <c r="J16" s="28">
        <f t="shared" si="27"/>
        <v>0</v>
      </c>
      <c r="K16" s="7"/>
      <c r="L16" s="44">
        <f t="shared" si="28"/>
        <v>0</v>
      </c>
      <c r="M16" s="28">
        <f t="shared" si="29"/>
        <v>0</v>
      </c>
      <c r="N16" s="160"/>
      <c r="O16" s="44">
        <f t="shared" si="30"/>
        <v>0</v>
      </c>
      <c r="P16" s="28">
        <f t="shared" si="31"/>
        <v>0</v>
      </c>
      <c r="Q16" s="160"/>
      <c r="R16" s="44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7">
        <v>44726</v>
      </c>
      <c r="X16" s="158"/>
      <c r="Y16" s="163">
        <f t="shared" si="21"/>
        <v>0</v>
      </c>
      <c r="Z16" s="158"/>
      <c r="AA16" s="163">
        <f t="shared" si="21"/>
        <v>0</v>
      </c>
      <c r="AB16" s="158"/>
      <c r="AC16" s="163">
        <f t="shared" si="21"/>
        <v>0</v>
      </c>
      <c r="AD16" s="158"/>
      <c r="AE16" s="163">
        <f t="shared" si="21"/>
        <v>0</v>
      </c>
      <c r="AF16" s="158"/>
      <c r="AG16" s="163">
        <f t="shared" si="21"/>
        <v>0</v>
      </c>
    </row>
    <row r="17" spans="1:33" ht="16.5" thickBot="1" x14ac:dyDescent="0.25">
      <c r="A17" s="9">
        <v>44727</v>
      </c>
      <c r="B17" s="160"/>
      <c r="C17" s="44">
        <f t="shared" si="22"/>
        <v>0</v>
      </c>
      <c r="D17" s="28">
        <f t="shared" si="23"/>
        <v>0</v>
      </c>
      <c r="E17" s="160"/>
      <c r="F17" s="44">
        <f t="shared" si="24"/>
        <v>0</v>
      </c>
      <c r="G17" s="28">
        <f t="shared" si="25"/>
        <v>0</v>
      </c>
      <c r="H17" s="160"/>
      <c r="I17" s="44">
        <f t="shared" si="26"/>
        <v>0</v>
      </c>
      <c r="J17" s="28">
        <f t="shared" si="27"/>
        <v>0</v>
      </c>
      <c r="K17" s="7"/>
      <c r="L17" s="44">
        <f t="shared" si="28"/>
        <v>0</v>
      </c>
      <c r="M17" s="28">
        <f t="shared" si="29"/>
        <v>0</v>
      </c>
      <c r="N17" s="160"/>
      <c r="O17" s="44">
        <f t="shared" si="30"/>
        <v>0</v>
      </c>
      <c r="P17" s="28">
        <f t="shared" si="31"/>
        <v>0</v>
      </c>
      <c r="Q17" s="160"/>
      <c r="R17" s="44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44727</v>
      </c>
      <c r="X17" s="158"/>
      <c r="Y17" s="163">
        <f t="shared" si="21"/>
        <v>0</v>
      </c>
      <c r="Z17" s="158"/>
      <c r="AA17" s="163">
        <f t="shared" si="21"/>
        <v>0</v>
      </c>
      <c r="AB17" s="158"/>
      <c r="AC17" s="163">
        <f t="shared" si="21"/>
        <v>0</v>
      </c>
      <c r="AD17" s="158"/>
      <c r="AE17" s="163">
        <f t="shared" si="21"/>
        <v>0</v>
      </c>
      <c r="AF17" s="158"/>
      <c r="AG17" s="163">
        <f t="shared" si="21"/>
        <v>0</v>
      </c>
    </row>
    <row r="18" spans="1:33" ht="16.5" thickBot="1" x14ac:dyDescent="0.25">
      <c r="A18" s="9">
        <v>44728</v>
      </c>
      <c r="B18" s="160"/>
      <c r="C18" s="44">
        <f t="shared" si="22"/>
        <v>0</v>
      </c>
      <c r="D18" s="28">
        <f t="shared" si="23"/>
        <v>0</v>
      </c>
      <c r="E18" s="160"/>
      <c r="F18" s="44">
        <f t="shared" si="24"/>
        <v>0</v>
      </c>
      <c r="G18" s="28">
        <f t="shared" si="25"/>
        <v>0</v>
      </c>
      <c r="H18" s="160"/>
      <c r="I18" s="44">
        <f t="shared" si="26"/>
        <v>0</v>
      </c>
      <c r="J18" s="28">
        <f t="shared" si="27"/>
        <v>0</v>
      </c>
      <c r="K18" s="7"/>
      <c r="L18" s="44">
        <f t="shared" si="28"/>
        <v>0</v>
      </c>
      <c r="M18" s="28">
        <f t="shared" si="29"/>
        <v>0</v>
      </c>
      <c r="N18" s="160"/>
      <c r="O18" s="44">
        <f t="shared" si="30"/>
        <v>0</v>
      </c>
      <c r="P18" s="28">
        <f t="shared" si="31"/>
        <v>0</v>
      </c>
      <c r="Q18" s="160"/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44728</v>
      </c>
      <c r="X18" s="158"/>
      <c r="Y18" s="163">
        <f t="shared" si="21"/>
        <v>0</v>
      </c>
      <c r="Z18" s="158"/>
      <c r="AA18" s="163">
        <f t="shared" si="21"/>
        <v>0</v>
      </c>
      <c r="AB18" s="158"/>
      <c r="AC18" s="163">
        <f t="shared" si="21"/>
        <v>0</v>
      </c>
      <c r="AD18" s="158"/>
      <c r="AE18" s="163">
        <f t="shared" si="21"/>
        <v>0</v>
      </c>
      <c r="AF18" s="158"/>
      <c r="AG18" s="163">
        <f t="shared" si="21"/>
        <v>0</v>
      </c>
    </row>
    <row r="19" spans="1:33" ht="16.5" thickBot="1" x14ac:dyDescent="0.25">
      <c r="A19" s="9">
        <v>44729</v>
      </c>
      <c r="B19" s="160"/>
      <c r="C19" s="44">
        <f t="shared" si="22"/>
        <v>0</v>
      </c>
      <c r="D19" s="28">
        <f t="shared" si="23"/>
        <v>0</v>
      </c>
      <c r="E19" s="160"/>
      <c r="F19" s="44">
        <f t="shared" si="24"/>
        <v>0</v>
      </c>
      <c r="G19" s="28">
        <f t="shared" si="25"/>
        <v>0</v>
      </c>
      <c r="H19" s="160"/>
      <c r="I19" s="44">
        <f t="shared" si="26"/>
        <v>0</v>
      </c>
      <c r="J19" s="28">
        <f t="shared" si="27"/>
        <v>0</v>
      </c>
      <c r="K19" s="7"/>
      <c r="L19" s="44">
        <f t="shared" si="28"/>
        <v>0</v>
      </c>
      <c r="M19" s="28">
        <f t="shared" si="29"/>
        <v>0</v>
      </c>
      <c r="N19" s="160"/>
      <c r="O19" s="44">
        <f t="shared" si="30"/>
        <v>0</v>
      </c>
      <c r="P19" s="28">
        <f t="shared" si="31"/>
        <v>0</v>
      </c>
      <c r="Q19" s="160"/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44729</v>
      </c>
      <c r="X19" s="158"/>
      <c r="Y19" s="163">
        <f t="shared" si="21"/>
        <v>0</v>
      </c>
      <c r="Z19" s="158"/>
      <c r="AA19" s="163">
        <f t="shared" si="21"/>
        <v>0</v>
      </c>
      <c r="AB19" s="158"/>
      <c r="AC19" s="163">
        <f t="shared" si="21"/>
        <v>0</v>
      </c>
      <c r="AD19" s="158"/>
      <c r="AE19" s="163">
        <f t="shared" si="21"/>
        <v>0</v>
      </c>
      <c r="AF19" s="158"/>
      <c r="AG19" s="163">
        <f t="shared" si="21"/>
        <v>0</v>
      </c>
    </row>
    <row r="20" spans="1:33" ht="16.5" thickBot="1" x14ac:dyDescent="0.25">
      <c r="A20" s="9">
        <v>44730</v>
      </c>
      <c r="B20" s="160"/>
      <c r="C20" s="44">
        <f t="shared" si="22"/>
        <v>0</v>
      </c>
      <c r="D20" s="28">
        <f t="shared" si="23"/>
        <v>0</v>
      </c>
      <c r="E20" s="160"/>
      <c r="F20" s="44">
        <f t="shared" si="24"/>
        <v>0</v>
      </c>
      <c r="G20" s="28">
        <f t="shared" si="25"/>
        <v>0</v>
      </c>
      <c r="H20" s="160"/>
      <c r="I20" s="44">
        <f t="shared" si="26"/>
        <v>0</v>
      </c>
      <c r="J20" s="28">
        <f t="shared" si="27"/>
        <v>0</v>
      </c>
      <c r="K20" s="7"/>
      <c r="L20" s="44">
        <f t="shared" si="28"/>
        <v>0</v>
      </c>
      <c r="M20" s="28">
        <f t="shared" si="29"/>
        <v>0</v>
      </c>
      <c r="N20" s="160"/>
      <c r="O20" s="44">
        <f t="shared" si="30"/>
        <v>0</v>
      </c>
      <c r="P20" s="28">
        <f t="shared" si="31"/>
        <v>0</v>
      </c>
      <c r="Q20" s="160"/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44730</v>
      </c>
      <c r="X20" s="158"/>
      <c r="Y20" s="163">
        <f t="shared" si="21"/>
        <v>0</v>
      </c>
      <c r="Z20" s="158"/>
      <c r="AA20" s="163">
        <f t="shared" si="21"/>
        <v>0</v>
      </c>
      <c r="AB20" s="158"/>
      <c r="AC20" s="163">
        <f t="shared" si="21"/>
        <v>0</v>
      </c>
      <c r="AD20" s="158"/>
      <c r="AE20" s="163">
        <f t="shared" si="21"/>
        <v>0</v>
      </c>
      <c r="AF20" s="158"/>
      <c r="AG20" s="163">
        <f t="shared" si="21"/>
        <v>0</v>
      </c>
    </row>
    <row r="21" spans="1:33" ht="16.5" thickBot="1" x14ac:dyDescent="0.25">
      <c r="A21" s="9">
        <v>44731</v>
      </c>
      <c r="B21" s="160"/>
      <c r="C21" s="44">
        <f t="shared" si="22"/>
        <v>0</v>
      </c>
      <c r="D21" s="28">
        <f t="shared" si="23"/>
        <v>0</v>
      </c>
      <c r="E21" s="160"/>
      <c r="F21" s="44">
        <f t="shared" si="24"/>
        <v>0</v>
      </c>
      <c r="G21" s="28">
        <f t="shared" si="25"/>
        <v>0</v>
      </c>
      <c r="H21" s="160"/>
      <c r="I21" s="44">
        <f t="shared" si="26"/>
        <v>0</v>
      </c>
      <c r="J21" s="28">
        <f t="shared" si="27"/>
        <v>0</v>
      </c>
      <c r="K21" s="7"/>
      <c r="L21" s="44">
        <f t="shared" si="28"/>
        <v>0</v>
      </c>
      <c r="M21" s="28">
        <f t="shared" si="29"/>
        <v>0</v>
      </c>
      <c r="N21" s="160"/>
      <c r="O21" s="44">
        <f t="shared" si="30"/>
        <v>0</v>
      </c>
      <c r="P21" s="28">
        <f t="shared" si="31"/>
        <v>0</v>
      </c>
      <c r="Q21" s="160"/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44731</v>
      </c>
      <c r="X21" s="158"/>
      <c r="Y21" s="163">
        <f t="shared" si="21"/>
        <v>0</v>
      </c>
      <c r="Z21" s="158"/>
      <c r="AA21" s="163">
        <f t="shared" si="21"/>
        <v>0</v>
      </c>
      <c r="AB21" s="158"/>
      <c r="AC21" s="163">
        <f t="shared" si="21"/>
        <v>0</v>
      </c>
      <c r="AD21" s="158"/>
      <c r="AE21" s="163">
        <f t="shared" si="21"/>
        <v>0</v>
      </c>
      <c r="AF21" s="158"/>
      <c r="AG21" s="163">
        <f t="shared" si="21"/>
        <v>0</v>
      </c>
    </row>
    <row r="22" spans="1:33" ht="16.5" thickBot="1" x14ac:dyDescent="0.25">
      <c r="A22" s="9">
        <v>44732</v>
      </c>
      <c r="B22" s="160"/>
      <c r="C22" s="44">
        <f t="shared" si="22"/>
        <v>0</v>
      </c>
      <c r="D22" s="28">
        <f t="shared" si="23"/>
        <v>0</v>
      </c>
      <c r="E22" s="160"/>
      <c r="F22" s="44">
        <f t="shared" si="24"/>
        <v>0</v>
      </c>
      <c r="G22" s="28">
        <f t="shared" si="25"/>
        <v>0</v>
      </c>
      <c r="H22" s="160"/>
      <c r="I22" s="44">
        <f t="shared" si="26"/>
        <v>0</v>
      </c>
      <c r="J22" s="28">
        <f t="shared" si="27"/>
        <v>0</v>
      </c>
      <c r="K22" s="7"/>
      <c r="L22" s="44">
        <f t="shared" si="28"/>
        <v>0</v>
      </c>
      <c r="M22" s="28">
        <f t="shared" si="29"/>
        <v>0</v>
      </c>
      <c r="N22" s="160"/>
      <c r="O22" s="44">
        <f t="shared" si="30"/>
        <v>0</v>
      </c>
      <c r="P22" s="28">
        <f t="shared" si="31"/>
        <v>0</v>
      </c>
      <c r="Q22" s="160"/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>
        <f t="shared" si="21"/>
        <v>0</v>
      </c>
      <c r="Z22" s="158"/>
      <c r="AA22" s="163">
        <f t="shared" si="21"/>
        <v>0</v>
      </c>
      <c r="AB22" s="158"/>
      <c r="AC22" s="163">
        <f t="shared" si="21"/>
        <v>0</v>
      </c>
      <c r="AD22" s="158"/>
      <c r="AE22" s="163">
        <f t="shared" si="21"/>
        <v>0</v>
      </c>
      <c r="AF22" s="158"/>
      <c r="AG22" s="163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162.11200000000099</v>
      </c>
      <c r="D33" s="137">
        <f>SUM(D3:D32)</f>
        <v>308012.80000000185</v>
      </c>
      <c r="E33" s="137"/>
      <c r="F33" s="44">
        <f>SUM(F2:F32)</f>
        <v>34.052999999999884</v>
      </c>
      <c r="G33" s="137">
        <f>SUM(G3:G32)</f>
        <v>64700.699999999764</v>
      </c>
      <c r="H33" s="137"/>
      <c r="I33" s="44">
        <f>SUM(I2:I32)</f>
        <v>96</v>
      </c>
      <c r="J33" s="137">
        <f>SUM(J3:J32)</f>
        <v>182400</v>
      </c>
      <c r="K33" s="137"/>
      <c r="L33" s="44">
        <f>SUM(L2:L32)</f>
        <v>28.210000000000946</v>
      </c>
      <c r="M33" s="137">
        <f>SUM(M3:M32)</f>
        <v>53599.000000001797</v>
      </c>
      <c r="N33" s="137"/>
      <c r="O33" s="44">
        <f>SUM(O2:O32)</f>
        <v>18.099999999999909</v>
      </c>
      <c r="P33" s="137">
        <f>SUM(P3:P32)</f>
        <v>34389.999999999818</v>
      </c>
      <c r="Q33" s="137"/>
      <c r="R33" s="44">
        <f>SUM(R3:R32)</f>
        <v>19.420000000000073</v>
      </c>
      <c r="S33" s="137">
        <f>SUM(S3:S32)</f>
        <v>36898.000000000138</v>
      </c>
      <c r="T33" s="137">
        <f>SUM(T3:T32)</f>
        <v>357.8950000000018</v>
      </c>
      <c r="U33" s="137">
        <f>SUM(U3:U32)</f>
        <v>680000.50000000349</v>
      </c>
      <c r="V33"/>
      <c r="W33" s="137" t="s">
        <v>141</v>
      </c>
      <c r="X33" s="137"/>
      <c r="Y33" s="137">
        <f>SUM(Y2:Y32)</f>
        <v>3330</v>
      </c>
      <c r="Z33" s="137"/>
      <c r="AA33" s="137">
        <f>SUM(AA2:AA32)</f>
        <v>85</v>
      </c>
      <c r="AB33" s="137"/>
      <c r="AC33" s="137">
        <f>SUM(AC2:AC32)</f>
        <v>0.30000000000000071</v>
      </c>
      <c r="AD33" s="137"/>
      <c r="AE33" s="137">
        <f>SUM(AE2:AE32)</f>
        <v>30</v>
      </c>
      <c r="AF33" s="137">
        <v>0</v>
      </c>
      <c r="AG33" s="137">
        <f>SUM(AG2:AG32)</f>
        <v>168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81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81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81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6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6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6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82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82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82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81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81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81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6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6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6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82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82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82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81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81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81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6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6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6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82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82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82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81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81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81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6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6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6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82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82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82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81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81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81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6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6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6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82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82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82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81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81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81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6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6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6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82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82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82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81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81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81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6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6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6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82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82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82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81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81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81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6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6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6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82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82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82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81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81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81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6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6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6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82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82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82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81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81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81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6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6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6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82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82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82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81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81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81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6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6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6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82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82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82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81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81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81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6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6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6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82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82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82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81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81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81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6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6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6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82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82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82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81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81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81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6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6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6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82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82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82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81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81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81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6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6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6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81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81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81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6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6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6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81">
        <v>23</v>
      </c>
      <c r="D49" s="61" t="s">
        <v>83</v>
      </c>
      <c r="E49" s="62"/>
      <c r="F49" s="76"/>
      <c r="G49" s="63">
        <f t="shared" si="4"/>
        <v>0</v>
      </c>
      <c r="H49" s="64"/>
      <c r="J49" s="181">
        <v>23</v>
      </c>
      <c r="K49" s="61" t="s">
        <v>83</v>
      </c>
      <c r="L49" s="76"/>
      <c r="M49" s="76"/>
      <c r="N49" s="63">
        <f t="shared" si="2"/>
        <v>0</v>
      </c>
      <c r="O49" s="64"/>
      <c r="Q49" s="181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6"/>
      <c r="D50" s="61" t="s">
        <v>82</v>
      </c>
      <c r="E50" s="62"/>
      <c r="F50" s="76"/>
      <c r="G50" s="63">
        <f t="shared" si="4"/>
        <v>0</v>
      </c>
      <c r="H50" s="64"/>
      <c r="J50" s="186"/>
      <c r="K50" s="61" t="s">
        <v>82</v>
      </c>
      <c r="L50" s="76"/>
      <c r="M50" s="76"/>
      <c r="N50" s="63">
        <f t="shared" si="2"/>
        <v>0</v>
      </c>
      <c r="O50" s="64"/>
      <c r="Q50" s="186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7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7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7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8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8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8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9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9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9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81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81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81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82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82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82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81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81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81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82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82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82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81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81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81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82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82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82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81">
        <v>28</v>
      </c>
      <c r="D62" s="176" t="s">
        <v>86</v>
      </c>
      <c r="E62" s="62"/>
      <c r="F62" s="62"/>
      <c r="G62" s="63"/>
      <c r="H62" s="178" t="s">
        <v>87</v>
      </c>
      <c r="I62" s="67"/>
      <c r="J62" s="181">
        <v>28</v>
      </c>
      <c r="K62" s="176" t="s">
        <v>86</v>
      </c>
      <c r="L62" s="62"/>
      <c r="M62" s="62"/>
      <c r="N62" s="63"/>
      <c r="O62" s="178" t="s">
        <v>87</v>
      </c>
      <c r="Q62" s="181">
        <v>28</v>
      </c>
      <c r="R62" s="176" t="s">
        <v>86</v>
      </c>
      <c r="S62" s="62"/>
      <c r="T62" s="62"/>
      <c r="U62" s="63">
        <f t="shared" si="3"/>
        <v>0</v>
      </c>
      <c r="V62" s="178" t="s">
        <v>87</v>
      </c>
    </row>
    <row r="63" spans="1:22" ht="15" x14ac:dyDescent="0.2">
      <c r="A63" s="67"/>
      <c r="B63" s="57"/>
      <c r="C63" s="182"/>
      <c r="D63" s="177"/>
      <c r="E63" s="62"/>
      <c r="F63" s="62"/>
      <c r="G63" s="63"/>
      <c r="H63" s="179"/>
      <c r="I63" s="67"/>
      <c r="J63" s="182"/>
      <c r="K63" s="177"/>
      <c r="L63" s="62"/>
      <c r="M63" s="62"/>
      <c r="N63" s="63"/>
      <c r="O63" s="179"/>
      <c r="Q63" s="182"/>
      <c r="R63" s="177"/>
      <c r="S63" s="62"/>
      <c r="T63" s="62"/>
      <c r="U63" s="63">
        <f t="shared" si="3"/>
        <v>0</v>
      </c>
      <c r="V63" s="179"/>
    </row>
    <row r="64" spans="1:22" x14ac:dyDescent="0.2">
      <c r="A64" s="67"/>
      <c r="B64" s="57"/>
      <c r="C64" s="180" t="s">
        <v>88</v>
      </c>
      <c r="D64" s="180"/>
      <c r="E64" s="180"/>
      <c r="F64" s="180"/>
      <c r="G64" s="81">
        <f>SUM(G2:G63)</f>
        <v>35162</v>
      </c>
      <c r="H64" s="82"/>
      <c r="I64" s="67"/>
      <c r="J64" s="180" t="s">
        <v>88</v>
      </c>
      <c r="K64" s="180"/>
      <c r="L64" s="180"/>
      <c r="M64" s="180"/>
      <c r="N64" s="81">
        <f>SUM(N2:N63)</f>
        <v>295061</v>
      </c>
      <c r="O64" s="82"/>
      <c r="Q64" s="180" t="s">
        <v>88</v>
      </c>
      <c r="R64" s="180"/>
      <c r="S64" s="180"/>
      <c r="T64" s="180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3">
        <v>44621</v>
      </c>
      <c r="C69" s="184"/>
      <c r="D69" s="184"/>
      <c r="E69" s="185"/>
      <c r="F69" s="85"/>
      <c r="G69" s="183">
        <v>44652</v>
      </c>
      <c r="H69" s="184"/>
      <c r="I69" s="184"/>
      <c r="J69" s="185"/>
      <c r="K69" s="85"/>
      <c r="L69" s="173" t="s">
        <v>25</v>
      </c>
      <c r="M69" s="174"/>
      <c r="N69" s="174"/>
      <c r="O69" s="175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-6892413</v>
      </c>
      <c r="D7" s="105">
        <f t="shared" si="0"/>
        <v>-8753364.5099999998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14213</v>
      </c>
      <c r="D8" s="105">
        <f t="shared" si="0"/>
        <v>18050.510000000002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3277</v>
      </c>
      <c r="D9" s="105">
        <f t="shared" si="0"/>
        <v>4161.79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6080</v>
      </c>
      <c r="D10" s="105">
        <f t="shared" si="0"/>
        <v>7721.6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1324</v>
      </c>
      <c r="D11" s="105">
        <f t="shared" si="0"/>
        <v>1681.48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4006</v>
      </c>
      <c r="K16" s="94">
        <f>(J16-I16)*160</f>
        <v>1440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318202</v>
      </c>
      <c r="K17" s="94">
        <f>(J17-I17)</f>
        <v>1798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26209</v>
      </c>
      <c r="K18" s="94">
        <f>(J18-I18)*160</f>
        <v>6080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155690</v>
      </c>
      <c r="K19" s="94">
        <f>J19-I19</f>
        <v>1324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47143</v>
      </c>
      <c r="K21" s="94">
        <f>(J21-I21)*120</f>
        <v>6720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40677</v>
      </c>
      <c r="K22" s="94">
        <f>(J22-I22)*160</f>
        <v>6240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21730</v>
      </c>
      <c r="K23" s="94">
        <f>(J23-I23)*20</f>
        <v>860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255692</v>
      </c>
      <c r="K24" s="94">
        <f>J24-I24</f>
        <v>393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226075</v>
      </c>
      <c r="K25" s="94">
        <f>J25-I25</f>
        <v>39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2022-06-13T00:48:12Z</dcterms:modified>
</cp:coreProperties>
</file>