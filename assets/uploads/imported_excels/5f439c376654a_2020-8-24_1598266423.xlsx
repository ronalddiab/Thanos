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5" r:id="rId1"/>
    <sheet name="Submetering " sheetId="4" r:id="rId2"/>
    <sheet name="Hotel Data" sheetId="2" r:id="rId3"/>
  </sheets>
  <externalReferences>
    <externalReference r:id="rId4"/>
  </externalReferences>
  <calcPr calcId="152511"/>
  <fileRecoveryPr autoRecover="0"/>
</workbook>
</file>

<file path=xl/calcChain.xml><?xml version="1.0" encoding="utf-8"?>
<calcChain xmlns="http://schemas.openxmlformats.org/spreadsheetml/2006/main">
  <c r="P4" i="4" l="1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" i="4"/>
  <c r="N4" i="4"/>
  <c r="N5" i="4"/>
  <c r="N6" i="4"/>
  <c r="N7" i="4"/>
  <c r="N8" i="4"/>
  <c r="N9" i="4"/>
  <c r="N10" i="4"/>
  <c r="N11" i="4"/>
  <c r="N12" i="4"/>
  <c r="N13" i="4"/>
  <c r="N14" i="4"/>
  <c r="N15" i="4"/>
  <c r="N16" i="4"/>
  <c r="N17" i="4"/>
  <c r="N18" i="4"/>
  <c r="N19" i="4"/>
  <c r="N20" i="4"/>
  <c r="N21" i="4"/>
  <c r="N22" i="4"/>
  <c r="N23" i="4"/>
  <c r="N24" i="4"/>
  <c r="N25" i="4"/>
  <c r="N26" i="4"/>
  <c r="N27" i="4"/>
  <c r="N28" i="4"/>
  <c r="N29" i="4"/>
  <c r="N30" i="4"/>
  <c r="N31" i="4"/>
  <c r="N32" i="4"/>
  <c r="N33" i="4"/>
  <c r="N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" i="4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AT36" i="2"/>
  <c r="AS36" i="2"/>
  <c r="AH36" i="2"/>
  <c r="T36" i="2"/>
  <c r="R36" i="2"/>
  <c r="P36" i="2"/>
  <c r="BI35" i="2"/>
  <c r="BH35" i="2"/>
  <c r="BG35" i="2"/>
  <c r="BF35" i="2"/>
  <c r="BE35" i="2"/>
  <c r="BD35" i="2"/>
  <c r="BC35" i="2"/>
  <c r="BB35" i="2"/>
  <c r="BA35" i="2"/>
  <c r="AZ35" i="2"/>
  <c r="AY35" i="2"/>
  <c r="AW35" i="2"/>
  <c r="AQ35" i="2"/>
  <c r="AM35" i="2"/>
  <c r="AI35" i="2"/>
  <c r="AF35" i="2"/>
  <c r="AC35" i="2"/>
  <c r="U35" i="2"/>
  <c r="S35" i="2"/>
  <c r="Q35" i="2"/>
  <c r="O35" i="2"/>
  <c r="I35" i="2"/>
  <c r="M35" i="2"/>
  <c r="G35" i="2"/>
  <c r="E35" i="2"/>
  <c r="BI34" i="2"/>
  <c r="BH34" i="2"/>
  <c r="BG34" i="2"/>
  <c r="BF34" i="2"/>
  <c r="BE34" i="2"/>
  <c r="BD34" i="2"/>
  <c r="BC34" i="2"/>
  <c r="BB34" i="2"/>
  <c r="BA34" i="2"/>
  <c r="AZ34" i="2"/>
  <c r="AY34" i="2"/>
  <c r="AW34" i="2"/>
  <c r="AQ34" i="2"/>
  <c r="AM34" i="2"/>
  <c r="AI34" i="2"/>
  <c r="AF34" i="2"/>
  <c r="AC34" i="2"/>
  <c r="U34" i="2"/>
  <c r="S34" i="2"/>
  <c r="Q34" i="2"/>
  <c r="O34" i="2"/>
  <c r="M34" i="2"/>
  <c r="I34" i="2"/>
  <c r="G34" i="2"/>
  <c r="E34" i="2"/>
  <c r="BI33" i="2"/>
  <c r="BH33" i="2"/>
  <c r="BG33" i="2"/>
  <c r="BF33" i="2"/>
  <c r="BE33" i="2"/>
  <c r="BD33" i="2"/>
  <c r="BC33" i="2"/>
  <c r="BB33" i="2"/>
  <c r="BA33" i="2"/>
  <c r="AZ33" i="2"/>
  <c r="AW33" i="2"/>
  <c r="AQ33" i="2"/>
  <c r="AM33" i="2"/>
  <c r="AI33" i="2"/>
  <c r="AF33" i="2"/>
  <c r="AC33" i="2"/>
  <c r="U33" i="2"/>
  <c r="S33" i="2"/>
  <c r="Q33" i="2"/>
  <c r="O33" i="2"/>
  <c r="M33" i="2"/>
  <c r="I33" i="2"/>
  <c r="G33" i="2"/>
  <c r="E33" i="2"/>
  <c r="BI32" i="2"/>
  <c r="BH32" i="2"/>
  <c r="BG32" i="2"/>
  <c r="BF32" i="2"/>
  <c r="BE32" i="2"/>
  <c r="BD32" i="2"/>
  <c r="BC32" i="2"/>
  <c r="BB32" i="2"/>
  <c r="BA32" i="2"/>
  <c r="AZ32" i="2"/>
  <c r="AW32" i="2"/>
  <c r="AQ32" i="2"/>
  <c r="AM32" i="2"/>
  <c r="AI32" i="2"/>
  <c r="AF32" i="2"/>
  <c r="AC32" i="2"/>
  <c r="U32" i="2"/>
  <c r="S32" i="2"/>
  <c r="Q32" i="2"/>
  <c r="O32" i="2"/>
  <c r="I32" i="2"/>
  <c r="M32" i="2"/>
  <c r="G32" i="2"/>
  <c r="E32" i="2"/>
  <c r="BI31" i="2"/>
  <c r="BH31" i="2"/>
  <c r="BG31" i="2"/>
  <c r="BF31" i="2"/>
  <c r="BE31" i="2"/>
  <c r="BD31" i="2"/>
  <c r="BC31" i="2"/>
  <c r="BB31" i="2"/>
  <c r="BA31" i="2"/>
  <c r="AZ31" i="2"/>
  <c r="AW31" i="2"/>
  <c r="AQ31" i="2"/>
  <c r="AM31" i="2"/>
  <c r="AI31" i="2"/>
  <c r="AF31" i="2"/>
  <c r="AC31" i="2"/>
  <c r="U31" i="2"/>
  <c r="S31" i="2"/>
  <c r="Q31" i="2"/>
  <c r="O31" i="2"/>
  <c r="I31" i="2"/>
  <c r="M31" i="2"/>
  <c r="G31" i="2"/>
  <c r="E31" i="2"/>
  <c r="A31" i="2"/>
  <c r="A32" i="2"/>
  <c r="BI30" i="2"/>
  <c r="BH30" i="2"/>
  <c r="BG30" i="2"/>
  <c r="BF30" i="2"/>
  <c r="BE30" i="2"/>
  <c r="BD30" i="2"/>
  <c r="BC30" i="2"/>
  <c r="BB30" i="2"/>
  <c r="BA30" i="2"/>
  <c r="AZ30" i="2"/>
  <c r="AW30" i="2"/>
  <c r="AQ30" i="2"/>
  <c r="AM30" i="2"/>
  <c r="AI30" i="2"/>
  <c r="AF30" i="2"/>
  <c r="AC30" i="2"/>
  <c r="U30" i="2"/>
  <c r="S30" i="2"/>
  <c r="Q30" i="2"/>
  <c r="O30" i="2"/>
  <c r="I30" i="2"/>
  <c r="M30" i="2"/>
  <c r="G30" i="2"/>
  <c r="E30" i="2"/>
  <c r="A30" i="2"/>
  <c r="BI29" i="2"/>
  <c r="BH29" i="2"/>
  <c r="BG29" i="2"/>
  <c r="BF29" i="2"/>
  <c r="BE29" i="2"/>
  <c r="BD29" i="2"/>
  <c r="BC29" i="2"/>
  <c r="BB29" i="2"/>
  <c r="BA29" i="2"/>
  <c r="AZ29" i="2"/>
  <c r="AW29" i="2"/>
  <c r="AQ29" i="2"/>
  <c r="AM29" i="2"/>
  <c r="AI29" i="2"/>
  <c r="AF29" i="2"/>
  <c r="AC29" i="2"/>
  <c r="U29" i="2"/>
  <c r="S29" i="2"/>
  <c r="Q29" i="2"/>
  <c r="O29" i="2"/>
  <c r="I29" i="2"/>
  <c r="M29" i="2"/>
  <c r="G29" i="2"/>
  <c r="E29" i="2"/>
  <c r="BC28" i="2"/>
  <c r="BB28" i="2"/>
  <c r="BA28" i="2"/>
  <c r="AZ28" i="2"/>
  <c r="I28" i="2"/>
  <c r="G28" i="2"/>
  <c r="E28" i="2"/>
  <c r="BI27" i="2"/>
  <c r="BH27" i="2"/>
  <c r="BG27" i="2"/>
  <c r="BF27" i="2"/>
  <c r="BE27" i="2"/>
  <c r="BD27" i="2"/>
  <c r="AW27" i="2"/>
  <c r="AQ27" i="2"/>
  <c r="AM27" i="2"/>
  <c r="AI27" i="2"/>
  <c r="AF27" i="2"/>
  <c r="AC27" i="2"/>
  <c r="U27" i="2"/>
  <c r="S27" i="2"/>
  <c r="Q27" i="2"/>
  <c r="O27" i="2"/>
  <c r="I27" i="2"/>
  <c r="M27" i="2"/>
  <c r="G27" i="2"/>
  <c r="E27" i="2"/>
  <c r="BI26" i="2"/>
  <c r="BH26" i="2"/>
  <c r="BG26" i="2"/>
  <c r="BF26" i="2"/>
  <c r="BE26" i="2"/>
  <c r="BD26" i="2"/>
  <c r="AW26" i="2"/>
  <c r="AQ26" i="2"/>
  <c r="AM26" i="2"/>
  <c r="AI26" i="2"/>
  <c r="AF26" i="2"/>
  <c r="AC26" i="2"/>
  <c r="U26" i="2"/>
  <c r="S26" i="2"/>
  <c r="Q26" i="2"/>
  <c r="O26" i="2"/>
  <c r="I26" i="2"/>
  <c r="M26" i="2"/>
  <c r="G26" i="2"/>
  <c r="E26" i="2"/>
  <c r="BI25" i="2"/>
  <c r="BH25" i="2"/>
  <c r="BG25" i="2"/>
  <c r="BF25" i="2"/>
  <c r="BE25" i="2"/>
  <c r="BD25" i="2"/>
  <c r="AW25" i="2"/>
  <c r="AQ25" i="2"/>
  <c r="AM25" i="2"/>
  <c r="AI25" i="2"/>
  <c r="AF25" i="2"/>
  <c r="AC25" i="2"/>
  <c r="U25" i="2"/>
  <c r="S25" i="2"/>
  <c r="Q25" i="2"/>
  <c r="O25" i="2"/>
  <c r="I25" i="2"/>
  <c r="M25" i="2"/>
  <c r="G25" i="2"/>
  <c r="E25" i="2"/>
  <c r="BI24" i="2"/>
  <c r="BH24" i="2"/>
  <c r="BG24" i="2"/>
  <c r="BF24" i="2"/>
  <c r="BE24" i="2"/>
  <c r="AW24" i="2"/>
  <c r="AQ24" i="2"/>
  <c r="AM24" i="2"/>
  <c r="AI24" i="2"/>
  <c r="AF24" i="2"/>
  <c r="AC24" i="2"/>
  <c r="U24" i="2"/>
  <c r="S24" i="2"/>
  <c r="Q24" i="2"/>
  <c r="O24" i="2"/>
  <c r="I24" i="2"/>
  <c r="M24" i="2"/>
  <c r="G24" i="2"/>
  <c r="E24" i="2"/>
  <c r="BI23" i="2"/>
  <c r="BH23" i="2"/>
  <c r="BG23" i="2"/>
  <c r="BF23" i="2"/>
  <c r="BE23" i="2"/>
  <c r="BD23" i="2"/>
  <c r="AW23" i="2"/>
  <c r="AQ23" i="2"/>
  <c r="AM23" i="2"/>
  <c r="AI23" i="2"/>
  <c r="AF23" i="2"/>
  <c r="AC23" i="2"/>
  <c r="U23" i="2"/>
  <c r="S23" i="2"/>
  <c r="Q23" i="2"/>
  <c r="O23" i="2"/>
  <c r="I23" i="2"/>
  <c r="M23" i="2"/>
  <c r="G23" i="2"/>
  <c r="E23" i="2"/>
  <c r="BI22" i="2"/>
  <c r="BH22" i="2"/>
  <c r="BG22" i="2"/>
  <c r="BF22" i="2"/>
  <c r="BE22" i="2"/>
  <c r="BD22" i="2"/>
  <c r="AW22" i="2"/>
  <c r="AQ22" i="2"/>
  <c r="AM22" i="2"/>
  <c r="AI22" i="2"/>
  <c r="AF22" i="2"/>
  <c r="AC22" i="2"/>
  <c r="U22" i="2"/>
  <c r="S22" i="2"/>
  <c r="Q22" i="2"/>
  <c r="O22" i="2"/>
  <c r="I22" i="2"/>
  <c r="M22" i="2"/>
  <c r="G22" i="2"/>
  <c r="E22" i="2"/>
  <c r="BI21" i="2"/>
  <c r="BH21" i="2"/>
  <c r="BG21" i="2"/>
  <c r="BF21" i="2"/>
  <c r="BE21" i="2"/>
  <c r="BD21" i="2"/>
  <c r="AW21" i="2"/>
  <c r="AQ21" i="2"/>
  <c r="AM21" i="2"/>
  <c r="AI21" i="2"/>
  <c r="AF21" i="2"/>
  <c r="AC21" i="2"/>
  <c r="U21" i="2"/>
  <c r="S21" i="2"/>
  <c r="Q21" i="2"/>
  <c r="O21" i="2"/>
  <c r="I21" i="2"/>
  <c r="M21" i="2"/>
  <c r="G21" i="2"/>
  <c r="E21" i="2"/>
  <c r="BI20" i="2"/>
  <c r="BH20" i="2"/>
  <c r="BG20" i="2"/>
  <c r="BF20" i="2"/>
  <c r="BE20" i="2"/>
  <c r="BD20" i="2"/>
  <c r="AW20" i="2"/>
  <c r="AQ20" i="2"/>
  <c r="AM20" i="2"/>
  <c r="AI20" i="2"/>
  <c r="AF20" i="2"/>
  <c r="AC20" i="2"/>
  <c r="U20" i="2"/>
  <c r="S20" i="2"/>
  <c r="Q20" i="2"/>
  <c r="O20" i="2"/>
  <c r="I20" i="2"/>
  <c r="M20" i="2"/>
  <c r="G20" i="2"/>
  <c r="E20" i="2"/>
  <c r="BI19" i="2"/>
  <c r="BH19" i="2"/>
  <c r="BG19" i="2"/>
  <c r="BF19" i="2"/>
  <c r="BE19" i="2"/>
  <c r="BD19" i="2"/>
  <c r="BC19" i="2"/>
  <c r="AW19" i="2"/>
  <c r="AQ19" i="2"/>
  <c r="AM19" i="2"/>
  <c r="AI19" i="2"/>
  <c r="AF19" i="2"/>
  <c r="AC19" i="2"/>
  <c r="U19" i="2"/>
  <c r="S19" i="2"/>
  <c r="Q19" i="2"/>
  <c r="O19" i="2"/>
  <c r="I19" i="2"/>
  <c r="M19" i="2"/>
  <c r="G19" i="2"/>
  <c r="E19" i="2"/>
  <c r="A19" i="2"/>
  <c r="A20" i="2"/>
  <c r="BI18" i="2"/>
  <c r="BH18" i="2"/>
  <c r="BG18" i="2"/>
  <c r="BF18" i="2"/>
  <c r="BE18" i="2"/>
  <c r="BD18" i="2"/>
  <c r="BC18" i="2"/>
  <c r="BB18" i="2"/>
  <c r="BA18" i="2"/>
  <c r="AW18" i="2"/>
  <c r="AQ18" i="2"/>
  <c r="AM18" i="2"/>
  <c r="AI18" i="2"/>
  <c r="AF18" i="2"/>
  <c r="AC18" i="2"/>
  <c r="U18" i="2"/>
  <c r="S18" i="2"/>
  <c r="Q18" i="2"/>
  <c r="O18" i="2"/>
  <c r="I18" i="2"/>
  <c r="M18" i="2"/>
  <c r="G18" i="2"/>
  <c r="E18" i="2"/>
  <c r="A18" i="2"/>
  <c r="AZ18" i="2"/>
  <c r="BI17" i="2"/>
  <c r="BH17" i="2"/>
  <c r="BG17" i="2"/>
  <c r="BF17" i="2"/>
  <c r="BE17" i="2"/>
  <c r="BD17" i="2"/>
  <c r="BC17" i="2"/>
  <c r="BB17" i="2"/>
  <c r="BA17" i="2"/>
  <c r="AZ17" i="2"/>
  <c r="AY17" i="2"/>
  <c r="AY18" i="2"/>
  <c r="AY19" i="2"/>
  <c r="AY20" i="2"/>
  <c r="AY21" i="2"/>
  <c r="AY22" i="2"/>
  <c r="AY23" i="2"/>
  <c r="AY24" i="2"/>
  <c r="AY25" i="2"/>
  <c r="AY26" i="2"/>
  <c r="AY27" i="2"/>
  <c r="AY29" i="2"/>
  <c r="AY30" i="2"/>
  <c r="AY31" i="2"/>
  <c r="AY32" i="2"/>
  <c r="AW17" i="2"/>
  <c r="AQ17" i="2"/>
  <c r="AM17" i="2"/>
  <c r="AI17" i="2"/>
  <c r="AF17" i="2"/>
  <c r="AC17" i="2"/>
  <c r="U17" i="2"/>
  <c r="S17" i="2"/>
  <c r="Q17" i="2"/>
  <c r="O17" i="2"/>
  <c r="I17" i="2"/>
  <c r="M17" i="2"/>
  <c r="G17" i="2"/>
  <c r="E17" i="2"/>
  <c r="BI16" i="2"/>
  <c r="BH16" i="2"/>
  <c r="BG16" i="2"/>
  <c r="BF16" i="2"/>
  <c r="BE16" i="2"/>
  <c r="BD16" i="2"/>
  <c r="AY16" i="2"/>
  <c r="AW16" i="2"/>
  <c r="AQ16" i="2"/>
  <c r="AM16" i="2"/>
  <c r="AI16" i="2"/>
  <c r="AF16" i="2"/>
  <c r="AC16" i="2"/>
  <c r="U16" i="2"/>
  <c r="S16" i="2"/>
  <c r="Q16" i="2"/>
  <c r="O16" i="2"/>
  <c r="M16" i="2"/>
  <c r="I16" i="2"/>
  <c r="G16" i="2"/>
  <c r="E16" i="2"/>
  <c r="BI15" i="2"/>
  <c r="BH15" i="2"/>
  <c r="BG15" i="2"/>
  <c r="BF15" i="2"/>
  <c r="BE15" i="2"/>
  <c r="BD15" i="2"/>
  <c r="AW15" i="2"/>
  <c r="AQ15" i="2"/>
  <c r="AM15" i="2"/>
  <c r="AI15" i="2"/>
  <c r="AF15" i="2"/>
  <c r="AC15" i="2"/>
  <c r="U15" i="2"/>
  <c r="S15" i="2"/>
  <c r="Q15" i="2"/>
  <c r="O15" i="2"/>
  <c r="I15" i="2"/>
  <c r="M15" i="2"/>
  <c r="G15" i="2"/>
  <c r="E15" i="2"/>
  <c r="BI14" i="2"/>
  <c r="BH14" i="2"/>
  <c r="BG14" i="2"/>
  <c r="BF14" i="2"/>
  <c r="BE14" i="2"/>
  <c r="BD14" i="2"/>
  <c r="BC14" i="2"/>
  <c r="AW14" i="2"/>
  <c r="AQ14" i="2"/>
  <c r="AM14" i="2"/>
  <c r="AI14" i="2"/>
  <c r="AF14" i="2"/>
  <c r="AC14" i="2"/>
  <c r="U14" i="2"/>
  <c r="S14" i="2"/>
  <c r="Q14" i="2"/>
  <c r="O14" i="2"/>
  <c r="I14" i="2"/>
  <c r="M14" i="2"/>
  <c r="G14" i="2"/>
  <c r="E14" i="2"/>
  <c r="A14" i="2"/>
  <c r="A15" i="2"/>
  <c r="BI13" i="2"/>
  <c r="BH13" i="2"/>
  <c r="BG13" i="2"/>
  <c r="BF13" i="2"/>
  <c r="BE13" i="2"/>
  <c r="BD13" i="2"/>
  <c r="BC13" i="2"/>
  <c r="BB13" i="2"/>
  <c r="BA13" i="2"/>
  <c r="AZ13" i="2"/>
  <c r="AW13" i="2"/>
  <c r="AQ13" i="2"/>
  <c r="AM13" i="2"/>
  <c r="AI13" i="2"/>
  <c r="AF13" i="2"/>
  <c r="AC13" i="2"/>
  <c r="U13" i="2"/>
  <c r="S13" i="2"/>
  <c r="Q13" i="2"/>
  <c r="O13" i="2"/>
  <c r="I13" i="2"/>
  <c r="M13" i="2"/>
  <c r="G13" i="2"/>
  <c r="E13" i="2"/>
  <c r="BI12" i="2"/>
  <c r="BH12" i="2"/>
  <c r="BG12" i="2"/>
  <c r="BF12" i="2"/>
  <c r="BE12" i="2"/>
  <c r="BD12" i="2"/>
  <c r="AW12" i="2"/>
  <c r="AQ12" i="2"/>
  <c r="AM12" i="2"/>
  <c r="AI12" i="2"/>
  <c r="AF12" i="2"/>
  <c r="AC12" i="2"/>
  <c r="U12" i="2"/>
  <c r="S12" i="2"/>
  <c r="Q12" i="2"/>
  <c r="O12" i="2"/>
  <c r="I12" i="2"/>
  <c r="M12" i="2"/>
  <c r="G12" i="2"/>
  <c r="E12" i="2"/>
  <c r="BI11" i="2"/>
  <c r="BH11" i="2"/>
  <c r="BG11" i="2"/>
  <c r="BF11" i="2"/>
  <c r="BE11" i="2"/>
  <c r="BD11" i="2"/>
  <c r="AW11" i="2"/>
  <c r="AQ11" i="2"/>
  <c r="AM11" i="2"/>
  <c r="AI11" i="2"/>
  <c r="AF11" i="2"/>
  <c r="AC11" i="2"/>
  <c r="U11" i="2"/>
  <c r="S11" i="2"/>
  <c r="Q11" i="2"/>
  <c r="O11" i="2"/>
  <c r="M11" i="2"/>
  <c r="I11" i="2"/>
  <c r="G11" i="2"/>
  <c r="E11" i="2"/>
  <c r="BI10" i="2"/>
  <c r="BH10" i="2"/>
  <c r="BG10" i="2"/>
  <c r="BF10" i="2"/>
  <c r="BE10" i="2"/>
  <c r="BD10" i="2"/>
  <c r="AW10" i="2"/>
  <c r="AQ10" i="2"/>
  <c r="AM10" i="2"/>
  <c r="AI10" i="2"/>
  <c r="AF10" i="2"/>
  <c r="AC10" i="2"/>
  <c r="U10" i="2"/>
  <c r="S10" i="2"/>
  <c r="Q10" i="2"/>
  <c r="O10" i="2"/>
  <c r="I10" i="2"/>
  <c r="M10" i="2"/>
  <c r="G10" i="2"/>
  <c r="E10" i="2"/>
  <c r="BI9" i="2"/>
  <c r="BH9" i="2"/>
  <c r="BG9" i="2"/>
  <c r="BF9" i="2"/>
  <c r="BE9" i="2"/>
  <c r="BD9" i="2"/>
  <c r="AW9" i="2"/>
  <c r="AQ9" i="2"/>
  <c r="AM9" i="2"/>
  <c r="AI9" i="2"/>
  <c r="AF9" i="2"/>
  <c r="AC9" i="2"/>
  <c r="U9" i="2"/>
  <c r="S9" i="2"/>
  <c r="Q9" i="2"/>
  <c r="O9" i="2"/>
  <c r="M9" i="2"/>
  <c r="I9" i="2"/>
  <c r="G9" i="2"/>
  <c r="E9" i="2"/>
  <c r="BI8" i="2"/>
  <c r="BH8" i="2"/>
  <c r="BG8" i="2"/>
  <c r="BF8" i="2"/>
  <c r="BE8" i="2"/>
  <c r="BD8" i="2"/>
  <c r="AW8" i="2"/>
  <c r="AQ8" i="2"/>
  <c r="AM8" i="2"/>
  <c r="AI8" i="2"/>
  <c r="AF8" i="2"/>
  <c r="AC8" i="2"/>
  <c r="U8" i="2"/>
  <c r="S8" i="2"/>
  <c r="Q8" i="2"/>
  <c r="O8" i="2"/>
  <c r="I8" i="2"/>
  <c r="M8" i="2"/>
  <c r="G8" i="2"/>
  <c r="E8" i="2"/>
  <c r="BI7" i="2"/>
  <c r="BH7" i="2"/>
  <c r="BG7" i="2"/>
  <c r="BF7" i="2"/>
  <c r="BE7" i="2"/>
  <c r="BD7" i="2"/>
  <c r="AW7" i="2"/>
  <c r="AQ7" i="2"/>
  <c r="AM7" i="2"/>
  <c r="AI7" i="2"/>
  <c r="AF7" i="2"/>
  <c r="AC7" i="2"/>
  <c r="U7" i="2"/>
  <c r="S7" i="2"/>
  <c r="Q7" i="2"/>
  <c r="O7" i="2"/>
  <c r="M7" i="2"/>
  <c r="I7" i="2"/>
  <c r="G7" i="2"/>
  <c r="E7" i="2"/>
  <c r="A7" i="2"/>
  <c r="BC7" i="2"/>
  <c r="BI6" i="2"/>
  <c r="BH6" i="2"/>
  <c r="BG6" i="2"/>
  <c r="BF6" i="2"/>
  <c r="BE6" i="2"/>
  <c r="BD6" i="2"/>
  <c r="BC6" i="2"/>
  <c r="BB6" i="2"/>
  <c r="AY6" i="2"/>
  <c r="AY7" i="2"/>
  <c r="AY8" i="2"/>
  <c r="AY9" i="2"/>
  <c r="AY10" i="2"/>
  <c r="AY11" i="2"/>
  <c r="AY12" i="2"/>
  <c r="AY13" i="2"/>
  <c r="AY14" i="2"/>
  <c r="AW6" i="2"/>
  <c r="AQ6" i="2"/>
  <c r="AM6" i="2"/>
  <c r="AI6" i="2"/>
  <c r="AF6" i="2"/>
  <c r="AC6" i="2"/>
  <c r="U6" i="2"/>
  <c r="S6" i="2"/>
  <c r="Q6" i="2"/>
  <c r="O6" i="2"/>
  <c r="I6" i="2"/>
  <c r="M6" i="2"/>
  <c r="G6" i="2"/>
  <c r="E6" i="2"/>
  <c r="A6" i="2"/>
  <c r="BA6" i="2"/>
  <c r="BI5" i="2"/>
  <c r="BH5" i="2"/>
  <c r="BG5" i="2"/>
  <c r="BF5" i="2"/>
  <c r="BE5" i="2"/>
  <c r="BD5" i="2"/>
  <c r="BC5" i="2"/>
  <c r="BB5" i="2"/>
  <c r="BA5" i="2"/>
  <c r="AZ5" i="2"/>
  <c r="AW5" i="2"/>
  <c r="AQ5" i="2"/>
  <c r="AM5" i="2"/>
  <c r="AI5" i="2"/>
  <c r="AF5" i="2"/>
  <c r="AC5" i="2"/>
  <c r="BE4" i="2"/>
  <c r="BC4" i="2"/>
  <c r="BB4" i="2"/>
  <c r="BA4" i="2"/>
  <c r="AZ4" i="2"/>
  <c r="AV4" i="2"/>
  <c r="AR4" i="2"/>
  <c r="AR36" i="2"/>
  <c r="AP4" i="2"/>
  <c r="AP36" i="2"/>
  <c r="AN4" i="2"/>
  <c r="AN36" i="2"/>
  <c r="AL4" i="2"/>
  <c r="AL36" i="2"/>
  <c r="AJ4" i="2"/>
  <c r="AJ36" i="2"/>
  <c r="AG4" i="2"/>
  <c r="AG36" i="2"/>
  <c r="AE4" i="2"/>
  <c r="AE36" i="2"/>
  <c r="AD4" i="2"/>
  <c r="AD36" i="2"/>
  <c r="AB37" i="2"/>
  <c r="AJ37" i="2"/>
  <c r="AB4" i="2"/>
  <c r="AB36" i="2"/>
  <c r="AA4" i="2"/>
  <c r="AA36" i="2"/>
  <c r="Y4" i="2"/>
  <c r="Y36" i="2"/>
  <c r="X4" i="2"/>
  <c r="X36" i="2"/>
  <c r="V4" i="2"/>
  <c r="V36" i="2"/>
  <c r="T4" i="2"/>
  <c r="U5" i="2"/>
  <c r="J3" i="4"/>
  <c r="R4" i="2"/>
  <c r="P4" i="2"/>
  <c r="Q5" i="2"/>
  <c r="H3" i="4"/>
  <c r="N4" i="2"/>
  <c r="O5" i="2"/>
  <c r="G3" i="4"/>
  <c r="J4" i="2"/>
  <c r="H4" i="2"/>
  <c r="H36" i="2"/>
  <c r="F4" i="2"/>
  <c r="F36" i="2"/>
  <c r="D4" i="2"/>
  <c r="D36" i="2"/>
  <c r="H33" i="4"/>
  <c r="H32" i="4"/>
  <c r="F31" i="4"/>
  <c r="F29" i="4"/>
  <c r="G28" i="4"/>
  <c r="J24" i="4"/>
  <c r="G24" i="4"/>
  <c r="G21" i="4"/>
  <c r="G19" i="4"/>
  <c r="G17" i="4"/>
  <c r="I16" i="4"/>
  <c r="F15" i="4"/>
  <c r="F13" i="4"/>
  <c r="J10" i="4"/>
  <c r="G10" i="4"/>
  <c r="H9" i="4"/>
  <c r="I6" i="4"/>
  <c r="G5" i="4"/>
  <c r="I4" i="4"/>
  <c r="I22" i="4"/>
  <c r="G22" i="4"/>
  <c r="H21" i="4"/>
  <c r="J20" i="4"/>
  <c r="G20" i="4"/>
  <c r="E20" i="4"/>
  <c r="H19" i="4"/>
  <c r="F19" i="4"/>
  <c r="G18" i="4"/>
  <c r="F18" i="4"/>
  <c r="E18" i="4"/>
  <c r="H17" i="4"/>
  <c r="E17" i="4"/>
  <c r="J16" i="4"/>
  <c r="E16" i="4"/>
  <c r="J15" i="4"/>
  <c r="I15" i="4"/>
  <c r="E15" i="4"/>
  <c r="I14" i="4"/>
  <c r="H14" i="4"/>
  <c r="I13" i="4"/>
  <c r="H13" i="4"/>
  <c r="G13" i="4"/>
  <c r="G15" i="4"/>
  <c r="F16" i="4"/>
  <c r="H18" i="4"/>
  <c r="I18" i="4"/>
  <c r="E19" i="4"/>
  <c r="J19" i="4"/>
  <c r="I20" i="4"/>
  <c r="E21" i="4"/>
  <c r="J21" i="4"/>
  <c r="F22" i="4"/>
  <c r="H22" i="4"/>
  <c r="E23" i="4"/>
  <c r="G23" i="4"/>
  <c r="H23" i="4"/>
  <c r="I23" i="4"/>
  <c r="J22" i="4"/>
  <c r="H20" i="4"/>
  <c r="F20" i="4"/>
  <c r="J17" i="4"/>
  <c r="F17" i="4"/>
  <c r="G14" i="4"/>
  <c r="J13" i="4"/>
  <c r="F14" i="4"/>
  <c r="H16" i="4"/>
  <c r="J23" i="4"/>
  <c r="F21" i="4"/>
  <c r="J18" i="4"/>
  <c r="J12" i="4"/>
  <c r="H12" i="4"/>
  <c r="G12" i="4"/>
  <c r="F12" i="4"/>
  <c r="K12" i="4"/>
  <c r="H11" i="4"/>
  <c r="G11" i="4"/>
  <c r="F11" i="4"/>
  <c r="F10" i="4"/>
  <c r="G9" i="4"/>
  <c r="F9" i="4"/>
  <c r="J8" i="4"/>
  <c r="F8" i="4"/>
  <c r="H7" i="4"/>
  <c r="F7" i="4"/>
  <c r="H6" i="4"/>
  <c r="F6" i="4"/>
  <c r="J5" i="4"/>
  <c r="F5" i="4"/>
  <c r="E5" i="4"/>
  <c r="F4" i="4"/>
  <c r="J33" i="4"/>
  <c r="I32" i="4"/>
  <c r="G32" i="4"/>
  <c r="J31" i="4"/>
  <c r="H31" i="4"/>
  <c r="E31" i="4"/>
  <c r="J30" i="4"/>
  <c r="G30" i="4"/>
  <c r="H28" i="4"/>
  <c r="I27" i="4"/>
  <c r="G27" i="4"/>
  <c r="E27" i="4"/>
  <c r="J26" i="4"/>
  <c r="G26" i="4"/>
  <c r="I25" i="4"/>
  <c r="G25" i="4"/>
  <c r="I24" i="4"/>
  <c r="H24" i="4"/>
  <c r="F24" i="4"/>
  <c r="I12" i="4"/>
  <c r="J11" i="4"/>
  <c r="I10" i="4"/>
  <c r="H10" i="4"/>
  <c r="E10" i="4"/>
  <c r="J9" i="4"/>
  <c r="I9" i="4"/>
  <c r="E9" i="4"/>
  <c r="I8" i="4"/>
  <c r="J7" i="4"/>
  <c r="G7" i="4"/>
  <c r="J6" i="4"/>
  <c r="G6" i="4"/>
  <c r="I5" i="4"/>
  <c r="J4" i="4"/>
  <c r="H4" i="4"/>
  <c r="G33" i="4"/>
  <c r="E33" i="4"/>
  <c r="F32" i="4"/>
  <c r="I26" i="4"/>
  <c r="F25" i="4"/>
  <c r="H15" i="4"/>
  <c r="J14" i="4"/>
  <c r="E32" i="5"/>
  <c r="E31" i="5"/>
  <c r="L33" i="4"/>
  <c r="L32" i="4"/>
  <c r="K33" i="4"/>
  <c r="K32" i="4"/>
  <c r="F33" i="4"/>
  <c r="I33" i="4"/>
  <c r="J32" i="4"/>
  <c r="F23" i="4"/>
  <c r="I3" i="4"/>
  <c r="I31" i="4"/>
  <c r="G31" i="4"/>
  <c r="J29" i="4"/>
  <c r="I29" i="4"/>
  <c r="H29" i="4"/>
  <c r="G29" i="4"/>
  <c r="I28" i="4"/>
  <c r="F28" i="4"/>
  <c r="J27" i="4"/>
  <c r="H27" i="4"/>
  <c r="H26" i="4"/>
  <c r="J25" i="4"/>
  <c r="H25" i="4"/>
  <c r="E25" i="4"/>
  <c r="I19" i="4"/>
  <c r="I17" i="4"/>
  <c r="G16" i="4"/>
  <c r="I11" i="4"/>
  <c r="E11" i="4"/>
  <c r="G8" i="4"/>
  <c r="E4" i="4"/>
  <c r="I21" i="4"/>
  <c r="H8" i="4"/>
  <c r="G4" i="4"/>
  <c r="H5" i="4"/>
  <c r="I7" i="4"/>
  <c r="F26" i="4"/>
  <c r="F27" i="4"/>
  <c r="E28" i="4"/>
  <c r="J28" i="4"/>
  <c r="I30" i="4"/>
  <c r="H30" i="4"/>
  <c r="L8" i="4"/>
  <c r="K8" i="4"/>
  <c r="F30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2" i="5"/>
  <c r="L4" i="4"/>
  <c r="L5" i="4"/>
  <c r="L6" i="4"/>
  <c r="L7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K4" i="4"/>
  <c r="K5" i="4"/>
  <c r="K6" i="4"/>
  <c r="K7" i="4"/>
  <c r="K9" i="4"/>
  <c r="K10" i="4"/>
  <c r="K11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" i="4"/>
  <c r="L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E6" i="4"/>
  <c r="E7" i="4"/>
  <c r="E26" i="4"/>
  <c r="E29" i="4"/>
  <c r="E12" i="4"/>
  <c r="E22" i="4"/>
  <c r="E24" i="4"/>
  <c r="E14" i="4"/>
  <c r="E32" i="4"/>
  <c r="E30" i="4"/>
  <c r="E8" i="4"/>
  <c r="E13" i="4"/>
  <c r="AZ20" i="2"/>
  <c r="BC20" i="2"/>
  <c r="A21" i="2"/>
  <c r="BB20" i="2"/>
  <c r="BA20" i="2"/>
  <c r="BA15" i="2"/>
  <c r="AZ15" i="2"/>
  <c r="BC15" i="2"/>
  <c r="A16" i="2"/>
  <c r="BB15" i="2"/>
  <c r="G5" i="2"/>
  <c r="F3" i="4"/>
  <c r="AZ7" i="2"/>
  <c r="I5" i="2"/>
  <c r="M5" i="2"/>
  <c r="BA7" i="2"/>
  <c r="BB7" i="2"/>
  <c r="A8" i="2"/>
  <c r="N36" i="2"/>
  <c r="AZ14" i="2"/>
  <c r="AZ19" i="2"/>
  <c r="AZ6" i="2"/>
  <c r="BA14" i="2"/>
  <c r="BA19" i="2"/>
  <c r="E5" i="2"/>
  <c r="BB14" i="2"/>
  <c r="BB19" i="2"/>
  <c r="BC8" i="2"/>
  <c r="A9" i="2"/>
  <c r="BB8" i="2"/>
  <c r="BA8" i="2"/>
  <c r="AZ8" i="2"/>
  <c r="E3" i="4"/>
  <c r="BC21" i="2"/>
  <c r="A22" i="2"/>
  <c r="BB21" i="2"/>
  <c r="BA21" i="2"/>
  <c r="AZ21" i="2"/>
  <c r="BC16" i="2"/>
  <c r="BB16" i="2"/>
  <c r="BA16" i="2"/>
  <c r="AZ16" i="2"/>
  <c r="BC22" i="2"/>
  <c r="A23" i="2"/>
  <c r="BB22" i="2"/>
  <c r="BA22" i="2"/>
  <c r="AZ22" i="2"/>
  <c r="BC9" i="2"/>
  <c r="A10" i="2"/>
  <c r="BB9" i="2"/>
  <c r="BA9" i="2"/>
  <c r="AZ9" i="2"/>
  <c r="A24" i="2"/>
  <c r="BB23" i="2"/>
  <c r="BA23" i="2"/>
  <c r="AZ23" i="2"/>
  <c r="BC23" i="2"/>
  <c r="BA10" i="2"/>
  <c r="AZ10" i="2"/>
  <c r="BC10" i="2"/>
  <c r="A11" i="2"/>
  <c r="BB10" i="2"/>
  <c r="BC11" i="2"/>
  <c r="A12" i="2"/>
  <c r="BB11" i="2"/>
  <c r="BA11" i="2"/>
  <c r="AZ11" i="2"/>
  <c r="AZ24" i="2"/>
  <c r="BD24" i="2"/>
  <c r="BC24" i="2"/>
  <c r="A25" i="2"/>
  <c r="BB24" i="2"/>
  <c r="BA24" i="2"/>
  <c r="BC12" i="2"/>
  <c r="BB12" i="2"/>
  <c r="BA12" i="2"/>
  <c r="AZ12" i="2"/>
  <c r="BC25" i="2"/>
  <c r="A26" i="2"/>
  <c r="BB25" i="2"/>
  <c r="BA25" i="2"/>
  <c r="AZ25" i="2"/>
  <c r="BC26" i="2"/>
  <c r="A27" i="2"/>
  <c r="BB26" i="2"/>
  <c r="BA26" i="2"/>
  <c r="AZ26" i="2"/>
  <c r="BB27" i="2"/>
  <c r="BA27" i="2"/>
  <c r="AZ27" i="2"/>
  <c r="BC27" i="2"/>
</calcChain>
</file>

<file path=xl/sharedStrings.xml><?xml version="1.0" encoding="utf-8"?>
<sst xmlns="http://schemas.openxmlformats.org/spreadsheetml/2006/main" count="200" uniqueCount="79">
  <si>
    <t>GAS CUCINA</t>
  </si>
  <si>
    <t xml:space="preserve">  H2O GENERALE</t>
  </si>
  <si>
    <t>H2O CONDIZION.ADD</t>
  </si>
  <si>
    <t>H2O ADD F CUC P</t>
  </si>
  <si>
    <t>H2O SANIT. CALDA</t>
  </si>
  <si>
    <t xml:space="preserve">  ENEL ATTIVA</t>
  </si>
  <si>
    <t>ENEL REATT.</t>
  </si>
  <si>
    <t>RICAVI</t>
  </si>
  <si>
    <t xml:space="preserve">REFRIGERATA </t>
  </si>
  <si>
    <t>lt/ G</t>
  </si>
  <si>
    <t>ACQUA GENER.</t>
  </si>
  <si>
    <t>ACQUA CONDIZ.</t>
  </si>
  <si>
    <t>ENERGIA</t>
  </si>
  <si>
    <t>Proiezione BA</t>
  </si>
  <si>
    <t>GG</t>
  </si>
  <si>
    <t>ORA</t>
  </si>
  <si>
    <t>NOTE</t>
  </si>
  <si>
    <t>LETTURA MC</t>
  </si>
  <si>
    <t>DIFF. G</t>
  </si>
  <si>
    <t>lett. BA</t>
  </si>
  <si>
    <t>GUESTS</t>
  </si>
  <si>
    <t>mcxcl</t>
  </si>
  <si>
    <t>LET. KWH*2200</t>
  </si>
  <si>
    <t>LET.KWT</t>
  </si>
  <si>
    <t>LET. KWH</t>
  </si>
  <si>
    <t>LET. KWH*80</t>
  </si>
  <si>
    <t>COVERS</t>
  </si>
  <si>
    <t>MIN</t>
  </si>
  <si>
    <t>MAX</t>
  </si>
  <si>
    <t>LAVANDERIA</t>
  </si>
  <si>
    <t>00:00</t>
  </si>
  <si>
    <t xml:space="preserve">TOTALE </t>
  </si>
  <si>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</si>
  <si>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</si>
  <si>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</si>
  <si>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</si>
  <si>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</si>
  <si>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</si>
  <si>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</si>
  <si>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</si>
  <si>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 xml:space="preserve">Total Guests </t>
  </si>
  <si>
    <t>Milan</t>
  </si>
  <si>
    <t>GAS CUCINA (m3)</t>
  </si>
  <si>
    <t>H2O CONDIZION.ADD (m3)</t>
  </si>
  <si>
    <t>REINT. H2O ADD (m3)</t>
  </si>
  <si>
    <t>H2O ADD F CUC P (m3)</t>
  </si>
  <si>
    <t>H2O SANIT. CALDA (m3)</t>
  </si>
  <si>
    <t>ENEL CUC.PRINC. P (KWh)</t>
  </si>
  <si>
    <t>ENEL CUC.PRINC. N. (KWh)</t>
  </si>
  <si>
    <t>ENEL CUC.PREP. (KWh)</t>
  </si>
  <si>
    <t>ENEL CUC.VERANDA (KWh)</t>
  </si>
  <si>
    <t>GAS RISCALD.(m3)</t>
  </si>
  <si>
    <t xml:space="preserve">   ENEL LAVANDERIA (KWh)</t>
  </si>
  <si>
    <t>Electricity Tariff ($/Kwh)</t>
  </si>
  <si>
    <t>Natural Gas $/m3</t>
  </si>
  <si>
    <t>Water Utility Supply (m3) $/m3</t>
  </si>
  <si>
    <t>ENEL CUC.PRINC</t>
  </si>
  <si>
    <t xml:space="preserve">  GAS RISCALD.</t>
  </si>
  <si>
    <t xml:space="preserve">  GAS CUCINA</t>
  </si>
  <si>
    <t>REINT. H2O ADD</t>
  </si>
  <si>
    <t xml:space="preserve">       ENEL CUC.PRINC. P</t>
  </si>
  <si>
    <t xml:space="preserve">    ENEL CUC.PRINC. N.</t>
  </si>
  <si>
    <t xml:space="preserve">         ENEL CUC.PREP.</t>
  </si>
  <si>
    <t xml:space="preserve">         ENEL CUC.VERANDA       </t>
  </si>
  <si>
    <t xml:space="preserve">      ENEL LAVANDERIA</t>
  </si>
  <si>
    <t xml:space="preserve"> TEMPER.GG.</t>
  </si>
  <si>
    <t>GAS RISCALD</t>
  </si>
  <si>
    <t>ENEL CUC.PREP</t>
  </si>
  <si>
    <t>ENEL CUC.VER</t>
  </si>
  <si>
    <t>ENEL LAVAND</t>
  </si>
  <si>
    <t>Consumo Ba</t>
  </si>
  <si>
    <t>CONSUMI</t>
  </si>
  <si>
    <t xml:space="preserve">         MEDIA</t>
  </si>
  <si>
    <t>BUDGET</t>
  </si>
  <si>
    <t>RIMECO 15</t>
  </si>
  <si>
    <t>RIMECO 16</t>
  </si>
  <si>
    <t>RIMECO 17</t>
  </si>
  <si>
    <t>RIMECO 18</t>
  </si>
  <si>
    <t>RIMECO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</si>
</sst>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9" formatCode="_-* #,##0_-;\-* #,##0_-;_-* &quot;-&quot;_-;_-@_-"/>
    <numFmt numFmtId="171" formatCode="_-* #,##0.00_-;\-* #,##0.00_-;_-* &quot;-&quot;??_-;_-@_-"/>
    <numFmt numFmtId="172" formatCode="_-* #,##0.000_-;\-* #,##0.000_-;_-* &quot;-&quot;_-;_-@_-"/>
    <numFmt numFmtId="173" formatCode="#,##0_ ;\-#,##0\ "/>
    <numFmt numFmtId="174" formatCode="_-* #,##0.00_-;\-* #,##0.00_-;_-* &quot;-&quot;_-;_-@_-"/>
  </numFmts>
  <fonts count="15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2"/>
      <color indexed="12"/>
      <name val="Arial"/>
      <family val="2"/>
    </font>
    <font>
      <b/>
      <sz val="10"/>
      <name val="Arial"/>
      <family val="2"/>
    </font>
    <font>
      <sz val="12"/>
      <color indexed="10"/>
      <name val="Arial"/>
      <family val="2"/>
    </font>
    <font>
      <sz val="12"/>
      <color indexed="17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3"/>
      <name val="Arial"/>
      <family val="2"/>
    </font>
    <font>
      <sz val="11"/>
      <color theme="3"/>
      <name val="Calibri"/>
      <family val="2"/>
      <scheme val="minor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2"/>
      <color theme="9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13"/>
        <bgColor indexed="64"/>
      </patternFill>
    </fill>
    <fill>
      <patternFill patternType="solid">
        <fgColor indexed="13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43">
    <border>
      <left/>
      <right/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8"/>
      </left>
      <right style="double">
        <color indexed="8"/>
      </right>
      <top/>
      <bottom style="double">
        <color indexed="8"/>
      </bottom>
      <diagonal/>
    </border>
    <border>
      <left style="double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8"/>
      </left>
      <right style="thin">
        <color indexed="8"/>
      </right>
      <top style="double">
        <color indexed="8"/>
      </top>
      <bottom style="double">
        <color indexed="8"/>
      </bottom>
      <diagonal/>
    </border>
    <border>
      <left/>
      <right style="medium">
        <color indexed="64"/>
      </right>
      <top/>
      <bottom/>
      <diagonal/>
    </border>
    <border>
      <left style="double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64"/>
      </left>
      <right style="thin">
        <color indexed="8"/>
      </right>
      <top/>
      <bottom style="medium">
        <color indexed="64"/>
      </bottom>
      <diagonal/>
    </border>
    <border>
      <left style="thin">
        <color indexed="8"/>
      </left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 style="medium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64"/>
      </right>
      <top style="medium">
        <color indexed="64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/>
      <right style="thin">
        <color indexed="8"/>
      </right>
      <top style="medium">
        <color indexed="64"/>
      </top>
      <bottom style="thin">
        <color indexed="8"/>
      </bottom>
      <diagonal/>
    </border>
  </borders>
  <cellStyleXfs count="2">
    <xf numFmtId="0" fontId="0" fillId="0" borderId="0"/>
    <xf numFmtId="169" fontId="7" fillId="0" borderId="0" applyFont="0" applyFill="0" applyBorder="0" applyAlignment="0" applyProtection="0"/>
  </cellStyleXfs>
  <cellXfs count="113">
    <xf numFmtId="0" fontId="0" fillId="0" borderId="0" xfId="0"/>
    <xf numFmtId="169" fontId="1" fillId="0" borderId="0" xfId="1" applyFont="1"/>
    <xf numFmtId="169" fontId="2" fillId="0" borderId="0" xfId="1" applyFont="1"/>
    <xf numFmtId="169" fontId="2" fillId="3" borderId="1" xfId="1" applyFont="1" applyFill="1" applyBorder="1" applyAlignment="1" applyProtection="1">
      <alignment horizontal="left"/>
    </xf>
    <xf numFmtId="169" fontId="2" fillId="3" borderId="2" xfId="1" applyFont="1" applyFill="1" applyBorder="1" applyAlignment="1" applyProtection="1">
      <alignment horizontal="left"/>
    </xf>
    <xf numFmtId="169" fontId="4" fillId="3" borderId="3" xfId="1" applyFont="1" applyFill="1" applyBorder="1" applyAlignment="1" applyProtection="1">
      <alignment horizontal="left"/>
    </xf>
    <xf numFmtId="169" fontId="5" fillId="0" borderId="4" xfId="1" applyFont="1" applyBorder="1" applyProtection="1"/>
    <xf numFmtId="169" fontId="3" fillId="0" borderId="4" xfId="1" applyFont="1" applyBorder="1" applyProtection="1"/>
    <xf numFmtId="169" fontId="1" fillId="0" borderId="4" xfId="1" applyFont="1" applyBorder="1" applyProtection="1"/>
    <xf numFmtId="3" fontId="1" fillId="0" borderId="4" xfId="1" applyNumberFormat="1" applyFont="1" applyBorder="1" applyProtection="1"/>
    <xf numFmtId="169" fontId="1" fillId="0" borderId="4" xfId="1" applyFont="1" applyBorder="1" applyAlignment="1" applyProtection="1">
      <alignment horizontal="left"/>
    </xf>
    <xf numFmtId="172" fontId="6" fillId="0" borderId="4" xfId="1" applyNumberFormat="1" applyFont="1" applyBorder="1" applyProtection="1"/>
    <xf numFmtId="3" fontId="5" fillId="0" borderId="4" xfId="1" applyNumberFormat="1" applyFont="1" applyBorder="1" applyProtection="1"/>
    <xf numFmtId="174" fontId="5" fillId="0" borderId="4" xfId="1" applyNumberFormat="1" applyFont="1" applyBorder="1" applyProtection="1"/>
    <xf numFmtId="169" fontId="5" fillId="0" borderId="4" xfId="1" applyFont="1" applyFill="1" applyBorder="1" applyProtection="1"/>
    <xf numFmtId="169" fontId="1" fillId="0" borderId="5" xfId="1" applyFont="1" applyBorder="1" applyProtection="1"/>
    <xf numFmtId="169" fontId="1" fillId="0" borderId="6" xfId="1" applyFont="1" applyBorder="1" applyProtection="1"/>
    <xf numFmtId="169" fontId="1" fillId="0" borderId="7" xfId="1" applyFont="1" applyBorder="1"/>
    <xf numFmtId="169" fontId="2" fillId="0" borderId="8" xfId="1" applyFont="1" applyBorder="1" applyProtection="1"/>
    <xf numFmtId="169" fontId="2" fillId="0" borderId="9" xfId="1" applyFont="1" applyBorder="1" applyProtection="1"/>
    <xf numFmtId="169" fontId="2" fillId="0" borderId="0" xfId="1" applyFont="1" applyBorder="1" applyProtection="1"/>
    <xf numFmtId="169" fontId="1" fillId="2" borderId="10" xfId="1" applyFont="1" applyFill="1" applyBorder="1"/>
    <xf numFmtId="169" fontId="1" fillId="0" borderId="10" xfId="1" applyFont="1" applyBorder="1"/>
    <xf numFmtId="169" fontId="1" fillId="0" borderId="1" xfId="1" applyFont="1" applyBorder="1"/>
    <xf numFmtId="169" fontId="2" fillId="5" borderId="11" xfId="1" applyFont="1" applyFill="1" applyBorder="1"/>
    <xf numFmtId="169" fontId="2" fillId="0" borderId="0" xfId="1" applyFont="1" applyAlignment="1" applyProtection="1">
      <alignment horizontal="center"/>
    </xf>
    <xf numFmtId="174" fontId="2" fillId="0" borderId="0" xfId="1" applyNumberFormat="1" applyFont="1" applyBorder="1" applyProtection="1"/>
    <xf numFmtId="174" fontId="1" fillId="0" borderId="0" xfId="1" applyNumberFormat="1" applyFont="1"/>
    <xf numFmtId="1" fontId="0" fillId="0" borderId="0" xfId="0" applyNumberFormat="1"/>
    <xf numFmtId="1" fontId="8" fillId="0" borderId="0" xfId="0" applyNumberFormat="1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8" fillId="0" borderId="0" xfId="0" applyFont="1"/>
    <xf numFmtId="1" fontId="8" fillId="0" borderId="0" xfId="0" applyNumberFormat="1" applyFont="1" applyAlignment="1">
      <alignment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169" fontId="1" fillId="0" borderId="12" xfId="1" applyFont="1" applyBorder="1" applyProtection="1"/>
    <xf numFmtId="169" fontId="1" fillId="0" borderId="13" xfId="1" applyFont="1" applyBorder="1" applyProtection="1"/>
    <xf numFmtId="1" fontId="10" fillId="0" borderId="0" xfId="0" applyNumberFormat="1" applyFont="1"/>
    <xf numFmtId="1" fontId="13" fillId="0" borderId="0" xfId="0" applyNumberFormat="1" applyFont="1" applyAlignment="1">
      <alignment wrapText="1"/>
    </xf>
    <xf numFmtId="1" fontId="12" fillId="0" borderId="0" xfId="0" applyNumberFormat="1" applyFont="1"/>
    <xf numFmtId="1" fontId="9" fillId="0" borderId="0" xfId="0" applyNumberFormat="1" applyFont="1"/>
    <xf numFmtId="169" fontId="1" fillId="3" borderId="14" xfId="1" applyFont="1" applyFill="1" applyBorder="1" applyAlignment="1">
      <alignment horizontal="center" vertical="center" wrapText="1"/>
    </xf>
    <xf numFmtId="169" fontId="1" fillId="3" borderId="15" xfId="1" applyFont="1" applyFill="1" applyBorder="1" applyAlignment="1">
      <alignment horizontal="center" vertical="center" wrapText="1"/>
    </xf>
    <xf numFmtId="169" fontId="1" fillId="3" borderId="16" xfId="1" applyFont="1" applyFill="1" applyBorder="1" applyAlignment="1">
      <alignment horizontal="center" vertical="center" wrapText="1"/>
    </xf>
    <xf numFmtId="169" fontId="1" fillId="0" borderId="0" xfId="1" applyFont="1" applyBorder="1"/>
    <xf numFmtId="4" fontId="1" fillId="0" borderId="4" xfId="1" quotePrefix="1" applyNumberFormat="1" applyFont="1" applyBorder="1" applyAlignment="1" applyProtection="1">
      <alignment horizontal="left"/>
    </xf>
    <xf numFmtId="169" fontId="2" fillId="0" borderId="0" xfId="1" applyFont="1" applyAlignment="1" applyProtection="1">
      <alignment horizontal="left"/>
    </xf>
    <xf numFmtId="169" fontId="2" fillId="0" borderId="17" xfId="1" applyFont="1" applyBorder="1" applyProtection="1"/>
    <xf numFmtId="169" fontId="5" fillId="0" borderId="5" xfId="1" applyFont="1" applyBorder="1" applyProtection="1"/>
    <xf numFmtId="169" fontId="5" fillId="0" borderId="6" xfId="1" applyFont="1" applyBorder="1" applyProtection="1"/>
    <xf numFmtId="169" fontId="3" fillId="0" borderId="6" xfId="1" applyFont="1" applyFill="1" applyBorder="1"/>
    <xf numFmtId="169" fontId="14" fillId="0" borderId="4" xfId="1" applyFont="1" applyBorder="1" applyProtection="1"/>
    <xf numFmtId="171" fontId="5" fillId="0" borderId="4" xfId="1" applyNumberFormat="1" applyFont="1" applyBorder="1" applyProtection="1"/>
    <xf numFmtId="1" fontId="5" fillId="0" borderId="4" xfId="1" applyNumberFormat="1" applyFont="1" applyFill="1" applyBorder="1" applyProtection="1"/>
    <xf numFmtId="171" fontId="5" fillId="0" borderId="4" xfId="1" applyNumberFormat="1" applyFont="1" applyFill="1" applyBorder="1" applyProtection="1"/>
    <xf numFmtId="169" fontId="1" fillId="3" borderId="18" xfId="1" applyFont="1" applyFill="1" applyBorder="1" applyAlignment="1">
      <alignment horizontal="center"/>
    </xf>
    <xf numFmtId="169" fontId="3" fillId="0" borderId="4" xfId="1" applyFont="1" applyBorder="1" applyAlignment="1" applyProtection="1">
      <alignment horizontal="left"/>
    </xf>
    <xf numFmtId="4" fontId="5" fillId="0" borderId="4" xfId="1" applyNumberFormat="1" applyFont="1" applyBorder="1" applyProtection="1"/>
    <xf numFmtId="3" fontId="5" fillId="0" borderId="1" xfId="1" applyNumberFormat="1" applyFont="1" applyBorder="1" applyProtection="1"/>
    <xf numFmtId="172" fontId="5" fillId="0" borderId="4" xfId="1" applyNumberFormat="1" applyFont="1" applyBorder="1" applyProtection="1"/>
    <xf numFmtId="169" fontId="2" fillId="4" borderId="18" xfId="1" applyFont="1" applyFill="1" applyBorder="1" applyAlignment="1" applyProtection="1">
      <alignment horizontal="center"/>
    </xf>
    <xf numFmtId="172" fontId="5" fillId="0" borderId="4" xfId="1" applyNumberFormat="1" applyFont="1" applyBorder="1" applyAlignment="1" applyProtection="1"/>
    <xf numFmtId="169" fontId="5" fillId="0" borderId="19" xfId="1" applyFont="1" applyBorder="1" applyProtection="1"/>
    <xf numFmtId="169" fontId="5" fillId="0" borderId="6" xfId="1" applyFont="1" applyFill="1" applyBorder="1" applyProtection="1"/>
    <xf numFmtId="3" fontId="5" fillId="0" borderId="4" xfId="1" applyNumberFormat="1" applyFont="1" applyFill="1" applyBorder="1" applyProtection="1"/>
    <xf numFmtId="169" fontId="3" fillId="0" borderId="4" xfId="1" applyFont="1" applyBorder="1"/>
    <xf numFmtId="169" fontId="3" fillId="0" borderId="6" xfId="1" applyFont="1" applyBorder="1" applyProtection="1"/>
    <xf numFmtId="169" fontId="2" fillId="0" borderId="20" xfId="1" applyFont="1" applyBorder="1"/>
    <xf numFmtId="169" fontId="2" fillId="0" borderId="21" xfId="1" applyFont="1" applyBorder="1" applyProtection="1"/>
    <xf numFmtId="169" fontId="2" fillId="0" borderId="22" xfId="1" applyFont="1" applyFill="1" applyBorder="1"/>
    <xf numFmtId="169" fontId="2" fillId="4" borderId="5" xfId="1" applyFont="1" applyFill="1" applyBorder="1" applyProtection="1"/>
    <xf numFmtId="3" fontId="5" fillId="6" borderId="4" xfId="1" applyNumberFormat="1" applyFont="1" applyFill="1" applyBorder="1" applyProtection="1"/>
    <xf numFmtId="169" fontId="5" fillId="6" borderId="4" xfId="1" applyFont="1" applyFill="1" applyBorder="1" applyProtection="1"/>
    <xf numFmtId="169" fontId="2" fillId="3" borderId="23" xfId="1" applyFont="1" applyFill="1" applyBorder="1" applyAlignment="1" applyProtection="1">
      <alignment horizontal="center"/>
    </xf>
    <xf numFmtId="169" fontId="2" fillId="3" borderId="1" xfId="1" applyFont="1" applyFill="1" applyBorder="1" applyAlignment="1" applyProtection="1">
      <alignment horizontal="center"/>
    </xf>
    <xf numFmtId="169" fontId="2" fillId="3" borderId="7" xfId="1" applyFont="1" applyFill="1" applyBorder="1" applyAlignment="1" applyProtection="1">
      <alignment horizontal="center"/>
    </xf>
    <xf numFmtId="169" fontId="2" fillId="3" borderId="7" xfId="1" applyFont="1" applyFill="1" applyBorder="1" applyAlignment="1" applyProtection="1">
      <alignment horizontal="left"/>
    </xf>
    <xf numFmtId="169" fontId="2" fillId="3" borderId="0" xfId="1" applyFont="1" applyFill="1" applyBorder="1" applyAlignment="1" applyProtection="1">
      <alignment horizontal="left"/>
    </xf>
    <xf numFmtId="169" fontId="2" fillId="3" borderId="24" xfId="1" applyFont="1" applyFill="1" applyBorder="1" applyAlignment="1" applyProtection="1">
      <alignment horizontal="left"/>
    </xf>
    <xf numFmtId="169" fontId="2" fillId="3" borderId="25" xfId="1" applyFont="1" applyFill="1" applyBorder="1" applyAlignment="1" applyProtection="1">
      <alignment horizontal="left"/>
    </xf>
    <xf numFmtId="169" fontId="2" fillId="3" borderId="10" xfId="1" applyFont="1" applyFill="1" applyBorder="1" applyAlignment="1" applyProtection="1">
      <alignment horizontal="center"/>
    </xf>
    <xf numFmtId="169" fontId="2" fillId="3" borderId="26" xfId="1" applyFont="1" applyFill="1" applyBorder="1"/>
    <xf numFmtId="169" fontId="1" fillId="2" borderId="5" xfId="1" applyFont="1" applyFill="1" applyBorder="1"/>
    <xf numFmtId="173" fontId="3" fillId="0" borderId="6" xfId="1" applyNumberFormat="1" applyFont="1" applyFill="1" applyBorder="1"/>
    <xf numFmtId="4" fontId="2" fillId="3" borderId="30" xfId="1" applyNumberFormat="1" applyFont="1" applyFill="1" applyBorder="1" applyAlignment="1" applyProtection="1">
      <alignment horizontal="center" vertical="center" wrapText="1"/>
    </xf>
    <xf numFmtId="4" fontId="2" fillId="3" borderId="20" xfId="1" applyNumberFormat="1" applyFont="1" applyFill="1" applyBorder="1" applyAlignment="1" applyProtection="1">
      <alignment horizontal="center" vertical="center" wrapText="1"/>
    </xf>
    <xf numFmtId="169" fontId="2" fillId="3" borderId="31" xfId="1" applyFont="1" applyFill="1" applyBorder="1" applyAlignment="1" applyProtection="1">
      <alignment horizontal="center" vertical="center" wrapText="1"/>
    </xf>
    <xf numFmtId="169" fontId="2" fillId="3" borderId="6" xfId="1" applyFont="1" applyFill="1" applyBorder="1" applyAlignment="1" applyProtection="1">
      <alignment horizontal="center" vertical="center" wrapText="1"/>
    </xf>
    <xf numFmtId="169" fontId="2" fillId="3" borderId="32" xfId="1" applyFont="1" applyFill="1" applyBorder="1" applyAlignment="1" applyProtection="1">
      <alignment horizontal="center" vertical="center" wrapText="1"/>
    </xf>
    <xf numFmtId="169" fontId="2" fillId="3" borderId="30" xfId="1" applyFont="1" applyFill="1" applyBorder="1" applyAlignment="1">
      <alignment horizontal="center" vertical="center" wrapText="1"/>
    </xf>
    <xf numFmtId="169" fontId="2" fillId="3" borderId="20" xfId="1" applyFont="1" applyFill="1" applyBorder="1" applyAlignment="1">
      <alignment horizontal="center" vertical="center" wrapText="1"/>
    </xf>
    <xf numFmtId="169" fontId="2" fillId="3" borderId="39" xfId="1" applyFont="1" applyFill="1" applyBorder="1" applyAlignment="1" applyProtection="1">
      <alignment horizontal="center" vertical="center" wrapText="1"/>
    </xf>
    <xf numFmtId="169" fontId="2" fillId="3" borderId="40" xfId="1" applyFont="1" applyFill="1" applyBorder="1" applyAlignment="1" applyProtection="1">
      <alignment horizontal="center" vertical="center" wrapText="1"/>
    </xf>
    <xf numFmtId="169" fontId="2" fillId="3" borderId="25" xfId="1" applyFont="1" applyFill="1" applyBorder="1" applyAlignment="1" applyProtection="1">
      <alignment horizontal="center" vertical="center" wrapText="1"/>
    </xf>
    <xf numFmtId="169" fontId="2" fillId="3" borderId="41" xfId="1" applyFont="1" applyFill="1" applyBorder="1" applyAlignment="1">
      <alignment horizontal="center"/>
    </xf>
    <xf numFmtId="169" fontId="2" fillId="3" borderId="42" xfId="1" applyFont="1" applyFill="1" applyBorder="1" applyAlignment="1">
      <alignment horizontal="center"/>
    </xf>
    <xf numFmtId="169" fontId="2" fillId="3" borderId="30" xfId="1" applyFont="1" applyFill="1" applyBorder="1" applyAlignment="1" applyProtection="1">
      <alignment horizontal="center" vertical="center" wrapText="1"/>
    </xf>
    <xf numFmtId="169" fontId="2" fillId="3" borderId="20" xfId="1" applyFont="1" applyFill="1" applyBorder="1" applyAlignment="1" applyProtection="1">
      <alignment horizontal="center" vertical="center" wrapText="1"/>
    </xf>
    <xf numFmtId="169" fontId="1" fillId="3" borderId="14" xfId="1" applyFont="1" applyFill="1" applyBorder="1" applyAlignment="1">
      <alignment horizontal="center"/>
    </xf>
    <xf numFmtId="169" fontId="1" fillId="3" borderId="33" xfId="1" applyFont="1" applyFill="1" applyBorder="1" applyAlignment="1">
      <alignment horizontal="center"/>
    </xf>
    <xf numFmtId="169" fontId="1" fillId="3" borderId="34" xfId="1" applyFont="1" applyFill="1" applyBorder="1" applyAlignment="1">
      <alignment horizontal="center"/>
    </xf>
    <xf numFmtId="169" fontId="1" fillId="3" borderId="15" xfId="1" applyFont="1" applyFill="1" applyBorder="1" applyAlignment="1">
      <alignment horizontal="center"/>
    </xf>
    <xf numFmtId="169" fontId="1" fillId="3" borderId="35" xfId="1" applyFont="1" applyFill="1" applyBorder="1" applyAlignment="1">
      <alignment horizontal="center"/>
    </xf>
    <xf numFmtId="169" fontId="1" fillId="3" borderId="36" xfId="1" applyFont="1" applyFill="1" applyBorder="1" applyAlignment="1">
      <alignment horizontal="center"/>
    </xf>
    <xf numFmtId="169" fontId="2" fillId="3" borderId="37" xfId="1" applyFont="1" applyFill="1" applyBorder="1" applyAlignment="1" applyProtection="1">
      <alignment horizontal="center" vertical="center" wrapText="1"/>
    </xf>
    <xf numFmtId="169" fontId="2" fillId="3" borderId="38" xfId="1" applyFont="1" applyFill="1" applyBorder="1" applyAlignment="1" applyProtection="1">
      <alignment horizontal="center" vertical="center" wrapText="1"/>
    </xf>
    <xf numFmtId="169" fontId="2" fillId="5" borderId="27" xfId="1" applyFont="1" applyFill="1" applyBorder="1" applyAlignment="1">
      <alignment horizontal="center"/>
    </xf>
    <xf numFmtId="169" fontId="1" fillId="5" borderId="28" xfId="1" applyFont="1" applyFill="1" applyBorder="1" applyAlignment="1">
      <alignment horizontal="center"/>
    </xf>
    <xf numFmtId="169" fontId="2" fillId="5" borderId="29" xfId="1" applyFont="1" applyFill="1" applyBorder="1" applyAlignment="1">
      <alignment horizontal="center"/>
    </xf>
    <xf numFmtId="4" fontId="2" fillId="3" borderId="30" xfId="1" applyNumberFormat="1" applyFont="1" applyFill="1" applyBorder="1" applyAlignment="1">
      <alignment horizontal="center" vertical="center" wrapText="1"/>
    </xf>
    <xf numFmtId="4" fontId="2" fillId="3" borderId="20" xfId="1" applyNumberFormat="1" applyFont="1" applyFill="1" applyBorder="1" applyAlignment="1">
      <alignment horizontal="center" vertical="center" wrapText="1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UMI/CONS_GIORN/Consumi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uary"/>
      <sheetName val="February"/>
      <sheetName val="March"/>
      <sheetName val="April"/>
      <sheetName val="May"/>
      <sheetName val="June"/>
      <sheetName val="July "/>
      <sheetName val="August"/>
      <sheetName val="September"/>
      <sheetName val="October"/>
      <sheetName val="November"/>
      <sheetName val="December"/>
      <sheetName val="Forecast"/>
    </sheetNames>
    <sheetDataSet>
      <sheetData sheetId="0"/>
      <sheetData sheetId="1"/>
      <sheetData sheetId="2"/>
      <sheetData sheetId="3"/>
      <sheetData sheetId="4"/>
      <sheetData sheetId="5"/>
      <sheetData sheetId="6">
        <row r="35">
          <cell r="D35">
            <v>92960</v>
          </cell>
          <cell r="F35">
            <v>6642.9</v>
          </cell>
          <cell r="H35">
            <v>534431</v>
          </cell>
          <cell r="J35">
            <v>504132</v>
          </cell>
          <cell r="N35">
            <v>88149</v>
          </cell>
          <cell r="P35">
            <v>79340</v>
          </cell>
          <cell r="R35">
            <v>14374</v>
          </cell>
          <cell r="T35">
            <v>170174</v>
          </cell>
          <cell r="X35">
            <v>10322</v>
          </cell>
          <cell r="AA35">
            <v>2361</v>
          </cell>
          <cell r="AD35">
            <v>216</v>
          </cell>
          <cell r="AG35">
            <v>892</v>
          </cell>
          <cell r="AJ35">
            <v>104</v>
          </cell>
          <cell r="AN35">
            <v>78</v>
          </cell>
          <cell r="AR35">
            <v>88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zoomScaleNormal="100" workbookViewId="0">
      <selection activeCell="Q8" sqref="Q8"/>
    </sheetView>
  </sheetViews>
  <sheetFormatPr defaultColWidth="11.5703125" defaultRowHeight="15" x14ac:dyDescent="0.25"/>
  <cols>
    <col min="4" max="4" width="13.42578125" customWidth="1"/>
    <col min="5" max="5" width="13" style="42" customWidth="1"/>
    <col min="6" max="6" width="12.5703125" customWidth="1"/>
    <col min="7" max="7" width="13" style="28" customWidth="1"/>
  </cols>
  <sheetData>
    <row r="1" spans="1:12" s="32" customFormat="1" ht="60" x14ac:dyDescent="0.25">
      <c r="A1" s="32" t="s">
        <v>32</v>
      </c>
      <c r="B1" s="32" t="s">
        <v>33</v>
      </c>
      <c r="C1" s="32" t="s">
        <v>34</v>
      </c>
      <c r="D1" s="32" t="s">
        <v>35</v>
      </c>
      <c r="E1" s="40" t="s">
        <v>36</v>
      </c>
      <c r="F1" s="31" t="s">
        <v>53</v>
      </c>
      <c r="G1" s="33" t="s">
        <v>37</v>
      </c>
      <c r="H1" s="31" t="s">
        <v>54</v>
      </c>
      <c r="I1" s="31" t="s">
        <v>38</v>
      </c>
      <c r="J1" s="31" t="s">
        <v>55</v>
      </c>
      <c r="K1" s="31" t="s">
        <v>39</v>
      </c>
      <c r="L1" s="31" t="s">
        <v>40</v>
      </c>
    </row>
    <row r="2" spans="1:12" s="34" customFormat="1" ht="12.75" x14ac:dyDescent="0.2">
      <c r="A2" s="34" t="s">
        <v>41</v>
      </c>
      <c r="B2" s="34">
        <v>1</v>
      </c>
      <c r="C2" s="36">
        <v>8</v>
      </c>
      <c r="D2" s="34">
        <v>2020</v>
      </c>
      <c r="E2" s="41">
        <f>'Hotel Data'!X5</f>
        <v>14461</v>
      </c>
      <c r="F2" s="34">
        <v>0.1641</v>
      </c>
      <c r="G2" s="41">
        <v>160</v>
      </c>
      <c r="H2" s="34">
        <v>0.4279</v>
      </c>
      <c r="I2" s="41">
        <f>'Hotel Data'!K5</f>
        <v>0</v>
      </c>
      <c r="J2" s="34">
        <v>0.98</v>
      </c>
      <c r="K2" s="34">
        <v>27</v>
      </c>
      <c r="L2" s="34">
        <v>31</v>
      </c>
    </row>
    <row r="3" spans="1:12" s="35" customFormat="1" x14ac:dyDescent="0.25">
      <c r="A3" s="35" t="s">
        <v>41</v>
      </c>
      <c r="B3" s="35">
        <f>B2+1</f>
        <v>2</v>
      </c>
      <c r="C3" s="36">
        <v>8</v>
      </c>
      <c r="D3" s="34">
        <v>2020</v>
      </c>
      <c r="E3" s="41">
        <f>'Hotel Data'!X6</f>
        <v>11658</v>
      </c>
      <c r="F3" s="34">
        <v>0.1641</v>
      </c>
      <c r="G3" s="41">
        <f>'Hotel Data'!E6</f>
        <v>160</v>
      </c>
      <c r="H3" s="34">
        <v>0.4279</v>
      </c>
      <c r="I3" s="41">
        <f>'Hotel Data'!K6</f>
        <v>0</v>
      </c>
      <c r="J3" s="34">
        <v>0.98</v>
      </c>
      <c r="K3" s="34">
        <v>20</v>
      </c>
      <c r="L3" s="34">
        <v>26</v>
      </c>
    </row>
    <row r="4" spans="1:12" s="35" customFormat="1" x14ac:dyDescent="0.25">
      <c r="A4" s="35" t="s">
        <v>41</v>
      </c>
      <c r="B4" s="35">
        <f t="shared" ref="B4:B32" si="0">B3+1</f>
        <v>3</v>
      </c>
      <c r="C4" s="36">
        <v>8</v>
      </c>
      <c r="D4" s="34">
        <v>2020</v>
      </c>
      <c r="E4" s="41">
        <f>'Hotel Data'!X7</f>
        <v>11098</v>
      </c>
      <c r="F4" s="34">
        <v>0.1641</v>
      </c>
      <c r="G4" s="41">
        <f>'Hotel Data'!E7</f>
        <v>169</v>
      </c>
      <c r="H4" s="34">
        <v>0.4279</v>
      </c>
      <c r="I4" s="41">
        <f>'Hotel Data'!K7</f>
        <v>0</v>
      </c>
      <c r="J4" s="34">
        <v>0.98</v>
      </c>
      <c r="K4" s="34">
        <v>23</v>
      </c>
      <c r="L4" s="34">
        <v>37</v>
      </c>
    </row>
    <row r="5" spans="1:12" s="35" customFormat="1" x14ac:dyDescent="0.25">
      <c r="A5" s="35" t="s">
        <v>41</v>
      </c>
      <c r="B5" s="35">
        <f t="shared" si="0"/>
        <v>4</v>
      </c>
      <c r="C5" s="36">
        <v>8</v>
      </c>
      <c r="D5" s="34">
        <v>2020</v>
      </c>
      <c r="E5" s="41">
        <f>'Hotel Data'!X8</f>
        <v>10186</v>
      </c>
      <c r="F5" s="34">
        <v>0.1641</v>
      </c>
      <c r="G5" s="41">
        <f>'Hotel Data'!E8</f>
        <v>171</v>
      </c>
      <c r="H5" s="34">
        <v>0.4279</v>
      </c>
      <c r="I5" s="41">
        <f>'Hotel Data'!K8</f>
        <v>0</v>
      </c>
      <c r="J5" s="34">
        <v>0.98</v>
      </c>
      <c r="K5" s="34">
        <v>22</v>
      </c>
      <c r="L5" s="34">
        <v>41</v>
      </c>
    </row>
    <row r="6" spans="1:12" s="35" customFormat="1" x14ac:dyDescent="0.25">
      <c r="A6" s="35" t="s">
        <v>41</v>
      </c>
      <c r="B6" s="35">
        <f t="shared" si="0"/>
        <v>5</v>
      </c>
      <c r="C6" s="36">
        <v>8</v>
      </c>
      <c r="D6" s="34">
        <v>2020</v>
      </c>
      <c r="E6" s="41">
        <f>'Hotel Data'!X9</f>
        <v>10515</v>
      </c>
      <c r="F6" s="34">
        <v>0.1641</v>
      </c>
      <c r="G6" s="41">
        <f>'Hotel Data'!E9</f>
        <v>172</v>
      </c>
      <c r="H6" s="34">
        <v>0.4279</v>
      </c>
      <c r="I6" s="41">
        <f>'Hotel Data'!K9</f>
        <v>0</v>
      </c>
      <c r="J6" s="34">
        <v>0.98</v>
      </c>
      <c r="K6" s="34">
        <v>22</v>
      </c>
      <c r="L6" s="34">
        <v>41</v>
      </c>
    </row>
    <row r="7" spans="1:12" s="35" customFormat="1" x14ac:dyDescent="0.25">
      <c r="A7" s="35" t="s">
        <v>41</v>
      </c>
      <c r="B7" s="35">
        <f t="shared" si="0"/>
        <v>6</v>
      </c>
      <c r="C7" s="36">
        <v>8</v>
      </c>
      <c r="D7" s="34">
        <v>2020</v>
      </c>
      <c r="E7" s="41">
        <f>'Hotel Data'!X10</f>
        <v>10654</v>
      </c>
      <c r="F7" s="34">
        <v>0.1641</v>
      </c>
      <c r="G7" s="41">
        <f>'Hotel Data'!E10</f>
        <v>176</v>
      </c>
      <c r="H7" s="34">
        <v>0.4279</v>
      </c>
      <c r="I7" s="41">
        <f>'Hotel Data'!K10</f>
        <v>0</v>
      </c>
      <c r="J7" s="34">
        <v>0.98</v>
      </c>
      <c r="K7" s="34">
        <v>9</v>
      </c>
      <c r="L7" s="34">
        <v>16</v>
      </c>
    </row>
    <row r="8" spans="1:12" s="35" customFormat="1" x14ac:dyDescent="0.25">
      <c r="A8" s="35" t="s">
        <v>41</v>
      </c>
      <c r="B8" s="35">
        <f t="shared" si="0"/>
        <v>7</v>
      </c>
      <c r="C8" s="36">
        <v>8</v>
      </c>
      <c r="D8" s="34">
        <v>2020</v>
      </c>
      <c r="E8" s="41">
        <f>'Hotel Data'!X11</f>
        <v>11395</v>
      </c>
      <c r="F8" s="34">
        <v>0.1641</v>
      </c>
      <c r="G8" s="41">
        <f>'Hotel Data'!E11</f>
        <v>157</v>
      </c>
      <c r="H8" s="34">
        <v>0.4279</v>
      </c>
      <c r="I8" s="41">
        <f>'Hotel Data'!K11</f>
        <v>0</v>
      </c>
      <c r="J8" s="34">
        <v>0.98</v>
      </c>
      <c r="K8" s="34">
        <v>20</v>
      </c>
      <c r="L8" s="34">
        <v>38</v>
      </c>
    </row>
    <row r="9" spans="1:12" s="35" customFormat="1" x14ac:dyDescent="0.25">
      <c r="A9" s="35" t="s">
        <v>41</v>
      </c>
      <c r="B9" s="35">
        <f t="shared" si="0"/>
        <v>8</v>
      </c>
      <c r="C9" s="36">
        <v>8</v>
      </c>
      <c r="D9" s="34">
        <v>2020</v>
      </c>
      <c r="E9" s="41">
        <f>'Hotel Data'!X12</f>
        <v>11641</v>
      </c>
      <c r="F9" s="34">
        <v>0.1641</v>
      </c>
      <c r="G9" s="41">
        <f>'Hotel Data'!E12</f>
        <v>142</v>
      </c>
      <c r="H9" s="34">
        <v>0.4279</v>
      </c>
      <c r="I9" s="41">
        <f>'Hotel Data'!K12</f>
        <v>0</v>
      </c>
      <c r="J9" s="34">
        <v>0.98</v>
      </c>
      <c r="K9" s="34">
        <v>19</v>
      </c>
      <c r="L9" s="34">
        <v>32</v>
      </c>
    </row>
    <row r="10" spans="1:12" s="35" customFormat="1" x14ac:dyDescent="0.25">
      <c r="A10" s="35" t="s">
        <v>41</v>
      </c>
      <c r="B10" s="35">
        <f t="shared" si="0"/>
        <v>9</v>
      </c>
      <c r="C10" s="36">
        <v>8</v>
      </c>
      <c r="D10" s="34">
        <v>2020</v>
      </c>
      <c r="E10" s="41">
        <f>'Hotel Data'!X13</f>
        <v>11371</v>
      </c>
      <c r="F10" s="34">
        <v>0.1641</v>
      </c>
      <c r="G10" s="41">
        <f>'Hotel Data'!E13</f>
        <v>155</v>
      </c>
      <c r="H10" s="34">
        <v>0.4279</v>
      </c>
      <c r="I10" s="41">
        <f>'Hotel Data'!K13</f>
        <v>0</v>
      </c>
      <c r="J10" s="34">
        <v>0.98</v>
      </c>
      <c r="K10" s="34">
        <v>15</v>
      </c>
      <c r="L10" s="34">
        <v>28</v>
      </c>
    </row>
    <row r="11" spans="1:12" s="35" customFormat="1" x14ac:dyDescent="0.25">
      <c r="A11" s="35" t="s">
        <v>41</v>
      </c>
      <c r="B11" s="35">
        <f t="shared" si="0"/>
        <v>10</v>
      </c>
      <c r="C11" s="36">
        <v>8</v>
      </c>
      <c r="D11" s="34">
        <v>2020</v>
      </c>
      <c r="E11" s="41">
        <f>'Hotel Data'!X14</f>
        <v>11633</v>
      </c>
      <c r="F11" s="34">
        <v>0.1641</v>
      </c>
      <c r="G11" s="41">
        <f>'Hotel Data'!E14</f>
        <v>128</v>
      </c>
      <c r="H11" s="34">
        <v>0.4279</v>
      </c>
      <c r="I11" s="41">
        <f>'Hotel Data'!K14</f>
        <v>0</v>
      </c>
      <c r="J11" s="34">
        <v>0.98</v>
      </c>
      <c r="K11" s="34">
        <v>10</v>
      </c>
      <c r="L11" s="34">
        <v>20</v>
      </c>
    </row>
    <row r="12" spans="1:12" s="35" customFormat="1" x14ac:dyDescent="0.25">
      <c r="A12" s="35" t="s">
        <v>41</v>
      </c>
      <c r="B12" s="35">
        <f t="shared" si="0"/>
        <v>11</v>
      </c>
      <c r="C12" s="36">
        <v>8</v>
      </c>
      <c r="D12" s="34">
        <v>2020</v>
      </c>
      <c r="E12" s="41">
        <f>'Hotel Data'!X15</f>
        <v>11804</v>
      </c>
      <c r="F12" s="34">
        <v>0.1641</v>
      </c>
      <c r="G12" s="41">
        <f>'Hotel Data'!E15</f>
        <v>135</v>
      </c>
      <c r="H12" s="34">
        <v>0.4279</v>
      </c>
      <c r="I12" s="41">
        <f>'Hotel Data'!K15</f>
        <v>0</v>
      </c>
      <c r="J12" s="34">
        <v>0.98</v>
      </c>
      <c r="K12" s="34">
        <v>16</v>
      </c>
      <c r="L12" s="34">
        <v>19</v>
      </c>
    </row>
    <row r="13" spans="1:12" s="35" customFormat="1" x14ac:dyDescent="0.25">
      <c r="A13" s="35" t="s">
        <v>41</v>
      </c>
      <c r="B13" s="35">
        <f t="shared" si="0"/>
        <v>12</v>
      </c>
      <c r="C13" s="36">
        <v>8</v>
      </c>
      <c r="D13" s="34">
        <v>2020</v>
      </c>
      <c r="E13" s="41">
        <f>'Hotel Data'!X16</f>
        <v>12153</v>
      </c>
      <c r="F13" s="34">
        <v>0.1641</v>
      </c>
      <c r="G13" s="41">
        <f>'Hotel Data'!E16</f>
        <v>142</v>
      </c>
      <c r="H13" s="34">
        <v>0.4279</v>
      </c>
      <c r="I13" s="41">
        <f>'Hotel Data'!K16</f>
        <v>0</v>
      </c>
      <c r="J13" s="34">
        <v>0.98</v>
      </c>
      <c r="K13" s="34">
        <v>16</v>
      </c>
      <c r="L13" s="34">
        <v>26</v>
      </c>
    </row>
    <row r="14" spans="1:12" s="35" customFormat="1" x14ac:dyDescent="0.25">
      <c r="A14" s="35" t="s">
        <v>41</v>
      </c>
      <c r="B14" s="35">
        <f t="shared" si="0"/>
        <v>13</v>
      </c>
      <c r="C14" s="36">
        <v>8</v>
      </c>
      <c r="D14" s="34">
        <v>2020</v>
      </c>
      <c r="E14" s="41">
        <f>'Hotel Data'!X17</f>
        <v>11876</v>
      </c>
      <c r="F14" s="34">
        <v>0.1641</v>
      </c>
      <c r="G14" s="41">
        <f>'Hotel Data'!E17</f>
        <v>146</v>
      </c>
      <c r="H14" s="34">
        <v>0.4279</v>
      </c>
      <c r="I14" s="41">
        <f>'Hotel Data'!K17</f>
        <v>0</v>
      </c>
      <c r="J14" s="34">
        <v>0.98</v>
      </c>
      <c r="K14" s="34">
        <v>16</v>
      </c>
      <c r="L14" s="34">
        <v>19</v>
      </c>
    </row>
    <row r="15" spans="1:12" s="35" customFormat="1" x14ac:dyDescent="0.25">
      <c r="A15" s="35" t="s">
        <v>41</v>
      </c>
      <c r="B15" s="35">
        <f t="shared" si="0"/>
        <v>14</v>
      </c>
      <c r="C15" s="36">
        <v>8</v>
      </c>
      <c r="D15" s="34">
        <v>2020</v>
      </c>
      <c r="E15" s="41">
        <f>'Hotel Data'!X18</f>
        <v>12266</v>
      </c>
      <c r="F15" s="34">
        <v>0.1641</v>
      </c>
      <c r="G15" s="41">
        <f>'Hotel Data'!E18</f>
        <v>144</v>
      </c>
      <c r="H15" s="34">
        <v>0.4279</v>
      </c>
      <c r="I15" s="41">
        <f>'Hotel Data'!K18</f>
        <v>0</v>
      </c>
      <c r="J15" s="34">
        <v>0.98</v>
      </c>
      <c r="K15" s="34">
        <v>16</v>
      </c>
      <c r="L15" s="34">
        <v>26</v>
      </c>
    </row>
    <row r="16" spans="1:12" s="35" customFormat="1" x14ac:dyDescent="0.25">
      <c r="A16" s="35" t="s">
        <v>41</v>
      </c>
      <c r="B16" s="35">
        <f t="shared" si="0"/>
        <v>15</v>
      </c>
      <c r="C16" s="36">
        <v>8</v>
      </c>
      <c r="D16" s="34">
        <v>2020</v>
      </c>
      <c r="E16" s="41">
        <f>'Hotel Data'!X19</f>
        <v>11849</v>
      </c>
      <c r="F16" s="34">
        <v>0.1641</v>
      </c>
      <c r="G16" s="41">
        <f>'Hotel Data'!E19</f>
        <v>141</v>
      </c>
      <c r="H16" s="34">
        <v>0.4279</v>
      </c>
      <c r="I16" s="41">
        <f>'Hotel Data'!K19</f>
        <v>0</v>
      </c>
      <c r="J16" s="34">
        <v>0.98</v>
      </c>
      <c r="K16" s="34">
        <v>17</v>
      </c>
      <c r="L16" s="34">
        <v>25</v>
      </c>
    </row>
    <row r="17" spans="1:12" s="35" customFormat="1" x14ac:dyDescent="0.25">
      <c r="A17" s="35" t="s">
        <v>41</v>
      </c>
      <c r="B17" s="35">
        <f t="shared" si="0"/>
        <v>16</v>
      </c>
      <c r="C17" s="36">
        <v>8</v>
      </c>
      <c r="D17" s="34">
        <v>2020</v>
      </c>
      <c r="E17" s="41">
        <f>'Hotel Data'!X20</f>
        <v>12389</v>
      </c>
      <c r="F17" s="34">
        <v>0.1641</v>
      </c>
      <c r="G17" s="41">
        <f>'Hotel Data'!E20</f>
        <v>153</v>
      </c>
      <c r="H17" s="34">
        <v>0.4279</v>
      </c>
      <c r="I17" s="41">
        <f>'Hotel Data'!K20</f>
        <v>0</v>
      </c>
      <c r="J17" s="34">
        <v>0.98</v>
      </c>
      <c r="K17" s="34">
        <v>10</v>
      </c>
      <c r="L17" s="34">
        <v>17</v>
      </c>
    </row>
    <row r="18" spans="1:12" s="35" customFormat="1" x14ac:dyDescent="0.25">
      <c r="A18" s="35" t="s">
        <v>41</v>
      </c>
      <c r="B18" s="35">
        <f t="shared" si="0"/>
        <v>17</v>
      </c>
      <c r="C18" s="36">
        <v>8</v>
      </c>
      <c r="D18" s="34">
        <v>2020</v>
      </c>
      <c r="E18" s="41">
        <f>'Hotel Data'!X21</f>
        <v>12142</v>
      </c>
      <c r="F18" s="34">
        <v>0.1641</v>
      </c>
      <c r="G18" s="41">
        <f>'Hotel Data'!E21</f>
        <v>139</v>
      </c>
      <c r="H18" s="34">
        <v>0.4279</v>
      </c>
      <c r="I18" s="41">
        <f>'Hotel Data'!K21</f>
        <v>0</v>
      </c>
      <c r="J18" s="34">
        <v>0.98</v>
      </c>
      <c r="K18" s="34">
        <v>21</v>
      </c>
      <c r="L18" s="34">
        <v>45</v>
      </c>
    </row>
    <row r="19" spans="1:12" s="35" customFormat="1" x14ac:dyDescent="0.25">
      <c r="A19" s="35" t="s">
        <v>41</v>
      </c>
      <c r="B19" s="35">
        <f t="shared" si="0"/>
        <v>18</v>
      </c>
      <c r="C19" s="36">
        <v>8</v>
      </c>
      <c r="D19" s="34">
        <v>2020</v>
      </c>
      <c r="E19" s="41">
        <f>'Hotel Data'!X22</f>
        <v>11984</v>
      </c>
      <c r="F19" s="34">
        <v>0.1641</v>
      </c>
      <c r="G19" s="41">
        <f>'Hotel Data'!E22</f>
        <v>136</v>
      </c>
      <c r="H19" s="34">
        <v>0.4279</v>
      </c>
      <c r="I19" s="41">
        <f>'Hotel Data'!K22</f>
        <v>0</v>
      </c>
      <c r="J19" s="34">
        <v>0.98</v>
      </c>
      <c r="K19" s="34">
        <v>11</v>
      </c>
      <c r="L19" s="34">
        <v>26</v>
      </c>
    </row>
    <row r="20" spans="1:12" s="35" customFormat="1" x14ac:dyDescent="0.25">
      <c r="A20" s="35" t="s">
        <v>41</v>
      </c>
      <c r="B20" s="35">
        <f t="shared" si="0"/>
        <v>19</v>
      </c>
      <c r="C20" s="36">
        <v>8</v>
      </c>
      <c r="D20" s="34">
        <v>2020</v>
      </c>
      <c r="E20" s="41">
        <f>'Hotel Data'!X23</f>
        <v>11882</v>
      </c>
      <c r="F20" s="34">
        <v>0.1641</v>
      </c>
      <c r="G20" s="41">
        <f>'Hotel Data'!E23</f>
        <v>141</v>
      </c>
      <c r="H20" s="34">
        <v>0.4279</v>
      </c>
      <c r="I20" s="41">
        <f>'Hotel Data'!K23</f>
        <v>0</v>
      </c>
      <c r="J20" s="34">
        <v>0.98</v>
      </c>
      <c r="K20" s="34">
        <v>31</v>
      </c>
      <c r="L20" s="34">
        <v>55</v>
      </c>
    </row>
    <row r="21" spans="1:12" s="35" customFormat="1" x14ac:dyDescent="0.25">
      <c r="A21" s="35" t="s">
        <v>41</v>
      </c>
      <c r="B21" s="35">
        <f t="shared" si="0"/>
        <v>20</v>
      </c>
      <c r="C21" s="36">
        <v>8</v>
      </c>
      <c r="D21" s="34">
        <v>2020</v>
      </c>
      <c r="E21" s="41">
        <f>'Hotel Data'!X24</f>
        <v>12515</v>
      </c>
      <c r="F21" s="34">
        <v>0.1641</v>
      </c>
      <c r="G21" s="41">
        <f>'Hotel Data'!E24</f>
        <v>144</v>
      </c>
      <c r="H21" s="34">
        <v>0.4279</v>
      </c>
      <c r="I21" s="41">
        <f>'Hotel Data'!K24</f>
        <v>0</v>
      </c>
      <c r="J21" s="34">
        <v>0.98</v>
      </c>
      <c r="K21" s="34">
        <v>30</v>
      </c>
      <c r="L21" s="34">
        <v>50</v>
      </c>
    </row>
    <row r="22" spans="1:12" s="35" customFormat="1" x14ac:dyDescent="0.25">
      <c r="A22" s="35" t="s">
        <v>41</v>
      </c>
      <c r="B22" s="35">
        <f t="shared" si="0"/>
        <v>21</v>
      </c>
      <c r="C22" s="36">
        <v>8</v>
      </c>
      <c r="D22" s="34">
        <v>2020</v>
      </c>
      <c r="E22" s="41">
        <f>'Hotel Data'!X25</f>
        <v>12632</v>
      </c>
      <c r="F22" s="34">
        <v>0.1641</v>
      </c>
      <c r="G22" s="41">
        <f>'Hotel Data'!E25</f>
        <v>135</v>
      </c>
      <c r="H22" s="34">
        <v>0.4279</v>
      </c>
      <c r="I22" s="41">
        <f>'Hotel Data'!K25</f>
        <v>0</v>
      </c>
      <c r="J22" s="34">
        <v>0.98</v>
      </c>
      <c r="K22" s="34">
        <v>29</v>
      </c>
      <c r="L22" s="34">
        <v>50</v>
      </c>
    </row>
    <row r="23" spans="1:12" s="35" customFormat="1" x14ac:dyDescent="0.25">
      <c r="A23" s="35" t="s">
        <v>41</v>
      </c>
      <c r="B23" s="35">
        <f t="shared" si="0"/>
        <v>22</v>
      </c>
      <c r="C23" s="36">
        <v>8</v>
      </c>
      <c r="D23" s="34">
        <v>2020</v>
      </c>
      <c r="E23" s="41">
        <f>'Hotel Data'!X26</f>
        <v>12336</v>
      </c>
      <c r="F23" s="34">
        <v>0.1641</v>
      </c>
      <c r="G23" s="41">
        <f>'Hotel Data'!E26</f>
        <v>143</v>
      </c>
      <c r="H23" s="34">
        <v>0.4279</v>
      </c>
      <c r="I23" s="41">
        <f>'Hotel Data'!K26</f>
        <v>0</v>
      </c>
      <c r="J23" s="34">
        <v>0.98</v>
      </c>
      <c r="K23" s="34">
        <v>28</v>
      </c>
      <c r="L23" s="34">
        <v>49</v>
      </c>
    </row>
    <row r="24" spans="1:12" s="35" customFormat="1" x14ac:dyDescent="0.25">
      <c r="A24" s="35" t="s">
        <v>41</v>
      </c>
      <c r="B24" s="35">
        <f t="shared" si="0"/>
        <v>23</v>
      </c>
      <c r="C24" s="36">
        <v>8</v>
      </c>
      <c r="D24" s="34">
        <v>2020</v>
      </c>
      <c r="E24" s="41">
        <f>'Hotel Data'!X27</f>
        <v>12049</v>
      </c>
      <c r="F24" s="34">
        <v>0.1641</v>
      </c>
      <c r="G24" s="41">
        <f>'Hotel Data'!E27</f>
        <v>132</v>
      </c>
      <c r="H24" s="34">
        <v>0.4279</v>
      </c>
      <c r="I24" s="41">
        <f>'Hotel Data'!K27</f>
        <v>0</v>
      </c>
      <c r="J24" s="34">
        <v>0.98</v>
      </c>
      <c r="K24" s="34">
        <v>28</v>
      </c>
      <c r="L24" s="34">
        <v>49</v>
      </c>
    </row>
    <row r="25" spans="1:12" s="35" customFormat="1" x14ac:dyDescent="0.25">
      <c r="A25" s="35" t="s">
        <v>41</v>
      </c>
      <c r="B25" s="35">
        <f t="shared" si="0"/>
        <v>24</v>
      </c>
      <c r="C25" s="36">
        <v>8</v>
      </c>
      <c r="D25" s="34">
        <v>2020</v>
      </c>
      <c r="E25" s="41">
        <f>'Hotel Data'!X28</f>
        <v>0</v>
      </c>
      <c r="F25" s="34">
        <v>0.1641</v>
      </c>
      <c r="G25" s="41">
        <f>'Hotel Data'!E28</f>
        <v>0</v>
      </c>
      <c r="H25" s="34">
        <v>0.4279</v>
      </c>
      <c r="I25" s="41">
        <f>'Hotel Data'!K28</f>
        <v>0</v>
      </c>
      <c r="J25" s="34">
        <v>0.98</v>
      </c>
      <c r="K25" s="34"/>
      <c r="L25" s="34"/>
    </row>
    <row r="26" spans="1:12" s="35" customFormat="1" x14ac:dyDescent="0.25">
      <c r="A26" s="35" t="s">
        <v>41</v>
      </c>
      <c r="B26" s="35">
        <f>B25+1</f>
        <v>25</v>
      </c>
      <c r="C26" s="36">
        <v>8</v>
      </c>
      <c r="D26" s="34">
        <v>2020</v>
      </c>
      <c r="E26" s="41">
        <f>'Hotel Data'!X29</f>
        <v>0</v>
      </c>
      <c r="F26" s="34">
        <v>0.1641</v>
      </c>
      <c r="G26" s="41">
        <f>'Hotel Data'!E29</f>
        <v>0</v>
      </c>
      <c r="H26" s="34">
        <v>0.4279</v>
      </c>
      <c r="I26" s="41">
        <f>'Hotel Data'!K29</f>
        <v>0</v>
      </c>
      <c r="J26" s="34">
        <v>0.98</v>
      </c>
      <c r="K26" s="34"/>
      <c r="L26" s="34"/>
    </row>
    <row r="27" spans="1:12" s="35" customFormat="1" x14ac:dyDescent="0.25">
      <c r="A27" s="35" t="s">
        <v>41</v>
      </c>
      <c r="B27" s="35">
        <f t="shared" si="0"/>
        <v>26</v>
      </c>
      <c r="C27" s="36">
        <v>8</v>
      </c>
      <c r="D27" s="34">
        <v>2020</v>
      </c>
      <c r="E27" s="41">
        <f>'Hotel Data'!X30</f>
        <v>0</v>
      </c>
      <c r="F27" s="34">
        <v>0.1641</v>
      </c>
      <c r="G27" s="41">
        <f>'Hotel Data'!E30</f>
        <v>0</v>
      </c>
      <c r="H27" s="34">
        <v>0.4279</v>
      </c>
      <c r="I27" s="41">
        <f>'Hotel Data'!K30</f>
        <v>0</v>
      </c>
      <c r="J27" s="34">
        <v>0.98</v>
      </c>
      <c r="K27" s="34"/>
      <c r="L27" s="34"/>
    </row>
    <row r="28" spans="1:12" s="35" customFormat="1" x14ac:dyDescent="0.25">
      <c r="A28" s="35" t="s">
        <v>41</v>
      </c>
      <c r="B28" s="35">
        <f t="shared" si="0"/>
        <v>27</v>
      </c>
      <c r="C28" s="36">
        <v>8</v>
      </c>
      <c r="D28" s="34">
        <v>2020</v>
      </c>
      <c r="E28" s="41">
        <f>'Hotel Data'!X31</f>
        <v>0</v>
      </c>
      <c r="F28" s="34">
        <v>0.1641</v>
      </c>
      <c r="G28" s="41">
        <f>'Hotel Data'!E31</f>
        <v>0</v>
      </c>
      <c r="H28" s="34">
        <v>0.4279</v>
      </c>
      <c r="I28" s="41">
        <f>'Hotel Data'!K31</f>
        <v>0</v>
      </c>
      <c r="J28" s="34">
        <v>0.98</v>
      </c>
      <c r="K28" s="34"/>
      <c r="L28" s="34"/>
    </row>
    <row r="29" spans="1:12" s="35" customFormat="1" x14ac:dyDescent="0.25">
      <c r="A29" s="35" t="s">
        <v>41</v>
      </c>
      <c r="B29" s="35">
        <f t="shared" si="0"/>
        <v>28</v>
      </c>
      <c r="C29" s="36">
        <v>8</v>
      </c>
      <c r="D29" s="34">
        <v>2020</v>
      </c>
      <c r="E29" s="41">
        <f>'Hotel Data'!X32</f>
        <v>0</v>
      </c>
      <c r="F29" s="34">
        <v>0.1641</v>
      </c>
      <c r="G29" s="41">
        <f>'Hotel Data'!E32</f>
        <v>0</v>
      </c>
      <c r="H29" s="34">
        <v>0.4279</v>
      </c>
      <c r="I29" s="41">
        <f>'Hotel Data'!K32</f>
        <v>0</v>
      </c>
      <c r="J29" s="34">
        <v>0.98</v>
      </c>
      <c r="K29" s="34"/>
      <c r="L29" s="34"/>
    </row>
    <row r="30" spans="1:12" s="35" customFormat="1" x14ac:dyDescent="0.25">
      <c r="A30" s="35" t="s">
        <v>41</v>
      </c>
      <c r="B30" s="35">
        <f t="shared" si="0"/>
        <v>29</v>
      </c>
      <c r="C30" s="36">
        <v>8</v>
      </c>
      <c r="D30" s="34">
        <v>2020</v>
      </c>
      <c r="E30" s="41">
        <f>'Hotel Data'!X33</f>
        <v>0</v>
      </c>
      <c r="F30" s="34">
        <v>0.1641</v>
      </c>
      <c r="G30" s="41">
        <f>'Hotel Data'!E33</f>
        <v>0</v>
      </c>
      <c r="H30" s="34">
        <v>0.4279</v>
      </c>
      <c r="I30" s="41">
        <f>'Hotel Data'!K33</f>
        <v>0</v>
      </c>
      <c r="J30" s="34">
        <v>0.98</v>
      </c>
      <c r="K30" s="34"/>
      <c r="L30" s="34"/>
    </row>
    <row r="31" spans="1:12" s="34" customFormat="1" x14ac:dyDescent="0.25">
      <c r="A31" s="34" t="s">
        <v>41</v>
      </c>
      <c r="B31" s="35">
        <f t="shared" si="0"/>
        <v>30</v>
      </c>
      <c r="C31" s="36">
        <v>8</v>
      </c>
      <c r="D31" s="34">
        <v>2020</v>
      </c>
      <c r="E31" s="41">
        <f>'Hotel Data'!X34</f>
        <v>0</v>
      </c>
      <c r="F31" s="34">
        <v>0.1641</v>
      </c>
      <c r="G31" s="41">
        <f>'Hotel Data'!E34</f>
        <v>0</v>
      </c>
      <c r="H31" s="34">
        <v>0.4279</v>
      </c>
      <c r="I31" s="41">
        <f>'Hotel Data'!K34</f>
        <v>0</v>
      </c>
      <c r="J31" s="34">
        <v>0.98</v>
      </c>
    </row>
    <row r="32" spans="1:12" s="34" customFormat="1" x14ac:dyDescent="0.25">
      <c r="A32" s="34" t="s">
        <v>41</v>
      </c>
      <c r="B32" s="35">
        <f t="shared" si="0"/>
        <v>31</v>
      </c>
      <c r="C32" s="36">
        <v>8</v>
      </c>
      <c r="D32" s="34">
        <v>2020</v>
      </c>
      <c r="E32" s="41">
        <f>'Hotel Data'!X35</f>
        <v>0</v>
      </c>
      <c r="F32" s="34">
        <v>0.1641</v>
      </c>
      <c r="G32" s="41">
        <f>'Hotel Data'!E35</f>
        <v>0</v>
      </c>
      <c r="H32" s="34">
        <v>0.4279</v>
      </c>
      <c r="I32" s="41">
        <f>'Hotel Data'!K35</f>
        <v>0</v>
      </c>
      <c r="J32" s="34">
        <v>0.98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3"/>
  <sheetViews>
    <sheetView workbookViewId="0">
      <selection activeCell="R24" sqref="R24"/>
    </sheetView>
  </sheetViews>
  <sheetFormatPr defaultColWidth="11.5703125" defaultRowHeight="15" x14ac:dyDescent="0.25"/>
  <cols>
    <col min="4" max="4" width="13.42578125" customWidth="1"/>
    <col min="5" max="5" width="13" style="28" customWidth="1"/>
    <col min="6" max="6" width="12.5703125" customWidth="1"/>
    <col min="7" max="7" width="13" style="28" customWidth="1"/>
    <col min="12" max="12" width="11.5703125" style="28"/>
    <col min="15" max="15" width="14" customWidth="1"/>
  </cols>
  <sheetData>
    <row r="1" spans="1:16" s="32" customFormat="1" ht="45" x14ac:dyDescent="0.25">
      <c r="A1" s="32" t="s">
        <v>32</v>
      </c>
      <c r="B1" s="32" t="s">
        <v>33</v>
      </c>
      <c r="C1" s="32" t="s">
        <v>34</v>
      </c>
      <c r="D1" s="32" t="s">
        <v>35</v>
      </c>
      <c r="E1" s="29" t="s">
        <v>51</v>
      </c>
      <c r="F1" s="29" t="s">
        <v>42</v>
      </c>
      <c r="G1" s="29" t="s">
        <v>43</v>
      </c>
      <c r="H1" s="30" t="s">
        <v>44</v>
      </c>
      <c r="I1" s="30" t="s">
        <v>45</v>
      </c>
      <c r="J1" s="30" t="s">
        <v>46</v>
      </c>
      <c r="K1" s="30" t="s">
        <v>47</v>
      </c>
      <c r="L1" s="29" t="s">
        <v>48</v>
      </c>
      <c r="M1" s="30" t="s">
        <v>49</v>
      </c>
      <c r="N1" s="30" t="s">
        <v>50</v>
      </c>
      <c r="O1" s="31" t="s">
        <v>52</v>
      </c>
      <c r="P1" s="31" t="s">
        <v>39</v>
      </c>
    </row>
    <row r="2" spans="1:16" s="32" customFormat="1" x14ac:dyDescent="0.25">
      <c r="E2" s="29"/>
      <c r="F2" s="29"/>
      <c r="G2" s="29"/>
      <c r="H2" s="30"/>
      <c r="I2" s="30"/>
      <c r="J2" s="30"/>
      <c r="K2" s="30"/>
      <c r="L2" s="29"/>
      <c r="M2" s="30"/>
      <c r="N2" s="30"/>
      <c r="O2" s="31"/>
      <c r="P2" s="31"/>
    </row>
    <row r="3" spans="1:16" s="34" customFormat="1" x14ac:dyDescent="0.25">
      <c r="A3" s="34" t="s">
        <v>41</v>
      </c>
      <c r="B3" s="34">
        <v>1</v>
      </c>
      <c r="C3" s="36">
        <v>8</v>
      </c>
      <c r="D3" s="34">
        <v>2020</v>
      </c>
      <c r="E3" s="39">
        <f>'Hotel Data'!E5</f>
        <v>987</v>
      </c>
      <c r="F3" s="39">
        <f>'Hotel Data'!G5</f>
        <v>0.77000000000043656</v>
      </c>
      <c r="G3" s="39">
        <f>'Hotel Data'!O5</f>
        <v>200</v>
      </c>
      <c r="H3" s="39">
        <f>'Hotel Data'!Q5</f>
        <v>37</v>
      </c>
      <c r="I3" s="39">
        <f>'Hotel Data'!S5</f>
        <v>0</v>
      </c>
      <c r="J3" s="39">
        <f>'Hotel Data'!U5</f>
        <v>72</v>
      </c>
      <c r="K3" s="39">
        <f>'Hotel Data'!AD5</f>
        <v>211</v>
      </c>
      <c r="L3" s="39">
        <f>'Hotel Data'!AG5</f>
        <v>817</v>
      </c>
      <c r="M3" s="39">
        <f>'Hotel Data'!AJ5</f>
        <v>96</v>
      </c>
      <c r="N3" s="39">
        <f>'Hotel Data'!AN5</f>
        <v>82</v>
      </c>
      <c r="O3" s="39">
        <f>'Hotel Data'!AR5</f>
        <v>104</v>
      </c>
      <c r="P3" s="35">
        <f>TOTAL!K2</f>
        <v>27</v>
      </c>
    </row>
    <row r="4" spans="1:16" s="35" customFormat="1" x14ac:dyDescent="0.25">
      <c r="A4" s="35" t="s">
        <v>41</v>
      </c>
      <c r="B4" s="35">
        <f>B3+1</f>
        <v>2</v>
      </c>
      <c r="C4" s="36">
        <v>8</v>
      </c>
      <c r="D4" s="34">
        <v>2020</v>
      </c>
      <c r="E4" s="39">
        <f>'Hotel Data'!E6</f>
        <v>160</v>
      </c>
      <c r="F4" s="39">
        <f>'Hotel Data'!G6</f>
        <v>1.3299999999999272</v>
      </c>
      <c r="G4" s="39">
        <f>'Hotel Data'!O6</f>
        <v>28</v>
      </c>
      <c r="H4" s="39">
        <f>'Hotel Data'!Q6</f>
        <v>6</v>
      </c>
      <c r="I4" s="39">
        <f>'Hotel Data'!S6</f>
        <v>0</v>
      </c>
      <c r="J4" s="39">
        <f>'Hotel Data'!U6</f>
        <v>17</v>
      </c>
      <c r="K4" s="39">
        <f>'Hotel Data'!AD6</f>
        <v>210</v>
      </c>
      <c r="L4" s="39">
        <f>'Hotel Data'!AG6</f>
        <v>887</v>
      </c>
      <c r="M4" s="39">
        <f>'Hotel Data'!AJ6</f>
        <v>112</v>
      </c>
      <c r="N4" s="39">
        <f>'Hotel Data'!AN6</f>
        <v>79</v>
      </c>
      <c r="O4" s="39">
        <f>'Hotel Data'!AR6</f>
        <v>128</v>
      </c>
      <c r="P4" s="35">
        <f>TOTAL!K3</f>
        <v>20</v>
      </c>
    </row>
    <row r="5" spans="1:16" s="35" customFormat="1" x14ac:dyDescent="0.25">
      <c r="A5" s="35" t="s">
        <v>41</v>
      </c>
      <c r="B5" s="35">
        <f t="shared" ref="B5:B33" si="0">B4+1</f>
        <v>3</v>
      </c>
      <c r="C5" s="36">
        <v>8</v>
      </c>
      <c r="D5" s="34">
        <v>2020</v>
      </c>
      <c r="E5" s="39">
        <f>'Hotel Data'!E7</f>
        <v>169</v>
      </c>
      <c r="F5" s="39">
        <f>'Hotel Data'!G7</f>
        <v>0</v>
      </c>
      <c r="G5" s="39">
        <f>'Hotel Data'!O7</f>
        <v>23</v>
      </c>
      <c r="H5" s="39">
        <f>'Hotel Data'!Q7</f>
        <v>7</v>
      </c>
      <c r="I5" s="39">
        <f>'Hotel Data'!S7</f>
        <v>0</v>
      </c>
      <c r="J5" s="39">
        <f>'Hotel Data'!U7</f>
        <v>14</v>
      </c>
      <c r="K5" s="39">
        <f>'Hotel Data'!AD7</f>
        <v>217</v>
      </c>
      <c r="L5" s="39">
        <f>'Hotel Data'!AG7</f>
        <v>907</v>
      </c>
      <c r="M5" s="39">
        <f>'Hotel Data'!AJ7</f>
        <v>128</v>
      </c>
      <c r="N5" s="39">
        <f>'Hotel Data'!AN7</f>
        <v>77</v>
      </c>
      <c r="O5" s="39">
        <f>'Hotel Data'!AR7</f>
        <v>80</v>
      </c>
      <c r="P5" s="35">
        <f>TOTAL!K4</f>
        <v>23</v>
      </c>
    </row>
    <row r="6" spans="1:16" s="35" customFormat="1" x14ac:dyDescent="0.25">
      <c r="A6" s="35" t="s">
        <v>41</v>
      </c>
      <c r="B6" s="35">
        <f t="shared" si="0"/>
        <v>4</v>
      </c>
      <c r="C6" s="36">
        <v>8</v>
      </c>
      <c r="D6" s="34">
        <v>2020</v>
      </c>
      <c r="E6" s="39">
        <f>'Hotel Data'!E8</f>
        <v>171</v>
      </c>
      <c r="F6" s="39">
        <f>'Hotel Data'!G8</f>
        <v>0</v>
      </c>
      <c r="G6" s="39">
        <f>'Hotel Data'!O8</f>
        <v>24</v>
      </c>
      <c r="H6" s="39">
        <f>'Hotel Data'!Q8</f>
        <v>6</v>
      </c>
      <c r="I6" s="39">
        <f>'Hotel Data'!S8</f>
        <v>0</v>
      </c>
      <c r="J6" s="39">
        <f>'Hotel Data'!U8</f>
        <v>18</v>
      </c>
      <c r="K6" s="39">
        <f>'Hotel Data'!AD8</f>
        <v>219</v>
      </c>
      <c r="L6" s="39">
        <f>'Hotel Data'!AG8</f>
        <v>1085</v>
      </c>
      <c r="M6" s="39">
        <f>'Hotel Data'!AJ8</f>
        <v>112</v>
      </c>
      <c r="N6" s="39">
        <f>'Hotel Data'!AN8</f>
        <v>79</v>
      </c>
      <c r="O6" s="39">
        <f>'Hotel Data'!AR8</f>
        <v>80</v>
      </c>
      <c r="P6" s="35">
        <f>TOTAL!K5</f>
        <v>22</v>
      </c>
    </row>
    <row r="7" spans="1:16" s="35" customFormat="1" x14ac:dyDescent="0.25">
      <c r="A7" s="35" t="s">
        <v>41</v>
      </c>
      <c r="B7" s="35">
        <f t="shared" si="0"/>
        <v>5</v>
      </c>
      <c r="C7" s="36">
        <v>8</v>
      </c>
      <c r="D7" s="34">
        <v>2020</v>
      </c>
      <c r="E7" s="39">
        <f>'Hotel Data'!E9</f>
        <v>172</v>
      </c>
      <c r="F7" s="39">
        <f>'Hotel Data'!G9</f>
        <v>-0.43999999999959982</v>
      </c>
      <c r="G7" s="39">
        <f>'Hotel Data'!O9</f>
        <v>25</v>
      </c>
      <c r="H7" s="39">
        <f>'Hotel Data'!Q9</f>
        <v>12</v>
      </c>
      <c r="I7" s="39">
        <f>'Hotel Data'!S9</f>
        <v>0</v>
      </c>
      <c r="J7" s="39">
        <f>'Hotel Data'!U9</f>
        <v>23</v>
      </c>
      <c r="K7" s="39">
        <f>'Hotel Data'!AD9</f>
        <v>233</v>
      </c>
      <c r="L7" s="39">
        <f>'Hotel Data'!AG9</f>
        <v>982</v>
      </c>
      <c r="M7" s="39">
        <f>'Hotel Data'!AJ9</f>
        <v>80</v>
      </c>
      <c r="N7" s="39">
        <f>'Hotel Data'!AN9</f>
        <v>218</v>
      </c>
      <c r="O7" s="39">
        <f>'Hotel Data'!AR9</f>
        <v>88</v>
      </c>
      <c r="P7" s="35">
        <f>TOTAL!K6</f>
        <v>22</v>
      </c>
    </row>
    <row r="8" spans="1:16" s="35" customFormat="1" x14ac:dyDescent="0.25">
      <c r="A8" s="35" t="s">
        <v>41</v>
      </c>
      <c r="B8" s="35">
        <f t="shared" si="0"/>
        <v>6</v>
      </c>
      <c r="C8" s="36">
        <v>8</v>
      </c>
      <c r="D8" s="34">
        <v>2020</v>
      </c>
      <c r="E8" s="39">
        <f>'Hotel Data'!E10</f>
        <v>176</v>
      </c>
      <c r="F8" s="39">
        <f>'Hotel Data'!G10</f>
        <v>0</v>
      </c>
      <c r="G8" s="39">
        <f>'Hotel Data'!O10</f>
        <v>28</v>
      </c>
      <c r="H8" s="39">
        <f>'Hotel Data'!Q10</f>
        <v>30</v>
      </c>
      <c r="I8" s="39">
        <f>'Hotel Data'!S10</f>
        <v>0</v>
      </c>
      <c r="J8" s="39">
        <f>'Hotel Data'!U10</f>
        <v>47</v>
      </c>
      <c r="K8" s="39">
        <f>'Hotel Data'!AD10</f>
        <v>228</v>
      </c>
      <c r="L8" s="39">
        <f>'Hotel Data'!AG10</f>
        <v>887</v>
      </c>
      <c r="M8" s="39">
        <f>'Hotel Data'!AJ10</f>
        <v>80</v>
      </c>
      <c r="N8" s="39">
        <f>'Hotel Data'!AN10</f>
        <v>100</v>
      </c>
      <c r="O8" s="39">
        <f>'Hotel Data'!AR10</f>
        <v>80</v>
      </c>
      <c r="P8" s="35">
        <f>TOTAL!K7</f>
        <v>9</v>
      </c>
    </row>
    <row r="9" spans="1:16" s="35" customFormat="1" x14ac:dyDescent="0.25">
      <c r="A9" s="35" t="s">
        <v>41</v>
      </c>
      <c r="B9" s="35">
        <f t="shared" si="0"/>
        <v>7</v>
      </c>
      <c r="C9" s="36">
        <v>8</v>
      </c>
      <c r="D9" s="34">
        <v>2020</v>
      </c>
      <c r="E9" s="39">
        <f>'Hotel Data'!E11</f>
        <v>157</v>
      </c>
      <c r="F9" s="39">
        <f>'Hotel Data'!G11</f>
        <v>0.43999999999959982</v>
      </c>
      <c r="G9" s="39">
        <f>'Hotel Data'!O11</f>
        <v>27</v>
      </c>
      <c r="H9" s="39">
        <f>'Hotel Data'!Q11</f>
        <v>35</v>
      </c>
      <c r="I9" s="39">
        <f>'Hotel Data'!S11</f>
        <v>0</v>
      </c>
      <c r="J9" s="39">
        <f>'Hotel Data'!U11</f>
        <v>46</v>
      </c>
      <c r="K9" s="39">
        <f>'Hotel Data'!AD11</f>
        <v>239</v>
      </c>
      <c r="L9" s="39">
        <f>'Hotel Data'!AG11</f>
        <v>867</v>
      </c>
      <c r="M9" s="39">
        <f>'Hotel Data'!AJ11</f>
        <v>120</v>
      </c>
      <c r="N9" s="39">
        <f>'Hotel Data'!AN11</f>
        <v>129</v>
      </c>
      <c r="O9" s="39">
        <f>'Hotel Data'!AR11</f>
        <v>128</v>
      </c>
      <c r="P9" s="35">
        <f>TOTAL!K8</f>
        <v>20</v>
      </c>
    </row>
    <row r="10" spans="1:16" s="35" customFormat="1" x14ac:dyDescent="0.25">
      <c r="A10" s="35" t="s">
        <v>41</v>
      </c>
      <c r="B10" s="35">
        <f t="shared" si="0"/>
        <v>8</v>
      </c>
      <c r="C10" s="36">
        <v>8</v>
      </c>
      <c r="D10" s="34">
        <v>2020</v>
      </c>
      <c r="E10" s="39">
        <f>'Hotel Data'!E12</f>
        <v>142</v>
      </c>
      <c r="F10" s="39">
        <f>'Hotel Data'!G12</f>
        <v>0</v>
      </c>
      <c r="G10" s="39">
        <f>'Hotel Data'!O12</f>
        <v>28</v>
      </c>
      <c r="H10" s="39">
        <f>'Hotel Data'!Q12</f>
        <v>34</v>
      </c>
      <c r="I10" s="39">
        <f>'Hotel Data'!S12</f>
        <v>0</v>
      </c>
      <c r="J10" s="39">
        <f>'Hotel Data'!U12</f>
        <v>49</v>
      </c>
      <c r="K10" s="39">
        <f>'Hotel Data'!AD12</f>
        <v>229</v>
      </c>
      <c r="L10" s="39">
        <f>'Hotel Data'!AG12</f>
        <v>873</v>
      </c>
      <c r="M10" s="39">
        <f>'Hotel Data'!AJ12</f>
        <v>96</v>
      </c>
      <c r="N10" s="39">
        <f>'Hotel Data'!AN12</f>
        <v>77</v>
      </c>
      <c r="O10" s="39">
        <f>'Hotel Data'!AR12</f>
        <v>72</v>
      </c>
      <c r="P10" s="35">
        <f>TOTAL!K9</f>
        <v>19</v>
      </c>
    </row>
    <row r="11" spans="1:16" s="35" customFormat="1" x14ac:dyDescent="0.25">
      <c r="A11" s="35" t="s">
        <v>41</v>
      </c>
      <c r="B11" s="35">
        <f t="shared" si="0"/>
        <v>9</v>
      </c>
      <c r="C11" s="36">
        <v>8</v>
      </c>
      <c r="D11" s="34">
        <v>2020</v>
      </c>
      <c r="E11" s="39">
        <f>'Hotel Data'!E13</f>
        <v>155</v>
      </c>
      <c r="F11" s="39">
        <f>'Hotel Data'!G13</f>
        <v>0</v>
      </c>
      <c r="G11" s="39">
        <f>'Hotel Data'!O13</f>
        <v>29</v>
      </c>
      <c r="H11" s="39">
        <f>'Hotel Data'!Q13</f>
        <v>37</v>
      </c>
      <c r="I11" s="39">
        <f>'Hotel Data'!S13</f>
        <v>0</v>
      </c>
      <c r="J11" s="39">
        <f>'Hotel Data'!U13</f>
        <v>50</v>
      </c>
      <c r="K11" s="39">
        <f>'Hotel Data'!AD13</f>
        <v>219</v>
      </c>
      <c r="L11" s="39">
        <f>'Hotel Data'!AG13</f>
        <v>682</v>
      </c>
      <c r="M11" s="39">
        <f>'Hotel Data'!AJ13</f>
        <v>88</v>
      </c>
      <c r="N11" s="39">
        <f>'Hotel Data'!AN13</f>
        <v>78</v>
      </c>
      <c r="O11" s="39">
        <f>'Hotel Data'!AR13</f>
        <v>80</v>
      </c>
      <c r="P11" s="35">
        <f>TOTAL!K10</f>
        <v>15</v>
      </c>
    </row>
    <row r="12" spans="1:16" s="35" customFormat="1" x14ac:dyDescent="0.25">
      <c r="A12" s="35" t="s">
        <v>41</v>
      </c>
      <c r="B12" s="35">
        <f t="shared" si="0"/>
        <v>10</v>
      </c>
      <c r="C12" s="36">
        <v>8</v>
      </c>
      <c r="D12" s="34">
        <v>2020</v>
      </c>
      <c r="E12" s="39">
        <f>'Hotel Data'!E14</f>
        <v>128</v>
      </c>
      <c r="F12" s="39">
        <f>'Hotel Data'!G14</f>
        <v>0</v>
      </c>
      <c r="G12" s="39">
        <f>'Hotel Data'!O14</f>
        <v>31</v>
      </c>
      <c r="H12" s="39">
        <f>'Hotel Data'!Q14</f>
        <v>35</v>
      </c>
      <c r="I12" s="39">
        <f>'Hotel Data'!S14</f>
        <v>0</v>
      </c>
      <c r="J12" s="39">
        <f>'Hotel Data'!U14</f>
        <v>41</v>
      </c>
      <c r="K12" s="39">
        <f>'Hotel Data'!AD14</f>
        <v>232</v>
      </c>
      <c r="L12" s="39">
        <f>'Hotel Data'!AG14</f>
        <v>707</v>
      </c>
      <c r="M12" s="39">
        <f>'Hotel Data'!AJ14</f>
        <v>88</v>
      </c>
      <c r="N12" s="39">
        <f>'Hotel Data'!AN14</f>
        <v>79</v>
      </c>
      <c r="O12" s="39">
        <f>'Hotel Data'!AR14</f>
        <v>48</v>
      </c>
      <c r="P12" s="35">
        <f>TOTAL!K11</f>
        <v>10</v>
      </c>
    </row>
    <row r="13" spans="1:16" s="35" customFormat="1" x14ac:dyDescent="0.25">
      <c r="A13" s="35" t="s">
        <v>41</v>
      </c>
      <c r="B13" s="35">
        <f t="shared" si="0"/>
        <v>11</v>
      </c>
      <c r="C13" s="36">
        <v>8</v>
      </c>
      <c r="D13" s="34">
        <v>2020</v>
      </c>
      <c r="E13" s="39">
        <f>'Hotel Data'!E15</f>
        <v>135</v>
      </c>
      <c r="F13" s="39">
        <f>'Hotel Data'!G15</f>
        <v>0</v>
      </c>
      <c r="G13" s="39">
        <f>'Hotel Data'!O15</f>
        <v>29</v>
      </c>
      <c r="H13" s="39">
        <f>'Hotel Data'!Q15</f>
        <v>36</v>
      </c>
      <c r="I13" s="39">
        <f>'Hotel Data'!S15</f>
        <v>0</v>
      </c>
      <c r="J13" s="39">
        <f>'Hotel Data'!U15</f>
        <v>50</v>
      </c>
      <c r="K13" s="39">
        <f>'Hotel Data'!AD15</f>
        <v>242</v>
      </c>
      <c r="L13" s="39">
        <f>'Hotel Data'!AG15</f>
        <v>804</v>
      </c>
      <c r="M13" s="39">
        <f>'Hotel Data'!AJ15</f>
        <v>104</v>
      </c>
      <c r="N13" s="39">
        <f>'Hotel Data'!AN15</f>
        <v>78</v>
      </c>
      <c r="O13" s="39">
        <f>'Hotel Data'!AR15</f>
        <v>88</v>
      </c>
      <c r="P13" s="35">
        <f>TOTAL!K12</f>
        <v>16</v>
      </c>
    </row>
    <row r="14" spans="1:16" s="35" customFormat="1" x14ac:dyDescent="0.25">
      <c r="A14" s="35" t="s">
        <v>41</v>
      </c>
      <c r="B14" s="35">
        <f t="shared" si="0"/>
        <v>12</v>
      </c>
      <c r="C14" s="36">
        <v>8</v>
      </c>
      <c r="D14" s="34">
        <v>2020</v>
      </c>
      <c r="E14" s="39">
        <f>'Hotel Data'!E16</f>
        <v>142</v>
      </c>
      <c r="F14" s="39">
        <f>'Hotel Data'!G16</f>
        <v>0</v>
      </c>
      <c r="G14" s="39">
        <f>'Hotel Data'!O16</f>
        <v>30</v>
      </c>
      <c r="H14" s="39">
        <f>'Hotel Data'!Q16</f>
        <v>37</v>
      </c>
      <c r="I14" s="39">
        <f>'Hotel Data'!S16</f>
        <v>1</v>
      </c>
      <c r="J14" s="39">
        <f>'Hotel Data'!U16</f>
        <v>51</v>
      </c>
      <c r="K14" s="39">
        <f>'Hotel Data'!AD16</f>
        <v>244</v>
      </c>
      <c r="L14" s="39">
        <f>'Hotel Data'!AG16</f>
        <v>872</v>
      </c>
      <c r="M14" s="39">
        <f>'Hotel Data'!AJ16</f>
        <v>96</v>
      </c>
      <c r="N14" s="39">
        <f>'Hotel Data'!AN16</f>
        <v>97</v>
      </c>
      <c r="O14" s="39">
        <f>'Hotel Data'!AR16</f>
        <v>56</v>
      </c>
      <c r="P14" s="35">
        <f>TOTAL!K13</f>
        <v>16</v>
      </c>
    </row>
    <row r="15" spans="1:16" s="35" customFormat="1" x14ac:dyDescent="0.25">
      <c r="A15" s="35" t="s">
        <v>41</v>
      </c>
      <c r="B15" s="35">
        <f t="shared" si="0"/>
        <v>13</v>
      </c>
      <c r="C15" s="36">
        <v>8</v>
      </c>
      <c r="D15" s="34">
        <v>2020</v>
      </c>
      <c r="E15" s="39">
        <f>'Hotel Data'!E17</f>
        <v>146</v>
      </c>
      <c r="F15" s="39">
        <f>'Hotel Data'!G17</f>
        <v>0</v>
      </c>
      <c r="G15" s="39">
        <f>'Hotel Data'!O17</f>
        <v>27</v>
      </c>
      <c r="H15" s="39">
        <f>'Hotel Data'!Q17</f>
        <v>23</v>
      </c>
      <c r="I15" s="39">
        <f>'Hotel Data'!S17</f>
        <v>0</v>
      </c>
      <c r="J15" s="39">
        <f>'Hotel Data'!U17</f>
        <v>40</v>
      </c>
      <c r="K15" s="39">
        <f>'Hotel Data'!AD17</f>
        <v>243</v>
      </c>
      <c r="L15" s="39">
        <f>'Hotel Data'!AG17</f>
        <v>790</v>
      </c>
      <c r="M15" s="39">
        <f>'Hotel Data'!AJ17</f>
        <v>88</v>
      </c>
      <c r="N15" s="39">
        <f>'Hotel Data'!AN17</f>
        <v>77</v>
      </c>
      <c r="O15" s="39">
        <f>'Hotel Data'!AR17</f>
        <v>96</v>
      </c>
      <c r="P15" s="35">
        <f>TOTAL!K14</f>
        <v>16</v>
      </c>
    </row>
    <row r="16" spans="1:16" s="35" customFormat="1" x14ac:dyDescent="0.25">
      <c r="A16" s="35" t="s">
        <v>41</v>
      </c>
      <c r="B16" s="35">
        <f t="shared" si="0"/>
        <v>14</v>
      </c>
      <c r="C16" s="36">
        <v>8</v>
      </c>
      <c r="D16" s="34">
        <v>2020</v>
      </c>
      <c r="E16" s="39">
        <f>'Hotel Data'!E18</f>
        <v>144</v>
      </c>
      <c r="F16" s="39">
        <f>'Hotel Data'!G18</f>
        <v>0</v>
      </c>
      <c r="G16" s="39">
        <f>'Hotel Data'!O18</f>
        <v>28</v>
      </c>
      <c r="H16" s="39">
        <f>'Hotel Data'!Q18</f>
        <v>32</v>
      </c>
      <c r="I16" s="39">
        <f>'Hotel Data'!S18</f>
        <v>0</v>
      </c>
      <c r="J16" s="39">
        <f>'Hotel Data'!U18</f>
        <v>49</v>
      </c>
      <c r="K16" s="39">
        <f>'Hotel Data'!AD18</f>
        <v>225</v>
      </c>
      <c r="L16" s="39">
        <f>'Hotel Data'!AG18</f>
        <v>968</v>
      </c>
      <c r="M16" s="39">
        <f>'Hotel Data'!AJ18</f>
        <v>120</v>
      </c>
      <c r="N16" s="39">
        <f>'Hotel Data'!AN18</f>
        <v>82</v>
      </c>
      <c r="O16" s="39">
        <f>'Hotel Data'!AR18</f>
        <v>104</v>
      </c>
      <c r="P16" s="35">
        <f>TOTAL!K15</f>
        <v>16</v>
      </c>
    </row>
    <row r="17" spans="1:16" s="35" customFormat="1" x14ac:dyDescent="0.25">
      <c r="A17" s="35" t="s">
        <v>41</v>
      </c>
      <c r="B17" s="35">
        <f t="shared" si="0"/>
        <v>15</v>
      </c>
      <c r="C17" s="36">
        <v>8</v>
      </c>
      <c r="D17" s="34">
        <v>2020</v>
      </c>
      <c r="E17" s="39">
        <f>'Hotel Data'!E19</f>
        <v>141</v>
      </c>
      <c r="F17" s="39">
        <f>'Hotel Data'!G19</f>
        <v>0</v>
      </c>
      <c r="G17" s="39">
        <f>'Hotel Data'!O19</f>
        <v>26</v>
      </c>
      <c r="H17" s="39">
        <f>'Hotel Data'!Q19</f>
        <v>33</v>
      </c>
      <c r="I17" s="39">
        <f>'Hotel Data'!S19</f>
        <v>0</v>
      </c>
      <c r="J17" s="39">
        <f>'Hotel Data'!U19</f>
        <v>46</v>
      </c>
      <c r="K17" s="39">
        <f>'Hotel Data'!AD19</f>
        <v>218</v>
      </c>
      <c r="L17" s="39">
        <f>'Hotel Data'!AG19</f>
        <v>808</v>
      </c>
      <c r="M17" s="39">
        <f>'Hotel Data'!AJ19</f>
        <v>88</v>
      </c>
      <c r="N17" s="39">
        <f>'Hotel Data'!AN19</f>
        <v>81</v>
      </c>
      <c r="O17" s="39">
        <f>'Hotel Data'!AR19</f>
        <v>104</v>
      </c>
      <c r="P17" s="35">
        <f>TOTAL!K16</f>
        <v>17</v>
      </c>
    </row>
    <row r="18" spans="1:16" s="35" customFormat="1" x14ac:dyDescent="0.25">
      <c r="A18" s="35" t="s">
        <v>41</v>
      </c>
      <c r="B18" s="35">
        <f t="shared" si="0"/>
        <v>16</v>
      </c>
      <c r="C18" s="36">
        <v>8</v>
      </c>
      <c r="D18" s="34">
        <v>2020</v>
      </c>
      <c r="E18" s="39">
        <f>'Hotel Data'!E20</f>
        <v>153</v>
      </c>
      <c r="F18" s="39">
        <f>'Hotel Data'!G20</f>
        <v>0</v>
      </c>
      <c r="G18" s="39">
        <f>'Hotel Data'!O20</f>
        <v>27</v>
      </c>
      <c r="H18" s="39">
        <f>'Hotel Data'!Q20</f>
        <v>35</v>
      </c>
      <c r="I18" s="39">
        <f>'Hotel Data'!S20</f>
        <v>0</v>
      </c>
      <c r="J18" s="39">
        <f>'Hotel Data'!U20</f>
        <v>48</v>
      </c>
      <c r="K18" s="39">
        <f>'Hotel Data'!AD20</f>
        <v>242</v>
      </c>
      <c r="L18" s="39">
        <f>'Hotel Data'!AG20</f>
        <v>801</v>
      </c>
      <c r="M18" s="39">
        <f>'Hotel Data'!AJ20</f>
        <v>120</v>
      </c>
      <c r="N18" s="39">
        <f>'Hotel Data'!AN20</f>
        <v>80</v>
      </c>
      <c r="O18" s="39">
        <f>'Hotel Data'!AR20</f>
        <v>120</v>
      </c>
      <c r="P18" s="35">
        <f>TOTAL!K17</f>
        <v>10</v>
      </c>
    </row>
    <row r="19" spans="1:16" s="35" customFormat="1" x14ac:dyDescent="0.25">
      <c r="A19" s="35" t="s">
        <v>41</v>
      </c>
      <c r="B19" s="35">
        <f t="shared" si="0"/>
        <v>17</v>
      </c>
      <c r="C19" s="36">
        <v>8</v>
      </c>
      <c r="D19" s="34">
        <v>2020</v>
      </c>
      <c r="E19" s="39">
        <f>'Hotel Data'!E21</f>
        <v>139</v>
      </c>
      <c r="F19" s="39">
        <f>'Hotel Data'!G21</f>
        <v>-0.13000000000010914</v>
      </c>
      <c r="G19" s="39">
        <f>'Hotel Data'!O21</f>
        <v>27</v>
      </c>
      <c r="H19" s="39">
        <f>'Hotel Data'!Q21</f>
        <v>39</v>
      </c>
      <c r="I19" s="39">
        <f>'Hotel Data'!S21</f>
        <v>0</v>
      </c>
      <c r="J19" s="39">
        <f>'Hotel Data'!U21</f>
        <v>49</v>
      </c>
      <c r="K19" s="39">
        <f>'Hotel Data'!AD21</f>
        <v>252</v>
      </c>
      <c r="L19" s="39">
        <f>'Hotel Data'!AG21</f>
        <v>902</v>
      </c>
      <c r="M19" s="39">
        <f>'Hotel Data'!AJ21</f>
        <v>96</v>
      </c>
      <c r="N19" s="39">
        <f>'Hotel Data'!AN21</f>
        <v>75</v>
      </c>
      <c r="O19" s="39">
        <f>'Hotel Data'!AR21</f>
        <v>152</v>
      </c>
      <c r="P19" s="35">
        <f>TOTAL!K18</f>
        <v>21</v>
      </c>
    </row>
    <row r="20" spans="1:16" s="35" customFormat="1" x14ac:dyDescent="0.25">
      <c r="A20" s="35" t="s">
        <v>41</v>
      </c>
      <c r="B20" s="35">
        <f t="shared" si="0"/>
        <v>18</v>
      </c>
      <c r="C20" s="36">
        <v>8</v>
      </c>
      <c r="D20" s="34">
        <v>2020</v>
      </c>
      <c r="E20" s="39">
        <f>'Hotel Data'!E22</f>
        <v>136</v>
      </c>
      <c r="F20" s="39">
        <f>'Hotel Data'!G22</f>
        <v>0.13000000000010914</v>
      </c>
      <c r="G20" s="39">
        <f>'Hotel Data'!O22</f>
        <v>25</v>
      </c>
      <c r="H20" s="39">
        <f>'Hotel Data'!Q22</f>
        <v>36</v>
      </c>
      <c r="I20" s="39">
        <f>'Hotel Data'!S22</f>
        <v>0</v>
      </c>
      <c r="J20" s="39">
        <f>'Hotel Data'!U22</f>
        <v>45</v>
      </c>
      <c r="K20" s="39">
        <f>'Hotel Data'!AD22</f>
        <v>251</v>
      </c>
      <c r="L20" s="39">
        <f>'Hotel Data'!AG22</f>
        <v>870</v>
      </c>
      <c r="M20" s="39">
        <f>'Hotel Data'!AJ22</f>
        <v>160</v>
      </c>
      <c r="N20" s="39">
        <f>'Hotel Data'!AN22</f>
        <v>79</v>
      </c>
      <c r="O20" s="39">
        <f>'Hotel Data'!AR22</f>
        <v>264</v>
      </c>
      <c r="P20" s="35">
        <f>TOTAL!K19</f>
        <v>11</v>
      </c>
    </row>
    <row r="21" spans="1:16" s="35" customFormat="1" x14ac:dyDescent="0.25">
      <c r="A21" s="35" t="s">
        <v>41</v>
      </c>
      <c r="B21" s="35">
        <f t="shared" si="0"/>
        <v>19</v>
      </c>
      <c r="C21" s="36">
        <v>8</v>
      </c>
      <c r="D21" s="34">
        <v>2020</v>
      </c>
      <c r="E21" s="39">
        <f>'Hotel Data'!E23</f>
        <v>141</v>
      </c>
      <c r="F21" s="39">
        <f>'Hotel Data'!G23</f>
        <v>0</v>
      </c>
      <c r="G21" s="39">
        <f>'Hotel Data'!O23</f>
        <v>26</v>
      </c>
      <c r="H21" s="39">
        <f>'Hotel Data'!Q23</f>
        <v>38</v>
      </c>
      <c r="I21" s="39">
        <f>'Hotel Data'!S23</f>
        <v>0</v>
      </c>
      <c r="J21" s="39">
        <f>'Hotel Data'!U23</f>
        <v>50</v>
      </c>
      <c r="K21" s="39">
        <f>'Hotel Data'!AD23</f>
        <v>246</v>
      </c>
      <c r="L21" s="39">
        <f>'Hotel Data'!AG23</f>
        <v>948</v>
      </c>
      <c r="M21" s="39">
        <f>'Hotel Data'!AJ23</f>
        <v>120</v>
      </c>
      <c r="N21" s="39">
        <f>'Hotel Data'!AN23</f>
        <v>212</v>
      </c>
      <c r="O21" s="39">
        <f>'Hotel Data'!AR23</f>
        <v>168</v>
      </c>
      <c r="P21" s="35">
        <f>TOTAL!K20</f>
        <v>31</v>
      </c>
    </row>
    <row r="22" spans="1:16" s="35" customFormat="1" x14ac:dyDescent="0.25">
      <c r="A22" s="35" t="s">
        <v>41</v>
      </c>
      <c r="B22" s="35">
        <f t="shared" si="0"/>
        <v>20</v>
      </c>
      <c r="C22" s="36">
        <v>8</v>
      </c>
      <c r="D22" s="34">
        <v>2020</v>
      </c>
      <c r="E22" s="39">
        <f>'Hotel Data'!E24</f>
        <v>144</v>
      </c>
      <c r="F22" s="39">
        <f>'Hotel Data'!G24</f>
        <v>1</v>
      </c>
      <c r="G22" s="39">
        <f>'Hotel Data'!O24</f>
        <v>27</v>
      </c>
      <c r="H22" s="39">
        <f>'Hotel Data'!Q24</f>
        <v>42</v>
      </c>
      <c r="I22" s="39">
        <f>'Hotel Data'!S24</f>
        <v>1</v>
      </c>
      <c r="J22" s="39">
        <f>'Hotel Data'!U24</f>
        <v>60</v>
      </c>
      <c r="K22" s="39">
        <f>'Hotel Data'!AD24</f>
        <v>240</v>
      </c>
      <c r="L22" s="39">
        <f>'Hotel Data'!AG24</f>
        <v>969</v>
      </c>
      <c r="M22" s="39">
        <f>'Hotel Data'!AJ24</f>
        <v>128</v>
      </c>
      <c r="N22" s="39">
        <f>'Hotel Data'!AN24</f>
        <v>210</v>
      </c>
      <c r="O22" s="39">
        <f>'Hotel Data'!AR24</f>
        <v>192</v>
      </c>
      <c r="P22" s="35">
        <f>TOTAL!K21</f>
        <v>30</v>
      </c>
    </row>
    <row r="23" spans="1:16" s="35" customFormat="1" x14ac:dyDescent="0.25">
      <c r="A23" s="35" t="s">
        <v>41</v>
      </c>
      <c r="B23" s="35">
        <f t="shared" si="0"/>
        <v>21</v>
      </c>
      <c r="C23" s="36">
        <v>8</v>
      </c>
      <c r="D23" s="34">
        <v>2020</v>
      </c>
      <c r="E23" s="39">
        <f>'Hotel Data'!E25</f>
        <v>135</v>
      </c>
      <c r="F23" s="39">
        <f>'Hotel Data'!G25</f>
        <v>0</v>
      </c>
      <c r="G23" s="39">
        <f>'Hotel Data'!O25</f>
        <v>27</v>
      </c>
      <c r="H23" s="39">
        <f>'Hotel Data'!Q25</f>
        <v>40</v>
      </c>
      <c r="I23" s="39">
        <f>'Hotel Data'!S25</f>
        <v>1</v>
      </c>
      <c r="J23" s="39">
        <f>'Hotel Data'!U25</f>
        <v>47</v>
      </c>
      <c r="K23" s="39">
        <f>'Hotel Data'!AD25</f>
        <v>253</v>
      </c>
      <c r="L23" s="39">
        <f>'Hotel Data'!AG25</f>
        <v>856</v>
      </c>
      <c r="M23" s="39">
        <f>'Hotel Data'!AJ25</f>
        <v>112</v>
      </c>
      <c r="N23" s="39">
        <f>'Hotel Data'!AN25</f>
        <v>255</v>
      </c>
      <c r="O23" s="39">
        <f>'Hotel Data'!AR25</f>
        <v>232</v>
      </c>
      <c r="P23" s="35">
        <f>TOTAL!K22</f>
        <v>29</v>
      </c>
    </row>
    <row r="24" spans="1:16" s="35" customFormat="1" x14ac:dyDescent="0.25">
      <c r="A24" s="35" t="s">
        <v>41</v>
      </c>
      <c r="B24" s="35">
        <f t="shared" si="0"/>
        <v>22</v>
      </c>
      <c r="C24" s="36">
        <v>8</v>
      </c>
      <c r="D24" s="34">
        <v>2020</v>
      </c>
      <c r="E24" s="39">
        <f>'Hotel Data'!E26</f>
        <v>143</v>
      </c>
      <c r="F24" s="39">
        <f>'Hotel Data'!G26</f>
        <v>2</v>
      </c>
      <c r="G24" s="39">
        <f>'Hotel Data'!O26</f>
        <v>23</v>
      </c>
      <c r="H24" s="39">
        <f>'Hotel Data'!Q26</f>
        <v>44</v>
      </c>
      <c r="I24" s="39">
        <f>'Hotel Data'!S26</f>
        <v>0</v>
      </c>
      <c r="J24" s="39">
        <f>'Hotel Data'!U26</f>
        <v>53</v>
      </c>
      <c r="K24" s="39">
        <f>'Hotel Data'!AD26</f>
        <v>240</v>
      </c>
      <c r="L24" s="39">
        <f>'Hotel Data'!AG26</f>
        <v>816</v>
      </c>
      <c r="M24" s="39">
        <f>'Hotel Data'!AJ26</f>
        <v>120</v>
      </c>
      <c r="N24" s="39">
        <f>'Hotel Data'!AN26</f>
        <v>217</v>
      </c>
      <c r="O24" s="39">
        <f>'Hotel Data'!AR26</f>
        <v>232</v>
      </c>
      <c r="P24" s="35">
        <f>TOTAL!K23</f>
        <v>28</v>
      </c>
    </row>
    <row r="25" spans="1:16" s="35" customFormat="1" x14ac:dyDescent="0.25">
      <c r="A25" s="35" t="s">
        <v>41</v>
      </c>
      <c r="B25" s="35">
        <f t="shared" si="0"/>
        <v>23</v>
      </c>
      <c r="C25" s="36">
        <v>8</v>
      </c>
      <c r="D25" s="34">
        <v>2020</v>
      </c>
      <c r="E25" s="39">
        <f>'Hotel Data'!E27</f>
        <v>132</v>
      </c>
      <c r="F25" s="39">
        <f>'Hotel Data'!G27</f>
        <v>0</v>
      </c>
      <c r="G25" s="39">
        <f>'Hotel Data'!O27</f>
        <v>24</v>
      </c>
      <c r="H25" s="39">
        <f>'Hotel Data'!Q27</f>
        <v>39</v>
      </c>
      <c r="I25" s="39">
        <f>'Hotel Data'!S27</f>
        <v>0</v>
      </c>
      <c r="J25" s="39">
        <f>'Hotel Data'!U27</f>
        <v>46</v>
      </c>
      <c r="K25" s="39">
        <f>'Hotel Data'!AD27</f>
        <v>233</v>
      </c>
      <c r="L25" s="39">
        <f>'Hotel Data'!AG27</f>
        <v>830</v>
      </c>
      <c r="M25" s="39">
        <f>'Hotel Data'!AJ27</f>
        <v>88</v>
      </c>
      <c r="N25" s="39">
        <f>'Hotel Data'!AN27</f>
        <v>226</v>
      </c>
      <c r="O25" s="39">
        <f>'Hotel Data'!AR27</f>
        <v>192</v>
      </c>
      <c r="P25" s="35">
        <f>TOTAL!K24</f>
        <v>28</v>
      </c>
    </row>
    <row r="26" spans="1:16" s="35" customFormat="1" x14ac:dyDescent="0.25">
      <c r="A26" s="35" t="s">
        <v>41</v>
      </c>
      <c r="B26" s="35">
        <f t="shared" si="0"/>
        <v>24</v>
      </c>
      <c r="C26" s="36">
        <v>8</v>
      </c>
      <c r="D26" s="34">
        <v>2020</v>
      </c>
      <c r="E26" s="39">
        <f>'Hotel Data'!E28</f>
        <v>0</v>
      </c>
      <c r="F26" s="39">
        <f>'Hotel Data'!G28</f>
        <v>0</v>
      </c>
      <c r="G26" s="39">
        <f>'Hotel Data'!O28</f>
        <v>0</v>
      </c>
      <c r="H26" s="39">
        <f>'Hotel Data'!Q28</f>
        <v>0</v>
      </c>
      <c r="I26" s="39">
        <f>'Hotel Data'!S28</f>
        <v>0</v>
      </c>
      <c r="J26" s="39">
        <f>'Hotel Data'!U28</f>
        <v>0</v>
      </c>
      <c r="K26" s="39">
        <f>'Hotel Data'!AD28</f>
        <v>0</v>
      </c>
      <c r="L26" s="39">
        <f>'Hotel Data'!AG28</f>
        <v>0</v>
      </c>
      <c r="M26" s="39">
        <f>'Hotel Data'!AJ28</f>
        <v>0</v>
      </c>
      <c r="N26" s="39">
        <f>'Hotel Data'!AN28</f>
        <v>0</v>
      </c>
      <c r="O26" s="39">
        <f>'Hotel Data'!AR28</f>
        <v>0</v>
      </c>
      <c r="P26" s="35">
        <f>TOTAL!K25</f>
        <v>0</v>
      </c>
    </row>
    <row r="27" spans="1:16" s="35" customFormat="1" x14ac:dyDescent="0.25">
      <c r="A27" s="35" t="s">
        <v>41</v>
      </c>
      <c r="B27" s="35">
        <f>B26+1</f>
        <v>25</v>
      </c>
      <c r="C27" s="36">
        <v>8</v>
      </c>
      <c r="D27" s="34">
        <v>2020</v>
      </c>
      <c r="E27" s="39">
        <f>'Hotel Data'!E29</f>
        <v>0</v>
      </c>
      <c r="F27" s="39">
        <f>'Hotel Data'!G29</f>
        <v>0</v>
      </c>
      <c r="G27" s="39">
        <f>'Hotel Data'!O29</f>
        <v>0</v>
      </c>
      <c r="H27" s="39">
        <f>'Hotel Data'!Q29</f>
        <v>0</v>
      </c>
      <c r="I27" s="39">
        <f>'Hotel Data'!S29</f>
        <v>0</v>
      </c>
      <c r="J27" s="39">
        <f>'Hotel Data'!U29</f>
        <v>0</v>
      </c>
      <c r="K27" s="39">
        <f>'Hotel Data'!AD29</f>
        <v>0</v>
      </c>
      <c r="L27" s="39">
        <f>'Hotel Data'!AG29</f>
        <v>0</v>
      </c>
      <c r="M27" s="39">
        <f>'Hotel Data'!AJ29</f>
        <v>0</v>
      </c>
      <c r="N27" s="39">
        <f>'Hotel Data'!AN29</f>
        <v>0</v>
      </c>
      <c r="O27" s="39">
        <f>'Hotel Data'!AR29</f>
        <v>0</v>
      </c>
      <c r="P27" s="35">
        <f>TOTAL!K26</f>
        <v>0</v>
      </c>
    </row>
    <row r="28" spans="1:16" s="35" customFormat="1" x14ac:dyDescent="0.25">
      <c r="A28" s="35" t="s">
        <v>41</v>
      </c>
      <c r="B28" s="35">
        <f t="shared" si="0"/>
        <v>26</v>
      </c>
      <c r="C28" s="36">
        <v>8</v>
      </c>
      <c r="D28" s="34">
        <v>2020</v>
      </c>
      <c r="E28" s="39">
        <f>'Hotel Data'!E30</f>
        <v>0</v>
      </c>
      <c r="F28" s="39">
        <f>'Hotel Data'!G30</f>
        <v>0</v>
      </c>
      <c r="G28" s="39">
        <f>'Hotel Data'!O30</f>
        <v>0</v>
      </c>
      <c r="H28" s="39">
        <f>'Hotel Data'!Q30</f>
        <v>0</v>
      </c>
      <c r="I28" s="39">
        <f>'Hotel Data'!S30</f>
        <v>0</v>
      </c>
      <c r="J28" s="39">
        <f>'Hotel Data'!U30</f>
        <v>0</v>
      </c>
      <c r="K28" s="39">
        <f>'Hotel Data'!AD30</f>
        <v>0</v>
      </c>
      <c r="L28" s="39">
        <f>'Hotel Data'!AG30</f>
        <v>0</v>
      </c>
      <c r="M28" s="39">
        <f>'Hotel Data'!AJ30</f>
        <v>0</v>
      </c>
      <c r="N28" s="39">
        <f>'Hotel Data'!AN30</f>
        <v>0</v>
      </c>
      <c r="O28" s="39">
        <f>'Hotel Data'!AR30</f>
        <v>0</v>
      </c>
      <c r="P28" s="35">
        <f>TOTAL!K27</f>
        <v>0</v>
      </c>
    </row>
    <row r="29" spans="1:16" s="35" customFormat="1" x14ac:dyDescent="0.25">
      <c r="A29" s="35" t="s">
        <v>41</v>
      </c>
      <c r="B29" s="35">
        <f t="shared" si="0"/>
        <v>27</v>
      </c>
      <c r="C29" s="36">
        <v>8</v>
      </c>
      <c r="D29" s="34">
        <v>2020</v>
      </c>
      <c r="E29" s="39">
        <f>'Hotel Data'!E31</f>
        <v>0</v>
      </c>
      <c r="F29" s="39">
        <f>'Hotel Data'!G31</f>
        <v>0</v>
      </c>
      <c r="G29" s="39">
        <f>'Hotel Data'!O31</f>
        <v>0</v>
      </c>
      <c r="H29" s="39">
        <f>'Hotel Data'!Q31</f>
        <v>0</v>
      </c>
      <c r="I29" s="39">
        <f>'Hotel Data'!S31</f>
        <v>0</v>
      </c>
      <c r="J29" s="39">
        <f>'Hotel Data'!U31</f>
        <v>0</v>
      </c>
      <c r="K29" s="39">
        <f>'Hotel Data'!AD31</f>
        <v>0</v>
      </c>
      <c r="L29" s="39">
        <f>'Hotel Data'!AG31</f>
        <v>0</v>
      </c>
      <c r="M29" s="39">
        <f>'Hotel Data'!AJ31</f>
        <v>0</v>
      </c>
      <c r="N29" s="39">
        <f>'Hotel Data'!AN31</f>
        <v>0</v>
      </c>
      <c r="O29" s="39">
        <f>'Hotel Data'!AR31</f>
        <v>0</v>
      </c>
      <c r="P29" s="35">
        <f>TOTAL!K28</f>
        <v>0</v>
      </c>
    </row>
    <row r="30" spans="1:16" s="35" customFormat="1" x14ac:dyDescent="0.25">
      <c r="A30" s="35" t="s">
        <v>41</v>
      </c>
      <c r="B30" s="35">
        <f t="shared" si="0"/>
        <v>28</v>
      </c>
      <c r="C30" s="36">
        <v>8</v>
      </c>
      <c r="D30" s="34">
        <v>2020</v>
      </c>
      <c r="E30" s="39">
        <f>'Hotel Data'!E32</f>
        <v>0</v>
      </c>
      <c r="F30" s="39">
        <f>'Hotel Data'!G32</f>
        <v>0</v>
      </c>
      <c r="G30" s="39">
        <f>'Hotel Data'!O32</f>
        <v>0</v>
      </c>
      <c r="H30" s="39">
        <f>'Hotel Data'!Q32</f>
        <v>0</v>
      </c>
      <c r="I30" s="39">
        <f>'Hotel Data'!S32</f>
        <v>0</v>
      </c>
      <c r="J30" s="39">
        <f>'Hotel Data'!U32</f>
        <v>0</v>
      </c>
      <c r="K30" s="39">
        <f>'Hotel Data'!AD32</f>
        <v>0</v>
      </c>
      <c r="L30" s="39">
        <f>'Hotel Data'!AG32</f>
        <v>0</v>
      </c>
      <c r="M30" s="39">
        <f>'Hotel Data'!AJ32</f>
        <v>0</v>
      </c>
      <c r="N30" s="39">
        <f>'Hotel Data'!AN32</f>
        <v>0</v>
      </c>
      <c r="O30" s="39">
        <f>'Hotel Data'!AR32</f>
        <v>0</v>
      </c>
      <c r="P30" s="35">
        <f>TOTAL!K29</f>
        <v>0</v>
      </c>
    </row>
    <row r="31" spans="1:16" s="35" customFormat="1" x14ac:dyDescent="0.25">
      <c r="A31" s="35" t="s">
        <v>41</v>
      </c>
      <c r="B31" s="35">
        <f t="shared" si="0"/>
        <v>29</v>
      </c>
      <c r="C31" s="36">
        <v>8</v>
      </c>
      <c r="D31" s="34">
        <v>2020</v>
      </c>
      <c r="E31" s="39">
        <f>'Hotel Data'!E33</f>
        <v>0</v>
      </c>
      <c r="F31" s="39">
        <f>'Hotel Data'!G33</f>
        <v>0</v>
      </c>
      <c r="G31" s="39">
        <f>'Hotel Data'!O33</f>
        <v>0</v>
      </c>
      <c r="H31" s="39">
        <f>'Hotel Data'!Q33</f>
        <v>0</v>
      </c>
      <c r="I31" s="39">
        <f>'Hotel Data'!S33</f>
        <v>0</v>
      </c>
      <c r="J31" s="39">
        <f>'Hotel Data'!U33</f>
        <v>0</v>
      </c>
      <c r="K31" s="39">
        <f>'Hotel Data'!AD33</f>
        <v>0</v>
      </c>
      <c r="L31" s="39">
        <f>'Hotel Data'!AG33</f>
        <v>0</v>
      </c>
      <c r="M31" s="39">
        <f>'Hotel Data'!AJ33</f>
        <v>0</v>
      </c>
      <c r="N31" s="39">
        <f>'Hotel Data'!AN33</f>
        <v>0</v>
      </c>
      <c r="O31" s="39">
        <f>'Hotel Data'!AR33</f>
        <v>0</v>
      </c>
      <c r="P31" s="35">
        <f>TOTAL!K30</f>
        <v>0</v>
      </c>
    </row>
    <row r="32" spans="1:16" s="34" customFormat="1" x14ac:dyDescent="0.25">
      <c r="A32" s="34" t="s">
        <v>41</v>
      </c>
      <c r="B32" s="34">
        <f t="shared" si="0"/>
        <v>30</v>
      </c>
      <c r="C32" s="36">
        <v>8</v>
      </c>
      <c r="D32" s="34">
        <v>2020</v>
      </c>
      <c r="E32" s="39">
        <f>'Hotel Data'!E34</f>
        <v>0</v>
      </c>
      <c r="F32" s="39">
        <f>'Hotel Data'!G34</f>
        <v>0</v>
      </c>
      <c r="G32" s="39">
        <f>'Hotel Data'!O34</f>
        <v>0</v>
      </c>
      <c r="H32" s="39">
        <f>'Hotel Data'!Q34</f>
        <v>0</v>
      </c>
      <c r="I32" s="39">
        <f>'Hotel Data'!S34</f>
        <v>0</v>
      </c>
      <c r="J32" s="39">
        <f>'Hotel Data'!U34</f>
        <v>0</v>
      </c>
      <c r="K32" s="39">
        <f>'Hotel Data'!AD34</f>
        <v>0</v>
      </c>
      <c r="L32" s="39">
        <f>'Hotel Data'!AG34</f>
        <v>0</v>
      </c>
      <c r="M32" s="39">
        <f>'Hotel Data'!AJ34</f>
        <v>0</v>
      </c>
      <c r="N32" s="39">
        <f>'Hotel Data'!AN34</f>
        <v>0</v>
      </c>
      <c r="O32" s="39">
        <f>'Hotel Data'!AR34</f>
        <v>0</v>
      </c>
      <c r="P32" s="35">
        <f>TOTAL!K31</f>
        <v>0</v>
      </c>
    </row>
    <row r="33" spans="1:16" s="34" customFormat="1" x14ac:dyDescent="0.25">
      <c r="A33" s="34" t="s">
        <v>41</v>
      </c>
      <c r="B33" s="34">
        <f t="shared" si="0"/>
        <v>31</v>
      </c>
      <c r="C33" s="36">
        <v>8</v>
      </c>
      <c r="D33" s="34">
        <v>2020</v>
      </c>
      <c r="E33" s="39">
        <f>'Hotel Data'!E35</f>
        <v>0</v>
      </c>
      <c r="F33" s="39">
        <f>'Hotel Data'!G35</f>
        <v>0</v>
      </c>
      <c r="G33" s="39">
        <f>'Hotel Data'!O35</f>
        <v>0</v>
      </c>
      <c r="H33" s="39">
        <f>'Hotel Data'!Q35</f>
        <v>0</v>
      </c>
      <c r="I33" s="39">
        <f>'Hotel Data'!S35</f>
        <v>0</v>
      </c>
      <c r="J33" s="39">
        <f>'Hotel Data'!U35</f>
        <v>0</v>
      </c>
      <c r="K33" s="39">
        <f>'Hotel Data'!AD35</f>
        <v>0</v>
      </c>
      <c r="L33" s="39">
        <f>'Hotel Data'!AG35</f>
        <v>0</v>
      </c>
      <c r="M33" s="39">
        <f>'Hotel Data'!AJ35</f>
        <v>0</v>
      </c>
      <c r="N33" s="39">
        <f>'Hotel Data'!AN35</f>
        <v>0</v>
      </c>
      <c r="O33" s="39">
        <f>'Hotel Data'!AR35</f>
        <v>0</v>
      </c>
      <c r="P33" s="35">
        <f>TOTAL!K32</f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44"/>
  <sheetViews>
    <sheetView zoomScale="85" zoomScaleNormal="85" workbookViewId="0">
      <selection activeCell="BC40" sqref="BC40"/>
    </sheetView>
  </sheetViews>
  <sheetFormatPr defaultColWidth="8.5703125" defaultRowHeight="15" x14ac:dyDescent="0.2"/>
  <cols>
    <col min="1" max="1" width="6" style="46" customWidth="1"/>
    <col min="2" max="2" width="8.140625" style="1" customWidth="1"/>
    <col min="3" max="3" width="14.85546875" style="1" customWidth="1"/>
    <col min="4" max="4" width="13.5703125" style="1" customWidth="1"/>
    <col min="5" max="5" width="10" style="1" customWidth="1"/>
    <col min="6" max="6" width="12.28515625" style="1" customWidth="1"/>
    <col min="7" max="7" width="12.28515625" style="1" bestFit="1" customWidth="1"/>
    <col min="8" max="8" width="11.7109375" style="1" customWidth="1"/>
    <col min="9" max="11" width="12.7109375" style="1" customWidth="1"/>
    <col min="12" max="13" width="8.85546875" style="1" customWidth="1"/>
    <col min="14" max="14" width="14.85546875" style="1" customWidth="1"/>
    <col min="15" max="15" width="9.140625" style="1" customWidth="1"/>
    <col min="16" max="16" width="15.7109375" style="1" customWidth="1"/>
    <col min="17" max="17" width="9" style="1" customWidth="1"/>
    <col min="18" max="18" width="15.7109375" style="1" customWidth="1"/>
    <col min="19" max="19" width="9.5703125" style="1" customWidth="1"/>
    <col min="20" max="20" width="13.5703125" style="1" customWidth="1"/>
    <col min="21" max="21" width="7.5703125" style="1" customWidth="1"/>
    <col min="22" max="22" width="17" style="1" customWidth="1"/>
    <col min="23" max="23" width="15.140625" style="1" bestFit="1" customWidth="1"/>
    <col min="24" max="24" width="14.42578125" style="1" customWidth="1"/>
    <col min="25" max="25" width="12.7109375" style="27" customWidth="1"/>
    <col min="26" max="26" width="16.42578125" style="1" customWidth="1"/>
    <col min="27" max="27" width="11.5703125" style="1" customWidth="1"/>
    <col min="28" max="28" width="16.5703125" style="46" customWidth="1"/>
    <col min="29" max="29" width="12.140625" style="1" customWidth="1"/>
    <col min="30" max="30" width="17.7109375" style="1" bestFit="1" customWidth="1"/>
    <col min="31" max="31" width="17.85546875" style="1" customWidth="1"/>
    <col min="32" max="32" width="12.28515625" style="1" bestFit="1" customWidth="1"/>
    <col min="33" max="33" width="12.28515625" style="1" customWidth="1"/>
    <col min="34" max="34" width="17.85546875" style="1" bestFit="1" customWidth="1"/>
    <col min="35" max="35" width="17.85546875" style="1" customWidth="1"/>
    <col min="36" max="36" width="12.28515625" style="1" customWidth="1"/>
    <col min="37" max="37" width="10" style="1" customWidth="1"/>
    <col min="38" max="38" width="15" style="1" customWidth="1"/>
    <col min="39" max="39" width="14.85546875" style="1" customWidth="1"/>
    <col min="40" max="40" width="11" style="1" customWidth="1"/>
    <col min="41" max="41" width="9.140625" style="1" customWidth="1"/>
    <col min="42" max="42" width="13.42578125" style="1" customWidth="1"/>
    <col min="43" max="43" width="13.28515625" style="1" customWidth="1"/>
    <col min="44" max="44" width="10.28515625" style="1" customWidth="1"/>
    <col min="45" max="45" width="11.140625" style="1" customWidth="1"/>
    <col min="46" max="46" width="10.28515625" style="1" customWidth="1"/>
    <col min="47" max="47" width="11.5703125" style="1" customWidth="1"/>
    <col min="48" max="48" width="13.140625" style="1" customWidth="1"/>
    <col min="49" max="49" width="9" style="1" customWidth="1"/>
    <col min="50" max="50" width="7.28515625" style="1" customWidth="1"/>
    <col min="51" max="51" width="7.5703125" style="1" customWidth="1"/>
    <col min="52" max="55" width="11.42578125" style="1" customWidth="1"/>
    <col min="56" max="56" width="17.28515625" style="1" bestFit="1" customWidth="1"/>
    <col min="57" max="57" width="17.28515625" style="1" customWidth="1"/>
    <col min="58" max="59" width="12.7109375" style="1" customWidth="1"/>
    <col min="60" max="61" width="11.42578125" style="1" customWidth="1"/>
    <col min="62" max="16384" width="8.5703125" style="1"/>
  </cols>
  <sheetData>
    <row r="1" spans="1:61" ht="15" customHeight="1" x14ac:dyDescent="0.2">
      <c r="A1" s="100"/>
      <c r="B1" s="101"/>
      <c r="C1" s="102"/>
      <c r="D1" s="98" t="s">
        <v>57</v>
      </c>
      <c r="E1" s="98"/>
      <c r="F1" s="98" t="s">
        <v>58</v>
      </c>
      <c r="G1" s="98"/>
      <c r="H1" s="106" t="s">
        <v>1</v>
      </c>
      <c r="I1" s="106"/>
      <c r="J1" s="106"/>
      <c r="K1" s="106"/>
      <c r="L1" s="106"/>
      <c r="M1" s="106"/>
      <c r="N1" s="98" t="s">
        <v>2</v>
      </c>
      <c r="O1" s="98"/>
      <c r="P1" s="91" t="s">
        <v>59</v>
      </c>
      <c r="Q1" s="91"/>
      <c r="R1" s="91" t="s">
        <v>3</v>
      </c>
      <c r="S1" s="91"/>
      <c r="T1" s="91" t="s">
        <v>4</v>
      </c>
      <c r="U1" s="91"/>
      <c r="V1" s="98" t="s">
        <v>5</v>
      </c>
      <c r="W1" s="98"/>
      <c r="X1" s="98"/>
      <c r="Y1" s="98" t="s">
        <v>6</v>
      </c>
      <c r="Z1" s="98"/>
      <c r="AA1" s="98"/>
      <c r="AB1" s="98" t="s">
        <v>60</v>
      </c>
      <c r="AC1" s="98"/>
      <c r="AD1" s="98"/>
      <c r="AE1" s="98" t="s">
        <v>61</v>
      </c>
      <c r="AF1" s="98"/>
      <c r="AG1" s="98"/>
      <c r="AH1" s="98" t="s">
        <v>62</v>
      </c>
      <c r="AI1" s="98"/>
      <c r="AJ1" s="98"/>
      <c r="AK1" s="98"/>
      <c r="AL1" s="98" t="s">
        <v>63</v>
      </c>
      <c r="AM1" s="98"/>
      <c r="AN1" s="98"/>
      <c r="AO1" s="98"/>
      <c r="AP1" s="98" t="s">
        <v>64</v>
      </c>
      <c r="AQ1" s="98"/>
      <c r="AR1" s="98"/>
      <c r="AS1" s="98" t="s">
        <v>65</v>
      </c>
      <c r="AT1" s="98"/>
      <c r="AU1" s="91" t="s">
        <v>7</v>
      </c>
      <c r="AV1" s="111" t="s">
        <v>8</v>
      </c>
      <c r="AW1" s="86" t="s">
        <v>9</v>
      </c>
      <c r="AY1" s="43"/>
      <c r="AZ1" s="88" t="s">
        <v>66</v>
      </c>
      <c r="BA1" s="88" t="s">
        <v>0</v>
      </c>
      <c r="BB1" s="88" t="s">
        <v>10</v>
      </c>
      <c r="BC1" s="88" t="s">
        <v>11</v>
      </c>
      <c r="BD1" s="88" t="s">
        <v>12</v>
      </c>
      <c r="BE1" s="88" t="s">
        <v>13</v>
      </c>
      <c r="BF1" s="88" t="s">
        <v>56</v>
      </c>
      <c r="BG1" s="88" t="s">
        <v>67</v>
      </c>
      <c r="BH1" s="88" t="s">
        <v>68</v>
      </c>
      <c r="BI1" s="93" t="s">
        <v>69</v>
      </c>
    </row>
    <row r="2" spans="1:61" ht="23.25" customHeight="1" thickBot="1" x14ac:dyDescent="0.25">
      <c r="A2" s="103"/>
      <c r="B2" s="104"/>
      <c r="C2" s="105"/>
      <c r="D2" s="99"/>
      <c r="E2" s="99"/>
      <c r="F2" s="99"/>
      <c r="G2" s="99"/>
      <c r="H2" s="107"/>
      <c r="I2" s="107"/>
      <c r="J2" s="107"/>
      <c r="K2" s="107"/>
      <c r="L2" s="107"/>
      <c r="M2" s="107"/>
      <c r="N2" s="99"/>
      <c r="O2" s="99"/>
      <c r="P2" s="92"/>
      <c r="Q2" s="92"/>
      <c r="R2" s="92"/>
      <c r="S2" s="92"/>
      <c r="T2" s="92"/>
      <c r="U2" s="92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2"/>
      <c r="AV2" s="112"/>
      <c r="AW2" s="87"/>
      <c r="AY2" s="45"/>
      <c r="AZ2" s="89"/>
      <c r="BA2" s="89"/>
      <c r="BB2" s="89"/>
      <c r="BC2" s="89"/>
      <c r="BD2" s="89"/>
      <c r="BE2" s="89"/>
      <c r="BF2" s="89"/>
      <c r="BG2" s="89"/>
      <c r="BH2" s="89"/>
      <c r="BI2" s="94"/>
    </row>
    <row r="3" spans="1:61" ht="27" customHeight="1" thickBot="1" x14ac:dyDescent="0.3">
      <c r="A3" s="75" t="s">
        <v>14</v>
      </c>
      <c r="B3" s="76" t="s">
        <v>15</v>
      </c>
      <c r="C3" s="77" t="s">
        <v>16</v>
      </c>
      <c r="D3" s="78" t="s">
        <v>17</v>
      </c>
      <c r="E3" s="79" t="s">
        <v>18</v>
      </c>
      <c r="F3" s="3" t="s">
        <v>17</v>
      </c>
      <c r="G3" s="3" t="s">
        <v>18</v>
      </c>
      <c r="H3" s="3" t="s">
        <v>17</v>
      </c>
      <c r="I3" s="3" t="s">
        <v>18</v>
      </c>
      <c r="J3" s="4" t="s">
        <v>19</v>
      </c>
      <c r="K3" s="5" t="s">
        <v>18</v>
      </c>
      <c r="L3" s="3" t="s">
        <v>20</v>
      </c>
      <c r="M3" s="3" t="s">
        <v>21</v>
      </c>
      <c r="N3" s="3" t="s">
        <v>17</v>
      </c>
      <c r="O3" s="3" t="s">
        <v>18</v>
      </c>
      <c r="P3" s="80" t="s">
        <v>17</v>
      </c>
      <c r="Q3" s="81" t="s">
        <v>18</v>
      </c>
      <c r="R3" s="80" t="s">
        <v>17</v>
      </c>
      <c r="S3" s="81" t="s">
        <v>18</v>
      </c>
      <c r="T3" s="80" t="s">
        <v>17</v>
      </c>
      <c r="U3" s="81" t="s">
        <v>18</v>
      </c>
      <c r="V3" s="4" t="s">
        <v>22</v>
      </c>
      <c r="W3" s="3" t="s">
        <v>18</v>
      </c>
      <c r="X3" s="3" t="s">
        <v>70</v>
      </c>
      <c r="Y3" s="3" t="s">
        <v>23</v>
      </c>
      <c r="Z3" s="3" t="s">
        <v>18</v>
      </c>
      <c r="AA3" s="3" t="s">
        <v>70</v>
      </c>
      <c r="AB3" s="3" t="s">
        <v>24</v>
      </c>
      <c r="AC3" s="3" t="s">
        <v>18</v>
      </c>
      <c r="AD3" s="3" t="s">
        <v>70</v>
      </c>
      <c r="AE3" s="3" t="s">
        <v>24</v>
      </c>
      <c r="AF3" s="3" t="s">
        <v>18</v>
      </c>
      <c r="AG3" s="3" t="s">
        <v>70</v>
      </c>
      <c r="AH3" s="3"/>
      <c r="AI3" s="3"/>
      <c r="AJ3" s="3"/>
      <c r="AK3" s="3" t="s">
        <v>26</v>
      </c>
      <c r="AL3" s="3" t="s">
        <v>24</v>
      </c>
      <c r="AM3" s="3" t="s">
        <v>18</v>
      </c>
      <c r="AN3" s="3" t="s">
        <v>70</v>
      </c>
      <c r="AO3" s="3" t="s">
        <v>26</v>
      </c>
      <c r="AP3" s="3" t="s">
        <v>25</v>
      </c>
      <c r="AQ3" s="3" t="s">
        <v>18</v>
      </c>
      <c r="AR3" s="3" t="s">
        <v>70</v>
      </c>
      <c r="AS3" s="76" t="s">
        <v>27</v>
      </c>
      <c r="AT3" s="82" t="s">
        <v>28</v>
      </c>
      <c r="AU3" s="96" t="s">
        <v>29</v>
      </c>
      <c r="AV3" s="97"/>
      <c r="AW3" s="83"/>
      <c r="AY3" s="44"/>
      <c r="AZ3" s="90"/>
      <c r="BA3" s="90"/>
      <c r="BB3" s="90"/>
      <c r="BC3" s="90"/>
      <c r="BD3" s="90"/>
      <c r="BE3" s="90"/>
      <c r="BF3" s="90"/>
      <c r="BG3" s="90"/>
      <c r="BH3" s="90"/>
      <c r="BI3" s="95"/>
    </row>
    <row r="4" spans="1:61" ht="13.9" customHeight="1" x14ac:dyDescent="0.2">
      <c r="A4" s="57"/>
      <c r="B4" s="47"/>
      <c r="C4" s="58"/>
      <c r="D4" s="6">
        <f>'[1]July '!D35</f>
        <v>92960</v>
      </c>
      <c r="E4" s="59"/>
      <c r="F4" s="6">
        <f>'[1]July '!F35</f>
        <v>6642.9</v>
      </c>
      <c r="G4" s="59"/>
      <c r="H4" s="6">
        <f>'[1]July '!H35</f>
        <v>534431</v>
      </c>
      <c r="I4" s="59"/>
      <c r="J4" s="53">
        <f>'[1]July '!J35</f>
        <v>504132</v>
      </c>
      <c r="K4" s="59"/>
      <c r="L4" s="7"/>
      <c r="M4" s="7"/>
      <c r="N4" s="6">
        <f>'[1]July '!N35</f>
        <v>88149</v>
      </c>
      <c r="O4" s="59"/>
      <c r="P4" s="6">
        <f>'[1]July '!P35</f>
        <v>79340</v>
      </c>
      <c r="Q4" s="60"/>
      <c r="R4" s="6">
        <f>'[1]July '!R35</f>
        <v>14374</v>
      </c>
      <c r="S4" s="60"/>
      <c r="T4" s="6">
        <f>'[1]July '!T35</f>
        <v>170174</v>
      </c>
      <c r="U4" s="60"/>
      <c r="V4" s="13">
        <f>'[1]July '!V35</f>
        <v>0</v>
      </c>
      <c r="W4" s="6"/>
      <c r="X4" s="53">
        <f>'[1]July '!X35</f>
        <v>10322</v>
      </c>
      <c r="Y4" s="13">
        <f>'[1]July '!Y35</f>
        <v>0</v>
      </c>
      <c r="Z4" s="12"/>
      <c r="AA4" s="53">
        <f>'[1]July '!AA35</f>
        <v>2361</v>
      </c>
      <c r="AB4" s="6">
        <f>'[1]July '!AB35</f>
        <v>0</v>
      </c>
      <c r="AC4" s="12"/>
      <c r="AD4" s="53">
        <f>'[1]July '!AD35</f>
        <v>216</v>
      </c>
      <c r="AE4" s="6">
        <f>'[1]July '!AE35</f>
        <v>0</v>
      </c>
      <c r="AF4" s="12"/>
      <c r="AG4" s="53">
        <f>'[1]July '!AG35</f>
        <v>892</v>
      </c>
      <c r="AH4" s="6"/>
      <c r="AI4" s="59"/>
      <c r="AJ4" s="53">
        <f>'[1]July '!AJ35</f>
        <v>104</v>
      </c>
      <c r="AK4" s="6"/>
      <c r="AL4" s="6">
        <f>'[1]July '!AL35</f>
        <v>0</v>
      </c>
      <c r="AM4" s="59"/>
      <c r="AN4" s="53">
        <f>'[1]July '!AN35</f>
        <v>78</v>
      </c>
      <c r="AO4" s="6"/>
      <c r="AP4" s="6">
        <f>'[1]July '!AP35</f>
        <v>0</v>
      </c>
      <c r="AQ4" s="59"/>
      <c r="AR4" s="53">
        <f>'[1]July '!AR35</f>
        <v>88</v>
      </c>
      <c r="AS4" s="14"/>
      <c r="AT4" s="14"/>
      <c r="AU4" s="59"/>
      <c r="AV4" s="61">
        <f>'[1]July '!AV35</f>
        <v>0</v>
      </c>
      <c r="AW4" s="12"/>
      <c r="AY4" s="84"/>
      <c r="AZ4" s="50">
        <f>D39</f>
        <v>7000</v>
      </c>
      <c r="BA4" s="50">
        <f>F39</f>
        <v>50</v>
      </c>
      <c r="BB4" s="50">
        <f>H39</f>
        <v>5200</v>
      </c>
      <c r="BC4" s="50">
        <f>N39</f>
        <v>6500</v>
      </c>
      <c r="BD4" s="51">
        <v>550000</v>
      </c>
      <c r="BE4" s="51">
        <f>BD4</f>
        <v>550000</v>
      </c>
      <c r="BF4" s="85"/>
      <c r="BG4" s="52">
        <v>9439</v>
      </c>
      <c r="BH4" s="52">
        <v>13443</v>
      </c>
      <c r="BI4" s="52">
        <v>11344</v>
      </c>
    </row>
    <row r="5" spans="1:61" ht="15.75" x14ac:dyDescent="0.25">
      <c r="A5" s="62">
        <v>1</v>
      </c>
      <c r="B5" s="47" t="s">
        <v>30</v>
      </c>
      <c r="C5" s="10"/>
      <c r="D5" s="6">
        <v>93947</v>
      </c>
      <c r="E5" s="8">
        <f>IF(ISBLANK(D5),0,D5-D4)</f>
        <v>987</v>
      </c>
      <c r="F5" s="6">
        <v>6643.67</v>
      </c>
      <c r="G5" s="8">
        <f t="shared" ref="G5:G35" si="0">IF(ISBLANK(F5),0,F5-F4)</f>
        <v>0.77000000000043656</v>
      </c>
      <c r="H5" s="6">
        <v>535156</v>
      </c>
      <c r="I5" s="8">
        <f t="shared" ref="I5:I35" si="1">IF(ISBLANK(H5),0,H5-H4)</f>
        <v>725</v>
      </c>
      <c r="J5" s="53">
        <v>504812</v>
      </c>
      <c r="K5" s="8"/>
      <c r="L5" s="7"/>
      <c r="M5" s="11" t="e">
        <f>I5/L5</f>
        <v>#DIV/0!</v>
      </c>
      <c r="N5" s="6">
        <v>88349</v>
      </c>
      <c r="O5" s="8">
        <f t="shared" ref="O5:O35" si="2">IF(ISBLANK(N5),0,N5-N4)</f>
        <v>200</v>
      </c>
      <c r="P5" s="12">
        <v>79377</v>
      </c>
      <c r="Q5" s="9">
        <f t="shared" ref="Q5:Q35" si="3">IF(ISBLANK(P5),0,P5-P4)</f>
        <v>37</v>
      </c>
      <c r="R5" s="12">
        <v>14375</v>
      </c>
      <c r="S5" s="9">
        <v>0</v>
      </c>
      <c r="T5" s="12">
        <v>170246</v>
      </c>
      <c r="U5" s="9">
        <f t="shared" ref="U5:U35" si="4">IF(ISBLANK(T5),0,T5-T4)</f>
        <v>72</v>
      </c>
      <c r="V5" s="13"/>
      <c r="W5" s="8"/>
      <c r="X5" s="53">
        <v>14461</v>
      </c>
      <c r="Y5" s="6"/>
      <c r="Z5" s="8"/>
      <c r="AA5" s="53">
        <v>2285</v>
      </c>
      <c r="AB5" s="6"/>
      <c r="AC5" s="9">
        <f>IF(ISBLANK(AB5),0,SUM(AB5-AB4))</f>
        <v>0</v>
      </c>
      <c r="AD5" s="53">
        <v>211</v>
      </c>
      <c r="AE5" s="12"/>
      <c r="AF5" s="9">
        <f>IF(ISBLANK(AE5),0,SUM(AE5-AE4))</f>
        <v>0</v>
      </c>
      <c r="AG5" s="53">
        <v>817</v>
      </c>
      <c r="AH5" s="6"/>
      <c r="AI5" s="8">
        <f>IF(ISBLANK(AH5),0,SUM(AH5-AH4)*80)</f>
        <v>0</v>
      </c>
      <c r="AJ5" s="53">
        <v>96</v>
      </c>
      <c r="AK5" s="7"/>
      <c r="AL5" s="6"/>
      <c r="AM5" s="8">
        <f t="shared" ref="AM5:AM35" si="5">IF(ISBLANK(AL5),0,AL5-AL4)</f>
        <v>0</v>
      </c>
      <c r="AN5" s="53">
        <v>82</v>
      </c>
      <c r="AO5" s="7"/>
      <c r="AP5" s="6"/>
      <c r="AQ5" s="8">
        <f>IF(ISBLANK(AP5),0,SUM(AP5-AP4)*80)</f>
        <v>0</v>
      </c>
      <c r="AR5" s="53">
        <v>104</v>
      </c>
      <c r="AS5" s="14">
        <v>23</v>
      </c>
      <c r="AT5" s="14">
        <v>36</v>
      </c>
      <c r="AU5" s="7"/>
      <c r="AV5" s="63"/>
      <c r="AW5" s="64">
        <f>IF(ISBLANK(AV6),0,AV6-AV5)</f>
        <v>0</v>
      </c>
      <c r="AY5" s="72">
        <v>1</v>
      </c>
      <c r="AZ5" s="15">
        <f>IF(D5&lt;&gt;0,(+D5-D$10)/A5*31,0)</f>
        <v>-26288</v>
      </c>
      <c r="BA5" s="15">
        <f>IF(F5&lt;&gt;0,(+F5-F$10)/$A5*31,0)</f>
        <v>-27.59000000001015</v>
      </c>
      <c r="BB5" s="15">
        <f>IF(H5&lt;&gt;0,(+H5-H$10)/$A5*31,0)</f>
        <v>-18321</v>
      </c>
      <c r="BC5" s="15">
        <f>IF(N5&lt;&gt;0,(+N5-N$10)/$A5*31,0)</f>
        <v>-3968</v>
      </c>
      <c r="BD5" s="16">
        <f>IF(V5&lt;&gt;0,(+V5-V$10)*2200/$A5*31,0)</f>
        <v>0</v>
      </c>
      <c r="BE5" s="15">
        <f>IF(X5&lt;&gt;0,AVERAGE(X5:X$11)*31,)</f>
        <v>354139.57142857142</v>
      </c>
      <c r="BF5" s="15">
        <f>IF(AD5+AG5&lt;&gt;0,AVERAGE(AD5:AD$11)*31+AVERAGE(AG5:AG$11)*31,)</f>
        <v>35379.857142857145</v>
      </c>
      <c r="BG5" s="16">
        <f>IF(AJ5&lt;&gt;0,AVERAGE(AJ5:AJ$11)*31,)</f>
        <v>3224</v>
      </c>
      <c r="BH5" s="16">
        <f>IF(AN5&lt;&gt;0,AVERAGE(AN5:AN$11)*31,)</f>
        <v>3383.4285714285711</v>
      </c>
      <c r="BI5" s="16">
        <f>IF(AR5&lt;&gt;0,AVERAGE(AR5:AR$11)*31,)</f>
        <v>3046.8571428571431</v>
      </c>
    </row>
    <row r="6" spans="1:61" ht="15.75" x14ac:dyDescent="0.25">
      <c r="A6" s="62">
        <f t="shared" ref="A6:A12" si="6">1+A5</f>
        <v>2</v>
      </c>
      <c r="B6" s="47" t="s">
        <v>30</v>
      </c>
      <c r="C6" s="10"/>
      <c r="D6" s="6">
        <v>94107</v>
      </c>
      <c r="E6" s="8">
        <f t="shared" ref="E6:E35" si="7">IF(ISBLANK(D6),0,D6-D5)</f>
        <v>160</v>
      </c>
      <c r="F6" s="6">
        <v>6645</v>
      </c>
      <c r="G6" s="8">
        <f t="shared" si="0"/>
        <v>1.3299999999999272</v>
      </c>
      <c r="H6" s="6">
        <v>535270</v>
      </c>
      <c r="I6" s="8">
        <f t="shared" si="1"/>
        <v>114</v>
      </c>
      <c r="J6" s="53">
        <v>504920</v>
      </c>
      <c r="K6" s="8"/>
      <c r="L6" s="7"/>
      <c r="M6" s="11" t="e">
        <f t="shared" ref="M6:M35" si="8">I6/L6</f>
        <v>#DIV/0!</v>
      </c>
      <c r="N6" s="6">
        <v>88377</v>
      </c>
      <c r="O6" s="8">
        <f t="shared" si="2"/>
        <v>28</v>
      </c>
      <c r="P6" s="12">
        <v>79383</v>
      </c>
      <c r="Q6" s="9">
        <f t="shared" si="3"/>
        <v>6</v>
      </c>
      <c r="R6" s="12">
        <v>14375</v>
      </c>
      <c r="S6" s="9">
        <f t="shared" ref="S6:S35" si="9">IF(ISBLANK(R6),0,R6-R5)</f>
        <v>0</v>
      </c>
      <c r="T6" s="12">
        <v>170263</v>
      </c>
      <c r="U6" s="9">
        <f t="shared" si="4"/>
        <v>17</v>
      </c>
      <c r="V6" s="13"/>
      <c r="W6" s="8"/>
      <c r="X6" s="53">
        <v>11658</v>
      </c>
      <c r="Y6" s="54"/>
      <c r="Z6" s="8"/>
      <c r="AA6" s="53">
        <v>2307</v>
      </c>
      <c r="AB6" s="6"/>
      <c r="AC6" s="9">
        <f t="shared" ref="AC6:AC35" si="10">IF(ISBLANK(AB6),0,SUM(AB6-AB5))</f>
        <v>0</v>
      </c>
      <c r="AD6" s="53">
        <v>210</v>
      </c>
      <c r="AE6" s="12"/>
      <c r="AF6" s="9">
        <f t="shared" ref="AF6:AF35" si="11">IF(ISBLANK(AE6),0,SUM(AE6-AE5))</f>
        <v>0</v>
      </c>
      <c r="AG6" s="53">
        <v>887</v>
      </c>
      <c r="AH6" s="6"/>
      <c r="AI6" s="8">
        <f t="shared" ref="AI6:AI35" si="12">IF(ISBLANK(AH6),0,SUM(AH6-AH5)*80)</f>
        <v>0</v>
      </c>
      <c r="AJ6" s="53">
        <v>112</v>
      </c>
      <c r="AK6" s="7"/>
      <c r="AL6" s="6"/>
      <c r="AM6" s="8">
        <f t="shared" si="5"/>
        <v>0</v>
      </c>
      <c r="AN6" s="53">
        <v>79</v>
      </c>
      <c r="AO6" s="7"/>
      <c r="AP6" s="6"/>
      <c r="AQ6" s="8">
        <f t="shared" ref="AQ6:AQ35" si="13">IF(ISBLANK(AP6),0,SUM(AP6-AP5)*80)</f>
        <v>0</v>
      </c>
      <c r="AR6" s="53">
        <v>128</v>
      </c>
      <c r="AS6" s="14">
        <v>21</v>
      </c>
      <c r="AT6" s="14">
        <v>31</v>
      </c>
      <c r="AU6" s="7"/>
      <c r="AV6" s="63"/>
      <c r="AW6" s="64">
        <f t="shared" ref="AW6:AW35" si="14">IF(ISBLANK(AV7),0,AV7-AV6)</f>
        <v>0</v>
      </c>
      <c r="AY6" s="72">
        <f t="shared" ref="AY6:AY14" si="15">1+AY5</f>
        <v>2</v>
      </c>
      <c r="AZ6" s="15">
        <f t="shared" ref="AZ6:AZ35" si="16">IF(D6&lt;&gt;0,(+D6-D$10)/A6*31,0)</f>
        <v>-10664</v>
      </c>
      <c r="BA6" s="15">
        <f t="shared" ref="BA6:BA35" si="17">IF(F6&lt;&gt;0,(+F6-F$10)/$A6*31,0)</f>
        <v>6.8199999999937972</v>
      </c>
      <c r="BB6" s="15">
        <f t="shared" ref="BB6:BB35" si="18">IF(H6&lt;&gt;0,(+H6-H$10)/$A6*31,0)</f>
        <v>-7393.5</v>
      </c>
      <c r="BC6" s="15">
        <f t="shared" ref="BC6:BC35" si="19">IF(N6&lt;&gt;0,(+N6-N$10)/$A6*31,0)</f>
        <v>-1550</v>
      </c>
      <c r="BD6" s="16">
        <f t="shared" ref="BD6:BD35" si="20">IF(V6&lt;&gt;0,(+V6-V$10)*2200/$A6*31,0)</f>
        <v>0</v>
      </c>
      <c r="BE6" s="15">
        <f>IF(X6&lt;&gt;0,AVERAGE(X6:X$11)*31,)</f>
        <v>338447.66666666663</v>
      </c>
      <c r="BF6" s="15">
        <f>IF(AD6+AG6&lt;&gt;0,AVERAGE(AD6:AD$11)*31+AVERAGE(AG6:AG$11)*31,)</f>
        <v>35965.166666666672</v>
      </c>
      <c r="BG6" s="16">
        <f>IF(AJ6&lt;&gt;0,AVERAGE(AJ6:AJ$11)*31,)</f>
        <v>3265.333333333333</v>
      </c>
      <c r="BH6" s="16">
        <f>IF(AN6&lt;&gt;0,AVERAGE(AN6:AN$11)*31,)</f>
        <v>3523.666666666667</v>
      </c>
      <c r="BI6" s="16">
        <f>IF(AR6&lt;&gt;0,AVERAGE(AR6:AR$11)*31,)</f>
        <v>3017.333333333333</v>
      </c>
    </row>
    <row r="7" spans="1:61" ht="15.75" x14ac:dyDescent="0.25">
      <c r="A7" s="62">
        <f t="shared" si="6"/>
        <v>3</v>
      </c>
      <c r="B7" s="47" t="s">
        <v>30</v>
      </c>
      <c r="C7" s="10"/>
      <c r="D7" s="6">
        <v>94276</v>
      </c>
      <c r="E7" s="8">
        <f t="shared" si="7"/>
        <v>169</v>
      </c>
      <c r="F7" s="6">
        <v>6645</v>
      </c>
      <c r="G7" s="8">
        <f t="shared" si="0"/>
        <v>0</v>
      </c>
      <c r="H7" s="6">
        <v>535378</v>
      </c>
      <c r="I7" s="8">
        <f t="shared" si="1"/>
        <v>108</v>
      </c>
      <c r="J7" s="53">
        <v>505022</v>
      </c>
      <c r="K7" s="8"/>
      <c r="L7" s="7"/>
      <c r="M7" s="11" t="e">
        <f t="shared" si="8"/>
        <v>#DIV/0!</v>
      </c>
      <c r="N7" s="6">
        <v>88400</v>
      </c>
      <c r="O7" s="8">
        <f t="shared" si="2"/>
        <v>23</v>
      </c>
      <c r="P7" s="12">
        <v>79390</v>
      </c>
      <c r="Q7" s="9">
        <f t="shared" si="3"/>
        <v>7</v>
      </c>
      <c r="R7" s="12">
        <v>14375</v>
      </c>
      <c r="S7" s="9">
        <f t="shared" si="9"/>
        <v>0</v>
      </c>
      <c r="T7" s="12">
        <v>170277</v>
      </c>
      <c r="U7" s="9">
        <f t="shared" si="4"/>
        <v>14</v>
      </c>
      <c r="V7" s="13"/>
      <c r="W7" s="8"/>
      <c r="X7" s="53">
        <v>11098</v>
      </c>
      <c r="Y7" s="54"/>
      <c r="Z7" s="8"/>
      <c r="AA7" s="53">
        <v>2017</v>
      </c>
      <c r="AB7" s="6"/>
      <c r="AC7" s="9">
        <f t="shared" si="10"/>
        <v>0</v>
      </c>
      <c r="AD7" s="53">
        <v>217</v>
      </c>
      <c r="AE7" s="12"/>
      <c r="AF7" s="9">
        <f t="shared" si="11"/>
        <v>0</v>
      </c>
      <c r="AG7" s="53">
        <v>907</v>
      </c>
      <c r="AH7" s="6"/>
      <c r="AI7" s="8">
        <f t="shared" si="12"/>
        <v>0</v>
      </c>
      <c r="AJ7" s="53">
        <v>128</v>
      </c>
      <c r="AK7" s="7"/>
      <c r="AL7" s="6"/>
      <c r="AM7" s="8">
        <f t="shared" si="5"/>
        <v>0</v>
      </c>
      <c r="AN7" s="53">
        <v>77</v>
      </c>
      <c r="AO7" s="7"/>
      <c r="AP7" s="6"/>
      <c r="AQ7" s="8">
        <f t="shared" si="13"/>
        <v>0</v>
      </c>
      <c r="AR7" s="53">
        <v>80</v>
      </c>
      <c r="AS7" s="14">
        <v>19</v>
      </c>
      <c r="AT7" s="14">
        <v>26</v>
      </c>
      <c r="AU7" s="7"/>
      <c r="AV7" s="63"/>
      <c r="AW7" s="64">
        <f t="shared" si="14"/>
        <v>0</v>
      </c>
      <c r="AY7" s="72">
        <f t="shared" si="15"/>
        <v>3</v>
      </c>
      <c r="AZ7" s="15">
        <f t="shared" si="16"/>
        <v>-5363</v>
      </c>
      <c r="BA7" s="15">
        <f t="shared" si="17"/>
        <v>4.5466666666625315</v>
      </c>
      <c r="BB7" s="15">
        <f t="shared" si="18"/>
        <v>-3813</v>
      </c>
      <c r="BC7" s="15">
        <f t="shared" si="19"/>
        <v>-795.66666666666674</v>
      </c>
      <c r="BD7" s="16">
        <f t="shared" si="20"/>
        <v>0</v>
      </c>
      <c r="BE7" s="15">
        <f>IF(X7&lt;&gt;0,AVERAGE(X7:X$11)*31,)</f>
        <v>333857.60000000003</v>
      </c>
      <c r="BF7" s="15">
        <f>IF(AD7+AG7&lt;&gt;0,AVERAGE(AD7:AD$11)*31+AVERAGE(AG7:AG$11)*31,)</f>
        <v>36356.800000000003</v>
      </c>
      <c r="BG7" s="16">
        <f>IF(AJ7&lt;&gt;0,AVERAGE(AJ7:AJ$11)*31,)</f>
        <v>3224</v>
      </c>
      <c r="BH7" s="16">
        <f>IF(AN7&lt;&gt;0,AVERAGE(AN7:AN$11)*31,)</f>
        <v>3738.6</v>
      </c>
      <c r="BI7" s="16">
        <f>IF(AR7&lt;&gt;0,AVERAGE(AR7:AR$11)*31,)</f>
        <v>2827.2000000000003</v>
      </c>
    </row>
    <row r="8" spans="1:61" ht="15.75" x14ac:dyDescent="0.25">
      <c r="A8" s="62">
        <f t="shared" si="6"/>
        <v>4</v>
      </c>
      <c r="B8" s="47" t="s">
        <v>30</v>
      </c>
      <c r="C8" s="10"/>
      <c r="D8" s="6">
        <v>94447</v>
      </c>
      <c r="E8" s="8">
        <f t="shared" si="7"/>
        <v>171</v>
      </c>
      <c r="F8" s="6">
        <v>6645</v>
      </c>
      <c r="G8" s="8">
        <f t="shared" si="0"/>
        <v>0</v>
      </c>
      <c r="H8" s="6">
        <v>535495</v>
      </c>
      <c r="I8" s="8">
        <f t="shared" si="1"/>
        <v>117</v>
      </c>
      <c r="J8" s="53">
        <v>505132</v>
      </c>
      <c r="K8" s="8"/>
      <c r="L8" s="7"/>
      <c r="M8" s="11" t="e">
        <f t="shared" si="8"/>
        <v>#DIV/0!</v>
      </c>
      <c r="N8" s="6">
        <v>88424</v>
      </c>
      <c r="O8" s="8">
        <f t="shared" si="2"/>
        <v>24</v>
      </c>
      <c r="P8" s="12">
        <v>79396</v>
      </c>
      <c r="Q8" s="9">
        <f t="shared" si="3"/>
        <v>6</v>
      </c>
      <c r="R8" s="12">
        <v>14375</v>
      </c>
      <c r="S8" s="9">
        <f t="shared" si="9"/>
        <v>0</v>
      </c>
      <c r="T8" s="12">
        <v>170295</v>
      </c>
      <c r="U8" s="9">
        <f t="shared" si="4"/>
        <v>18</v>
      </c>
      <c r="V8" s="13"/>
      <c r="W8" s="8"/>
      <c r="X8" s="53">
        <v>10186</v>
      </c>
      <c r="Y8" s="54"/>
      <c r="Z8" s="8"/>
      <c r="AA8" s="53">
        <v>2040</v>
      </c>
      <c r="AB8" s="6"/>
      <c r="AC8" s="9">
        <f t="shared" si="10"/>
        <v>0</v>
      </c>
      <c r="AD8" s="53">
        <v>219</v>
      </c>
      <c r="AE8" s="12"/>
      <c r="AF8" s="9">
        <f t="shared" si="11"/>
        <v>0</v>
      </c>
      <c r="AG8" s="53">
        <v>1085</v>
      </c>
      <c r="AH8" s="6"/>
      <c r="AI8" s="8">
        <f t="shared" si="12"/>
        <v>0</v>
      </c>
      <c r="AJ8" s="53">
        <v>112</v>
      </c>
      <c r="AK8" s="7"/>
      <c r="AL8" s="6"/>
      <c r="AM8" s="8">
        <f t="shared" si="5"/>
        <v>0</v>
      </c>
      <c r="AN8" s="53">
        <v>79</v>
      </c>
      <c r="AO8" s="7"/>
      <c r="AP8" s="6"/>
      <c r="AQ8" s="8">
        <f t="shared" si="13"/>
        <v>0</v>
      </c>
      <c r="AR8" s="53">
        <v>80</v>
      </c>
      <c r="AS8" s="14">
        <v>20</v>
      </c>
      <c r="AT8" s="65">
        <v>28</v>
      </c>
      <c r="AU8" s="7"/>
      <c r="AV8" s="63"/>
      <c r="AW8" s="64">
        <f t="shared" si="14"/>
        <v>0</v>
      </c>
      <c r="AY8" s="72">
        <f t="shared" si="15"/>
        <v>4</v>
      </c>
      <c r="AZ8" s="15">
        <f t="shared" si="16"/>
        <v>-2697</v>
      </c>
      <c r="BA8" s="15">
        <f t="shared" si="17"/>
        <v>3.4099999999968986</v>
      </c>
      <c r="BB8" s="15">
        <f t="shared" si="18"/>
        <v>-1953</v>
      </c>
      <c r="BC8" s="15">
        <f t="shared" si="19"/>
        <v>-410.75</v>
      </c>
      <c r="BD8" s="16">
        <f t="shared" si="20"/>
        <v>0</v>
      </c>
      <c r="BE8" s="15">
        <f>IF(X8&lt;&gt;0,AVERAGE(X8:X$11)*31,)</f>
        <v>331312.5</v>
      </c>
      <c r="BF8" s="15">
        <f>IF(AD8+AG8&lt;&gt;0,AVERAGE(AD8:AD$11)*31+AVERAGE(AG8:AG$11)*31,)</f>
        <v>36735</v>
      </c>
      <c r="BG8" s="16">
        <f>IF(AJ8&lt;&gt;0,AVERAGE(AJ8:AJ$11)*31,)</f>
        <v>3038</v>
      </c>
      <c r="BH8" s="16">
        <f>IF(AN8&lt;&gt;0,AVERAGE(AN8:AN$11)*31,)</f>
        <v>4076.5</v>
      </c>
      <c r="BI8" s="16">
        <f>IF(AR8&lt;&gt;0,AVERAGE(AR8:AR$11)*31,)</f>
        <v>2914</v>
      </c>
    </row>
    <row r="9" spans="1:61" ht="15.75" x14ac:dyDescent="0.25">
      <c r="A9" s="62">
        <f t="shared" si="6"/>
        <v>5</v>
      </c>
      <c r="B9" s="47" t="s">
        <v>30</v>
      </c>
      <c r="C9" s="10"/>
      <c r="D9" s="6">
        <v>94619</v>
      </c>
      <c r="E9" s="8">
        <f t="shared" si="7"/>
        <v>172</v>
      </c>
      <c r="F9" s="6">
        <v>6644.56</v>
      </c>
      <c r="G9" s="8">
        <f t="shared" si="0"/>
        <v>-0.43999999999959982</v>
      </c>
      <c r="H9" s="6">
        <v>535615</v>
      </c>
      <c r="I9" s="8">
        <f t="shared" si="1"/>
        <v>120</v>
      </c>
      <c r="J9" s="53">
        <v>505244</v>
      </c>
      <c r="K9" s="8"/>
      <c r="L9" s="7"/>
      <c r="M9" s="11" t="e">
        <f t="shared" si="8"/>
        <v>#DIV/0!</v>
      </c>
      <c r="N9" s="6">
        <v>88449</v>
      </c>
      <c r="O9" s="8">
        <f t="shared" si="2"/>
        <v>25</v>
      </c>
      <c r="P9" s="12">
        <v>79408</v>
      </c>
      <c r="Q9" s="9">
        <f t="shared" si="3"/>
        <v>12</v>
      </c>
      <c r="R9" s="12">
        <v>14375</v>
      </c>
      <c r="S9" s="9">
        <f t="shared" si="9"/>
        <v>0</v>
      </c>
      <c r="T9" s="12">
        <v>170318</v>
      </c>
      <c r="U9" s="9">
        <f t="shared" si="4"/>
        <v>23</v>
      </c>
      <c r="V9" s="13"/>
      <c r="W9" s="8"/>
      <c r="X9" s="53">
        <v>10515</v>
      </c>
      <c r="Y9" s="54"/>
      <c r="Z9" s="8"/>
      <c r="AA9" s="53">
        <v>1914</v>
      </c>
      <c r="AB9" s="6"/>
      <c r="AC9" s="9">
        <f t="shared" si="10"/>
        <v>0</v>
      </c>
      <c r="AD9" s="53">
        <v>233</v>
      </c>
      <c r="AE9" s="12"/>
      <c r="AF9" s="9">
        <f t="shared" si="11"/>
        <v>0</v>
      </c>
      <c r="AG9" s="53">
        <v>982</v>
      </c>
      <c r="AH9" s="6"/>
      <c r="AI9" s="8">
        <f t="shared" si="12"/>
        <v>0</v>
      </c>
      <c r="AJ9" s="53">
        <v>80</v>
      </c>
      <c r="AK9" s="7"/>
      <c r="AL9" s="6"/>
      <c r="AM9" s="8">
        <f t="shared" si="5"/>
        <v>0</v>
      </c>
      <c r="AN9" s="53">
        <v>218</v>
      </c>
      <c r="AO9" s="7"/>
      <c r="AP9" s="6"/>
      <c r="AQ9" s="8">
        <f t="shared" si="13"/>
        <v>0</v>
      </c>
      <c r="AR9" s="53">
        <v>88</v>
      </c>
      <c r="AS9" s="14">
        <v>20</v>
      </c>
      <c r="AT9" s="14">
        <v>29</v>
      </c>
      <c r="AU9" s="7"/>
      <c r="AV9" s="63"/>
      <c r="AW9" s="64">
        <f t="shared" si="14"/>
        <v>0</v>
      </c>
      <c r="AY9" s="72">
        <f t="shared" si="15"/>
        <v>5</v>
      </c>
      <c r="AZ9" s="15">
        <f t="shared" si="16"/>
        <v>-1091.2</v>
      </c>
      <c r="BA9" s="15">
        <f t="shared" si="17"/>
        <v>0</v>
      </c>
      <c r="BB9" s="15">
        <f t="shared" si="18"/>
        <v>-818.4</v>
      </c>
      <c r="BC9" s="15">
        <f t="shared" si="19"/>
        <v>-173.6</v>
      </c>
      <c r="BD9" s="16">
        <f t="shared" si="20"/>
        <v>0</v>
      </c>
      <c r="BE9" s="15">
        <f>IF(X9&lt;&gt;0,AVERAGE(X9:X$11)*31,)</f>
        <v>336494.66666666663</v>
      </c>
      <c r="BF9" s="15">
        <f>IF(AD9+AG9&lt;&gt;0,AVERAGE(AD9:AD$11)*31+AVERAGE(AG9:AG$11)*31,)</f>
        <v>35505.333333333336</v>
      </c>
      <c r="BG9" s="16">
        <f>IF(AJ9&lt;&gt;0,AVERAGE(AJ9:AJ$11)*31,)</f>
        <v>2893.333333333333</v>
      </c>
      <c r="BH9" s="16">
        <f>IF(AN9&lt;&gt;0,AVERAGE(AN9:AN$11)*31,)</f>
        <v>4619</v>
      </c>
      <c r="BI9" s="16">
        <f>IF(AR9&lt;&gt;0,AVERAGE(AR9:AR$11)*31,)</f>
        <v>3058.666666666667</v>
      </c>
    </row>
    <row r="10" spans="1:61" ht="15.75" x14ac:dyDescent="0.25">
      <c r="A10" s="62">
        <f t="shared" si="6"/>
        <v>6</v>
      </c>
      <c r="B10" s="47" t="s">
        <v>30</v>
      </c>
      <c r="C10" s="10"/>
      <c r="D10" s="6">
        <v>94795</v>
      </c>
      <c r="E10" s="8">
        <f t="shared" si="7"/>
        <v>176</v>
      </c>
      <c r="F10" s="6">
        <v>6644.56</v>
      </c>
      <c r="G10" s="8">
        <f t="shared" si="0"/>
        <v>0</v>
      </c>
      <c r="H10" s="6">
        <v>535747</v>
      </c>
      <c r="I10" s="8">
        <f t="shared" si="1"/>
        <v>132</v>
      </c>
      <c r="J10" s="53">
        <v>505369</v>
      </c>
      <c r="K10" s="8"/>
      <c r="L10" s="7"/>
      <c r="M10" s="11" t="e">
        <f t="shared" si="8"/>
        <v>#DIV/0!</v>
      </c>
      <c r="N10" s="6">
        <v>88477</v>
      </c>
      <c r="O10" s="8">
        <f t="shared" si="2"/>
        <v>28</v>
      </c>
      <c r="P10" s="12">
        <v>79438</v>
      </c>
      <c r="Q10" s="9">
        <f t="shared" si="3"/>
        <v>30</v>
      </c>
      <c r="R10" s="12">
        <v>14375</v>
      </c>
      <c r="S10" s="9">
        <f t="shared" si="9"/>
        <v>0</v>
      </c>
      <c r="T10" s="12">
        <v>170365</v>
      </c>
      <c r="U10" s="9">
        <f t="shared" si="4"/>
        <v>47</v>
      </c>
      <c r="V10" s="13"/>
      <c r="W10" s="8"/>
      <c r="X10" s="53">
        <v>10654</v>
      </c>
      <c r="Y10" s="54"/>
      <c r="Z10" s="8"/>
      <c r="AA10" s="53">
        <v>1908</v>
      </c>
      <c r="AB10" s="6"/>
      <c r="AC10" s="9">
        <f t="shared" si="10"/>
        <v>0</v>
      </c>
      <c r="AD10" s="53">
        <v>228</v>
      </c>
      <c r="AE10" s="12"/>
      <c r="AF10" s="9">
        <f t="shared" si="11"/>
        <v>0</v>
      </c>
      <c r="AG10" s="53">
        <v>887</v>
      </c>
      <c r="AH10" s="6"/>
      <c r="AI10" s="8">
        <f t="shared" si="12"/>
        <v>0</v>
      </c>
      <c r="AJ10" s="53">
        <v>80</v>
      </c>
      <c r="AK10" s="7"/>
      <c r="AL10" s="6"/>
      <c r="AM10" s="8">
        <f t="shared" si="5"/>
        <v>0</v>
      </c>
      <c r="AN10" s="53">
        <v>100</v>
      </c>
      <c r="AO10" s="7"/>
      <c r="AP10" s="6"/>
      <c r="AQ10" s="8">
        <f t="shared" si="13"/>
        <v>0</v>
      </c>
      <c r="AR10" s="53">
        <v>80</v>
      </c>
      <c r="AS10" s="14">
        <v>21</v>
      </c>
      <c r="AT10" s="14">
        <v>30</v>
      </c>
      <c r="AU10" s="7"/>
      <c r="AV10" s="63"/>
      <c r="AW10" s="64">
        <f t="shared" si="14"/>
        <v>0</v>
      </c>
      <c r="AY10" s="72">
        <f t="shared" si="15"/>
        <v>6</v>
      </c>
      <c r="AZ10" s="15">
        <f t="shared" si="16"/>
        <v>0</v>
      </c>
      <c r="BA10" s="15">
        <f t="shared" si="17"/>
        <v>0</v>
      </c>
      <c r="BB10" s="15">
        <f t="shared" si="18"/>
        <v>0</v>
      </c>
      <c r="BC10" s="15">
        <f t="shared" si="19"/>
        <v>0</v>
      </c>
      <c r="BD10" s="16">
        <f t="shared" si="20"/>
        <v>0</v>
      </c>
      <c r="BE10" s="15">
        <f>IF(X10&lt;&gt;0,AVERAGE(X10:X$11)*31,)</f>
        <v>341759.5</v>
      </c>
      <c r="BF10" s="15">
        <f>IF(AD10+AG10&lt;&gt;0,AVERAGE(AD10:AD$11)*31+AVERAGE(AG10:AG$11)*31,)</f>
        <v>34425.5</v>
      </c>
      <c r="BG10" s="16">
        <f>IF(AJ10&lt;&gt;0,AVERAGE(AJ10:AJ$11)*31,)</f>
        <v>3100</v>
      </c>
      <c r="BH10" s="16">
        <f>IF(AN10&lt;&gt;0,AVERAGE(AN10:AN$11)*31,)</f>
        <v>3549.5</v>
      </c>
      <c r="BI10" s="16">
        <f>IF(AR10&lt;&gt;0,AVERAGE(AR10:AR$11)*31,)</f>
        <v>3224</v>
      </c>
    </row>
    <row r="11" spans="1:61" ht="15.75" x14ac:dyDescent="0.25">
      <c r="A11" s="62">
        <f t="shared" si="6"/>
        <v>7</v>
      </c>
      <c r="B11" s="47" t="s">
        <v>30</v>
      </c>
      <c r="C11" s="10"/>
      <c r="D11" s="6">
        <v>94952</v>
      </c>
      <c r="E11" s="8">
        <f t="shared" si="7"/>
        <v>157</v>
      </c>
      <c r="F11" s="6">
        <v>6645</v>
      </c>
      <c r="G11" s="8">
        <f t="shared" si="0"/>
        <v>0.43999999999959982</v>
      </c>
      <c r="H11" s="6">
        <v>535876</v>
      </c>
      <c r="I11" s="8">
        <f t="shared" si="1"/>
        <v>129</v>
      </c>
      <c r="J11" s="53">
        <v>505491</v>
      </c>
      <c r="K11" s="8"/>
      <c r="L11" s="7"/>
      <c r="M11" s="11" t="e">
        <f t="shared" si="8"/>
        <v>#DIV/0!</v>
      </c>
      <c r="N11" s="6">
        <v>88504</v>
      </c>
      <c r="O11" s="8">
        <f t="shared" si="2"/>
        <v>27</v>
      </c>
      <c r="P11" s="12">
        <v>79473</v>
      </c>
      <c r="Q11" s="9">
        <f t="shared" si="3"/>
        <v>35</v>
      </c>
      <c r="R11" s="12">
        <v>14375</v>
      </c>
      <c r="S11" s="9">
        <f t="shared" si="9"/>
        <v>0</v>
      </c>
      <c r="T11" s="12">
        <v>170411</v>
      </c>
      <c r="U11" s="9">
        <f t="shared" si="4"/>
        <v>46</v>
      </c>
      <c r="V11" s="13"/>
      <c r="W11" s="8"/>
      <c r="X11" s="53">
        <v>11395</v>
      </c>
      <c r="Y11" s="54"/>
      <c r="Z11" s="8"/>
      <c r="AA11" s="53">
        <v>2287</v>
      </c>
      <c r="AB11" s="6"/>
      <c r="AC11" s="9">
        <f t="shared" si="10"/>
        <v>0</v>
      </c>
      <c r="AD11" s="53">
        <v>239</v>
      </c>
      <c r="AE11" s="12"/>
      <c r="AF11" s="9">
        <f t="shared" si="11"/>
        <v>0</v>
      </c>
      <c r="AG11" s="53">
        <v>867</v>
      </c>
      <c r="AH11" s="6"/>
      <c r="AI11" s="8">
        <f t="shared" si="12"/>
        <v>0</v>
      </c>
      <c r="AJ11" s="53">
        <v>120</v>
      </c>
      <c r="AK11" s="7"/>
      <c r="AL11" s="6"/>
      <c r="AM11" s="8">
        <f t="shared" si="5"/>
        <v>0</v>
      </c>
      <c r="AN11" s="53">
        <v>129</v>
      </c>
      <c r="AO11" s="7"/>
      <c r="AP11" s="6"/>
      <c r="AQ11" s="8">
        <f t="shared" si="13"/>
        <v>0</v>
      </c>
      <c r="AR11" s="53">
        <v>128</v>
      </c>
      <c r="AS11" s="14">
        <v>22</v>
      </c>
      <c r="AT11" s="14">
        <v>31</v>
      </c>
      <c r="AU11" s="7"/>
      <c r="AV11" s="63"/>
      <c r="AW11" s="64">
        <f t="shared" si="14"/>
        <v>0</v>
      </c>
      <c r="AY11" s="72">
        <f t="shared" si="15"/>
        <v>7</v>
      </c>
      <c r="AZ11" s="15">
        <f t="shared" si="16"/>
        <v>695.28571428571422</v>
      </c>
      <c r="BA11" s="15">
        <f t="shared" si="17"/>
        <v>1.9485714285696563</v>
      </c>
      <c r="BB11" s="15">
        <f t="shared" si="18"/>
        <v>571.28571428571422</v>
      </c>
      <c r="BC11" s="15">
        <f t="shared" si="19"/>
        <v>119.57142857142857</v>
      </c>
      <c r="BD11" s="16">
        <f t="shared" si="20"/>
        <v>0</v>
      </c>
      <c r="BE11" s="15">
        <f>IF(X11&lt;&gt;0,AVERAGE(X$11:X11)*31,)</f>
        <v>353245</v>
      </c>
      <c r="BF11" s="15">
        <f>IF(AD11+AG11&lt;&gt;0,AVERAGE(AD$11:AD11)*31+AVERAGE(AG$11:AG11)*31,)</f>
        <v>34286</v>
      </c>
      <c r="BG11" s="16">
        <f>IF(AJ11&lt;&gt;0,AVERAGE(AJ$11:AJ11)*31,)</f>
        <v>3720</v>
      </c>
      <c r="BH11" s="16">
        <f>IF(AN11&lt;&gt;0,AVERAGE(AN$11:AN11)*31,)</f>
        <v>3999</v>
      </c>
      <c r="BI11" s="16">
        <f>IF(AR11&lt;&gt;0,AVERAGE(AR$11:AR11)*31,)</f>
        <v>3968</v>
      </c>
    </row>
    <row r="12" spans="1:61" ht="15.75" x14ac:dyDescent="0.25">
      <c r="A12" s="62">
        <f t="shared" si="6"/>
        <v>8</v>
      </c>
      <c r="B12" s="47" t="s">
        <v>30</v>
      </c>
      <c r="C12" s="10"/>
      <c r="D12" s="6">
        <v>95094</v>
      </c>
      <c r="E12" s="8">
        <f t="shared" si="7"/>
        <v>142</v>
      </c>
      <c r="F12" s="6">
        <v>6645</v>
      </c>
      <c r="G12" s="8">
        <f t="shared" si="0"/>
        <v>0</v>
      </c>
      <c r="H12" s="6">
        <v>535987</v>
      </c>
      <c r="I12" s="8">
        <f t="shared" si="1"/>
        <v>111</v>
      </c>
      <c r="J12" s="53">
        <v>505596</v>
      </c>
      <c r="K12" s="8"/>
      <c r="L12" s="7"/>
      <c r="M12" s="11" t="e">
        <f t="shared" si="8"/>
        <v>#DIV/0!</v>
      </c>
      <c r="N12" s="6">
        <v>88532</v>
      </c>
      <c r="O12" s="8">
        <f t="shared" si="2"/>
        <v>28</v>
      </c>
      <c r="P12" s="12">
        <v>79507</v>
      </c>
      <c r="Q12" s="9">
        <f t="shared" si="3"/>
        <v>34</v>
      </c>
      <c r="R12" s="12">
        <v>14375</v>
      </c>
      <c r="S12" s="9">
        <f t="shared" si="9"/>
        <v>0</v>
      </c>
      <c r="T12" s="12">
        <v>170460</v>
      </c>
      <c r="U12" s="9">
        <f t="shared" si="4"/>
        <v>49</v>
      </c>
      <c r="V12" s="13"/>
      <c r="W12" s="8"/>
      <c r="X12" s="53">
        <v>11641</v>
      </c>
      <c r="Y12" s="54"/>
      <c r="Z12" s="8"/>
      <c r="AA12" s="53">
        <v>2310</v>
      </c>
      <c r="AB12" s="6"/>
      <c r="AC12" s="9">
        <f t="shared" si="10"/>
        <v>0</v>
      </c>
      <c r="AD12" s="53">
        <v>229</v>
      </c>
      <c r="AE12" s="12"/>
      <c r="AF12" s="9">
        <f t="shared" si="11"/>
        <v>0</v>
      </c>
      <c r="AG12" s="53">
        <v>873</v>
      </c>
      <c r="AH12" s="6"/>
      <c r="AI12" s="8">
        <f t="shared" si="12"/>
        <v>0</v>
      </c>
      <c r="AJ12" s="53">
        <v>96</v>
      </c>
      <c r="AK12" s="7"/>
      <c r="AL12" s="6"/>
      <c r="AM12" s="8">
        <f t="shared" si="5"/>
        <v>0</v>
      </c>
      <c r="AN12" s="53">
        <v>77</v>
      </c>
      <c r="AO12" s="7"/>
      <c r="AP12" s="6"/>
      <c r="AQ12" s="8">
        <f t="shared" si="13"/>
        <v>0</v>
      </c>
      <c r="AR12" s="53">
        <v>72</v>
      </c>
      <c r="AS12" s="14">
        <v>20</v>
      </c>
      <c r="AT12" s="14">
        <v>30</v>
      </c>
      <c r="AU12" s="7"/>
      <c r="AV12" s="63"/>
      <c r="AW12" s="64">
        <f t="shared" si="14"/>
        <v>0</v>
      </c>
      <c r="AY12" s="72">
        <f t="shared" si="15"/>
        <v>8</v>
      </c>
      <c r="AZ12" s="15">
        <f t="shared" si="16"/>
        <v>1158.625</v>
      </c>
      <c r="BA12" s="15">
        <f t="shared" si="17"/>
        <v>1.7049999999984493</v>
      </c>
      <c r="BB12" s="15">
        <f t="shared" si="18"/>
        <v>930</v>
      </c>
      <c r="BC12" s="15">
        <f t="shared" si="19"/>
        <v>213.125</v>
      </c>
      <c r="BD12" s="16">
        <f t="shared" si="20"/>
        <v>0</v>
      </c>
      <c r="BE12" s="15">
        <f>IF(X12&lt;&gt;0,AVERAGE(X$11:X12)*31,)</f>
        <v>357058</v>
      </c>
      <c r="BF12" s="15">
        <f>IF(AD12+AG12&lt;&gt;0,AVERAGE(AD$11:AD12)*31+AVERAGE(AG$11:AG12)*31,)</f>
        <v>34224</v>
      </c>
      <c r="BG12" s="16">
        <f>IF(AJ12&lt;&gt;0,AVERAGE(AJ$11:AJ12)*31,)</f>
        <v>3348</v>
      </c>
      <c r="BH12" s="16">
        <f>IF(AN12&lt;&gt;0,AVERAGE(AN$11:AN12)*31,)</f>
        <v>3193</v>
      </c>
      <c r="BI12" s="16">
        <f>IF(AR12&lt;&gt;0,AVERAGE(AR$11:AR12)*31,)</f>
        <v>3100</v>
      </c>
    </row>
    <row r="13" spans="1:61" ht="15.75" x14ac:dyDescent="0.25">
      <c r="A13" s="62">
        <v>9</v>
      </c>
      <c r="B13" s="47" t="s">
        <v>30</v>
      </c>
      <c r="C13" s="10"/>
      <c r="D13" s="6">
        <v>95249</v>
      </c>
      <c r="E13" s="8">
        <f t="shared" si="7"/>
        <v>155</v>
      </c>
      <c r="F13" s="6">
        <v>6645</v>
      </c>
      <c r="G13" s="8">
        <f t="shared" si="0"/>
        <v>0</v>
      </c>
      <c r="H13" s="6">
        <v>536113</v>
      </c>
      <c r="I13" s="8">
        <f t="shared" si="1"/>
        <v>126</v>
      </c>
      <c r="J13" s="53">
        <v>505713</v>
      </c>
      <c r="K13" s="8"/>
      <c r="L13" s="7"/>
      <c r="M13" s="11" t="e">
        <f t="shared" si="8"/>
        <v>#DIV/0!</v>
      </c>
      <c r="N13" s="6">
        <v>88561</v>
      </c>
      <c r="O13" s="8">
        <f t="shared" si="2"/>
        <v>29</v>
      </c>
      <c r="P13" s="12">
        <v>79544</v>
      </c>
      <c r="Q13" s="9">
        <f t="shared" si="3"/>
        <v>37</v>
      </c>
      <c r="R13" s="12">
        <v>14375</v>
      </c>
      <c r="S13" s="9">
        <f t="shared" si="9"/>
        <v>0</v>
      </c>
      <c r="T13" s="12">
        <v>170510</v>
      </c>
      <c r="U13" s="9">
        <f t="shared" si="4"/>
        <v>50</v>
      </c>
      <c r="V13" s="13"/>
      <c r="W13" s="8"/>
      <c r="X13" s="53">
        <v>11371</v>
      </c>
      <c r="Y13" s="54"/>
      <c r="Z13" s="8"/>
      <c r="AA13" s="53">
        <v>1803</v>
      </c>
      <c r="AB13" s="6"/>
      <c r="AC13" s="9">
        <f t="shared" si="10"/>
        <v>0</v>
      </c>
      <c r="AD13" s="53">
        <v>219</v>
      </c>
      <c r="AE13" s="12"/>
      <c r="AF13" s="9">
        <f t="shared" si="11"/>
        <v>0</v>
      </c>
      <c r="AG13" s="53">
        <v>682</v>
      </c>
      <c r="AH13" s="6"/>
      <c r="AI13" s="8">
        <f t="shared" si="12"/>
        <v>0</v>
      </c>
      <c r="AJ13" s="53">
        <v>88</v>
      </c>
      <c r="AK13" s="7"/>
      <c r="AL13" s="6"/>
      <c r="AM13" s="8">
        <f t="shared" si="5"/>
        <v>0</v>
      </c>
      <c r="AN13" s="53">
        <v>78</v>
      </c>
      <c r="AO13" s="7"/>
      <c r="AP13" s="6"/>
      <c r="AQ13" s="8">
        <f t="shared" si="13"/>
        <v>0</v>
      </c>
      <c r="AR13" s="53">
        <v>80</v>
      </c>
      <c r="AS13" s="14">
        <v>24</v>
      </c>
      <c r="AT13" s="14">
        <v>33</v>
      </c>
      <c r="AU13" s="7"/>
      <c r="AV13" s="63"/>
      <c r="AW13" s="64">
        <f t="shared" si="14"/>
        <v>0</v>
      </c>
      <c r="AY13" s="72">
        <f t="shared" si="15"/>
        <v>9</v>
      </c>
      <c r="AZ13" s="15">
        <f t="shared" si="16"/>
        <v>1563.7777777777778</v>
      </c>
      <c r="BA13" s="15">
        <f t="shared" si="17"/>
        <v>1.5155555555541773</v>
      </c>
      <c r="BB13" s="15">
        <f t="shared" si="18"/>
        <v>1260.6666666666665</v>
      </c>
      <c r="BC13" s="15">
        <f t="shared" si="19"/>
        <v>289.33333333333337</v>
      </c>
      <c r="BD13" s="16">
        <f t="shared" si="20"/>
        <v>0</v>
      </c>
      <c r="BE13" s="15">
        <f>IF(X13&lt;&gt;0,AVERAGE(X$11:X13)*31,)</f>
        <v>355539</v>
      </c>
      <c r="BF13" s="15">
        <f>IF(AD13+AG13&lt;&gt;0,AVERAGE(AD$11:AD13)*31+AVERAGE(AG$11:AG13)*31,)</f>
        <v>32126.333333333336</v>
      </c>
      <c r="BG13" s="16">
        <f>IF(AJ13&lt;&gt;0,AVERAGE(AJ$11:AJ13)*31,)</f>
        <v>3141.333333333333</v>
      </c>
      <c r="BH13" s="16">
        <f>IF(AN13&lt;&gt;0,AVERAGE(AN$11:AN13)*31,)</f>
        <v>2934.666666666667</v>
      </c>
      <c r="BI13" s="16">
        <f>IF(AR13&lt;&gt;0,AVERAGE(AR$11:AR13)*31,)</f>
        <v>2893.333333333333</v>
      </c>
    </row>
    <row r="14" spans="1:61" ht="15.75" x14ac:dyDescent="0.25">
      <c r="A14" s="62">
        <f>1+A13</f>
        <v>10</v>
      </c>
      <c r="B14" s="47" t="s">
        <v>30</v>
      </c>
      <c r="D14" s="6">
        <v>95377</v>
      </c>
      <c r="E14" s="8">
        <f t="shared" si="7"/>
        <v>128</v>
      </c>
      <c r="F14" s="6">
        <v>6645</v>
      </c>
      <c r="G14" s="8">
        <f t="shared" si="0"/>
        <v>0</v>
      </c>
      <c r="H14" s="6">
        <v>536209</v>
      </c>
      <c r="I14" s="8">
        <f t="shared" si="1"/>
        <v>96</v>
      </c>
      <c r="J14" s="53">
        <v>505803</v>
      </c>
      <c r="K14" s="8"/>
      <c r="L14" s="7"/>
      <c r="M14" s="11" t="e">
        <f t="shared" si="8"/>
        <v>#DIV/0!</v>
      </c>
      <c r="N14" s="6">
        <v>88592</v>
      </c>
      <c r="O14" s="8">
        <f t="shared" si="2"/>
        <v>31</v>
      </c>
      <c r="P14" s="12">
        <v>79579</v>
      </c>
      <c r="Q14" s="9">
        <f t="shared" si="3"/>
        <v>35</v>
      </c>
      <c r="R14" s="12">
        <v>14375</v>
      </c>
      <c r="S14" s="9">
        <f t="shared" si="9"/>
        <v>0</v>
      </c>
      <c r="T14" s="12">
        <v>170551</v>
      </c>
      <c r="U14" s="9">
        <f t="shared" si="4"/>
        <v>41</v>
      </c>
      <c r="V14" s="13">
        <v>1583.66</v>
      </c>
      <c r="W14" s="8"/>
      <c r="X14" s="53">
        <v>11633</v>
      </c>
      <c r="Y14" s="54">
        <v>310.77</v>
      </c>
      <c r="Z14" s="8"/>
      <c r="AA14" s="53">
        <v>1854</v>
      </c>
      <c r="AB14" s="6">
        <v>1584637</v>
      </c>
      <c r="AC14" s="9">
        <f t="shared" si="10"/>
        <v>1584637</v>
      </c>
      <c r="AD14" s="53">
        <v>232</v>
      </c>
      <c r="AE14" s="12">
        <v>4607290</v>
      </c>
      <c r="AF14" s="9">
        <f t="shared" si="11"/>
        <v>4607290</v>
      </c>
      <c r="AG14" s="53">
        <v>707</v>
      </c>
      <c r="AH14" s="6">
        <v>32419.7</v>
      </c>
      <c r="AI14" s="8">
        <f t="shared" si="12"/>
        <v>2593576</v>
      </c>
      <c r="AJ14" s="53">
        <v>88</v>
      </c>
      <c r="AK14" s="7"/>
      <c r="AL14" s="6">
        <v>2056769</v>
      </c>
      <c r="AM14" s="8">
        <f t="shared" si="5"/>
        <v>2056769</v>
      </c>
      <c r="AN14" s="53">
        <v>79</v>
      </c>
      <c r="AO14" s="7"/>
      <c r="AP14" s="6">
        <v>45255</v>
      </c>
      <c r="AQ14" s="8">
        <f t="shared" si="13"/>
        <v>3620400</v>
      </c>
      <c r="AR14" s="53">
        <v>48</v>
      </c>
      <c r="AS14" s="14">
        <v>21</v>
      </c>
      <c r="AT14" s="14">
        <v>34</v>
      </c>
      <c r="AU14" s="7"/>
      <c r="AV14" s="63"/>
      <c r="AW14" s="64">
        <f t="shared" si="14"/>
        <v>0</v>
      </c>
      <c r="AY14" s="72">
        <f t="shared" si="15"/>
        <v>10</v>
      </c>
      <c r="AZ14" s="15">
        <f t="shared" si="16"/>
        <v>1804.2</v>
      </c>
      <c r="BA14" s="15">
        <f t="shared" si="17"/>
        <v>1.3639999999987593</v>
      </c>
      <c r="BB14" s="15">
        <f t="shared" si="18"/>
        <v>1432.2</v>
      </c>
      <c r="BC14" s="15">
        <f t="shared" si="19"/>
        <v>356.5</v>
      </c>
      <c r="BD14" s="16">
        <f t="shared" si="20"/>
        <v>10800561.200000001</v>
      </c>
      <c r="BE14" s="15">
        <f>IF(X14&lt;&gt;0,AVERAGE(X$11:X14)*31,)</f>
        <v>356810</v>
      </c>
      <c r="BF14" s="15">
        <f>IF(AD14+AG14&lt;&gt;0,AVERAGE(AD$11:AD14)*31+AVERAGE(AG$11:AG14)*31,)</f>
        <v>31372</v>
      </c>
      <c r="BG14" s="16">
        <f>IF(AJ14&lt;&gt;0,AVERAGE(AJ$11:AJ14)*31,)</f>
        <v>3038</v>
      </c>
      <c r="BH14" s="16">
        <f>IF(AN14&lt;&gt;0,AVERAGE(AN$11:AN14)*31,)</f>
        <v>2813.25</v>
      </c>
      <c r="BI14" s="16">
        <f>IF(AR14&lt;&gt;0,AVERAGE(AR$11:AR14)*31,)</f>
        <v>2542</v>
      </c>
    </row>
    <row r="15" spans="1:61" ht="15.75" x14ac:dyDescent="0.25">
      <c r="A15" s="62">
        <f>1+A14</f>
        <v>11</v>
      </c>
      <c r="B15" s="47" t="s">
        <v>30</v>
      </c>
      <c r="C15" s="10"/>
      <c r="D15" s="6">
        <v>95512</v>
      </c>
      <c r="E15" s="8">
        <f t="shared" si="7"/>
        <v>135</v>
      </c>
      <c r="F15" s="6">
        <v>6645</v>
      </c>
      <c r="G15" s="8">
        <f t="shared" si="0"/>
        <v>0</v>
      </c>
      <c r="H15" s="6">
        <v>536347</v>
      </c>
      <c r="I15" s="8">
        <f t="shared" si="1"/>
        <v>138</v>
      </c>
      <c r="J15" s="53">
        <v>505934</v>
      </c>
      <c r="K15" s="8"/>
      <c r="L15" s="7"/>
      <c r="M15" s="11" t="e">
        <f t="shared" si="8"/>
        <v>#DIV/0!</v>
      </c>
      <c r="N15" s="6">
        <v>88621</v>
      </c>
      <c r="O15" s="8">
        <f t="shared" si="2"/>
        <v>29</v>
      </c>
      <c r="P15" s="12">
        <v>79615</v>
      </c>
      <c r="Q15" s="9">
        <f t="shared" si="3"/>
        <v>36</v>
      </c>
      <c r="R15" s="12">
        <v>14375</v>
      </c>
      <c r="S15" s="9">
        <f t="shared" si="9"/>
        <v>0</v>
      </c>
      <c r="T15" s="12">
        <v>170601</v>
      </c>
      <c r="U15" s="9">
        <f t="shared" si="4"/>
        <v>50</v>
      </c>
      <c r="V15" s="13"/>
      <c r="W15" s="8"/>
      <c r="X15" s="53">
        <v>11804</v>
      </c>
      <c r="Y15" s="54"/>
      <c r="Z15" s="8"/>
      <c r="AA15" s="53">
        <v>1929</v>
      </c>
      <c r="AB15" s="6"/>
      <c r="AC15" s="9">
        <f t="shared" si="10"/>
        <v>0</v>
      </c>
      <c r="AD15" s="53">
        <v>242</v>
      </c>
      <c r="AE15" s="12"/>
      <c r="AF15" s="9">
        <f t="shared" si="11"/>
        <v>0</v>
      </c>
      <c r="AG15" s="53">
        <v>804</v>
      </c>
      <c r="AH15" s="6"/>
      <c r="AI15" s="8">
        <f t="shared" si="12"/>
        <v>0</v>
      </c>
      <c r="AJ15" s="53">
        <v>104</v>
      </c>
      <c r="AK15" s="7"/>
      <c r="AL15" s="6"/>
      <c r="AM15" s="8">
        <f t="shared" si="5"/>
        <v>0</v>
      </c>
      <c r="AN15" s="53">
        <v>78</v>
      </c>
      <c r="AO15" s="7"/>
      <c r="AP15" s="6"/>
      <c r="AQ15" s="8">
        <f t="shared" si="13"/>
        <v>0</v>
      </c>
      <c r="AR15" s="53">
        <v>88</v>
      </c>
      <c r="AS15" s="14">
        <v>21</v>
      </c>
      <c r="AT15" s="14">
        <v>32</v>
      </c>
      <c r="AU15" s="7"/>
      <c r="AV15" s="63"/>
      <c r="AW15" s="64">
        <f t="shared" si="14"/>
        <v>0</v>
      </c>
      <c r="AY15" s="72">
        <v>11</v>
      </c>
      <c r="AZ15" s="15">
        <f t="shared" si="16"/>
        <v>2020.6363636363637</v>
      </c>
      <c r="BA15" s="15">
        <f t="shared" si="17"/>
        <v>1.2399999999988722</v>
      </c>
      <c r="BB15" s="15">
        <f t="shared" si="18"/>
        <v>1690.909090909091</v>
      </c>
      <c r="BC15" s="15">
        <f t="shared" si="19"/>
        <v>405.81818181818187</v>
      </c>
      <c r="BD15" s="16">
        <f t="shared" si="20"/>
        <v>0</v>
      </c>
      <c r="BE15" s="15">
        <f>IF(X15&lt;&gt;0,AVERAGE(X$11:X15)*31,)</f>
        <v>358632.8</v>
      </c>
      <c r="BF15" s="15">
        <f>IF(AD15+AG15&lt;&gt;0,AVERAGE(AD$11:AD15)*31+AVERAGE(AG$11:AG15)*31,)</f>
        <v>31582.800000000003</v>
      </c>
      <c r="BG15" s="16">
        <f>IF(AJ15&lt;&gt;0,AVERAGE(AJ$11:AJ15)*31,)</f>
        <v>3075.2000000000003</v>
      </c>
      <c r="BH15" s="16">
        <f>IF(AN15&lt;&gt;0,AVERAGE(AN$11:AN15)*31,)</f>
        <v>2734.2000000000003</v>
      </c>
      <c r="BI15" s="16">
        <f>IF(AR15&lt;&gt;0,AVERAGE(AR$11:AR15)*31,)</f>
        <v>2579.2000000000003</v>
      </c>
    </row>
    <row r="16" spans="1:61" ht="15.75" x14ac:dyDescent="0.25">
      <c r="A16" s="62">
        <f>1+A15</f>
        <v>12</v>
      </c>
      <c r="B16" s="47" t="s">
        <v>30</v>
      </c>
      <c r="C16" s="10"/>
      <c r="D16" s="6">
        <v>95654</v>
      </c>
      <c r="E16" s="8">
        <f t="shared" si="7"/>
        <v>142</v>
      </c>
      <c r="F16" s="6">
        <v>6645</v>
      </c>
      <c r="G16" s="8">
        <f t="shared" si="0"/>
        <v>0</v>
      </c>
      <c r="H16" s="6">
        <v>536469</v>
      </c>
      <c r="I16" s="8">
        <f t="shared" si="1"/>
        <v>122</v>
      </c>
      <c r="J16" s="53">
        <v>506049</v>
      </c>
      <c r="K16" s="8"/>
      <c r="L16" s="7"/>
      <c r="M16" s="11" t="e">
        <f t="shared" si="8"/>
        <v>#DIV/0!</v>
      </c>
      <c r="N16" s="6">
        <v>88651</v>
      </c>
      <c r="O16" s="8">
        <f t="shared" si="2"/>
        <v>30</v>
      </c>
      <c r="P16" s="12">
        <v>79652</v>
      </c>
      <c r="Q16" s="9">
        <f t="shared" si="3"/>
        <v>37</v>
      </c>
      <c r="R16" s="12">
        <v>14376</v>
      </c>
      <c r="S16" s="9">
        <f t="shared" si="9"/>
        <v>1</v>
      </c>
      <c r="T16" s="12">
        <v>170652</v>
      </c>
      <c r="U16" s="9">
        <f t="shared" si="4"/>
        <v>51</v>
      </c>
      <c r="V16" s="13"/>
      <c r="W16" s="8"/>
      <c r="X16" s="53">
        <v>12153</v>
      </c>
      <c r="Y16" s="54"/>
      <c r="Z16" s="8"/>
      <c r="AA16" s="53">
        <v>2156</v>
      </c>
      <c r="AB16" s="6"/>
      <c r="AC16" s="9">
        <f t="shared" si="10"/>
        <v>0</v>
      </c>
      <c r="AD16" s="53">
        <v>244</v>
      </c>
      <c r="AE16" s="12"/>
      <c r="AF16" s="9">
        <f t="shared" si="11"/>
        <v>0</v>
      </c>
      <c r="AG16" s="53">
        <v>872</v>
      </c>
      <c r="AH16" s="6"/>
      <c r="AI16" s="8">
        <f t="shared" si="12"/>
        <v>0</v>
      </c>
      <c r="AJ16" s="53">
        <v>96</v>
      </c>
      <c r="AK16" s="7"/>
      <c r="AL16" s="6"/>
      <c r="AM16" s="8">
        <f t="shared" si="5"/>
        <v>0</v>
      </c>
      <c r="AN16" s="53">
        <v>97</v>
      </c>
      <c r="AO16" s="7"/>
      <c r="AP16" s="6"/>
      <c r="AQ16" s="8">
        <f t="shared" si="13"/>
        <v>0</v>
      </c>
      <c r="AR16" s="53">
        <v>56</v>
      </c>
      <c r="AS16" s="14">
        <v>21</v>
      </c>
      <c r="AT16" s="14">
        <v>32</v>
      </c>
      <c r="AU16" s="7"/>
      <c r="AV16" s="63"/>
      <c r="AW16" s="64">
        <f t="shared" si="14"/>
        <v>0</v>
      </c>
      <c r="AY16" s="72">
        <f t="shared" ref="AY16:AY35" si="21">1+AY15</f>
        <v>12</v>
      </c>
      <c r="AZ16" s="15">
        <f t="shared" si="16"/>
        <v>2219.083333333333</v>
      </c>
      <c r="BA16" s="15">
        <f t="shared" si="17"/>
        <v>1.1366666666656329</v>
      </c>
      <c r="BB16" s="15">
        <f t="shared" si="18"/>
        <v>1865.1666666666665</v>
      </c>
      <c r="BC16" s="15">
        <f t="shared" si="19"/>
        <v>449.5</v>
      </c>
      <c r="BD16" s="16">
        <f t="shared" si="20"/>
        <v>0</v>
      </c>
      <c r="BE16" s="15">
        <f>IF(X16&lt;&gt;0,AVERAGE(X$11:X16)*31,)</f>
        <v>361651.16666666663</v>
      </c>
      <c r="BF16" s="15">
        <f>IF(AD16+AG16&lt;&gt;0,AVERAGE(AD$11:AD16)*31+AVERAGE(AG$11:AG16)*31,)</f>
        <v>32085</v>
      </c>
      <c r="BG16" s="16">
        <f>IF(AJ16&lt;&gt;0,AVERAGE(AJ$11:AJ16)*31,)</f>
        <v>3058.666666666667</v>
      </c>
      <c r="BH16" s="16">
        <f>IF(AN16&lt;&gt;0,AVERAGE(AN$11:AN16)*31,)</f>
        <v>2779.666666666667</v>
      </c>
      <c r="BI16" s="16">
        <f>IF(AR16&lt;&gt;0,AVERAGE(AR$11:AR16)*31,)</f>
        <v>2438.666666666667</v>
      </c>
    </row>
    <row r="17" spans="1:61" ht="15.75" x14ac:dyDescent="0.25">
      <c r="A17" s="62">
        <v>13</v>
      </c>
      <c r="B17" s="47" t="s">
        <v>30</v>
      </c>
      <c r="C17" s="10"/>
      <c r="D17" s="6">
        <v>95800</v>
      </c>
      <c r="E17" s="8">
        <f t="shared" si="7"/>
        <v>146</v>
      </c>
      <c r="F17" s="6">
        <v>6645</v>
      </c>
      <c r="G17" s="8">
        <f t="shared" si="0"/>
        <v>0</v>
      </c>
      <c r="H17" s="6">
        <v>536608</v>
      </c>
      <c r="I17" s="8">
        <f t="shared" si="1"/>
        <v>139</v>
      </c>
      <c r="J17" s="53">
        <v>506180</v>
      </c>
      <c r="K17" s="8"/>
      <c r="L17" s="7"/>
      <c r="M17" s="11" t="e">
        <f t="shared" si="8"/>
        <v>#DIV/0!</v>
      </c>
      <c r="N17" s="6">
        <v>88678</v>
      </c>
      <c r="O17" s="8">
        <f t="shared" si="2"/>
        <v>27</v>
      </c>
      <c r="P17" s="12">
        <v>79675</v>
      </c>
      <c r="Q17" s="9">
        <f t="shared" si="3"/>
        <v>23</v>
      </c>
      <c r="R17" s="12">
        <v>14376</v>
      </c>
      <c r="S17" s="9">
        <f t="shared" si="9"/>
        <v>0</v>
      </c>
      <c r="T17" s="12">
        <v>170692</v>
      </c>
      <c r="U17" s="9">
        <f t="shared" si="4"/>
        <v>40</v>
      </c>
      <c r="V17" s="13"/>
      <c r="W17" s="8"/>
      <c r="X17" s="53">
        <v>11876</v>
      </c>
      <c r="Y17" s="54"/>
      <c r="Z17" s="8"/>
      <c r="AA17" s="53">
        <v>2424</v>
      </c>
      <c r="AB17" s="6"/>
      <c r="AC17" s="9">
        <f t="shared" si="10"/>
        <v>0</v>
      </c>
      <c r="AD17" s="53">
        <v>243</v>
      </c>
      <c r="AE17" s="12"/>
      <c r="AF17" s="9">
        <f t="shared" si="11"/>
        <v>0</v>
      </c>
      <c r="AG17" s="53">
        <v>790</v>
      </c>
      <c r="AH17" s="6"/>
      <c r="AI17" s="8">
        <f t="shared" si="12"/>
        <v>0</v>
      </c>
      <c r="AJ17" s="53">
        <v>88</v>
      </c>
      <c r="AK17" s="7"/>
      <c r="AL17" s="6"/>
      <c r="AM17" s="8">
        <f t="shared" si="5"/>
        <v>0</v>
      </c>
      <c r="AN17" s="53">
        <v>77</v>
      </c>
      <c r="AO17" s="7"/>
      <c r="AP17" s="6"/>
      <c r="AQ17" s="8">
        <f t="shared" si="13"/>
        <v>0</v>
      </c>
      <c r="AR17" s="53">
        <v>96</v>
      </c>
      <c r="AS17" s="14">
        <v>20</v>
      </c>
      <c r="AT17" s="14">
        <v>31</v>
      </c>
      <c r="AU17" s="7"/>
      <c r="AV17" s="63"/>
      <c r="AW17" s="64">
        <f t="shared" si="14"/>
        <v>0</v>
      </c>
      <c r="AY17" s="72">
        <f t="shared" si="21"/>
        <v>13</v>
      </c>
      <c r="AZ17" s="15">
        <f t="shared" si="16"/>
        <v>2396.5384615384614</v>
      </c>
      <c r="BA17" s="15">
        <f t="shared" si="17"/>
        <v>1.0492307692298151</v>
      </c>
      <c r="BB17" s="15">
        <f t="shared" si="18"/>
        <v>2053.1538461538462</v>
      </c>
      <c r="BC17" s="15">
        <f t="shared" si="19"/>
        <v>479.30769230769232</v>
      </c>
      <c r="BD17" s="16">
        <f t="shared" si="20"/>
        <v>0</v>
      </c>
      <c r="BE17" s="15">
        <f>IF(X17&lt;&gt;0,AVERAGE(X$11:X17)*31,)</f>
        <v>362580.42857142858</v>
      </c>
      <c r="BF17" s="15">
        <f>IF(AD17+AG17&lt;&gt;0,AVERAGE(AD$11:AD17)*31+AVERAGE(AG$11:AG17)*31,)</f>
        <v>32076.142857142859</v>
      </c>
      <c r="BG17" s="16">
        <f>IF(AJ17&lt;&gt;0,AVERAGE(AJ$11:AJ17)*31,)</f>
        <v>3011.4285714285711</v>
      </c>
      <c r="BH17" s="16">
        <f>IF(AN17&lt;&gt;0,AVERAGE(AN$11:AN17)*31,)</f>
        <v>2723.5714285714289</v>
      </c>
      <c r="BI17" s="16">
        <f>IF(AR17&lt;&gt;0,AVERAGE(AR$11:AR17)*31,)</f>
        <v>2515.4285714285711</v>
      </c>
    </row>
    <row r="18" spans="1:61" ht="15.75" x14ac:dyDescent="0.25">
      <c r="A18" s="62">
        <f t="shared" ref="A18:A32" si="22">1+A17</f>
        <v>14</v>
      </c>
      <c r="B18" s="47" t="s">
        <v>30</v>
      </c>
      <c r="C18" s="10"/>
      <c r="D18" s="6">
        <v>95944</v>
      </c>
      <c r="E18" s="8">
        <f t="shared" si="7"/>
        <v>144</v>
      </c>
      <c r="F18" s="6">
        <v>6645</v>
      </c>
      <c r="G18" s="8">
        <f t="shared" si="0"/>
        <v>0</v>
      </c>
      <c r="H18" s="6">
        <v>536726</v>
      </c>
      <c r="I18" s="8">
        <f t="shared" si="1"/>
        <v>118</v>
      </c>
      <c r="J18" s="53">
        <v>506291</v>
      </c>
      <c r="K18" s="8"/>
      <c r="L18" s="7"/>
      <c r="M18" s="11" t="e">
        <f t="shared" si="8"/>
        <v>#DIV/0!</v>
      </c>
      <c r="N18" s="6">
        <v>88706</v>
      </c>
      <c r="O18" s="8">
        <f t="shared" si="2"/>
        <v>28</v>
      </c>
      <c r="P18" s="12">
        <v>79707</v>
      </c>
      <c r="Q18" s="9">
        <f t="shared" si="3"/>
        <v>32</v>
      </c>
      <c r="R18" s="12">
        <v>14376</v>
      </c>
      <c r="S18" s="9">
        <f t="shared" si="9"/>
        <v>0</v>
      </c>
      <c r="T18" s="12">
        <v>170741</v>
      </c>
      <c r="U18" s="9">
        <f t="shared" si="4"/>
        <v>49</v>
      </c>
      <c r="V18" s="13"/>
      <c r="W18" s="8"/>
      <c r="X18" s="53">
        <v>12266</v>
      </c>
      <c r="Y18" s="54"/>
      <c r="Z18" s="8"/>
      <c r="AA18" s="53">
        <v>2189</v>
      </c>
      <c r="AB18" s="6"/>
      <c r="AC18" s="9">
        <f t="shared" si="10"/>
        <v>0</v>
      </c>
      <c r="AD18" s="53">
        <v>225</v>
      </c>
      <c r="AE18" s="12"/>
      <c r="AF18" s="9">
        <f t="shared" si="11"/>
        <v>0</v>
      </c>
      <c r="AG18" s="53">
        <v>968</v>
      </c>
      <c r="AH18" s="6"/>
      <c r="AI18" s="8">
        <f t="shared" si="12"/>
        <v>0</v>
      </c>
      <c r="AJ18" s="53">
        <v>120</v>
      </c>
      <c r="AK18" s="7"/>
      <c r="AL18" s="6"/>
      <c r="AM18" s="8">
        <f t="shared" si="5"/>
        <v>0</v>
      </c>
      <c r="AN18" s="53">
        <v>82</v>
      </c>
      <c r="AO18" s="7"/>
      <c r="AP18" s="6"/>
      <c r="AQ18" s="8">
        <f t="shared" si="13"/>
        <v>0</v>
      </c>
      <c r="AR18" s="53">
        <v>104</v>
      </c>
      <c r="AS18" s="14">
        <v>21</v>
      </c>
      <c r="AT18" s="14">
        <v>32</v>
      </c>
      <c r="AU18" s="7"/>
      <c r="AV18" s="63"/>
      <c r="AW18" s="64">
        <f t="shared" si="14"/>
        <v>0</v>
      </c>
      <c r="AY18" s="72">
        <f t="shared" si="21"/>
        <v>14</v>
      </c>
      <c r="AZ18" s="15">
        <f t="shared" si="16"/>
        <v>2544.2142857142858</v>
      </c>
      <c r="BA18" s="15">
        <f t="shared" si="17"/>
        <v>0.97428571428482813</v>
      </c>
      <c r="BB18" s="15">
        <f t="shared" si="18"/>
        <v>2167.7857142857142</v>
      </c>
      <c r="BC18" s="15">
        <f t="shared" si="19"/>
        <v>507.07142857142861</v>
      </c>
      <c r="BD18" s="16">
        <f t="shared" si="20"/>
        <v>0</v>
      </c>
      <c r="BE18" s="15">
        <f>IF(X18&lt;&gt;0,AVERAGE(X$11:X18)*31,)</f>
        <v>364788.625</v>
      </c>
      <c r="BF18" s="15">
        <f>IF(AD18+AG18&lt;&gt;0,AVERAGE(AD$11:AD18)*31+AVERAGE(AG$11:AG18)*31,)</f>
        <v>32689.5</v>
      </c>
      <c r="BG18" s="16">
        <f>IF(AJ18&lt;&gt;0,AVERAGE(AJ$11:AJ18)*31,)</f>
        <v>3100</v>
      </c>
      <c r="BH18" s="16">
        <f>IF(AN18&lt;&gt;0,AVERAGE(AN$11:AN18)*31,)</f>
        <v>2700.875</v>
      </c>
      <c r="BI18" s="16">
        <f>IF(AR18&lt;&gt;0,AVERAGE(AR$11:AR18)*31,)</f>
        <v>2604</v>
      </c>
    </row>
    <row r="19" spans="1:61" ht="15.75" x14ac:dyDescent="0.25">
      <c r="A19" s="62">
        <f t="shared" si="22"/>
        <v>15</v>
      </c>
      <c r="B19" s="47" t="s">
        <v>30</v>
      </c>
      <c r="C19" s="10"/>
      <c r="D19" s="6">
        <v>96085</v>
      </c>
      <c r="E19" s="8">
        <f t="shared" si="7"/>
        <v>141</v>
      </c>
      <c r="F19" s="6">
        <v>6645</v>
      </c>
      <c r="G19" s="8">
        <f t="shared" si="0"/>
        <v>0</v>
      </c>
      <c r="H19" s="6">
        <v>536846</v>
      </c>
      <c r="I19" s="8">
        <f t="shared" si="1"/>
        <v>120</v>
      </c>
      <c r="J19" s="53">
        <v>506403</v>
      </c>
      <c r="K19" s="8"/>
      <c r="L19" s="7"/>
      <c r="M19" s="11" t="e">
        <f t="shared" si="8"/>
        <v>#DIV/0!</v>
      </c>
      <c r="N19" s="6">
        <v>88732</v>
      </c>
      <c r="O19" s="8">
        <f t="shared" si="2"/>
        <v>26</v>
      </c>
      <c r="P19" s="12">
        <v>79740</v>
      </c>
      <c r="Q19" s="9">
        <f t="shared" si="3"/>
        <v>33</v>
      </c>
      <c r="R19" s="12">
        <v>14376</v>
      </c>
      <c r="S19" s="9">
        <f t="shared" si="9"/>
        <v>0</v>
      </c>
      <c r="T19" s="12">
        <v>170787</v>
      </c>
      <c r="U19" s="9">
        <f t="shared" si="4"/>
        <v>46</v>
      </c>
      <c r="V19" s="13"/>
      <c r="W19" s="8"/>
      <c r="X19" s="53">
        <v>11849</v>
      </c>
      <c r="Y19" s="54"/>
      <c r="Z19" s="8"/>
      <c r="AA19" s="53">
        <v>1975</v>
      </c>
      <c r="AB19" s="6"/>
      <c r="AC19" s="9">
        <f t="shared" si="10"/>
        <v>0</v>
      </c>
      <c r="AD19" s="53">
        <v>218</v>
      </c>
      <c r="AE19" s="12"/>
      <c r="AF19" s="9">
        <f t="shared" si="11"/>
        <v>0</v>
      </c>
      <c r="AG19" s="53">
        <v>808</v>
      </c>
      <c r="AH19" s="6"/>
      <c r="AI19" s="8">
        <f t="shared" si="12"/>
        <v>0</v>
      </c>
      <c r="AJ19" s="53">
        <v>88</v>
      </c>
      <c r="AK19" s="7"/>
      <c r="AL19" s="6"/>
      <c r="AM19" s="8">
        <f t="shared" si="5"/>
        <v>0</v>
      </c>
      <c r="AN19" s="53">
        <v>81</v>
      </c>
      <c r="AO19" s="7"/>
      <c r="AP19" s="6"/>
      <c r="AQ19" s="8">
        <f t="shared" si="13"/>
        <v>0</v>
      </c>
      <c r="AR19" s="53">
        <v>104</v>
      </c>
      <c r="AS19" s="14">
        <v>21</v>
      </c>
      <c r="AT19" s="14">
        <v>32</v>
      </c>
      <c r="AU19" s="7"/>
      <c r="AV19" s="63"/>
      <c r="AW19" s="64">
        <f t="shared" si="14"/>
        <v>0</v>
      </c>
      <c r="AY19" s="72">
        <f t="shared" si="21"/>
        <v>15</v>
      </c>
      <c r="AZ19" s="15">
        <f t="shared" si="16"/>
        <v>2666</v>
      </c>
      <c r="BA19" s="15">
        <f t="shared" si="17"/>
        <v>0.90933333333250632</v>
      </c>
      <c r="BB19" s="15">
        <f t="shared" si="18"/>
        <v>2271.2666666666664</v>
      </c>
      <c r="BC19" s="15">
        <f t="shared" si="19"/>
        <v>527</v>
      </c>
      <c r="BD19" s="16">
        <f t="shared" si="20"/>
        <v>0</v>
      </c>
      <c r="BE19" s="15">
        <f>IF(X19&lt;&gt;0,AVERAGE(X$11:X19)*31,)</f>
        <v>365069.77777777781</v>
      </c>
      <c r="BF19" s="15">
        <f>IF(AD19+AG19&lt;&gt;0,AVERAGE(AD$11:AD19)*31+AVERAGE(AG$11:AG19)*31,)</f>
        <v>32591.333333333336</v>
      </c>
      <c r="BG19" s="16">
        <f>IF(AJ19&lt;&gt;0,AVERAGE(AJ$11:AJ19)*31,)</f>
        <v>3058.666666666667</v>
      </c>
      <c r="BH19" s="16">
        <f>IF(AN19&lt;&gt;0,AVERAGE(AN$11:AN19)*31,)</f>
        <v>2679.7777777777778</v>
      </c>
      <c r="BI19" s="16">
        <f>IF(AR19&lt;&gt;0,AVERAGE(AR$11:AR19)*31,)</f>
        <v>2672.8888888888891</v>
      </c>
    </row>
    <row r="20" spans="1:61" ht="15.75" x14ac:dyDescent="0.25">
      <c r="A20" s="62">
        <f t="shared" si="22"/>
        <v>16</v>
      </c>
      <c r="B20" s="47" t="s">
        <v>30</v>
      </c>
      <c r="C20" s="10"/>
      <c r="D20" s="6">
        <v>96238</v>
      </c>
      <c r="E20" s="8">
        <f t="shared" si="7"/>
        <v>153</v>
      </c>
      <c r="F20" s="6">
        <v>6645</v>
      </c>
      <c r="G20" s="8">
        <f t="shared" si="0"/>
        <v>0</v>
      </c>
      <c r="H20" s="6">
        <v>536962</v>
      </c>
      <c r="I20" s="8">
        <f t="shared" si="1"/>
        <v>116</v>
      </c>
      <c r="J20" s="53">
        <v>506512</v>
      </c>
      <c r="K20" s="8"/>
      <c r="L20" s="7"/>
      <c r="M20" s="11" t="e">
        <f t="shared" si="8"/>
        <v>#DIV/0!</v>
      </c>
      <c r="N20" s="6">
        <v>88759</v>
      </c>
      <c r="O20" s="8">
        <f t="shared" si="2"/>
        <v>27</v>
      </c>
      <c r="P20" s="12">
        <v>79775</v>
      </c>
      <c r="Q20" s="9">
        <f t="shared" si="3"/>
        <v>35</v>
      </c>
      <c r="R20" s="12">
        <v>14376</v>
      </c>
      <c r="S20" s="9">
        <f t="shared" si="9"/>
        <v>0</v>
      </c>
      <c r="T20" s="12">
        <v>170835</v>
      </c>
      <c r="U20" s="9">
        <f t="shared" si="4"/>
        <v>48</v>
      </c>
      <c r="V20" s="13"/>
      <c r="W20" s="8"/>
      <c r="X20" s="53">
        <v>12389</v>
      </c>
      <c r="Y20" s="54"/>
      <c r="Z20" s="8"/>
      <c r="AA20" s="53">
        <v>2351</v>
      </c>
      <c r="AB20" s="6"/>
      <c r="AC20" s="9">
        <f t="shared" si="10"/>
        <v>0</v>
      </c>
      <c r="AD20" s="53">
        <v>242</v>
      </c>
      <c r="AE20" s="12"/>
      <c r="AF20" s="9">
        <f t="shared" si="11"/>
        <v>0</v>
      </c>
      <c r="AG20" s="53">
        <v>801</v>
      </c>
      <c r="AH20" s="6"/>
      <c r="AI20" s="8">
        <f t="shared" si="12"/>
        <v>0</v>
      </c>
      <c r="AJ20" s="53">
        <v>120</v>
      </c>
      <c r="AK20" s="7"/>
      <c r="AL20" s="6"/>
      <c r="AM20" s="8">
        <f t="shared" si="5"/>
        <v>0</v>
      </c>
      <c r="AN20" s="53">
        <v>80</v>
      </c>
      <c r="AO20" s="7"/>
      <c r="AP20" s="6"/>
      <c r="AQ20" s="8">
        <f t="shared" si="13"/>
        <v>0</v>
      </c>
      <c r="AR20" s="53">
        <v>120</v>
      </c>
      <c r="AS20" s="14">
        <v>21</v>
      </c>
      <c r="AT20" s="14">
        <v>31</v>
      </c>
      <c r="AU20" s="7"/>
      <c r="AV20" s="63"/>
      <c r="AW20" s="64">
        <f t="shared" si="14"/>
        <v>0</v>
      </c>
      <c r="AY20" s="72">
        <f t="shared" si="21"/>
        <v>16</v>
      </c>
      <c r="AZ20" s="15">
        <f t="shared" si="16"/>
        <v>2795.8125</v>
      </c>
      <c r="BA20" s="15">
        <f t="shared" si="17"/>
        <v>0.85249999999922466</v>
      </c>
      <c r="BB20" s="15">
        <f t="shared" si="18"/>
        <v>2354.0625</v>
      </c>
      <c r="BC20" s="15">
        <f t="shared" si="19"/>
        <v>546.375</v>
      </c>
      <c r="BD20" s="16">
        <f t="shared" si="20"/>
        <v>0</v>
      </c>
      <c r="BE20" s="15">
        <f>IF(X20&lt;&gt;0,AVERAGE(X$11:X20)*31,)</f>
        <v>366968.7</v>
      </c>
      <c r="BF20" s="15">
        <f>IF(AD20+AG20&lt;&gt;0,AVERAGE(AD$11:AD20)*31+AVERAGE(AG$11:AG20)*31,)</f>
        <v>32565.5</v>
      </c>
      <c r="BG20" s="16">
        <f>IF(AJ20&lt;&gt;0,AVERAGE(AJ$11:AJ20)*31,)</f>
        <v>3124.7999999999997</v>
      </c>
      <c r="BH20" s="16">
        <f>IF(AN20&lt;&gt;0,AVERAGE(AN$11:AN20)*31,)</f>
        <v>2659.7999999999997</v>
      </c>
      <c r="BI20" s="16">
        <f>IF(AR20&lt;&gt;0,AVERAGE(AR$11:AR20)*31,)</f>
        <v>2777.6</v>
      </c>
    </row>
    <row r="21" spans="1:61" ht="15.75" x14ac:dyDescent="0.25">
      <c r="A21" s="62">
        <f t="shared" si="22"/>
        <v>17</v>
      </c>
      <c r="B21" s="47" t="s">
        <v>30</v>
      </c>
      <c r="C21" s="10"/>
      <c r="D21" s="6">
        <v>96377</v>
      </c>
      <c r="E21" s="8">
        <f t="shared" si="7"/>
        <v>139</v>
      </c>
      <c r="F21" s="6">
        <v>6644.87</v>
      </c>
      <c r="G21" s="8">
        <f t="shared" si="0"/>
        <v>-0.13000000000010914</v>
      </c>
      <c r="H21" s="6">
        <v>537073</v>
      </c>
      <c r="I21" s="8">
        <f t="shared" si="1"/>
        <v>111</v>
      </c>
      <c r="J21" s="53">
        <v>506616</v>
      </c>
      <c r="K21" s="8"/>
      <c r="L21" s="7"/>
      <c r="M21" s="11" t="e">
        <f t="shared" si="8"/>
        <v>#DIV/0!</v>
      </c>
      <c r="N21" s="6">
        <v>88786</v>
      </c>
      <c r="O21" s="8">
        <f t="shared" si="2"/>
        <v>27</v>
      </c>
      <c r="P21" s="12">
        <v>79814</v>
      </c>
      <c r="Q21" s="9">
        <f t="shared" si="3"/>
        <v>39</v>
      </c>
      <c r="R21" s="12">
        <v>14376</v>
      </c>
      <c r="S21" s="9">
        <f t="shared" si="9"/>
        <v>0</v>
      </c>
      <c r="T21" s="12">
        <v>170884</v>
      </c>
      <c r="U21" s="9">
        <f t="shared" si="4"/>
        <v>49</v>
      </c>
      <c r="V21" s="13"/>
      <c r="W21" s="8"/>
      <c r="X21" s="53">
        <v>12142</v>
      </c>
      <c r="Y21" s="56"/>
      <c r="Z21" s="8"/>
      <c r="AA21" s="53">
        <v>2470</v>
      </c>
      <c r="AB21" s="6"/>
      <c r="AC21" s="9">
        <f t="shared" si="10"/>
        <v>0</v>
      </c>
      <c r="AD21" s="53">
        <v>252</v>
      </c>
      <c r="AE21" s="12"/>
      <c r="AF21" s="9">
        <f t="shared" si="11"/>
        <v>0</v>
      </c>
      <c r="AG21" s="53">
        <v>902</v>
      </c>
      <c r="AH21" s="6"/>
      <c r="AI21" s="8">
        <f t="shared" si="12"/>
        <v>0</v>
      </c>
      <c r="AJ21" s="53">
        <v>96</v>
      </c>
      <c r="AK21" s="7"/>
      <c r="AL21" s="6"/>
      <c r="AM21" s="8">
        <f t="shared" si="5"/>
        <v>0</v>
      </c>
      <c r="AN21" s="53">
        <v>75</v>
      </c>
      <c r="AO21" s="7"/>
      <c r="AP21" s="6"/>
      <c r="AQ21" s="8">
        <f t="shared" si="13"/>
        <v>0</v>
      </c>
      <c r="AR21" s="53">
        <v>152</v>
      </c>
      <c r="AS21" s="14">
        <v>19</v>
      </c>
      <c r="AT21" s="14">
        <v>30</v>
      </c>
      <c r="AU21" s="7"/>
      <c r="AV21" s="63"/>
      <c r="AW21" s="64">
        <f t="shared" si="14"/>
        <v>0</v>
      </c>
      <c r="AY21" s="72">
        <f t="shared" si="21"/>
        <v>17</v>
      </c>
      <c r="AZ21" s="15">
        <f t="shared" si="16"/>
        <v>2884.8235294117649</v>
      </c>
      <c r="BA21" s="15">
        <f t="shared" si="17"/>
        <v>0.56529411764613002</v>
      </c>
      <c r="BB21" s="15">
        <f t="shared" si="18"/>
        <v>2418</v>
      </c>
      <c r="BC21" s="15">
        <f t="shared" si="19"/>
        <v>563.47058823529414</v>
      </c>
      <c r="BD21" s="16">
        <f t="shared" si="20"/>
        <v>0</v>
      </c>
      <c r="BE21" s="15">
        <f>IF(X21&lt;&gt;0,AVERAGE(X$11:X21)*31,)</f>
        <v>367826.27272727271</v>
      </c>
      <c r="BF21" s="15">
        <f>IF(AD21+AG21&lt;&gt;0,AVERAGE(AD$11:AD21)*31+AVERAGE(AG$11:AG21)*31,)</f>
        <v>32857.181818181816</v>
      </c>
      <c r="BG21" s="16">
        <f>IF(AJ21&lt;&gt;0,AVERAGE(AJ$11:AJ21)*31,)</f>
        <v>3111.272727272727</v>
      </c>
      <c r="BH21" s="16">
        <f>IF(AN21&lt;&gt;0,AVERAGE(AN$11:AN21)*31,)</f>
        <v>2629.363636363636</v>
      </c>
      <c r="BI21" s="16">
        <f>IF(AR21&lt;&gt;0,AVERAGE(AR$11:AR21)*31,)</f>
        <v>2953.454545454545</v>
      </c>
    </row>
    <row r="22" spans="1:61" ht="15.75" x14ac:dyDescent="0.25">
      <c r="A22" s="62">
        <f t="shared" si="22"/>
        <v>18</v>
      </c>
      <c r="B22" s="47" t="s">
        <v>30</v>
      </c>
      <c r="C22" s="10"/>
      <c r="D22" s="6">
        <v>96513</v>
      </c>
      <c r="E22" s="8">
        <f t="shared" si="7"/>
        <v>136</v>
      </c>
      <c r="F22" s="6">
        <v>6645</v>
      </c>
      <c r="G22" s="8">
        <f t="shared" si="0"/>
        <v>0.13000000000010914</v>
      </c>
      <c r="H22" s="6">
        <v>537197</v>
      </c>
      <c r="I22" s="8">
        <f t="shared" si="1"/>
        <v>124</v>
      </c>
      <c r="J22" s="53">
        <v>506733</v>
      </c>
      <c r="K22" s="8"/>
      <c r="L22" s="7"/>
      <c r="M22" s="11" t="e">
        <f t="shared" si="8"/>
        <v>#DIV/0!</v>
      </c>
      <c r="N22" s="6">
        <v>88811</v>
      </c>
      <c r="O22" s="8">
        <f t="shared" si="2"/>
        <v>25</v>
      </c>
      <c r="P22" s="12">
        <v>79850</v>
      </c>
      <c r="Q22" s="9">
        <f t="shared" si="3"/>
        <v>36</v>
      </c>
      <c r="R22" s="12">
        <v>14376</v>
      </c>
      <c r="S22" s="9">
        <f t="shared" si="9"/>
        <v>0</v>
      </c>
      <c r="T22" s="12">
        <v>170929</v>
      </c>
      <c r="U22" s="9">
        <f t="shared" si="4"/>
        <v>45</v>
      </c>
      <c r="V22" s="13"/>
      <c r="W22" s="8"/>
      <c r="X22" s="53">
        <v>11984</v>
      </c>
      <c r="Y22" s="54"/>
      <c r="Z22" s="8"/>
      <c r="AA22" s="53">
        <v>2258</v>
      </c>
      <c r="AB22" s="6"/>
      <c r="AC22" s="9">
        <f t="shared" si="10"/>
        <v>0</v>
      </c>
      <c r="AD22" s="53">
        <v>251</v>
      </c>
      <c r="AE22" s="12"/>
      <c r="AF22" s="9">
        <f t="shared" si="11"/>
        <v>0</v>
      </c>
      <c r="AG22" s="53">
        <v>870</v>
      </c>
      <c r="AH22" s="6"/>
      <c r="AI22" s="8">
        <f t="shared" si="12"/>
        <v>0</v>
      </c>
      <c r="AJ22" s="53">
        <v>160</v>
      </c>
      <c r="AK22" s="7"/>
      <c r="AL22" s="6"/>
      <c r="AM22" s="8">
        <f t="shared" si="5"/>
        <v>0</v>
      </c>
      <c r="AN22" s="53">
        <v>79</v>
      </c>
      <c r="AO22" s="7"/>
      <c r="AP22" s="6"/>
      <c r="AQ22" s="8">
        <f t="shared" si="13"/>
        <v>0</v>
      </c>
      <c r="AR22" s="53">
        <v>264</v>
      </c>
      <c r="AS22" s="14">
        <v>19</v>
      </c>
      <c r="AT22" s="14">
        <v>30</v>
      </c>
      <c r="AU22" s="7"/>
      <c r="AV22" s="63"/>
      <c r="AW22" s="64">
        <f t="shared" si="14"/>
        <v>0</v>
      </c>
      <c r="AY22" s="72">
        <f t="shared" si="21"/>
        <v>18</v>
      </c>
      <c r="AZ22" s="15">
        <f t="shared" si="16"/>
        <v>2958.7777777777778</v>
      </c>
      <c r="BA22" s="15">
        <f t="shared" si="17"/>
        <v>0.75777777777708866</v>
      </c>
      <c r="BB22" s="15">
        <f t="shared" si="18"/>
        <v>2497.2222222222222</v>
      </c>
      <c r="BC22" s="15">
        <f t="shared" si="19"/>
        <v>575.22222222222229</v>
      </c>
      <c r="BD22" s="16">
        <f t="shared" si="20"/>
        <v>0</v>
      </c>
      <c r="BE22" s="15">
        <f>IF(X22&lt;&gt;0,AVERAGE(X$11:X22)*31,)</f>
        <v>368132.75</v>
      </c>
      <c r="BF22" s="15">
        <f>IF(AD22+AG22&lt;&gt;0,AVERAGE(AD$11:AD22)*31+AVERAGE(AG$11:AG22)*31,)</f>
        <v>33015</v>
      </c>
      <c r="BG22" s="16">
        <f>IF(AJ22&lt;&gt;0,AVERAGE(AJ$11:AJ22)*31,)</f>
        <v>3265.333333333333</v>
      </c>
      <c r="BH22" s="16">
        <f>IF(AN22&lt;&gt;0,AVERAGE(AN$11:AN22)*31,)</f>
        <v>2614.333333333333</v>
      </c>
      <c r="BI22" s="16">
        <f>IF(AR22&lt;&gt;0,AVERAGE(AR$11:AR22)*31,)</f>
        <v>3389.333333333333</v>
      </c>
    </row>
    <row r="23" spans="1:61" ht="15.75" x14ac:dyDescent="0.25">
      <c r="A23" s="62">
        <f t="shared" si="22"/>
        <v>19</v>
      </c>
      <c r="B23" s="47" t="s">
        <v>30</v>
      </c>
      <c r="C23" s="10"/>
      <c r="D23" s="6">
        <v>96654</v>
      </c>
      <c r="E23" s="8">
        <f t="shared" si="7"/>
        <v>141</v>
      </c>
      <c r="F23" s="6">
        <v>6645</v>
      </c>
      <c r="G23" s="8">
        <f t="shared" si="0"/>
        <v>0</v>
      </c>
      <c r="H23" s="6">
        <v>537317</v>
      </c>
      <c r="I23" s="8">
        <f t="shared" si="1"/>
        <v>120</v>
      </c>
      <c r="J23" s="53">
        <v>506846</v>
      </c>
      <c r="K23" s="8"/>
      <c r="L23" s="7"/>
      <c r="M23" s="11" t="e">
        <f t="shared" si="8"/>
        <v>#DIV/0!</v>
      </c>
      <c r="N23" s="6">
        <v>88837</v>
      </c>
      <c r="O23" s="8">
        <f t="shared" si="2"/>
        <v>26</v>
      </c>
      <c r="P23" s="12">
        <v>79888</v>
      </c>
      <c r="Q23" s="9">
        <f t="shared" si="3"/>
        <v>38</v>
      </c>
      <c r="R23" s="12">
        <v>14376</v>
      </c>
      <c r="S23" s="9">
        <f t="shared" si="9"/>
        <v>0</v>
      </c>
      <c r="T23" s="12">
        <v>170979</v>
      </c>
      <c r="U23" s="9">
        <f t="shared" si="4"/>
        <v>50</v>
      </c>
      <c r="V23" s="13"/>
      <c r="W23" s="8"/>
      <c r="X23" s="53">
        <v>11882</v>
      </c>
      <c r="Y23" s="54"/>
      <c r="Z23" s="8"/>
      <c r="AA23" s="53">
        <v>2430</v>
      </c>
      <c r="AB23" s="6"/>
      <c r="AC23" s="9">
        <f t="shared" si="10"/>
        <v>0</v>
      </c>
      <c r="AD23" s="53">
        <v>246</v>
      </c>
      <c r="AE23" s="12"/>
      <c r="AF23" s="9">
        <f t="shared" si="11"/>
        <v>0</v>
      </c>
      <c r="AG23" s="53">
        <v>948</v>
      </c>
      <c r="AH23" s="6"/>
      <c r="AI23" s="8">
        <f t="shared" si="12"/>
        <v>0</v>
      </c>
      <c r="AJ23" s="53">
        <v>120</v>
      </c>
      <c r="AK23" s="7"/>
      <c r="AL23" s="6"/>
      <c r="AM23" s="8">
        <f t="shared" si="5"/>
        <v>0</v>
      </c>
      <c r="AN23" s="53">
        <v>212</v>
      </c>
      <c r="AO23" s="7"/>
      <c r="AP23" s="6"/>
      <c r="AQ23" s="8">
        <f t="shared" si="13"/>
        <v>0</v>
      </c>
      <c r="AR23" s="53">
        <v>168</v>
      </c>
      <c r="AS23" s="14">
        <v>22</v>
      </c>
      <c r="AT23" s="14">
        <v>30</v>
      </c>
      <c r="AU23" s="7"/>
      <c r="AV23" s="63"/>
      <c r="AW23" s="64">
        <f t="shared" si="14"/>
        <v>0</v>
      </c>
      <c r="AY23" s="72">
        <f t="shared" si="21"/>
        <v>19</v>
      </c>
      <c r="AZ23" s="15">
        <f t="shared" si="16"/>
        <v>3033.1052631578946</v>
      </c>
      <c r="BA23" s="15">
        <f t="shared" si="17"/>
        <v>0.71789473684145233</v>
      </c>
      <c r="BB23" s="15">
        <f t="shared" si="18"/>
        <v>2561.5789473684213</v>
      </c>
      <c r="BC23" s="15">
        <f t="shared" si="19"/>
        <v>587.36842105263156</v>
      </c>
      <c r="BD23" s="16">
        <f t="shared" si="20"/>
        <v>0</v>
      </c>
      <c r="BE23" s="15">
        <f>IF(X23&lt;&gt;0,AVERAGE(X$11:X23)*31,)</f>
        <v>368148.84615384613</v>
      </c>
      <c r="BF23" s="15">
        <f>IF(AD23+AG23&lt;&gt;0,AVERAGE(AD$11:AD23)*31+AVERAGE(AG$11:AG23)*31,)</f>
        <v>33322.615384615383</v>
      </c>
      <c r="BG23" s="16">
        <f>IF(AJ23&lt;&gt;0,AVERAGE(AJ$11:AJ23)*31,)</f>
        <v>3300.3076923076924</v>
      </c>
      <c r="BH23" s="16">
        <f>IF(AN23&lt;&gt;0,AVERAGE(AN$11:AN23)*31,)</f>
        <v>2918.7692307692309</v>
      </c>
      <c r="BI23" s="16">
        <f>IF(AR23&lt;&gt;0,AVERAGE(AR$11:AR23)*31,)</f>
        <v>3529.2307692307691</v>
      </c>
    </row>
    <row r="24" spans="1:61" ht="15.75" x14ac:dyDescent="0.25">
      <c r="A24" s="62">
        <f t="shared" si="22"/>
        <v>20</v>
      </c>
      <c r="B24" s="47" t="s">
        <v>30</v>
      </c>
      <c r="C24" s="10"/>
      <c r="D24" s="6">
        <v>96798</v>
      </c>
      <c r="E24" s="8">
        <f t="shared" si="7"/>
        <v>144</v>
      </c>
      <c r="F24" s="6">
        <v>6646</v>
      </c>
      <c r="G24" s="8">
        <f t="shared" si="0"/>
        <v>1</v>
      </c>
      <c r="H24" s="6">
        <v>537453</v>
      </c>
      <c r="I24" s="8">
        <f t="shared" si="1"/>
        <v>136</v>
      </c>
      <c r="J24" s="53">
        <v>506974</v>
      </c>
      <c r="K24" s="8"/>
      <c r="L24" s="7"/>
      <c r="M24" s="11" t="e">
        <f t="shared" si="8"/>
        <v>#DIV/0!</v>
      </c>
      <c r="N24" s="6">
        <v>88864</v>
      </c>
      <c r="O24" s="8">
        <f t="shared" si="2"/>
        <v>27</v>
      </c>
      <c r="P24" s="12">
        <v>79930</v>
      </c>
      <c r="Q24" s="9">
        <f t="shared" si="3"/>
        <v>42</v>
      </c>
      <c r="R24" s="12">
        <v>14377</v>
      </c>
      <c r="S24" s="9">
        <f t="shared" si="9"/>
        <v>1</v>
      </c>
      <c r="T24" s="12">
        <v>171039</v>
      </c>
      <c r="U24" s="9">
        <f t="shared" si="4"/>
        <v>60</v>
      </c>
      <c r="V24" s="13">
        <v>1643.93</v>
      </c>
      <c r="W24" s="8"/>
      <c r="X24" s="53">
        <v>12515</v>
      </c>
      <c r="Y24" s="54">
        <v>321.88</v>
      </c>
      <c r="Z24" s="8"/>
      <c r="AA24" s="53">
        <v>2129</v>
      </c>
      <c r="AB24" s="6">
        <v>1587036</v>
      </c>
      <c r="AC24" s="9">
        <f t="shared" si="10"/>
        <v>1587036</v>
      </c>
      <c r="AD24" s="53">
        <v>240</v>
      </c>
      <c r="AE24" s="12">
        <v>4615995</v>
      </c>
      <c r="AF24" s="9">
        <f t="shared" si="11"/>
        <v>4615995</v>
      </c>
      <c r="AG24" s="53">
        <v>969</v>
      </c>
      <c r="AH24" s="6">
        <v>32432</v>
      </c>
      <c r="AI24" s="8">
        <f t="shared" si="12"/>
        <v>2594560</v>
      </c>
      <c r="AJ24" s="53">
        <v>128</v>
      </c>
      <c r="AK24" s="7"/>
      <c r="AL24" s="6">
        <v>2057817</v>
      </c>
      <c r="AM24" s="8">
        <f t="shared" si="5"/>
        <v>2057817</v>
      </c>
      <c r="AN24" s="53">
        <v>210</v>
      </c>
      <c r="AO24" s="7"/>
      <c r="AP24" s="6">
        <v>45270</v>
      </c>
      <c r="AQ24" s="8">
        <f t="shared" si="13"/>
        <v>3621600</v>
      </c>
      <c r="AR24" s="53">
        <v>192</v>
      </c>
      <c r="AS24" s="14">
        <v>23</v>
      </c>
      <c r="AT24" s="14">
        <v>31</v>
      </c>
      <c r="AU24" s="7"/>
      <c r="AV24" s="63"/>
      <c r="AW24" s="64">
        <f t="shared" si="14"/>
        <v>0</v>
      </c>
      <c r="AY24" s="72">
        <f t="shared" si="21"/>
        <v>20</v>
      </c>
      <c r="AZ24" s="15">
        <f t="shared" si="16"/>
        <v>3104.65</v>
      </c>
      <c r="BA24" s="15">
        <f t="shared" si="17"/>
        <v>2.2319999999993798</v>
      </c>
      <c r="BB24" s="15">
        <f t="shared" si="18"/>
        <v>2644.2999999999997</v>
      </c>
      <c r="BC24" s="15">
        <f t="shared" si="19"/>
        <v>599.85</v>
      </c>
      <c r="BD24" s="16">
        <f t="shared" si="20"/>
        <v>5605801.2999999998</v>
      </c>
      <c r="BE24" s="15">
        <f>IF(X24&lt;&gt;0,AVERAGE(X$11:X24)*31,)</f>
        <v>369564.28571428568</v>
      </c>
      <c r="BF24" s="15">
        <f>IF(AD24+AG24&lt;&gt;0,AVERAGE(AD$11:AD24)*31+AVERAGE(AG$11:AG24)*31,)</f>
        <v>33619.5</v>
      </c>
      <c r="BG24" s="16">
        <f>IF(AJ24&lt;&gt;0,AVERAGE(AJ$11:AJ24)*31,)</f>
        <v>3348</v>
      </c>
      <c r="BH24" s="16">
        <f>IF(AN24&lt;&gt;0,AVERAGE(AN$11:AN24)*31,)</f>
        <v>3175.2857142857142</v>
      </c>
      <c r="BI24" s="16">
        <f>IF(AR24&lt;&gt;0,AVERAGE(AR$11:AR24)*31,)</f>
        <v>3702.2857142857142</v>
      </c>
    </row>
    <row r="25" spans="1:61" ht="15.75" x14ac:dyDescent="0.25">
      <c r="A25" s="62">
        <f t="shared" si="22"/>
        <v>21</v>
      </c>
      <c r="B25" s="47" t="s">
        <v>30</v>
      </c>
      <c r="C25" s="10"/>
      <c r="D25" s="6">
        <v>96933</v>
      </c>
      <c r="E25" s="8">
        <f t="shared" si="7"/>
        <v>135</v>
      </c>
      <c r="F25" s="6">
        <v>6646</v>
      </c>
      <c r="G25" s="8">
        <f t="shared" si="0"/>
        <v>0</v>
      </c>
      <c r="H25" s="6">
        <v>537578</v>
      </c>
      <c r="I25" s="8">
        <f t="shared" si="1"/>
        <v>125</v>
      </c>
      <c r="J25" s="53">
        <v>507092</v>
      </c>
      <c r="K25" s="8"/>
      <c r="L25" s="7"/>
      <c r="M25" s="11" t="e">
        <f t="shared" si="8"/>
        <v>#DIV/0!</v>
      </c>
      <c r="N25" s="6">
        <v>88891</v>
      </c>
      <c r="O25" s="8">
        <f t="shared" si="2"/>
        <v>27</v>
      </c>
      <c r="P25" s="12">
        <v>79970</v>
      </c>
      <c r="Q25" s="9">
        <f t="shared" si="3"/>
        <v>40</v>
      </c>
      <c r="R25" s="12">
        <v>14378</v>
      </c>
      <c r="S25" s="9">
        <f t="shared" si="9"/>
        <v>1</v>
      </c>
      <c r="T25" s="12">
        <v>171086</v>
      </c>
      <c r="U25" s="9">
        <f t="shared" si="4"/>
        <v>47</v>
      </c>
      <c r="V25" s="13"/>
      <c r="W25" s="8"/>
      <c r="X25" s="53">
        <v>12632</v>
      </c>
      <c r="Y25" s="54"/>
      <c r="Z25" s="8"/>
      <c r="AA25" s="53">
        <v>2439</v>
      </c>
      <c r="AB25" s="6"/>
      <c r="AC25" s="9">
        <f t="shared" si="10"/>
        <v>0</v>
      </c>
      <c r="AD25" s="53">
        <v>253</v>
      </c>
      <c r="AE25" s="12"/>
      <c r="AF25" s="9">
        <f t="shared" si="11"/>
        <v>0</v>
      </c>
      <c r="AG25" s="53">
        <v>856</v>
      </c>
      <c r="AH25" s="6"/>
      <c r="AI25" s="8">
        <f t="shared" si="12"/>
        <v>0</v>
      </c>
      <c r="AJ25" s="53">
        <v>112</v>
      </c>
      <c r="AK25" s="7"/>
      <c r="AL25" s="6"/>
      <c r="AM25" s="8">
        <f t="shared" si="5"/>
        <v>0</v>
      </c>
      <c r="AN25" s="53">
        <v>255</v>
      </c>
      <c r="AO25" s="7"/>
      <c r="AP25" s="6"/>
      <c r="AQ25" s="8">
        <f t="shared" si="13"/>
        <v>0</v>
      </c>
      <c r="AR25" s="53">
        <v>232</v>
      </c>
      <c r="AS25" s="14">
        <v>24</v>
      </c>
      <c r="AT25" s="14">
        <v>33</v>
      </c>
      <c r="AU25" s="7"/>
      <c r="AV25" s="63"/>
      <c r="AW25" s="64">
        <f t="shared" si="14"/>
        <v>0</v>
      </c>
      <c r="AY25" s="72">
        <f t="shared" si="21"/>
        <v>21</v>
      </c>
      <c r="AZ25" s="15">
        <f t="shared" si="16"/>
        <v>3156.0952380952381</v>
      </c>
      <c r="BA25" s="15">
        <f t="shared" si="17"/>
        <v>2.1257142857136953</v>
      </c>
      <c r="BB25" s="15">
        <f t="shared" si="18"/>
        <v>2702.9047619047619</v>
      </c>
      <c r="BC25" s="15">
        <f t="shared" si="19"/>
        <v>611.14285714285722</v>
      </c>
      <c r="BD25" s="16">
        <f t="shared" si="20"/>
        <v>0</v>
      </c>
      <c r="BE25" s="15">
        <f>IF(X25&lt;&gt;0,AVERAGE(X$11:X25)*31,)</f>
        <v>371032.8</v>
      </c>
      <c r="BF25" s="15">
        <f>IF(AD25+AG25&lt;&gt;0,AVERAGE(AD$11:AD25)*31+AVERAGE(AG$11:AG25)*31,)</f>
        <v>33670.133333333331</v>
      </c>
      <c r="BG25" s="16">
        <f>IF(AJ25&lt;&gt;0,AVERAGE(AJ$11:AJ25)*31,)</f>
        <v>3356.2666666666664</v>
      </c>
      <c r="BH25" s="16">
        <f>IF(AN25&lt;&gt;0,AVERAGE(AN$11:AN25)*31,)</f>
        <v>3490.6</v>
      </c>
      <c r="BI25" s="16">
        <f>IF(AR25&lt;&gt;0,AVERAGE(AR$11:AR25)*31,)</f>
        <v>3934.9333333333334</v>
      </c>
    </row>
    <row r="26" spans="1:61" ht="15.75" x14ac:dyDescent="0.25">
      <c r="A26" s="62">
        <f t="shared" si="22"/>
        <v>22</v>
      </c>
      <c r="B26" s="47" t="s">
        <v>30</v>
      </c>
      <c r="C26" s="10"/>
      <c r="D26" s="6">
        <v>97076</v>
      </c>
      <c r="E26" s="8">
        <f t="shared" si="7"/>
        <v>143</v>
      </c>
      <c r="F26" s="6">
        <v>6648</v>
      </c>
      <c r="G26" s="8">
        <f t="shared" si="0"/>
        <v>2</v>
      </c>
      <c r="H26" s="6">
        <v>537714</v>
      </c>
      <c r="I26" s="8">
        <f t="shared" si="1"/>
        <v>136</v>
      </c>
      <c r="J26" s="53">
        <v>507230</v>
      </c>
      <c r="K26" s="8"/>
      <c r="L26" s="7"/>
      <c r="M26" s="11" t="e">
        <f t="shared" si="8"/>
        <v>#DIV/0!</v>
      </c>
      <c r="N26" s="6">
        <v>88914</v>
      </c>
      <c r="O26" s="8">
        <f t="shared" si="2"/>
        <v>23</v>
      </c>
      <c r="P26" s="12">
        <v>80014</v>
      </c>
      <c r="Q26" s="9">
        <f t="shared" si="3"/>
        <v>44</v>
      </c>
      <c r="R26" s="12">
        <v>14378</v>
      </c>
      <c r="S26" s="9">
        <f t="shared" si="9"/>
        <v>0</v>
      </c>
      <c r="T26" s="12">
        <v>171139</v>
      </c>
      <c r="U26" s="9">
        <f t="shared" si="4"/>
        <v>53</v>
      </c>
      <c r="V26" s="13"/>
      <c r="W26" s="8"/>
      <c r="X26" s="53">
        <v>12336</v>
      </c>
      <c r="Y26" s="54"/>
      <c r="Z26" s="8"/>
      <c r="AA26" s="53">
        <v>2023</v>
      </c>
      <c r="AB26" s="6"/>
      <c r="AC26" s="9">
        <f t="shared" si="10"/>
        <v>0</v>
      </c>
      <c r="AD26" s="53">
        <v>240</v>
      </c>
      <c r="AE26" s="12"/>
      <c r="AF26" s="9">
        <f t="shared" si="11"/>
        <v>0</v>
      </c>
      <c r="AG26" s="53">
        <v>816</v>
      </c>
      <c r="AH26" s="6"/>
      <c r="AI26" s="8">
        <f t="shared" si="12"/>
        <v>0</v>
      </c>
      <c r="AJ26" s="53">
        <v>120</v>
      </c>
      <c r="AK26" s="7"/>
      <c r="AL26" s="6"/>
      <c r="AM26" s="8">
        <f t="shared" si="5"/>
        <v>0</v>
      </c>
      <c r="AN26" s="53">
        <v>217</v>
      </c>
      <c r="AO26" s="7"/>
      <c r="AP26" s="6"/>
      <c r="AQ26" s="8">
        <f t="shared" si="13"/>
        <v>0</v>
      </c>
      <c r="AR26" s="53">
        <v>232</v>
      </c>
      <c r="AS26" s="14">
        <v>23</v>
      </c>
      <c r="AT26" s="14">
        <v>32</v>
      </c>
      <c r="AU26" s="7"/>
      <c r="AV26" s="63"/>
      <c r="AW26" s="64">
        <f t="shared" si="14"/>
        <v>0</v>
      </c>
      <c r="AY26" s="72">
        <f t="shared" si="21"/>
        <v>22</v>
      </c>
      <c r="AZ26" s="15">
        <f t="shared" si="16"/>
        <v>3214.136363636364</v>
      </c>
      <c r="BA26" s="15">
        <f t="shared" si="17"/>
        <v>4.8472727272721627</v>
      </c>
      <c r="BB26" s="15">
        <f t="shared" si="18"/>
        <v>2771.681818181818</v>
      </c>
      <c r="BC26" s="15">
        <f t="shared" si="19"/>
        <v>615.77272727272725</v>
      </c>
      <c r="BD26" s="16">
        <f t="shared" si="20"/>
        <v>0</v>
      </c>
      <c r="BE26" s="15">
        <f>IF(X26&lt;&gt;0,AVERAGE(X$11:X26)*31,)</f>
        <v>371744.25</v>
      </c>
      <c r="BF26" s="15">
        <f>IF(AD26+AG26&lt;&gt;0,AVERAGE(AD$11:AD26)*31+AVERAGE(AG$11:AG26)*31,)</f>
        <v>33611.75</v>
      </c>
      <c r="BG26" s="16">
        <f>IF(AJ26&lt;&gt;0,AVERAGE(AJ$11:AJ26)*31,)</f>
        <v>3379</v>
      </c>
      <c r="BH26" s="16">
        <f>IF(AN26&lt;&gt;0,AVERAGE(AN$11:AN26)*31,)</f>
        <v>3692.875</v>
      </c>
      <c r="BI26" s="16">
        <f>IF(AR26&lt;&gt;0,AVERAGE(AR$11:AR26)*31,)</f>
        <v>4138.5</v>
      </c>
    </row>
    <row r="27" spans="1:61" ht="15.75" x14ac:dyDescent="0.25">
      <c r="A27" s="62">
        <f t="shared" si="22"/>
        <v>23</v>
      </c>
      <c r="B27" s="47" t="s">
        <v>30</v>
      </c>
      <c r="C27" s="10"/>
      <c r="D27" s="6">
        <v>97208</v>
      </c>
      <c r="E27" s="8">
        <f t="shared" si="7"/>
        <v>132</v>
      </c>
      <c r="F27" s="6">
        <v>6648</v>
      </c>
      <c r="G27" s="8">
        <f t="shared" si="0"/>
        <v>0</v>
      </c>
      <c r="H27" s="6">
        <v>537828</v>
      </c>
      <c r="I27" s="8">
        <f t="shared" si="1"/>
        <v>114</v>
      </c>
      <c r="J27" s="53">
        <v>507326</v>
      </c>
      <c r="K27" s="8"/>
      <c r="L27" s="7"/>
      <c r="M27" s="11" t="e">
        <f t="shared" si="8"/>
        <v>#DIV/0!</v>
      </c>
      <c r="N27" s="6">
        <v>88938</v>
      </c>
      <c r="O27" s="8">
        <f t="shared" si="2"/>
        <v>24</v>
      </c>
      <c r="P27" s="12">
        <v>80053</v>
      </c>
      <c r="Q27" s="9">
        <f t="shared" si="3"/>
        <v>39</v>
      </c>
      <c r="R27" s="12">
        <v>14378</v>
      </c>
      <c r="S27" s="9">
        <f t="shared" si="9"/>
        <v>0</v>
      </c>
      <c r="T27" s="12">
        <v>171185</v>
      </c>
      <c r="U27" s="9">
        <f t="shared" si="4"/>
        <v>46</v>
      </c>
      <c r="V27" s="13"/>
      <c r="W27" s="8"/>
      <c r="X27" s="53">
        <v>12049</v>
      </c>
      <c r="Y27" s="54"/>
      <c r="Z27" s="8"/>
      <c r="AA27" s="53">
        <v>2386</v>
      </c>
      <c r="AB27" s="6"/>
      <c r="AC27" s="9">
        <f t="shared" si="10"/>
        <v>0</v>
      </c>
      <c r="AD27" s="53">
        <v>233</v>
      </c>
      <c r="AE27" s="12"/>
      <c r="AF27" s="9">
        <f t="shared" si="11"/>
        <v>0</v>
      </c>
      <c r="AG27" s="53">
        <v>830</v>
      </c>
      <c r="AH27" s="6"/>
      <c r="AI27" s="8">
        <f t="shared" si="12"/>
        <v>0</v>
      </c>
      <c r="AJ27" s="53">
        <v>88</v>
      </c>
      <c r="AK27" s="7"/>
      <c r="AL27" s="6"/>
      <c r="AM27" s="8">
        <f t="shared" si="5"/>
        <v>0</v>
      </c>
      <c r="AN27" s="53">
        <v>226</v>
      </c>
      <c r="AO27" s="7"/>
      <c r="AP27" s="6"/>
      <c r="AQ27" s="8">
        <f t="shared" si="13"/>
        <v>0</v>
      </c>
      <c r="AR27" s="53">
        <v>192</v>
      </c>
      <c r="AS27" s="14">
        <v>20</v>
      </c>
      <c r="AT27" s="14">
        <v>31</v>
      </c>
      <c r="AU27" s="7"/>
      <c r="AV27" s="63"/>
      <c r="AW27" s="64">
        <f>IF(ISBLANK(AV29),0,AV29-AV27)</f>
        <v>0</v>
      </c>
      <c r="AY27" s="72">
        <f t="shared" si="21"/>
        <v>23</v>
      </c>
      <c r="AZ27" s="15">
        <f t="shared" si="16"/>
        <v>3252.304347826087</v>
      </c>
      <c r="BA27" s="15">
        <f t="shared" si="17"/>
        <v>4.6365217391298952</v>
      </c>
      <c r="BB27" s="15">
        <f t="shared" si="18"/>
        <v>2804.826086956522</v>
      </c>
      <c r="BC27" s="15">
        <f t="shared" si="19"/>
        <v>621.3478260869565</v>
      </c>
      <c r="BD27" s="16">
        <f t="shared" si="20"/>
        <v>0</v>
      </c>
      <c r="BE27" s="15">
        <f>IF(X27&lt;&gt;0,AVERAGE(X$11:X27)*31,)</f>
        <v>371848.64705882355</v>
      </c>
      <c r="BF27" s="15">
        <f>IF(AD27+AG27&lt;&gt;0,AVERAGE(AD$11:AD27)*31+AVERAGE(AG$11:AG27)*31,)</f>
        <v>33573</v>
      </c>
      <c r="BG27" s="16">
        <f>IF(AJ27&lt;&gt;0,AVERAGE(AJ$11:AJ27)*31,)</f>
        <v>3340.705882352941</v>
      </c>
      <c r="BH27" s="16">
        <f>IF(AN27&lt;&gt;0,AVERAGE(AN$11:AN27)*31,)</f>
        <v>3887.7647058823527</v>
      </c>
      <c r="BI27" s="16">
        <f>IF(AR27&lt;&gt;0,AVERAGE(AR$11:AR27)*31,)</f>
        <v>4245.1764705882351</v>
      </c>
    </row>
    <row r="28" spans="1:61" ht="15.75" x14ac:dyDescent="0.25">
      <c r="A28" s="62">
        <v>24</v>
      </c>
      <c r="B28" s="47">
        <v>34</v>
      </c>
      <c r="C28" s="10"/>
      <c r="D28" s="6"/>
      <c r="E28" s="8">
        <f t="shared" si="7"/>
        <v>0</v>
      </c>
      <c r="F28" s="6"/>
      <c r="G28" s="8">
        <f t="shared" si="0"/>
        <v>0</v>
      </c>
      <c r="H28" s="6"/>
      <c r="I28" s="8">
        <f t="shared" si="1"/>
        <v>0</v>
      </c>
      <c r="J28" s="53"/>
      <c r="K28" s="8"/>
      <c r="L28" s="7"/>
      <c r="M28" s="11" t="e">
        <v>#DIV/0!</v>
      </c>
      <c r="N28" s="6"/>
      <c r="O28" s="8">
        <v>0</v>
      </c>
      <c r="P28" s="12"/>
      <c r="Q28" s="9">
        <v>0</v>
      </c>
      <c r="R28" s="12"/>
      <c r="S28" s="9">
        <v>0</v>
      </c>
      <c r="T28" s="12"/>
      <c r="U28" s="9">
        <v>0</v>
      </c>
      <c r="V28" s="13"/>
      <c r="W28" s="8"/>
      <c r="X28" s="53"/>
      <c r="Y28" s="54"/>
      <c r="Z28" s="8"/>
      <c r="AA28" s="53"/>
      <c r="AB28" s="6"/>
      <c r="AC28" s="9">
        <v>0</v>
      </c>
      <c r="AD28" s="53"/>
      <c r="AE28" s="12"/>
      <c r="AF28" s="9">
        <v>0</v>
      </c>
      <c r="AG28" s="53"/>
      <c r="AH28" s="6"/>
      <c r="AI28" s="8">
        <v>0</v>
      </c>
      <c r="AJ28" s="53"/>
      <c r="AK28" s="7"/>
      <c r="AL28" s="6"/>
      <c r="AM28" s="8">
        <v>0</v>
      </c>
      <c r="AN28" s="53"/>
      <c r="AO28" s="7"/>
      <c r="AP28" s="6"/>
      <c r="AQ28" s="8">
        <v>0</v>
      </c>
      <c r="AR28" s="53"/>
      <c r="AS28" s="14"/>
      <c r="AT28" s="14"/>
      <c r="AU28" s="7"/>
      <c r="AV28" s="63"/>
      <c r="AW28" s="64">
        <v>0</v>
      </c>
      <c r="AY28" s="72">
        <v>24</v>
      </c>
      <c r="AZ28" s="15">
        <f t="shared" si="16"/>
        <v>0</v>
      </c>
      <c r="BA28" s="15">
        <f t="shared" si="17"/>
        <v>0</v>
      </c>
      <c r="BB28" s="15">
        <f t="shared" si="18"/>
        <v>0</v>
      </c>
      <c r="BC28" s="15">
        <f t="shared" si="19"/>
        <v>0</v>
      </c>
      <c r="BD28" s="16">
        <v>0</v>
      </c>
      <c r="BE28" s="15">
        <v>0</v>
      </c>
      <c r="BF28" s="15">
        <v>0</v>
      </c>
      <c r="BG28" s="16">
        <v>0</v>
      </c>
      <c r="BH28" s="16">
        <v>0</v>
      </c>
      <c r="BI28" s="16">
        <v>0</v>
      </c>
    </row>
    <row r="29" spans="1:61" ht="15.75" x14ac:dyDescent="0.25">
      <c r="A29" s="62">
        <v>25</v>
      </c>
      <c r="B29" s="47">
        <v>34</v>
      </c>
      <c r="C29" s="10"/>
      <c r="D29" s="6"/>
      <c r="E29" s="8">
        <f t="shared" si="7"/>
        <v>0</v>
      </c>
      <c r="F29" s="6"/>
      <c r="G29" s="8">
        <f t="shared" si="0"/>
        <v>0</v>
      </c>
      <c r="H29" s="6"/>
      <c r="I29" s="8">
        <f t="shared" si="1"/>
        <v>0</v>
      </c>
      <c r="J29" s="53"/>
      <c r="K29" s="8"/>
      <c r="L29" s="7"/>
      <c r="M29" s="11" t="e">
        <f t="shared" si="8"/>
        <v>#DIV/0!</v>
      </c>
      <c r="N29" s="6"/>
      <c r="O29" s="8">
        <f>IF(ISBLANK(N29),0,N29-N27)</f>
        <v>0</v>
      </c>
      <c r="P29" s="66"/>
      <c r="Q29" s="9">
        <f>IF(ISBLANK(P29),0,P29-P27)</f>
        <v>0</v>
      </c>
      <c r="R29" s="12"/>
      <c r="S29" s="9">
        <f>IF(ISBLANK(R29),0,R29-R27)</f>
        <v>0</v>
      </c>
      <c r="T29" s="12"/>
      <c r="U29" s="9">
        <f>IF(ISBLANK(T29),0,T29-T27)</f>
        <v>0</v>
      </c>
      <c r="V29" s="13"/>
      <c r="W29" s="8"/>
      <c r="X29" s="53"/>
      <c r="Y29" s="54"/>
      <c r="Z29" s="8"/>
      <c r="AA29" s="53"/>
      <c r="AB29" s="6"/>
      <c r="AC29" s="9">
        <f>IF(ISBLANK(AB29),0,SUM(AB29-AB27))</f>
        <v>0</v>
      </c>
      <c r="AD29" s="53"/>
      <c r="AE29" s="12"/>
      <c r="AF29" s="9">
        <f>IF(ISBLANK(AE29),0,SUM(AE29-AE27))</f>
        <v>0</v>
      </c>
      <c r="AG29" s="53"/>
      <c r="AH29" s="6"/>
      <c r="AI29" s="8">
        <f>IF(ISBLANK(AH29),0,SUM(AH29-AH27)*80)</f>
        <v>0</v>
      </c>
      <c r="AJ29" s="53"/>
      <c r="AK29" s="7"/>
      <c r="AL29" s="6"/>
      <c r="AM29" s="8">
        <f>IF(ISBLANK(AL29),0,AL29-AL27)</f>
        <v>0</v>
      </c>
      <c r="AN29" s="53"/>
      <c r="AO29" s="7"/>
      <c r="AP29" s="6"/>
      <c r="AQ29" s="8">
        <f>IF(ISBLANK(AP29),0,SUM(AP29-AP27)*80)</f>
        <v>0</v>
      </c>
      <c r="AR29" s="53"/>
      <c r="AS29" s="14"/>
      <c r="AT29" s="14"/>
      <c r="AU29" s="7"/>
      <c r="AV29" s="63"/>
      <c r="AW29" s="64">
        <f t="shared" si="14"/>
        <v>0</v>
      </c>
      <c r="AY29" s="72">
        <f>1+AY27</f>
        <v>24</v>
      </c>
      <c r="AZ29" s="15">
        <f t="shared" si="16"/>
        <v>0</v>
      </c>
      <c r="BA29" s="15">
        <f t="shared" si="17"/>
        <v>0</v>
      </c>
      <c r="BB29" s="15">
        <f t="shared" si="18"/>
        <v>0</v>
      </c>
      <c r="BC29" s="15">
        <f t="shared" si="19"/>
        <v>0</v>
      </c>
      <c r="BD29" s="16">
        <f t="shared" si="20"/>
        <v>0</v>
      </c>
      <c r="BE29" s="15">
        <f>IF(X29&lt;&gt;0,AVERAGE(X$11:X29)*31,)</f>
        <v>0</v>
      </c>
      <c r="BF29" s="15">
        <f>IF(AD29+AG29&lt;&gt;0,AVERAGE(AD$11:AD29)*31+AVERAGE(AG$11:AG29)*31,)</f>
        <v>0</v>
      </c>
      <c r="BG29" s="16">
        <f>IF(AJ29&lt;&gt;0,AVERAGE(AJ$11:AJ29)*31,)</f>
        <v>0</v>
      </c>
      <c r="BH29" s="16">
        <f>IF(AN29&lt;&gt;0,AVERAGE(AN$11:AN29)*31,)</f>
        <v>0</v>
      </c>
      <c r="BI29" s="16">
        <f>IF(AR29&lt;&gt;0,AVERAGE(AR$11:AR29)*31,)</f>
        <v>0</v>
      </c>
    </row>
    <row r="30" spans="1:61" ht="15.75" x14ac:dyDescent="0.25">
      <c r="A30" s="62">
        <f t="shared" si="22"/>
        <v>26</v>
      </c>
      <c r="B30" s="47" t="s">
        <v>30</v>
      </c>
      <c r="C30" s="10"/>
      <c r="D30" s="6"/>
      <c r="E30" s="8">
        <f t="shared" si="7"/>
        <v>0</v>
      </c>
      <c r="F30" s="6"/>
      <c r="G30" s="8">
        <f t="shared" si="0"/>
        <v>0</v>
      </c>
      <c r="H30" s="6"/>
      <c r="I30" s="8">
        <f t="shared" si="1"/>
        <v>0</v>
      </c>
      <c r="J30" s="53"/>
      <c r="K30" s="8"/>
      <c r="L30" s="7"/>
      <c r="M30" s="11" t="e">
        <f t="shared" si="8"/>
        <v>#DIV/0!</v>
      </c>
      <c r="N30" s="6"/>
      <c r="O30" s="8">
        <f t="shared" si="2"/>
        <v>0</v>
      </c>
      <c r="P30" s="66"/>
      <c r="Q30" s="9">
        <f t="shared" si="3"/>
        <v>0</v>
      </c>
      <c r="R30" s="12"/>
      <c r="S30" s="9">
        <f t="shared" si="9"/>
        <v>0</v>
      </c>
      <c r="T30" s="12"/>
      <c r="U30" s="9">
        <f t="shared" si="4"/>
        <v>0</v>
      </c>
      <c r="V30" s="13"/>
      <c r="W30" s="8"/>
      <c r="X30" s="53"/>
      <c r="Y30" s="54"/>
      <c r="Z30" s="8"/>
      <c r="AA30" s="53"/>
      <c r="AB30" s="6"/>
      <c r="AC30" s="9">
        <f t="shared" si="10"/>
        <v>0</v>
      </c>
      <c r="AD30" s="53"/>
      <c r="AE30" s="12"/>
      <c r="AF30" s="9">
        <f t="shared" si="11"/>
        <v>0</v>
      </c>
      <c r="AG30" s="53"/>
      <c r="AH30" s="6"/>
      <c r="AI30" s="8">
        <f t="shared" si="12"/>
        <v>0</v>
      </c>
      <c r="AJ30" s="53"/>
      <c r="AK30" s="7"/>
      <c r="AL30" s="6"/>
      <c r="AM30" s="8">
        <f t="shared" si="5"/>
        <v>0</v>
      </c>
      <c r="AN30" s="53"/>
      <c r="AO30" s="7"/>
      <c r="AP30" s="6"/>
      <c r="AQ30" s="8">
        <f t="shared" si="13"/>
        <v>0</v>
      </c>
      <c r="AR30" s="53"/>
      <c r="AS30" s="14"/>
      <c r="AT30" s="14"/>
      <c r="AU30" s="7"/>
      <c r="AV30" s="63"/>
      <c r="AW30" s="64">
        <f t="shared" si="14"/>
        <v>0</v>
      </c>
      <c r="AY30" s="72">
        <f t="shared" si="21"/>
        <v>25</v>
      </c>
      <c r="AZ30" s="15">
        <f t="shared" si="16"/>
        <v>0</v>
      </c>
      <c r="BA30" s="15">
        <f t="shared" si="17"/>
        <v>0</v>
      </c>
      <c r="BB30" s="15">
        <f t="shared" si="18"/>
        <v>0</v>
      </c>
      <c r="BC30" s="15">
        <f t="shared" si="19"/>
        <v>0</v>
      </c>
      <c r="BD30" s="16">
        <f t="shared" si="20"/>
        <v>0</v>
      </c>
      <c r="BE30" s="15">
        <f>IF(X30&lt;&gt;0,AVERAGE(X$11:X30)*31,)</f>
        <v>0</v>
      </c>
      <c r="BF30" s="15">
        <f>IF(AD30+AG30&lt;&gt;0,AVERAGE(AD$11:AD30)*31+AVERAGE(AG$11:AG30)*31,)</f>
        <v>0</v>
      </c>
      <c r="BG30" s="16">
        <f>IF(AJ30&lt;&gt;0,AVERAGE(AJ$11:AJ30)*31,)</f>
        <v>0</v>
      </c>
      <c r="BH30" s="16">
        <f>IF(AN30&lt;&gt;0,AVERAGE(AN$11:AN30)*31,)</f>
        <v>0</v>
      </c>
      <c r="BI30" s="16">
        <f>IF(AR30&lt;&gt;0,AVERAGE(AR$11:AR30)*31,)</f>
        <v>0</v>
      </c>
    </row>
    <row r="31" spans="1:61" ht="15.75" x14ac:dyDescent="0.25">
      <c r="A31" s="62">
        <f t="shared" si="22"/>
        <v>27</v>
      </c>
      <c r="B31" s="47" t="s">
        <v>30</v>
      </c>
      <c r="C31" s="10"/>
      <c r="D31" s="6"/>
      <c r="E31" s="8">
        <f t="shared" si="7"/>
        <v>0</v>
      </c>
      <c r="F31" s="6"/>
      <c r="G31" s="8">
        <f t="shared" si="0"/>
        <v>0</v>
      </c>
      <c r="H31" s="6"/>
      <c r="I31" s="8">
        <f t="shared" si="1"/>
        <v>0</v>
      </c>
      <c r="J31" s="53"/>
      <c r="K31" s="8"/>
      <c r="L31" s="7"/>
      <c r="M31" s="11" t="e">
        <f t="shared" si="8"/>
        <v>#DIV/0!</v>
      </c>
      <c r="N31" s="6"/>
      <c r="O31" s="8">
        <f t="shared" si="2"/>
        <v>0</v>
      </c>
      <c r="P31" s="66"/>
      <c r="Q31" s="9">
        <f t="shared" si="3"/>
        <v>0</v>
      </c>
      <c r="R31" s="12"/>
      <c r="S31" s="9">
        <f t="shared" si="9"/>
        <v>0</v>
      </c>
      <c r="T31" s="12"/>
      <c r="U31" s="9">
        <f t="shared" si="4"/>
        <v>0</v>
      </c>
      <c r="V31" s="13"/>
      <c r="W31" s="8"/>
      <c r="X31" s="53"/>
      <c r="Y31" s="54"/>
      <c r="Z31" s="8"/>
      <c r="AA31" s="53"/>
      <c r="AB31" s="6"/>
      <c r="AC31" s="9">
        <f t="shared" si="10"/>
        <v>0</v>
      </c>
      <c r="AD31" s="53"/>
      <c r="AE31" s="12"/>
      <c r="AF31" s="9">
        <f t="shared" si="11"/>
        <v>0</v>
      </c>
      <c r="AG31" s="53"/>
      <c r="AH31" s="6"/>
      <c r="AI31" s="8">
        <f t="shared" si="12"/>
        <v>0</v>
      </c>
      <c r="AJ31" s="53"/>
      <c r="AK31" s="7"/>
      <c r="AL31" s="6"/>
      <c r="AM31" s="8">
        <f t="shared" si="5"/>
        <v>0</v>
      </c>
      <c r="AN31" s="53"/>
      <c r="AO31" s="7"/>
      <c r="AP31" s="6"/>
      <c r="AQ31" s="8">
        <f t="shared" si="13"/>
        <v>0</v>
      </c>
      <c r="AR31" s="53"/>
      <c r="AS31" s="14"/>
      <c r="AT31" s="14"/>
      <c r="AU31" s="7"/>
      <c r="AV31" s="63"/>
      <c r="AW31" s="64">
        <f t="shared" si="14"/>
        <v>0</v>
      </c>
      <c r="AY31" s="72">
        <f t="shared" si="21"/>
        <v>26</v>
      </c>
      <c r="AZ31" s="15">
        <f t="shared" si="16"/>
        <v>0</v>
      </c>
      <c r="BA31" s="15">
        <f t="shared" si="17"/>
        <v>0</v>
      </c>
      <c r="BB31" s="15">
        <f t="shared" si="18"/>
        <v>0</v>
      </c>
      <c r="BC31" s="15">
        <f t="shared" si="19"/>
        <v>0</v>
      </c>
      <c r="BD31" s="16">
        <f t="shared" si="20"/>
        <v>0</v>
      </c>
      <c r="BE31" s="15">
        <f>IF(X31&lt;&gt;0,AVERAGE(X$11:X31)*31,)</f>
        <v>0</v>
      </c>
      <c r="BF31" s="15">
        <f>IF(AD31+AG31&lt;&gt;0,AVERAGE(AD$11:AD31)*31+AVERAGE(AG$11:AG31)*31,)</f>
        <v>0</v>
      </c>
      <c r="BG31" s="16">
        <f>IF(AJ31&lt;&gt;0,AVERAGE(AJ$11:AJ31)*31,)</f>
        <v>0</v>
      </c>
      <c r="BH31" s="16">
        <f>IF(AN31&lt;&gt;0,AVERAGE(AN$11:AN31)*31,)</f>
        <v>0</v>
      </c>
      <c r="BI31" s="16">
        <f>IF(AR31&lt;&gt;0,AVERAGE(AR$11:AR31)*31,)</f>
        <v>0</v>
      </c>
    </row>
    <row r="32" spans="1:61" ht="15.75" x14ac:dyDescent="0.25">
      <c r="A32" s="62">
        <f t="shared" si="22"/>
        <v>28</v>
      </c>
      <c r="B32" s="47" t="s">
        <v>30</v>
      </c>
      <c r="C32" s="10"/>
      <c r="D32" s="6"/>
      <c r="E32" s="8">
        <f t="shared" si="7"/>
        <v>0</v>
      </c>
      <c r="F32" s="6"/>
      <c r="G32" s="8">
        <f t="shared" si="0"/>
        <v>0</v>
      </c>
      <c r="H32" s="6"/>
      <c r="I32" s="8">
        <f t="shared" si="1"/>
        <v>0</v>
      </c>
      <c r="J32" s="53"/>
      <c r="K32" s="8"/>
      <c r="L32" s="7"/>
      <c r="M32" s="11" t="e">
        <f t="shared" si="8"/>
        <v>#DIV/0!</v>
      </c>
      <c r="N32" s="6"/>
      <c r="O32" s="8">
        <f t="shared" si="2"/>
        <v>0</v>
      </c>
      <c r="P32" s="66"/>
      <c r="Q32" s="9">
        <f t="shared" si="3"/>
        <v>0</v>
      </c>
      <c r="R32" s="12"/>
      <c r="S32" s="9">
        <f t="shared" si="9"/>
        <v>0</v>
      </c>
      <c r="T32" s="12"/>
      <c r="U32" s="9">
        <f t="shared" si="4"/>
        <v>0</v>
      </c>
      <c r="V32" s="13"/>
      <c r="W32" s="8"/>
      <c r="X32" s="53"/>
      <c r="Y32" s="54"/>
      <c r="Z32" s="8"/>
      <c r="AA32" s="53"/>
      <c r="AB32" s="6"/>
      <c r="AC32" s="9">
        <f t="shared" si="10"/>
        <v>0</v>
      </c>
      <c r="AD32" s="53"/>
      <c r="AE32" s="12"/>
      <c r="AF32" s="9">
        <f t="shared" si="11"/>
        <v>0</v>
      </c>
      <c r="AG32" s="53"/>
      <c r="AH32" s="6"/>
      <c r="AI32" s="8">
        <f t="shared" si="12"/>
        <v>0</v>
      </c>
      <c r="AJ32" s="53"/>
      <c r="AK32" s="7"/>
      <c r="AL32" s="6"/>
      <c r="AM32" s="8">
        <f t="shared" si="5"/>
        <v>0</v>
      </c>
      <c r="AN32" s="53"/>
      <c r="AO32" s="7"/>
      <c r="AP32" s="6"/>
      <c r="AQ32" s="8">
        <f t="shared" si="13"/>
        <v>0</v>
      </c>
      <c r="AR32" s="53"/>
      <c r="AS32" s="14"/>
      <c r="AT32" s="14"/>
      <c r="AU32" s="67"/>
      <c r="AV32" s="63"/>
      <c r="AW32" s="64">
        <f t="shared" si="14"/>
        <v>0</v>
      </c>
      <c r="AY32" s="72">
        <f t="shared" si="21"/>
        <v>27</v>
      </c>
      <c r="AZ32" s="15">
        <f t="shared" si="16"/>
        <v>0</v>
      </c>
      <c r="BA32" s="15">
        <f t="shared" si="17"/>
        <v>0</v>
      </c>
      <c r="BB32" s="15">
        <f t="shared" si="18"/>
        <v>0</v>
      </c>
      <c r="BC32" s="15">
        <f t="shared" si="19"/>
        <v>0</v>
      </c>
      <c r="BD32" s="16">
        <f t="shared" si="20"/>
        <v>0</v>
      </c>
      <c r="BE32" s="15">
        <f>IF(X32&lt;&gt;0,AVERAGE(X$11:X32)*31,)</f>
        <v>0</v>
      </c>
      <c r="BF32" s="15">
        <f>IF(AD32+AG32&lt;&gt;0,AVERAGE(AD$11:AD32)*31+AVERAGE(AG$11:AG32)*31,)</f>
        <v>0</v>
      </c>
      <c r="BG32" s="16">
        <f>IF(AJ32&lt;&gt;0,AVERAGE(AJ$11:AJ32)*31,)</f>
        <v>0</v>
      </c>
      <c r="BH32" s="16">
        <f>IF(AN32&lt;&gt;0,AVERAGE(AN$11:AN32)*31,)</f>
        <v>0</v>
      </c>
      <c r="BI32" s="16">
        <f>IF(AR32&lt;&gt;0,AVERAGE(AR$11:AR32)*31,)</f>
        <v>0</v>
      </c>
    </row>
    <row r="33" spans="1:61" ht="15.75" x14ac:dyDescent="0.25">
      <c r="A33" s="62">
        <v>29</v>
      </c>
      <c r="B33" s="47" t="s">
        <v>30</v>
      </c>
      <c r="C33" s="8"/>
      <c r="D33" s="6"/>
      <c r="E33" s="8">
        <f t="shared" si="7"/>
        <v>0</v>
      </c>
      <c r="F33" s="6"/>
      <c r="G33" s="8">
        <f t="shared" si="0"/>
        <v>0</v>
      </c>
      <c r="H33" s="6"/>
      <c r="I33" s="8">
        <f t="shared" si="1"/>
        <v>0</v>
      </c>
      <c r="J33" s="53"/>
      <c r="K33" s="8"/>
      <c r="L33" s="7"/>
      <c r="M33" s="11" t="e">
        <f t="shared" si="8"/>
        <v>#DIV/0!</v>
      </c>
      <c r="N33" s="6"/>
      <c r="O33" s="8">
        <f t="shared" si="2"/>
        <v>0</v>
      </c>
      <c r="P33" s="66"/>
      <c r="Q33" s="9">
        <f t="shared" si="3"/>
        <v>0</v>
      </c>
      <c r="R33" s="12"/>
      <c r="S33" s="9">
        <f t="shared" si="9"/>
        <v>0</v>
      </c>
      <c r="T33" s="12"/>
      <c r="U33" s="9">
        <f t="shared" si="4"/>
        <v>0</v>
      </c>
      <c r="V33" s="13"/>
      <c r="W33" s="8"/>
      <c r="X33" s="53"/>
      <c r="Y33" s="54"/>
      <c r="Z33" s="8"/>
      <c r="AA33" s="53"/>
      <c r="AB33" s="6"/>
      <c r="AC33" s="9">
        <f t="shared" si="10"/>
        <v>0</v>
      </c>
      <c r="AD33" s="53"/>
      <c r="AE33" s="12"/>
      <c r="AF33" s="9">
        <f t="shared" si="11"/>
        <v>0</v>
      </c>
      <c r="AG33" s="53"/>
      <c r="AH33" s="6"/>
      <c r="AI33" s="8">
        <f t="shared" si="12"/>
        <v>0</v>
      </c>
      <c r="AJ33" s="53"/>
      <c r="AK33" s="7"/>
      <c r="AL33" s="6"/>
      <c r="AM33" s="8">
        <f t="shared" si="5"/>
        <v>0</v>
      </c>
      <c r="AN33" s="53"/>
      <c r="AO33" s="7"/>
      <c r="AP33" s="6"/>
      <c r="AQ33" s="8">
        <f t="shared" si="13"/>
        <v>0</v>
      </c>
      <c r="AR33" s="53"/>
      <c r="AS33" s="14"/>
      <c r="AT33" s="14"/>
      <c r="AU33" s="7"/>
      <c r="AV33" s="63"/>
      <c r="AW33" s="64">
        <f t="shared" si="14"/>
        <v>0</v>
      </c>
      <c r="AY33" s="72">
        <v>28</v>
      </c>
      <c r="AZ33" s="15">
        <f t="shared" si="16"/>
        <v>0</v>
      </c>
      <c r="BA33" s="15">
        <f t="shared" si="17"/>
        <v>0</v>
      </c>
      <c r="BB33" s="15">
        <f t="shared" si="18"/>
        <v>0</v>
      </c>
      <c r="BC33" s="15">
        <f t="shared" si="19"/>
        <v>0</v>
      </c>
      <c r="BD33" s="16">
        <f t="shared" si="20"/>
        <v>0</v>
      </c>
      <c r="BE33" s="15">
        <f>IF(X33&lt;&gt;0,AVERAGE(X$11:X33)*31,)</f>
        <v>0</v>
      </c>
      <c r="BF33" s="15">
        <f>IF(AD33+AG33&lt;&gt;0,AVERAGE(AD$11:AD33)*31+AVERAGE(AG$11:AG33)*31,)</f>
        <v>0</v>
      </c>
      <c r="BG33" s="16">
        <f>IF(AJ33&lt;&gt;0,AVERAGE(AJ$11:AJ33)*31,)</f>
        <v>0</v>
      </c>
      <c r="BH33" s="16">
        <f>IF(AN33&lt;&gt;0,AVERAGE(AN$11:AN33)*31,)</f>
        <v>0</v>
      </c>
      <c r="BI33" s="16">
        <f>IF(AR33&lt;&gt;0,AVERAGE(AR$11:AR33)*31,)</f>
        <v>0</v>
      </c>
    </row>
    <row r="34" spans="1:61" ht="15.75" x14ac:dyDescent="0.25">
      <c r="A34" s="62">
        <v>30</v>
      </c>
      <c r="B34" s="47" t="s">
        <v>30</v>
      </c>
      <c r="C34" s="10"/>
      <c r="D34" s="6"/>
      <c r="E34" s="8">
        <f t="shared" si="7"/>
        <v>0</v>
      </c>
      <c r="F34" s="6"/>
      <c r="G34" s="8">
        <f t="shared" si="0"/>
        <v>0</v>
      </c>
      <c r="H34" s="6"/>
      <c r="I34" s="8">
        <f t="shared" si="1"/>
        <v>0</v>
      </c>
      <c r="J34" s="53"/>
      <c r="K34" s="8"/>
      <c r="L34" s="7"/>
      <c r="M34" s="11" t="e">
        <f t="shared" si="8"/>
        <v>#DIV/0!</v>
      </c>
      <c r="N34" s="6"/>
      <c r="O34" s="8">
        <f t="shared" si="2"/>
        <v>0</v>
      </c>
      <c r="P34" s="66"/>
      <c r="Q34" s="9">
        <f t="shared" si="3"/>
        <v>0</v>
      </c>
      <c r="R34" s="12"/>
      <c r="S34" s="9">
        <f t="shared" si="9"/>
        <v>0</v>
      </c>
      <c r="T34" s="12"/>
      <c r="U34" s="9">
        <f t="shared" si="4"/>
        <v>0</v>
      </c>
      <c r="V34" s="13"/>
      <c r="W34" s="8"/>
      <c r="X34" s="53"/>
      <c r="Y34" s="54"/>
      <c r="Z34" s="8"/>
      <c r="AA34" s="53"/>
      <c r="AB34" s="6"/>
      <c r="AC34" s="9">
        <f t="shared" si="10"/>
        <v>0</v>
      </c>
      <c r="AD34" s="53"/>
      <c r="AE34" s="73"/>
      <c r="AF34" s="9">
        <f t="shared" si="11"/>
        <v>0</v>
      </c>
      <c r="AG34" s="53"/>
      <c r="AH34" s="6"/>
      <c r="AI34" s="8">
        <f t="shared" si="12"/>
        <v>0</v>
      </c>
      <c r="AJ34" s="53"/>
      <c r="AK34" s="7"/>
      <c r="AL34" s="74"/>
      <c r="AM34" s="8">
        <f t="shared" si="5"/>
        <v>0</v>
      </c>
      <c r="AN34" s="53"/>
      <c r="AO34" s="7"/>
      <c r="AP34" s="6"/>
      <c r="AQ34" s="8">
        <f t="shared" si="13"/>
        <v>0</v>
      </c>
      <c r="AR34" s="53"/>
      <c r="AS34" s="14"/>
      <c r="AT34" s="14"/>
      <c r="AU34" s="68"/>
      <c r="AV34" s="63"/>
      <c r="AW34" s="64">
        <f t="shared" si="14"/>
        <v>0</v>
      </c>
      <c r="AY34" s="72">
        <f t="shared" si="21"/>
        <v>29</v>
      </c>
      <c r="AZ34" s="15">
        <f t="shared" si="16"/>
        <v>0</v>
      </c>
      <c r="BA34" s="15">
        <f t="shared" si="17"/>
        <v>0</v>
      </c>
      <c r="BB34" s="15">
        <f t="shared" si="18"/>
        <v>0</v>
      </c>
      <c r="BC34" s="15">
        <f t="shared" si="19"/>
        <v>0</v>
      </c>
      <c r="BD34" s="16">
        <f t="shared" si="20"/>
        <v>0</v>
      </c>
      <c r="BE34" s="15">
        <f>IF(X34&lt;&gt;0,AVERAGE(X$11:X34)*31,)</f>
        <v>0</v>
      </c>
      <c r="BF34" s="15">
        <f>IF(AD34+AG34&lt;&gt;0,AVERAGE(AD$11:AD34)*31+AVERAGE(AG$11:AG34)*31,)</f>
        <v>0</v>
      </c>
      <c r="BG34" s="16">
        <f>IF(AJ34&lt;&gt;0,AVERAGE(AJ$11:AJ34)*31,)</f>
        <v>0</v>
      </c>
      <c r="BH34" s="16">
        <f>IF(AN34&lt;&gt;0,AVERAGE(AN$11:AN34)*31,)</f>
        <v>0</v>
      </c>
      <c r="BI34" s="16">
        <f>IF(AR34&lt;&gt;0,AVERAGE(AR$11:AR34)*31,)</f>
        <v>0</v>
      </c>
    </row>
    <row r="35" spans="1:61" ht="16.5" customHeight="1" thickBot="1" x14ac:dyDescent="0.3">
      <c r="A35" s="62">
        <v>31</v>
      </c>
      <c r="B35" s="47" t="s">
        <v>30</v>
      </c>
      <c r="C35" s="10"/>
      <c r="D35" s="6"/>
      <c r="E35" s="8">
        <f t="shared" si="7"/>
        <v>0</v>
      </c>
      <c r="F35" s="6"/>
      <c r="G35" s="8">
        <f t="shared" si="0"/>
        <v>0</v>
      </c>
      <c r="H35" s="6"/>
      <c r="I35" s="8">
        <f t="shared" si="1"/>
        <v>0</v>
      </c>
      <c r="J35" s="53"/>
      <c r="K35" s="8"/>
      <c r="L35" s="7"/>
      <c r="M35" s="11" t="e">
        <f t="shared" si="8"/>
        <v>#DIV/0!</v>
      </c>
      <c r="N35" s="6"/>
      <c r="O35" s="8">
        <f t="shared" si="2"/>
        <v>0</v>
      </c>
      <c r="P35" s="55"/>
      <c r="Q35" s="9">
        <f t="shared" si="3"/>
        <v>0</v>
      </c>
      <c r="R35" s="12"/>
      <c r="S35" s="9">
        <f t="shared" si="9"/>
        <v>0</v>
      </c>
      <c r="T35" s="12"/>
      <c r="U35" s="9">
        <f t="shared" si="4"/>
        <v>0</v>
      </c>
      <c r="V35" s="13"/>
      <c r="W35" s="8"/>
      <c r="X35" s="53"/>
      <c r="Y35" s="54"/>
      <c r="Z35" s="8"/>
      <c r="AA35" s="53"/>
      <c r="AB35" s="6"/>
      <c r="AC35" s="9">
        <f t="shared" si="10"/>
        <v>0</v>
      </c>
      <c r="AD35" s="53"/>
      <c r="AE35" s="12"/>
      <c r="AF35" s="9">
        <f t="shared" si="11"/>
        <v>0</v>
      </c>
      <c r="AG35" s="53"/>
      <c r="AH35" s="6"/>
      <c r="AI35" s="8">
        <f t="shared" si="12"/>
        <v>0</v>
      </c>
      <c r="AJ35" s="53"/>
      <c r="AK35" s="7"/>
      <c r="AL35" s="6"/>
      <c r="AM35" s="8">
        <f t="shared" si="5"/>
        <v>0</v>
      </c>
      <c r="AN35" s="53"/>
      <c r="AO35" s="7"/>
      <c r="AP35" s="6"/>
      <c r="AQ35" s="8">
        <f t="shared" si="13"/>
        <v>0</v>
      </c>
      <c r="AR35" s="53"/>
      <c r="AS35" s="14"/>
      <c r="AT35" s="14"/>
      <c r="AU35" s="7"/>
      <c r="AV35" s="63"/>
      <c r="AW35" s="64">
        <f t="shared" si="14"/>
        <v>0</v>
      </c>
      <c r="AY35" s="72">
        <f t="shared" si="21"/>
        <v>30</v>
      </c>
      <c r="AZ35" s="15">
        <f t="shared" si="16"/>
        <v>0</v>
      </c>
      <c r="BA35" s="15">
        <f t="shared" si="17"/>
        <v>0</v>
      </c>
      <c r="BB35" s="15">
        <f t="shared" si="18"/>
        <v>0</v>
      </c>
      <c r="BC35" s="15">
        <f t="shared" si="19"/>
        <v>0</v>
      </c>
      <c r="BD35" s="16">
        <f t="shared" si="20"/>
        <v>0</v>
      </c>
      <c r="BE35" s="15">
        <f>IF(X35&lt;&gt;0,AVERAGE(X$11:X35)*31,)</f>
        <v>0</v>
      </c>
      <c r="BF35" s="15">
        <f>IF(AD35+AG35&lt;&gt;0,AVERAGE(AD$11:AD35)*31+AVERAGE(AG$11:AG35)*31,)</f>
        <v>0</v>
      </c>
      <c r="BG35" s="16">
        <f>IF(AJ35&lt;&gt;0,AVERAGE(AJ$11:AJ35)*31,)</f>
        <v>0</v>
      </c>
      <c r="BH35" s="16">
        <f>IF(AN35&lt;&gt;0,AVERAGE(AN$11:AN35)*31,)</f>
        <v>0</v>
      </c>
      <c r="BI35" s="16">
        <f>IF(AR35&lt;&gt;0,AVERAGE(AR$11:AR35)*31,)</f>
        <v>0</v>
      </c>
    </row>
    <row r="36" spans="1:61" ht="16.5" customHeight="1" thickTop="1" thickBot="1" x14ac:dyDescent="0.3">
      <c r="A36" s="48" t="s">
        <v>31</v>
      </c>
      <c r="C36" s="17"/>
      <c r="D36" s="18">
        <f>D35-D4</f>
        <v>-92960</v>
      </c>
      <c r="F36" s="18">
        <f>F35-F4</f>
        <v>-6642.9</v>
      </c>
      <c r="G36" s="2"/>
      <c r="H36" s="18">
        <f>H35-H4</f>
        <v>-534431</v>
      </c>
      <c r="I36" s="2"/>
      <c r="J36" s="2"/>
      <c r="K36" s="2"/>
      <c r="L36" s="2"/>
      <c r="M36" s="2"/>
      <c r="N36" s="18">
        <f>N35-N4</f>
        <v>-88149</v>
      </c>
      <c r="O36" s="2"/>
      <c r="P36" s="18">
        <f>P35-P5</f>
        <v>-79377</v>
      </c>
      <c r="Q36" s="2"/>
      <c r="R36" s="18">
        <f>R35-R5</f>
        <v>-14375</v>
      </c>
      <c r="S36" s="2"/>
      <c r="T36" s="18">
        <f>T35-T5</f>
        <v>-170246</v>
      </c>
      <c r="U36" s="2"/>
      <c r="V36" s="18">
        <f>SUM(+V34-V4)*2200</f>
        <v>0</v>
      </c>
      <c r="W36" s="2"/>
      <c r="X36" s="18">
        <f>SUM(X4:X35)</f>
        <v>282811</v>
      </c>
      <c r="Y36" s="18">
        <f>Y34-Y4</f>
        <v>0</v>
      </c>
      <c r="Z36" s="2"/>
      <c r="AA36" s="69">
        <f>SUM(AA4:AA35)</f>
        <v>52245</v>
      </c>
      <c r="AB36" s="19">
        <f>SUM(+AB34-AB4)</f>
        <v>0</v>
      </c>
      <c r="AC36" s="2"/>
      <c r="AD36" s="69">
        <f>SUM(AD4:AD35)</f>
        <v>5582</v>
      </c>
      <c r="AE36" s="19">
        <f>SUM(+AE34-AE4)</f>
        <v>0</v>
      </c>
      <c r="AF36" s="2"/>
      <c r="AG36" s="69">
        <f>SUM(AG4:AG35)</f>
        <v>20820</v>
      </c>
      <c r="AH36" s="18">
        <f>SUM(+AH34-AH4)*80</f>
        <v>0</v>
      </c>
      <c r="AI36" s="2"/>
      <c r="AJ36" s="69">
        <f>SUM(AJ4:AJ35)</f>
        <v>2544</v>
      </c>
      <c r="AK36" s="2"/>
      <c r="AL36" s="18">
        <f>SUM(+AL34-AL4)</f>
        <v>0</v>
      </c>
      <c r="AM36" s="2"/>
      <c r="AN36" s="69">
        <f>SUM(AN4:AN35)</f>
        <v>2845</v>
      </c>
      <c r="AO36" s="2"/>
      <c r="AP36" s="18">
        <f>SUM(+AP34-AP4)*80</f>
        <v>0</v>
      </c>
      <c r="AQ36" s="2"/>
      <c r="AR36" s="69">
        <f>SUM(AR4:AR35)</f>
        <v>2976</v>
      </c>
      <c r="AS36" s="70">
        <f>AVERAGE(AS5:AS35)</f>
        <v>21.130434782608695</v>
      </c>
      <c r="AT36" s="49">
        <f>AVERAGE(AT5:AT35)</f>
        <v>31.086956521739129</v>
      </c>
      <c r="AU36" s="20"/>
      <c r="AY36" s="21">
        <v>31</v>
      </c>
      <c r="AZ36" s="22"/>
      <c r="BA36" s="22"/>
      <c r="BB36" s="22"/>
      <c r="BC36" s="22"/>
      <c r="BD36" s="23"/>
      <c r="BE36" s="38"/>
      <c r="BF36" s="38"/>
      <c r="BG36" s="37"/>
      <c r="BH36" s="37"/>
      <c r="BI36" s="37"/>
    </row>
    <row r="37" spans="1:61" ht="16.5" customHeight="1" thickTop="1" thickBot="1" x14ac:dyDescent="0.3">
      <c r="A37" s="48" t="s">
        <v>71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108">
        <f>AD36+AG36</f>
        <v>26402</v>
      </c>
      <c r="AC37" s="109"/>
      <c r="AD37" s="109"/>
      <c r="AE37" s="110"/>
      <c r="AF37" s="2"/>
      <c r="AG37" s="2"/>
      <c r="AH37" s="2"/>
      <c r="AI37" s="71"/>
      <c r="AJ37" s="24">
        <f>AB37+AJ36</f>
        <v>28946</v>
      </c>
      <c r="AK37" s="2"/>
      <c r="AL37" s="2"/>
      <c r="AM37" s="2"/>
      <c r="AN37" s="2"/>
      <c r="AO37" s="2"/>
      <c r="AP37" s="2"/>
      <c r="AQ37" s="2"/>
      <c r="AR37" s="2"/>
      <c r="AS37" s="25" t="s">
        <v>72</v>
      </c>
      <c r="AT37" s="2"/>
      <c r="AU37" s="2"/>
    </row>
    <row r="38" spans="1:61" ht="15.75" x14ac:dyDescent="0.25">
      <c r="A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6"/>
      <c r="AT38" s="27"/>
      <c r="AU38" s="2"/>
    </row>
    <row r="39" spans="1:61" x14ac:dyDescent="0.2">
      <c r="A39" s="46" t="s">
        <v>73</v>
      </c>
      <c r="D39" s="1">
        <v>7000</v>
      </c>
      <c r="F39" s="1">
        <v>50</v>
      </c>
      <c r="H39" s="1">
        <v>5200</v>
      </c>
      <c r="N39" s="1">
        <v>6500</v>
      </c>
      <c r="V39" s="1">
        <v>550000</v>
      </c>
    </row>
    <row r="40" spans="1:61" x14ac:dyDescent="0.2">
      <c r="A40" s="46" t="s">
        <v>74</v>
      </c>
      <c r="D40" s="1">
        <v>6838</v>
      </c>
      <c r="F40" s="1">
        <v>107</v>
      </c>
      <c r="H40" s="1">
        <v>5501</v>
      </c>
      <c r="N40" s="1">
        <v>1281</v>
      </c>
      <c r="V40" s="1">
        <v>557339</v>
      </c>
    </row>
    <row r="41" spans="1:61" x14ac:dyDescent="0.2">
      <c r="A41" s="46" t="s">
        <v>75</v>
      </c>
      <c r="D41" s="1">
        <v>10312</v>
      </c>
      <c r="F41" s="1">
        <v>91</v>
      </c>
      <c r="H41" s="1">
        <v>6541</v>
      </c>
      <c r="N41" s="1">
        <v>974</v>
      </c>
      <c r="V41" s="1">
        <v>517912</v>
      </c>
    </row>
    <row r="42" spans="1:61" x14ac:dyDescent="0.2">
      <c r="A42" s="46" t="s">
        <v>76</v>
      </c>
      <c r="D42" s="1">
        <v>4814</v>
      </c>
      <c r="F42" s="1">
        <v>63</v>
      </c>
      <c r="H42" s="1">
        <v>5713</v>
      </c>
      <c r="N42" s="1">
        <v>933</v>
      </c>
      <c r="V42" s="1">
        <v>567068</v>
      </c>
    </row>
    <row r="43" spans="1:61" x14ac:dyDescent="0.2">
      <c r="A43" s="46" t="s">
        <v>77</v>
      </c>
      <c r="D43" s="1">
        <v>6223</v>
      </c>
      <c r="F43" s="1">
        <v>32</v>
      </c>
      <c r="H43" s="1">
        <v>6603</v>
      </c>
      <c r="N43" s="1">
        <v>410</v>
      </c>
      <c r="V43" s="1">
        <v>558100</v>
      </c>
    </row>
    <row r="44" spans="1:61" x14ac:dyDescent="0.2">
      <c r="A44" s="46" t="s">
        <v>78</v>
      </c>
      <c r="D44" s="1">
        <v>8846</v>
      </c>
      <c r="F44" s="1">
        <v>42</v>
      </c>
      <c r="H44" s="1">
        <v>12525</v>
      </c>
      <c r="N44" s="1">
        <v>556</v>
      </c>
      <c r="V44" s="1">
        <v>516115</v>
      </c>
    </row>
  </sheetData>
  <mergeCells count="31">
    <mergeCell ref="BF1:BF3"/>
    <mergeCell ref="BE1:BE3"/>
    <mergeCell ref="AU1:AU2"/>
    <mergeCell ref="AV1:AV2"/>
    <mergeCell ref="BA1:BA3"/>
    <mergeCell ref="A1:C2"/>
    <mergeCell ref="D1:E2"/>
    <mergeCell ref="F1:G2"/>
    <mergeCell ref="H1:M2"/>
    <mergeCell ref="N1:O2"/>
    <mergeCell ref="AB37:AE37"/>
    <mergeCell ref="Y1:AA2"/>
    <mergeCell ref="AB1:AD2"/>
    <mergeCell ref="AE1:AG2"/>
    <mergeCell ref="BD1:BD3"/>
    <mergeCell ref="R1:S2"/>
    <mergeCell ref="T1:U2"/>
    <mergeCell ref="BB1:BB3"/>
    <mergeCell ref="AH1:AK2"/>
    <mergeCell ref="V1:X2"/>
    <mergeCell ref="AL1:AO2"/>
    <mergeCell ref="AW1:AW2"/>
    <mergeCell ref="BC1:BC3"/>
    <mergeCell ref="P1:Q2"/>
    <mergeCell ref="BI1:BI3"/>
    <mergeCell ref="AU3:AV3"/>
    <mergeCell ref="AP1:AR2"/>
    <mergeCell ref="AS1:AT2"/>
    <mergeCell ref="AZ1:AZ3"/>
    <mergeCell ref="BH1:BH3"/>
    <mergeCell ref="BG1:B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 </vt:lpstr>
      <vt:lpstr>Hotel Data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Joe El Khoury</cp:lastModifiedBy>
  <dcterms:created xsi:type="dcterms:W3CDTF">2017-05-22T13:08:25Z</dcterms:created>
  <dcterms:modified xsi:type="dcterms:W3CDTF">2020-08-24T10:51:21Z</dcterms:modified>
</cp:coreProperties>
</file>