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3\"/>
    </mc:Choice>
  </mc:AlternateContent>
  <xr:revisionPtr revIDLastSave="50" documentId="11_10FDE0C3BCE4266BFC0E2AB39800F292B34005C9" xr6:coauthVersionLast="47" xr6:coauthVersionMax="47" xr10:uidLastSave="{E1719B85-799C-4997-A10C-F3EFEC390102}"/>
  <bookViews>
    <workbookView xWindow="1350" yWindow="165" windowWidth="12915" windowHeight="11835" tabRatio="579" activeTab="7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5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73" l="1"/>
  <c r="C10" i="1"/>
  <c r="B8" i="3" l="1"/>
  <c r="B9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M11" i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9" i="2"/>
  <c r="P10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9" i="2"/>
  <c r="L10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9" i="2"/>
  <c r="J10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9" i="2"/>
  <c r="H10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9" i="2"/>
  <c r="F10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10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A6" i="73" l="1"/>
  <c r="Z5" i="7"/>
  <c r="AB5" i="7" s="1"/>
  <c r="B5" i="7"/>
  <c r="G10" i="5"/>
  <c r="G11" i="5" s="1"/>
  <c r="G12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AX11" i="5"/>
  <c r="AX12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11" i="5"/>
  <c r="AV12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6" i="5"/>
  <c r="AT7" i="5" s="1"/>
  <c r="AT9" i="5" s="1"/>
  <c r="AT10" i="5" s="1"/>
  <c r="AT11" i="5" s="1"/>
  <c r="AT12" i="5" s="1"/>
  <c r="AT13" i="5" s="1"/>
  <c r="AT14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P5" i="1"/>
  <c r="P6" i="1" s="1"/>
  <c r="P7" i="1" s="1"/>
  <c r="P8" i="1" s="1"/>
  <c r="P9" i="1" s="1"/>
  <c r="P10" i="1" s="1"/>
  <c r="P11" i="1" s="1"/>
  <c r="P12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H11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11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C11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B11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5" i="1"/>
  <c r="AD5" i="7" l="1"/>
  <c r="D5" i="7"/>
  <c r="Q33" i="2"/>
  <c r="AF5" i="7" l="1"/>
  <c r="F5" i="7"/>
  <c r="C23" i="3"/>
  <c r="C24" i="3"/>
  <c r="H24" i="5"/>
  <c r="E15" i="2"/>
  <c r="E16" i="2"/>
  <c r="Q35" i="1"/>
  <c r="D14" i="73"/>
  <c r="D15" i="73"/>
  <c r="D16" i="73"/>
  <c r="D17" i="73"/>
  <c r="D18" i="73"/>
  <c r="D19" i="73"/>
  <c r="D20" i="73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H5" i="7" l="1"/>
  <c r="AH5" i="7"/>
  <c r="F3" i="76"/>
  <c r="BK5" i="7"/>
  <c r="BJ5" i="7"/>
  <c r="BI5" i="7"/>
  <c r="BB5" i="7"/>
  <c r="BA5" i="7"/>
  <c r="AZ5" i="7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U5" i="5"/>
  <c r="AU6" i="5" s="1"/>
  <c r="AW5" i="5"/>
  <c r="BB5" i="5"/>
  <c r="C5" i="5"/>
  <c r="D5" i="5"/>
  <c r="F5" i="5"/>
  <c r="K5" i="5"/>
  <c r="L5" i="5"/>
  <c r="M5" i="5"/>
  <c r="N5" i="5"/>
  <c r="O5" i="5"/>
  <c r="P5" i="5"/>
  <c r="Q5" i="5"/>
  <c r="R5" i="5"/>
  <c r="S5" i="5"/>
  <c r="U5" i="5"/>
  <c r="W5" i="5"/>
  <c r="Y5" i="5"/>
  <c r="AA5" i="5"/>
  <c r="AB5" i="5"/>
  <c r="AC5" i="5"/>
  <c r="AD5" i="5"/>
  <c r="AF5" i="5"/>
  <c r="AG5" i="5"/>
  <c r="AH5" i="5"/>
  <c r="AI5" i="5"/>
  <c r="AJ5" i="5"/>
  <c r="AK5" i="5"/>
  <c r="AL5" i="5"/>
  <c r="AM5" i="5"/>
  <c r="AN5" i="5"/>
  <c r="AO5" i="5"/>
  <c r="AP5" i="5"/>
  <c r="B5" i="5"/>
  <c r="N3" i="2"/>
  <c r="O3" i="2"/>
  <c r="S3" i="2"/>
  <c r="T3" i="2"/>
  <c r="U3" i="2"/>
  <c r="V3" i="2"/>
  <c r="X3" i="2"/>
  <c r="Z3" i="2"/>
  <c r="AB3" i="2"/>
  <c r="AD3" i="2"/>
  <c r="AE3" i="2"/>
  <c r="AF3" i="2"/>
  <c r="AG3" i="2"/>
  <c r="AJ5" i="7" l="1"/>
  <c r="J5" i="7"/>
  <c r="AL5" i="7" l="1"/>
  <c r="L5" i="7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P5" i="2"/>
  <c r="H5" i="2"/>
  <c r="J5" i="2"/>
  <c r="L5" i="2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3" i="1" s="1"/>
  <c r="K24" i="1" s="1"/>
  <c r="K25" i="1" s="1"/>
  <c r="K26" i="1" s="1"/>
  <c r="K27" i="1" s="1"/>
  <c r="K28" i="1" s="1"/>
  <c r="K29" i="1" s="1"/>
  <c r="K30" i="1" s="1"/>
  <c r="K32" i="1" s="1"/>
  <c r="K33" i="1" s="1"/>
  <c r="K34" i="1" s="1"/>
  <c r="K35" i="1" s="1"/>
  <c r="F5" i="1"/>
  <c r="F6" i="1" s="1"/>
  <c r="F7" i="1" s="1"/>
  <c r="G4" i="1"/>
  <c r="H5" i="1"/>
  <c r="H6" i="1" s="1"/>
  <c r="I4" i="1"/>
  <c r="J4" i="1"/>
  <c r="M6" i="1"/>
  <c r="M7" i="1" s="1"/>
  <c r="O4" i="1"/>
  <c r="Q5" i="1"/>
  <c r="R4" i="1"/>
  <c r="S4" i="1"/>
  <c r="T4" i="1"/>
  <c r="W4" i="1"/>
  <c r="Y4" i="1"/>
  <c r="Z4" i="1"/>
  <c r="AA4" i="1"/>
  <c r="AB4" i="1"/>
  <c r="AD4" i="1"/>
  <c r="AE6" i="1"/>
  <c r="AE7" i="1" s="1"/>
  <c r="AE9" i="1" s="1"/>
  <c r="AE10" i="1" s="1"/>
  <c r="AE11" i="1" s="1"/>
  <c r="AF4" i="1"/>
  <c r="AG4" i="1"/>
  <c r="AH4" i="1"/>
  <c r="AK4" i="1"/>
  <c r="AM4" i="1"/>
  <c r="AN4" i="1"/>
  <c r="AO4" i="1"/>
  <c r="AP4" i="1"/>
  <c r="AQ4" i="1"/>
  <c r="AR4" i="1"/>
  <c r="AS4" i="1"/>
  <c r="AT4" i="1"/>
  <c r="AU4" i="1"/>
  <c r="AV4" i="1"/>
  <c r="AW4" i="1"/>
  <c r="AX4" i="1"/>
  <c r="AV7" i="5"/>
  <c r="AX7" i="5"/>
  <c r="BC5" i="5"/>
  <c r="BD5" i="5"/>
  <c r="BE5" i="5"/>
  <c r="BF5" i="5"/>
  <c r="BG5" i="5"/>
  <c r="AS5" i="5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J3" i="3"/>
  <c r="J4" i="3" s="1"/>
  <c r="J5" i="3" s="1"/>
  <c r="J6" i="3" s="1"/>
  <c r="J8" i="3" s="1"/>
  <c r="J9" i="3" s="1"/>
  <c r="AL2" i="3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J10" i="3" l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E12" i="1"/>
  <c r="AE14" i="1" s="1"/>
  <c r="N5" i="7"/>
  <c r="R30" i="3"/>
  <c r="R31" i="3" s="1"/>
  <c r="R32" i="3" s="1"/>
  <c r="R33" i="3" s="1"/>
  <c r="F16" i="76"/>
  <c r="F17" i="76" s="1"/>
  <c r="F18" i="76" s="1"/>
  <c r="F19" i="76" s="1"/>
  <c r="F20" i="76" s="1"/>
  <c r="F21" i="76" s="1"/>
  <c r="F22" i="76" s="1"/>
  <c r="H16" i="76"/>
  <c r="H17" i="76" s="1"/>
  <c r="H18" i="76" s="1"/>
  <c r="H19" i="76" s="1"/>
  <c r="H20" i="76" s="1"/>
  <c r="H21" i="76" s="1"/>
  <c r="H22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G18" i="1"/>
  <c r="E17" i="2"/>
  <c r="D5" i="1"/>
  <c r="Z6" i="7"/>
  <c r="C25" i="3"/>
  <c r="F23" i="76" l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AE15" i="1"/>
  <c r="AE16" i="1" s="1"/>
  <c r="AE17" i="1" s="1"/>
  <c r="AE18" i="1" s="1"/>
  <c r="P5" i="7"/>
  <c r="E18" i="2"/>
  <c r="C26" i="3"/>
  <c r="D13" i="73"/>
  <c r="D11" i="73"/>
  <c r="AE19" i="1" l="1"/>
  <c r="AE20" i="1" s="1"/>
  <c r="AE21" i="1" s="1"/>
  <c r="AE22" i="1" s="1"/>
  <c r="R5" i="7"/>
  <c r="E19" i="2"/>
  <c r="C27" i="3"/>
  <c r="AE23" i="1" l="1"/>
  <c r="AE24" i="1" s="1"/>
  <c r="AE25" i="1" s="1"/>
  <c r="T5" i="7"/>
  <c r="E20" i="2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Q6" i="1"/>
  <c r="Q7" i="1" s="1"/>
  <c r="Q8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7" i="1"/>
  <c r="AC9" i="1" s="1"/>
  <c r="AC10" i="1" s="1"/>
  <c r="AC11" i="1" s="1"/>
  <c r="AC12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Q9" i="1" l="1"/>
  <c r="Q10" i="1" s="1"/>
  <c r="Q11" i="1" s="1"/>
  <c r="Q12" i="1" s="1"/>
  <c r="AE26" i="1"/>
  <c r="AE27" i="1" s="1"/>
  <c r="AE28" i="1" s="1"/>
  <c r="AE29" i="1" s="1"/>
  <c r="AE30" i="1" s="1"/>
  <c r="V5" i="7"/>
  <c r="C28" i="3"/>
  <c r="E21" i="2"/>
  <c r="I30" i="1"/>
  <c r="AE31" i="1" l="1"/>
  <c r="AE32" i="1" s="1"/>
  <c r="AE33" i="1" s="1"/>
  <c r="AE34" i="1" s="1"/>
  <c r="AE35" i="1" s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C29" i="3"/>
  <c r="E22" i="2"/>
  <c r="AM18" i="5"/>
  <c r="C30" i="3" l="1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C31" i="3" l="1"/>
  <c r="E29" i="2"/>
  <c r="AF14" i="1"/>
  <c r="AF15" i="1"/>
  <c r="AF16" i="1"/>
  <c r="AF17" i="1"/>
  <c r="C33" i="3" l="1"/>
  <c r="C32" i="3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l="1"/>
  <c r="B13" i="76" s="1"/>
  <c r="B14" i="76" s="1"/>
  <c r="B15" i="76" s="1"/>
  <c r="B16" i="76" s="1"/>
  <c r="B17" i="76" s="1"/>
  <c r="B18" i="76" s="1"/>
  <c r="B19" i="76"/>
  <c r="B20" i="76" s="1"/>
  <c r="B21" i="76" s="1"/>
  <c r="B22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C25" i="76"/>
  <c r="V28" i="76"/>
  <c r="V27" i="76"/>
  <c r="V26" i="76"/>
  <c r="C26" i="76" l="1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7" i="76" l="1"/>
  <c r="E15" i="77"/>
  <c r="E16" i="77"/>
  <c r="E17" i="77"/>
  <c r="E18" i="77"/>
  <c r="E14" i="77"/>
  <c r="C28" i="76" l="1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T6" i="5"/>
  <c r="T7" i="5" s="1"/>
  <c r="T8" i="5" s="1"/>
  <c r="T9" i="5" s="1"/>
  <c r="T11" i="5" s="1"/>
  <c r="T12" i="5" s="1"/>
  <c r="T13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5" i="5" s="1"/>
  <c r="T36" i="5" s="1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J19" i="76" l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R7" i="2" s="1"/>
  <c r="C11" i="76"/>
  <c r="N6" i="2"/>
  <c r="R6" i="2" s="1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J32" i="82" l="1"/>
  <c r="AD32" i="3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5" i="7" l="1"/>
  <c r="E5" i="7"/>
  <c r="G5" i="7"/>
  <c r="I5" i="7"/>
  <c r="K5" i="7"/>
  <c r="M5" i="7"/>
  <c r="O5" i="7"/>
  <c r="Q5" i="7"/>
  <c r="S5" i="7"/>
  <c r="U5" i="7"/>
  <c r="W5" i="7"/>
  <c r="AA6" i="7"/>
  <c r="AC5" i="7"/>
  <c r="AA5" i="7"/>
  <c r="AE5" i="7"/>
  <c r="AG5" i="7"/>
  <c r="AI5" i="7"/>
  <c r="AK5" i="7"/>
  <c r="AM5" i="7"/>
  <c r="I6" i="82"/>
  <c r="N8" i="2"/>
  <c r="R8" i="2" s="1"/>
  <c r="C14" i="7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12" i="81" l="1"/>
  <c r="O14" i="2"/>
  <c r="AO5" i="7"/>
  <c r="Y5" i="7"/>
  <c r="X5" i="7" s="1"/>
  <c r="O4" i="8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AN5" i="7" l="1"/>
  <c r="AR5" i="7"/>
  <c r="AQ5" i="7" s="1"/>
  <c r="E12" i="82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BC15" i="5" s="1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K35" i="5"/>
  <c r="L34" i="5"/>
  <c r="AK34" i="5" s="1"/>
  <c r="K36" i="5" l="1"/>
  <c r="L36" i="5" s="1"/>
  <c r="AK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E33" i="3"/>
  <c r="AA33" i="3" s="1"/>
  <c r="AC33" i="3" s="1"/>
  <c r="AH33" i="3" s="1"/>
  <c r="F31" i="3"/>
  <c r="AB31" i="3" s="1"/>
  <c r="AA31" i="3"/>
  <c r="AC31" i="3" s="1"/>
  <c r="AH31" i="3" s="1"/>
  <c r="AA32" i="3" l="1"/>
  <c r="AC32" i="3" s="1"/>
  <c r="AH32" i="3" s="1"/>
  <c r="F32" i="3"/>
  <c r="A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<sst xmlns="http://schemas.openxmlformats.org/spreadsheetml/2006/main" count="666" uniqueCount="418">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</sst>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06/relationships/rdRichValueStructure" Target="richData/rdrichvaluestructure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2.xml"/><Relationship Id="rId41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05352"/>
        <c:axId val="197306136"/>
      </c:lineChart>
      <c:catAx>
        <c:axId val="197305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306136"/>
        <c:crosses val="autoZero"/>
        <c:auto val="1"/>
        <c:lblAlgn val="ctr"/>
        <c:lblOffset val="100"/>
        <c:noMultiLvlLbl val="0"/>
      </c:catAx>
      <c:valAx>
        <c:axId val="1973061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305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03056"/>
        <c:axId val="156400704"/>
      </c:lineChart>
      <c:catAx>
        <c:axId val="15640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0704"/>
        <c:crosses val="autoZero"/>
        <c:auto val="1"/>
        <c:lblAlgn val="ctr"/>
        <c:lblOffset val="100"/>
        <c:noMultiLvlLbl val="0"/>
      </c:catAx>
      <c:valAx>
        <c:axId val="156400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98744"/>
        <c:axId val="156403840"/>
      </c:lineChart>
      <c:catAx>
        <c:axId val="15639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3840"/>
        <c:crosses val="autoZero"/>
        <c:auto val="1"/>
        <c:lblAlgn val="ctr"/>
        <c:lblOffset val="100"/>
        <c:noMultiLvlLbl val="0"/>
      </c:catAx>
      <c:valAx>
        <c:axId val="1564038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98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04232"/>
        <c:axId val="156399920"/>
      </c:lineChart>
      <c:catAx>
        <c:axId val="156404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99920"/>
        <c:crosses val="autoZero"/>
        <c:auto val="1"/>
        <c:lblAlgn val="ctr"/>
        <c:lblOffset val="100"/>
        <c:noMultiLvlLbl val="0"/>
      </c:catAx>
      <c:valAx>
        <c:axId val="1563999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4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97960"/>
        <c:axId val="156398352"/>
      </c:lineChart>
      <c:catAx>
        <c:axId val="156397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98352"/>
        <c:crosses val="autoZero"/>
        <c:auto val="1"/>
        <c:lblAlgn val="ctr"/>
        <c:lblOffset val="100"/>
        <c:noMultiLvlLbl val="0"/>
      </c:catAx>
      <c:valAx>
        <c:axId val="15639835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97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99136"/>
        <c:axId val="156399528"/>
      </c:lineChart>
      <c:catAx>
        <c:axId val="15639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99528"/>
        <c:crosses val="autoZero"/>
        <c:auto val="1"/>
        <c:lblAlgn val="ctr"/>
        <c:lblOffset val="100"/>
        <c:noMultiLvlLbl val="0"/>
      </c:catAx>
      <c:valAx>
        <c:axId val="156399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23592"/>
        <c:axId val="198525160"/>
      </c:lineChart>
      <c:catAx>
        <c:axId val="198523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5160"/>
        <c:crosses val="autoZero"/>
        <c:auto val="1"/>
        <c:lblAlgn val="ctr"/>
        <c:lblOffset val="100"/>
        <c:noMultiLvlLbl val="0"/>
      </c:catAx>
      <c:valAx>
        <c:axId val="198525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3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23200"/>
        <c:axId val="198527512"/>
      </c:lineChart>
      <c:catAx>
        <c:axId val="19852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7512"/>
        <c:crosses val="autoZero"/>
        <c:auto val="1"/>
        <c:lblAlgn val="ctr"/>
        <c:lblOffset val="100"/>
        <c:noMultiLvlLbl val="0"/>
      </c:catAx>
      <c:valAx>
        <c:axId val="198527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15.5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22416"/>
        <c:axId val="198522808"/>
      </c:lineChart>
      <c:catAx>
        <c:axId val="19852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2808"/>
        <c:crosses val="autoZero"/>
        <c:auto val="1"/>
        <c:lblAlgn val="ctr"/>
        <c:lblOffset val="100"/>
        <c:noMultiLvlLbl val="0"/>
      </c:catAx>
      <c:valAx>
        <c:axId val="1985228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25552"/>
        <c:axId val="198526728"/>
      </c:lineChart>
      <c:catAx>
        <c:axId val="19852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6728"/>
        <c:crosses val="autoZero"/>
        <c:auto val="1"/>
        <c:lblAlgn val="ctr"/>
        <c:lblOffset val="100"/>
        <c:noMultiLvlLbl val="0"/>
      </c:catAx>
      <c:valAx>
        <c:axId val="198526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15.5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21240"/>
        <c:axId val="198520848"/>
      </c:lineChart>
      <c:catAx>
        <c:axId val="198521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0848"/>
        <c:crosses val="autoZero"/>
        <c:auto val="1"/>
        <c:lblAlgn val="ctr"/>
        <c:lblOffset val="100"/>
        <c:noMultiLvlLbl val="0"/>
      </c:catAx>
      <c:valAx>
        <c:axId val="19852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1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15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24376"/>
        <c:axId val="198524768"/>
      </c:lineChart>
      <c:catAx>
        <c:axId val="19852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4768"/>
        <c:crosses val="autoZero"/>
        <c:auto val="1"/>
        <c:lblAlgn val="ctr"/>
        <c:lblOffset val="100"/>
        <c:noMultiLvlLbl val="0"/>
      </c:catAx>
      <c:valAx>
        <c:axId val="19852476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4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22024"/>
        <c:axId val="156404624"/>
      </c:lineChart>
      <c:catAx>
        <c:axId val="198522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4624"/>
        <c:crosses val="autoZero"/>
        <c:auto val="1"/>
        <c:lblAlgn val="ctr"/>
        <c:lblOffset val="100"/>
        <c:noMultiLvlLbl val="0"/>
      </c:catAx>
      <c:valAx>
        <c:axId val="156404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522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</c:v>
                </c:pt>
                <c:pt idx="4">
                  <c:v>297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276.5</c:v>
                </c:pt>
                <c:pt idx="10">
                  <c:v>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02272"/>
        <c:axId val="156405016"/>
      </c:lineChart>
      <c:catAx>
        <c:axId val="15640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5016"/>
        <c:crosses val="autoZero"/>
        <c:auto val="1"/>
        <c:lblAlgn val="ctr"/>
        <c:lblOffset val="100"/>
        <c:noMultiLvlLbl val="0"/>
      </c:catAx>
      <c:valAx>
        <c:axId val="156405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0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2040"/>
        <c:axId val="156155176"/>
      </c:lineChart>
      <c:catAx>
        <c:axId val="156152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5176"/>
        <c:crosses val="autoZero"/>
        <c:auto val="1"/>
        <c:lblAlgn val="ctr"/>
        <c:lblOffset val="100"/>
        <c:noMultiLvlLbl val="0"/>
      </c:catAx>
      <c:valAx>
        <c:axId val="1561551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2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0080"/>
        <c:axId val="156154392"/>
      </c:lineChart>
      <c:catAx>
        <c:axId val="15615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4392"/>
        <c:crosses val="autoZero"/>
        <c:auto val="1"/>
        <c:lblAlgn val="ctr"/>
        <c:lblOffset val="100"/>
        <c:noMultiLvlLbl val="0"/>
      </c:catAx>
      <c:valAx>
        <c:axId val="1561543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2432"/>
        <c:axId val="156148512"/>
      </c:lineChart>
      <c:catAx>
        <c:axId val="15615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8512"/>
        <c:crosses val="autoZero"/>
        <c:auto val="1"/>
        <c:lblAlgn val="ctr"/>
        <c:lblOffset val="100"/>
        <c:noMultiLvlLbl val="0"/>
      </c:catAx>
      <c:valAx>
        <c:axId val="15614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15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2824"/>
        <c:axId val="156149296"/>
      </c:lineChart>
      <c:catAx>
        <c:axId val="156152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9296"/>
        <c:crosses val="autoZero"/>
        <c:auto val="1"/>
        <c:lblAlgn val="ctr"/>
        <c:lblOffset val="100"/>
        <c:noMultiLvlLbl val="0"/>
      </c:catAx>
      <c:valAx>
        <c:axId val="15614929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2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-1156.7096774193487</c:v>
                </c:pt>
                <c:pt idx="3">
                  <c:v>-198.06451612904493</c:v>
                </c:pt>
                <c:pt idx="4">
                  <c:v>-1340.0322580645152</c:v>
                </c:pt>
                <c:pt idx="5">
                  <c:v>0</c:v>
                </c:pt>
                <c:pt idx="6">
                  <c:v>0</c:v>
                </c:pt>
                <c:pt idx="7">
                  <c:v>-500.03225806450064</c:v>
                </c:pt>
                <c:pt idx="8">
                  <c:v>-1533.3870967741823</c:v>
                </c:pt>
                <c:pt idx="9">
                  <c:v>-920.03225806454429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3216"/>
        <c:axId val="156154000"/>
      </c:lineChart>
      <c:catAx>
        <c:axId val="15615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4000"/>
        <c:crosses val="autoZero"/>
        <c:auto val="1"/>
        <c:lblAlgn val="ctr"/>
        <c:lblOffset val="100"/>
        <c:noMultiLvlLbl val="0"/>
      </c:catAx>
      <c:valAx>
        <c:axId val="1561540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3608"/>
        <c:axId val="156149688"/>
      </c:lineChart>
      <c:catAx>
        <c:axId val="156153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9688"/>
        <c:crosses val="autoZero"/>
        <c:auto val="1"/>
        <c:lblAlgn val="ctr"/>
        <c:lblOffset val="100"/>
        <c:noMultiLvlLbl val="0"/>
      </c:catAx>
      <c:valAx>
        <c:axId val="156149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3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50864"/>
        <c:axId val="156151648"/>
      </c:lineChart>
      <c:catAx>
        <c:axId val="15615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1648"/>
        <c:crosses val="autoZero"/>
        <c:auto val="1"/>
        <c:lblAlgn val="ctr"/>
        <c:lblOffset val="100"/>
        <c:noMultiLvlLbl val="0"/>
      </c:catAx>
      <c:valAx>
        <c:axId val="1561516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14432"/>
        <c:axId val="158311296"/>
      </c:lineChart>
      <c:catAx>
        <c:axId val="15831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1296"/>
        <c:crosses val="autoZero"/>
        <c:auto val="1"/>
        <c:lblAlgn val="ctr"/>
        <c:lblOffset val="100"/>
        <c:noMultiLvlLbl val="0"/>
      </c:catAx>
      <c:valAx>
        <c:axId val="1583112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17568"/>
        <c:axId val="158310904"/>
      </c:lineChart>
      <c:catAx>
        <c:axId val="15831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0904"/>
        <c:crosses val="autoZero"/>
        <c:auto val="1"/>
        <c:lblAlgn val="ctr"/>
        <c:lblOffset val="100"/>
        <c:noMultiLvlLbl val="0"/>
      </c:catAx>
      <c:valAx>
        <c:axId val="158310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12472"/>
        <c:axId val="158312080"/>
      </c:lineChart>
      <c:catAx>
        <c:axId val="158312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2080"/>
        <c:crosses val="autoZero"/>
        <c:auto val="1"/>
        <c:lblAlgn val="ctr"/>
        <c:lblOffset val="100"/>
        <c:noMultiLvlLbl val="0"/>
      </c:catAx>
      <c:valAx>
        <c:axId val="158312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2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15.5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10512"/>
        <c:axId val="158315216"/>
      </c:lineChart>
      <c:catAx>
        <c:axId val="15831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5216"/>
        <c:crosses val="autoZero"/>
        <c:auto val="1"/>
        <c:lblAlgn val="ctr"/>
        <c:lblOffset val="100"/>
        <c:noMultiLvlLbl val="0"/>
      </c:catAx>
      <c:valAx>
        <c:axId val="15831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15608"/>
        <c:axId val="158313648"/>
      </c:lineChart>
      <c:catAx>
        <c:axId val="158315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3648"/>
        <c:crosses val="autoZero"/>
        <c:auto val="1"/>
        <c:lblAlgn val="ctr"/>
        <c:lblOffset val="100"/>
        <c:noMultiLvlLbl val="0"/>
      </c:catAx>
      <c:valAx>
        <c:axId val="15831364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5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16000"/>
        <c:axId val="158314824"/>
      </c:lineChart>
      <c:catAx>
        <c:axId val="15831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4824"/>
        <c:crosses val="autoZero"/>
        <c:auto val="1"/>
        <c:lblAlgn val="ctr"/>
        <c:lblOffset val="100"/>
        <c:noMultiLvlLbl val="0"/>
      </c:catAx>
      <c:valAx>
        <c:axId val="1583148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16784"/>
        <c:axId val="158761960"/>
      </c:lineChart>
      <c:catAx>
        <c:axId val="158316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61960"/>
        <c:crosses val="autoZero"/>
        <c:auto val="1"/>
        <c:lblAlgn val="ctr"/>
        <c:lblOffset val="100"/>
        <c:noMultiLvlLbl val="0"/>
      </c:catAx>
      <c:valAx>
        <c:axId val="15876196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N33">
            <v>3572</v>
          </cell>
          <cell r="O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G34">
            <v>0</v>
          </cell>
          <cell r="I34">
            <v>0</v>
          </cell>
          <cell r="J34">
            <v>0</v>
          </cell>
          <cell r="O34">
            <v>1869</v>
          </cell>
          <cell r="R34">
            <v>0</v>
          </cell>
          <cell r="S34">
            <v>0</v>
          </cell>
          <cell r="T34">
            <v>0</v>
          </cell>
          <cell r="W34">
            <v>0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F35">
            <v>0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>
            <v>0</v>
          </cell>
          <cell r="AP35">
            <v>0</v>
          </cell>
        </row>
        <row r="36">
          <cell r="AS36">
            <v>0.9</v>
          </cell>
          <cell r="AU36">
            <v>1.1000000000000001</v>
          </cell>
          <cell r="AW36">
            <v>2.9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D32">
            <v>805681</v>
          </cell>
          <cell r="E32">
            <v>1190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>
            <v>0</v>
          </cell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>
            <v>0</v>
          </cell>
          <cell r="AB30">
            <v>7486797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238</v>
          </cell>
          <cell r="X32">
            <v>59.5</v>
          </cell>
          <cell r="Y32">
            <v>59.5</v>
          </cell>
          <cell r="AA32">
            <v>0</v>
          </cell>
          <cell r="AB32">
            <v>0</v>
          </cell>
          <cell r="AC32">
            <v>0</v>
          </cell>
        </row>
        <row r="33">
          <cell r="C33">
            <v>0</v>
          </cell>
          <cell r="D33">
            <v>0</v>
          </cell>
          <cell r="F33">
            <v>161640</v>
          </cell>
          <cell r="G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>
            <v>0</v>
          </cell>
          <cell r="AB34">
            <v>8310344.6699999999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4966.3661691542293</v>
          </cell>
          <cell r="AC36">
            <v>0</v>
          </cell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>
            <v>0</v>
          </cell>
          <cell r="C10">
            <v>0</v>
          </cell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0</v>
          </cell>
          <cell r="C28">
            <v>0</v>
          </cell>
        </row>
        <row r="29">
          <cell r="B29">
            <v>0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0</v>
      </c>
      <c r="F2" s="282">
        <f>SUM('EDl log'!T4)</f>
        <v>0</v>
      </c>
      <c r="G2" s="192">
        <f>-tanks!AW6</f>
        <v>0</v>
      </c>
      <c r="H2" s="529">
        <f>tanks!AV6</f>
        <v>0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29">
        <f>tanks!AV7</f>
        <v>0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2464</v>
      </c>
      <c r="F4" s="282">
        <f>SUM('EDl log'!T6)</f>
        <v>0.45029003712411048</v>
      </c>
      <c r="G4" s="192">
        <f>-tanks!AW8</f>
        <v>84</v>
      </c>
      <c r="H4" s="529">
        <f>tanks!AV8</f>
        <v>0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2763</v>
      </c>
      <c r="F5" s="282">
        <f>SUM('EDl log'!T7)</f>
        <v>2.4158689079058233E-2</v>
      </c>
      <c r="G5" s="192">
        <f>-tanks!AW9</f>
        <v>297</v>
      </c>
      <c r="H5" s="529">
        <f>tanks!AV9</f>
        <v>0.89</v>
      </c>
      <c r="I5" s="10">
        <f>('B5'!AU8)*0.51</f>
        <v>0</v>
      </c>
      <c r="J5" s="265">
        <f>'B5'!AX8/0.51</f>
        <v>1.5686274509803921</v>
      </c>
      <c r="K5" s="192">
        <f>WATER!I9</f>
        <v>0</v>
      </c>
      <c r="L5" s="283">
        <f>SUM(WATER!J9)</f>
        <v>0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2299</v>
      </c>
      <c r="F6" s="282">
        <f>SUM('EDl log'!T8)</f>
        <v>0.54234960776337826</v>
      </c>
      <c r="G6" s="192">
        <f>-tanks!AW10</f>
        <v>113</v>
      </c>
      <c r="H6" s="529">
        <f>tanks!AV10</f>
        <v>0.89</v>
      </c>
      <c r="I6" s="10">
        <f>('B5'!AU9)*0.51</f>
        <v>0</v>
      </c>
      <c r="J6" s="265">
        <f>'B5'!AX9/0.51</f>
        <v>1.5686274509803921</v>
      </c>
      <c r="K6" s="192">
        <f>WATER!I10</f>
        <v>0</v>
      </c>
      <c r="L6" s="283">
        <f>SUM(WATER!J10)</f>
        <v>0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0</v>
      </c>
      <c r="F7" s="282">
        <f>SUM('EDl log'!T9)</f>
        <v>0</v>
      </c>
      <c r="G7" s="192">
        <f>-tanks!AW11</f>
        <v>0</v>
      </c>
      <c r="H7" s="529">
        <f>tanks!AV11</f>
        <v>0.89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0</v>
      </c>
      <c r="F8" s="282">
        <f>SUM('EDl log'!T10)</f>
        <v>0</v>
      </c>
      <c r="G8" s="192">
        <f>-tanks!AW12</f>
        <v>0</v>
      </c>
      <c r="H8" s="529">
        <f>tanks!AV12</f>
        <v>0.89</v>
      </c>
      <c r="I8" s="10">
        <f>('B5'!AU11)*0.51</f>
        <v>0</v>
      </c>
      <c r="J8" s="265">
        <f>'B5'!AX11/0.51</f>
        <v>1.5686274509803921</v>
      </c>
      <c r="K8" s="192">
        <f>WATER!I12</f>
        <v>0</v>
      </c>
      <c r="L8" s="283">
        <f>SUM(WATER!J12)</f>
        <v>0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2330</v>
      </c>
      <c r="F9" s="282">
        <f>SUM('EDl log'!T11)</f>
        <v>0.18868315375450365</v>
      </c>
      <c r="G9" s="192">
        <f>-tanks!AW13</f>
        <v>180</v>
      </c>
      <c r="H9" s="529">
        <f>tanks!AV13</f>
        <v>0.89</v>
      </c>
      <c r="I9" s="10">
        <f>('B5'!AU12)*0.51</f>
        <v>0</v>
      </c>
      <c r="J9" s="265">
        <f>'B5'!AX12/0.51</f>
        <v>1.5686274509803921</v>
      </c>
      <c r="K9" s="192">
        <f>WATER!I13</f>
        <v>5</v>
      </c>
      <c r="L9" s="283">
        <f>SUM(WATER!J13)</f>
        <v>48.387096774193552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3064</v>
      </c>
      <c r="F10" s="282">
        <f>SUM('EDl log'!T12)</f>
        <v>0.41561114709517299</v>
      </c>
      <c r="G10" s="192">
        <f>-tanks!AW14</f>
        <v>276.5</v>
      </c>
      <c r="H10" s="529">
        <f>tanks!AV14</f>
        <v>0.89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2908</v>
      </c>
      <c r="F11" s="282">
        <f>SUM('EDl log'!T13)</f>
        <v>0.3143059656973976</v>
      </c>
      <c r="G11" s="192">
        <f>-tanks!AW15</f>
        <v>67</v>
      </c>
      <c r="H11" s="529">
        <f>tanks!AV15</f>
        <v>0.89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0</v>
      </c>
      <c r="F12" s="282">
        <f>SUM('EDl log'!T14)</f>
        <v>0</v>
      </c>
      <c r="G12" s="192">
        <f>-tanks!AW16</f>
        <v>0</v>
      </c>
      <c r="H12" s="529">
        <f>tanks!AV16</f>
        <v>0.89</v>
      </c>
      <c r="I12" s="10">
        <f>('B5'!AU15)*0.51</f>
        <v>0</v>
      </c>
      <c r="J12" s="265">
        <f>'B5'!AX15/0.51</f>
        <v>1.5686274509803921</v>
      </c>
      <c r="K12" s="192">
        <f>WATER!I16</f>
        <v>0</v>
      </c>
      <c r="L12" s="283">
        <f>SUM(WATER!J16)</f>
        <v>0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0</v>
      </c>
      <c r="F13" s="282">
        <f>SUM('EDl log'!T15)</f>
        <v>0</v>
      </c>
      <c r="G13" s="192">
        <f>-tanks!AW17</f>
        <v>0</v>
      </c>
      <c r="H13" s="529">
        <f>tanks!AV17</f>
        <v>0.89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529">
        <f>tanks!AV18</f>
        <v>0.89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529">
        <f>tanks!AV19</f>
        <v>0.89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0</v>
      </c>
      <c r="F16" s="282">
        <f>SUM('EDl log'!T18)</f>
        <v>0</v>
      </c>
      <c r="G16" s="192">
        <f>-tanks!AW20</f>
        <v>0</v>
      </c>
      <c r="H16" s="529">
        <f>tanks!AV20</f>
        <v>0.89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29">
        <f>tanks!AV21</f>
        <v>0.89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29">
        <f>tanks!AV22</f>
        <v>0.89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0</v>
      </c>
      <c r="F19" s="282">
        <f>SUM('EDl log'!T21)</f>
        <v>0</v>
      </c>
      <c r="G19" s="192">
        <f>-tanks!AW23</f>
        <v>0</v>
      </c>
      <c r="H19" s="529">
        <f>tanks!AV23</f>
        <v>0.89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0</v>
      </c>
      <c r="F20" s="282">
        <f>SUM('EDl log'!T22)</f>
        <v>0</v>
      </c>
      <c r="G20" s="192">
        <f>-tanks!AW24</f>
        <v>0</v>
      </c>
      <c r="H20" s="529">
        <f>tanks!AV24</f>
        <v>0.89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29">
        <f>tanks!AV25</f>
        <v>0.89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29">
        <f>tanks!AV26</f>
        <v>0.89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0</v>
      </c>
      <c r="F23" s="282">
        <f>SUM('EDl log'!T25)</f>
        <v>0</v>
      </c>
      <c r="G23" s="192">
        <f>-tanks!AW27</f>
        <v>0</v>
      </c>
      <c r="H23" s="529">
        <f>tanks!AV27</f>
        <v>0.89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0</v>
      </c>
      <c r="F24" s="282">
        <f>SUM('EDl log'!T26)</f>
        <v>0</v>
      </c>
      <c r="G24" s="192">
        <f>-tanks!AW28</f>
        <v>0</v>
      </c>
      <c r="H24" s="529">
        <f>tanks!AV28</f>
        <v>0.89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29">
        <f>tanks!AV29</f>
        <v>0.89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29">
        <f>tanks!AV30</f>
        <v>0.89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0</v>
      </c>
      <c r="F27" s="282">
        <f>SUM('EDl log'!T29)</f>
        <v>0</v>
      </c>
      <c r="G27" s="192">
        <f>-tanks!AW31</f>
        <v>0</v>
      </c>
      <c r="H27" s="529">
        <f>tanks!AV31</f>
        <v>0.89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29">
        <f>tanks!AV32</f>
        <v>0.89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29">
        <f>tanks!AV33</f>
        <v>0.89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29">
        <f>tanks!AV34</f>
        <v>0.89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-274</v>
      </c>
      <c r="H31" s="529">
        <f>tanks!AV35</f>
        <v>0.89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29">
        <f>tanks!AV36</f>
        <v>0.89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0</v>
      </c>
      <c r="F2" s="192">
        <f>ELEC!K4</f>
        <v>0</v>
      </c>
      <c r="G2" s="192">
        <f>ELEC!I4</f>
        <v>0</v>
      </c>
      <c r="H2" s="192">
        <f>ELEC!E4</f>
        <v>0</v>
      </c>
      <c r="I2" s="192">
        <f>ELEC!G4</f>
        <v>0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598</v>
      </c>
      <c r="F4" s="192">
        <f>ELEC!K6</f>
        <v>756</v>
      </c>
      <c r="G4" s="192">
        <f>ELEC!I6</f>
        <v>352</v>
      </c>
      <c r="H4" s="192">
        <f>ELEC!E6</f>
        <v>500</v>
      </c>
      <c r="I4" s="192">
        <f>ELEC!G6</f>
        <v>258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834</v>
      </c>
      <c r="F5" s="192">
        <f>ELEC!K7</f>
        <v>760</v>
      </c>
      <c r="G5" s="192">
        <f>ELEC!I7</f>
        <v>360</v>
      </c>
      <c r="H5" s="192">
        <f>ELEC!E7</f>
        <v>520</v>
      </c>
      <c r="I5" s="192">
        <f>ELEC!G7</f>
        <v>289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584</v>
      </c>
      <c r="F6" s="192">
        <f>ELEC!K8</f>
        <v>760</v>
      </c>
      <c r="G6" s="192">
        <f>ELEC!I8</f>
        <v>272</v>
      </c>
      <c r="H6" s="192">
        <f>ELEC!E8</f>
        <v>460</v>
      </c>
      <c r="I6" s="192">
        <f>ELEC!G8</f>
        <v>223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0</v>
      </c>
      <c r="F7" s="192">
        <f>ELEC!K9</f>
        <v>0</v>
      </c>
      <c r="G7" s="192">
        <f>ELEC!I9</f>
        <v>0</v>
      </c>
      <c r="H7" s="192">
        <f>ELEC!E9</f>
        <v>0</v>
      </c>
      <c r="I7" s="192">
        <f>ELEC!G9</f>
        <v>0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0</v>
      </c>
      <c r="F8" s="192">
        <f>ELEC!K10</f>
        <v>0</v>
      </c>
      <c r="G8" s="192">
        <f>ELEC!I10</f>
        <v>0</v>
      </c>
      <c r="H8" s="192">
        <f>ELEC!E10</f>
        <v>0</v>
      </c>
      <c r="I8" s="192">
        <f>ELEC!G10</f>
        <v>0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632</v>
      </c>
      <c r="F9" s="192">
        <f>ELEC!K11</f>
        <v>668</v>
      </c>
      <c r="G9" s="192">
        <f>ELEC!I11</f>
        <v>308</v>
      </c>
      <c r="H9" s="192">
        <f>ELEC!E11</f>
        <v>470</v>
      </c>
      <c r="I9" s="192">
        <f>ELEC!G11</f>
        <v>252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888</v>
      </c>
      <c r="F10" s="192">
        <f>ELEC!K12</f>
        <v>804</v>
      </c>
      <c r="G10" s="192">
        <f>ELEC!I12</f>
        <v>394</v>
      </c>
      <c r="H10" s="192">
        <f>ELEC!E12</f>
        <v>610</v>
      </c>
      <c r="I10" s="192">
        <f>ELEC!G12</f>
        <v>368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816</v>
      </c>
      <c r="F11" s="192">
        <f>ELEC!K13</f>
        <v>752</v>
      </c>
      <c r="G11" s="192">
        <f>ELEC!I13</f>
        <v>364</v>
      </c>
      <c r="H11" s="192">
        <f>ELEC!E13</f>
        <v>620</v>
      </c>
      <c r="I11" s="192">
        <f>ELEC!G13</f>
        <v>356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0</v>
      </c>
      <c r="F12" s="192">
        <f>ELEC!K14</f>
        <v>0</v>
      </c>
      <c r="G12" s="192">
        <f>ELEC!I14</f>
        <v>0</v>
      </c>
      <c r="H12" s="192">
        <f>ELEC!E14</f>
        <v>0</v>
      </c>
      <c r="I12" s="192">
        <f>ELEC!G14</f>
        <v>0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0</v>
      </c>
      <c r="F13" s="192">
        <f>ELEC!K15</f>
        <v>0</v>
      </c>
      <c r="G13" s="192">
        <f>ELEC!I15</f>
        <v>0</v>
      </c>
      <c r="H13" s="192">
        <f>ELEC!E15</f>
        <v>0</v>
      </c>
      <c r="I13" s="192">
        <f>ELEC!G15</f>
        <v>0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0</v>
      </c>
      <c r="F16" s="192">
        <f>ELEC!K18</f>
        <v>0</v>
      </c>
      <c r="G16" s="192">
        <f>ELEC!I18</f>
        <v>0</v>
      </c>
      <c r="H16" s="192">
        <f>ELEC!E18</f>
        <v>0</v>
      </c>
      <c r="I16" s="192">
        <f>ELEC!G18</f>
        <v>0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0</v>
      </c>
      <c r="F19" s="192">
        <f>ELEC!K21</f>
        <v>0</v>
      </c>
      <c r="G19" s="192">
        <f>ELEC!I21</f>
        <v>0</v>
      </c>
      <c r="H19" s="192">
        <f>ELEC!E21</f>
        <v>0</v>
      </c>
      <c r="I19" s="192">
        <f>ELEC!G21</f>
        <v>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0</v>
      </c>
      <c r="F20" s="192">
        <f>ELEC!K22</f>
        <v>0</v>
      </c>
      <c r="G20" s="192">
        <f>ELEC!I22</f>
        <v>0</v>
      </c>
      <c r="H20" s="192">
        <f>ELEC!E22</f>
        <v>0</v>
      </c>
      <c r="I20" s="192">
        <f>ELEC!G22</f>
        <v>0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0</v>
      </c>
      <c r="F23" s="192">
        <f>ELEC!K25</f>
        <v>0</v>
      </c>
      <c r="G23" s="192">
        <f>ELEC!I25</f>
        <v>0</v>
      </c>
      <c r="H23" s="192">
        <f>ELEC!E25</f>
        <v>0</v>
      </c>
      <c r="I23" s="192">
        <f>ELEC!G25</f>
        <v>0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0</v>
      </c>
      <c r="F24" s="192">
        <f>ELEC!K26</f>
        <v>0</v>
      </c>
      <c r="G24" s="192">
        <f>ELEC!I26</f>
        <v>0</v>
      </c>
      <c r="H24" s="192">
        <f>ELEC!E26</f>
        <v>0</v>
      </c>
      <c r="I24" s="192">
        <f>ELEC!G26</f>
        <v>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topLeftCell="F1" zoomScale="60" zoomScaleNormal="60" zoomScaleSheetLayoutView="100" workbookViewId="0">
      <pane ySplit="2" topLeftCell="A12" activePane="bottomLeft" state="frozen"/>
      <selection pane="bottomLeft" activeCell="Q13" sqref="Q13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v>44926</v>
      </c>
      <c r="D3" s="380">
        <v>420100</v>
      </c>
      <c r="E3" s="380">
        <v>0</v>
      </c>
      <c r="F3" s="380">
        <v>4189432</v>
      </c>
      <c r="G3" s="380">
        <v>0</v>
      </c>
      <c r="H3" s="380">
        <v>18106834</v>
      </c>
      <c r="I3" s="380">
        <v>0</v>
      </c>
      <c r="J3" s="380">
        <v>29896978</v>
      </c>
      <c r="K3" s="380">
        <v>0</v>
      </c>
      <c r="L3" s="380">
        <v>24716266</v>
      </c>
      <c r="M3" s="380">
        <v>0</v>
      </c>
      <c r="N3" s="380">
        <f>[2]ELEC!N33</f>
        <v>3572</v>
      </c>
      <c r="O3" s="380">
        <f>[2]ELEC!O33</f>
        <v>0</v>
      </c>
      <c r="P3" s="380">
        <v>19706.332999999999</v>
      </c>
      <c r="Q3" s="380">
        <v>0</v>
      </c>
      <c r="R3" s="380">
        <v>0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v>33500</v>
      </c>
      <c r="X3" s="380">
        <f>[2]ELEC!X33</f>
        <v>0</v>
      </c>
      <c r="Y3" s="380">
        <v>1000643</v>
      </c>
      <c r="Z3" s="380">
        <f>[2]ELEC!Z33</f>
        <v>0</v>
      </c>
      <c r="AA3" s="380">
        <v>36804</v>
      </c>
      <c r="AB3" s="380">
        <f>[2]ELEC!AB33</f>
        <v>0</v>
      </c>
      <c r="AC3" s="380">
        <v>1173391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f>C3+1</f>
        <v>44927</v>
      </c>
      <c r="D4" s="380">
        <v>420100</v>
      </c>
      <c r="E4" s="497">
        <f>D4-D3</f>
        <v>0</v>
      </c>
      <c r="F4" s="380">
        <v>4189432</v>
      </c>
      <c r="G4" s="498">
        <f>F4-F3</f>
        <v>0</v>
      </c>
      <c r="H4" s="380">
        <v>18106834</v>
      </c>
      <c r="I4" s="498">
        <f>H4-H3</f>
        <v>0</v>
      </c>
      <c r="J4" s="380">
        <v>29896978</v>
      </c>
      <c r="K4" s="498">
        <f>J4-J3</f>
        <v>0</v>
      </c>
      <c r="L4" s="380">
        <v>24716266</v>
      </c>
      <c r="M4" s="498">
        <f>L4-L3</f>
        <v>0</v>
      </c>
      <c r="N4" s="381">
        <f>M4+K4+I4+G4+E4</f>
        <v>0</v>
      </c>
      <c r="O4" s="392">
        <f t="shared" ref="O4:O10" si="0">IF(B4&gt;0,N4/B4,0)</f>
        <v>0</v>
      </c>
      <c r="P4" s="380">
        <v>19706.332999999999</v>
      </c>
      <c r="Q4" s="382">
        <f t="shared" ref="Q4:Q31" si="1">(P4-P3)*1000</f>
        <v>0</v>
      </c>
      <c r="R4" s="474">
        <f>+N4-Q4</f>
        <v>0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v>33500</v>
      </c>
      <c r="X4" s="393">
        <f t="shared" ref="X4:X9" si="3">W4-W3</f>
        <v>0</v>
      </c>
      <c r="Y4" s="380">
        <v>1000643</v>
      </c>
      <c r="Z4" s="393">
        <f>Y4-Y3</f>
        <v>0</v>
      </c>
      <c r="AA4" s="380">
        <f>AA3</f>
        <v>36804</v>
      </c>
      <c r="AB4" s="393">
        <f>AA4-AA3</f>
        <v>0</v>
      </c>
      <c r="AC4" s="380">
        <f>AC3</f>
        <v>1173391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f t="shared" ref="C5:C34" si="7">C4+1</f>
        <v>44928</v>
      </c>
      <c r="D5" s="380">
        <f t="shared" ref="D5" si="8">D4</f>
        <v>420100</v>
      </c>
      <c r="E5" s="497">
        <f t="shared" ref="E5:E34" si="9">D5-D4</f>
        <v>0</v>
      </c>
      <c r="F5" s="380">
        <v>4189432</v>
      </c>
      <c r="G5" s="402">
        <f>F5-F4</f>
        <v>0</v>
      </c>
      <c r="H5" s="380">
        <f t="shared" ref="H5" si="10">H4</f>
        <v>18106834</v>
      </c>
      <c r="I5" s="402">
        <f>H5-H4</f>
        <v>0</v>
      </c>
      <c r="J5" s="380">
        <f t="shared" ref="J5" si="11">J4</f>
        <v>29896978</v>
      </c>
      <c r="K5" s="402">
        <f>J5-J4</f>
        <v>0</v>
      </c>
      <c r="L5" s="380">
        <f t="shared" ref="L5" si="12">L4</f>
        <v>24716266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" si="13">P4</f>
        <v>19706.332999999999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33500</v>
      </c>
      <c r="X5" s="382">
        <f t="shared" si="3"/>
        <v>0</v>
      </c>
      <c r="Y5" s="380">
        <v>1000643</v>
      </c>
      <c r="Z5" s="382">
        <f>Y5-Y4</f>
        <v>0</v>
      </c>
      <c r="AA5" s="380">
        <f t="shared" ref="AA5:AA34" si="17">AA4</f>
        <v>36804</v>
      </c>
      <c r="AB5" s="401">
        <f>AA5-AA4</f>
        <v>0</v>
      </c>
      <c r="AC5" s="380">
        <f t="shared" ref="AC5:AC34" si="18">AC4</f>
        <v>1173391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f t="shared" si="7"/>
        <v>44929</v>
      </c>
      <c r="D6" s="380">
        <v>420600</v>
      </c>
      <c r="E6" s="497">
        <f t="shared" ref="E6:E7" si="20">D6-D5</f>
        <v>500</v>
      </c>
      <c r="F6" s="380">
        <v>4189690</v>
      </c>
      <c r="G6" s="402">
        <f t="shared" ref="G6:G7" si="21">F6-F5</f>
        <v>258</v>
      </c>
      <c r="H6" s="380">
        <v>18107186</v>
      </c>
      <c r="I6" s="402">
        <f t="shared" ref="I6:I7" si="22">H6-H5</f>
        <v>352</v>
      </c>
      <c r="J6" s="380">
        <v>29897734</v>
      </c>
      <c r="K6" s="402">
        <f t="shared" ref="K6:K7" si="23">J6-J5</f>
        <v>756</v>
      </c>
      <c r="L6" s="380">
        <v>24716864</v>
      </c>
      <c r="M6" s="402">
        <f t="shared" ref="M6:M7" si="24">L6-L5</f>
        <v>598</v>
      </c>
      <c r="N6" s="266">
        <f t="shared" ref="N6:N7" si="25">M6+K6+I6+G6+E6</f>
        <v>2464</v>
      </c>
      <c r="O6" s="399">
        <f t="shared" ref="O6:O7" si="26">IF(B6&gt;0,N6/B6,0)</f>
        <v>0</v>
      </c>
      <c r="P6" s="526">
        <v>19709.752</v>
      </c>
      <c r="Q6" s="382">
        <f t="shared" ref="Q6:Q7" si="27">(P6-P5)*1000</f>
        <v>3419.000000001688</v>
      </c>
      <c r="R6" s="474">
        <f t="shared" si="14"/>
        <v>-955.00000000168802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v>33500</v>
      </c>
      <c r="X6" s="382">
        <f t="shared" si="3"/>
        <v>0</v>
      </c>
      <c r="Y6" s="380">
        <v>1000643</v>
      </c>
      <c r="Z6" s="382">
        <f>Y6-Y5</f>
        <v>0</v>
      </c>
      <c r="AA6" s="380">
        <f t="shared" si="17"/>
        <v>36804</v>
      </c>
      <c r="AB6" s="382">
        <f t="shared" ref="AB6:AB31" si="29">AA6-AA5</f>
        <v>0</v>
      </c>
      <c r="AC6" s="380">
        <f t="shared" si="18"/>
        <v>1173391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f t="shared" si="7"/>
        <v>44930</v>
      </c>
      <c r="D7" s="380">
        <v>421120</v>
      </c>
      <c r="E7" s="497">
        <f t="shared" si="20"/>
        <v>520</v>
      </c>
      <c r="F7" s="380">
        <v>4189979</v>
      </c>
      <c r="G7" s="402">
        <f t="shared" si="21"/>
        <v>289</v>
      </c>
      <c r="H7" s="380">
        <v>18107546</v>
      </c>
      <c r="I7" s="402">
        <f t="shared" si="22"/>
        <v>360</v>
      </c>
      <c r="J7" s="380">
        <v>29898494</v>
      </c>
      <c r="K7" s="402">
        <f t="shared" si="23"/>
        <v>760</v>
      </c>
      <c r="L7" s="380">
        <v>24717698</v>
      </c>
      <c r="M7" s="402">
        <f t="shared" si="24"/>
        <v>834</v>
      </c>
      <c r="N7" s="266">
        <f t="shared" si="25"/>
        <v>2763</v>
      </c>
      <c r="O7" s="399">
        <f t="shared" si="26"/>
        <v>0</v>
      </c>
      <c r="P7" s="526">
        <v>19712.489000000001</v>
      </c>
      <c r="Q7" s="382">
        <f t="shared" si="27"/>
        <v>2737.0000000009895</v>
      </c>
      <c r="R7" s="474">
        <f>+N7-Q7</f>
        <v>25.99999999901047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v>33500</v>
      </c>
      <c r="X7" s="382">
        <f t="shared" si="3"/>
        <v>0</v>
      </c>
      <c r="Y7" s="380">
        <v>1000643</v>
      </c>
      <c r="Z7" s="382">
        <f t="shared" ref="Z7:Z31" si="31">Y7-Y6</f>
        <v>0</v>
      </c>
      <c r="AA7" s="380">
        <f t="shared" si="17"/>
        <v>36804</v>
      </c>
      <c r="AB7" s="382">
        <f t="shared" si="29"/>
        <v>0</v>
      </c>
      <c r="AC7" s="380">
        <f t="shared" si="18"/>
        <v>1173391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f t="shared" si="7"/>
        <v>44931</v>
      </c>
      <c r="D8" s="380">
        <v>421580</v>
      </c>
      <c r="E8" s="497">
        <f t="shared" si="9"/>
        <v>460</v>
      </c>
      <c r="F8" s="380">
        <v>4190202</v>
      </c>
      <c r="G8" s="402">
        <f t="shared" ref="G8:G34" si="32">F8-F7</f>
        <v>223</v>
      </c>
      <c r="H8" s="380">
        <v>18107818</v>
      </c>
      <c r="I8" s="402">
        <f t="shared" ref="I8:I34" si="33">H8-H7</f>
        <v>272</v>
      </c>
      <c r="J8" s="380">
        <v>29899254</v>
      </c>
      <c r="K8" s="402">
        <f t="shared" ref="K8:K34" si="34">J8-J7</f>
        <v>760</v>
      </c>
      <c r="L8" s="380">
        <v>24718282</v>
      </c>
      <c r="M8" s="402">
        <f t="shared" ref="M8:M31" si="35">L8-L7</f>
        <v>584</v>
      </c>
      <c r="N8" s="266">
        <f>M8+K8+I8+G8+E8</f>
        <v>2299</v>
      </c>
      <c r="O8" s="399">
        <f t="shared" si="0"/>
        <v>0</v>
      </c>
      <c r="P8" s="526">
        <v>19714.830999999998</v>
      </c>
      <c r="Q8" s="382">
        <f t="shared" si="1"/>
        <v>2341.999999996915</v>
      </c>
      <c r="R8" s="474">
        <f>+N8-Q8</f>
        <v>-42.999999996914994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33500</v>
      </c>
      <c r="X8" s="382">
        <f t="shared" si="3"/>
        <v>0</v>
      </c>
      <c r="Y8" s="380">
        <v>1000643</v>
      </c>
      <c r="Z8" s="382">
        <f t="shared" si="31"/>
        <v>0</v>
      </c>
      <c r="AA8" s="380">
        <v>36804</v>
      </c>
      <c r="AB8" s="382">
        <f t="shared" si="29"/>
        <v>0</v>
      </c>
      <c r="AC8" s="380">
        <v>1173391</v>
      </c>
      <c r="AD8" s="382">
        <f t="shared" si="30"/>
        <v>0</v>
      </c>
      <c r="AE8" s="403">
        <f t="shared" si="19"/>
        <v>0</v>
      </c>
      <c r="AF8" s="404">
        <f t="shared" si="4"/>
        <v>0</v>
      </c>
      <c r="AG8" s="397">
        <f t="shared" si="5"/>
        <v>0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f t="shared" si="7"/>
        <v>44932</v>
      </c>
      <c r="D9" s="380">
        <v>421580</v>
      </c>
      <c r="E9" s="497">
        <f t="shared" si="9"/>
        <v>0</v>
      </c>
      <c r="F9" s="380">
        <f>F8</f>
        <v>4190202</v>
      </c>
      <c r="G9" s="402">
        <f t="shared" si="32"/>
        <v>0</v>
      </c>
      <c r="H9" s="380">
        <f>H8</f>
        <v>18107818</v>
      </c>
      <c r="I9" s="402">
        <f t="shared" si="33"/>
        <v>0</v>
      </c>
      <c r="J9" s="380">
        <f>J8</f>
        <v>29899254</v>
      </c>
      <c r="K9" s="402">
        <f t="shared" si="34"/>
        <v>0</v>
      </c>
      <c r="L9" s="380">
        <f>L8</f>
        <v>24718282</v>
      </c>
      <c r="M9" s="402">
        <f t="shared" si="35"/>
        <v>0</v>
      </c>
      <c r="N9" s="266">
        <f t="shared" ref="N9:N31" si="36">M9+K9+I9+G9+E9</f>
        <v>0</v>
      </c>
      <c r="O9" s="399">
        <f t="shared" si="0"/>
        <v>0</v>
      </c>
      <c r="P9" s="526">
        <f>P8</f>
        <v>19714.830999999998</v>
      </c>
      <c r="Q9" s="382">
        <f t="shared" si="1"/>
        <v>0</v>
      </c>
      <c r="R9" s="474">
        <f t="shared" si="14"/>
        <v>0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v>33500</v>
      </c>
      <c r="X9" s="382">
        <f t="shared" si="3"/>
        <v>0</v>
      </c>
      <c r="Y9" s="380">
        <v>1000643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f t="shared" si="7"/>
        <v>44933</v>
      </c>
      <c r="D10" s="380">
        <f>D9</f>
        <v>421580</v>
      </c>
      <c r="E10" s="497">
        <f t="shared" si="9"/>
        <v>0</v>
      </c>
      <c r="F10" s="380">
        <f t="shared" ref="F10:F34" si="37">F9</f>
        <v>4190202</v>
      </c>
      <c r="G10" s="402">
        <f t="shared" si="32"/>
        <v>0</v>
      </c>
      <c r="H10" s="380">
        <f t="shared" ref="H10:H34" si="38">H9</f>
        <v>18107818</v>
      </c>
      <c r="I10" s="402">
        <f t="shared" si="33"/>
        <v>0</v>
      </c>
      <c r="J10" s="380">
        <f t="shared" ref="J10:J34" si="39">J9</f>
        <v>29899254</v>
      </c>
      <c r="K10" s="402">
        <f t="shared" si="34"/>
        <v>0</v>
      </c>
      <c r="L10" s="380">
        <f t="shared" ref="L10:L34" si="40">L9</f>
        <v>24718282</v>
      </c>
      <c r="M10" s="402">
        <f t="shared" si="35"/>
        <v>0</v>
      </c>
      <c r="N10" s="266">
        <f t="shared" si="36"/>
        <v>0</v>
      </c>
      <c r="O10" s="399">
        <f t="shared" si="0"/>
        <v>0</v>
      </c>
      <c r="P10" s="526">
        <f t="shared" ref="P10:P34" si="41">P9</f>
        <v>19714.830999999998</v>
      </c>
      <c r="Q10" s="382">
        <f t="shared" si="1"/>
        <v>0</v>
      </c>
      <c r="R10" s="474">
        <f t="shared" si="14"/>
        <v>0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v>33500</v>
      </c>
      <c r="X10" s="382">
        <f t="shared" ref="X10:X31" si="42">W10-W9</f>
        <v>0</v>
      </c>
      <c r="Y10" s="380">
        <v>1000643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f t="shared" si="7"/>
        <v>44934</v>
      </c>
      <c r="D11" s="380">
        <v>422050</v>
      </c>
      <c r="E11" s="497">
        <f t="shared" si="9"/>
        <v>470</v>
      </c>
      <c r="F11" s="380">
        <v>4190454</v>
      </c>
      <c r="G11" s="402">
        <f t="shared" si="32"/>
        <v>252</v>
      </c>
      <c r="H11" s="380">
        <v>18108126</v>
      </c>
      <c r="I11" s="402">
        <f t="shared" si="33"/>
        <v>308</v>
      </c>
      <c r="J11" s="380">
        <v>29899922</v>
      </c>
      <c r="K11" s="402">
        <f t="shared" si="34"/>
        <v>668</v>
      </c>
      <c r="L11" s="380">
        <v>24718914</v>
      </c>
      <c r="M11" s="402">
        <f t="shared" si="35"/>
        <v>632</v>
      </c>
      <c r="N11" s="266">
        <f t="shared" si="36"/>
        <v>2330</v>
      </c>
      <c r="O11" s="399">
        <f t="shared" ref="O11:O31" si="43">IF(B11&gt;0,N11/B11,0)</f>
        <v>0</v>
      </c>
      <c r="P11" s="526">
        <v>19717.192999999999</v>
      </c>
      <c r="Q11" s="382">
        <f t="shared" si="1"/>
        <v>2362.0000000009895</v>
      </c>
      <c r="R11" s="382">
        <f t="shared" ref="R11:R18" si="44">N11-Q11</f>
        <v>-32.00000000098953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33501</v>
      </c>
      <c r="X11" s="382">
        <f t="shared" si="42"/>
        <v>1</v>
      </c>
      <c r="Y11" s="380">
        <v>1000894</v>
      </c>
      <c r="Z11" s="382">
        <f t="shared" si="31"/>
        <v>251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251</v>
      </c>
      <c r="AG11" s="397">
        <f t="shared" ref="AG11:AG32" si="45">IF(AE11&gt;0,AF11/AE11,0)</f>
        <v>251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f t="shared" si="7"/>
        <v>44935</v>
      </c>
      <c r="D12" s="380">
        <v>422660</v>
      </c>
      <c r="E12" s="497">
        <f>D12-D11</f>
        <v>610</v>
      </c>
      <c r="F12" s="380">
        <v>4190822</v>
      </c>
      <c r="G12" s="402">
        <f t="shared" si="32"/>
        <v>368</v>
      </c>
      <c r="H12" s="380">
        <v>18108520</v>
      </c>
      <c r="I12" s="402">
        <f t="shared" si="33"/>
        <v>394</v>
      </c>
      <c r="J12" s="380">
        <v>29900726</v>
      </c>
      <c r="K12" s="402">
        <f t="shared" si="34"/>
        <v>804</v>
      </c>
      <c r="L12" s="380">
        <v>24719802</v>
      </c>
      <c r="M12" s="402">
        <f t="shared" si="35"/>
        <v>888</v>
      </c>
      <c r="N12" s="266">
        <f>M12+K12+I12+G12+E12</f>
        <v>3064</v>
      </c>
      <c r="O12" s="399">
        <f t="shared" si="43"/>
        <v>0</v>
      </c>
      <c r="P12" s="526">
        <v>19720.326000000001</v>
      </c>
      <c r="Q12" s="382">
        <f t="shared" si="1"/>
        <v>3133.0000000016298</v>
      </c>
      <c r="R12" s="506">
        <f>N12-Q12</f>
        <v>-69.000000001629815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33501</v>
      </c>
      <c r="X12" s="382">
        <f t="shared" si="42"/>
        <v>0</v>
      </c>
      <c r="Y12" s="380">
        <v>1000894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5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f t="shared" si="7"/>
        <v>44936</v>
      </c>
      <c r="D13" s="380">
        <v>423280</v>
      </c>
      <c r="E13" s="497">
        <f t="shared" si="9"/>
        <v>620</v>
      </c>
      <c r="F13" s="380">
        <v>4191178</v>
      </c>
      <c r="G13" s="402">
        <f t="shared" si="32"/>
        <v>356</v>
      </c>
      <c r="H13" s="380">
        <v>18108884</v>
      </c>
      <c r="I13" s="402">
        <f t="shared" si="33"/>
        <v>364</v>
      </c>
      <c r="J13" s="380">
        <v>29901478</v>
      </c>
      <c r="K13" s="402">
        <f t="shared" si="34"/>
        <v>752</v>
      </c>
      <c r="L13" s="380">
        <v>24720618</v>
      </c>
      <c r="M13" s="402">
        <f t="shared" si="35"/>
        <v>816</v>
      </c>
      <c r="N13" s="266">
        <f>M13+K13+I13+G13+E13</f>
        <v>2908</v>
      </c>
      <c r="O13" s="399">
        <f t="shared" si="43"/>
        <v>0</v>
      </c>
      <c r="P13" s="526">
        <v>19723.284</v>
      </c>
      <c r="Q13" s="382">
        <f t="shared" si="1"/>
        <v>2957.9999999987194</v>
      </c>
      <c r="R13" s="382">
        <f t="shared" si="44"/>
        <v>-49.999999998719431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33501</v>
      </c>
      <c r="X13" s="382">
        <f t="shared" si="42"/>
        <v>0</v>
      </c>
      <c r="Y13" s="380">
        <v>1000894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5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f t="shared" si="7"/>
        <v>44937</v>
      </c>
      <c r="D14" s="380">
        <f t="shared" ref="D11:D34" si="46">D13</f>
        <v>423280</v>
      </c>
      <c r="E14" s="497">
        <f t="shared" si="9"/>
        <v>0</v>
      </c>
      <c r="F14" s="380">
        <f t="shared" si="37"/>
        <v>4191178</v>
      </c>
      <c r="G14" s="402">
        <f t="shared" si="32"/>
        <v>0</v>
      </c>
      <c r="H14" s="380">
        <f t="shared" si="38"/>
        <v>18108884</v>
      </c>
      <c r="I14" s="402">
        <f t="shared" si="33"/>
        <v>0</v>
      </c>
      <c r="J14" s="380">
        <f t="shared" si="39"/>
        <v>29901478</v>
      </c>
      <c r="K14" s="402">
        <f t="shared" si="34"/>
        <v>0</v>
      </c>
      <c r="L14" s="380">
        <f t="shared" si="40"/>
        <v>24720618</v>
      </c>
      <c r="M14" s="402">
        <f t="shared" si="35"/>
        <v>0</v>
      </c>
      <c r="N14" s="266">
        <f>M14+K14+I14+G14+E14</f>
        <v>0</v>
      </c>
      <c r="O14" s="399">
        <f t="shared" si="43"/>
        <v>0</v>
      </c>
      <c r="P14" s="526">
        <f t="shared" si="41"/>
        <v>19723.284</v>
      </c>
      <c r="Q14" s="382">
        <f t="shared" si="1"/>
        <v>0</v>
      </c>
      <c r="R14" s="382">
        <f t="shared" si="44"/>
        <v>0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33501</v>
      </c>
      <c r="X14" s="382">
        <f t="shared" si="42"/>
        <v>0</v>
      </c>
      <c r="Y14" s="380">
        <v>1000894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5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f t="shared" si="7"/>
        <v>44938</v>
      </c>
      <c r="D15" s="380">
        <f t="shared" si="46"/>
        <v>423280</v>
      </c>
      <c r="E15" s="497">
        <f t="shared" si="9"/>
        <v>0</v>
      </c>
      <c r="F15" s="380">
        <f t="shared" si="37"/>
        <v>4191178</v>
      </c>
      <c r="G15" s="402">
        <f t="shared" si="32"/>
        <v>0</v>
      </c>
      <c r="H15" s="380">
        <f t="shared" si="38"/>
        <v>18108884</v>
      </c>
      <c r="I15" s="402">
        <f t="shared" si="33"/>
        <v>0</v>
      </c>
      <c r="J15" s="380">
        <f t="shared" si="39"/>
        <v>29901478</v>
      </c>
      <c r="K15" s="402">
        <f t="shared" si="34"/>
        <v>0</v>
      </c>
      <c r="L15" s="380">
        <f t="shared" si="40"/>
        <v>24720618</v>
      </c>
      <c r="M15" s="402">
        <f t="shared" si="35"/>
        <v>0</v>
      </c>
      <c r="N15" s="266">
        <f t="shared" si="36"/>
        <v>0</v>
      </c>
      <c r="O15" s="399">
        <f t="shared" si="43"/>
        <v>0</v>
      </c>
      <c r="P15" s="526">
        <f t="shared" si="41"/>
        <v>19723.284</v>
      </c>
      <c r="Q15" s="382">
        <f t="shared" si="1"/>
        <v>0</v>
      </c>
      <c r="R15" s="506">
        <f>N15-Q15</f>
        <v>0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33501</v>
      </c>
      <c r="X15" s="382">
        <f t="shared" si="42"/>
        <v>0</v>
      </c>
      <c r="Y15" s="380">
        <v>1000894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5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f t="shared" si="7"/>
        <v>44939</v>
      </c>
      <c r="D16" s="380">
        <f t="shared" si="46"/>
        <v>423280</v>
      </c>
      <c r="E16" s="497">
        <f t="shared" si="9"/>
        <v>0</v>
      </c>
      <c r="F16" s="380">
        <f t="shared" si="37"/>
        <v>4191178</v>
      </c>
      <c r="G16" s="402">
        <f t="shared" si="32"/>
        <v>0</v>
      </c>
      <c r="H16" s="380">
        <f t="shared" si="38"/>
        <v>18108884</v>
      </c>
      <c r="I16" s="402">
        <f t="shared" si="33"/>
        <v>0</v>
      </c>
      <c r="J16" s="380">
        <f t="shared" si="39"/>
        <v>29901478</v>
      </c>
      <c r="K16" s="402">
        <f t="shared" si="34"/>
        <v>0</v>
      </c>
      <c r="L16" s="380">
        <f t="shared" si="40"/>
        <v>24720618</v>
      </c>
      <c r="M16" s="402">
        <f t="shared" si="35"/>
        <v>0</v>
      </c>
      <c r="N16" s="266">
        <f t="shared" si="36"/>
        <v>0</v>
      </c>
      <c r="O16" s="399">
        <f t="shared" si="43"/>
        <v>0</v>
      </c>
      <c r="P16" s="526">
        <f t="shared" si="41"/>
        <v>19723.284</v>
      </c>
      <c r="Q16" s="382">
        <f t="shared" si="1"/>
        <v>0</v>
      </c>
      <c r="R16" s="382">
        <f t="shared" si="44"/>
        <v>0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33501</v>
      </c>
      <c r="X16" s="382">
        <f t="shared" si="42"/>
        <v>0</v>
      </c>
      <c r="Y16" s="380">
        <v>1000894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5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f t="shared" si="7"/>
        <v>44940</v>
      </c>
      <c r="D17" s="380">
        <f t="shared" si="46"/>
        <v>423280</v>
      </c>
      <c r="E17" s="497">
        <f t="shared" si="9"/>
        <v>0</v>
      </c>
      <c r="F17" s="380">
        <f t="shared" si="37"/>
        <v>4191178</v>
      </c>
      <c r="G17" s="402">
        <f t="shared" si="32"/>
        <v>0</v>
      </c>
      <c r="H17" s="380">
        <f t="shared" si="38"/>
        <v>18108884</v>
      </c>
      <c r="I17" s="402">
        <f t="shared" si="33"/>
        <v>0</v>
      </c>
      <c r="J17" s="380">
        <f t="shared" si="39"/>
        <v>29901478</v>
      </c>
      <c r="K17" s="402">
        <f t="shared" si="34"/>
        <v>0</v>
      </c>
      <c r="L17" s="380">
        <f t="shared" si="40"/>
        <v>24720618</v>
      </c>
      <c r="M17" s="402">
        <f t="shared" si="35"/>
        <v>0</v>
      </c>
      <c r="N17" s="266">
        <f t="shared" si="36"/>
        <v>0</v>
      </c>
      <c r="O17" s="399">
        <f t="shared" si="43"/>
        <v>0</v>
      </c>
      <c r="P17" s="526">
        <f t="shared" si="41"/>
        <v>19723.284</v>
      </c>
      <c r="Q17" s="382">
        <f t="shared" si="1"/>
        <v>0</v>
      </c>
      <c r="R17" s="382">
        <f t="shared" si="44"/>
        <v>0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33501</v>
      </c>
      <c r="X17" s="382">
        <f>W17-W16</f>
        <v>0</v>
      </c>
      <c r="Y17" s="380">
        <v>1000894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5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f t="shared" si="7"/>
        <v>44941</v>
      </c>
      <c r="D18" s="380">
        <f t="shared" si="46"/>
        <v>423280</v>
      </c>
      <c r="E18" s="497">
        <f t="shared" si="9"/>
        <v>0</v>
      </c>
      <c r="F18" s="380">
        <f t="shared" si="37"/>
        <v>4191178</v>
      </c>
      <c r="G18" s="402">
        <f t="shared" si="32"/>
        <v>0</v>
      </c>
      <c r="H18" s="380">
        <f t="shared" si="38"/>
        <v>18108884</v>
      </c>
      <c r="I18" s="402">
        <f t="shared" si="33"/>
        <v>0</v>
      </c>
      <c r="J18" s="380">
        <f t="shared" si="39"/>
        <v>29901478</v>
      </c>
      <c r="K18" s="402">
        <f t="shared" si="34"/>
        <v>0</v>
      </c>
      <c r="L18" s="380">
        <f t="shared" si="40"/>
        <v>24720618</v>
      </c>
      <c r="M18" s="402">
        <f t="shared" si="35"/>
        <v>0</v>
      </c>
      <c r="N18" s="266">
        <f>M18+K18+I18+G18+E18</f>
        <v>0</v>
      </c>
      <c r="O18" s="399">
        <f t="shared" si="43"/>
        <v>0</v>
      </c>
      <c r="P18" s="526">
        <f t="shared" si="41"/>
        <v>19723.284</v>
      </c>
      <c r="Q18" s="382">
        <f t="shared" si="1"/>
        <v>0</v>
      </c>
      <c r="R18" s="382">
        <f t="shared" si="44"/>
        <v>0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33501</v>
      </c>
      <c r="X18" s="382">
        <f t="shared" si="42"/>
        <v>0</v>
      </c>
      <c r="Y18" s="380">
        <v>1000894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7">AC18-AC17</f>
        <v>0</v>
      </c>
      <c r="AE18" s="403">
        <f t="shared" si="19"/>
        <v>0</v>
      </c>
      <c r="AF18" s="404">
        <f t="shared" si="4"/>
        <v>0</v>
      </c>
      <c r="AG18" s="397">
        <f t="shared" si="45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f t="shared" si="7"/>
        <v>44942</v>
      </c>
      <c r="D19" s="380">
        <f t="shared" si="46"/>
        <v>423280</v>
      </c>
      <c r="E19" s="497">
        <f t="shared" si="9"/>
        <v>0</v>
      </c>
      <c r="F19" s="380">
        <f t="shared" si="37"/>
        <v>4191178</v>
      </c>
      <c r="G19" s="402">
        <f t="shared" si="32"/>
        <v>0</v>
      </c>
      <c r="H19" s="380">
        <f t="shared" si="38"/>
        <v>18108884</v>
      </c>
      <c r="I19" s="402">
        <f t="shared" si="33"/>
        <v>0</v>
      </c>
      <c r="J19" s="380">
        <f t="shared" si="39"/>
        <v>29901478</v>
      </c>
      <c r="K19" s="402">
        <f t="shared" si="34"/>
        <v>0</v>
      </c>
      <c r="L19" s="380">
        <f t="shared" si="40"/>
        <v>24720618</v>
      </c>
      <c r="M19" s="402">
        <f t="shared" si="35"/>
        <v>0</v>
      </c>
      <c r="N19" s="266">
        <f t="shared" si="36"/>
        <v>0</v>
      </c>
      <c r="O19" s="399">
        <f t="shared" si="43"/>
        <v>0</v>
      </c>
      <c r="P19" s="526">
        <f t="shared" si="41"/>
        <v>19723.284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33501</v>
      </c>
      <c r="X19" s="382">
        <f t="shared" si="42"/>
        <v>0</v>
      </c>
      <c r="Y19" s="380">
        <v>1000894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7"/>
        <v>0</v>
      </c>
      <c r="AE19" s="403">
        <f t="shared" si="19"/>
        <v>0</v>
      </c>
      <c r="AF19" s="404">
        <f t="shared" si="4"/>
        <v>0</v>
      </c>
      <c r="AG19" s="397">
        <f t="shared" si="45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f t="shared" si="7"/>
        <v>44943</v>
      </c>
      <c r="D20" s="380">
        <f t="shared" si="46"/>
        <v>423280</v>
      </c>
      <c r="E20" s="497">
        <f t="shared" si="9"/>
        <v>0</v>
      </c>
      <c r="F20" s="380">
        <f t="shared" si="37"/>
        <v>4191178</v>
      </c>
      <c r="G20" s="402">
        <f t="shared" si="32"/>
        <v>0</v>
      </c>
      <c r="H20" s="380">
        <f t="shared" si="38"/>
        <v>18108884</v>
      </c>
      <c r="I20" s="402">
        <f t="shared" si="33"/>
        <v>0</v>
      </c>
      <c r="J20" s="380">
        <f t="shared" si="39"/>
        <v>29901478</v>
      </c>
      <c r="K20" s="402">
        <f t="shared" si="34"/>
        <v>0</v>
      </c>
      <c r="L20" s="380">
        <f t="shared" si="40"/>
        <v>24720618</v>
      </c>
      <c r="M20" s="402">
        <f t="shared" si="35"/>
        <v>0</v>
      </c>
      <c r="N20" s="266">
        <f t="shared" si="36"/>
        <v>0</v>
      </c>
      <c r="O20" s="399">
        <f t="shared" si="43"/>
        <v>0</v>
      </c>
      <c r="P20" s="526">
        <f t="shared" si="41"/>
        <v>19723.284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33501</v>
      </c>
      <c r="X20" s="382">
        <f t="shared" si="42"/>
        <v>0</v>
      </c>
      <c r="Y20" s="380">
        <v>1000894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7"/>
        <v>0</v>
      </c>
      <c r="AE20" s="403">
        <f t="shared" si="19"/>
        <v>0</v>
      </c>
      <c r="AF20" s="404">
        <f t="shared" si="4"/>
        <v>0</v>
      </c>
      <c r="AG20" s="397">
        <f t="shared" si="45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f t="shared" si="7"/>
        <v>44944</v>
      </c>
      <c r="D21" s="380">
        <f t="shared" si="46"/>
        <v>423280</v>
      </c>
      <c r="E21" s="497">
        <f t="shared" si="9"/>
        <v>0</v>
      </c>
      <c r="F21" s="380">
        <f t="shared" si="37"/>
        <v>4191178</v>
      </c>
      <c r="G21" s="402">
        <f t="shared" si="32"/>
        <v>0</v>
      </c>
      <c r="H21" s="380">
        <f t="shared" si="38"/>
        <v>18108884</v>
      </c>
      <c r="I21" s="402">
        <f t="shared" si="33"/>
        <v>0</v>
      </c>
      <c r="J21" s="380">
        <f t="shared" si="39"/>
        <v>29901478</v>
      </c>
      <c r="K21" s="402">
        <f t="shared" si="34"/>
        <v>0</v>
      </c>
      <c r="L21" s="380">
        <f t="shared" si="40"/>
        <v>24720618</v>
      </c>
      <c r="M21" s="402">
        <f t="shared" si="35"/>
        <v>0</v>
      </c>
      <c r="N21" s="266">
        <f t="shared" si="36"/>
        <v>0</v>
      </c>
      <c r="O21" s="399">
        <f t="shared" si="43"/>
        <v>0</v>
      </c>
      <c r="P21" s="526">
        <f t="shared" si="41"/>
        <v>19723.284</v>
      </c>
      <c r="Q21" s="382">
        <f t="shared" si="1"/>
        <v>0</v>
      </c>
      <c r="R21" s="506">
        <f t="shared" ref="R21:R31" si="48">N21-Q21</f>
        <v>0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33501</v>
      </c>
      <c r="X21" s="382">
        <f t="shared" si="42"/>
        <v>0</v>
      </c>
      <c r="Y21" s="380">
        <v>1000894</v>
      </c>
      <c r="Z21" s="382">
        <f t="shared" si="31"/>
        <v>0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7"/>
        <v>0</v>
      </c>
      <c r="AE21" s="403">
        <f t="shared" si="19"/>
        <v>0</v>
      </c>
      <c r="AF21" s="404">
        <f t="shared" si="4"/>
        <v>0</v>
      </c>
      <c r="AG21" s="397">
        <f t="shared" si="45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f t="shared" si="7"/>
        <v>44945</v>
      </c>
      <c r="D22" s="380">
        <f t="shared" si="46"/>
        <v>423280</v>
      </c>
      <c r="E22" s="497">
        <f t="shared" si="9"/>
        <v>0</v>
      </c>
      <c r="F22" s="380">
        <f t="shared" si="37"/>
        <v>4191178</v>
      </c>
      <c r="G22" s="402">
        <f t="shared" ref="G22" si="49">F22-F21</f>
        <v>0</v>
      </c>
      <c r="H22" s="380">
        <f t="shared" si="38"/>
        <v>18108884</v>
      </c>
      <c r="I22" s="402">
        <f t="shared" si="33"/>
        <v>0</v>
      </c>
      <c r="J22" s="380">
        <f t="shared" si="39"/>
        <v>29901478</v>
      </c>
      <c r="K22" s="402">
        <f t="shared" ref="K22" si="50">J22-J21</f>
        <v>0</v>
      </c>
      <c r="L22" s="380">
        <f t="shared" si="40"/>
        <v>24720618</v>
      </c>
      <c r="M22" s="402">
        <f t="shared" ref="M22" si="51">L22-L21</f>
        <v>0</v>
      </c>
      <c r="N22" s="266">
        <f t="shared" ref="N22" si="52">M22+K22+I22+G22+E22</f>
        <v>0</v>
      </c>
      <c r="O22" s="399">
        <f t="shared" ref="O22" si="53">IF(B22&gt;0,N22/B22,0)</f>
        <v>0</v>
      </c>
      <c r="P22" s="526">
        <f t="shared" si="41"/>
        <v>19723.284</v>
      </c>
      <c r="Q22" s="382">
        <f t="shared" ref="Q22" si="54">(P22-P21)*1000</f>
        <v>0</v>
      </c>
      <c r="R22" s="506">
        <f t="shared" ref="R22" si="55">N22-Q22</f>
        <v>0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v>33501</v>
      </c>
      <c r="X22" s="382">
        <f t="shared" si="42"/>
        <v>0</v>
      </c>
      <c r="Y22" s="380">
        <v>1000894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5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f t="shared" si="7"/>
        <v>44946</v>
      </c>
      <c r="D23" s="380">
        <f t="shared" si="46"/>
        <v>423280</v>
      </c>
      <c r="E23" s="497">
        <f t="shared" si="9"/>
        <v>0</v>
      </c>
      <c r="F23" s="380">
        <f t="shared" si="37"/>
        <v>4191178</v>
      </c>
      <c r="G23" s="402">
        <f t="shared" si="32"/>
        <v>0</v>
      </c>
      <c r="H23" s="380">
        <f t="shared" si="38"/>
        <v>18108884</v>
      </c>
      <c r="I23" s="402">
        <f t="shared" si="33"/>
        <v>0</v>
      </c>
      <c r="J23" s="380">
        <f t="shared" si="39"/>
        <v>29901478</v>
      </c>
      <c r="K23" s="402">
        <f t="shared" si="34"/>
        <v>0</v>
      </c>
      <c r="L23" s="380">
        <f t="shared" si="40"/>
        <v>24720618</v>
      </c>
      <c r="M23" s="402">
        <f t="shared" si="35"/>
        <v>0</v>
      </c>
      <c r="N23" s="266">
        <f t="shared" si="36"/>
        <v>0</v>
      </c>
      <c r="O23" s="399">
        <f t="shared" si="43"/>
        <v>0</v>
      </c>
      <c r="P23" s="526">
        <f t="shared" si="41"/>
        <v>19723.284</v>
      </c>
      <c r="Q23" s="382">
        <f t="shared" si="1"/>
        <v>0</v>
      </c>
      <c r="R23" s="506">
        <f t="shared" si="48"/>
        <v>0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v>33501</v>
      </c>
      <c r="X23" s="382">
        <f t="shared" si="42"/>
        <v>0</v>
      </c>
      <c r="Y23" s="380">
        <v>1000894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7"/>
        <v>0</v>
      </c>
      <c r="AE23" s="403">
        <f t="shared" si="19"/>
        <v>0</v>
      </c>
      <c r="AF23" s="404">
        <f t="shared" si="4"/>
        <v>0</v>
      </c>
      <c r="AG23" s="397">
        <f t="shared" si="45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f t="shared" si="7"/>
        <v>44947</v>
      </c>
      <c r="D24" s="380">
        <f t="shared" si="46"/>
        <v>423280</v>
      </c>
      <c r="E24" s="497">
        <f t="shared" si="9"/>
        <v>0</v>
      </c>
      <c r="F24" s="380">
        <f t="shared" si="37"/>
        <v>4191178</v>
      </c>
      <c r="G24" s="402">
        <f t="shared" si="32"/>
        <v>0</v>
      </c>
      <c r="H24" s="380">
        <f t="shared" si="38"/>
        <v>18108884</v>
      </c>
      <c r="I24" s="509">
        <f t="shared" si="33"/>
        <v>0</v>
      </c>
      <c r="J24" s="380">
        <f t="shared" si="39"/>
        <v>29901478</v>
      </c>
      <c r="K24" s="402">
        <f t="shared" si="34"/>
        <v>0</v>
      </c>
      <c r="L24" s="380">
        <f t="shared" si="40"/>
        <v>24720618</v>
      </c>
      <c r="M24" s="402">
        <f t="shared" si="35"/>
        <v>0</v>
      </c>
      <c r="N24" s="266">
        <f t="shared" si="36"/>
        <v>0</v>
      </c>
      <c r="O24" s="399">
        <f t="shared" si="43"/>
        <v>0</v>
      </c>
      <c r="P24" s="526">
        <f t="shared" si="41"/>
        <v>19723.284</v>
      </c>
      <c r="Q24" s="382">
        <f t="shared" si="1"/>
        <v>0</v>
      </c>
      <c r="R24" s="506">
        <f t="shared" si="48"/>
        <v>0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v>33501</v>
      </c>
      <c r="X24" s="382">
        <f t="shared" si="42"/>
        <v>0</v>
      </c>
      <c r="Y24" s="380">
        <v>1000894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7"/>
        <v>0</v>
      </c>
      <c r="AE24" s="403">
        <f t="shared" si="19"/>
        <v>0</v>
      </c>
      <c r="AF24" s="404">
        <f t="shared" si="4"/>
        <v>0</v>
      </c>
      <c r="AG24" s="397">
        <f t="shared" si="45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f t="shared" si="7"/>
        <v>44948</v>
      </c>
      <c r="D25" s="380">
        <f t="shared" si="46"/>
        <v>423280</v>
      </c>
      <c r="E25" s="497">
        <f t="shared" si="9"/>
        <v>0</v>
      </c>
      <c r="F25" s="380">
        <f t="shared" si="37"/>
        <v>4191178</v>
      </c>
      <c r="G25" s="402">
        <f t="shared" si="32"/>
        <v>0</v>
      </c>
      <c r="H25" s="380">
        <f t="shared" si="38"/>
        <v>18108884</v>
      </c>
      <c r="I25" s="402">
        <f t="shared" si="33"/>
        <v>0</v>
      </c>
      <c r="J25" s="380">
        <f t="shared" si="39"/>
        <v>29901478</v>
      </c>
      <c r="K25" s="402">
        <f t="shared" si="34"/>
        <v>0</v>
      </c>
      <c r="L25" s="380">
        <f t="shared" si="40"/>
        <v>24720618</v>
      </c>
      <c r="M25" s="402">
        <f t="shared" si="35"/>
        <v>0</v>
      </c>
      <c r="N25" s="266">
        <f t="shared" si="36"/>
        <v>0</v>
      </c>
      <c r="O25" s="399">
        <f t="shared" si="43"/>
        <v>0</v>
      </c>
      <c r="P25" s="526">
        <f t="shared" si="41"/>
        <v>19723.284</v>
      </c>
      <c r="Q25" s="382">
        <f t="shared" si="1"/>
        <v>0</v>
      </c>
      <c r="R25" s="506">
        <f t="shared" si="48"/>
        <v>0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v>33501</v>
      </c>
      <c r="X25" s="382">
        <f t="shared" si="42"/>
        <v>0</v>
      </c>
      <c r="Y25" s="380">
        <v>1000894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7"/>
        <v>0</v>
      </c>
      <c r="AE25" s="403">
        <f t="shared" si="19"/>
        <v>0</v>
      </c>
      <c r="AF25" s="404">
        <f t="shared" si="4"/>
        <v>0</v>
      </c>
      <c r="AG25" s="397">
        <f t="shared" si="45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f t="shared" si="7"/>
        <v>44949</v>
      </c>
      <c r="D26" s="380">
        <f t="shared" si="46"/>
        <v>423280</v>
      </c>
      <c r="E26" s="497">
        <f t="shared" si="9"/>
        <v>0</v>
      </c>
      <c r="F26" s="380">
        <f t="shared" si="37"/>
        <v>4191178</v>
      </c>
      <c r="G26" s="402">
        <f t="shared" si="32"/>
        <v>0</v>
      </c>
      <c r="H26" s="380">
        <f t="shared" si="38"/>
        <v>18108884</v>
      </c>
      <c r="I26" s="402">
        <f t="shared" si="33"/>
        <v>0</v>
      </c>
      <c r="J26" s="380">
        <f t="shared" si="39"/>
        <v>29901478</v>
      </c>
      <c r="K26" s="402">
        <f t="shared" si="34"/>
        <v>0</v>
      </c>
      <c r="L26" s="380">
        <f t="shared" si="40"/>
        <v>24720618</v>
      </c>
      <c r="M26" s="402">
        <f t="shared" si="35"/>
        <v>0</v>
      </c>
      <c r="N26" s="266">
        <f t="shared" si="36"/>
        <v>0</v>
      </c>
      <c r="O26" s="399">
        <f t="shared" si="43"/>
        <v>0</v>
      </c>
      <c r="P26" s="526">
        <f t="shared" si="41"/>
        <v>19723.284</v>
      </c>
      <c r="Q26" s="382">
        <f t="shared" si="1"/>
        <v>0</v>
      </c>
      <c r="R26" s="506">
        <f t="shared" si="48"/>
        <v>0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v>33501</v>
      </c>
      <c r="X26" s="382">
        <f t="shared" si="42"/>
        <v>0</v>
      </c>
      <c r="Y26" s="380">
        <v>1000894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7"/>
        <v>0</v>
      </c>
      <c r="AE26" s="403">
        <f t="shared" si="19"/>
        <v>0</v>
      </c>
      <c r="AF26" s="404">
        <f t="shared" si="4"/>
        <v>0</v>
      </c>
      <c r="AG26" s="397">
        <f t="shared" si="45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f t="shared" si="7"/>
        <v>44950</v>
      </c>
      <c r="D27" s="380">
        <f t="shared" si="46"/>
        <v>423280</v>
      </c>
      <c r="E27" s="497">
        <f t="shared" si="9"/>
        <v>0</v>
      </c>
      <c r="F27" s="380">
        <f t="shared" si="37"/>
        <v>4191178</v>
      </c>
      <c r="G27" s="402">
        <f t="shared" si="32"/>
        <v>0</v>
      </c>
      <c r="H27" s="380">
        <f t="shared" si="38"/>
        <v>18108884</v>
      </c>
      <c r="I27" s="402">
        <f t="shared" si="33"/>
        <v>0</v>
      </c>
      <c r="J27" s="380">
        <f t="shared" si="39"/>
        <v>29901478</v>
      </c>
      <c r="K27" s="402">
        <f t="shared" si="34"/>
        <v>0</v>
      </c>
      <c r="L27" s="380">
        <f t="shared" si="40"/>
        <v>24720618</v>
      </c>
      <c r="M27" s="402">
        <f t="shared" si="35"/>
        <v>0</v>
      </c>
      <c r="N27" s="266">
        <f t="shared" si="36"/>
        <v>0</v>
      </c>
      <c r="O27" s="399">
        <f t="shared" si="43"/>
        <v>0</v>
      </c>
      <c r="P27" s="526">
        <f t="shared" si="41"/>
        <v>19723.284</v>
      </c>
      <c r="Q27" s="382">
        <f t="shared" si="1"/>
        <v>0</v>
      </c>
      <c r="R27" s="506">
        <f t="shared" si="48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v>33501</v>
      </c>
      <c r="X27" s="382">
        <f t="shared" si="42"/>
        <v>0</v>
      </c>
      <c r="Y27" s="380">
        <v>1000894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7"/>
        <v>0</v>
      </c>
      <c r="AE27" s="403">
        <f t="shared" si="19"/>
        <v>0</v>
      </c>
      <c r="AF27" s="404">
        <f t="shared" si="4"/>
        <v>0</v>
      </c>
      <c r="AG27" s="397">
        <f t="shared" si="45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f t="shared" si="7"/>
        <v>44951</v>
      </c>
      <c r="D28" s="380">
        <f t="shared" si="46"/>
        <v>423280</v>
      </c>
      <c r="E28" s="497">
        <f t="shared" si="9"/>
        <v>0</v>
      </c>
      <c r="F28" s="380">
        <f t="shared" si="37"/>
        <v>4191178</v>
      </c>
      <c r="G28" s="402">
        <f>F28-F27</f>
        <v>0</v>
      </c>
      <c r="H28" s="380">
        <f t="shared" si="38"/>
        <v>18108884</v>
      </c>
      <c r="I28" s="402">
        <f t="shared" si="33"/>
        <v>0</v>
      </c>
      <c r="J28" s="380">
        <f t="shared" si="39"/>
        <v>29901478</v>
      </c>
      <c r="K28" s="402">
        <f t="shared" si="34"/>
        <v>0</v>
      </c>
      <c r="L28" s="380">
        <f t="shared" si="40"/>
        <v>24720618</v>
      </c>
      <c r="M28" s="402">
        <f t="shared" si="35"/>
        <v>0</v>
      </c>
      <c r="N28" s="266">
        <f t="shared" si="36"/>
        <v>0</v>
      </c>
      <c r="O28" s="399">
        <f t="shared" si="43"/>
        <v>0</v>
      </c>
      <c r="P28" s="526">
        <f t="shared" si="41"/>
        <v>19723.284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v>33501</v>
      </c>
      <c r="X28" s="382">
        <f t="shared" si="42"/>
        <v>0</v>
      </c>
      <c r="Y28" s="380">
        <v>1000894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7"/>
        <v>0</v>
      </c>
      <c r="AE28" s="403">
        <f t="shared" si="19"/>
        <v>0</v>
      </c>
      <c r="AF28" s="404">
        <f t="shared" si="4"/>
        <v>0</v>
      </c>
      <c r="AG28" s="397">
        <f t="shared" si="45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f t="shared" si="7"/>
        <v>44952</v>
      </c>
      <c r="D29" s="380">
        <f t="shared" si="46"/>
        <v>423280</v>
      </c>
      <c r="E29" s="497">
        <f t="shared" si="9"/>
        <v>0</v>
      </c>
      <c r="F29" s="380">
        <f t="shared" si="37"/>
        <v>4191178</v>
      </c>
      <c r="G29" s="402">
        <f>F29-F28</f>
        <v>0</v>
      </c>
      <c r="H29" s="380">
        <f t="shared" si="38"/>
        <v>18108884</v>
      </c>
      <c r="I29" s="402">
        <f>H29-H28</f>
        <v>0</v>
      </c>
      <c r="J29" s="380">
        <f t="shared" si="39"/>
        <v>29901478</v>
      </c>
      <c r="K29" s="402">
        <f>J29-J28</f>
        <v>0</v>
      </c>
      <c r="L29" s="380">
        <f t="shared" si="40"/>
        <v>24720618</v>
      </c>
      <c r="M29" s="402">
        <f>L29-L28</f>
        <v>0</v>
      </c>
      <c r="N29" s="266">
        <f>M29+K29+I29+G29+E29</f>
        <v>0</v>
      </c>
      <c r="O29" s="399">
        <f>IF(B29&gt;0,N29/B29,0)</f>
        <v>0</v>
      </c>
      <c r="P29" s="526">
        <f t="shared" si="41"/>
        <v>19723.284</v>
      </c>
      <c r="Q29" s="382">
        <f>(P29-P28)*1000</f>
        <v>0</v>
      </c>
      <c r="R29" s="506">
        <f t="shared" si="48"/>
        <v>0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v>33501</v>
      </c>
      <c r="X29" s="382">
        <f>W29-W28</f>
        <v>0</v>
      </c>
      <c r="Y29" s="380">
        <v>1000894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5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f t="shared" si="7"/>
        <v>44953</v>
      </c>
      <c r="D30" s="380">
        <f t="shared" si="46"/>
        <v>423280</v>
      </c>
      <c r="E30" s="497">
        <f t="shared" si="9"/>
        <v>0</v>
      </c>
      <c r="F30" s="380">
        <f t="shared" si="37"/>
        <v>4191178</v>
      </c>
      <c r="G30" s="402">
        <f t="shared" si="32"/>
        <v>0</v>
      </c>
      <c r="H30" s="380">
        <f t="shared" si="38"/>
        <v>18108884</v>
      </c>
      <c r="I30" s="402">
        <f t="shared" si="33"/>
        <v>0</v>
      </c>
      <c r="J30" s="380">
        <f t="shared" si="39"/>
        <v>29901478</v>
      </c>
      <c r="K30" s="402">
        <f t="shared" si="34"/>
        <v>0</v>
      </c>
      <c r="L30" s="380">
        <f t="shared" si="40"/>
        <v>24720618</v>
      </c>
      <c r="M30" s="402">
        <f t="shared" si="35"/>
        <v>0</v>
      </c>
      <c r="N30" s="266">
        <f>M30+K30+I30+G30+E30</f>
        <v>0</v>
      </c>
      <c r="O30" s="399">
        <f t="shared" si="43"/>
        <v>0</v>
      </c>
      <c r="P30" s="526">
        <f t="shared" si="41"/>
        <v>19723.284</v>
      </c>
      <c r="Q30" s="382">
        <f t="shared" si="1"/>
        <v>0</v>
      </c>
      <c r="R30" s="506">
        <f>N30-Q30</f>
        <v>0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v>33501</v>
      </c>
      <c r="X30" s="382">
        <f t="shared" si="42"/>
        <v>0</v>
      </c>
      <c r="Y30" s="380">
        <v>1000894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7"/>
        <v>0</v>
      </c>
      <c r="AE30" s="403">
        <f t="shared" si="19"/>
        <v>0</v>
      </c>
      <c r="AF30" s="404">
        <f t="shared" si="4"/>
        <v>0</v>
      </c>
      <c r="AG30" s="397">
        <f t="shared" si="45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f t="shared" si="7"/>
        <v>44954</v>
      </c>
      <c r="D31" s="380">
        <f t="shared" si="46"/>
        <v>423280</v>
      </c>
      <c r="E31" s="497">
        <f t="shared" si="9"/>
        <v>0</v>
      </c>
      <c r="F31" s="380">
        <f t="shared" si="37"/>
        <v>4191178</v>
      </c>
      <c r="G31" s="402">
        <f t="shared" si="32"/>
        <v>0</v>
      </c>
      <c r="H31" s="380">
        <f t="shared" si="38"/>
        <v>18108884</v>
      </c>
      <c r="I31" s="402">
        <f t="shared" si="33"/>
        <v>0</v>
      </c>
      <c r="J31" s="380">
        <f t="shared" si="39"/>
        <v>29901478</v>
      </c>
      <c r="K31" s="402">
        <f t="shared" si="34"/>
        <v>0</v>
      </c>
      <c r="L31" s="380">
        <f t="shared" si="40"/>
        <v>24720618</v>
      </c>
      <c r="M31" s="402">
        <f t="shared" si="35"/>
        <v>0</v>
      </c>
      <c r="N31" s="266">
        <f t="shared" si="36"/>
        <v>0</v>
      </c>
      <c r="O31" s="399">
        <f t="shared" si="43"/>
        <v>0</v>
      </c>
      <c r="P31" s="526">
        <f t="shared" si="41"/>
        <v>19723.284</v>
      </c>
      <c r="Q31" s="382">
        <f t="shared" si="1"/>
        <v>0</v>
      </c>
      <c r="R31" s="506">
        <f t="shared" si="48"/>
        <v>0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v>33501</v>
      </c>
      <c r="X31" s="401">
        <f t="shared" si="42"/>
        <v>0</v>
      </c>
      <c r="Y31" s="380">
        <v>1000894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7"/>
        <v>0</v>
      </c>
      <c r="AE31" s="403">
        <f t="shared" si="19"/>
        <v>0</v>
      </c>
      <c r="AF31" s="404">
        <f t="shared" si="4"/>
        <v>0</v>
      </c>
      <c r="AG31" s="397">
        <f t="shared" si="45"/>
        <v>0</v>
      </c>
      <c r="AJ31" s="473"/>
    </row>
    <row r="32" spans="1:36">
      <c r="A32" s="390">
        <f>'General information '!F33</f>
        <v>0</v>
      </c>
      <c r="B32" s="384">
        <f t="shared" ref="B32:B34" si="56">SUM(230*A32)</f>
        <v>0</v>
      </c>
      <c r="C32" s="391">
        <f t="shared" si="7"/>
        <v>44955</v>
      </c>
      <c r="D32" s="380">
        <f t="shared" si="46"/>
        <v>423280</v>
      </c>
      <c r="E32" s="497">
        <f t="shared" si="9"/>
        <v>0</v>
      </c>
      <c r="F32" s="380">
        <f t="shared" si="37"/>
        <v>4191178</v>
      </c>
      <c r="G32" s="402">
        <f t="shared" si="32"/>
        <v>0</v>
      </c>
      <c r="H32" s="380">
        <f t="shared" si="38"/>
        <v>18108884</v>
      </c>
      <c r="I32" s="402">
        <f t="shared" si="33"/>
        <v>0</v>
      </c>
      <c r="J32" s="380">
        <f t="shared" si="39"/>
        <v>29901478</v>
      </c>
      <c r="K32" s="402">
        <f t="shared" si="34"/>
        <v>0</v>
      </c>
      <c r="L32" s="380">
        <f t="shared" si="40"/>
        <v>24720618</v>
      </c>
      <c r="M32" s="402">
        <f t="shared" ref="M32:M34" si="57">L32-L31</f>
        <v>0</v>
      </c>
      <c r="N32" s="266">
        <f t="shared" ref="N32:N34" si="58">M32+K32+I32+G32+E32</f>
        <v>0</v>
      </c>
      <c r="O32" s="399">
        <f t="shared" ref="O32:O34" si="59">IF(B32&gt;0,N32/B32,0)</f>
        <v>0</v>
      </c>
      <c r="P32" s="526">
        <f t="shared" si="41"/>
        <v>19723.284</v>
      </c>
      <c r="Q32" s="382">
        <f t="shared" ref="Q32:Q34" si="60">(P32-P31)*1000</f>
        <v>0</v>
      </c>
      <c r="R32" s="506">
        <f t="shared" ref="R32:R34" si="61">N32-Q32</f>
        <v>0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v>33501</v>
      </c>
      <c r="X32" s="401">
        <f t="shared" ref="X32:X34" si="62">W32-W31</f>
        <v>0</v>
      </c>
      <c r="Y32" s="380">
        <v>1000894</v>
      </c>
      <c r="Z32" s="382">
        <f t="shared" ref="Z32:Z34" si="63">Y32-Y31</f>
        <v>0</v>
      </c>
      <c r="AA32" s="380">
        <f t="shared" si="17"/>
        <v>36804</v>
      </c>
      <c r="AB32" s="382">
        <f t="shared" ref="AB32:AB34" si="64">AA32-AA31</f>
        <v>0</v>
      </c>
      <c r="AC32" s="380">
        <f t="shared" si="18"/>
        <v>1173391</v>
      </c>
      <c r="AD32" s="382">
        <f t="shared" ref="AD32:AD34" si="65">AC32-AC31</f>
        <v>0</v>
      </c>
      <c r="AE32" s="403">
        <f t="shared" ref="AE32:AE34" si="66">AB32+X32+T32</f>
        <v>0</v>
      </c>
      <c r="AF32" s="404">
        <f t="shared" ref="AF32:AF34" si="67">V32+Z32+AD32</f>
        <v>0</v>
      </c>
      <c r="AG32" s="397">
        <f t="shared" si="45"/>
        <v>0</v>
      </c>
      <c r="AJ32" s="473"/>
    </row>
    <row r="33" spans="1:36">
      <c r="A33" s="390">
        <f>'General information '!F34</f>
        <v>0</v>
      </c>
      <c r="B33" s="384">
        <f t="shared" si="56"/>
        <v>0</v>
      </c>
      <c r="C33" s="391">
        <f t="shared" si="7"/>
        <v>44956</v>
      </c>
      <c r="D33" s="380">
        <f t="shared" si="46"/>
        <v>423280</v>
      </c>
      <c r="E33" s="497">
        <f t="shared" si="9"/>
        <v>0</v>
      </c>
      <c r="F33" s="380">
        <f t="shared" si="37"/>
        <v>4191178</v>
      </c>
      <c r="G33" s="402">
        <f t="shared" si="32"/>
        <v>0</v>
      </c>
      <c r="H33" s="380">
        <f t="shared" si="38"/>
        <v>18108884</v>
      </c>
      <c r="I33" s="402">
        <f t="shared" si="33"/>
        <v>0</v>
      </c>
      <c r="J33" s="380">
        <f t="shared" si="39"/>
        <v>29901478</v>
      </c>
      <c r="K33" s="402">
        <f t="shared" si="34"/>
        <v>0</v>
      </c>
      <c r="L33" s="380">
        <f t="shared" si="40"/>
        <v>24720618</v>
      </c>
      <c r="M33" s="402">
        <f t="shared" si="57"/>
        <v>0</v>
      </c>
      <c r="N33" s="266">
        <f t="shared" si="58"/>
        <v>0</v>
      </c>
      <c r="O33" s="399">
        <f t="shared" si="59"/>
        <v>0</v>
      </c>
      <c r="P33" s="526">
        <f t="shared" si="41"/>
        <v>19723.284</v>
      </c>
      <c r="Q33" s="382">
        <f t="shared" si="60"/>
        <v>0</v>
      </c>
      <c r="R33" s="506">
        <f>N33-Q33</f>
        <v>0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8">U33-U32</f>
        <v>0</v>
      </c>
      <c r="W33" s="380">
        <v>33501</v>
      </c>
      <c r="X33" s="401">
        <f t="shared" si="62"/>
        <v>0</v>
      </c>
      <c r="Y33" s="380">
        <v>1000894</v>
      </c>
      <c r="Z33" s="382">
        <f t="shared" si="63"/>
        <v>0</v>
      </c>
      <c r="AA33" s="380">
        <f t="shared" si="17"/>
        <v>36804</v>
      </c>
      <c r="AB33" s="382">
        <f t="shared" si="64"/>
        <v>0</v>
      </c>
      <c r="AC33" s="380">
        <f t="shared" si="18"/>
        <v>1173391</v>
      </c>
      <c r="AD33" s="382">
        <f t="shared" si="65"/>
        <v>0</v>
      </c>
      <c r="AE33" s="403">
        <f t="shared" si="66"/>
        <v>0</v>
      </c>
      <c r="AF33" s="404">
        <f t="shared" si="67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6"/>
        <v>0</v>
      </c>
      <c r="C34" s="391">
        <f t="shared" si="7"/>
        <v>44957</v>
      </c>
      <c r="D34" s="380">
        <f t="shared" si="46"/>
        <v>423280</v>
      </c>
      <c r="E34" s="497">
        <f t="shared" si="9"/>
        <v>0</v>
      </c>
      <c r="F34" s="380">
        <f t="shared" si="37"/>
        <v>4191178</v>
      </c>
      <c r="G34" s="402">
        <f t="shared" si="32"/>
        <v>0</v>
      </c>
      <c r="H34" s="380">
        <f t="shared" si="38"/>
        <v>18108884</v>
      </c>
      <c r="I34" s="402">
        <f t="shared" si="33"/>
        <v>0</v>
      </c>
      <c r="J34" s="380">
        <f t="shared" si="39"/>
        <v>29901478</v>
      </c>
      <c r="K34" s="402">
        <f t="shared" si="34"/>
        <v>0</v>
      </c>
      <c r="L34" s="380">
        <f t="shared" si="40"/>
        <v>24720618</v>
      </c>
      <c r="M34" s="402">
        <f t="shared" si="57"/>
        <v>0</v>
      </c>
      <c r="N34" s="266">
        <f t="shared" si="58"/>
        <v>0</v>
      </c>
      <c r="O34" s="399">
        <f t="shared" si="59"/>
        <v>0</v>
      </c>
      <c r="P34" s="526">
        <f t="shared" si="41"/>
        <v>19723.284</v>
      </c>
      <c r="Q34" s="382">
        <f t="shared" si="60"/>
        <v>0</v>
      </c>
      <c r="R34" s="506">
        <f t="shared" si="61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v>33501</v>
      </c>
      <c r="X34" s="401">
        <f t="shared" si="62"/>
        <v>0</v>
      </c>
      <c r="Y34" s="380">
        <v>1000894</v>
      </c>
      <c r="Z34" s="382">
        <f t="shared" si="63"/>
        <v>0</v>
      </c>
      <c r="AA34" s="380">
        <f t="shared" si="17"/>
        <v>36804</v>
      </c>
      <c r="AB34" s="382">
        <f t="shared" si="64"/>
        <v>0</v>
      </c>
      <c r="AC34" s="380">
        <f t="shared" si="18"/>
        <v>1173391</v>
      </c>
      <c r="AD34" s="382">
        <f t="shared" si="65"/>
        <v>0</v>
      </c>
      <c r="AE34" s="403">
        <f t="shared" si="66"/>
        <v>0</v>
      </c>
      <c r="AF34" s="404">
        <f t="shared" si="67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zoomScale="60" zoomScaleNormal="60" workbookViewId="0">
      <pane ySplit="1" topLeftCell="E13" activePane="bottomLeft" state="frozen"/>
      <selection pane="bottomLeft" activeCell="AF14" sqref="AF14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8" t="s">
        <v>54</v>
      </c>
      <c r="G1" s="539"/>
      <c r="H1" s="539"/>
      <c r="I1" s="540"/>
      <c r="J1" s="244">
        <f>J36</f>
        <v>49.25</v>
      </c>
      <c r="K1" s="541" t="s">
        <v>55</v>
      </c>
      <c r="L1" s="542"/>
      <c r="M1" s="542"/>
      <c r="N1" s="542"/>
      <c r="O1" s="543"/>
      <c r="P1" s="532" t="s">
        <v>56</v>
      </c>
      <c r="Q1" s="533"/>
      <c r="R1" s="533"/>
      <c r="S1" s="533"/>
      <c r="T1" s="534"/>
      <c r="U1" s="339"/>
      <c r="V1" s="26" t="s">
        <v>57</v>
      </c>
      <c r="W1" s="340"/>
      <c r="X1" s="532" t="s">
        <v>58</v>
      </c>
      <c r="Y1" s="533"/>
      <c r="Z1" s="533"/>
      <c r="AA1" s="533"/>
      <c r="AB1" s="533"/>
      <c r="AC1" s="535" t="s">
        <v>59</v>
      </c>
      <c r="AD1" s="536"/>
      <c r="AE1" s="536"/>
      <c r="AF1" s="537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0"/>
      <c r="R2" s="531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v>44926</v>
      </c>
      <c r="B4" s="337">
        <v>218</v>
      </c>
      <c r="C4" s="337">
        <v>224</v>
      </c>
      <c r="D4" s="337">
        <v>0</v>
      </c>
      <c r="E4" s="337">
        <v>0</v>
      </c>
      <c r="F4" s="337">
        <v>2361</v>
      </c>
      <c r="G4" s="337">
        <f>[2]B5!G34</f>
        <v>0</v>
      </c>
      <c r="H4" s="337">
        <v>52474</v>
      </c>
      <c r="I4" s="337">
        <f>[2]B5!I34</f>
        <v>0</v>
      </c>
      <c r="J4" s="337">
        <f>[2]B5!J34</f>
        <v>0</v>
      </c>
      <c r="K4" s="337">
        <v>2482</v>
      </c>
      <c r="L4" s="337">
        <v>0</v>
      </c>
      <c r="M4" s="337">
        <v>185022</v>
      </c>
      <c r="N4" s="337">
        <v>0</v>
      </c>
      <c r="O4" s="337">
        <f>[2]B5!O34</f>
        <v>1869</v>
      </c>
      <c r="P4" s="337">
        <v>2240</v>
      </c>
      <c r="Q4" s="337">
        <v>187109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v>0</v>
      </c>
      <c r="V4" s="337">
        <v>0</v>
      </c>
      <c r="W4" s="337">
        <f>[2]B5!W34</f>
        <v>0</v>
      </c>
      <c r="X4" s="337"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v>1959</v>
      </c>
      <c r="AD4" s="337">
        <f>[2]B5!AD34</f>
        <v>0</v>
      </c>
      <c r="AE4" s="337">
        <v>367689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v>0</v>
      </c>
      <c r="AJ4" s="337">
        <v>0</v>
      </c>
      <c r="AK4" s="337">
        <f>[2]B5!AK34</f>
        <v>0</v>
      </c>
      <c r="AL4" s="337">
        <v>0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v>44927</v>
      </c>
      <c r="B5" s="63">
        <f>B4</f>
        <v>218</v>
      </c>
      <c r="C5" s="63">
        <v>224</v>
      </c>
      <c r="D5" s="44">
        <f>C4-C5</f>
        <v>0</v>
      </c>
      <c r="E5" s="44">
        <f>D5*8.38</f>
        <v>0</v>
      </c>
      <c r="F5" s="468">
        <f>F4</f>
        <v>2361</v>
      </c>
      <c r="G5" s="51">
        <f t="shared" ref="G5:G32" si="0">F5-F4</f>
        <v>0</v>
      </c>
      <c r="H5" s="468">
        <f>H4</f>
        <v>52474</v>
      </c>
      <c r="I5" s="338">
        <f t="shared" ref="I5:I32" si="1">SUM(H5-H4)</f>
        <v>0</v>
      </c>
      <c r="J5" s="65">
        <v>1</v>
      </c>
      <c r="K5" s="337">
        <v>2482</v>
      </c>
      <c r="L5" s="51">
        <f>K5-K4</f>
        <v>0</v>
      </c>
      <c r="M5" s="337">
        <v>185022</v>
      </c>
      <c r="N5" s="338">
        <f t="shared" ref="N5:N32" si="2">M5-M4</f>
        <v>0</v>
      </c>
      <c r="O5" s="63">
        <f t="shared" ref="O5:Q17" si="3">O4</f>
        <v>1869</v>
      </c>
      <c r="P5" s="468">
        <f>P4</f>
        <v>2240</v>
      </c>
      <c r="Q5" s="468">
        <f>Q4</f>
        <v>187109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0</v>
      </c>
      <c r="V5" s="61">
        <f>R5+N5+I5:I5</f>
        <v>0</v>
      </c>
      <c r="W5" s="342" t="e">
        <f>SUM(V5/U5)</f>
        <v>#DIV/0!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337">
        <v>1959</v>
      </c>
      <c r="AD5" s="44">
        <f t="shared" ref="AD5:AD32" si="7">AC5-AC4</f>
        <v>0</v>
      </c>
      <c r="AE5" s="337">
        <v>367689</v>
      </c>
      <c r="AF5" s="263">
        <f>AE5-AE4</f>
        <v>0</v>
      </c>
      <c r="AG5" s="196">
        <f>IF(AD5&gt;0,AF5/AD5,0)</f>
        <v>0</v>
      </c>
      <c r="AH5" s="61">
        <f>AF5+AA5</f>
        <v>0</v>
      </c>
      <c r="AI5" s="271">
        <f>SUM(AH5+V5)</f>
        <v>0</v>
      </c>
      <c r="AJ5" s="271">
        <f>-tanks!AW6</f>
        <v>0</v>
      </c>
      <c r="AK5" s="271">
        <f>SUM(AJ5-AI5)</f>
        <v>0</v>
      </c>
      <c r="AL5" s="271">
        <f t="shared" ref="AL5:AL32" si="8">S5+L5+G5</f>
        <v>0</v>
      </c>
      <c r="AM5" s="271">
        <f>Y5+AD5</f>
        <v>0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v>44928</v>
      </c>
      <c r="B6" s="63">
        <v>218</v>
      </c>
      <c r="C6" s="63">
        <v>224</v>
      </c>
      <c r="D6" s="44">
        <f>C5-C6</f>
        <v>0</v>
      </c>
      <c r="E6" s="44">
        <f t="shared" ref="E6:E32" si="9">D6*8.38</f>
        <v>0</v>
      </c>
      <c r="F6" s="468">
        <f t="shared" ref="F6:F35" si="10">F5</f>
        <v>2361</v>
      </c>
      <c r="G6" s="51">
        <f t="shared" si="0"/>
        <v>0</v>
      </c>
      <c r="H6" s="468">
        <f>H5</f>
        <v>52474</v>
      </c>
      <c r="I6" s="338">
        <f t="shared" si="1"/>
        <v>0</v>
      </c>
      <c r="J6" s="65">
        <f t="shared" ref="J6:J32" si="11">IF(G6&gt;0,I6/G6,0)</f>
        <v>0</v>
      </c>
      <c r="K6" s="337">
        <v>2482</v>
      </c>
      <c r="L6" s="51">
        <f t="shared" ref="L6:L32" si="12">K6-K5</f>
        <v>0</v>
      </c>
      <c r="M6" s="63">
        <f t="shared" ref="M6:M7" si="13">M5</f>
        <v>185022</v>
      </c>
      <c r="N6" s="338">
        <f t="shared" si="2"/>
        <v>0</v>
      </c>
      <c r="O6" s="63">
        <f t="shared" si="3"/>
        <v>1869</v>
      </c>
      <c r="P6" s="468">
        <f t="shared" si="3"/>
        <v>2240</v>
      </c>
      <c r="Q6" s="468">
        <f t="shared" si="3"/>
        <v>187109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4">SUM(G6+L6+S6)</f>
        <v>0</v>
      </c>
      <c r="V6" s="61">
        <f t="shared" ref="V6:V32" si="15">R6+N6+I6:I6</f>
        <v>0</v>
      </c>
      <c r="W6" s="342" t="e">
        <f t="shared" ref="W6:W16" si="16">SUM(V6/U6)</f>
        <v>#DIV/0!</v>
      </c>
      <c r="X6" s="468">
        <f t="shared" ref="X6:X35" si="17">X5</f>
        <v>2498</v>
      </c>
      <c r="Y6" s="51">
        <f t="shared" ref="Y6:Y32" si="18">X6-X5</f>
        <v>0</v>
      </c>
      <c r="Z6" s="468">
        <f t="shared" ref="Z6:Z35" si="19">Z5</f>
        <v>141419</v>
      </c>
      <c r="AA6" s="64">
        <f t="shared" si="6"/>
        <v>0</v>
      </c>
      <c r="AB6" s="246">
        <f>SUM(Y6*$AB$2)</f>
        <v>0</v>
      </c>
      <c r="AC6" s="337">
        <v>1959</v>
      </c>
      <c r="AD6" s="44">
        <f t="shared" si="7"/>
        <v>0</v>
      </c>
      <c r="AE6" s="468">
        <f t="shared" ref="AE6:AE35" si="20">AE5</f>
        <v>367689</v>
      </c>
      <c r="AF6" s="263">
        <f t="shared" ref="AF6:AF32" si="21">AE6-AE5</f>
        <v>0</v>
      </c>
      <c r="AG6" s="196">
        <f>IF(AD6&gt;0,AF6/AD6,0)</f>
        <v>0</v>
      </c>
      <c r="AH6" s="61">
        <f>AF6+AA6</f>
        <v>0</v>
      </c>
      <c r="AI6" s="271">
        <f t="shared" ref="AI6:AI32" si="22">SUM(AH6+V6)</f>
        <v>0</v>
      </c>
      <c r="AJ6" s="271">
        <f>-tanks!AW7</f>
        <v>0</v>
      </c>
      <c r="AK6" s="271">
        <f t="shared" ref="AK6:AK32" si="23">SUM(AJ6-AI6)</f>
        <v>0</v>
      </c>
      <c r="AL6" s="271">
        <f t="shared" si="8"/>
        <v>0</v>
      </c>
      <c r="AM6" s="271">
        <f t="shared" ref="AM6:AM32" si="24">Y6+AD6</f>
        <v>0</v>
      </c>
      <c r="AN6" s="468">
        <f t="shared" ref="AN6:AN35" si="25">AN5</f>
        <v>65</v>
      </c>
      <c r="AO6" s="273">
        <f t="shared" ref="AO6:AO35" si="26">(AN6/100)*3000</f>
        <v>1950</v>
      </c>
      <c r="AP6" s="468">
        <f t="shared" ref="AP6:AP35" si="27">AP5</f>
        <v>35</v>
      </c>
      <c r="AQ6" s="273">
        <f t="shared" ref="AQ6:AQ24" si="28">(AP6/100)*3000</f>
        <v>1050</v>
      </c>
      <c r="AR6" s="468">
        <f t="shared" ref="AR6:AR35" si="29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0">IF(AV6&gt;0,AW6,AX5)</f>
        <v>0.8</v>
      </c>
    </row>
    <row r="7" spans="1:52">
      <c r="A7" s="62">
        <v>44929</v>
      </c>
      <c r="B7" s="63">
        <v>214</v>
      </c>
      <c r="C7" s="63">
        <v>221</v>
      </c>
      <c r="D7" s="44">
        <f t="shared" ref="D7:D19" si="31">C6-C7</f>
        <v>3</v>
      </c>
      <c r="E7" s="44">
        <f t="shared" si="9"/>
        <v>25.14</v>
      </c>
      <c r="F7" s="468">
        <f t="shared" si="10"/>
        <v>2361</v>
      </c>
      <c r="G7" s="51">
        <f t="shared" si="0"/>
        <v>0</v>
      </c>
      <c r="H7" s="468">
        <v>52558</v>
      </c>
      <c r="I7" s="338">
        <f t="shared" si="1"/>
        <v>84</v>
      </c>
      <c r="J7" s="65">
        <f t="shared" si="11"/>
        <v>0</v>
      </c>
      <c r="K7" s="468">
        <v>2482</v>
      </c>
      <c r="L7" s="51">
        <f t="shared" si="12"/>
        <v>0</v>
      </c>
      <c r="M7" s="63">
        <f t="shared" si="13"/>
        <v>185022</v>
      </c>
      <c r="N7" s="338">
        <f t="shared" si="2"/>
        <v>0</v>
      </c>
      <c r="O7" s="63">
        <f t="shared" si="3"/>
        <v>1869</v>
      </c>
      <c r="P7" s="468">
        <f t="shared" si="3"/>
        <v>2240</v>
      </c>
      <c r="Q7" s="468">
        <f t="shared" si="3"/>
        <v>187109</v>
      </c>
      <c r="R7" s="337">
        <f t="shared" si="4"/>
        <v>0</v>
      </c>
      <c r="S7" s="51">
        <f t="shared" si="5"/>
        <v>0</v>
      </c>
      <c r="T7" s="66">
        <f t="shared" ref="T7:T32" si="32">SUM(S7*$T$2)</f>
        <v>0</v>
      </c>
      <c r="U7" s="344">
        <f t="shared" si="14"/>
        <v>0</v>
      </c>
      <c r="V7" s="61">
        <f>R7+N7+I7:I7</f>
        <v>84</v>
      </c>
      <c r="W7" s="342" t="e">
        <f t="shared" si="16"/>
        <v>#DIV/0!</v>
      </c>
      <c r="X7" s="468">
        <f t="shared" si="17"/>
        <v>2498</v>
      </c>
      <c r="Y7" s="51">
        <f t="shared" si="18"/>
        <v>0</v>
      </c>
      <c r="Z7" s="468">
        <f t="shared" si="19"/>
        <v>141419</v>
      </c>
      <c r="AA7" s="64">
        <f t="shared" si="6"/>
        <v>0</v>
      </c>
      <c r="AB7" s="246">
        <f t="shared" ref="AB7:AB17" si="33">SUM(Y7*$AB$2)</f>
        <v>0</v>
      </c>
      <c r="AC7" s="468">
        <f t="shared" ref="AC7:AC35" si="34">AC6</f>
        <v>1959</v>
      </c>
      <c r="AD7" s="44">
        <f t="shared" si="7"/>
        <v>0</v>
      </c>
      <c r="AE7" s="468">
        <f t="shared" si="20"/>
        <v>367689</v>
      </c>
      <c r="AF7" s="263">
        <f t="shared" si="21"/>
        <v>0</v>
      </c>
      <c r="AG7" s="196">
        <f t="shared" ref="AG7:AG32" si="35">IF(AD7&gt;0,AF7/AD7,0)</f>
        <v>0</v>
      </c>
      <c r="AH7" s="61">
        <f t="shared" ref="AH7:AH32" si="36">AF7+AA7</f>
        <v>0</v>
      </c>
      <c r="AI7" s="271">
        <f t="shared" si="22"/>
        <v>84</v>
      </c>
      <c r="AJ7" s="271">
        <f>-tanks!AW8</f>
        <v>84</v>
      </c>
      <c r="AK7" s="271">
        <f t="shared" si="23"/>
        <v>0</v>
      </c>
      <c r="AL7" s="271">
        <f t="shared" si="8"/>
        <v>0</v>
      </c>
      <c r="AM7" s="271">
        <f t="shared" si="24"/>
        <v>0</v>
      </c>
      <c r="AN7" s="468">
        <f t="shared" si="25"/>
        <v>65</v>
      </c>
      <c r="AO7" s="273">
        <f t="shared" si="26"/>
        <v>1950</v>
      </c>
      <c r="AP7" s="468">
        <f t="shared" si="27"/>
        <v>35</v>
      </c>
      <c r="AQ7" s="273">
        <f t="shared" si="28"/>
        <v>1050</v>
      </c>
      <c r="AR7" s="468">
        <f t="shared" si="29"/>
        <v>73</v>
      </c>
      <c r="AS7" s="273">
        <f t="shared" ref="AS7:AS35" si="37">(AR7/100)*3000</f>
        <v>2190</v>
      </c>
      <c r="AT7" s="273">
        <f t="shared" ref="AT7:AT23" si="38">SUM(AO7+AQ7+AS7)</f>
        <v>5190</v>
      </c>
      <c r="AU7" s="273">
        <f t="shared" ref="AU7:AU35" si="39">AT6-AT7+AV7</f>
        <v>0</v>
      </c>
      <c r="AV7" s="237"/>
      <c r="AW7" s="237"/>
      <c r="AX7" s="267">
        <f t="shared" si="30"/>
        <v>0.8</v>
      </c>
      <c r="AZ7" s="41" t="s">
        <v>94</v>
      </c>
    </row>
    <row r="8" spans="1:52">
      <c r="A8" s="62">
        <v>44930</v>
      </c>
      <c r="B8" s="63">
        <v>239</v>
      </c>
      <c r="C8" s="63">
        <v>245</v>
      </c>
      <c r="D8" s="44">
        <f t="shared" si="31"/>
        <v>-24</v>
      </c>
      <c r="E8" s="44">
        <f t="shared" si="9"/>
        <v>-201.12</v>
      </c>
      <c r="F8" s="468">
        <v>2365</v>
      </c>
      <c r="G8" s="51">
        <f t="shared" si="0"/>
        <v>4</v>
      </c>
      <c r="H8" s="468">
        <v>52754</v>
      </c>
      <c r="I8" s="338">
        <f t="shared" si="1"/>
        <v>196</v>
      </c>
      <c r="J8" s="65">
        <f t="shared" si="11"/>
        <v>49</v>
      </c>
      <c r="K8" s="468">
        <v>2482</v>
      </c>
      <c r="L8" s="51">
        <f t="shared" si="12"/>
        <v>0</v>
      </c>
      <c r="M8" s="63">
        <v>185032</v>
      </c>
      <c r="N8" s="338">
        <f t="shared" si="2"/>
        <v>10</v>
      </c>
      <c r="O8" s="63">
        <f t="shared" si="3"/>
        <v>1869</v>
      </c>
      <c r="P8" s="468">
        <f t="shared" si="3"/>
        <v>2240</v>
      </c>
      <c r="Q8" s="468">
        <f t="shared" si="3"/>
        <v>187109</v>
      </c>
      <c r="R8" s="337">
        <f t="shared" si="4"/>
        <v>0</v>
      </c>
      <c r="S8" s="51">
        <f t="shared" si="5"/>
        <v>0</v>
      </c>
      <c r="T8" s="66">
        <f t="shared" si="32"/>
        <v>0</v>
      </c>
      <c r="U8" s="344">
        <f t="shared" si="14"/>
        <v>4</v>
      </c>
      <c r="V8" s="61">
        <f>R8+N8+I8:I8</f>
        <v>206</v>
      </c>
      <c r="W8" s="342">
        <f t="shared" si="16"/>
        <v>51.5</v>
      </c>
      <c r="X8" s="468">
        <f t="shared" si="17"/>
        <v>2498</v>
      </c>
      <c r="Y8" s="51">
        <f t="shared" si="18"/>
        <v>0</v>
      </c>
      <c r="Z8" s="468">
        <f t="shared" si="19"/>
        <v>141419</v>
      </c>
      <c r="AA8" s="64">
        <f t="shared" si="6"/>
        <v>0</v>
      </c>
      <c r="AB8" s="246">
        <f t="shared" si="33"/>
        <v>0</v>
      </c>
      <c r="AC8" s="468">
        <v>1960</v>
      </c>
      <c r="AD8" s="44">
        <f t="shared" si="7"/>
        <v>1</v>
      </c>
      <c r="AE8" s="468">
        <v>367780</v>
      </c>
      <c r="AF8" s="263">
        <f t="shared" si="21"/>
        <v>91</v>
      </c>
      <c r="AG8" s="196">
        <f t="shared" si="35"/>
        <v>91</v>
      </c>
      <c r="AH8" s="61">
        <f t="shared" si="36"/>
        <v>91</v>
      </c>
      <c r="AI8" s="271">
        <f t="shared" si="22"/>
        <v>297</v>
      </c>
      <c r="AJ8" s="271">
        <f>-tanks!AW9</f>
        <v>297</v>
      </c>
      <c r="AK8" s="271">
        <f t="shared" si="23"/>
        <v>0</v>
      </c>
      <c r="AL8" s="271">
        <f t="shared" si="8"/>
        <v>4</v>
      </c>
      <c r="AM8" s="271">
        <f t="shared" si="24"/>
        <v>1</v>
      </c>
      <c r="AN8" s="468">
        <f t="shared" si="25"/>
        <v>65</v>
      </c>
      <c r="AO8" s="273">
        <f t="shared" si="26"/>
        <v>1950</v>
      </c>
      <c r="AP8" s="468">
        <f t="shared" si="27"/>
        <v>35</v>
      </c>
      <c r="AQ8" s="273">
        <f t="shared" si="28"/>
        <v>1050</v>
      </c>
      <c r="AR8" s="468">
        <f t="shared" si="29"/>
        <v>73</v>
      </c>
      <c r="AS8" s="273">
        <f t="shared" si="37"/>
        <v>2190</v>
      </c>
      <c r="AT8" s="273">
        <f t="shared" si="38"/>
        <v>5190</v>
      </c>
      <c r="AU8" s="273">
        <f t="shared" si="39"/>
        <v>0</v>
      </c>
      <c r="AV8" s="237"/>
      <c r="AW8" s="237"/>
      <c r="AX8" s="267">
        <f t="shared" si="30"/>
        <v>0.8</v>
      </c>
    </row>
    <row r="9" spans="1:52" ht="15.75" customHeight="1">
      <c r="A9" s="62">
        <v>44931</v>
      </c>
      <c r="B9" s="63">
        <v>236</v>
      </c>
      <c r="C9" s="63">
        <v>236</v>
      </c>
      <c r="D9" s="44">
        <f t="shared" si="31"/>
        <v>9</v>
      </c>
      <c r="E9" s="44">
        <f t="shared" si="9"/>
        <v>75.42</v>
      </c>
      <c r="F9" s="468">
        <v>2366</v>
      </c>
      <c r="G9" s="51">
        <f t="shared" si="0"/>
        <v>1</v>
      </c>
      <c r="H9" s="468">
        <v>52811</v>
      </c>
      <c r="I9" s="338">
        <f t="shared" si="1"/>
        <v>57</v>
      </c>
      <c r="J9" s="65">
        <f t="shared" si="11"/>
        <v>57</v>
      </c>
      <c r="K9" s="468">
        <v>2483</v>
      </c>
      <c r="L9" s="51">
        <f t="shared" si="12"/>
        <v>1</v>
      </c>
      <c r="M9" s="63">
        <v>185088</v>
      </c>
      <c r="N9" s="338">
        <f t="shared" si="2"/>
        <v>56</v>
      </c>
      <c r="O9" s="63">
        <f t="shared" si="3"/>
        <v>1869</v>
      </c>
      <c r="P9" s="468">
        <f t="shared" si="3"/>
        <v>2240</v>
      </c>
      <c r="Q9" s="468">
        <f t="shared" si="3"/>
        <v>187109</v>
      </c>
      <c r="R9" s="337">
        <f t="shared" si="4"/>
        <v>0</v>
      </c>
      <c r="S9" s="51">
        <f t="shared" si="5"/>
        <v>0</v>
      </c>
      <c r="T9" s="66">
        <f t="shared" si="32"/>
        <v>0</v>
      </c>
      <c r="U9" s="344">
        <f t="shared" si="14"/>
        <v>2</v>
      </c>
      <c r="V9" s="61">
        <f t="shared" si="15"/>
        <v>113</v>
      </c>
      <c r="W9" s="342">
        <f t="shared" si="16"/>
        <v>56.5</v>
      </c>
      <c r="X9" s="468">
        <f t="shared" si="17"/>
        <v>2498</v>
      </c>
      <c r="Y9" s="51">
        <f t="shared" si="18"/>
        <v>0</v>
      </c>
      <c r="Z9" s="468">
        <f t="shared" si="19"/>
        <v>141419</v>
      </c>
      <c r="AA9" s="64">
        <f t="shared" si="6"/>
        <v>0</v>
      </c>
      <c r="AB9" s="246">
        <f t="shared" si="33"/>
        <v>0</v>
      </c>
      <c r="AC9" s="468">
        <f t="shared" si="34"/>
        <v>1960</v>
      </c>
      <c r="AD9" s="44">
        <f t="shared" si="7"/>
        <v>0</v>
      </c>
      <c r="AE9" s="468">
        <f t="shared" si="20"/>
        <v>367780</v>
      </c>
      <c r="AF9" s="263">
        <f t="shared" si="21"/>
        <v>0</v>
      </c>
      <c r="AG9" s="196">
        <f t="shared" si="35"/>
        <v>0</v>
      </c>
      <c r="AH9" s="61">
        <f t="shared" si="36"/>
        <v>0</v>
      </c>
      <c r="AI9" s="271">
        <f t="shared" si="22"/>
        <v>113</v>
      </c>
      <c r="AJ9" s="271">
        <f>-tanks!AW10</f>
        <v>113</v>
      </c>
      <c r="AK9" s="271">
        <f t="shared" si="23"/>
        <v>0</v>
      </c>
      <c r="AL9" s="271">
        <f t="shared" si="8"/>
        <v>2</v>
      </c>
      <c r="AM9" s="271">
        <f t="shared" si="24"/>
        <v>0</v>
      </c>
      <c r="AN9" s="468">
        <f t="shared" si="25"/>
        <v>65</v>
      </c>
      <c r="AO9" s="273">
        <f t="shared" si="26"/>
        <v>1950</v>
      </c>
      <c r="AP9" s="468">
        <f t="shared" si="27"/>
        <v>35</v>
      </c>
      <c r="AQ9" s="273">
        <f t="shared" si="28"/>
        <v>1050</v>
      </c>
      <c r="AR9" s="468">
        <f t="shared" si="29"/>
        <v>73</v>
      </c>
      <c r="AS9" s="273">
        <f>(AR9/100)*3000</f>
        <v>2190</v>
      </c>
      <c r="AT9" s="273">
        <f t="shared" si="38"/>
        <v>5190</v>
      </c>
      <c r="AU9" s="273">
        <f t="shared" si="39"/>
        <v>0</v>
      </c>
      <c r="AV9" s="237"/>
      <c r="AW9" s="237"/>
      <c r="AX9" s="267">
        <f t="shared" si="30"/>
        <v>0.8</v>
      </c>
    </row>
    <row r="10" spans="1:52">
      <c r="A10" s="62">
        <v>44932</v>
      </c>
      <c r="B10" s="63">
        <v>236</v>
      </c>
      <c r="C10" s="63">
        <f>C9</f>
        <v>236</v>
      </c>
      <c r="D10" s="44">
        <f t="shared" si="31"/>
        <v>0</v>
      </c>
      <c r="E10" s="44">
        <f t="shared" si="9"/>
        <v>0</v>
      </c>
      <c r="F10" s="468">
        <v>2366</v>
      </c>
      <c r="G10" s="51">
        <f t="shared" si="0"/>
        <v>0</v>
      </c>
      <c r="H10" s="468">
        <v>52811</v>
      </c>
      <c r="I10" s="338">
        <f t="shared" si="1"/>
        <v>0</v>
      </c>
      <c r="J10" s="65">
        <f t="shared" si="11"/>
        <v>0</v>
      </c>
      <c r="K10" s="468">
        <v>2483</v>
      </c>
      <c r="L10" s="51">
        <f t="shared" si="12"/>
        <v>0</v>
      </c>
      <c r="M10" s="63">
        <v>185088</v>
      </c>
      <c r="N10" s="338">
        <f t="shared" si="2"/>
        <v>0</v>
      </c>
      <c r="O10" s="63">
        <f t="shared" si="3"/>
        <v>1869</v>
      </c>
      <c r="P10" s="468">
        <f t="shared" si="3"/>
        <v>2240</v>
      </c>
      <c r="Q10" s="468">
        <f t="shared" si="3"/>
        <v>187109</v>
      </c>
      <c r="R10" s="337">
        <f t="shared" si="4"/>
        <v>0</v>
      </c>
      <c r="S10" s="51">
        <f t="shared" si="5"/>
        <v>0</v>
      </c>
      <c r="T10" s="66">
        <f t="shared" si="32"/>
        <v>0</v>
      </c>
      <c r="U10" s="344">
        <f t="shared" si="14"/>
        <v>0</v>
      </c>
      <c r="V10" s="61">
        <f t="shared" si="15"/>
        <v>0</v>
      </c>
      <c r="W10" s="342" t="e">
        <f t="shared" si="16"/>
        <v>#DIV/0!</v>
      </c>
      <c r="X10" s="468">
        <f t="shared" si="17"/>
        <v>2498</v>
      </c>
      <c r="Y10" s="51">
        <f t="shared" si="18"/>
        <v>0</v>
      </c>
      <c r="Z10" s="468">
        <f t="shared" si="19"/>
        <v>141419</v>
      </c>
      <c r="AA10" s="64">
        <f t="shared" si="6"/>
        <v>0</v>
      </c>
      <c r="AB10" s="246">
        <f t="shared" si="33"/>
        <v>0</v>
      </c>
      <c r="AC10" s="468">
        <f t="shared" si="34"/>
        <v>1960</v>
      </c>
      <c r="AD10" s="44">
        <f t="shared" si="7"/>
        <v>0</v>
      </c>
      <c r="AE10" s="468">
        <f t="shared" si="20"/>
        <v>367780</v>
      </c>
      <c r="AF10" s="263">
        <f t="shared" si="21"/>
        <v>0</v>
      </c>
      <c r="AG10" s="196">
        <f t="shared" si="35"/>
        <v>0</v>
      </c>
      <c r="AH10" s="61">
        <f t="shared" si="36"/>
        <v>0</v>
      </c>
      <c r="AI10" s="271">
        <f>SUM(AH10+V10)</f>
        <v>0</v>
      </c>
      <c r="AJ10" s="271">
        <f>-tanks!AW11</f>
        <v>0</v>
      </c>
      <c r="AK10" s="271">
        <f t="shared" si="23"/>
        <v>0</v>
      </c>
      <c r="AL10" s="271">
        <f t="shared" si="8"/>
        <v>0</v>
      </c>
      <c r="AM10" s="271">
        <f t="shared" si="24"/>
        <v>0</v>
      </c>
      <c r="AN10" s="468">
        <f t="shared" si="25"/>
        <v>65</v>
      </c>
      <c r="AO10" s="273">
        <f t="shared" si="26"/>
        <v>1950</v>
      </c>
      <c r="AP10" s="468">
        <f t="shared" si="27"/>
        <v>35</v>
      </c>
      <c r="AQ10" s="273">
        <f t="shared" si="28"/>
        <v>1050</v>
      </c>
      <c r="AR10" s="468">
        <f t="shared" si="29"/>
        <v>73</v>
      </c>
      <c r="AS10" s="273">
        <f t="shared" si="37"/>
        <v>2190</v>
      </c>
      <c r="AT10" s="273">
        <f t="shared" si="38"/>
        <v>5190</v>
      </c>
      <c r="AU10" s="273">
        <f t="shared" si="39"/>
        <v>0</v>
      </c>
      <c r="AV10" s="237"/>
      <c r="AW10" s="237"/>
      <c r="AX10" s="267">
        <f t="shared" si="30"/>
        <v>0.8</v>
      </c>
    </row>
    <row r="11" spans="1:52">
      <c r="A11" s="62">
        <v>44933</v>
      </c>
      <c r="B11" s="63">
        <f t="shared" ref="B11:B35" si="40">B10</f>
        <v>236</v>
      </c>
      <c r="C11" s="63">
        <f t="shared" ref="C11:C35" si="41">C10</f>
        <v>236</v>
      </c>
      <c r="D11" s="44">
        <f t="shared" si="31"/>
        <v>0</v>
      </c>
      <c r="E11" s="44">
        <f t="shared" si="9"/>
        <v>0</v>
      </c>
      <c r="F11" s="468">
        <f t="shared" si="10"/>
        <v>2366</v>
      </c>
      <c r="G11" s="51">
        <f t="shared" si="0"/>
        <v>0</v>
      </c>
      <c r="H11" s="468">
        <f t="shared" ref="H11:H35" si="42">H10</f>
        <v>52811</v>
      </c>
      <c r="I11" s="338">
        <f t="shared" si="1"/>
        <v>0</v>
      </c>
      <c r="J11" s="65">
        <f t="shared" si="11"/>
        <v>0</v>
      </c>
      <c r="K11" s="468">
        <f t="shared" ref="K11:K35" si="43">K10</f>
        <v>2483</v>
      </c>
      <c r="L11" s="51">
        <f t="shared" si="12"/>
        <v>0</v>
      </c>
      <c r="M11" s="63">
        <f>M10</f>
        <v>185088</v>
      </c>
      <c r="N11" s="338">
        <f t="shared" si="2"/>
        <v>0</v>
      </c>
      <c r="O11" s="63">
        <f t="shared" si="3"/>
        <v>1869</v>
      </c>
      <c r="P11" s="468">
        <f t="shared" si="3"/>
        <v>2240</v>
      </c>
      <c r="Q11" s="468">
        <f t="shared" si="3"/>
        <v>187109</v>
      </c>
      <c r="R11" s="337">
        <f t="shared" ref="R11:R32" si="44">Q11-Q10</f>
        <v>0</v>
      </c>
      <c r="S11" s="51">
        <f t="shared" si="5"/>
        <v>0</v>
      </c>
      <c r="T11" s="66">
        <f t="shared" si="32"/>
        <v>0</v>
      </c>
      <c r="U11" s="344">
        <f t="shared" si="14"/>
        <v>0</v>
      </c>
      <c r="V11" s="61">
        <f t="shared" si="15"/>
        <v>0</v>
      </c>
      <c r="W11" s="342" t="e">
        <f t="shared" si="16"/>
        <v>#DIV/0!</v>
      </c>
      <c r="X11" s="468">
        <f t="shared" si="17"/>
        <v>2498</v>
      </c>
      <c r="Y11" s="51">
        <f t="shared" si="18"/>
        <v>0</v>
      </c>
      <c r="Z11" s="468">
        <f t="shared" si="19"/>
        <v>141419</v>
      </c>
      <c r="AA11" s="64">
        <f t="shared" si="6"/>
        <v>0</v>
      </c>
      <c r="AB11" s="246">
        <f t="shared" si="33"/>
        <v>0</v>
      </c>
      <c r="AC11" s="468">
        <f t="shared" si="34"/>
        <v>1960</v>
      </c>
      <c r="AD11" s="44">
        <f t="shared" si="7"/>
        <v>0</v>
      </c>
      <c r="AE11" s="468">
        <f t="shared" si="20"/>
        <v>367780</v>
      </c>
      <c r="AF11" s="263">
        <f t="shared" si="21"/>
        <v>0</v>
      </c>
      <c r="AG11" s="196">
        <f t="shared" si="35"/>
        <v>0</v>
      </c>
      <c r="AH11" s="61">
        <f>AF11+AA11</f>
        <v>0</v>
      </c>
      <c r="AI11" s="271">
        <f>SUM(AH11+V11)</f>
        <v>0</v>
      </c>
      <c r="AJ11" s="271">
        <f>-tanks!AW12</f>
        <v>0</v>
      </c>
      <c r="AK11" s="271">
        <f t="shared" si="23"/>
        <v>0</v>
      </c>
      <c r="AL11" s="271">
        <f t="shared" si="8"/>
        <v>0</v>
      </c>
      <c r="AM11" s="271">
        <f t="shared" si="24"/>
        <v>0</v>
      </c>
      <c r="AN11" s="468">
        <v>65</v>
      </c>
      <c r="AO11" s="273">
        <f t="shared" si="26"/>
        <v>1950</v>
      </c>
      <c r="AP11" s="468">
        <v>35</v>
      </c>
      <c r="AQ11" s="273">
        <f t="shared" si="28"/>
        <v>1050</v>
      </c>
      <c r="AR11" s="468">
        <f t="shared" si="29"/>
        <v>73</v>
      </c>
      <c r="AS11" s="273">
        <f t="shared" si="37"/>
        <v>2190</v>
      </c>
      <c r="AT11" s="273">
        <f t="shared" si="38"/>
        <v>5190</v>
      </c>
      <c r="AU11" s="273">
        <f t="shared" si="39"/>
        <v>0</v>
      </c>
      <c r="AV11" s="237"/>
      <c r="AW11" s="237"/>
      <c r="AX11" s="267">
        <f t="shared" si="30"/>
        <v>0.8</v>
      </c>
    </row>
    <row r="12" spans="1:52">
      <c r="A12" s="62">
        <v>44934</v>
      </c>
      <c r="B12" s="63">
        <v>233</v>
      </c>
      <c r="C12" s="63">
        <v>239</v>
      </c>
      <c r="D12" s="44">
        <f t="shared" si="31"/>
        <v>-3</v>
      </c>
      <c r="E12" s="44">
        <f t="shared" si="9"/>
        <v>-25.14</v>
      </c>
      <c r="F12" s="468">
        <v>2368</v>
      </c>
      <c r="G12" s="51">
        <f t="shared" si="0"/>
        <v>2</v>
      </c>
      <c r="H12" s="468">
        <v>52991</v>
      </c>
      <c r="I12" s="338">
        <f t="shared" si="1"/>
        <v>180</v>
      </c>
      <c r="J12" s="65">
        <f t="shared" si="11"/>
        <v>90</v>
      </c>
      <c r="K12" s="468">
        <f t="shared" si="43"/>
        <v>2483</v>
      </c>
      <c r="L12" s="51">
        <f t="shared" si="12"/>
        <v>0</v>
      </c>
      <c r="M12" s="63">
        <f t="shared" ref="M12:M35" si="45">M11</f>
        <v>185088</v>
      </c>
      <c r="N12" s="338">
        <f t="shared" si="2"/>
        <v>0</v>
      </c>
      <c r="O12" s="63">
        <f t="shared" si="3"/>
        <v>1869</v>
      </c>
      <c r="P12" s="468">
        <f t="shared" si="3"/>
        <v>2240</v>
      </c>
      <c r="Q12" s="468">
        <f t="shared" si="3"/>
        <v>187109</v>
      </c>
      <c r="R12" s="337">
        <f t="shared" si="44"/>
        <v>0</v>
      </c>
      <c r="S12" s="51">
        <f t="shared" si="5"/>
        <v>0</v>
      </c>
      <c r="T12" s="66">
        <f t="shared" si="32"/>
        <v>0</v>
      </c>
      <c r="U12" s="344">
        <f t="shared" si="14"/>
        <v>2</v>
      </c>
      <c r="V12" s="61">
        <f t="shared" si="15"/>
        <v>180</v>
      </c>
      <c r="W12" s="342">
        <f t="shared" si="16"/>
        <v>90</v>
      </c>
      <c r="X12" s="468">
        <f t="shared" si="17"/>
        <v>2498</v>
      </c>
      <c r="Y12" s="51">
        <f t="shared" si="18"/>
        <v>0</v>
      </c>
      <c r="Z12" s="468">
        <f t="shared" si="19"/>
        <v>141419</v>
      </c>
      <c r="AA12" s="64">
        <f t="shared" si="6"/>
        <v>0</v>
      </c>
      <c r="AB12" s="246">
        <f t="shared" si="33"/>
        <v>0</v>
      </c>
      <c r="AC12" s="468">
        <f t="shared" si="34"/>
        <v>1960</v>
      </c>
      <c r="AD12" s="44">
        <f t="shared" si="7"/>
        <v>0</v>
      </c>
      <c r="AE12" s="468">
        <f t="shared" si="20"/>
        <v>367780</v>
      </c>
      <c r="AF12" s="263">
        <f t="shared" si="21"/>
        <v>0</v>
      </c>
      <c r="AG12" s="196">
        <f t="shared" si="35"/>
        <v>0</v>
      </c>
      <c r="AH12" s="61">
        <f t="shared" si="36"/>
        <v>0</v>
      </c>
      <c r="AI12" s="271">
        <f t="shared" si="22"/>
        <v>180</v>
      </c>
      <c r="AJ12" s="271">
        <f>-tanks!AW13</f>
        <v>180</v>
      </c>
      <c r="AK12" s="271">
        <f t="shared" si="23"/>
        <v>0</v>
      </c>
      <c r="AL12" s="271">
        <f t="shared" si="8"/>
        <v>2</v>
      </c>
      <c r="AM12" s="271">
        <f t="shared" si="24"/>
        <v>0</v>
      </c>
      <c r="AN12" s="468">
        <f t="shared" si="25"/>
        <v>65</v>
      </c>
      <c r="AO12" s="273">
        <f t="shared" si="26"/>
        <v>1950</v>
      </c>
      <c r="AP12" s="468">
        <f t="shared" si="27"/>
        <v>35</v>
      </c>
      <c r="AQ12" s="273">
        <f t="shared" si="28"/>
        <v>1050</v>
      </c>
      <c r="AR12" s="468">
        <f t="shared" si="29"/>
        <v>73</v>
      </c>
      <c r="AS12" s="273">
        <f t="shared" si="37"/>
        <v>2190</v>
      </c>
      <c r="AT12" s="273">
        <f t="shared" si="38"/>
        <v>5190</v>
      </c>
      <c r="AU12" s="273">
        <f t="shared" si="39"/>
        <v>0</v>
      </c>
      <c r="AV12" s="237"/>
      <c r="AW12" s="237"/>
      <c r="AX12" s="267">
        <f t="shared" si="30"/>
        <v>0.8</v>
      </c>
    </row>
    <row r="13" spans="1:52">
      <c r="A13" s="62">
        <v>44935</v>
      </c>
      <c r="B13" s="63">
        <v>228</v>
      </c>
      <c r="C13" s="63">
        <v>234</v>
      </c>
      <c r="D13" s="44">
        <f t="shared" si="31"/>
        <v>5</v>
      </c>
      <c r="E13" s="44">
        <f t="shared" si="9"/>
        <v>41.900000000000006</v>
      </c>
      <c r="F13" s="468">
        <f t="shared" si="10"/>
        <v>2368</v>
      </c>
      <c r="G13" s="51">
        <f t="shared" si="0"/>
        <v>0</v>
      </c>
      <c r="H13" s="468">
        <f t="shared" si="42"/>
        <v>52991</v>
      </c>
      <c r="I13" s="338">
        <f t="shared" si="1"/>
        <v>0</v>
      </c>
      <c r="J13" s="65">
        <f t="shared" si="11"/>
        <v>0</v>
      </c>
      <c r="K13" s="468">
        <f t="shared" si="43"/>
        <v>2483</v>
      </c>
      <c r="L13" s="51">
        <f t="shared" si="12"/>
        <v>0</v>
      </c>
      <c r="M13" s="63">
        <f t="shared" si="45"/>
        <v>185088</v>
      </c>
      <c r="N13" s="338">
        <f t="shared" si="2"/>
        <v>0</v>
      </c>
      <c r="O13" s="63">
        <f t="shared" si="3"/>
        <v>1869</v>
      </c>
      <c r="P13" s="468">
        <v>2242</v>
      </c>
      <c r="Q13" s="468">
        <v>187316</v>
      </c>
      <c r="R13" s="337">
        <f t="shared" si="44"/>
        <v>207</v>
      </c>
      <c r="S13" s="51">
        <f t="shared" si="5"/>
        <v>2</v>
      </c>
      <c r="T13" s="66">
        <f t="shared" si="32"/>
        <v>0</v>
      </c>
      <c r="U13" s="344">
        <f t="shared" si="14"/>
        <v>2</v>
      </c>
      <c r="V13" s="61">
        <f t="shared" si="15"/>
        <v>207</v>
      </c>
      <c r="W13" s="342">
        <f t="shared" si="16"/>
        <v>103.5</v>
      </c>
      <c r="X13" s="468">
        <f t="shared" si="17"/>
        <v>2498</v>
      </c>
      <c r="Y13" s="51">
        <f t="shared" si="18"/>
        <v>0</v>
      </c>
      <c r="Z13" s="468">
        <f t="shared" si="19"/>
        <v>141419</v>
      </c>
      <c r="AA13" s="246">
        <f t="shared" si="6"/>
        <v>0</v>
      </c>
      <c r="AB13" s="246">
        <f t="shared" si="33"/>
        <v>0</v>
      </c>
      <c r="AC13" s="468">
        <v>1961</v>
      </c>
      <c r="AD13" s="44">
        <f t="shared" si="7"/>
        <v>1</v>
      </c>
      <c r="AE13" s="468">
        <v>367849.5</v>
      </c>
      <c r="AF13" s="263">
        <f t="shared" si="21"/>
        <v>69.5</v>
      </c>
      <c r="AG13" s="196">
        <f t="shared" si="35"/>
        <v>69.5</v>
      </c>
      <c r="AH13" s="61">
        <f t="shared" si="36"/>
        <v>69.5</v>
      </c>
      <c r="AI13" s="271">
        <f t="shared" si="22"/>
        <v>276.5</v>
      </c>
      <c r="AJ13" s="271">
        <f>-tanks!AW14</f>
        <v>276.5</v>
      </c>
      <c r="AK13" s="271">
        <f t="shared" si="23"/>
        <v>0</v>
      </c>
      <c r="AL13" s="271">
        <f t="shared" si="8"/>
        <v>2</v>
      </c>
      <c r="AM13" s="271">
        <f t="shared" si="24"/>
        <v>1</v>
      </c>
      <c r="AN13" s="468">
        <f t="shared" si="25"/>
        <v>65</v>
      </c>
      <c r="AO13" s="273">
        <f t="shared" si="26"/>
        <v>1950</v>
      </c>
      <c r="AP13" s="468">
        <f t="shared" si="27"/>
        <v>35</v>
      </c>
      <c r="AQ13" s="273">
        <f t="shared" si="28"/>
        <v>1050</v>
      </c>
      <c r="AR13" s="468">
        <f t="shared" si="29"/>
        <v>73</v>
      </c>
      <c r="AS13" s="273">
        <f t="shared" si="37"/>
        <v>2190</v>
      </c>
      <c r="AT13" s="273">
        <f t="shared" si="38"/>
        <v>5190</v>
      </c>
      <c r="AU13" s="273">
        <f t="shared" si="39"/>
        <v>0</v>
      </c>
      <c r="AV13" s="237"/>
      <c r="AW13" s="237"/>
      <c r="AX13" s="267">
        <f t="shared" si="30"/>
        <v>0.8</v>
      </c>
    </row>
    <row r="14" spans="1:52">
      <c r="A14" s="62">
        <v>44936</v>
      </c>
      <c r="B14" s="63">
        <v>225</v>
      </c>
      <c r="C14" s="63">
        <v>231</v>
      </c>
      <c r="D14" s="44">
        <f t="shared" si="31"/>
        <v>3</v>
      </c>
      <c r="E14" s="44">
        <f t="shared" si="9"/>
        <v>25.14</v>
      </c>
      <c r="F14" s="468">
        <f t="shared" si="10"/>
        <v>2368</v>
      </c>
      <c r="G14" s="51">
        <f t="shared" si="0"/>
        <v>0</v>
      </c>
      <c r="H14" s="468">
        <f t="shared" si="42"/>
        <v>52991</v>
      </c>
      <c r="I14" s="338">
        <f t="shared" si="1"/>
        <v>0</v>
      </c>
      <c r="J14" s="65">
        <f t="shared" si="11"/>
        <v>0</v>
      </c>
      <c r="K14" s="468">
        <f t="shared" si="43"/>
        <v>2483</v>
      </c>
      <c r="L14" s="51">
        <f t="shared" si="12"/>
        <v>0</v>
      </c>
      <c r="M14" s="63">
        <f t="shared" si="45"/>
        <v>185088</v>
      </c>
      <c r="N14" s="338">
        <f t="shared" si="2"/>
        <v>0</v>
      </c>
      <c r="O14" s="63">
        <f t="shared" si="3"/>
        <v>1869</v>
      </c>
      <c r="P14" s="468">
        <v>2243</v>
      </c>
      <c r="Q14" s="468">
        <v>187383</v>
      </c>
      <c r="R14" s="337">
        <f t="shared" si="44"/>
        <v>67</v>
      </c>
      <c r="S14" s="51">
        <f t="shared" si="5"/>
        <v>1</v>
      </c>
      <c r="T14" s="66">
        <f t="shared" si="32"/>
        <v>0</v>
      </c>
      <c r="U14" s="344">
        <f t="shared" si="14"/>
        <v>1</v>
      </c>
      <c r="V14" s="61">
        <f t="shared" si="15"/>
        <v>67</v>
      </c>
      <c r="W14" s="342">
        <f t="shared" si="16"/>
        <v>67</v>
      </c>
      <c r="X14" s="468">
        <f t="shared" si="17"/>
        <v>2498</v>
      </c>
      <c r="Y14" s="51">
        <f t="shared" si="18"/>
        <v>0</v>
      </c>
      <c r="Z14" s="468">
        <f t="shared" si="19"/>
        <v>141419</v>
      </c>
      <c r="AA14" s="64">
        <f t="shared" si="6"/>
        <v>0</v>
      </c>
      <c r="AB14" s="246">
        <f t="shared" si="33"/>
        <v>0</v>
      </c>
      <c r="AC14" s="468">
        <f t="shared" si="34"/>
        <v>1961</v>
      </c>
      <c r="AD14" s="44">
        <f t="shared" si="7"/>
        <v>0</v>
      </c>
      <c r="AE14" s="468">
        <f t="shared" si="20"/>
        <v>367849.5</v>
      </c>
      <c r="AF14" s="263">
        <f t="shared" si="21"/>
        <v>0</v>
      </c>
      <c r="AG14" s="196">
        <f t="shared" si="35"/>
        <v>0</v>
      </c>
      <c r="AH14" s="61">
        <f>AF14+AA14</f>
        <v>0</v>
      </c>
      <c r="AI14" s="271">
        <f>SUM(AH14+V14)</f>
        <v>67</v>
      </c>
      <c r="AJ14" s="271">
        <f>-tanks!AW15</f>
        <v>67</v>
      </c>
      <c r="AK14" s="271">
        <f t="shared" si="23"/>
        <v>0</v>
      </c>
      <c r="AL14" s="271">
        <f t="shared" si="8"/>
        <v>1</v>
      </c>
      <c r="AM14" s="271">
        <f t="shared" si="24"/>
        <v>0</v>
      </c>
      <c r="AN14" s="468">
        <f t="shared" si="25"/>
        <v>65</v>
      </c>
      <c r="AO14" s="273">
        <f t="shared" si="26"/>
        <v>1950</v>
      </c>
      <c r="AP14" s="468">
        <f t="shared" si="27"/>
        <v>35</v>
      </c>
      <c r="AQ14" s="273">
        <f t="shared" si="28"/>
        <v>1050</v>
      </c>
      <c r="AR14" s="468">
        <f t="shared" si="29"/>
        <v>73</v>
      </c>
      <c r="AS14" s="273">
        <f t="shared" si="37"/>
        <v>2190</v>
      </c>
      <c r="AT14" s="273">
        <f t="shared" si="38"/>
        <v>5190</v>
      </c>
      <c r="AU14" s="273">
        <f t="shared" si="39"/>
        <v>0</v>
      </c>
      <c r="AV14" s="237"/>
      <c r="AW14" s="237"/>
      <c r="AX14" s="267">
        <f t="shared" si="30"/>
        <v>0.8</v>
      </c>
    </row>
    <row r="15" spans="1:52" ht="15" customHeight="1">
      <c r="A15" s="62">
        <v>44937</v>
      </c>
      <c r="B15" s="63">
        <f t="shared" si="40"/>
        <v>225</v>
      </c>
      <c r="C15" s="63">
        <f t="shared" si="41"/>
        <v>231</v>
      </c>
      <c r="D15" s="44">
        <f t="shared" si="31"/>
        <v>0</v>
      </c>
      <c r="E15" s="44">
        <f t="shared" si="9"/>
        <v>0</v>
      </c>
      <c r="F15" s="468">
        <f t="shared" si="10"/>
        <v>2368</v>
      </c>
      <c r="G15" s="51">
        <f t="shared" si="0"/>
        <v>0</v>
      </c>
      <c r="H15" s="468">
        <f t="shared" si="42"/>
        <v>52991</v>
      </c>
      <c r="I15" s="338">
        <f t="shared" si="1"/>
        <v>0</v>
      </c>
      <c r="J15" s="65">
        <f t="shared" si="11"/>
        <v>0</v>
      </c>
      <c r="K15" s="468">
        <f t="shared" si="43"/>
        <v>2483</v>
      </c>
      <c r="L15" s="51">
        <f t="shared" si="12"/>
        <v>0</v>
      </c>
      <c r="M15" s="63">
        <f t="shared" si="45"/>
        <v>185088</v>
      </c>
      <c r="N15" s="338">
        <f t="shared" si="2"/>
        <v>0</v>
      </c>
      <c r="O15" s="63">
        <f t="shared" si="3"/>
        <v>1869</v>
      </c>
      <c r="P15" s="468">
        <f t="shared" si="3"/>
        <v>2243</v>
      </c>
      <c r="Q15" s="468">
        <f t="shared" si="3"/>
        <v>187383</v>
      </c>
      <c r="R15" s="337">
        <f t="shared" si="44"/>
        <v>0</v>
      </c>
      <c r="S15" s="51">
        <f t="shared" si="5"/>
        <v>0</v>
      </c>
      <c r="T15" s="66">
        <f t="shared" si="32"/>
        <v>0</v>
      </c>
      <c r="U15" s="344">
        <f t="shared" si="14"/>
        <v>0</v>
      </c>
      <c r="V15" s="61">
        <f t="shared" si="15"/>
        <v>0</v>
      </c>
      <c r="W15" s="342" t="e">
        <f t="shared" si="16"/>
        <v>#DIV/0!</v>
      </c>
      <c r="X15" s="468">
        <f t="shared" si="17"/>
        <v>2498</v>
      </c>
      <c r="Y15" s="51">
        <f t="shared" si="18"/>
        <v>0</v>
      </c>
      <c r="Z15" s="468">
        <f t="shared" si="19"/>
        <v>141419</v>
      </c>
      <c r="AA15" s="64">
        <f t="shared" si="6"/>
        <v>0</v>
      </c>
      <c r="AB15" s="246">
        <f t="shared" si="33"/>
        <v>0</v>
      </c>
      <c r="AC15" s="468">
        <f t="shared" si="34"/>
        <v>1961</v>
      </c>
      <c r="AD15" s="44">
        <f t="shared" si="7"/>
        <v>0</v>
      </c>
      <c r="AE15" s="468">
        <f t="shared" si="20"/>
        <v>367849.5</v>
      </c>
      <c r="AF15" s="263">
        <f t="shared" si="21"/>
        <v>0</v>
      </c>
      <c r="AG15" s="196">
        <f t="shared" si="35"/>
        <v>0</v>
      </c>
      <c r="AH15" s="61">
        <f t="shared" si="36"/>
        <v>0</v>
      </c>
      <c r="AI15" s="271">
        <f t="shared" si="22"/>
        <v>0</v>
      </c>
      <c r="AJ15" s="271">
        <f>-tanks!AW16</f>
        <v>0</v>
      </c>
      <c r="AK15" s="271">
        <f t="shared" si="23"/>
        <v>0</v>
      </c>
      <c r="AL15" s="271">
        <f t="shared" si="8"/>
        <v>0</v>
      </c>
      <c r="AM15" s="271">
        <f t="shared" si="24"/>
        <v>0</v>
      </c>
      <c r="AN15" s="468">
        <f t="shared" si="25"/>
        <v>65</v>
      </c>
      <c r="AO15" s="273">
        <f t="shared" si="26"/>
        <v>1950</v>
      </c>
      <c r="AP15" s="468">
        <f t="shared" si="27"/>
        <v>35</v>
      </c>
      <c r="AQ15" s="273">
        <f t="shared" si="28"/>
        <v>1050</v>
      </c>
      <c r="AR15" s="468">
        <f t="shared" si="29"/>
        <v>73</v>
      </c>
      <c r="AS15" s="273">
        <f t="shared" si="37"/>
        <v>2190</v>
      </c>
      <c r="AT15" s="273">
        <f t="shared" si="38"/>
        <v>5190</v>
      </c>
      <c r="AU15" s="273">
        <f t="shared" si="39"/>
        <v>0</v>
      </c>
      <c r="AV15" s="237"/>
      <c r="AW15" s="237"/>
      <c r="AX15" s="267">
        <f t="shared" si="30"/>
        <v>0.8</v>
      </c>
    </row>
    <row r="16" spans="1:52">
      <c r="A16" s="62">
        <v>44938</v>
      </c>
      <c r="B16" s="63">
        <f t="shared" si="40"/>
        <v>225</v>
      </c>
      <c r="C16" s="63">
        <f t="shared" si="41"/>
        <v>231</v>
      </c>
      <c r="D16" s="44">
        <f t="shared" si="31"/>
        <v>0</v>
      </c>
      <c r="E16" s="44">
        <f t="shared" si="9"/>
        <v>0</v>
      </c>
      <c r="F16" s="468">
        <f t="shared" si="10"/>
        <v>2368</v>
      </c>
      <c r="G16" s="51">
        <f t="shared" si="0"/>
        <v>0</v>
      </c>
      <c r="H16" s="468">
        <f t="shared" si="42"/>
        <v>52991</v>
      </c>
      <c r="I16" s="338">
        <f t="shared" si="1"/>
        <v>0</v>
      </c>
      <c r="J16" s="65">
        <f t="shared" si="11"/>
        <v>0</v>
      </c>
      <c r="K16" s="468">
        <f t="shared" si="43"/>
        <v>2483</v>
      </c>
      <c r="L16" s="51">
        <f t="shared" si="12"/>
        <v>0</v>
      </c>
      <c r="M16" s="63">
        <f t="shared" si="45"/>
        <v>185088</v>
      </c>
      <c r="N16" s="338">
        <f t="shared" si="2"/>
        <v>0</v>
      </c>
      <c r="O16" s="63">
        <f t="shared" si="3"/>
        <v>1869</v>
      </c>
      <c r="P16" s="468">
        <f t="shared" si="3"/>
        <v>2243</v>
      </c>
      <c r="Q16" s="468">
        <f t="shared" ref="Q16:Q35" si="46">Q15</f>
        <v>187383</v>
      </c>
      <c r="R16" s="337">
        <f t="shared" si="44"/>
        <v>0</v>
      </c>
      <c r="S16" s="51">
        <f t="shared" si="5"/>
        <v>0</v>
      </c>
      <c r="T16" s="66">
        <f t="shared" si="32"/>
        <v>0</v>
      </c>
      <c r="U16" s="344">
        <f t="shared" si="14"/>
        <v>0</v>
      </c>
      <c r="V16" s="61">
        <f t="shared" si="15"/>
        <v>0</v>
      </c>
      <c r="W16" s="342" t="e">
        <f t="shared" si="16"/>
        <v>#DIV/0!</v>
      </c>
      <c r="X16" s="468">
        <f t="shared" si="17"/>
        <v>2498</v>
      </c>
      <c r="Y16" s="51">
        <f t="shared" si="18"/>
        <v>0</v>
      </c>
      <c r="Z16" s="468">
        <f t="shared" si="19"/>
        <v>141419</v>
      </c>
      <c r="AA16" s="64">
        <f t="shared" si="6"/>
        <v>0</v>
      </c>
      <c r="AB16" s="246">
        <f t="shared" si="33"/>
        <v>0</v>
      </c>
      <c r="AC16" s="468">
        <f t="shared" si="34"/>
        <v>1961</v>
      </c>
      <c r="AD16" s="44">
        <f t="shared" si="7"/>
        <v>0</v>
      </c>
      <c r="AE16" s="468">
        <f t="shared" si="20"/>
        <v>367849.5</v>
      </c>
      <c r="AF16" s="263">
        <f t="shared" si="21"/>
        <v>0</v>
      </c>
      <c r="AG16" s="196">
        <f t="shared" si="35"/>
        <v>0</v>
      </c>
      <c r="AH16" s="61">
        <f t="shared" si="36"/>
        <v>0</v>
      </c>
      <c r="AI16" s="271">
        <f t="shared" si="22"/>
        <v>0</v>
      </c>
      <c r="AJ16" s="271">
        <f>-tanks!AW17</f>
        <v>0</v>
      </c>
      <c r="AK16" s="271">
        <f t="shared" si="23"/>
        <v>0</v>
      </c>
      <c r="AL16" s="271">
        <f t="shared" si="8"/>
        <v>0</v>
      </c>
      <c r="AM16" s="271">
        <f t="shared" si="24"/>
        <v>0</v>
      </c>
      <c r="AN16" s="468">
        <f t="shared" si="25"/>
        <v>65</v>
      </c>
      <c r="AO16" s="273">
        <f t="shared" si="26"/>
        <v>1950</v>
      </c>
      <c r="AP16" s="468">
        <f t="shared" si="27"/>
        <v>35</v>
      </c>
      <c r="AQ16" s="273">
        <f t="shared" si="28"/>
        <v>1050</v>
      </c>
      <c r="AR16" s="468">
        <f t="shared" si="29"/>
        <v>73</v>
      </c>
      <c r="AS16" s="273">
        <f t="shared" si="37"/>
        <v>2190</v>
      </c>
      <c r="AT16" s="273">
        <f t="shared" si="38"/>
        <v>5190</v>
      </c>
      <c r="AU16" s="273">
        <f t="shared" si="39"/>
        <v>0</v>
      </c>
      <c r="AV16" s="237"/>
      <c r="AW16" s="237"/>
      <c r="AX16" s="267">
        <f t="shared" si="30"/>
        <v>0.8</v>
      </c>
    </row>
    <row r="17" spans="1:50">
      <c r="A17" s="62">
        <v>44939</v>
      </c>
      <c r="B17" s="63">
        <f t="shared" si="40"/>
        <v>225</v>
      </c>
      <c r="C17" s="63">
        <f t="shared" si="41"/>
        <v>231</v>
      </c>
      <c r="D17" s="44">
        <f t="shared" si="31"/>
        <v>0</v>
      </c>
      <c r="E17" s="44">
        <f t="shared" si="9"/>
        <v>0</v>
      </c>
      <c r="F17" s="468">
        <f t="shared" si="10"/>
        <v>2368</v>
      </c>
      <c r="G17" s="51">
        <f t="shared" si="0"/>
        <v>0</v>
      </c>
      <c r="H17" s="468">
        <f t="shared" si="42"/>
        <v>52991</v>
      </c>
      <c r="I17" s="338">
        <f t="shared" si="1"/>
        <v>0</v>
      </c>
      <c r="J17" s="65">
        <f t="shared" si="11"/>
        <v>0</v>
      </c>
      <c r="K17" s="468">
        <f t="shared" si="43"/>
        <v>2483</v>
      </c>
      <c r="L17" s="51">
        <f t="shared" si="12"/>
        <v>0</v>
      </c>
      <c r="M17" s="63">
        <f t="shared" si="45"/>
        <v>185088</v>
      </c>
      <c r="N17" s="338">
        <f t="shared" si="2"/>
        <v>0</v>
      </c>
      <c r="O17" s="63">
        <f t="shared" si="3"/>
        <v>1869</v>
      </c>
      <c r="P17" s="468">
        <f t="shared" si="3"/>
        <v>2243</v>
      </c>
      <c r="Q17" s="468">
        <f t="shared" si="46"/>
        <v>187383</v>
      </c>
      <c r="R17" s="337">
        <f t="shared" si="44"/>
        <v>0</v>
      </c>
      <c r="S17" s="51">
        <f t="shared" si="5"/>
        <v>0</v>
      </c>
      <c r="T17" s="66">
        <f t="shared" si="32"/>
        <v>0</v>
      </c>
      <c r="U17" s="344">
        <f t="shared" si="14"/>
        <v>0</v>
      </c>
      <c r="V17" s="61">
        <f t="shared" si="15"/>
        <v>0</v>
      </c>
      <c r="W17" s="342"/>
      <c r="X17" s="468">
        <f t="shared" si="17"/>
        <v>2498</v>
      </c>
      <c r="Y17" s="51">
        <f t="shared" si="18"/>
        <v>0</v>
      </c>
      <c r="Z17" s="468">
        <f t="shared" si="19"/>
        <v>141419</v>
      </c>
      <c r="AA17" s="64">
        <f t="shared" si="6"/>
        <v>0</v>
      </c>
      <c r="AB17" s="246">
        <f t="shared" si="33"/>
        <v>0</v>
      </c>
      <c r="AC17" s="468">
        <f t="shared" si="34"/>
        <v>1961</v>
      </c>
      <c r="AD17" s="44">
        <f t="shared" si="7"/>
        <v>0</v>
      </c>
      <c r="AE17" s="468">
        <f t="shared" si="20"/>
        <v>367849.5</v>
      </c>
      <c r="AF17" s="263">
        <f t="shared" si="21"/>
        <v>0</v>
      </c>
      <c r="AG17" s="196">
        <f t="shared" si="35"/>
        <v>0</v>
      </c>
      <c r="AH17" s="61">
        <f t="shared" si="36"/>
        <v>0</v>
      </c>
      <c r="AI17" s="271">
        <f t="shared" si="22"/>
        <v>0</v>
      </c>
      <c r="AJ17" s="271">
        <f>-tanks!AW18</f>
        <v>0</v>
      </c>
      <c r="AK17" s="271">
        <f t="shared" si="23"/>
        <v>0</v>
      </c>
      <c r="AL17" s="271">
        <f t="shared" si="8"/>
        <v>0</v>
      </c>
      <c r="AM17" s="271">
        <f t="shared" si="24"/>
        <v>0</v>
      </c>
      <c r="AN17" s="468">
        <f t="shared" si="25"/>
        <v>65</v>
      </c>
      <c r="AO17" s="273">
        <f t="shared" si="26"/>
        <v>1950</v>
      </c>
      <c r="AP17" s="468">
        <f t="shared" si="27"/>
        <v>35</v>
      </c>
      <c r="AQ17" s="273">
        <f t="shared" si="28"/>
        <v>1050</v>
      </c>
      <c r="AR17" s="468">
        <f t="shared" si="29"/>
        <v>73</v>
      </c>
      <c r="AS17" s="273">
        <f t="shared" si="37"/>
        <v>2190</v>
      </c>
      <c r="AT17" s="273">
        <f t="shared" si="38"/>
        <v>5190</v>
      </c>
      <c r="AU17" s="273">
        <f t="shared" si="39"/>
        <v>0</v>
      </c>
      <c r="AV17" s="237"/>
      <c r="AW17" s="237"/>
      <c r="AX17" s="267">
        <f t="shared" si="30"/>
        <v>0.8</v>
      </c>
    </row>
    <row r="18" spans="1:50">
      <c r="A18" s="62">
        <v>44940</v>
      </c>
      <c r="B18" s="63">
        <f t="shared" si="40"/>
        <v>225</v>
      </c>
      <c r="C18" s="63">
        <f t="shared" si="41"/>
        <v>231</v>
      </c>
      <c r="D18" s="44">
        <f t="shared" si="31"/>
        <v>0</v>
      </c>
      <c r="E18" s="44">
        <f t="shared" si="9"/>
        <v>0</v>
      </c>
      <c r="F18" s="468">
        <f t="shared" si="10"/>
        <v>2368</v>
      </c>
      <c r="G18" s="51">
        <f>F18-F17</f>
        <v>0</v>
      </c>
      <c r="H18" s="468">
        <f t="shared" si="42"/>
        <v>52991</v>
      </c>
      <c r="I18" s="338">
        <f t="shared" si="1"/>
        <v>0</v>
      </c>
      <c r="J18" s="65">
        <f t="shared" si="11"/>
        <v>0</v>
      </c>
      <c r="K18" s="468">
        <f t="shared" si="43"/>
        <v>2483</v>
      </c>
      <c r="L18" s="51">
        <f t="shared" si="12"/>
        <v>0</v>
      </c>
      <c r="M18" s="63">
        <f t="shared" si="45"/>
        <v>185088</v>
      </c>
      <c r="N18" s="338">
        <f t="shared" si="2"/>
        <v>0</v>
      </c>
      <c r="O18" s="63">
        <v>1869</v>
      </c>
      <c r="P18" s="468">
        <f t="shared" ref="P18:P35" si="47">P17</f>
        <v>2243</v>
      </c>
      <c r="Q18" s="468">
        <f t="shared" si="46"/>
        <v>187383</v>
      </c>
      <c r="R18" s="337">
        <f t="shared" si="44"/>
        <v>0</v>
      </c>
      <c r="S18" s="51">
        <f t="shared" si="5"/>
        <v>0</v>
      </c>
      <c r="T18" s="66">
        <f t="shared" si="32"/>
        <v>0</v>
      </c>
      <c r="U18" s="344">
        <f t="shared" si="14"/>
        <v>0</v>
      </c>
      <c r="V18" s="61">
        <f t="shared" si="15"/>
        <v>0</v>
      </c>
      <c r="W18" s="342"/>
      <c r="X18" s="468">
        <f t="shared" si="17"/>
        <v>2498</v>
      </c>
      <c r="Y18" s="51">
        <f t="shared" si="18"/>
        <v>0</v>
      </c>
      <c r="Z18" s="468">
        <f t="shared" si="19"/>
        <v>141419</v>
      </c>
      <c r="AA18" s="64">
        <f t="shared" si="6"/>
        <v>0</v>
      </c>
      <c r="AB18" s="246">
        <f t="shared" ref="AB18:AB23" si="48">SUM(Y18*$AB$2)</f>
        <v>0</v>
      </c>
      <c r="AC18" s="468">
        <f t="shared" si="34"/>
        <v>1961</v>
      </c>
      <c r="AD18" s="44">
        <f t="shared" si="7"/>
        <v>0</v>
      </c>
      <c r="AE18" s="468">
        <f t="shared" si="20"/>
        <v>367849.5</v>
      </c>
      <c r="AF18" s="263">
        <f t="shared" si="21"/>
        <v>0</v>
      </c>
      <c r="AG18" s="196">
        <f t="shared" si="35"/>
        <v>0</v>
      </c>
      <c r="AH18" s="61">
        <f t="shared" si="36"/>
        <v>0</v>
      </c>
      <c r="AI18" s="271">
        <f t="shared" si="22"/>
        <v>0</v>
      </c>
      <c r="AJ18" s="271">
        <f>-tanks!AW19</f>
        <v>0</v>
      </c>
      <c r="AK18" s="271">
        <f t="shared" si="23"/>
        <v>0</v>
      </c>
      <c r="AL18" s="271">
        <f t="shared" si="8"/>
        <v>0</v>
      </c>
      <c r="AM18" s="271">
        <f t="shared" si="24"/>
        <v>0</v>
      </c>
      <c r="AN18" s="468">
        <f t="shared" si="25"/>
        <v>65</v>
      </c>
      <c r="AO18" s="273">
        <f t="shared" si="26"/>
        <v>1950</v>
      </c>
      <c r="AP18" s="468">
        <f t="shared" si="27"/>
        <v>35</v>
      </c>
      <c r="AQ18" s="273">
        <f t="shared" si="28"/>
        <v>1050</v>
      </c>
      <c r="AR18" s="468">
        <f t="shared" si="29"/>
        <v>73</v>
      </c>
      <c r="AS18" s="273">
        <f t="shared" si="37"/>
        <v>2190</v>
      </c>
      <c r="AT18" s="273">
        <f t="shared" si="38"/>
        <v>5190</v>
      </c>
      <c r="AU18" s="273">
        <f t="shared" si="39"/>
        <v>0</v>
      </c>
      <c r="AV18" s="237"/>
      <c r="AW18" s="237"/>
      <c r="AX18" s="267">
        <f t="shared" si="30"/>
        <v>0.8</v>
      </c>
    </row>
    <row r="19" spans="1:50">
      <c r="A19" s="62">
        <v>44941</v>
      </c>
      <c r="B19" s="63">
        <f t="shared" si="40"/>
        <v>225</v>
      </c>
      <c r="C19" s="63">
        <f t="shared" si="41"/>
        <v>231</v>
      </c>
      <c r="D19" s="44">
        <f t="shared" si="31"/>
        <v>0</v>
      </c>
      <c r="E19" s="44">
        <f t="shared" si="9"/>
        <v>0</v>
      </c>
      <c r="F19" s="468">
        <f t="shared" si="10"/>
        <v>2368</v>
      </c>
      <c r="G19" s="51">
        <f t="shared" si="0"/>
        <v>0</v>
      </c>
      <c r="H19" s="468">
        <f t="shared" si="42"/>
        <v>52991</v>
      </c>
      <c r="I19" s="338">
        <f t="shared" si="1"/>
        <v>0</v>
      </c>
      <c r="J19" s="65">
        <f t="shared" si="11"/>
        <v>0</v>
      </c>
      <c r="K19" s="468">
        <f t="shared" si="43"/>
        <v>2483</v>
      </c>
      <c r="L19" s="51">
        <f t="shared" si="12"/>
        <v>0</v>
      </c>
      <c r="M19" s="63">
        <f t="shared" si="45"/>
        <v>185088</v>
      </c>
      <c r="N19" s="338">
        <f t="shared" si="2"/>
        <v>0</v>
      </c>
      <c r="O19" s="63">
        <f t="shared" ref="O19:O35" si="49">O18</f>
        <v>1869</v>
      </c>
      <c r="P19" s="468">
        <f t="shared" si="47"/>
        <v>2243</v>
      </c>
      <c r="Q19" s="468">
        <f t="shared" si="46"/>
        <v>187383</v>
      </c>
      <c r="R19" s="337">
        <f t="shared" si="44"/>
        <v>0</v>
      </c>
      <c r="S19" s="51">
        <f t="shared" si="5"/>
        <v>0</v>
      </c>
      <c r="T19" s="66">
        <f t="shared" si="32"/>
        <v>0</v>
      </c>
      <c r="U19" s="344">
        <f t="shared" si="14"/>
        <v>0</v>
      </c>
      <c r="V19" s="61">
        <f t="shared" si="15"/>
        <v>0</v>
      </c>
      <c r="W19" s="342"/>
      <c r="X19" s="468">
        <f t="shared" si="17"/>
        <v>2498</v>
      </c>
      <c r="Y19" s="51">
        <f t="shared" si="18"/>
        <v>0</v>
      </c>
      <c r="Z19" s="468">
        <f t="shared" si="19"/>
        <v>141419</v>
      </c>
      <c r="AA19" s="64">
        <f t="shared" si="6"/>
        <v>0</v>
      </c>
      <c r="AB19" s="246">
        <f t="shared" si="48"/>
        <v>0</v>
      </c>
      <c r="AC19" s="468">
        <f t="shared" si="34"/>
        <v>1961</v>
      </c>
      <c r="AD19" s="44">
        <f t="shared" si="7"/>
        <v>0</v>
      </c>
      <c r="AE19" s="468">
        <f t="shared" si="20"/>
        <v>367849.5</v>
      </c>
      <c r="AF19" s="263">
        <f t="shared" si="21"/>
        <v>0</v>
      </c>
      <c r="AG19" s="196">
        <f t="shared" si="35"/>
        <v>0</v>
      </c>
      <c r="AH19" s="61">
        <f t="shared" si="36"/>
        <v>0</v>
      </c>
      <c r="AI19" s="271">
        <f t="shared" si="22"/>
        <v>0</v>
      </c>
      <c r="AJ19" s="271">
        <f>-tanks!AW20</f>
        <v>0</v>
      </c>
      <c r="AK19" s="271">
        <f t="shared" si="23"/>
        <v>0</v>
      </c>
      <c r="AL19" s="271">
        <f t="shared" si="8"/>
        <v>0</v>
      </c>
      <c r="AM19" s="271">
        <f t="shared" si="24"/>
        <v>0</v>
      </c>
      <c r="AN19" s="468">
        <f t="shared" si="25"/>
        <v>65</v>
      </c>
      <c r="AO19" s="273">
        <f t="shared" si="26"/>
        <v>1950</v>
      </c>
      <c r="AP19" s="468">
        <f t="shared" si="27"/>
        <v>35</v>
      </c>
      <c r="AQ19" s="273">
        <f t="shared" si="28"/>
        <v>1050</v>
      </c>
      <c r="AR19" s="468">
        <f t="shared" si="29"/>
        <v>73</v>
      </c>
      <c r="AS19" s="273">
        <f t="shared" si="37"/>
        <v>2190</v>
      </c>
      <c r="AT19" s="273">
        <f t="shared" si="38"/>
        <v>5190</v>
      </c>
      <c r="AU19" s="273">
        <f t="shared" si="39"/>
        <v>0</v>
      </c>
      <c r="AV19" s="237"/>
      <c r="AW19" s="237"/>
      <c r="AX19" s="267">
        <f t="shared" si="30"/>
        <v>0.8</v>
      </c>
    </row>
    <row r="20" spans="1:50">
      <c r="A20" s="62">
        <v>44942</v>
      </c>
      <c r="B20" s="63">
        <f t="shared" si="40"/>
        <v>225</v>
      </c>
      <c r="C20" s="63">
        <f t="shared" si="41"/>
        <v>231</v>
      </c>
      <c r="D20" s="44">
        <f>C19-C20</f>
        <v>0</v>
      </c>
      <c r="E20" s="44">
        <f t="shared" si="9"/>
        <v>0</v>
      </c>
      <c r="F20" s="468">
        <f t="shared" si="10"/>
        <v>2368</v>
      </c>
      <c r="G20" s="51">
        <f t="shared" si="0"/>
        <v>0</v>
      </c>
      <c r="H20" s="468">
        <f t="shared" si="42"/>
        <v>52991</v>
      </c>
      <c r="I20" s="338">
        <f t="shared" si="1"/>
        <v>0</v>
      </c>
      <c r="J20" s="65">
        <f t="shared" si="11"/>
        <v>0</v>
      </c>
      <c r="K20" s="468">
        <f t="shared" si="43"/>
        <v>2483</v>
      </c>
      <c r="L20" s="51">
        <f t="shared" si="12"/>
        <v>0</v>
      </c>
      <c r="M20" s="63">
        <f t="shared" si="45"/>
        <v>185088</v>
      </c>
      <c r="N20" s="338">
        <f t="shared" si="2"/>
        <v>0</v>
      </c>
      <c r="O20" s="63">
        <f t="shared" si="49"/>
        <v>1869</v>
      </c>
      <c r="P20" s="468">
        <f t="shared" si="47"/>
        <v>2243</v>
      </c>
      <c r="Q20" s="468">
        <f t="shared" si="46"/>
        <v>187383</v>
      </c>
      <c r="R20" s="337">
        <f t="shared" si="44"/>
        <v>0</v>
      </c>
      <c r="S20" s="51">
        <f t="shared" si="5"/>
        <v>0</v>
      </c>
      <c r="T20" s="66">
        <f t="shared" si="32"/>
        <v>0</v>
      </c>
      <c r="U20" s="344">
        <f t="shared" si="14"/>
        <v>0</v>
      </c>
      <c r="V20" s="61">
        <f t="shared" si="15"/>
        <v>0</v>
      </c>
      <c r="W20" s="342"/>
      <c r="X20" s="468">
        <f t="shared" si="17"/>
        <v>2498</v>
      </c>
      <c r="Y20" s="51">
        <f t="shared" si="18"/>
        <v>0</v>
      </c>
      <c r="Z20" s="468">
        <f t="shared" si="19"/>
        <v>141419</v>
      </c>
      <c r="AA20" s="64">
        <f t="shared" si="6"/>
        <v>0</v>
      </c>
      <c r="AB20" s="246">
        <f t="shared" si="48"/>
        <v>0</v>
      </c>
      <c r="AC20" s="468">
        <f t="shared" si="34"/>
        <v>1961</v>
      </c>
      <c r="AD20" s="44">
        <f t="shared" si="7"/>
        <v>0</v>
      </c>
      <c r="AE20" s="468">
        <f t="shared" si="20"/>
        <v>367849.5</v>
      </c>
      <c r="AF20" s="263">
        <f t="shared" si="21"/>
        <v>0</v>
      </c>
      <c r="AG20" s="196">
        <f t="shared" si="35"/>
        <v>0</v>
      </c>
      <c r="AH20" s="61">
        <f t="shared" si="36"/>
        <v>0</v>
      </c>
      <c r="AI20" s="271">
        <f t="shared" si="22"/>
        <v>0</v>
      </c>
      <c r="AJ20" s="271">
        <f>-tanks!AW21</f>
        <v>0</v>
      </c>
      <c r="AK20" s="271">
        <f t="shared" si="23"/>
        <v>0</v>
      </c>
      <c r="AL20" s="271">
        <f t="shared" si="8"/>
        <v>0</v>
      </c>
      <c r="AM20" s="271">
        <f t="shared" si="24"/>
        <v>0</v>
      </c>
      <c r="AN20" s="468">
        <f t="shared" si="25"/>
        <v>65</v>
      </c>
      <c r="AO20" s="273">
        <f t="shared" si="26"/>
        <v>1950</v>
      </c>
      <c r="AP20" s="468">
        <f t="shared" si="27"/>
        <v>35</v>
      </c>
      <c r="AQ20" s="273">
        <f t="shared" si="28"/>
        <v>1050</v>
      </c>
      <c r="AR20" s="468">
        <f t="shared" si="29"/>
        <v>73</v>
      </c>
      <c r="AS20" s="273">
        <f t="shared" si="37"/>
        <v>2190</v>
      </c>
      <c r="AT20" s="273">
        <f t="shared" si="38"/>
        <v>5190</v>
      </c>
      <c r="AU20" s="273">
        <f t="shared" si="39"/>
        <v>0</v>
      </c>
      <c r="AV20" s="237"/>
      <c r="AW20" s="237"/>
      <c r="AX20" s="267">
        <f t="shared" si="30"/>
        <v>0.8</v>
      </c>
    </row>
    <row r="21" spans="1:50">
      <c r="A21" s="62">
        <v>44943</v>
      </c>
      <c r="B21" s="63">
        <f t="shared" si="40"/>
        <v>225</v>
      </c>
      <c r="C21" s="63">
        <f t="shared" si="41"/>
        <v>231</v>
      </c>
      <c r="D21" s="44">
        <f t="shared" ref="D21:D32" si="50">C20-C21</f>
        <v>0</v>
      </c>
      <c r="E21" s="44">
        <f t="shared" si="9"/>
        <v>0</v>
      </c>
      <c r="F21" s="468">
        <f t="shared" si="10"/>
        <v>2368</v>
      </c>
      <c r="G21" s="51">
        <f t="shared" si="0"/>
        <v>0</v>
      </c>
      <c r="H21" s="468">
        <f t="shared" si="42"/>
        <v>52991</v>
      </c>
      <c r="I21" s="338">
        <f t="shared" si="1"/>
        <v>0</v>
      </c>
      <c r="J21" s="65">
        <f t="shared" si="11"/>
        <v>0</v>
      </c>
      <c r="K21" s="468">
        <f t="shared" si="43"/>
        <v>2483</v>
      </c>
      <c r="L21" s="51">
        <f t="shared" si="12"/>
        <v>0</v>
      </c>
      <c r="M21" s="63">
        <f t="shared" si="45"/>
        <v>185088</v>
      </c>
      <c r="N21" s="338">
        <f t="shared" si="2"/>
        <v>0</v>
      </c>
      <c r="O21" s="63">
        <f t="shared" si="49"/>
        <v>1869</v>
      </c>
      <c r="P21" s="468">
        <f t="shared" si="47"/>
        <v>2243</v>
      </c>
      <c r="Q21" s="468">
        <f t="shared" si="46"/>
        <v>187383</v>
      </c>
      <c r="R21" s="337">
        <f t="shared" si="44"/>
        <v>0</v>
      </c>
      <c r="S21" s="51">
        <f t="shared" si="5"/>
        <v>0</v>
      </c>
      <c r="T21" s="66">
        <f t="shared" si="32"/>
        <v>0</v>
      </c>
      <c r="U21" s="344">
        <f t="shared" si="14"/>
        <v>0</v>
      </c>
      <c r="V21" s="61">
        <f t="shared" si="15"/>
        <v>0</v>
      </c>
      <c r="W21" s="342"/>
      <c r="X21" s="468">
        <f t="shared" si="17"/>
        <v>2498</v>
      </c>
      <c r="Y21" s="51">
        <f t="shared" si="18"/>
        <v>0</v>
      </c>
      <c r="Z21" s="468">
        <f t="shared" si="19"/>
        <v>141419</v>
      </c>
      <c r="AA21" s="64">
        <f t="shared" si="6"/>
        <v>0</v>
      </c>
      <c r="AB21" s="246">
        <f t="shared" si="48"/>
        <v>0</v>
      </c>
      <c r="AC21" s="468">
        <f t="shared" si="34"/>
        <v>1961</v>
      </c>
      <c r="AD21" s="44">
        <f t="shared" si="7"/>
        <v>0</v>
      </c>
      <c r="AE21" s="468">
        <f t="shared" si="20"/>
        <v>367849.5</v>
      </c>
      <c r="AF21" s="263">
        <f t="shared" si="21"/>
        <v>0</v>
      </c>
      <c r="AG21" s="196">
        <f t="shared" si="35"/>
        <v>0</v>
      </c>
      <c r="AH21" s="61">
        <f t="shared" si="36"/>
        <v>0</v>
      </c>
      <c r="AI21" s="271">
        <f t="shared" si="22"/>
        <v>0</v>
      </c>
      <c r="AJ21" s="271">
        <f>-tanks!AW22</f>
        <v>0</v>
      </c>
      <c r="AK21" s="271">
        <f t="shared" si="23"/>
        <v>0</v>
      </c>
      <c r="AL21" s="271">
        <f t="shared" si="8"/>
        <v>0</v>
      </c>
      <c r="AM21" s="271">
        <f t="shared" si="24"/>
        <v>0</v>
      </c>
      <c r="AN21" s="468">
        <f t="shared" si="25"/>
        <v>65</v>
      </c>
      <c r="AO21" s="273">
        <f t="shared" si="26"/>
        <v>1950</v>
      </c>
      <c r="AP21" s="468">
        <f t="shared" si="27"/>
        <v>35</v>
      </c>
      <c r="AQ21" s="273">
        <f t="shared" si="28"/>
        <v>1050</v>
      </c>
      <c r="AR21" s="468">
        <f t="shared" si="29"/>
        <v>73</v>
      </c>
      <c r="AS21" s="273">
        <f t="shared" si="37"/>
        <v>2190</v>
      </c>
      <c r="AT21" s="273">
        <f t="shared" si="38"/>
        <v>5190</v>
      </c>
      <c r="AU21" s="273">
        <f t="shared" si="39"/>
        <v>0</v>
      </c>
      <c r="AV21" s="237"/>
      <c r="AW21" s="237"/>
      <c r="AX21" s="267">
        <f t="shared" si="30"/>
        <v>0.8</v>
      </c>
    </row>
    <row r="22" spans="1:50" ht="16.5" customHeight="1">
      <c r="A22" s="62">
        <v>44944</v>
      </c>
      <c r="B22" s="63">
        <f t="shared" si="40"/>
        <v>225</v>
      </c>
      <c r="C22" s="63">
        <f t="shared" si="41"/>
        <v>231</v>
      </c>
      <c r="D22" s="44">
        <f t="shared" si="50"/>
        <v>0</v>
      </c>
      <c r="E22" s="44">
        <f t="shared" si="9"/>
        <v>0</v>
      </c>
      <c r="F22" s="468">
        <f t="shared" si="10"/>
        <v>2368</v>
      </c>
      <c r="G22" s="51">
        <f t="shared" si="0"/>
        <v>0</v>
      </c>
      <c r="H22" s="468">
        <f t="shared" si="42"/>
        <v>52991</v>
      </c>
      <c r="I22" s="338">
        <f t="shared" si="1"/>
        <v>0</v>
      </c>
      <c r="J22" s="65">
        <f t="shared" si="11"/>
        <v>0</v>
      </c>
      <c r="K22" s="468">
        <v>2482</v>
      </c>
      <c r="L22" s="51">
        <f t="shared" si="12"/>
        <v>-1</v>
      </c>
      <c r="M22" s="63">
        <f t="shared" si="45"/>
        <v>185088</v>
      </c>
      <c r="N22" s="338">
        <f t="shared" si="2"/>
        <v>0</v>
      </c>
      <c r="O22" s="63">
        <f t="shared" si="49"/>
        <v>1869</v>
      </c>
      <c r="P22" s="468">
        <f t="shared" si="47"/>
        <v>2243</v>
      </c>
      <c r="Q22" s="468">
        <f t="shared" si="46"/>
        <v>187383</v>
      </c>
      <c r="R22" s="337">
        <f t="shared" si="44"/>
        <v>0</v>
      </c>
      <c r="S22" s="51">
        <f t="shared" si="5"/>
        <v>0</v>
      </c>
      <c r="T22" s="66">
        <f t="shared" si="32"/>
        <v>0</v>
      </c>
      <c r="U22" s="344">
        <f t="shared" si="14"/>
        <v>-1</v>
      </c>
      <c r="V22" s="61">
        <f t="shared" si="15"/>
        <v>0</v>
      </c>
      <c r="W22" s="342"/>
      <c r="X22" s="468">
        <f t="shared" si="17"/>
        <v>2498</v>
      </c>
      <c r="Y22" s="51">
        <f t="shared" si="18"/>
        <v>0</v>
      </c>
      <c r="Z22" s="468">
        <f t="shared" si="19"/>
        <v>141419</v>
      </c>
      <c r="AA22" s="64">
        <f t="shared" si="6"/>
        <v>0</v>
      </c>
      <c r="AB22" s="246">
        <f t="shared" si="48"/>
        <v>0</v>
      </c>
      <c r="AC22" s="468">
        <f t="shared" si="34"/>
        <v>1961</v>
      </c>
      <c r="AD22" s="44">
        <f t="shared" si="7"/>
        <v>0</v>
      </c>
      <c r="AE22" s="468">
        <f t="shared" si="20"/>
        <v>367849.5</v>
      </c>
      <c r="AF22" s="263">
        <f t="shared" si="21"/>
        <v>0</v>
      </c>
      <c r="AG22" s="196">
        <f t="shared" si="35"/>
        <v>0</v>
      </c>
      <c r="AH22" s="61">
        <f t="shared" si="36"/>
        <v>0</v>
      </c>
      <c r="AI22" s="271">
        <f t="shared" si="22"/>
        <v>0</v>
      </c>
      <c r="AJ22" s="271">
        <f>-tanks!AW23</f>
        <v>0</v>
      </c>
      <c r="AK22" s="271">
        <f t="shared" si="23"/>
        <v>0</v>
      </c>
      <c r="AL22" s="271">
        <f t="shared" si="8"/>
        <v>-1</v>
      </c>
      <c r="AM22" s="271">
        <f t="shared" si="24"/>
        <v>0</v>
      </c>
      <c r="AN22" s="468">
        <f t="shared" si="25"/>
        <v>65</v>
      </c>
      <c r="AO22" s="273">
        <f t="shared" si="26"/>
        <v>1950</v>
      </c>
      <c r="AP22" s="468">
        <f t="shared" si="27"/>
        <v>35</v>
      </c>
      <c r="AQ22" s="273">
        <f t="shared" si="28"/>
        <v>1050</v>
      </c>
      <c r="AR22" s="468">
        <f t="shared" si="29"/>
        <v>73</v>
      </c>
      <c r="AS22" s="273">
        <f t="shared" si="37"/>
        <v>2190</v>
      </c>
      <c r="AT22" s="273">
        <f t="shared" si="38"/>
        <v>5190</v>
      </c>
      <c r="AU22" s="273">
        <f t="shared" si="39"/>
        <v>0</v>
      </c>
      <c r="AV22" s="237"/>
      <c r="AW22" s="237"/>
      <c r="AX22" s="267">
        <f t="shared" si="30"/>
        <v>0.8</v>
      </c>
    </row>
    <row r="23" spans="1:50">
      <c r="A23" s="62">
        <v>44945</v>
      </c>
      <c r="B23" s="63">
        <f t="shared" si="40"/>
        <v>225</v>
      </c>
      <c r="C23" s="63">
        <f t="shared" si="41"/>
        <v>231</v>
      </c>
      <c r="D23" s="44">
        <f t="shared" si="50"/>
        <v>0</v>
      </c>
      <c r="E23" s="44">
        <f t="shared" si="9"/>
        <v>0</v>
      </c>
      <c r="F23" s="468">
        <f t="shared" si="10"/>
        <v>2368</v>
      </c>
      <c r="G23" s="51">
        <f t="shared" si="0"/>
        <v>0</v>
      </c>
      <c r="H23" s="468">
        <f t="shared" si="42"/>
        <v>52991</v>
      </c>
      <c r="I23" s="338">
        <f t="shared" si="1"/>
        <v>0</v>
      </c>
      <c r="J23" s="65">
        <f t="shared" si="11"/>
        <v>0</v>
      </c>
      <c r="K23" s="468">
        <f t="shared" si="43"/>
        <v>2482</v>
      </c>
      <c r="L23" s="51">
        <f t="shared" si="12"/>
        <v>0</v>
      </c>
      <c r="M23" s="63">
        <f t="shared" si="45"/>
        <v>185088</v>
      </c>
      <c r="N23" s="338">
        <f t="shared" si="2"/>
        <v>0</v>
      </c>
      <c r="O23" s="63">
        <f t="shared" si="49"/>
        <v>1869</v>
      </c>
      <c r="P23" s="468">
        <f t="shared" si="47"/>
        <v>2243</v>
      </c>
      <c r="Q23" s="468">
        <f t="shared" si="46"/>
        <v>187383</v>
      </c>
      <c r="R23" s="337">
        <f t="shared" si="44"/>
        <v>0</v>
      </c>
      <c r="S23" s="51">
        <f t="shared" si="5"/>
        <v>0</v>
      </c>
      <c r="T23" s="66">
        <f t="shared" si="32"/>
        <v>0</v>
      </c>
      <c r="U23" s="344">
        <f t="shared" si="14"/>
        <v>0</v>
      </c>
      <c r="V23" s="61">
        <f t="shared" si="15"/>
        <v>0</v>
      </c>
      <c r="W23" s="342"/>
      <c r="X23" s="468">
        <f t="shared" si="17"/>
        <v>2498</v>
      </c>
      <c r="Y23" s="51">
        <f t="shared" si="18"/>
        <v>0</v>
      </c>
      <c r="Z23" s="468">
        <f t="shared" si="19"/>
        <v>141419</v>
      </c>
      <c r="AA23" s="64">
        <f t="shared" si="6"/>
        <v>0</v>
      </c>
      <c r="AB23" s="246">
        <f t="shared" si="48"/>
        <v>0</v>
      </c>
      <c r="AC23" s="468">
        <f t="shared" si="34"/>
        <v>1961</v>
      </c>
      <c r="AD23" s="44">
        <f t="shared" si="7"/>
        <v>0</v>
      </c>
      <c r="AE23" s="468">
        <f t="shared" si="20"/>
        <v>367849.5</v>
      </c>
      <c r="AF23" s="263">
        <f t="shared" si="21"/>
        <v>0</v>
      </c>
      <c r="AG23" s="196">
        <f t="shared" si="35"/>
        <v>0</v>
      </c>
      <c r="AH23" s="61">
        <f t="shared" si="36"/>
        <v>0</v>
      </c>
      <c r="AI23" s="271">
        <f>SUM(AH23+V23)</f>
        <v>0</v>
      </c>
      <c r="AJ23" s="271">
        <f>-tanks!AW24</f>
        <v>0</v>
      </c>
      <c r="AK23" s="271">
        <f>SUM(AJ23-AI23)</f>
        <v>0</v>
      </c>
      <c r="AL23" s="271">
        <f>S23+L23+G23</f>
        <v>0</v>
      </c>
      <c r="AM23" s="271">
        <f>Y23+AD23</f>
        <v>0</v>
      </c>
      <c r="AN23" s="468">
        <f t="shared" si="25"/>
        <v>65</v>
      </c>
      <c r="AO23" s="273">
        <f t="shared" si="26"/>
        <v>1950</v>
      </c>
      <c r="AP23" s="468">
        <f t="shared" si="27"/>
        <v>35</v>
      </c>
      <c r="AQ23" s="273">
        <f t="shared" si="28"/>
        <v>1050</v>
      </c>
      <c r="AR23" s="468">
        <f t="shared" si="29"/>
        <v>73</v>
      </c>
      <c r="AS23" s="273">
        <f t="shared" si="37"/>
        <v>2190</v>
      </c>
      <c r="AT23" s="273">
        <f t="shared" si="38"/>
        <v>5190</v>
      </c>
      <c r="AU23" s="273">
        <f t="shared" si="39"/>
        <v>0</v>
      </c>
      <c r="AV23" s="237"/>
      <c r="AW23" s="237"/>
      <c r="AX23" s="267">
        <f t="shared" si="30"/>
        <v>0.8</v>
      </c>
    </row>
    <row r="24" spans="1:50">
      <c r="A24" s="62">
        <v>44946</v>
      </c>
      <c r="B24" s="63">
        <f t="shared" si="40"/>
        <v>225</v>
      </c>
      <c r="C24" s="63">
        <f t="shared" si="41"/>
        <v>231</v>
      </c>
      <c r="D24" s="44">
        <f t="shared" si="50"/>
        <v>0</v>
      </c>
      <c r="E24" s="44">
        <f t="shared" si="9"/>
        <v>0</v>
      </c>
      <c r="F24" s="468">
        <f t="shared" si="10"/>
        <v>2368</v>
      </c>
      <c r="G24" s="51">
        <f t="shared" si="0"/>
        <v>0</v>
      </c>
      <c r="H24" s="468">
        <f t="shared" si="42"/>
        <v>52991</v>
      </c>
      <c r="I24" s="338">
        <f t="shared" si="1"/>
        <v>0</v>
      </c>
      <c r="J24" s="65">
        <f t="shared" si="11"/>
        <v>0</v>
      </c>
      <c r="K24" s="468">
        <f t="shared" si="43"/>
        <v>2482</v>
      </c>
      <c r="L24" s="51">
        <f t="shared" si="12"/>
        <v>0</v>
      </c>
      <c r="M24" s="63">
        <f t="shared" si="45"/>
        <v>185088</v>
      </c>
      <c r="N24" s="338">
        <f t="shared" si="2"/>
        <v>0</v>
      </c>
      <c r="O24" s="63">
        <f t="shared" si="49"/>
        <v>1869</v>
      </c>
      <c r="P24" s="468">
        <f t="shared" si="47"/>
        <v>2243</v>
      </c>
      <c r="Q24" s="468">
        <f t="shared" si="46"/>
        <v>187383</v>
      </c>
      <c r="R24" s="337">
        <f t="shared" si="44"/>
        <v>0</v>
      </c>
      <c r="S24" s="51">
        <f t="shared" si="5"/>
        <v>0</v>
      </c>
      <c r="T24" s="66">
        <f t="shared" si="32"/>
        <v>0</v>
      </c>
      <c r="U24" s="344">
        <f t="shared" si="14"/>
        <v>0</v>
      </c>
      <c r="V24" s="61">
        <f t="shared" si="15"/>
        <v>0</v>
      </c>
      <c r="W24" s="342"/>
      <c r="X24" s="468">
        <f t="shared" si="17"/>
        <v>2498</v>
      </c>
      <c r="Y24" s="51">
        <f t="shared" si="18"/>
        <v>0</v>
      </c>
      <c r="Z24" s="468">
        <f t="shared" si="19"/>
        <v>141419</v>
      </c>
      <c r="AA24" s="64">
        <f t="shared" si="6"/>
        <v>0</v>
      </c>
      <c r="AB24" s="246">
        <f t="shared" ref="AB24:AB32" si="51">SUM(Y24*$AB$2)</f>
        <v>0</v>
      </c>
      <c r="AC24" s="468">
        <f t="shared" si="34"/>
        <v>1961</v>
      </c>
      <c r="AD24" s="44">
        <f t="shared" si="7"/>
        <v>0</v>
      </c>
      <c r="AE24" s="468">
        <f t="shared" si="20"/>
        <v>367849.5</v>
      </c>
      <c r="AF24" s="263">
        <f t="shared" si="21"/>
        <v>0</v>
      </c>
      <c r="AG24" s="196">
        <f t="shared" si="35"/>
        <v>0</v>
      </c>
      <c r="AH24" s="61">
        <f t="shared" si="36"/>
        <v>0</v>
      </c>
      <c r="AI24" s="271">
        <f t="shared" si="22"/>
        <v>0</v>
      </c>
      <c r="AJ24" s="271">
        <f>-tanks!AW25</f>
        <v>0</v>
      </c>
      <c r="AK24" s="271">
        <f t="shared" si="23"/>
        <v>0</v>
      </c>
      <c r="AL24" s="271">
        <f t="shared" si="8"/>
        <v>0</v>
      </c>
      <c r="AM24" s="271">
        <f t="shared" si="24"/>
        <v>0</v>
      </c>
      <c r="AN24" s="468">
        <f t="shared" si="25"/>
        <v>65</v>
      </c>
      <c r="AO24" s="273">
        <f t="shared" si="26"/>
        <v>1950</v>
      </c>
      <c r="AP24" s="468">
        <f t="shared" si="27"/>
        <v>35</v>
      </c>
      <c r="AQ24" s="273">
        <f t="shared" si="28"/>
        <v>1050</v>
      </c>
      <c r="AR24" s="468">
        <f t="shared" si="29"/>
        <v>73</v>
      </c>
      <c r="AS24" s="273">
        <f t="shared" si="37"/>
        <v>2190</v>
      </c>
      <c r="AT24" s="273">
        <f t="shared" ref="AT24:AT35" si="52">SUM(AO24+AQ24+AS24)</f>
        <v>5190</v>
      </c>
      <c r="AU24" s="273">
        <f t="shared" si="39"/>
        <v>0</v>
      </c>
      <c r="AV24" s="237"/>
      <c r="AW24" s="237"/>
      <c r="AX24" s="267">
        <f t="shared" si="30"/>
        <v>0.8</v>
      </c>
    </row>
    <row r="25" spans="1:50" ht="13.5" customHeight="1">
      <c r="A25" s="62">
        <v>44947</v>
      </c>
      <c r="B25" s="63">
        <f t="shared" si="40"/>
        <v>225</v>
      </c>
      <c r="C25" s="63">
        <f t="shared" si="41"/>
        <v>231</v>
      </c>
      <c r="D25" s="44">
        <f t="shared" si="50"/>
        <v>0</v>
      </c>
      <c r="E25" s="44">
        <f t="shared" si="9"/>
        <v>0</v>
      </c>
      <c r="F25" s="468">
        <f t="shared" si="10"/>
        <v>2368</v>
      </c>
      <c r="G25" s="51">
        <f t="shared" si="0"/>
        <v>0</v>
      </c>
      <c r="H25" s="468">
        <f t="shared" si="42"/>
        <v>52991</v>
      </c>
      <c r="I25" s="338">
        <f t="shared" si="1"/>
        <v>0</v>
      </c>
      <c r="J25" s="65">
        <f t="shared" si="11"/>
        <v>0</v>
      </c>
      <c r="K25" s="468">
        <f t="shared" si="43"/>
        <v>2482</v>
      </c>
      <c r="L25" s="51">
        <f t="shared" si="12"/>
        <v>0</v>
      </c>
      <c r="M25" s="63">
        <f t="shared" si="45"/>
        <v>185088</v>
      </c>
      <c r="N25" s="338">
        <f t="shared" si="2"/>
        <v>0</v>
      </c>
      <c r="O25" s="63">
        <f t="shared" si="49"/>
        <v>1869</v>
      </c>
      <c r="P25" s="468">
        <f t="shared" si="47"/>
        <v>2243</v>
      </c>
      <c r="Q25" s="468">
        <f t="shared" si="46"/>
        <v>187383</v>
      </c>
      <c r="R25" s="337">
        <f t="shared" si="44"/>
        <v>0</v>
      </c>
      <c r="S25" s="51">
        <f t="shared" si="5"/>
        <v>0</v>
      </c>
      <c r="T25" s="66">
        <f t="shared" si="32"/>
        <v>0</v>
      </c>
      <c r="U25" s="344">
        <f t="shared" si="14"/>
        <v>0</v>
      </c>
      <c r="V25" s="61">
        <f t="shared" si="15"/>
        <v>0</v>
      </c>
      <c r="W25" s="342"/>
      <c r="X25" s="468">
        <f t="shared" si="17"/>
        <v>2498</v>
      </c>
      <c r="Y25" s="51">
        <f t="shared" si="18"/>
        <v>0</v>
      </c>
      <c r="Z25" s="468">
        <f t="shared" si="19"/>
        <v>141419</v>
      </c>
      <c r="AA25" s="64">
        <f t="shared" si="6"/>
        <v>0</v>
      </c>
      <c r="AB25" s="246">
        <f t="shared" si="51"/>
        <v>0</v>
      </c>
      <c r="AC25" s="468">
        <f t="shared" si="34"/>
        <v>1961</v>
      </c>
      <c r="AD25" s="44">
        <f t="shared" si="7"/>
        <v>0</v>
      </c>
      <c r="AE25" s="468">
        <f t="shared" si="20"/>
        <v>367849.5</v>
      </c>
      <c r="AF25" s="263">
        <f t="shared" si="21"/>
        <v>0</v>
      </c>
      <c r="AG25" s="196">
        <f t="shared" si="35"/>
        <v>0</v>
      </c>
      <c r="AH25" s="61">
        <f t="shared" si="36"/>
        <v>0</v>
      </c>
      <c r="AI25" s="271">
        <f t="shared" si="22"/>
        <v>0</v>
      </c>
      <c r="AJ25" s="271">
        <f>-tanks!AW26</f>
        <v>0</v>
      </c>
      <c r="AK25" s="271">
        <f t="shared" si="23"/>
        <v>0</v>
      </c>
      <c r="AL25" s="271">
        <f t="shared" si="8"/>
        <v>0</v>
      </c>
      <c r="AM25" s="271">
        <f>Y25+AD25</f>
        <v>0</v>
      </c>
      <c r="AN25" s="468">
        <f t="shared" si="25"/>
        <v>65</v>
      </c>
      <c r="AO25" s="273">
        <f t="shared" si="26"/>
        <v>1950</v>
      </c>
      <c r="AP25" s="468">
        <f t="shared" si="27"/>
        <v>35</v>
      </c>
      <c r="AQ25" s="273">
        <f t="shared" ref="AQ25:AQ32" si="53">(AP25/100)*3000</f>
        <v>1050</v>
      </c>
      <c r="AR25" s="468">
        <f t="shared" si="29"/>
        <v>73</v>
      </c>
      <c r="AS25" s="273">
        <f t="shared" si="37"/>
        <v>2190</v>
      </c>
      <c r="AT25" s="273">
        <f t="shared" si="52"/>
        <v>5190</v>
      </c>
      <c r="AU25" s="273">
        <f t="shared" si="39"/>
        <v>0</v>
      </c>
      <c r="AV25" s="237"/>
      <c r="AW25" s="237"/>
      <c r="AX25" s="267">
        <f t="shared" si="30"/>
        <v>0.8</v>
      </c>
    </row>
    <row r="26" spans="1:50" ht="14.25" customHeight="1">
      <c r="A26" s="62">
        <v>44948</v>
      </c>
      <c r="B26" s="63">
        <f t="shared" si="40"/>
        <v>225</v>
      </c>
      <c r="C26" s="63">
        <f t="shared" si="41"/>
        <v>231</v>
      </c>
      <c r="D26" s="44">
        <f t="shared" si="50"/>
        <v>0</v>
      </c>
      <c r="E26" s="44">
        <f t="shared" si="9"/>
        <v>0</v>
      </c>
      <c r="F26" s="468">
        <f t="shared" si="10"/>
        <v>2368</v>
      </c>
      <c r="G26" s="51">
        <f t="shared" si="0"/>
        <v>0</v>
      </c>
      <c r="H26" s="468">
        <f t="shared" si="42"/>
        <v>52991</v>
      </c>
      <c r="I26" s="338">
        <f t="shared" si="1"/>
        <v>0</v>
      </c>
      <c r="J26" s="65">
        <f t="shared" si="11"/>
        <v>0</v>
      </c>
      <c r="K26" s="468">
        <f t="shared" si="43"/>
        <v>2482</v>
      </c>
      <c r="L26" s="51">
        <f t="shared" si="12"/>
        <v>0</v>
      </c>
      <c r="M26" s="63">
        <f t="shared" si="45"/>
        <v>185088</v>
      </c>
      <c r="N26" s="338">
        <f t="shared" si="2"/>
        <v>0</v>
      </c>
      <c r="O26" s="63">
        <f t="shared" si="49"/>
        <v>1869</v>
      </c>
      <c r="P26" s="468">
        <f t="shared" si="47"/>
        <v>2243</v>
      </c>
      <c r="Q26" s="468">
        <f t="shared" si="46"/>
        <v>187383</v>
      </c>
      <c r="R26" s="337">
        <f t="shared" si="44"/>
        <v>0</v>
      </c>
      <c r="S26" s="51">
        <f t="shared" si="5"/>
        <v>0</v>
      </c>
      <c r="T26" s="66">
        <f t="shared" si="32"/>
        <v>0</v>
      </c>
      <c r="U26" s="344">
        <f t="shared" si="14"/>
        <v>0</v>
      </c>
      <c r="V26" s="61">
        <f t="shared" si="15"/>
        <v>0</v>
      </c>
      <c r="W26" s="342"/>
      <c r="X26" s="468">
        <f t="shared" si="17"/>
        <v>2498</v>
      </c>
      <c r="Y26" s="51">
        <f t="shared" si="18"/>
        <v>0</v>
      </c>
      <c r="Z26" s="468">
        <f t="shared" si="19"/>
        <v>141419</v>
      </c>
      <c r="AA26" s="64">
        <f t="shared" si="6"/>
        <v>0</v>
      </c>
      <c r="AB26" s="246">
        <f t="shared" si="51"/>
        <v>0</v>
      </c>
      <c r="AC26" s="468">
        <f t="shared" si="34"/>
        <v>1961</v>
      </c>
      <c r="AD26" s="44">
        <f t="shared" si="7"/>
        <v>0</v>
      </c>
      <c r="AE26" s="468">
        <f t="shared" si="20"/>
        <v>367849.5</v>
      </c>
      <c r="AF26" s="263">
        <f t="shared" si="21"/>
        <v>0</v>
      </c>
      <c r="AG26" s="196">
        <f t="shared" si="35"/>
        <v>0</v>
      </c>
      <c r="AH26" s="61">
        <f t="shared" si="36"/>
        <v>0</v>
      </c>
      <c r="AI26" s="271">
        <f t="shared" si="22"/>
        <v>0</v>
      </c>
      <c r="AJ26" s="271">
        <f>-tanks!AW27</f>
        <v>0</v>
      </c>
      <c r="AK26" s="271">
        <f t="shared" si="23"/>
        <v>0</v>
      </c>
      <c r="AL26" s="271">
        <f t="shared" si="8"/>
        <v>0</v>
      </c>
      <c r="AM26" s="271">
        <f t="shared" si="24"/>
        <v>0</v>
      </c>
      <c r="AN26" s="468">
        <f t="shared" si="25"/>
        <v>65</v>
      </c>
      <c r="AO26" s="273">
        <f>(AN26/100)*3000</f>
        <v>1950</v>
      </c>
      <c r="AP26" s="468">
        <f t="shared" si="27"/>
        <v>35</v>
      </c>
      <c r="AQ26" s="273">
        <f t="shared" si="53"/>
        <v>1050</v>
      </c>
      <c r="AR26" s="468">
        <f t="shared" si="29"/>
        <v>73</v>
      </c>
      <c r="AS26" s="273">
        <f t="shared" si="37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0"/>
        <v>0.8</v>
      </c>
    </row>
    <row r="27" spans="1:50">
      <c r="A27" s="62">
        <v>44949</v>
      </c>
      <c r="B27" s="63">
        <f t="shared" si="40"/>
        <v>225</v>
      </c>
      <c r="C27" s="63">
        <f t="shared" si="41"/>
        <v>231</v>
      </c>
      <c r="D27" s="44">
        <f t="shared" si="50"/>
        <v>0</v>
      </c>
      <c r="E27" s="44">
        <f t="shared" si="9"/>
        <v>0</v>
      </c>
      <c r="F27" s="468">
        <f t="shared" si="10"/>
        <v>2368</v>
      </c>
      <c r="G27" s="51">
        <f t="shared" si="0"/>
        <v>0</v>
      </c>
      <c r="H27" s="468">
        <f t="shared" si="42"/>
        <v>52991</v>
      </c>
      <c r="I27" s="338">
        <f t="shared" si="1"/>
        <v>0</v>
      </c>
      <c r="J27" s="65">
        <f t="shared" si="11"/>
        <v>0</v>
      </c>
      <c r="K27" s="468">
        <f t="shared" si="43"/>
        <v>2482</v>
      </c>
      <c r="L27" s="51">
        <f t="shared" si="12"/>
        <v>0</v>
      </c>
      <c r="M27" s="63">
        <f t="shared" si="45"/>
        <v>185088</v>
      </c>
      <c r="N27" s="338">
        <f t="shared" si="2"/>
        <v>0</v>
      </c>
      <c r="O27" s="63">
        <f t="shared" si="49"/>
        <v>1869</v>
      </c>
      <c r="P27" s="468">
        <f t="shared" si="47"/>
        <v>2243</v>
      </c>
      <c r="Q27" s="468">
        <f t="shared" si="46"/>
        <v>187383</v>
      </c>
      <c r="R27" s="337">
        <f t="shared" si="44"/>
        <v>0</v>
      </c>
      <c r="S27" s="51">
        <f t="shared" si="5"/>
        <v>0</v>
      </c>
      <c r="T27" s="66">
        <f t="shared" si="32"/>
        <v>0</v>
      </c>
      <c r="U27" s="344">
        <f t="shared" si="14"/>
        <v>0</v>
      </c>
      <c r="V27" s="61">
        <f t="shared" si="15"/>
        <v>0</v>
      </c>
      <c r="W27" s="342"/>
      <c r="X27" s="468">
        <f t="shared" si="17"/>
        <v>2498</v>
      </c>
      <c r="Y27" s="51">
        <f t="shared" si="18"/>
        <v>0</v>
      </c>
      <c r="Z27" s="468">
        <f t="shared" si="19"/>
        <v>141419</v>
      </c>
      <c r="AA27" s="64">
        <f t="shared" si="6"/>
        <v>0</v>
      </c>
      <c r="AB27" s="246">
        <f t="shared" si="51"/>
        <v>0</v>
      </c>
      <c r="AC27" s="468">
        <f t="shared" si="34"/>
        <v>1961</v>
      </c>
      <c r="AD27" s="44">
        <f t="shared" si="7"/>
        <v>0</v>
      </c>
      <c r="AE27" s="468">
        <f t="shared" si="20"/>
        <v>367849.5</v>
      </c>
      <c r="AF27" s="263">
        <f t="shared" si="21"/>
        <v>0</v>
      </c>
      <c r="AG27" s="196">
        <f t="shared" si="35"/>
        <v>0</v>
      </c>
      <c r="AH27" s="61">
        <f t="shared" si="36"/>
        <v>0</v>
      </c>
      <c r="AI27" s="271">
        <f t="shared" si="22"/>
        <v>0</v>
      </c>
      <c r="AJ27" s="271">
        <f>-tanks!AW28</f>
        <v>0</v>
      </c>
      <c r="AK27" s="271">
        <f t="shared" si="23"/>
        <v>0</v>
      </c>
      <c r="AL27" s="271">
        <f t="shared" si="8"/>
        <v>0</v>
      </c>
      <c r="AM27" s="271">
        <f t="shared" si="24"/>
        <v>0</v>
      </c>
      <c r="AN27" s="468">
        <f t="shared" si="25"/>
        <v>65</v>
      </c>
      <c r="AO27" s="273">
        <f t="shared" si="26"/>
        <v>1950</v>
      </c>
      <c r="AP27" s="468">
        <f t="shared" si="27"/>
        <v>35</v>
      </c>
      <c r="AQ27" s="273">
        <f t="shared" si="53"/>
        <v>1050</v>
      </c>
      <c r="AR27" s="468">
        <f t="shared" si="29"/>
        <v>73</v>
      </c>
      <c r="AS27" s="273">
        <f t="shared" si="37"/>
        <v>2190</v>
      </c>
      <c r="AT27" s="273">
        <f t="shared" si="52"/>
        <v>5190</v>
      </c>
      <c r="AU27" s="273">
        <f t="shared" si="39"/>
        <v>0</v>
      </c>
      <c r="AV27" s="237"/>
      <c r="AW27" s="422"/>
      <c r="AX27" s="267">
        <f t="shared" si="30"/>
        <v>0.8</v>
      </c>
    </row>
    <row r="28" spans="1:50">
      <c r="A28" s="62">
        <v>44950</v>
      </c>
      <c r="B28" s="63">
        <f t="shared" si="40"/>
        <v>225</v>
      </c>
      <c r="C28" s="63">
        <f t="shared" si="41"/>
        <v>231</v>
      </c>
      <c r="D28" s="44">
        <f t="shared" si="50"/>
        <v>0</v>
      </c>
      <c r="E28" s="44">
        <f t="shared" si="9"/>
        <v>0</v>
      </c>
      <c r="F28" s="468">
        <f t="shared" si="10"/>
        <v>2368</v>
      </c>
      <c r="G28" s="51">
        <f t="shared" si="0"/>
        <v>0</v>
      </c>
      <c r="H28" s="468">
        <f t="shared" si="42"/>
        <v>52991</v>
      </c>
      <c r="I28" s="338">
        <f t="shared" si="1"/>
        <v>0</v>
      </c>
      <c r="J28" s="65">
        <f t="shared" si="11"/>
        <v>0</v>
      </c>
      <c r="K28" s="468">
        <f t="shared" si="43"/>
        <v>2482</v>
      </c>
      <c r="L28" s="51">
        <f t="shared" si="12"/>
        <v>0</v>
      </c>
      <c r="M28" s="63">
        <f t="shared" si="45"/>
        <v>185088</v>
      </c>
      <c r="N28" s="338">
        <f t="shared" si="2"/>
        <v>0</v>
      </c>
      <c r="O28" s="63">
        <f t="shared" si="49"/>
        <v>1869</v>
      </c>
      <c r="P28" s="468">
        <f t="shared" si="47"/>
        <v>2243</v>
      </c>
      <c r="Q28" s="468">
        <f t="shared" si="46"/>
        <v>187383</v>
      </c>
      <c r="R28" s="337">
        <f t="shared" si="44"/>
        <v>0</v>
      </c>
      <c r="S28" s="51">
        <f t="shared" si="5"/>
        <v>0</v>
      </c>
      <c r="T28" s="66">
        <f t="shared" si="32"/>
        <v>0</v>
      </c>
      <c r="U28" s="344">
        <f t="shared" si="14"/>
        <v>0</v>
      </c>
      <c r="V28" s="61">
        <f t="shared" si="15"/>
        <v>0</v>
      </c>
      <c r="W28" s="342"/>
      <c r="X28" s="468">
        <f t="shared" si="17"/>
        <v>2498</v>
      </c>
      <c r="Y28" s="51">
        <f t="shared" si="18"/>
        <v>0</v>
      </c>
      <c r="Z28" s="468">
        <f t="shared" si="19"/>
        <v>141419</v>
      </c>
      <c r="AA28" s="64">
        <f t="shared" si="6"/>
        <v>0</v>
      </c>
      <c r="AB28" s="246">
        <f t="shared" si="51"/>
        <v>0</v>
      </c>
      <c r="AC28" s="468">
        <f t="shared" si="34"/>
        <v>1961</v>
      </c>
      <c r="AD28" s="44">
        <f t="shared" si="7"/>
        <v>0</v>
      </c>
      <c r="AE28" s="468">
        <f t="shared" si="20"/>
        <v>367849.5</v>
      </c>
      <c r="AF28" s="263">
        <f t="shared" si="21"/>
        <v>0</v>
      </c>
      <c r="AG28" s="196">
        <f t="shared" si="35"/>
        <v>0</v>
      </c>
      <c r="AH28" s="61">
        <f t="shared" si="36"/>
        <v>0</v>
      </c>
      <c r="AI28" s="271">
        <f t="shared" si="22"/>
        <v>0</v>
      </c>
      <c r="AJ28" s="271">
        <f>-tanks!AW29</f>
        <v>0</v>
      </c>
      <c r="AK28" s="271">
        <f t="shared" si="23"/>
        <v>0</v>
      </c>
      <c r="AL28" s="271">
        <f t="shared" si="8"/>
        <v>0</v>
      </c>
      <c r="AM28" s="271">
        <f t="shared" si="24"/>
        <v>0</v>
      </c>
      <c r="AN28" s="468">
        <f t="shared" si="25"/>
        <v>65</v>
      </c>
      <c r="AO28" s="273">
        <f t="shared" si="26"/>
        <v>1950</v>
      </c>
      <c r="AP28" s="468">
        <f t="shared" si="27"/>
        <v>35</v>
      </c>
      <c r="AQ28" s="273">
        <f t="shared" si="53"/>
        <v>1050</v>
      </c>
      <c r="AR28" s="468">
        <f t="shared" si="29"/>
        <v>73</v>
      </c>
      <c r="AS28" s="273">
        <f t="shared" si="37"/>
        <v>2190</v>
      </c>
      <c r="AT28" s="273">
        <f t="shared" si="52"/>
        <v>5190</v>
      </c>
      <c r="AU28" s="273">
        <f t="shared" si="39"/>
        <v>0</v>
      </c>
      <c r="AV28" s="237"/>
      <c r="AW28" s="237"/>
      <c r="AX28" s="267">
        <f t="shared" si="30"/>
        <v>0.8</v>
      </c>
    </row>
    <row r="29" spans="1:50">
      <c r="A29" s="62">
        <v>44951</v>
      </c>
      <c r="B29" s="63">
        <f t="shared" si="40"/>
        <v>225</v>
      </c>
      <c r="C29" s="63">
        <f t="shared" si="41"/>
        <v>231</v>
      </c>
      <c r="D29" s="44">
        <f t="shared" si="50"/>
        <v>0</v>
      </c>
      <c r="E29" s="44">
        <f t="shared" si="9"/>
        <v>0</v>
      </c>
      <c r="F29" s="468">
        <f t="shared" si="10"/>
        <v>2368</v>
      </c>
      <c r="G29" s="51">
        <f t="shared" si="0"/>
        <v>0</v>
      </c>
      <c r="H29" s="468">
        <f t="shared" si="42"/>
        <v>52991</v>
      </c>
      <c r="I29" s="338">
        <f t="shared" si="1"/>
        <v>0</v>
      </c>
      <c r="J29" s="65">
        <f t="shared" si="11"/>
        <v>0</v>
      </c>
      <c r="K29" s="468">
        <f t="shared" si="43"/>
        <v>2482</v>
      </c>
      <c r="L29" s="51">
        <f t="shared" si="12"/>
        <v>0</v>
      </c>
      <c r="M29" s="63">
        <f t="shared" si="45"/>
        <v>185088</v>
      </c>
      <c r="N29" s="338">
        <f t="shared" si="2"/>
        <v>0</v>
      </c>
      <c r="O29" s="63">
        <f t="shared" si="49"/>
        <v>1869</v>
      </c>
      <c r="P29" s="468">
        <f t="shared" si="47"/>
        <v>2243</v>
      </c>
      <c r="Q29" s="468">
        <f t="shared" si="46"/>
        <v>187383</v>
      </c>
      <c r="R29" s="337">
        <f t="shared" si="44"/>
        <v>0</v>
      </c>
      <c r="S29" s="51">
        <f t="shared" si="5"/>
        <v>0</v>
      </c>
      <c r="T29" s="66">
        <f t="shared" si="32"/>
        <v>0</v>
      </c>
      <c r="U29" s="344">
        <f t="shared" si="14"/>
        <v>0</v>
      </c>
      <c r="V29" s="61">
        <f t="shared" si="15"/>
        <v>0</v>
      </c>
      <c r="W29" s="342"/>
      <c r="X29" s="468">
        <f t="shared" si="17"/>
        <v>2498</v>
      </c>
      <c r="Y29" s="51">
        <f t="shared" si="18"/>
        <v>0</v>
      </c>
      <c r="Z29" s="468">
        <f t="shared" si="19"/>
        <v>141419</v>
      </c>
      <c r="AA29" s="64">
        <f t="shared" si="6"/>
        <v>0</v>
      </c>
      <c r="AB29" s="246">
        <f t="shared" si="51"/>
        <v>0</v>
      </c>
      <c r="AC29" s="468">
        <f t="shared" si="34"/>
        <v>1961</v>
      </c>
      <c r="AD29" s="44">
        <f t="shared" si="7"/>
        <v>0</v>
      </c>
      <c r="AE29" s="468">
        <f t="shared" si="20"/>
        <v>367849.5</v>
      </c>
      <c r="AF29" s="263">
        <f t="shared" si="21"/>
        <v>0</v>
      </c>
      <c r="AG29" s="196">
        <f t="shared" si="35"/>
        <v>0</v>
      </c>
      <c r="AH29" s="61">
        <f t="shared" si="36"/>
        <v>0</v>
      </c>
      <c r="AI29" s="271">
        <f t="shared" si="22"/>
        <v>0</v>
      </c>
      <c r="AJ29" s="271">
        <f>-tanks!AW30</f>
        <v>0</v>
      </c>
      <c r="AK29" s="271">
        <f t="shared" si="23"/>
        <v>0</v>
      </c>
      <c r="AL29" s="271">
        <f t="shared" si="8"/>
        <v>0</v>
      </c>
      <c r="AM29" s="271">
        <f t="shared" si="24"/>
        <v>0</v>
      </c>
      <c r="AN29" s="468">
        <f t="shared" si="25"/>
        <v>65</v>
      </c>
      <c r="AO29" s="273">
        <f t="shared" si="26"/>
        <v>1950</v>
      </c>
      <c r="AP29" s="468">
        <f t="shared" si="27"/>
        <v>35</v>
      </c>
      <c r="AQ29" s="273">
        <f t="shared" si="53"/>
        <v>1050</v>
      </c>
      <c r="AR29" s="468">
        <f t="shared" si="29"/>
        <v>73</v>
      </c>
      <c r="AS29" s="273">
        <f t="shared" si="37"/>
        <v>2190</v>
      </c>
      <c r="AT29" s="273">
        <f t="shared" si="52"/>
        <v>5190</v>
      </c>
      <c r="AU29" s="273">
        <f t="shared" si="39"/>
        <v>0</v>
      </c>
      <c r="AV29" s="237"/>
      <c r="AW29" s="237"/>
      <c r="AX29" s="267">
        <f t="shared" si="30"/>
        <v>0.8</v>
      </c>
    </row>
    <row r="30" spans="1:50">
      <c r="A30" s="62">
        <v>44952</v>
      </c>
      <c r="B30" s="63">
        <f t="shared" si="40"/>
        <v>225</v>
      </c>
      <c r="C30" s="63">
        <f t="shared" si="41"/>
        <v>231</v>
      </c>
      <c r="D30" s="44">
        <f>C29-C30</f>
        <v>0</v>
      </c>
      <c r="E30" s="44">
        <f>D30*8.38</f>
        <v>0</v>
      </c>
      <c r="F30" s="468">
        <f t="shared" si="10"/>
        <v>2368</v>
      </c>
      <c r="G30" s="51">
        <f>F30-F29</f>
        <v>0</v>
      </c>
      <c r="H30" s="468">
        <f t="shared" si="42"/>
        <v>52991</v>
      </c>
      <c r="I30" s="338">
        <f t="shared" si="1"/>
        <v>0</v>
      </c>
      <c r="J30" s="65">
        <f>IF(G30&gt;0,I30/G30,0)</f>
        <v>0</v>
      </c>
      <c r="K30" s="468">
        <f t="shared" si="43"/>
        <v>2482</v>
      </c>
      <c r="L30" s="51">
        <f>K30-K29</f>
        <v>0</v>
      </c>
      <c r="M30" s="63">
        <f t="shared" si="45"/>
        <v>185088</v>
      </c>
      <c r="N30" s="338">
        <f>M30-M29</f>
        <v>0</v>
      </c>
      <c r="O30" s="63">
        <f t="shared" si="49"/>
        <v>1869</v>
      </c>
      <c r="P30" s="468">
        <f t="shared" si="47"/>
        <v>2243</v>
      </c>
      <c r="Q30" s="468">
        <f t="shared" si="46"/>
        <v>187383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5"/>
        <v>0</v>
      </c>
      <c r="W30" s="342"/>
      <c r="X30" s="468">
        <f t="shared" si="17"/>
        <v>2498</v>
      </c>
      <c r="Y30" s="51">
        <f>X30-X29</f>
        <v>0</v>
      </c>
      <c r="Z30" s="468">
        <f t="shared" si="19"/>
        <v>141419</v>
      </c>
      <c r="AA30" s="64">
        <f>Z30-Z29</f>
        <v>0</v>
      </c>
      <c r="AB30" s="246">
        <f>SUM(Y30*$AB$2)</f>
        <v>0</v>
      </c>
      <c r="AC30" s="468">
        <f t="shared" si="34"/>
        <v>1961</v>
      </c>
      <c r="AD30" s="237">
        <f>AC30-AC29</f>
        <v>0</v>
      </c>
      <c r="AE30" s="468">
        <f t="shared" si="20"/>
        <v>367849.5</v>
      </c>
      <c r="AF30" s="263">
        <f>AE30-AE29</f>
        <v>0</v>
      </c>
      <c r="AG30" s="196">
        <f t="shared" si="35"/>
        <v>0</v>
      </c>
      <c r="AH30" s="61">
        <f t="shared" si="36"/>
        <v>0</v>
      </c>
      <c r="AI30" s="271">
        <f t="shared" si="22"/>
        <v>0</v>
      </c>
      <c r="AJ30" s="271">
        <f>-tanks!AW31</f>
        <v>0</v>
      </c>
      <c r="AK30" s="271">
        <f t="shared" si="23"/>
        <v>0</v>
      </c>
      <c r="AL30" s="271">
        <f t="shared" si="8"/>
        <v>0</v>
      </c>
      <c r="AM30" s="271">
        <f t="shared" si="24"/>
        <v>0</v>
      </c>
      <c r="AN30" s="468">
        <f t="shared" si="25"/>
        <v>65</v>
      </c>
      <c r="AO30" s="273">
        <f t="shared" si="26"/>
        <v>1950</v>
      </c>
      <c r="AP30" s="468">
        <f t="shared" si="27"/>
        <v>35</v>
      </c>
      <c r="AQ30" s="273">
        <f t="shared" si="53"/>
        <v>1050</v>
      </c>
      <c r="AR30" s="468">
        <f t="shared" si="29"/>
        <v>73</v>
      </c>
      <c r="AS30" s="273">
        <f t="shared" si="37"/>
        <v>2190</v>
      </c>
      <c r="AT30" s="273">
        <f t="shared" si="52"/>
        <v>5190</v>
      </c>
      <c r="AU30" s="273">
        <f t="shared" si="39"/>
        <v>0</v>
      </c>
      <c r="AV30" s="237"/>
      <c r="AW30" s="237"/>
      <c r="AX30" s="267">
        <f t="shared" si="30"/>
        <v>0.8</v>
      </c>
    </row>
    <row r="31" spans="1:50">
      <c r="A31" s="62">
        <v>44953</v>
      </c>
      <c r="B31" s="63">
        <f t="shared" si="40"/>
        <v>225</v>
      </c>
      <c r="C31" s="63">
        <f t="shared" si="41"/>
        <v>231</v>
      </c>
      <c r="D31" s="44">
        <f t="shared" si="50"/>
        <v>0</v>
      </c>
      <c r="E31" s="44">
        <f t="shared" si="9"/>
        <v>0</v>
      </c>
      <c r="F31" s="468">
        <f t="shared" si="10"/>
        <v>2368</v>
      </c>
      <c r="G31" s="51">
        <f t="shared" si="0"/>
        <v>0</v>
      </c>
      <c r="H31" s="468">
        <f t="shared" si="42"/>
        <v>52991</v>
      </c>
      <c r="I31" s="338">
        <f t="shared" si="1"/>
        <v>0</v>
      </c>
      <c r="J31" s="65">
        <f t="shared" si="11"/>
        <v>0</v>
      </c>
      <c r="K31" s="468">
        <v>2482</v>
      </c>
      <c r="L31" s="51">
        <f t="shared" si="12"/>
        <v>0</v>
      </c>
      <c r="M31" s="63">
        <f t="shared" si="45"/>
        <v>185088</v>
      </c>
      <c r="N31" s="338">
        <f t="shared" si="2"/>
        <v>0</v>
      </c>
      <c r="O31" s="63">
        <f t="shared" si="49"/>
        <v>1869</v>
      </c>
      <c r="P31" s="468">
        <f t="shared" si="47"/>
        <v>2243</v>
      </c>
      <c r="Q31" s="468">
        <f t="shared" si="46"/>
        <v>187383</v>
      </c>
      <c r="R31" s="337">
        <f t="shared" si="44"/>
        <v>0</v>
      </c>
      <c r="S31" s="51">
        <f t="shared" si="5"/>
        <v>0</v>
      </c>
      <c r="T31" s="66">
        <f t="shared" si="32"/>
        <v>0</v>
      </c>
      <c r="U31" s="344">
        <f t="shared" si="14"/>
        <v>0</v>
      </c>
      <c r="V31" s="61">
        <f t="shared" si="15"/>
        <v>0</v>
      </c>
      <c r="W31" s="342"/>
      <c r="X31" s="468">
        <f t="shared" si="17"/>
        <v>2498</v>
      </c>
      <c r="Y31" s="51">
        <f t="shared" si="18"/>
        <v>0</v>
      </c>
      <c r="Z31" s="468">
        <f t="shared" si="19"/>
        <v>141419</v>
      </c>
      <c r="AA31" s="64">
        <f t="shared" si="6"/>
        <v>0</v>
      </c>
      <c r="AB31" s="246">
        <f t="shared" si="51"/>
        <v>0</v>
      </c>
      <c r="AC31" s="468">
        <f t="shared" si="34"/>
        <v>1961</v>
      </c>
      <c r="AD31" s="237">
        <f t="shared" si="7"/>
        <v>0</v>
      </c>
      <c r="AE31" s="468">
        <f t="shared" si="20"/>
        <v>367849.5</v>
      </c>
      <c r="AF31" s="263">
        <f t="shared" si="21"/>
        <v>0</v>
      </c>
      <c r="AG31" s="196">
        <f t="shared" si="35"/>
        <v>0</v>
      </c>
      <c r="AH31" s="61">
        <f t="shared" si="36"/>
        <v>0</v>
      </c>
      <c r="AI31" s="271">
        <f t="shared" si="22"/>
        <v>0</v>
      </c>
      <c r="AJ31" s="271">
        <f>-tanks!AW32</f>
        <v>0</v>
      </c>
      <c r="AK31" s="271">
        <f t="shared" si="23"/>
        <v>0</v>
      </c>
      <c r="AL31" s="271">
        <f t="shared" si="8"/>
        <v>0</v>
      </c>
      <c r="AM31" s="271">
        <f t="shared" si="24"/>
        <v>0</v>
      </c>
      <c r="AN31" s="468">
        <f t="shared" si="25"/>
        <v>65</v>
      </c>
      <c r="AO31" s="273">
        <f t="shared" si="26"/>
        <v>1950</v>
      </c>
      <c r="AP31" s="468">
        <f t="shared" si="27"/>
        <v>35</v>
      </c>
      <c r="AQ31" s="273">
        <f t="shared" si="53"/>
        <v>1050</v>
      </c>
      <c r="AR31" s="468">
        <f t="shared" si="29"/>
        <v>73</v>
      </c>
      <c r="AS31" s="273">
        <f t="shared" si="37"/>
        <v>2190</v>
      </c>
      <c r="AT31" s="273">
        <f t="shared" si="52"/>
        <v>5190</v>
      </c>
      <c r="AU31" s="273">
        <f t="shared" si="39"/>
        <v>0</v>
      </c>
      <c r="AV31" s="237"/>
      <c r="AW31" s="237"/>
      <c r="AX31" s="267">
        <f t="shared" si="30"/>
        <v>0.8</v>
      </c>
    </row>
    <row r="32" spans="1:50">
      <c r="A32" s="62">
        <v>44954</v>
      </c>
      <c r="B32" s="63">
        <f t="shared" si="40"/>
        <v>225</v>
      </c>
      <c r="C32" s="63">
        <f t="shared" si="41"/>
        <v>231</v>
      </c>
      <c r="D32" s="44">
        <f t="shared" si="50"/>
        <v>0</v>
      </c>
      <c r="E32" s="44">
        <f t="shared" si="9"/>
        <v>0</v>
      </c>
      <c r="F32" s="468">
        <f t="shared" si="10"/>
        <v>2368</v>
      </c>
      <c r="G32" s="51">
        <f t="shared" si="0"/>
        <v>0</v>
      </c>
      <c r="H32" s="468">
        <f t="shared" si="42"/>
        <v>52991</v>
      </c>
      <c r="I32" s="338">
        <f t="shared" si="1"/>
        <v>0</v>
      </c>
      <c r="J32" s="65">
        <f t="shared" si="11"/>
        <v>0</v>
      </c>
      <c r="K32" s="468">
        <f t="shared" si="43"/>
        <v>2482</v>
      </c>
      <c r="L32" s="51">
        <f t="shared" si="12"/>
        <v>0</v>
      </c>
      <c r="M32" s="63">
        <f t="shared" si="45"/>
        <v>185088</v>
      </c>
      <c r="N32" s="338">
        <f t="shared" si="2"/>
        <v>0</v>
      </c>
      <c r="O32" s="63">
        <f t="shared" si="49"/>
        <v>1869</v>
      </c>
      <c r="P32" s="468">
        <f t="shared" si="47"/>
        <v>2243</v>
      </c>
      <c r="Q32" s="468">
        <f t="shared" si="46"/>
        <v>187383</v>
      </c>
      <c r="R32" s="337">
        <f t="shared" si="44"/>
        <v>0</v>
      </c>
      <c r="S32" s="51">
        <f t="shared" si="5"/>
        <v>0</v>
      </c>
      <c r="T32" s="66">
        <f t="shared" si="32"/>
        <v>0</v>
      </c>
      <c r="U32" s="344">
        <f t="shared" si="14"/>
        <v>0</v>
      </c>
      <c r="V32" s="61">
        <f t="shared" si="15"/>
        <v>0</v>
      </c>
      <c r="W32" s="342"/>
      <c r="X32" s="468">
        <f t="shared" si="17"/>
        <v>2498</v>
      </c>
      <c r="Y32" s="51">
        <f t="shared" si="18"/>
        <v>0</v>
      </c>
      <c r="Z32" s="468">
        <f t="shared" si="19"/>
        <v>141419</v>
      </c>
      <c r="AA32" s="64">
        <f t="shared" si="6"/>
        <v>0</v>
      </c>
      <c r="AB32" s="246">
        <f t="shared" si="51"/>
        <v>0</v>
      </c>
      <c r="AC32" s="468">
        <f t="shared" si="34"/>
        <v>1961</v>
      </c>
      <c r="AD32" s="237">
        <f t="shared" si="7"/>
        <v>0</v>
      </c>
      <c r="AE32" s="468">
        <f t="shared" si="20"/>
        <v>367849.5</v>
      </c>
      <c r="AF32" s="263">
        <f t="shared" si="21"/>
        <v>0</v>
      </c>
      <c r="AG32" s="196">
        <f t="shared" si="35"/>
        <v>0</v>
      </c>
      <c r="AH32" s="61">
        <f t="shared" si="36"/>
        <v>0</v>
      </c>
      <c r="AI32" s="271">
        <f t="shared" si="22"/>
        <v>0</v>
      </c>
      <c r="AJ32" s="271">
        <f>-tanks!AW33</f>
        <v>0</v>
      </c>
      <c r="AK32" s="271">
        <f t="shared" si="23"/>
        <v>0</v>
      </c>
      <c r="AL32" s="271">
        <f t="shared" si="8"/>
        <v>0</v>
      </c>
      <c r="AM32" s="271">
        <f t="shared" si="24"/>
        <v>0</v>
      </c>
      <c r="AN32" s="468">
        <f t="shared" si="25"/>
        <v>65</v>
      </c>
      <c r="AO32" s="273">
        <f t="shared" si="26"/>
        <v>1950</v>
      </c>
      <c r="AP32" s="468">
        <f t="shared" si="27"/>
        <v>35</v>
      </c>
      <c r="AQ32" s="273">
        <f t="shared" si="53"/>
        <v>1050</v>
      </c>
      <c r="AR32" s="468">
        <f t="shared" si="29"/>
        <v>73</v>
      </c>
      <c r="AS32" s="273">
        <f t="shared" si="37"/>
        <v>2190</v>
      </c>
      <c r="AT32" s="273">
        <f t="shared" si="52"/>
        <v>5190</v>
      </c>
      <c r="AU32" s="273">
        <f t="shared" si="39"/>
        <v>0</v>
      </c>
      <c r="AV32" s="237"/>
      <c r="AW32" s="237"/>
      <c r="AX32" s="267">
        <f t="shared" si="30"/>
        <v>0.8</v>
      </c>
    </row>
    <row r="33" spans="1:50">
      <c r="A33" s="62">
        <v>44955</v>
      </c>
      <c r="B33" s="63">
        <f t="shared" si="40"/>
        <v>225</v>
      </c>
      <c r="C33" s="63">
        <f t="shared" si="41"/>
        <v>231</v>
      </c>
      <c r="D33" s="44">
        <f t="shared" ref="D33:D35" si="54">C32-C33</f>
        <v>0</v>
      </c>
      <c r="E33" s="44">
        <f t="shared" ref="E33:E35" si="55">D33*8.38</f>
        <v>0</v>
      </c>
      <c r="F33" s="468">
        <f t="shared" si="10"/>
        <v>2368</v>
      </c>
      <c r="G33" s="51">
        <f t="shared" ref="G33:G35" si="56">F33-F32</f>
        <v>0</v>
      </c>
      <c r="H33" s="468">
        <f t="shared" si="42"/>
        <v>52991</v>
      </c>
      <c r="I33" s="338">
        <f t="shared" ref="I33:I35" si="57">SUM(H33-H32)</f>
        <v>0</v>
      </c>
      <c r="J33" s="65">
        <f t="shared" ref="J33:J35" si="58">IF(G33&gt;0,I33/G33,0)</f>
        <v>0</v>
      </c>
      <c r="K33" s="468">
        <f t="shared" si="43"/>
        <v>2482</v>
      </c>
      <c r="L33" s="51">
        <f t="shared" ref="L33:L35" si="59">K33-K32</f>
        <v>0</v>
      </c>
      <c r="M33" s="63">
        <f t="shared" si="45"/>
        <v>185088</v>
      </c>
      <c r="N33" s="338">
        <f t="shared" ref="N33:N35" si="60">M33-M32</f>
        <v>0</v>
      </c>
      <c r="O33" s="63">
        <f t="shared" si="49"/>
        <v>1869</v>
      </c>
      <c r="P33" s="468">
        <f t="shared" si="47"/>
        <v>2243</v>
      </c>
      <c r="Q33" s="468">
        <f t="shared" si="46"/>
        <v>187383</v>
      </c>
      <c r="R33" s="337">
        <f t="shared" ref="R33:R35" si="61">Q33-Q32</f>
        <v>0</v>
      </c>
      <c r="S33" s="51">
        <f t="shared" ref="S33:S35" si="62">SUM(P33-P32)</f>
        <v>0</v>
      </c>
      <c r="T33" s="66">
        <f t="shared" ref="T33:T35" si="63">SUM(S33*$T$2)</f>
        <v>0</v>
      </c>
      <c r="U33" s="344">
        <f t="shared" ref="U33:U35" si="64">SUM(G33+L33+S33)</f>
        <v>0</v>
      </c>
      <c r="V33" s="61">
        <f t="shared" ref="V33:V35" si="65">R33+N33+I33:I33</f>
        <v>0</v>
      </c>
      <c r="W33" s="342"/>
      <c r="X33" s="468">
        <f t="shared" si="17"/>
        <v>2498</v>
      </c>
      <c r="Y33" s="51">
        <f t="shared" ref="Y33:Y35" si="66">X33-X32</f>
        <v>0</v>
      </c>
      <c r="Z33" s="468">
        <f t="shared" si="19"/>
        <v>141419</v>
      </c>
      <c r="AA33" s="64">
        <f t="shared" ref="AA33:AA35" si="67">Z33-Z32</f>
        <v>0</v>
      </c>
      <c r="AB33" s="246">
        <f t="shared" ref="AB33:AB35" si="68">SUM(Y33*$AB$2)</f>
        <v>0</v>
      </c>
      <c r="AC33" s="468">
        <f t="shared" si="34"/>
        <v>1961</v>
      </c>
      <c r="AD33" s="237">
        <f t="shared" ref="AD33:AD35" si="69">AC33-AC32</f>
        <v>0</v>
      </c>
      <c r="AE33" s="468">
        <f t="shared" si="20"/>
        <v>367849.5</v>
      </c>
      <c r="AF33" s="263">
        <f t="shared" ref="AF33:AF35" si="70">AE33-AE32</f>
        <v>0</v>
      </c>
      <c r="AG33" s="196">
        <f t="shared" ref="AG33:AG35" si="71">IF(AD33&gt;0,AF33/AD33,0)</f>
        <v>0</v>
      </c>
      <c r="AH33" s="61">
        <f t="shared" ref="AH33:AH35" si="72">AF33+AA33</f>
        <v>0</v>
      </c>
      <c r="AI33" s="271">
        <f t="shared" ref="AI33:AI35" si="73">SUM(AH33+V33)</f>
        <v>0</v>
      </c>
      <c r="AJ33" s="271">
        <f>-tanks!AW34</f>
        <v>0</v>
      </c>
      <c r="AK33" s="271">
        <f t="shared" ref="AK33:AK35" si="74">SUM(AJ33-AI33)</f>
        <v>0</v>
      </c>
      <c r="AL33" s="271">
        <f t="shared" ref="AL33:AL35" si="75">S33+L33+G33</f>
        <v>0</v>
      </c>
      <c r="AM33" s="271">
        <f t="shared" ref="AM33:AM35" si="76">Y33+AD33</f>
        <v>0</v>
      </c>
      <c r="AN33" s="468">
        <f t="shared" si="25"/>
        <v>65</v>
      </c>
      <c r="AO33" s="273">
        <f t="shared" si="26"/>
        <v>1950</v>
      </c>
      <c r="AP33" s="468">
        <f t="shared" si="27"/>
        <v>35</v>
      </c>
      <c r="AQ33" s="273">
        <f t="shared" ref="AQ33:AQ35" si="77">(AP33/100)*3000</f>
        <v>1050</v>
      </c>
      <c r="AR33" s="468">
        <f t="shared" si="29"/>
        <v>73</v>
      </c>
      <c r="AS33" s="273">
        <f t="shared" si="37"/>
        <v>2190</v>
      </c>
      <c r="AT33" s="273">
        <f t="shared" si="52"/>
        <v>5190</v>
      </c>
      <c r="AU33" s="273">
        <f t="shared" si="39"/>
        <v>0</v>
      </c>
      <c r="AV33" s="237"/>
      <c r="AW33" s="237"/>
      <c r="AX33" s="267">
        <f t="shared" ref="AX33:AX35" si="78">IF(AV33&gt;0,AW33,AX32)</f>
        <v>0.8</v>
      </c>
    </row>
    <row r="34" spans="1:50">
      <c r="A34" s="62">
        <v>44956</v>
      </c>
      <c r="B34" s="63">
        <f t="shared" si="40"/>
        <v>225</v>
      </c>
      <c r="C34" s="63">
        <f t="shared" si="41"/>
        <v>231</v>
      </c>
      <c r="D34" s="44">
        <f t="shared" si="54"/>
        <v>0</v>
      </c>
      <c r="E34" s="44">
        <f t="shared" si="55"/>
        <v>0</v>
      </c>
      <c r="F34" s="468">
        <f t="shared" si="10"/>
        <v>2368</v>
      </c>
      <c r="G34" s="51">
        <f t="shared" si="56"/>
        <v>0</v>
      </c>
      <c r="H34" s="468">
        <f t="shared" si="42"/>
        <v>52991</v>
      </c>
      <c r="I34" s="338">
        <f t="shared" si="57"/>
        <v>0</v>
      </c>
      <c r="J34" s="65">
        <f t="shared" si="58"/>
        <v>0</v>
      </c>
      <c r="K34" s="468">
        <f t="shared" si="43"/>
        <v>2482</v>
      </c>
      <c r="L34" s="51">
        <f t="shared" si="59"/>
        <v>0</v>
      </c>
      <c r="M34" s="63">
        <f t="shared" si="45"/>
        <v>185088</v>
      </c>
      <c r="N34" s="338">
        <f t="shared" si="60"/>
        <v>0</v>
      </c>
      <c r="O34" s="63">
        <f t="shared" si="49"/>
        <v>1869</v>
      </c>
      <c r="P34" s="468">
        <f t="shared" si="47"/>
        <v>2243</v>
      </c>
      <c r="Q34" s="468">
        <v>187109</v>
      </c>
      <c r="R34" s="337">
        <f t="shared" si="61"/>
        <v>-274</v>
      </c>
      <c r="S34" s="51">
        <f t="shared" si="62"/>
        <v>0</v>
      </c>
      <c r="T34" s="66">
        <f t="shared" si="63"/>
        <v>0</v>
      </c>
      <c r="U34" s="344">
        <f t="shared" si="64"/>
        <v>0</v>
      </c>
      <c r="V34" s="61">
        <f t="shared" si="65"/>
        <v>-274</v>
      </c>
      <c r="W34" s="342"/>
      <c r="X34" s="468">
        <f t="shared" si="17"/>
        <v>2498</v>
      </c>
      <c r="Y34" s="51">
        <f t="shared" si="66"/>
        <v>0</v>
      </c>
      <c r="Z34" s="468">
        <f t="shared" si="19"/>
        <v>141419</v>
      </c>
      <c r="AA34" s="64">
        <f t="shared" si="67"/>
        <v>0</v>
      </c>
      <c r="AB34" s="246">
        <f t="shared" si="68"/>
        <v>0</v>
      </c>
      <c r="AC34" s="468">
        <f t="shared" si="34"/>
        <v>1961</v>
      </c>
      <c r="AD34" s="237">
        <f t="shared" si="69"/>
        <v>0</v>
      </c>
      <c r="AE34" s="468">
        <f t="shared" si="20"/>
        <v>367849.5</v>
      </c>
      <c r="AF34" s="263">
        <f t="shared" si="70"/>
        <v>0</v>
      </c>
      <c r="AG34" s="196">
        <f t="shared" si="71"/>
        <v>0</v>
      </c>
      <c r="AH34" s="61">
        <f t="shared" si="72"/>
        <v>0</v>
      </c>
      <c r="AI34" s="271">
        <f t="shared" si="73"/>
        <v>-274</v>
      </c>
      <c r="AJ34" s="271">
        <f>-tanks!AW35</f>
        <v>-274</v>
      </c>
      <c r="AK34" s="271">
        <f t="shared" si="74"/>
        <v>0</v>
      </c>
      <c r="AL34" s="271">
        <f t="shared" si="75"/>
        <v>0</v>
      </c>
      <c r="AM34" s="271">
        <f t="shared" si="76"/>
        <v>0</v>
      </c>
      <c r="AN34" s="468">
        <f t="shared" si="25"/>
        <v>65</v>
      </c>
      <c r="AO34" s="273">
        <f t="shared" si="26"/>
        <v>1950</v>
      </c>
      <c r="AP34" s="468">
        <f t="shared" si="27"/>
        <v>35</v>
      </c>
      <c r="AQ34" s="273">
        <f t="shared" si="77"/>
        <v>1050</v>
      </c>
      <c r="AR34" s="468">
        <f t="shared" si="29"/>
        <v>73</v>
      </c>
      <c r="AS34" s="273">
        <f t="shared" si="37"/>
        <v>2190</v>
      </c>
      <c r="AT34" s="273">
        <f t="shared" si="52"/>
        <v>5190</v>
      </c>
      <c r="AU34" s="273">
        <f t="shared" si="39"/>
        <v>0</v>
      </c>
      <c r="AV34" s="237"/>
      <c r="AW34" s="237"/>
      <c r="AX34" s="267">
        <f t="shared" si="78"/>
        <v>0.8</v>
      </c>
    </row>
    <row r="35" spans="1:50">
      <c r="A35" s="62">
        <v>44957</v>
      </c>
      <c r="B35" s="63">
        <f t="shared" si="40"/>
        <v>225</v>
      </c>
      <c r="C35" s="63">
        <f t="shared" si="41"/>
        <v>231</v>
      </c>
      <c r="D35" s="44">
        <f t="shared" si="54"/>
        <v>0</v>
      </c>
      <c r="E35" s="44">
        <f t="shared" si="55"/>
        <v>0</v>
      </c>
      <c r="F35" s="468">
        <f t="shared" si="10"/>
        <v>2368</v>
      </c>
      <c r="G35" s="51">
        <f t="shared" si="56"/>
        <v>0</v>
      </c>
      <c r="H35" s="468">
        <f t="shared" si="42"/>
        <v>52991</v>
      </c>
      <c r="I35" s="338">
        <f t="shared" si="57"/>
        <v>0</v>
      </c>
      <c r="J35" s="65">
        <f t="shared" si="58"/>
        <v>0</v>
      </c>
      <c r="K35" s="468">
        <f t="shared" si="43"/>
        <v>2482</v>
      </c>
      <c r="L35" s="51">
        <f t="shared" si="59"/>
        <v>0</v>
      </c>
      <c r="M35" s="63">
        <f t="shared" si="45"/>
        <v>185088</v>
      </c>
      <c r="N35" s="338">
        <f t="shared" si="60"/>
        <v>0</v>
      </c>
      <c r="O35" s="63">
        <f t="shared" si="49"/>
        <v>1869</v>
      </c>
      <c r="P35" s="468">
        <f t="shared" si="47"/>
        <v>2243</v>
      </c>
      <c r="Q35" s="468">
        <f t="shared" si="46"/>
        <v>187109</v>
      </c>
      <c r="R35" s="337">
        <f t="shared" si="61"/>
        <v>0</v>
      </c>
      <c r="S35" s="51">
        <f t="shared" si="62"/>
        <v>0</v>
      </c>
      <c r="T35" s="66">
        <f t="shared" si="63"/>
        <v>0</v>
      </c>
      <c r="U35" s="344">
        <f t="shared" si="64"/>
        <v>0</v>
      </c>
      <c r="V35" s="61">
        <f t="shared" si="65"/>
        <v>0</v>
      </c>
      <c r="W35" s="342"/>
      <c r="X35" s="468">
        <f t="shared" si="17"/>
        <v>2498</v>
      </c>
      <c r="Y35" s="51">
        <f t="shared" si="66"/>
        <v>0</v>
      </c>
      <c r="Z35" s="468">
        <f t="shared" si="19"/>
        <v>141419</v>
      </c>
      <c r="AA35" s="64">
        <f t="shared" si="67"/>
        <v>0</v>
      </c>
      <c r="AB35" s="246">
        <f t="shared" si="68"/>
        <v>0</v>
      </c>
      <c r="AC35" s="468">
        <f t="shared" si="34"/>
        <v>1961</v>
      </c>
      <c r="AD35" s="237">
        <f t="shared" si="69"/>
        <v>0</v>
      </c>
      <c r="AE35" s="468">
        <f t="shared" si="20"/>
        <v>367849.5</v>
      </c>
      <c r="AF35" s="263">
        <f t="shared" si="70"/>
        <v>0</v>
      </c>
      <c r="AG35" s="196">
        <f t="shared" si="71"/>
        <v>0</v>
      </c>
      <c r="AH35" s="61">
        <f t="shared" si="72"/>
        <v>0</v>
      </c>
      <c r="AI35" s="271">
        <f t="shared" si="73"/>
        <v>0</v>
      </c>
      <c r="AJ35" s="271">
        <f>-tanks!AW36</f>
        <v>0</v>
      </c>
      <c r="AK35" s="271">
        <f t="shared" si="74"/>
        <v>0</v>
      </c>
      <c r="AL35" s="271">
        <f t="shared" si="75"/>
        <v>0</v>
      </c>
      <c r="AM35" s="271">
        <f t="shared" si="76"/>
        <v>0</v>
      </c>
      <c r="AN35" s="468">
        <f t="shared" si="25"/>
        <v>65</v>
      </c>
      <c r="AO35" s="273">
        <f t="shared" si="26"/>
        <v>1950</v>
      </c>
      <c r="AP35" s="468">
        <f t="shared" si="27"/>
        <v>35</v>
      </c>
      <c r="AQ35" s="273">
        <f t="shared" si="77"/>
        <v>1050</v>
      </c>
      <c r="AR35" s="468">
        <f t="shared" si="29"/>
        <v>73</v>
      </c>
      <c r="AS35" s="273">
        <f t="shared" si="37"/>
        <v>2190</v>
      </c>
      <c r="AT35" s="273">
        <f t="shared" si="52"/>
        <v>5190</v>
      </c>
      <c r="AU35" s="273">
        <f t="shared" si="39"/>
        <v>0</v>
      </c>
      <c r="AV35" s="237"/>
      <c r="AW35" s="237"/>
      <c r="AX35" s="267">
        <f t="shared" si="78"/>
        <v>0.8</v>
      </c>
    </row>
    <row r="36" spans="1:50">
      <c r="J36" s="245">
        <f>SUM(J5:J32)/(COUNT(J5:J32)-COUNTIF(J5:J32,0))</f>
        <v>49.25</v>
      </c>
      <c r="U36" s="68">
        <f>SUM(U5:U35)</f>
        <v>10</v>
      </c>
      <c r="V36" s="61">
        <f>SUM(V5:V35)</f>
        <v>583</v>
      </c>
      <c r="AE36" s="69" t="s">
        <v>23</v>
      </c>
      <c r="AG36" s="293"/>
      <c r="AH36" s="61">
        <f>SUM(AH5:AH35)</f>
        <v>160.5</v>
      </c>
      <c r="AL36" s="61">
        <f>SUM(AL5:AL35)</f>
        <v>10</v>
      </c>
      <c r="AM36" s="61">
        <f>SUM(AM5:AM35)</f>
        <v>2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58.3</v>
      </c>
      <c r="AH37" s="61">
        <f>AF37+AA37</f>
        <v>0</v>
      </c>
      <c r="AI37" s="69">
        <f>SUM(AI5:AI35)</f>
        <v>743.5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6"/>
  <sheetViews>
    <sheetView zoomScale="60" zoomScaleNormal="60" workbookViewId="0">
      <pane xSplit="1" topLeftCell="AC14" activePane="topRight" state="frozen"/>
      <selection pane="topRight" activeCell="A14" sqref="A14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97</v>
      </c>
      <c r="C2" s="7"/>
      <c r="D2" s="7" t="s">
        <v>98</v>
      </c>
      <c r="E2" s="7"/>
      <c r="F2" s="7" t="s">
        <v>99</v>
      </c>
      <c r="G2" s="7"/>
      <c r="H2" s="7" t="s">
        <v>100</v>
      </c>
      <c r="I2" s="7"/>
      <c r="J2" s="7" t="s">
        <v>101</v>
      </c>
      <c r="K2" s="7"/>
      <c r="L2" s="7" t="s">
        <v>102</v>
      </c>
      <c r="M2" s="7"/>
      <c r="N2" s="7" t="s">
        <v>103</v>
      </c>
      <c r="O2" s="7"/>
      <c r="P2" s="7" t="s">
        <v>104</v>
      </c>
      <c r="Q2" s="7"/>
      <c r="R2" s="7" t="s">
        <v>105</v>
      </c>
      <c r="T2" s="7" t="s">
        <v>106</v>
      </c>
      <c r="V2" s="7" t="s">
        <v>107</v>
      </c>
      <c r="W2" s="7"/>
      <c r="X2" s="209"/>
      <c r="Y2" s="7"/>
      <c r="Z2" s="8" t="s">
        <v>97</v>
      </c>
      <c r="AA2" s="8"/>
      <c r="AB2" s="8" t="s">
        <v>98</v>
      </c>
      <c r="AC2" s="8"/>
      <c r="AD2" s="8" t="s">
        <v>99</v>
      </c>
      <c r="AE2" s="8"/>
      <c r="AF2" s="8" t="s">
        <v>100</v>
      </c>
      <c r="AG2" s="8"/>
      <c r="AH2" s="8" t="s">
        <v>101</v>
      </c>
      <c r="AI2" s="8"/>
      <c r="AJ2" s="8" t="s">
        <v>102</v>
      </c>
      <c r="AK2" s="8"/>
      <c r="AL2" s="8" t="s">
        <v>103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6" t="s">
        <v>108</v>
      </c>
      <c r="AS3" s="546" t="s">
        <v>109</v>
      </c>
      <c r="AT3" s="544" t="s">
        <v>110</v>
      </c>
      <c r="AU3" s="545"/>
      <c r="AV3" s="261"/>
      <c r="AW3" s="3"/>
      <c r="AX3" s="3"/>
      <c r="AY3" s="3"/>
      <c r="AZ3" s="3"/>
      <c r="BA3" s="3"/>
      <c r="BB3" s="3"/>
      <c r="BC3" s="3"/>
      <c r="BD3" s="3"/>
      <c r="BE3" s="13" t="s">
        <v>111</v>
      </c>
      <c r="BF3" s="13" t="s">
        <v>112</v>
      </c>
      <c r="BG3" s="13" t="s">
        <v>113</v>
      </c>
      <c r="BH3" s="12" t="s">
        <v>114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7"/>
      <c r="AS4" s="547"/>
      <c r="AT4" s="3" t="s">
        <v>71</v>
      </c>
      <c r="AU4" s="3" t="s">
        <v>115</v>
      </c>
      <c r="AV4" s="262"/>
      <c r="AW4" s="3" t="s">
        <v>116</v>
      </c>
      <c r="AX4" s="3" t="s">
        <v>117</v>
      </c>
      <c r="AY4" s="3"/>
      <c r="AZ4" s="93" t="s">
        <v>118</v>
      </c>
      <c r="BA4" s="93" t="s">
        <v>119</v>
      </c>
      <c r="BB4" s="93" t="s">
        <v>120</v>
      </c>
      <c r="BC4" s="3"/>
      <c r="BD4" s="3"/>
      <c r="BE4" s="13"/>
      <c r="BF4" s="13"/>
      <c r="BG4" s="13"/>
      <c r="BH4" s="11"/>
    </row>
    <row r="5" spans="1:63">
      <c r="A5" s="379">
        <v>44926</v>
      </c>
      <c r="B5" s="440">
        <f>'B5'!B4</f>
        <v>218</v>
      </c>
      <c r="C5" s="192">
        <f>B5*$B$4</f>
        <v>4690.5161290322576</v>
      </c>
      <c r="D5">
        <f>SUM(B5)</f>
        <v>218</v>
      </c>
      <c r="E5" s="192">
        <f>D5*$B$4</f>
        <v>4690.5161290322576</v>
      </c>
      <c r="F5">
        <f>SUM(D5)</f>
        <v>218</v>
      </c>
      <c r="G5" s="192">
        <f t="shared" ref="G5" si="1">F5*$B$4</f>
        <v>4690.5161290322576</v>
      </c>
      <c r="H5" s="192">
        <f>SUM(F5)</f>
        <v>218</v>
      </c>
      <c r="I5" s="192">
        <f t="shared" ref="I5" si="2">H5*$B$4</f>
        <v>4690.5161290322576</v>
      </c>
      <c r="J5" s="192">
        <f>SUM(H5)</f>
        <v>218</v>
      </c>
      <c r="K5" s="192">
        <f t="shared" ref="K5" si="3">J5*$B$4</f>
        <v>4690.5161290322576</v>
      </c>
      <c r="L5" s="192">
        <f>SUM(J5)</f>
        <v>218</v>
      </c>
      <c r="M5" s="192">
        <f t="shared" ref="M5" si="4">L5*$B$4</f>
        <v>4690.5161290322576</v>
      </c>
      <c r="N5" s="192">
        <f>SUM(L5)</f>
        <v>218</v>
      </c>
      <c r="O5" s="192">
        <f t="shared" ref="O5" si="5">N5*$B$4</f>
        <v>4690.5161290322576</v>
      </c>
      <c r="P5" s="192">
        <f>SUM(N5)</f>
        <v>218</v>
      </c>
      <c r="Q5" s="192">
        <f t="shared" ref="Q5" si="6">P5*$B$4</f>
        <v>4690.5161290322576</v>
      </c>
      <c r="R5" s="192">
        <f>SUM(P5)</f>
        <v>218</v>
      </c>
      <c r="S5" s="192">
        <f t="shared" ref="S5" si="7">R5*$B$4</f>
        <v>4690.5161290322576</v>
      </c>
      <c r="T5" s="192">
        <f>SUM(R5)</f>
        <v>218</v>
      </c>
      <c r="U5" s="192">
        <f t="shared" ref="U5" si="8">T5*$B$4</f>
        <v>4690.5161290322576</v>
      </c>
      <c r="V5" s="192">
        <f>SUM(T5)</f>
        <v>218</v>
      </c>
      <c r="W5" s="192">
        <f t="shared" ref="W5" si="9">V5*$B$4</f>
        <v>4690.5161290322576</v>
      </c>
      <c r="X5" s="34">
        <f>SUM(Y5/73370)</f>
        <v>0.70322580645161281</v>
      </c>
      <c r="Y5" s="35">
        <f>SUM(C5+E5+G5+I5+K5+M5+O5+Q5+S5+U5+W5)</f>
        <v>51595.677419354834</v>
      </c>
      <c r="Z5" s="440">
        <f>'B5'!C4</f>
        <v>224</v>
      </c>
      <c r="AA5" s="192">
        <f>SUM(Z5*$Z$4)</f>
        <v>2240</v>
      </c>
      <c r="AB5" s="192">
        <f>SUM(Z5)</f>
        <v>224</v>
      </c>
      <c r="AC5" s="192">
        <f>SUM(AB5*$Z$4)</f>
        <v>2240</v>
      </c>
      <c r="AD5" s="192">
        <f>SUM(AB5)</f>
        <v>224</v>
      </c>
      <c r="AE5" s="192">
        <f t="shared" ref="AE5" si="10">SUM(AD5*$Z$4)</f>
        <v>2240</v>
      </c>
      <c r="AF5" s="192">
        <f>SUM(AD5)</f>
        <v>224</v>
      </c>
      <c r="AG5" s="192">
        <f t="shared" ref="AG5" si="11">SUM(AF5*$Z$4)</f>
        <v>2240</v>
      </c>
      <c r="AH5" s="192">
        <f>SUM(AF5)</f>
        <v>224</v>
      </c>
      <c r="AI5" s="192">
        <f t="shared" ref="AI5" si="12">SUM(AH5*$Z$4)</f>
        <v>2240</v>
      </c>
      <c r="AJ5" s="192">
        <f>SUM(AH5)</f>
        <v>224</v>
      </c>
      <c r="AK5" s="192">
        <f t="shared" ref="AK5" si="13">SUM(AJ5*$Z$4)</f>
        <v>2240</v>
      </c>
      <c r="AL5" s="192">
        <f>SUM(AJ5)</f>
        <v>224</v>
      </c>
      <c r="AM5" s="192">
        <f t="shared" ref="AM5" si="14">SUM(AL5*$Z$4)</f>
        <v>2240</v>
      </c>
      <c r="AN5" s="34">
        <f t="shared" ref="AN5" si="15">SUM(AO5/19600)</f>
        <v>0.8</v>
      </c>
      <c r="AO5" s="35">
        <f>SUM(AA5+AC5+AE5+AG5+AI5+AK5+AM5)</f>
        <v>15680</v>
      </c>
      <c r="AP5" s="440"/>
      <c r="AQ5" s="208">
        <f>SUM(AR5/92970)</f>
        <v>0.7236278091788193</v>
      </c>
      <c r="AR5" s="525">
        <f>AO5+Y5</f>
        <v>67275.677419354834</v>
      </c>
      <c r="AS5" s="525">
        <v>0</v>
      </c>
      <c r="AT5" s="525">
        <v>0</v>
      </c>
      <c r="AU5" s="525">
        <v>0</v>
      </c>
      <c r="AV5" s="525">
        <v>0</v>
      </c>
      <c r="AW5" s="525">
        <v>0</v>
      </c>
      <c r="AX5" s="525">
        <v>0</v>
      </c>
      <c r="AY5" s="525">
        <v>0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44927</v>
      </c>
      <c r="B6" s="440">
        <f>'B5'!B5</f>
        <v>218</v>
      </c>
      <c r="C6" s="192">
        <f>B6*$B$4</f>
        <v>4690.5161290322576</v>
      </c>
      <c r="D6">
        <f>SUM(B6)</f>
        <v>218</v>
      </c>
      <c r="E6" s="192">
        <f>D6*$B$4</f>
        <v>4690.5161290322576</v>
      </c>
      <c r="F6">
        <f>SUM(D6)</f>
        <v>218</v>
      </c>
      <c r="G6" s="192">
        <f t="shared" ref="G6:G33" si="16">F6*$B$4</f>
        <v>4690.5161290322576</v>
      </c>
      <c r="H6" s="192">
        <f>SUM(F6)</f>
        <v>218</v>
      </c>
      <c r="I6" s="192">
        <f t="shared" ref="I6:I33" si="17">H6*$B$4</f>
        <v>4690.5161290322576</v>
      </c>
      <c r="J6" s="192">
        <f>SUM(H6)</f>
        <v>218</v>
      </c>
      <c r="K6" s="192">
        <f t="shared" ref="K6:K33" si="18">J6*$B$4</f>
        <v>4690.5161290322576</v>
      </c>
      <c r="L6" s="192">
        <f>SUM(J6)</f>
        <v>218</v>
      </c>
      <c r="M6" s="192">
        <f t="shared" ref="M6:M33" si="19">L6*$B$4</f>
        <v>4690.5161290322576</v>
      </c>
      <c r="N6" s="192">
        <f>SUM(L6)</f>
        <v>218</v>
      </c>
      <c r="O6" s="192">
        <f t="shared" ref="O6:O33" si="20">N6*$B$4</f>
        <v>4690.5161290322576</v>
      </c>
      <c r="P6" s="192">
        <f>SUM(N6)</f>
        <v>218</v>
      </c>
      <c r="Q6" s="192">
        <f t="shared" ref="Q6:Q33" si="21">P6*$B$4</f>
        <v>4690.5161290322576</v>
      </c>
      <c r="R6" s="192">
        <f>SUM(P6)</f>
        <v>218</v>
      </c>
      <c r="S6" s="192">
        <f t="shared" ref="S6:S33" si="22">R6*$B$4</f>
        <v>4690.5161290322576</v>
      </c>
      <c r="T6" s="192">
        <f>SUM(R6)</f>
        <v>218</v>
      </c>
      <c r="U6" s="192">
        <f t="shared" ref="U6:U33" si="23">T6*$B$4</f>
        <v>4690.5161290322576</v>
      </c>
      <c r="V6" s="192">
        <f>SUM(T6)</f>
        <v>218</v>
      </c>
      <c r="W6" s="192">
        <f t="shared" ref="W6:W33" si="24">V6*$B$4</f>
        <v>4690.5161290322576</v>
      </c>
      <c r="X6" s="34">
        <f>SUM(Y6/73370)</f>
        <v>0.70322580645161281</v>
      </c>
      <c r="Y6" s="35">
        <f>SUM(C6+E6+G6+I6+K6+M6+O6+Q6+S6+U6+W6)</f>
        <v>51595.677419354834</v>
      </c>
      <c r="Z6" s="440">
        <f>'B5'!C5</f>
        <v>224</v>
      </c>
      <c r="AA6" s="192">
        <f>SUM(Z6*$Z$4)</f>
        <v>2240</v>
      </c>
      <c r="AB6" s="192">
        <f>SUM(Z6)</f>
        <v>224</v>
      </c>
      <c r="AC6" s="192">
        <f>SUM(AB6*$Z$4)</f>
        <v>2240</v>
      </c>
      <c r="AD6" s="192">
        <f>SUM(AB6)</f>
        <v>224</v>
      </c>
      <c r="AE6" s="192">
        <f t="shared" ref="AE6:AE33" si="25">SUM(AD6*$Z$4)</f>
        <v>2240</v>
      </c>
      <c r="AF6" s="192">
        <f>SUM(AD6)</f>
        <v>224</v>
      </c>
      <c r="AG6" s="192">
        <f t="shared" ref="AG6:AG33" si="26">SUM(AF6*$Z$4)</f>
        <v>2240</v>
      </c>
      <c r="AH6" s="192">
        <f>SUM(AF6)</f>
        <v>224</v>
      </c>
      <c r="AI6" s="192">
        <f t="shared" ref="AI6:AI33" si="27">SUM(AH6*$Z$4)</f>
        <v>2240</v>
      </c>
      <c r="AJ6" s="192">
        <f>SUM(AH6)</f>
        <v>224</v>
      </c>
      <c r="AK6" s="192">
        <f t="shared" ref="AK6:AK33" si="28">SUM(AJ6*$Z$4)</f>
        <v>2240</v>
      </c>
      <c r="AL6" s="192">
        <f>SUM(AJ6)</f>
        <v>224</v>
      </c>
      <c r="AM6" s="192">
        <f t="shared" ref="AM6:AM33" si="29">SUM(AL6*$Z$4)</f>
        <v>2240</v>
      </c>
      <c r="AN6" s="34">
        <f t="shared" ref="AN6:AN29" si="30">SUM(AO6/19600)</f>
        <v>0.8</v>
      </c>
      <c r="AO6" s="35">
        <f>SUM(AA6+AC6+AE6+AG6+AI6+AK6+AM6)</f>
        <v>15680</v>
      </c>
      <c r="AQ6" s="208">
        <f>SUM(AR6/92970)</f>
        <v>0.7236278091788193</v>
      </c>
      <c r="AR6" s="37">
        <f>Y6+AO6</f>
        <v>67275.677419354834</v>
      </c>
      <c r="AS6" s="186">
        <f>SUM(AR6-AR5-AT6)</f>
        <v>0</v>
      </c>
      <c r="AT6" s="303"/>
      <c r="AU6" s="475"/>
      <c r="AV6" s="432">
        <f>IF(AT6&gt;0,AU6,AV5)</f>
        <v>0</v>
      </c>
      <c r="AW6" s="251">
        <f>-SUM('B5'!AI5)</f>
        <v>0</v>
      </c>
      <c r="AX6" s="251">
        <f t="shared" ref="AX6:AX33" si="31">-SUM(AW6-AS6)</f>
        <v>0</v>
      </c>
      <c r="AY6" s="36">
        <f>SUM(AX6+AW6)</f>
        <v>0</v>
      </c>
      <c r="AZ6" s="96">
        <f>ELEC!A4</f>
        <v>0</v>
      </c>
      <c r="BA6" s="114">
        <f>'General information '!D5</f>
        <v>16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469"/>
    </row>
    <row r="7" spans="1:63">
      <c r="A7" s="379">
        <f>ELEC!C5</f>
        <v>44928</v>
      </c>
      <c r="B7" s="440">
        <f>'B5'!B6</f>
        <v>218</v>
      </c>
      <c r="C7" s="192">
        <f t="shared" ref="C7:E33" si="32">B7*$B$4</f>
        <v>4690.5161290322576</v>
      </c>
      <c r="D7">
        <f t="shared" ref="D7:D29" si="33">SUM(B7)</f>
        <v>218</v>
      </c>
      <c r="E7" s="192">
        <f t="shared" si="32"/>
        <v>4690.5161290322576</v>
      </c>
      <c r="F7">
        <f t="shared" ref="F7:F29" si="34">SUM(D7)</f>
        <v>218</v>
      </c>
      <c r="G7" s="192">
        <f t="shared" si="16"/>
        <v>4690.5161290322576</v>
      </c>
      <c r="H7" s="192">
        <f t="shared" ref="H7:H29" si="35">SUM(F7)</f>
        <v>218</v>
      </c>
      <c r="I7" s="192">
        <f t="shared" si="17"/>
        <v>4690.5161290322576</v>
      </c>
      <c r="J7" s="192">
        <f t="shared" ref="J7:J29" si="36">SUM(H7)</f>
        <v>218</v>
      </c>
      <c r="K7" s="192">
        <f t="shared" si="18"/>
        <v>4690.5161290322576</v>
      </c>
      <c r="L7" s="192">
        <f t="shared" ref="L7:L29" si="37">SUM(J7)</f>
        <v>218</v>
      </c>
      <c r="M7" s="192">
        <f t="shared" si="19"/>
        <v>4690.5161290322576</v>
      </c>
      <c r="N7" s="192">
        <f t="shared" ref="N7:N29" si="38">SUM(L7)</f>
        <v>218</v>
      </c>
      <c r="O7" s="192">
        <f t="shared" si="20"/>
        <v>4690.5161290322576</v>
      </c>
      <c r="P7" s="192">
        <f t="shared" ref="P7:P29" si="39">SUM(N7)</f>
        <v>218</v>
      </c>
      <c r="Q7" s="192">
        <f t="shared" si="21"/>
        <v>4690.5161290322576</v>
      </c>
      <c r="R7" s="192">
        <f t="shared" ref="R7:R29" si="40">SUM(P7)</f>
        <v>218</v>
      </c>
      <c r="S7" s="192">
        <f t="shared" si="22"/>
        <v>4690.5161290322576</v>
      </c>
      <c r="T7" s="192">
        <f t="shared" ref="T7:T29" si="41">SUM(R7)</f>
        <v>218</v>
      </c>
      <c r="U7" s="192">
        <f t="shared" si="23"/>
        <v>4690.5161290322576</v>
      </c>
      <c r="V7" s="192">
        <f t="shared" ref="V7:V29" si="42">SUM(T7)</f>
        <v>218</v>
      </c>
      <c r="W7" s="192">
        <f t="shared" si="24"/>
        <v>4690.5161290322576</v>
      </c>
      <c r="X7" s="34">
        <f t="shared" ref="X7:X29" si="43">SUM(Y7/73370)</f>
        <v>0.70322580645161281</v>
      </c>
      <c r="Y7" s="35">
        <f t="shared" ref="Y7:Y29" si="44">SUM(C7+E7+G7+I7+K7+M7+O7+Q7+S7+U7+W7)</f>
        <v>51595.677419354834</v>
      </c>
      <c r="Z7" s="440">
        <f>'B5'!C6</f>
        <v>224</v>
      </c>
      <c r="AA7" s="192">
        <f t="shared" ref="AA7:AC33" si="45">SUM(Z7*$Z$4)</f>
        <v>2240</v>
      </c>
      <c r="AB7" s="192">
        <f t="shared" ref="AB7:AB29" si="46">SUM(Z7)</f>
        <v>224</v>
      </c>
      <c r="AC7" s="192">
        <f t="shared" si="45"/>
        <v>2240</v>
      </c>
      <c r="AD7" s="192">
        <f t="shared" ref="AD7:AD29" si="47">SUM(AB7)</f>
        <v>224</v>
      </c>
      <c r="AE7" s="192">
        <f t="shared" si="25"/>
        <v>2240</v>
      </c>
      <c r="AF7" s="192">
        <f t="shared" ref="AF7:AF29" si="48">SUM(AD7)</f>
        <v>224</v>
      </c>
      <c r="AG7" s="192">
        <f t="shared" si="26"/>
        <v>2240</v>
      </c>
      <c r="AH7" s="192">
        <f t="shared" ref="AH7:AH29" si="49">SUM(AF7)</f>
        <v>224</v>
      </c>
      <c r="AI7" s="192">
        <f t="shared" si="27"/>
        <v>2240</v>
      </c>
      <c r="AJ7" s="192">
        <f t="shared" ref="AJ7:AJ29" si="50">SUM(AH7)</f>
        <v>224</v>
      </c>
      <c r="AK7" s="192">
        <f t="shared" si="28"/>
        <v>2240</v>
      </c>
      <c r="AL7" s="192">
        <f t="shared" ref="AL7:AL29" si="51">SUM(AJ7)</f>
        <v>224</v>
      </c>
      <c r="AM7" s="192">
        <f t="shared" si="29"/>
        <v>2240</v>
      </c>
      <c r="AN7" s="34">
        <f>SUM(AO7/19600)</f>
        <v>0.8</v>
      </c>
      <c r="AO7" s="35">
        <f>SUM(AA7+AC7+AE7+AG7+AI7+AK7+AM7)</f>
        <v>15680</v>
      </c>
      <c r="AQ7" s="208">
        <f>SUM(AR7/92970)</f>
        <v>0.7236278091788193</v>
      </c>
      <c r="AR7" s="37">
        <f>Y7+AO7</f>
        <v>67275.677419354834</v>
      </c>
      <c r="AS7" s="186">
        <f>SUM(AR7-AR6-AT7)</f>
        <v>0</v>
      </c>
      <c r="AT7" s="303"/>
      <c r="AU7" s="475"/>
      <c r="AV7" s="432">
        <f>IF(AT7&gt;0,AU7,AV6)</f>
        <v>0</v>
      </c>
      <c r="AW7" s="251">
        <f>-SUM('B5'!AI6)</f>
        <v>0</v>
      </c>
      <c r="AX7" s="251">
        <f t="shared" si="31"/>
        <v>0</v>
      </c>
      <c r="AY7" s="36">
        <f t="shared" ref="AY7:AY33" si="52">SUM(AX7+AW7)</f>
        <v>0</v>
      </c>
      <c r="AZ7" s="96">
        <f>ELEC!A5</f>
        <v>0</v>
      </c>
      <c r="BA7" s="114">
        <f>'General information '!D6</f>
        <v>17</v>
      </c>
      <c r="BB7" s="193">
        <f>SUM('General information '!E6)</f>
        <v>0.69</v>
      </c>
      <c r="BC7" s="3">
        <v>0</v>
      </c>
      <c r="BD7" s="98">
        <v>19222</v>
      </c>
      <c r="BE7" s="14">
        <f>(305/1185)*ELEC!Q6</f>
        <v>879.99578059115186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53">AX7/BI7</f>
        <v>0</v>
      </c>
      <c r="BK7" s="469"/>
    </row>
    <row r="8" spans="1:63">
      <c r="A8" s="379">
        <f>ELEC!C6</f>
        <v>44929</v>
      </c>
      <c r="B8" s="440">
        <f>'B5'!B7</f>
        <v>214</v>
      </c>
      <c r="C8" s="192">
        <f t="shared" si="32"/>
        <v>4604.4516129032254</v>
      </c>
      <c r="D8">
        <f t="shared" si="33"/>
        <v>214</v>
      </c>
      <c r="E8" s="192">
        <f t="shared" si="32"/>
        <v>4604.4516129032254</v>
      </c>
      <c r="F8">
        <f t="shared" si="34"/>
        <v>214</v>
      </c>
      <c r="G8" s="192">
        <f t="shared" si="16"/>
        <v>4604.4516129032254</v>
      </c>
      <c r="H8" s="192">
        <f t="shared" si="35"/>
        <v>214</v>
      </c>
      <c r="I8" s="192">
        <f t="shared" si="17"/>
        <v>4604.4516129032254</v>
      </c>
      <c r="J8" s="192">
        <f t="shared" si="36"/>
        <v>214</v>
      </c>
      <c r="K8" s="192">
        <f t="shared" si="18"/>
        <v>4604.4516129032254</v>
      </c>
      <c r="L8" s="192">
        <f t="shared" si="37"/>
        <v>214</v>
      </c>
      <c r="M8" s="192">
        <f t="shared" si="19"/>
        <v>4604.4516129032254</v>
      </c>
      <c r="N8" s="192">
        <f t="shared" si="38"/>
        <v>214</v>
      </c>
      <c r="O8" s="192">
        <f t="shared" si="20"/>
        <v>4604.4516129032254</v>
      </c>
      <c r="P8" s="192">
        <f t="shared" si="39"/>
        <v>214</v>
      </c>
      <c r="Q8" s="192">
        <f t="shared" si="21"/>
        <v>4604.4516129032254</v>
      </c>
      <c r="R8" s="192">
        <f t="shared" si="40"/>
        <v>214</v>
      </c>
      <c r="S8" s="192">
        <f t="shared" si="22"/>
        <v>4604.4516129032254</v>
      </c>
      <c r="T8" s="192">
        <f t="shared" si="41"/>
        <v>214</v>
      </c>
      <c r="U8" s="192">
        <f t="shared" si="23"/>
        <v>4604.4516129032254</v>
      </c>
      <c r="V8" s="192">
        <f t="shared" si="42"/>
        <v>214</v>
      </c>
      <c r="W8" s="192">
        <f t="shared" si="24"/>
        <v>4604.4516129032254</v>
      </c>
      <c r="X8" s="34">
        <f t="shared" si="43"/>
        <v>0.69032258064516139</v>
      </c>
      <c r="Y8" s="35">
        <f t="shared" si="44"/>
        <v>50648.967741935492</v>
      </c>
      <c r="Z8" s="440">
        <f>'B5'!C7</f>
        <v>221</v>
      </c>
      <c r="AA8" s="192">
        <f t="shared" si="45"/>
        <v>2210</v>
      </c>
      <c r="AB8" s="192">
        <f t="shared" si="46"/>
        <v>221</v>
      </c>
      <c r="AC8" s="192">
        <f t="shared" si="45"/>
        <v>2210</v>
      </c>
      <c r="AD8" s="192">
        <f t="shared" si="47"/>
        <v>221</v>
      </c>
      <c r="AE8" s="192">
        <f t="shared" si="25"/>
        <v>2210</v>
      </c>
      <c r="AF8" s="192">
        <f t="shared" si="48"/>
        <v>221</v>
      </c>
      <c r="AG8" s="192">
        <f t="shared" si="26"/>
        <v>2210</v>
      </c>
      <c r="AH8" s="192">
        <f t="shared" si="49"/>
        <v>221</v>
      </c>
      <c r="AI8" s="192">
        <f t="shared" si="27"/>
        <v>2210</v>
      </c>
      <c r="AJ8" s="192">
        <f t="shared" si="50"/>
        <v>221</v>
      </c>
      <c r="AK8" s="192">
        <f t="shared" si="28"/>
        <v>2210</v>
      </c>
      <c r="AL8" s="192">
        <f t="shared" si="51"/>
        <v>221</v>
      </c>
      <c r="AM8" s="192">
        <f t="shared" si="29"/>
        <v>2210</v>
      </c>
      <c r="AN8" s="34">
        <f t="shared" si="30"/>
        <v>0.78928571428571426</v>
      </c>
      <c r="AO8" s="35">
        <f t="shared" ref="AO8:AO29" si="54">SUM(AA8+AC8+AE8+AG8+AI8+AK8+AM8)</f>
        <v>15470</v>
      </c>
      <c r="AQ8" s="208">
        <f t="shared" ref="AQ8:AQ33" si="55">SUM(AR8/92970)</f>
        <v>0.71118605724357842</v>
      </c>
      <c r="AR8" s="37">
        <f t="shared" ref="AR8:AR36" si="56">Y8+AO8</f>
        <v>66118.967741935485</v>
      </c>
      <c r="AS8" s="186">
        <f t="shared" ref="AS8:AS20" si="57">SUM(AR8-AR7-AT8)</f>
        <v>-1156.7096774193487</v>
      </c>
      <c r="AT8" s="303"/>
      <c r="AU8" s="475"/>
      <c r="AV8" s="432">
        <f t="shared" ref="AV8:AV14" si="58">IF(AT8&gt;0,AU8,AV7)</f>
        <v>0</v>
      </c>
      <c r="AW8" s="251">
        <f>-SUM('B5'!AI7)</f>
        <v>-84</v>
      </c>
      <c r="AX8" s="251">
        <f t="shared" si="31"/>
        <v>-1072.7096774193487</v>
      </c>
      <c r="AY8" s="36">
        <f t="shared" si="52"/>
        <v>-1156.7096774193487</v>
      </c>
      <c r="AZ8" s="96">
        <f>ELEC!A6</f>
        <v>0</v>
      </c>
      <c r="BA8" s="114">
        <f>'General information '!D7</f>
        <v>19</v>
      </c>
      <c r="BB8" s="193">
        <f>SUM('General information '!E7)</f>
        <v>0.69</v>
      </c>
      <c r="BC8" s="3">
        <f t="shared" ref="BC8:BC33" si="59">IF(AR7&gt;=AR8,0,1)</f>
        <v>0</v>
      </c>
      <c r="BD8" s="98">
        <v>19222</v>
      </c>
      <c r="BE8" s="14">
        <f>(305/1185)*ELEC!Q7</f>
        <v>704.45991561206904</v>
      </c>
      <c r="BF8" s="14"/>
      <c r="BG8" s="14" t="e">
        <f>#REF!-BE8</f>
        <v>#REF!</v>
      </c>
      <c r="BH8" s="11">
        <v>16</v>
      </c>
      <c r="BI8">
        <v>9</v>
      </c>
      <c r="BJ8">
        <f t="shared" si="53"/>
        <v>-119.18996415770542</v>
      </c>
      <c r="BK8" s="469">
        <f>GEN!AF5</f>
        <v>0.2136875000001055</v>
      </c>
    </row>
    <row r="9" spans="1:63">
      <c r="A9" s="379">
        <f>ELEC!C7</f>
        <v>44930</v>
      </c>
      <c r="B9" s="440">
        <f>'B5'!B8</f>
        <v>239</v>
      </c>
      <c r="C9" s="192">
        <f t="shared" si="32"/>
        <v>5142.3548387096771</v>
      </c>
      <c r="D9">
        <f t="shared" si="33"/>
        <v>239</v>
      </c>
      <c r="E9" s="192">
        <f t="shared" si="32"/>
        <v>5142.3548387096771</v>
      </c>
      <c r="F9">
        <f t="shared" si="34"/>
        <v>239</v>
      </c>
      <c r="G9" s="192">
        <f t="shared" si="16"/>
        <v>5142.3548387096771</v>
      </c>
      <c r="H9" s="192">
        <f t="shared" si="35"/>
        <v>239</v>
      </c>
      <c r="I9" s="192">
        <f t="shared" si="17"/>
        <v>5142.3548387096771</v>
      </c>
      <c r="J9" s="192">
        <f t="shared" si="36"/>
        <v>239</v>
      </c>
      <c r="K9" s="192">
        <f t="shared" si="18"/>
        <v>5142.3548387096771</v>
      </c>
      <c r="L9" s="192">
        <f t="shared" si="37"/>
        <v>239</v>
      </c>
      <c r="M9" s="192">
        <f t="shared" si="19"/>
        <v>5142.3548387096771</v>
      </c>
      <c r="N9" s="192">
        <f t="shared" si="38"/>
        <v>239</v>
      </c>
      <c r="O9" s="192">
        <f t="shared" si="20"/>
        <v>5142.3548387096771</v>
      </c>
      <c r="P9" s="192">
        <f t="shared" si="39"/>
        <v>239</v>
      </c>
      <c r="Q9" s="192">
        <f t="shared" si="21"/>
        <v>5142.3548387096771</v>
      </c>
      <c r="R9" s="192">
        <f t="shared" si="40"/>
        <v>239</v>
      </c>
      <c r="S9" s="192">
        <f t="shared" si="22"/>
        <v>5142.3548387096771</v>
      </c>
      <c r="T9" s="192">
        <f t="shared" si="41"/>
        <v>239</v>
      </c>
      <c r="U9" s="192">
        <f t="shared" si="23"/>
        <v>5142.3548387096771</v>
      </c>
      <c r="V9" s="192">
        <f t="shared" si="42"/>
        <v>239</v>
      </c>
      <c r="W9" s="192">
        <f t="shared" si="24"/>
        <v>5142.3548387096771</v>
      </c>
      <c r="X9" s="34">
        <f t="shared" si="43"/>
        <v>0.77096774193548367</v>
      </c>
      <c r="Y9" s="35">
        <f t="shared" si="44"/>
        <v>56565.90322580644</v>
      </c>
      <c r="Z9" s="440">
        <f>'B5'!C8</f>
        <v>245</v>
      </c>
      <c r="AA9" s="192">
        <f t="shared" si="45"/>
        <v>2450</v>
      </c>
      <c r="AB9" s="192">
        <f t="shared" si="46"/>
        <v>245</v>
      </c>
      <c r="AC9" s="192">
        <f t="shared" si="45"/>
        <v>2450</v>
      </c>
      <c r="AD9" s="192">
        <f t="shared" si="47"/>
        <v>245</v>
      </c>
      <c r="AE9" s="192">
        <f t="shared" si="25"/>
        <v>2450</v>
      </c>
      <c r="AF9" s="192">
        <f t="shared" si="48"/>
        <v>245</v>
      </c>
      <c r="AG9" s="192">
        <f t="shared" si="26"/>
        <v>2450</v>
      </c>
      <c r="AH9" s="192">
        <f t="shared" si="49"/>
        <v>245</v>
      </c>
      <c r="AI9" s="192">
        <f t="shared" si="27"/>
        <v>2450</v>
      </c>
      <c r="AJ9" s="192">
        <f t="shared" si="50"/>
        <v>245</v>
      </c>
      <c r="AK9" s="192">
        <f t="shared" si="28"/>
        <v>2450</v>
      </c>
      <c r="AL9" s="192">
        <f t="shared" si="51"/>
        <v>245</v>
      </c>
      <c r="AM9" s="192">
        <f t="shared" si="29"/>
        <v>2450</v>
      </c>
      <c r="AN9" s="34">
        <f t="shared" si="30"/>
        <v>0.875</v>
      </c>
      <c r="AO9" s="35">
        <f>SUM(AA9+AC9+AE9+AG9+AI9+AK9+AM9)</f>
        <v>17150</v>
      </c>
      <c r="AQ9" s="208">
        <f t="shared" si="55"/>
        <v>0.79289989486723067</v>
      </c>
      <c r="AR9" s="37">
        <f t="shared" si="56"/>
        <v>73715.90322580644</v>
      </c>
      <c r="AS9" s="186">
        <f>SUM(AR9-AR8-AT9)</f>
        <v>-198.06451612904493</v>
      </c>
      <c r="AT9" s="303">
        <v>7795</v>
      </c>
      <c r="AU9" s="475">
        <v>0.89</v>
      </c>
      <c r="AV9" s="432">
        <f t="shared" si="58"/>
        <v>0.89</v>
      </c>
      <c r="AW9" s="251">
        <f>-SUM('B5'!AI8)</f>
        <v>-297</v>
      </c>
      <c r="AX9" s="251">
        <f t="shared" si="31"/>
        <v>98.935483870955068</v>
      </c>
      <c r="AY9" s="36">
        <f t="shared" si="52"/>
        <v>-198.06451612904493</v>
      </c>
      <c r="AZ9" s="96">
        <f>ELEC!A7</f>
        <v>0</v>
      </c>
      <c r="BA9" s="114">
        <f>'General information '!D8</f>
        <v>17</v>
      </c>
      <c r="BB9" s="193">
        <f>SUM('General information '!E8)</f>
        <v>0.55000000000000004</v>
      </c>
      <c r="BC9" s="3">
        <f t="shared" si="59"/>
        <v>1</v>
      </c>
      <c r="BD9" s="98">
        <v>19222</v>
      </c>
      <c r="BE9" s="14">
        <f>(305/1185)*ELEC!Q8</f>
        <v>602.79324894435365</v>
      </c>
      <c r="BF9" s="14"/>
      <c r="BG9" s="14" t="e">
        <f>#REF!-BE9</f>
        <v>#REF!</v>
      </c>
      <c r="BH9" s="11">
        <v>18</v>
      </c>
      <c r="BI9">
        <v>6</v>
      </c>
      <c r="BJ9">
        <f t="shared" si="53"/>
        <v>16.489247311825846</v>
      </c>
      <c r="BK9" s="469">
        <f>GEN!AF6</f>
        <v>0.10062500000003638</v>
      </c>
    </row>
    <row r="10" spans="1:63">
      <c r="A10" s="379">
        <f>ELEC!C8</f>
        <v>44931</v>
      </c>
      <c r="B10" s="440">
        <f>'B5'!B9</f>
        <v>236</v>
      </c>
      <c r="C10" s="192">
        <f t="shared" si="32"/>
        <v>5077.8064516129034</v>
      </c>
      <c r="D10">
        <f t="shared" si="33"/>
        <v>236</v>
      </c>
      <c r="E10" s="192">
        <f t="shared" si="32"/>
        <v>5077.8064516129034</v>
      </c>
      <c r="F10">
        <f t="shared" si="34"/>
        <v>236</v>
      </c>
      <c r="G10" s="192">
        <f t="shared" si="16"/>
        <v>5077.8064516129034</v>
      </c>
      <c r="H10" s="192">
        <f t="shared" si="35"/>
        <v>236</v>
      </c>
      <c r="I10" s="192">
        <f t="shared" si="17"/>
        <v>5077.8064516129034</v>
      </c>
      <c r="J10" s="192">
        <f t="shared" si="36"/>
        <v>236</v>
      </c>
      <c r="K10" s="192">
        <f t="shared" si="18"/>
        <v>5077.8064516129034</v>
      </c>
      <c r="L10" s="192">
        <f t="shared" si="37"/>
        <v>236</v>
      </c>
      <c r="M10" s="192">
        <f t="shared" si="19"/>
        <v>5077.8064516129034</v>
      </c>
      <c r="N10" s="192">
        <f t="shared" si="38"/>
        <v>236</v>
      </c>
      <c r="O10" s="192">
        <f t="shared" si="20"/>
        <v>5077.8064516129034</v>
      </c>
      <c r="P10" s="192">
        <f t="shared" si="39"/>
        <v>236</v>
      </c>
      <c r="Q10" s="192">
        <f t="shared" si="21"/>
        <v>5077.8064516129034</v>
      </c>
      <c r="R10" s="192">
        <f t="shared" si="40"/>
        <v>236</v>
      </c>
      <c r="S10" s="192">
        <f t="shared" si="22"/>
        <v>5077.8064516129034</v>
      </c>
      <c r="T10" s="192">
        <f t="shared" si="41"/>
        <v>236</v>
      </c>
      <c r="U10" s="192">
        <f t="shared" si="23"/>
        <v>5077.8064516129034</v>
      </c>
      <c r="V10" s="192">
        <f t="shared" si="42"/>
        <v>236</v>
      </c>
      <c r="W10" s="192">
        <f t="shared" si="24"/>
        <v>5077.8064516129034</v>
      </c>
      <c r="X10" s="34">
        <f t="shared" si="43"/>
        <v>0.761290322580645</v>
      </c>
      <c r="Y10" s="35">
        <f t="shared" si="44"/>
        <v>55855.870967741925</v>
      </c>
      <c r="Z10" s="440">
        <f>'B5'!C9</f>
        <v>236</v>
      </c>
      <c r="AA10" s="192">
        <f t="shared" si="45"/>
        <v>2360</v>
      </c>
      <c r="AB10" s="192">
        <f t="shared" si="46"/>
        <v>236</v>
      </c>
      <c r="AC10" s="192">
        <f t="shared" si="45"/>
        <v>2360</v>
      </c>
      <c r="AD10" s="192">
        <f t="shared" si="47"/>
        <v>236</v>
      </c>
      <c r="AE10" s="192">
        <f t="shared" si="25"/>
        <v>2360</v>
      </c>
      <c r="AF10" s="192">
        <f t="shared" si="48"/>
        <v>236</v>
      </c>
      <c r="AG10" s="192">
        <f t="shared" si="26"/>
        <v>2360</v>
      </c>
      <c r="AH10" s="192">
        <f t="shared" si="49"/>
        <v>236</v>
      </c>
      <c r="AI10" s="192">
        <f t="shared" si="27"/>
        <v>2360</v>
      </c>
      <c r="AJ10" s="192">
        <f t="shared" si="50"/>
        <v>236</v>
      </c>
      <c r="AK10" s="192">
        <f t="shared" si="28"/>
        <v>2360</v>
      </c>
      <c r="AL10" s="192">
        <f t="shared" si="51"/>
        <v>236</v>
      </c>
      <c r="AM10" s="192">
        <f t="shared" si="29"/>
        <v>2360</v>
      </c>
      <c r="AN10" s="34">
        <f t="shared" si="30"/>
        <v>0.84285714285714286</v>
      </c>
      <c r="AO10" s="35">
        <f t="shared" si="54"/>
        <v>16520</v>
      </c>
      <c r="AQ10" s="208">
        <f t="shared" si="55"/>
        <v>0.77848629630786192</v>
      </c>
      <c r="AR10" s="37">
        <f t="shared" si="56"/>
        <v>72375.870967741925</v>
      </c>
      <c r="AS10" s="186">
        <f>SUM(AR10-AR9-AT10)</f>
        <v>-1340.0322580645152</v>
      </c>
      <c r="AT10" s="303"/>
      <c r="AU10" s="475"/>
      <c r="AV10" s="432">
        <f>IF(AT10&gt;0,AU10,AV9)</f>
        <v>0.89</v>
      </c>
      <c r="AW10" s="251">
        <f>-SUM('B5'!AI9)</f>
        <v>-113</v>
      </c>
      <c r="AX10" s="251">
        <f t="shared" si="31"/>
        <v>-1227.0322580645152</v>
      </c>
      <c r="AY10" s="36">
        <f t="shared" si="52"/>
        <v>-1340.0322580645152</v>
      </c>
      <c r="AZ10" s="96">
        <f>ELEC!A8</f>
        <v>0</v>
      </c>
      <c r="BA10" s="114">
        <f>'General information '!D9</f>
        <v>17</v>
      </c>
      <c r="BB10" s="193">
        <f>SUM('General information '!E9)</f>
        <v>0.64</v>
      </c>
      <c r="BC10" s="3">
        <f t="shared" si="59"/>
        <v>0</v>
      </c>
      <c r="BD10" s="98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53"/>
        <v>-175.29032258064504</v>
      </c>
      <c r="BK10" s="469">
        <f>GEN!AF7</f>
        <v>0.14637499999980719</v>
      </c>
    </row>
    <row r="11" spans="1:63">
      <c r="A11" s="379">
        <f>ELEC!C9</f>
        <v>44932</v>
      </c>
      <c r="B11" s="440">
        <f>'B5'!B10</f>
        <v>236</v>
      </c>
      <c r="C11" s="192">
        <f t="shared" si="32"/>
        <v>5077.8064516129034</v>
      </c>
      <c r="D11">
        <f>SUM(B11)</f>
        <v>236</v>
      </c>
      <c r="E11" s="192">
        <f t="shared" si="32"/>
        <v>5077.8064516129034</v>
      </c>
      <c r="F11">
        <f>SUM(D11)</f>
        <v>236</v>
      </c>
      <c r="G11" s="192">
        <f t="shared" si="16"/>
        <v>5077.8064516129034</v>
      </c>
      <c r="H11" s="192">
        <f>SUM(F11)</f>
        <v>236</v>
      </c>
      <c r="I11" s="192">
        <f t="shared" si="17"/>
        <v>5077.8064516129034</v>
      </c>
      <c r="J11" s="192">
        <f>SUM(H11)</f>
        <v>236</v>
      </c>
      <c r="K11" s="192">
        <f t="shared" si="18"/>
        <v>5077.8064516129034</v>
      </c>
      <c r="L11" s="192">
        <f>SUM(J11)</f>
        <v>236</v>
      </c>
      <c r="M11" s="192">
        <f t="shared" si="19"/>
        <v>5077.8064516129034</v>
      </c>
      <c r="N11" s="192">
        <f>SUM(L11)</f>
        <v>236</v>
      </c>
      <c r="O11" s="192">
        <f t="shared" si="20"/>
        <v>5077.8064516129034</v>
      </c>
      <c r="P11" s="192">
        <f>SUM(N11)</f>
        <v>236</v>
      </c>
      <c r="Q11" s="192">
        <f t="shared" si="21"/>
        <v>5077.8064516129034</v>
      </c>
      <c r="R11" s="192">
        <f>SUM(P11)</f>
        <v>236</v>
      </c>
      <c r="S11" s="192">
        <f t="shared" si="22"/>
        <v>5077.8064516129034</v>
      </c>
      <c r="T11" s="192">
        <f>SUM(R11)</f>
        <v>236</v>
      </c>
      <c r="U11" s="192">
        <f t="shared" si="23"/>
        <v>5077.8064516129034</v>
      </c>
      <c r="V11" s="192">
        <f>SUM(T11)</f>
        <v>236</v>
      </c>
      <c r="W11" s="192">
        <f t="shared" si="24"/>
        <v>5077.8064516129034</v>
      </c>
      <c r="X11" s="34">
        <f>SUM(Y11/73370)</f>
        <v>0.761290322580645</v>
      </c>
      <c r="Y11" s="35">
        <f>SUM(C11+E11+G11+I11+K11+M11+O11+Q11+S11+U11+W11)</f>
        <v>55855.870967741925</v>
      </c>
      <c r="Z11" s="440">
        <f>'B5'!C10</f>
        <v>236</v>
      </c>
      <c r="AA11" s="192">
        <f t="shared" si="45"/>
        <v>2360</v>
      </c>
      <c r="AB11" s="192">
        <f>SUM(Z11)</f>
        <v>236</v>
      </c>
      <c r="AC11" s="192">
        <f t="shared" si="45"/>
        <v>2360</v>
      </c>
      <c r="AD11" s="192">
        <f>SUM(AB11)</f>
        <v>236</v>
      </c>
      <c r="AE11" s="192">
        <f t="shared" si="25"/>
        <v>2360</v>
      </c>
      <c r="AF11" s="192">
        <f>SUM(AD11)</f>
        <v>236</v>
      </c>
      <c r="AG11" s="192">
        <f t="shared" si="26"/>
        <v>2360</v>
      </c>
      <c r="AH11" s="192">
        <f>SUM(AF11)</f>
        <v>236</v>
      </c>
      <c r="AI11" s="192">
        <f t="shared" si="27"/>
        <v>2360</v>
      </c>
      <c r="AJ11" s="192">
        <f>SUM(AH11)</f>
        <v>236</v>
      </c>
      <c r="AK11" s="192">
        <f t="shared" si="28"/>
        <v>2360</v>
      </c>
      <c r="AL11" s="192">
        <f>SUM(AJ11)</f>
        <v>236</v>
      </c>
      <c r="AM11" s="192">
        <f t="shared" si="29"/>
        <v>2360</v>
      </c>
      <c r="AN11" s="34">
        <f>SUM(AO11/19600)</f>
        <v>0.84285714285714286</v>
      </c>
      <c r="AO11" s="35">
        <f t="shared" si="54"/>
        <v>16520</v>
      </c>
      <c r="AP11" s="458"/>
      <c r="AQ11" s="208">
        <f t="shared" si="55"/>
        <v>0.77848629630786192</v>
      </c>
      <c r="AR11" s="37">
        <f>Y11+AO11</f>
        <v>72375.870967741925</v>
      </c>
      <c r="AS11" s="186">
        <f t="shared" si="57"/>
        <v>0</v>
      </c>
      <c r="AT11" s="303"/>
      <c r="AU11" s="475"/>
      <c r="AV11" s="432">
        <f>IF(AT11&gt;0,AU11,AV10)</f>
        <v>0.89</v>
      </c>
      <c r="AW11" s="251">
        <f>-SUM('B5'!AI10)</f>
        <v>0</v>
      </c>
      <c r="AX11" s="251">
        <f t="shared" si="31"/>
        <v>0</v>
      </c>
      <c r="AY11" s="36">
        <f t="shared" si="52"/>
        <v>0</v>
      </c>
      <c r="AZ11" s="96">
        <f>ELEC!A9</f>
        <v>0</v>
      </c>
      <c r="BA11" s="114">
        <f>'General information '!D10</f>
        <v>0</v>
      </c>
      <c r="BB11" s="193">
        <f>SUM('General information '!E10)</f>
        <v>0</v>
      </c>
      <c r="BC11" s="3">
        <f t="shared" si="59"/>
        <v>0</v>
      </c>
      <c r="BD11" s="98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53"/>
        <v>0</v>
      </c>
      <c r="BK11" s="469"/>
    </row>
    <row r="12" spans="1:63">
      <c r="A12" s="379">
        <f>ELEC!C10</f>
        <v>44933</v>
      </c>
      <c r="B12" s="440">
        <f>'B5'!B11</f>
        <v>236</v>
      </c>
      <c r="C12" s="192">
        <f t="shared" si="32"/>
        <v>5077.8064516129034</v>
      </c>
      <c r="D12">
        <f t="shared" si="33"/>
        <v>236</v>
      </c>
      <c r="E12" s="192">
        <f t="shared" si="32"/>
        <v>5077.8064516129034</v>
      </c>
      <c r="F12">
        <f t="shared" si="34"/>
        <v>236</v>
      </c>
      <c r="G12" s="192">
        <f t="shared" si="16"/>
        <v>5077.8064516129034</v>
      </c>
      <c r="H12" s="192">
        <f t="shared" si="35"/>
        <v>236</v>
      </c>
      <c r="I12" s="192">
        <f t="shared" si="17"/>
        <v>5077.8064516129034</v>
      </c>
      <c r="J12" s="192">
        <f t="shared" si="36"/>
        <v>236</v>
      </c>
      <c r="K12" s="192">
        <f t="shared" si="18"/>
        <v>5077.8064516129034</v>
      </c>
      <c r="L12" s="192">
        <f t="shared" si="37"/>
        <v>236</v>
      </c>
      <c r="M12" s="192">
        <f t="shared" si="19"/>
        <v>5077.8064516129034</v>
      </c>
      <c r="N12" s="192">
        <f t="shared" si="38"/>
        <v>236</v>
      </c>
      <c r="O12" s="192">
        <f t="shared" si="20"/>
        <v>5077.8064516129034</v>
      </c>
      <c r="P12" s="192">
        <f t="shared" si="39"/>
        <v>236</v>
      </c>
      <c r="Q12" s="192">
        <f t="shared" si="21"/>
        <v>5077.8064516129034</v>
      </c>
      <c r="R12" s="192">
        <f t="shared" si="40"/>
        <v>236</v>
      </c>
      <c r="S12" s="192">
        <f t="shared" si="22"/>
        <v>5077.8064516129034</v>
      </c>
      <c r="T12" s="192">
        <f t="shared" si="41"/>
        <v>236</v>
      </c>
      <c r="U12" s="192">
        <f t="shared" si="23"/>
        <v>5077.8064516129034</v>
      </c>
      <c r="V12" s="192">
        <f t="shared" si="42"/>
        <v>236</v>
      </c>
      <c r="W12" s="192">
        <f t="shared" si="24"/>
        <v>5077.8064516129034</v>
      </c>
      <c r="X12" s="34">
        <f t="shared" si="43"/>
        <v>0.761290322580645</v>
      </c>
      <c r="Y12" s="35">
        <f t="shared" si="44"/>
        <v>55855.870967741925</v>
      </c>
      <c r="Z12" s="440">
        <f>'B5'!C11</f>
        <v>236</v>
      </c>
      <c r="AA12" s="192">
        <f t="shared" si="45"/>
        <v>2360</v>
      </c>
      <c r="AB12" s="192">
        <f t="shared" si="46"/>
        <v>236</v>
      </c>
      <c r="AC12" s="192">
        <f t="shared" si="45"/>
        <v>2360</v>
      </c>
      <c r="AD12" s="192">
        <f t="shared" si="47"/>
        <v>236</v>
      </c>
      <c r="AE12" s="192">
        <f t="shared" si="25"/>
        <v>2360</v>
      </c>
      <c r="AF12" s="192">
        <f t="shared" si="48"/>
        <v>236</v>
      </c>
      <c r="AG12" s="192">
        <f t="shared" si="26"/>
        <v>2360</v>
      </c>
      <c r="AH12" s="192">
        <f t="shared" si="49"/>
        <v>236</v>
      </c>
      <c r="AI12" s="192">
        <f t="shared" si="27"/>
        <v>2360</v>
      </c>
      <c r="AJ12" s="192">
        <f t="shared" si="50"/>
        <v>236</v>
      </c>
      <c r="AK12" s="192">
        <f t="shared" si="28"/>
        <v>2360</v>
      </c>
      <c r="AL12" s="192">
        <f t="shared" si="51"/>
        <v>236</v>
      </c>
      <c r="AM12" s="192">
        <f t="shared" si="29"/>
        <v>2360</v>
      </c>
      <c r="AN12" s="34">
        <f t="shared" si="30"/>
        <v>0.84285714285714286</v>
      </c>
      <c r="AO12" s="35">
        <f t="shared" si="54"/>
        <v>16520</v>
      </c>
      <c r="AP12" s="458"/>
      <c r="AQ12" s="208">
        <f t="shared" si="55"/>
        <v>0.77848629630786192</v>
      </c>
      <c r="AR12" s="37">
        <f t="shared" si="56"/>
        <v>72375.870967741925</v>
      </c>
      <c r="AS12" s="186">
        <f>SUM(AR12-AR11-AT12)</f>
        <v>0</v>
      </c>
      <c r="AT12" s="303"/>
      <c r="AU12" s="475"/>
      <c r="AV12" s="432">
        <f t="shared" si="58"/>
        <v>0.89</v>
      </c>
      <c r="AW12" s="251">
        <f>-SUM('B5'!AI11)</f>
        <v>0</v>
      </c>
      <c r="AX12" s="251">
        <f t="shared" si="31"/>
        <v>0</v>
      </c>
      <c r="AY12" s="36">
        <f t="shared" si="52"/>
        <v>0</v>
      </c>
      <c r="AZ12" s="96">
        <f>ELEC!A10</f>
        <v>0</v>
      </c>
      <c r="BA12" s="114">
        <f>'General information '!D11</f>
        <v>0</v>
      </c>
      <c r="BB12" s="193">
        <f>SUM('General information '!E11)</f>
        <v>0</v>
      </c>
      <c r="BC12" s="3">
        <f t="shared" si="59"/>
        <v>0</v>
      </c>
      <c r="BD12" s="98">
        <v>19222</v>
      </c>
      <c r="BE12" s="14">
        <f>(305/1185)*ELEC!Q11</f>
        <v>607.94092827029692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53"/>
        <v>0</v>
      </c>
      <c r="BK12" s="469"/>
    </row>
    <row r="13" spans="1:63">
      <c r="A13" s="379">
        <f>ELEC!C11</f>
        <v>44934</v>
      </c>
      <c r="B13" s="440">
        <f>'B5'!B12</f>
        <v>233</v>
      </c>
      <c r="C13" s="192">
        <f t="shared" si="32"/>
        <v>5013.2580645161288</v>
      </c>
      <c r="D13">
        <f t="shared" si="33"/>
        <v>233</v>
      </c>
      <c r="E13" s="192">
        <f t="shared" si="32"/>
        <v>5013.2580645161288</v>
      </c>
      <c r="F13">
        <f t="shared" si="34"/>
        <v>233</v>
      </c>
      <c r="G13" s="192">
        <f t="shared" si="16"/>
        <v>5013.2580645161288</v>
      </c>
      <c r="H13" s="192">
        <f t="shared" si="35"/>
        <v>233</v>
      </c>
      <c r="I13" s="192">
        <f t="shared" si="17"/>
        <v>5013.2580645161288</v>
      </c>
      <c r="J13" s="192">
        <f t="shared" si="36"/>
        <v>233</v>
      </c>
      <c r="K13" s="192">
        <f t="shared" si="18"/>
        <v>5013.2580645161288</v>
      </c>
      <c r="L13" s="192">
        <f t="shared" si="37"/>
        <v>233</v>
      </c>
      <c r="M13" s="192">
        <f t="shared" si="19"/>
        <v>5013.2580645161288</v>
      </c>
      <c r="N13" s="192">
        <f t="shared" si="38"/>
        <v>233</v>
      </c>
      <c r="O13" s="192">
        <f t="shared" si="20"/>
        <v>5013.2580645161288</v>
      </c>
      <c r="P13" s="192">
        <f t="shared" si="39"/>
        <v>233</v>
      </c>
      <c r="Q13" s="192">
        <f t="shared" si="21"/>
        <v>5013.2580645161288</v>
      </c>
      <c r="R13" s="192">
        <f t="shared" si="40"/>
        <v>233</v>
      </c>
      <c r="S13" s="192">
        <f t="shared" si="22"/>
        <v>5013.2580645161288</v>
      </c>
      <c r="T13" s="192">
        <f t="shared" si="41"/>
        <v>233</v>
      </c>
      <c r="U13" s="192">
        <f t="shared" si="23"/>
        <v>5013.2580645161288</v>
      </c>
      <c r="V13" s="192">
        <f t="shared" si="42"/>
        <v>233</v>
      </c>
      <c r="W13" s="192">
        <f t="shared" si="24"/>
        <v>5013.2580645161288</v>
      </c>
      <c r="X13" s="34">
        <f t="shared" si="43"/>
        <v>0.75161290322580643</v>
      </c>
      <c r="Y13" s="35">
        <f t="shared" si="44"/>
        <v>55145.838709677417</v>
      </c>
      <c r="Z13" s="440">
        <f>'B5'!C12</f>
        <v>239</v>
      </c>
      <c r="AA13" s="192">
        <f t="shared" si="45"/>
        <v>2390</v>
      </c>
      <c r="AB13" s="192">
        <f t="shared" si="46"/>
        <v>239</v>
      </c>
      <c r="AC13" s="192">
        <f t="shared" si="45"/>
        <v>2390</v>
      </c>
      <c r="AD13" s="192">
        <f t="shared" si="47"/>
        <v>239</v>
      </c>
      <c r="AE13" s="192">
        <f t="shared" si="25"/>
        <v>2390</v>
      </c>
      <c r="AF13" s="192">
        <f t="shared" si="48"/>
        <v>239</v>
      </c>
      <c r="AG13" s="192">
        <f t="shared" si="26"/>
        <v>2390</v>
      </c>
      <c r="AH13" s="192">
        <f t="shared" si="49"/>
        <v>239</v>
      </c>
      <c r="AI13" s="192">
        <f t="shared" si="27"/>
        <v>2390</v>
      </c>
      <c r="AJ13" s="192">
        <f t="shared" si="50"/>
        <v>239</v>
      </c>
      <c r="AK13" s="192">
        <f t="shared" si="28"/>
        <v>2390</v>
      </c>
      <c r="AL13" s="192">
        <f t="shared" si="51"/>
        <v>239</v>
      </c>
      <c r="AM13" s="192">
        <f t="shared" si="29"/>
        <v>2390</v>
      </c>
      <c r="AN13" s="34">
        <f t="shared" si="30"/>
        <v>0.85357142857142854</v>
      </c>
      <c r="AO13" s="35">
        <f t="shared" si="54"/>
        <v>16730</v>
      </c>
      <c r="AP13" s="458"/>
      <c r="AQ13" s="208">
        <f t="shared" si="55"/>
        <v>0.77310787038482764</v>
      </c>
      <c r="AR13" s="37">
        <f>Y13+AO13</f>
        <v>71875.838709677424</v>
      </c>
      <c r="AS13" s="186">
        <f>SUM(AR13-AR12-AT13)</f>
        <v>-500.03225806450064</v>
      </c>
      <c r="AT13" s="303"/>
      <c r="AU13" s="475"/>
      <c r="AV13" s="432">
        <f t="shared" si="58"/>
        <v>0.89</v>
      </c>
      <c r="AW13" s="251">
        <f>-SUM('B5'!AI12)</f>
        <v>-180</v>
      </c>
      <c r="AX13" s="251">
        <f t="shared" si="31"/>
        <v>-320.03225806450064</v>
      </c>
      <c r="AY13" s="36">
        <f t="shared" si="52"/>
        <v>-500.03225806450064</v>
      </c>
      <c r="AZ13" s="96">
        <f>ELEC!A11</f>
        <v>0</v>
      </c>
      <c r="BA13" s="114">
        <f>'General information '!D12</f>
        <v>17</v>
      </c>
      <c r="BB13" s="193">
        <f>SUM('General information '!E12)</f>
        <v>0.62</v>
      </c>
      <c r="BC13" s="3">
        <f t="shared" si="59"/>
        <v>0</v>
      </c>
      <c r="BD13" s="98">
        <v>19222</v>
      </c>
      <c r="BE13" s="14">
        <f>(305/1185)*ELEC!Q12</f>
        <v>806.3839662451453</v>
      </c>
      <c r="BF13" s="14"/>
      <c r="BG13" s="14" t="e">
        <f>#REF!-BE13</f>
        <v>#REF!</v>
      </c>
      <c r="BH13" s="11"/>
      <c r="BI13">
        <v>5</v>
      </c>
      <c r="BJ13">
        <f t="shared" si="53"/>
        <v>-64.006451612900122</v>
      </c>
      <c r="BK13" s="469">
        <f>GEN!AF10</f>
        <v>0.13420454545460167</v>
      </c>
    </row>
    <row r="14" spans="1:63">
      <c r="A14" s="379">
        <f>ELEC!C12</f>
        <v>44935</v>
      </c>
      <c r="B14" s="440">
        <f>'B5'!B13</f>
        <v>228</v>
      </c>
      <c r="C14" s="192">
        <f t="shared" si="32"/>
        <v>4905.677419354839</v>
      </c>
      <c r="D14">
        <f t="shared" si="33"/>
        <v>228</v>
      </c>
      <c r="E14" s="192">
        <f t="shared" si="32"/>
        <v>4905.677419354839</v>
      </c>
      <c r="F14">
        <f t="shared" si="34"/>
        <v>228</v>
      </c>
      <c r="G14" s="192">
        <f t="shared" si="16"/>
        <v>4905.677419354839</v>
      </c>
      <c r="H14" s="192">
        <f t="shared" si="35"/>
        <v>228</v>
      </c>
      <c r="I14" s="192">
        <f t="shared" si="17"/>
        <v>4905.677419354839</v>
      </c>
      <c r="J14" s="192">
        <f t="shared" si="36"/>
        <v>228</v>
      </c>
      <c r="K14" s="192">
        <f t="shared" si="18"/>
        <v>4905.677419354839</v>
      </c>
      <c r="L14" s="192">
        <f t="shared" si="37"/>
        <v>228</v>
      </c>
      <c r="M14" s="192">
        <f t="shared" si="19"/>
        <v>4905.677419354839</v>
      </c>
      <c r="N14" s="192">
        <f t="shared" si="38"/>
        <v>228</v>
      </c>
      <c r="O14" s="192">
        <f t="shared" si="20"/>
        <v>4905.677419354839</v>
      </c>
      <c r="P14" s="192">
        <f t="shared" si="39"/>
        <v>228</v>
      </c>
      <c r="Q14" s="192">
        <f t="shared" si="21"/>
        <v>4905.677419354839</v>
      </c>
      <c r="R14" s="192">
        <f t="shared" si="40"/>
        <v>228</v>
      </c>
      <c r="S14" s="192">
        <f t="shared" si="22"/>
        <v>4905.677419354839</v>
      </c>
      <c r="T14" s="192">
        <f t="shared" si="41"/>
        <v>228</v>
      </c>
      <c r="U14" s="192">
        <f t="shared" si="23"/>
        <v>4905.677419354839</v>
      </c>
      <c r="V14" s="192">
        <f t="shared" si="42"/>
        <v>228</v>
      </c>
      <c r="W14" s="192">
        <f t="shared" si="24"/>
        <v>4905.677419354839</v>
      </c>
      <c r="X14" s="34">
        <f t="shared" si="43"/>
        <v>0.73548387096774215</v>
      </c>
      <c r="Y14" s="35">
        <f t="shared" si="44"/>
        <v>53962.451612903242</v>
      </c>
      <c r="Z14" s="440">
        <f>'B5'!C13</f>
        <v>234</v>
      </c>
      <c r="AA14" s="192">
        <f t="shared" si="45"/>
        <v>2340</v>
      </c>
      <c r="AB14" s="192">
        <f t="shared" si="46"/>
        <v>234</v>
      </c>
      <c r="AC14" s="192">
        <f t="shared" si="45"/>
        <v>2340</v>
      </c>
      <c r="AD14" s="192">
        <f t="shared" si="47"/>
        <v>234</v>
      </c>
      <c r="AE14" s="192">
        <f t="shared" si="25"/>
        <v>2340</v>
      </c>
      <c r="AF14" s="192">
        <f t="shared" si="48"/>
        <v>234</v>
      </c>
      <c r="AG14" s="192">
        <f t="shared" si="26"/>
        <v>2340</v>
      </c>
      <c r="AH14" s="192">
        <f t="shared" si="49"/>
        <v>234</v>
      </c>
      <c r="AI14" s="192">
        <f t="shared" si="27"/>
        <v>2340</v>
      </c>
      <c r="AJ14" s="192">
        <f t="shared" si="50"/>
        <v>234</v>
      </c>
      <c r="AK14" s="192">
        <f t="shared" si="28"/>
        <v>2340</v>
      </c>
      <c r="AL14" s="192">
        <f t="shared" si="51"/>
        <v>234</v>
      </c>
      <c r="AM14" s="192">
        <f t="shared" si="29"/>
        <v>2340</v>
      </c>
      <c r="AN14" s="34">
        <f t="shared" si="30"/>
        <v>0.83571428571428574</v>
      </c>
      <c r="AO14" s="35">
        <f t="shared" si="54"/>
        <v>16380</v>
      </c>
      <c r="AQ14" s="208">
        <f t="shared" si="55"/>
        <v>0.75661451664949164</v>
      </c>
      <c r="AR14" s="37">
        <f t="shared" si="56"/>
        <v>70342.451612903242</v>
      </c>
      <c r="AS14" s="186">
        <f>SUM(AR14-AR13-AT14)</f>
        <v>-1533.3870967741823</v>
      </c>
      <c r="AT14" s="303"/>
      <c r="AU14" s="475"/>
      <c r="AV14" s="432">
        <f t="shared" si="58"/>
        <v>0.89</v>
      </c>
      <c r="AW14" s="251">
        <f>-SUM('B5'!AI13)</f>
        <v>-276.5</v>
      </c>
      <c r="AX14" s="251">
        <f t="shared" si="31"/>
        <v>-1256.8870967741823</v>
      </c>
      <c r="AY14" s="36">
        <f t="shared" si="52"/>
        <v>-1533.3870967741823</v>
      </c>
      <c r="AZ14" s="96">
        <f>ELEC!A12</f>
        <v>0</v>
      </c>
      <c r="BA14" s="114">
        <f>'General information '!D13</f>
        <v>16</v>
      </c>
      <c r="BB14" s="193">
        <f>SUM('General information '!E13)</f>
        <v>0.6</v>
      </c>
      <c r="BC14" s="3">
        <f t="shared" si="59"/>
        <v>0</v>
      </c>
      <c r="BD14" s="98">
        <v>19222</v>
      </c>
      <c r="BE14" s="14">
        <f>(305/1185)*ELEC!Q13</f>
        <v>761.34177215156922</v>
      </c>
      <c r="BF14" s="14"/>
      <c r="BG14" s="14" t="e">
        <f>#REF!-BE14</f>
        <v>#REF!</v>
      </c>
      <c r="BH14" s="11"/>
      <c r="BI14">
        <v>3</v>
      </c>
      <c r="BJ14">
        <f t="shared" si="53"/>
        <v>-418.96236559139408</v>
      </c>
      <c r="BK14" s="469">
        <f>GEN!AF11</f>
        <v>0.13054166666673458</v>
      </c>
    </row>
    <row r="15" spans="1:63" ht="13.5" customHeight="1">
      <c r="A15" s="379">
        <f>ELEC!C13</f>
        <v>44936</v>
      </c>
      <c r="B15" s="440">
        <f>'B5'!B14</f>
        <v>225</v>
      </c>
      <c r="C15" s="192">
        <f>B15*$B$4</f>
        <v>4841.1290322580644</v>
      </c>
      <c r="D15">
        <f t="shared" si="33"/>
        <v>225</v>
      </c>
      <c r="E15" s="192">
        <f t="shared" si="32"/>
        <v>4841.1290322580644</v>
      </c>
      <c r="F15">
        <f t="shared" si="34"/>
        <v>225</v>
      </c>
      <c r="G15" s="192">
        <f t="shared" si="16"/>
        <v>4841.1290322580644</v>
      </c>
      <c r="H15" s="192">
        <f t="shared" si="35"/>
        <v>225</v>
      </c>
      <c r="I15" s="192">
        <f t="shared" si="17"/>
        <v>4841.1290322580644</v>
      </c>
      <c r="J15" s="192">
        <f t="shared" si="36"/>
        <v>225</v>
      </c>
      <c r="K15" s="192">
        <f t="shared" si="18"/>
        <v>4841.1290322580644</v>
      </c>
      <c r="L15" s="192">
        <f t="shared" si="37"/>
        <v>225</v>
      </c>
      <c r="M15" s="192">
        <f t="shared" si="19"/>
        <v>4841.1290322580644</v>
      </c>
      <c r="N15" s="192">
        <f t="shared" si="38"/>
        <v>225</v>
      </c>
      <c r="O15" s="192">
        <f t="shared" si="20"/>
        <v>4841.1290322580644</v>
      </c>
      <c r="P15" s="192">
        <f t="shared" si="39"/>
        <v>225</v>
      </c>
      <c r="Q15" s="192">
        <f t="shared" si="21"/>
        <v>4841.1290322580644</v>
      </c>
      <c r="R15" s="192">
        <f t="shared" si="40"/>
        <v>225</v>
      </c>
      <c r="S15" s="192">
        <f t="shared" si="22"/>
        <v>4841.1290322580644</v>
      </c>
      <c r="T15" s="192">
        <f t="shared" si="41"/>
        <v>225</v>
      </c>
      <c r="U15" s="192">
        <f t="shared" si="23"/>
        <v>4841.1290322580644</v>
      </c>
      <c r="V15" s="192">
        <f t="shared" si="42"/>
        <v>225</v>
      </c>
      <c r="W15" s="192">
        <f t="shared" si="24"/>
        <v>4841.1290322580644</v>
      </c>
      <c r="X15" s="34">
        <f t="shared" si="43"/>
        <v>0.72580645161290303</v>
      </c>
      <c r="Y15" s="35">
        <f t="shared" si="44"/>
        <v>53252.419354838697</v>
      </c>
      <c r="Z15" s="440">
        <f>'B5'!C14</f>
        <v>231</v>
      </c>
      <c r="AA15" s="192">
        <f t="shared" si="45"/>
        <v>2310</v>
      </c>
      <c r="AB15" s="192">
        <f t="shared" si="46"/>
        <v>231</v>
      </c>
      <c r="AC15" s="192">
        <f t="shared" si="45"/>
        <v>2310</v>
      </c>
      <c r="AD15" s="192">
        <f t="shared" si="47"/>
        <v>231</v>
      </c>
      <c r="AE15" s="192">
        <f t="shared" si="25"/>
        <v>2310</v>
      </c>
      <c r="AF15" s="192">
        <f t="shared" si="48"/>
        <v>231</v>
      </c>
      <c r="AG15" s="192">
        <f t="shared" si="26"/>
        <v>2310</v>
      </c>
      <c r="AH15" s="192">
        <f t="shared" si="49"/>
        <v>231</v>
      </c>
      <c r="AI15" s="192">
        <f t="shared" si="27"/>
        <v>2310</v>
      </c>
      <c r="AJ15" s="192">
        <f t="shared" si="50"/>
        <v>231</v>
      </c>
      <c r="AK15" s="192">
        <f t="shared" si="28"/>
        <v>2310</v>
      </c>
      <c r="AL15" s="192">
        <f t="shared" si="51"/>
        <v>231</v>
      </c>
      <c r="AM15" s="192">
        <f t="shared" si="29"/>
        <v>2310</v>
      </c>
      <c r="AN15" s="34">
        <f t="shared" si="30"/>
        <v>0.82499999999999996</v>
      </c>
      <c r="AO15" s="35">
        <f t="shared" si="54"/>
        <v>16170</v>
      </c>
      <c r="AQ15" s="208">
        <f t="shared" si="55"/>
        <v>0.7467185044082898</v>
      </c>
      <c r="AR15" s="37">
        <f t="shared" si="56"/>
        <v>69422.419354838697</v>
      </c>
      <c r="AS15" s="186">
        <f t="shared" si="57"/>
        <v>-920.03225806454429</v>
      </c>
      <c r="AT15" s="303"/>
      <c r="AU15" s="475"/>
      <c r="AV15" s="432">
        <f>IF(AT15&gt;0,AU15,AV14)</f>
        <v>0.89</v>
      </c>
      <c r="AW15" s="251">
        <f>-SUM('B5'!AI14)</f>
        <v>-67</v>
      </c>
      <c r="AX15" s="251">
        <f t="shared" si="31"/>
        <v>-853.03225806454429</v>
      </c>
      <c r="AY15" s="36">
        <f t="shared" si="52"/>
        <v>-920.03225806454429</v>
      </c>
      <c r="AZ15" s="96">
        <f>ELEC!A13</f>
        <v>0</v>
      </c>
      <c r="BA15" s="114">
        <f>'General information '!D14</f>
        <v>15.5</v>
      </c>
      <c r="BB15" s="193">
        <f>SUM('General information '!E14)</f>
        <v>0.6</v>
      </c>
      <c r="BC15" s="3">
        <f t="shared" si="59"/>
        <v>0</v>
      </c>
      <c r="BD15" s="98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53"/>
        <v>-213.25806451613607</v>
      </c>
      <c r="BK15" s="469">
        <f>GEN!AF12</f>
        <v>0.14221153846147691</v>
      </c>
    </row>
    <row r="16" spans="1:63">
      <c r="A16" s="379">
        <f>ELEC!C14</f>
        <v>44937</v>
      </c>
      <c r="B16" s="440">
        <f>'B5'!B15</f>
        <v>225</v>
      </c>
      <c r="C16" s="192">
        <f t="shared" si="32"/>
        <v>4841.1290322580644</v>
      </c>
      <c r="D16">
        <f t="shared" si="33"/>
        <v>225</v>
      </c>
      <c r="E16" s="192">
        <f t="shared" si="32"/>
        <v>4841.1290322580644</v>
      </c>
      <c r="F16">
        <f t="shared" si="34"/>
        <v>225</v>
      </c>
      <c r="G16" s="192">
        <f t="shared" si="16"/>
        <v>4841.1290322580644</v>
      </c>
      <c r="H16" s="192">
        <f t="shared" si="35"/>
        <v>225</v>
      </c>
      <c r="I16" s="192">
        <f t="shared" si="17"/>
        <v>4841.1290322580644</v>
      </c>
      <c r="J16" s="192">
        <f t="shared" si="36"/>
        <v>225</v>
      </c>
      <c r="K16" s="192">
        <f t="shared" si="18"/>
        <v>4841.1290322580644</v>
      </c>
      <c r="L16" s="192">
        <f t="shared" si="37"/>
        <v>225</v>
      </c>
      <c r="M16" s="192">
        <f t="shared" si="19"/>
        <v>4841.1290322580644</v>
      </c>
      <c r="N16" s="192">
        <f t="shared" si="38"/>
        <v>225</v>
      </c>
      <c r="O16" s="192">
        <f t="shared" si="20"/>
        <v>4841.1290322580644</v>
      </c>
      <c r="P16" s="192">
        <f t="shared" si="39"/>
        <v>225</v>
      </c>
      <c r="Q16" s="192">
        <f t="shared" si="21"/>
        <v>4841.1290322580644</v>
      </c>
      <c r="R16" s="192">
        <f t="shared" si="40"/>
        <v>225</v>
      </c>
      <c r="S16" s="192">
        <f t="shared" si="22"/>
        <v>4841.1290322580644</v>
      </c>
      <c r="T16" s="192">
        <f t="shared" si="41"/>
        <v>225</v>
      </c>
      <c r="U16" s="192">
        <f t="shared" si="23"/>
        <v>4841.1290322580644</v>
      </c>
      <c r="V16" s="192">
        <f t="shared" si="42"/>
        <v>225</v>
      </c>
      <c r="W16" s="192">
        <f t="shared" si="24"/>
        <v>4841.1290322580644</v>
      </c>
      <c r="X16" s="34">
        <f t="shared" si="43"/>
        <v>0.72580645161290303</v>
      </c>
      <c r="Y16" s="35">
        <f t="shared" si="44"/>
        <v>53252.419354838697</v>
      </c>
      <c r="Z16" s="440">
        <f>'B5'!C15</f>
        <v>231</v>
      </c>
      <c r="AA16" s="192">
        <f t="shared" si="45"/>
        <v>2310</v>
      </c>
      <c r="AB16" s="192">
        <f t="shared" si="46"/>
        <v>231</v>
      </c>
      <c r="AC16" s="192">
        <f t="shared" si="45"/>
        <v>2310</v>
      </c>
      <c r="AD16" s="192">
        <f t="shared" si="47"/>
        <v>231</v>
      </c>
      <c r="AE16" s="192">
        <f t="shared" si="25"/>
        <v>2310</v>
      </c>
      <c r="AF16" s="192">
        <f t="shared" si="48"/>
        <v>231</v>
      </c>
      <c r="AG16" s="192">
        <f t="shared" si="26"/>
        <v>2310</v>
      </c>
      <c r="AH16" s="192">
        <f t="shared" si="49"/>
        <v>231</v>
      </c>
      <c r="AI16" s="192">
        <f t="shared" si="27"/>
        <v>2310</v>
      </c>
      <c r="AJ16" s="192">
        <f t="shared" si="50"/>
        <v>231</v>
      </c>
      <c r="AK16" s="192">
        <f t="shared" si="28"/>
        <v>2310</v>
      </c>
      <c r="AL16" s="192">
        <f t="shared" si="51"/>
        <v>231</v>
      </c>
      <c r="AM16" s="192">
        <f t="shared" si="29"/>
        <v>2310</v>
      </c>
      <c r="AN16" s="34">
        <f t="shared" si="30"/>
        <v>0.82499999999999996</v>
      </c>
      <c r="AO16" s="35">
        <f t="shared" si="54"/>
        <v>16170</v>
      </c>
      <c r="AQ16" s="208">
        <f t="shared" si="55"/>
        <v>0.7467185044082898</v>
      </c>
      <c r="AR16" s="37">
        <f>Y16+AO16</f>
        <v>69422.419354838697</v>
      </c>
      <c r="AS16" s="186">
        <f>SUM(AR16-AR15-AT16)</f>
        <v>0</v>
      </c>
      <c r="AT16" s="303"/>
      <c r="AU16" s="475"/>
      <c r="AV16" s="432">
        <f t="shared" ref="AV16" si="60">IF(AT16&gt;0,AU16,AV15)</f>
        <v>0.89</v>
      </c>
      <c r="AW16" s="251">
        <f>-SUM('B5'!AI15)</f>
        <v>0</v>
      </c>
      <c r="AX16" s="251">
        <f t="shared" si="31"/>
        <v>0</v>
      </c>
      <c r="AY16" s="36">
        <f t="shared" si="52"/>
        <v>0</v>
      </c>
      <c r="AZ16" s="96">
        <f>ELEC!A14</f>
        <v>0</v>
      </c>
      <c r="BA16" s="114">
        <f>'General information '!D15</f>
        <v>0</v>
      </c>
      <c r="BB16" s="193">
        <f>SUM('General information '!E15)</f>
        <v>0</v>
      </c>
      <c r="BC16" s="3">
        <f t="shared" si="59"/>
        <v>0</v>
      </c>
      <c r="BD16" s="98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53"/>
        <v>0</v>
      </c>
      <c r="BK16" s="469" t="e">
        <f>GEN!AF13</f>
        <v>#DIV/0!</v>
      </c>
    </row>
    <row r="17" spans="1:64">
      <c r="A17" s="379">
        <f>ELEC!C15</f>
        <v>44938</v>
      </c>
      <c r="B17" s="440">
        <f>'B5'!B16</f>
        <v>225</v>
      </c>
      <c r="C17" s="192">
        <f t="shared" si="32"/>
        <v>4841.1290322580644</v>
      </c>
      <c r="D17">
        <f t="shared" si="33"/>
        <v>225</v>
      </c>
      <c r="E17" s="192">
        <f t="shared" si="32"/>
        <v>4841.1290322580644</v>
      </c>
      <c r="F17">
        <f t="shared" si="34"/>
        <v>225</v>
      </c>
      <c r="G17" s="192">
        <f t="shared" si="16"/>
        <v>4841.1290322580644</v>
      </c>
      <c r="H17" s="192">
        <f t="shared" si="35"/>
        <v>225</v>
      </c>
      <c r="I17" s="192">
        <f t="shared" si="17"/>
        <v>4841.1290322580644</v>
      </c>
      <c r="J17" s="192">
        <f t="shared" si="36"/>
        <v>225</v>
      </c>
      <c r="K17" s="192">
        <f t="shared" si="18"/>
        <v>4841.1290322580644</v>
      </c>
      <c r="L17" s="192">
        <f t="shared" si="37"/>
        <v>225</v>
      </c>
      <c r="M17" s="192">
        <f t="shared" si="19"/>
        <v>4841.1290322580644</v>
      </c>
      <c r="N17" s="192">
        <f t="shared" si="38"/>
        <v>225</v>
      </c>
      <c r="O17" s="192">
        <f t="shared" si="20"/>
        <v>4841.1290322580644</v>
      </c>
      <c r="P17" s="192">
        <f t="shared" si="39"/>
        <v>225</v>
      </c>
      <c r="Q17" s="192">
        <f t="shared" si="21"/>
        <v>4841.1290322580644</v>
      </c>
      <c r="R17" s="192">
        <f t="shared" si="40"/>
        <v>225</v>
      </c>
      <c r="S17" s="192">
        <f t="shared" si="22"/>
        <v>4841.1290322580644</v>
      </c>
      <c r="T17" s="192">
        <f t="shared" si="41"/>
        <v>225</v>
      </c>
      <c r="U17" s="192">
        <f t="shared" si="23"/>
        <v>4841.1290322580644</v>
      </c>
      <c r="V17" s="192">
        <f t="shared" si="42"/>
        <v>225</v>
      </c>
      <c r="W17" s="192">
        <f t="shared" si="24"/>
        <v>4841.1290322580644</v>
      </c>
      <c r="X17" s="34">
        <f t="shared" si="43"/>
        <v>0.72580645161290303</v>
      </c>
      <c r="Y17" s="35">
        <f t="shared" si="44"/>
        <v>53252.419354838697</v>
      </c>
      <c r="Z17" s="440">
        <f>'B5'!C16</f>
        <v>231</v>
      </c>
      <c r="AA17" s="192">
        <f t="shared" si="45"/>
        <v>2310</v>
      </c>
      <c r="AB17" s="192">
        <f t="shared" si="46"/>
        <v>231</v>
      </c>
      <c r="AC17" s="192">
        <f t="shared" si="45"/>
        <v>2310</v>
      </c>
      <c r="AD17" s="192">
        <f t="shared" si="47"/>
        <v>231</v>
      </c>
      <c r="AE17" s="192">
        <f t="shared" si="25"/>
        <v>2310</v>
      </c>
      <c r="AF17" s="192">
        <f t="shared" si="48"/>
        <v>231</v>
      </c>
      <c r="AG17" s="192">
        <f t="shared" si="26"/>
        <v>2310</v>
      </c>
      <c r="AH17" s="192">
        <f t="shared" si="49"/>
        <v>231</v>
      </c>
      <c r="AI17" s="192">
        <f t="shared" si="27"/>
        <v>2310</v>
      </c>
      <c r="AJ17" s="192">
        <f t="shared" si="50"/>
        <v>231</v>
      </c>
      <c r="AK17" s="192">
        <f t="shared" si="28"/>
        <v>2310</v>
      </c>
      <c r="AL17" s="192">
        <f t="shared" si="51"/>
        <v>231</v>
      </c>
      <c r="AM17" s="192">
        <f t="shared" si="29"/>
        <v>2310</v>
      </c>
      <c r="AN17" s="34">
        <f t="shared" si="30"/>
        <v>0.82499999999999996</v>
      </c>
      <c r="AO17" s="35">
        <f>SUM(AA17+AC17+AE17+AG17+AI17+AK17+AM17)</f>
        <v>16170</v>
      </c>
      <c r="AQ17" s="208">
        <f t="shared" si="55"/>
        <v>0.7467185044082898</v>
      </c>
      <c r="AR17" s="37">
        <f t="shared" si="56"/>
        <v>69422.419354838697</v>
      </c>
      <c r="AS17" s="186">
        <f t="shared" si="57"/>
        <v>0</v>
      </c>
      <c r="AT17" s="303"/>
      <c r="AU17" s="475"/>
      <c r="AV17" s="432">
        <f>IF(AT17&gt;0,AU17,AV16)</f>
        <v>0.89</v>
      </c>
      <c r="AW17" s="251">
        <f>-SUM('B5'!AI16)</f>
        <v>0</v>
      </c>
      <c r="AX17" s="251">
        <f t="shared" si="31"/>
        <v>0</v>
      </c>
      <c r="AY17" s="36">
        <f t="shared" si="52"/>
        <v>0</v>
      </c>
      <c r="AZ17" s="96">
        <f>ELEC!A15</f>
        <v>0</v>
      </c>
      <c r="BA17" s="114">
        <f>'General information '!D16</f>
        <v>0</v>
      </c>
      <c r="BB17" s="193">
        <f>SUM('General information '!E16)</f>
        <v>0</v>
      </c>
      <c r="BC17" s="3">
        <f t="shared" si="59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61">AX17/BI17</f>
        <v>0</v>
      </c>
      <c r="BK17" s="469" t="e">
        <f>GEN!AF14</f>
        <v>#DIV/0!</v>
      </c>
    </row>
    <row r="18" spans="1:64">
      <c r="A18" s="379">
        <f>ELEC!C16</f>
        <v>44939</v>
      </c>
      <c r="B18" s="440">
        <f>'B5'!B17</f>
        <v>225</v>
      </c>
      <c r="C18" s="192">
        <f t="shared" si="32"/>
        <v>4841.1290322580644</v>
      </c>
      <c r="D18">
        <f t="shared" si="33"/>
        <v>225</v>
      </c>
      <c r="E18" s="192">
        <f t="shared" si="32"/>
        <v>4841.1290322580644</v>
      </c>
      <c r="F18">
        <f t="shared" si="34"/>
        <v>225</v>
      </c>
      <c r="G18" s="192">
        <f t="shared" si="16"/>
        <v>4841.1290322580644</v>
      </c>
      <c r="H18" s="192">
        <f t="shared" si="35"/>
        <v>225</v>
      </c>
      <c r="I18" s="192">
        <f t="shared" si="17"/>
        <v>4841.1290322580644</v>
      </c>
      <c r="J18" s="192">
        <f t="shared" si="36"/>
        <v>225</v>
      </c>
      <c r="K18" s="192">
        <f t="shared" si="18"/>
        <v>4841.1290322580644</v>
      </c>
      <c r="L18" s="192">
        <f t="shared" si="37"/>
        <v>225</v>
      </c>
      <c r="M18" s="192">
        <f t="shared" si="19"/>
        <v>4841.1290322580644</v>
      </c>
      <c r="N18" s="192">
        <f t="shared" si="38"/>
        <v>225</v>
      </c>
      <c r="O18" s="192">
        <f t="shared" si="20"/>
        <v>4841.1290322580644</v>
      </c>
      <c r="P18" s="192">
        <f t="shared" si="39"/>
        <v>225</v>
      </c>
      <c r="Q18" s="192">
        <f t="shared" si="21"/>
        <v>4841.1290322580644</v>
      </c>
      <c r="R18" s="192">
        <f t="shared" si="40"/>
        <v>225</v>
      </c>
      <c r="S18" s="192">
        <f t="shared" si="22"/>
        <v>4841.1290322580644</v>
      </c>
      <c r="T18" s="192">
        <f t="shared" si="41"/>
        <v>225</v>
      </c>
      <c r="U18" s="192">
        <f t="shared" si="23"/>
        <v>4841.1290322580644</v>
      </c>
      <c r="V18" s="192">
        <f t="shared" si="42"/>
        <v>225</v>
      </c>
      <c r="W18" s="192">
        <f t="shared" si="24"/>
        <v>4841.1290322580644</v>
      </c>
      <c r="X18" s="34">
        <f t="shared" si="43"/>
        <v>0.72580645161290303</v>
      </c>
      <c r="Y18" s="35">
        <f t="shared" si="44"/>
        <v>53252.419354838697</v>
      </c>
      <c r="Z18" s="440">
        <f>'B5'!C17</f>
        <v>231</v>
      </c>
      <c r="AA18" s="192">
        <f t="shared" si="45"/>
        <v>2310</v>
      </c>
      <c r="AB18" s="192">
        <f t="shared" si="46"/>
        <v>231</v>
      </c>
      <c r="AC18" s="192">
        <f t="shared" si="45"/>
        <v>2310</v>
      </c>
      <c r="AD18" s="192">
        <f t="shared" si="47"/>
        <v>231</v>
      </c>
      <c r="AE18" s="192">
        <f t="shared" si="25"/>
        <v>2310</v>
      </c>
      <c r="AF18" s="192">
        <f t="shared" si="48"/>
        <v>231</v>
      </c>
      <c r="AG18" s="192">
        <f t="shared" si="26"/>
        <v>2310</v>
      </c>
      <c r="AH18" s="192">
        <f t="shared" si="49"/>
        <v>231</v>
      </c>
      <c r="AI18" s="192">
        <f t="shared" si="27"/>
        <v>2310</v>
      </c>
      <c r="AJ18" s="192">
        <f t="shared" si="50"/>
        <v>231</v>
      </c>
      <c r="AK18" s="192">
        <f t="shared" si="28"/>
        <v>2310</v>
      </c>
      <c r="AL18" s="192">
        <f t="shared" si="51"/>
        <v>231</v>
      </c>
      <c r="AM18" s="192">
        <f t="shared" si="29"/>
        <v>2310</v>
      </c>
      <c r="AN18" s="34">
        <f t="shared" si="30"/>
        <v>0.82499999999999996</v>
      </c>
      <c r="AO18" s="35">
        <f t="shared" si="54"/>
        <v>16170</v>
      </c>
      <c r="AQ18" s="208">
        <f t="shared" si="55"/>
        <v>0.7467185044082898</v>
      </c>
      <c r="AR18" s="37">
        <f t="shared" si="56"/>
        <v>69422.419354838697</v>
      </c>
      <c r="AS18" s="186">
        <f>SUM(AR18-AR17-AT18)</f>
        <v>0</v>
      </c>
      <c r="AT18" s="303"/>
      <c r="AU18" s="475"/>
      <c r="AV18" s="432">
        <f t="shared" ref="AV18:AV36" si="62">IF(AT18&gt;0,AU18,AV17)</f>
        <v>0.89</v>
      </c>
      <c r="AW18" s="251">
        <f>-SUM('B5'!AI17)</f>
        <v>0</v>
      </c>
      <c r="AX18" s="251">
        <f t="shared" si="31"/>
        <v>0</v>
      </c>
      <c r="AY18" s="36">
        <f t="shared" si="52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59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61"/>
        <v>0</v>
      </c>
      <c r="BK18" s="469"/>
    </row>
    <row r="19" spans="1:64">
      <c r="A19" s="379">
        <f>ELEC!C17</f>
        <v>44940</v>
      </c>
      <c r="B19" s="440">
        <f>'B5'!B18</f>
        <v>225</v>
      </c>
      <c r="C19" s="192">
        <f t="shared" si="32"/>
        <v>4841.1290322580644</v>
      </c>
      <c r="D19">
        <f t="shared" si="33"/>
        <v>225</v>
      </c>
      <c r="E19" s="192">
        <f t="shared" si="32"/>
        <v>4841.1290322580644</v>
      </c>
      <c r="F19">
        <f t="shared" si="34"/>
        <v>225</v>
      </c>
      <c r="G19" s="192">
        <f t="shared" si="16"/>
        <v>4841.1290322580644</v>
      </c>
      <c r="H19" s="192">
        <f t="shared" si="35"/>
        <v>225</v>
      </c>
      <c r="I19" s="192">
        <f t="shared" si="17"/>
        <v>4841.1290322580644</v>
      </c>
      <c r="J19" s="192">
        <f t="shared" si="36"/>
        <v>225</v>
      </c>
      <c r="K19" s="192">
        <f t="shared" si="18"/>
        <v>4841.1290322580644</v>
      </c>
      <c r="L19" s="192">
        <f t="shared" si="37"/>
        <v>225</v>
      </c>
      <c r="M19" s="192">
        <f t="shared" si="19"/>
        <v>4841.1290322580644</v>
      </c>
      <c r="N19" s="192">
        <f t="shared" si="38"/>
        <v>225</v>
      </c>
      <c r="O19" s="192">
        <f t="shared" si="20"/>
        <v>4841.1290322580644</v>
      </c>
      <c r="P19" s="192">
        <f t="shared" si="39"/>
        <v>225</v>
      </c>
      <c r="Q19" s="192">
        <f t="shared" si="21"/>
        <v>4841.1290322580644</v>
      </c>
      <c r="R19" s="192">
        <f t="shared" si="40"/>
        <v>225</v>
      </c>
      <c r="S19" s="192">
        <f t="shared" si="22"/>
        <v>4841.1290322580644</v>
      </c>
      <c r="T19" s="192">
        <f t="shared" si="41"/>
        <v>225</v>
      </c>
      <c r="U19" s="192">
        <f t="shared" si="23"/>
        <v>4841.1290322580644</v>
      </c>
      <c r="V19" s="192">
        <f t="shared" si="42"/>
        <v>225</v>
      </c>
      <c r="W19" s="192">
        <f t="shared" si="24"/>
        <v>4841.1290322580644</v>
      </c>
      <c r="X19" s="34">
        <f t="shared" si="43"/>
        <v>0.72580645161290303</v>
      </c>
      <c r="Y19" s="35">
        <f t="shared" si="44"/>
        <v>53252.419354838697</v>
      </c>
      <c r="Z19" s="440">
        <f>'B5'!C18</f>
        <v>231</v>
      </c>
      <c r="AA19" s="192">
        <f t="shared" si="45"/>
        <v>2310</v>
      </c>
      <c r="AB19" s="192">
        <f t="shared" si="46"/>
        <v>231</v>
      </c>
      <c r="AC19" s="192">
        <f t="shared" si="45"/>
        <v>2310</v>
      </c>
      <c r="AD19" s="192">
        <f t="shared" si="47"/>
        <v>231</v>
      </c>
      <c r="AE19" s="192">
        <f t="shared" si="25"/>
        <v>2310</v>
      </c>
      <c r="AF19" s="192">
        <f t="shared" si="48"/>
        <v>231</v>
      </c>
      <c r="AG19" s="192">
        <f t="shared" si="26"/>
        <v>2310</v>
      </c>
      <c r="AH19" s="192">
        <f t="shared" si="49"/>
        <v>231</v>
      </c>
      <c r="AI19" s="192">
        <f t="shared" si="27"/>
        <v>2310</v>
      </c>
      <c r="AJ19" s="192">
        <f t="shared" si="50"/>
        <v>231</v>
      </c>
      <c r="AK19" s="192">
        <f t="shared" si="28"/>
        <v>2310</v>
      </c>
      <c r="AL19" s="192">
        <f t="shared" si="51"/>
        <v>231</v>
      </c>
      <c r="AM19" s="192">
        <f t="shared" si="29"/>
        <v>2310</v>
      </c>
      <c r="AN19" s="34">
        <f t="shared" si="30"/>
        <v>0.82499999999999996</v>
      </c>
      <c r="AO19" s="35">
        <f t="shared" si="54"/>
        <v>16170</v>
      </c>
      <c r="AQ19" s="208">
        <f t="shared" si="55"/>
        <v>0.7467185044082898</v>
      </c>
      <c r="AR19" s="37">
        <f t="shared" si="56"/>
        <v>69422.419354838697</v>
      </c>
      <c r="AS19" s="186">
        <f t="shared" si="57"/>
        <v>0</v>
      </c>
      <c r="AT19" s="303"/>
      <c r="AU19" s="475"/>
      <c r="AV19" s="432">
        <f t="shared" si="62"/>
        <v>0.89</v>
      </c>
      <c r="AW19" s="251">
        <f>-SUM('B5'!AI18)</f>
        <v>0</v>
      </c>
      <c r="AX19" s="251">
        <f t="shared" si="31"/>
        <v>0</v>
      </c>
      <c r="AY19" s="36">
        <f t="shared" si="52"/>
        <v>0</v>
      </c>
      <c r="AZ19" s="96">
        <f>ELEC!A17</f>
        <v>0</v>
      </c>
      <c r="BA19" s="114">
        <f>'General information '!D18</f>
        <v>0</v>
      </c>
      <c r="BB19" s="193">
        <f>SUM('General information '!E18)</f>
        <v>0</v>
      </c>
      <c r="BC19" s="3">
        <f t="shared" si="59"/>
        <v>0</v>
      </c>
      <c r="BD19" s="98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61"/>
        <v>0</v>
      </c>
      <c r="BK19" s="469"/>
    </row>
    <row r="20" spans="1:64">
      <c r="A20" s="379">
        <f>ELEC!C18</f>
        <v>44941</v>
      </c>
      <c r="B20" s="440">
        <f>'B5'!B19</f>
        <v>225</v>
      </c>
      <c r="C20" s="192">
        <f t="shared" si="32"/>
        <v>4841.1290322580644</v>
      </c>
      <c r="D20">
        <f t="shared" si="33"/>
        <v>225</v>
      </c>
      <c r="E20" s="192">
        <f t="shared" si="32"/>
        <v>4841.1290322580644</v>
      </c>
      <c r="F20">
        <f t="shared" si="34"/>
        <v>225</v>
      </c>
      <c r="G20" s="192">
        <f t="shared" si="16"/>
        <v>4841.1290322580644</v>
      </c>
      <c r="H20" s="192">
        <f t="shared" si="35"/>
        <v>225</v>
      </c>
      <c r="I20" s="192">
        <f t="shared" si="17"/>
        <v>4841.1290322580644</v>
      </c>
      <c r="J20" s="192">
        <f t="shared" si="36"/>
        <v>225</v>
      </c>
      <c r="K20" s="192">
        <f t="shared" si="18"/>
        <v>4841.1290322580644</v>
      </c>
      <c r="L20" s="192">
        <f t="shared" si="37"/>
        <v>225</v>
      </c>
      <c r="M20" s="192">
        <f t="shared" si="19"/>
        <v>4841.1290322580644</v>
      </c>
      <c r="N20" s="192">
        <f t="shared" si="38"/>
        <v>225</v>
      </c>
      <c r="O20" s="192">
        <f t="shared" si="20"/>
        <v>4841.1290322580644</v>
      </c>
      <c r="P20" s="192">
        <f t="shared" si="39"/>
        <v>225</v>
      </c>
      <c r="Q20" s="192">
        <f t="shared" si="21"/>
        <v>4841.1290322580644</v>
      </c>
      <c r="R20" s="192">
        <f t="shared" si="40"/>
        <v>225</v>
      </c>
      <c r="S20" s="192">
        <f t="shared" si="22"/>
        <v>4841.1290322580644</v>
      </c>
      <c r="T20" s="192">
        <f t="shared" si="41"/>
        <v>225</v>
      </c>
      <c r="U20" s="192">
        <f t="shared" si="23"/>
        <v>4841.1290322580644</v>
      </c>
      <c r="V20" s="192">
        <f t="shared" si="42"/>
        <v>225</v>
      </c>
      <c r="W20" s="192">
        <f t="shared" si="24"/>
        <v>4841.1290322580644</v>
      </c>
      <c r="X20" s="34">
        <f t="shared" si="43"/>
        <v>0.72580645161290303</v>
      </c>
      <c r="Y20" s="35">
        <f t="shared" si="44"/>
        <v>53252.419354838697</v>
      </c>
      <c r="Z20" s="440">
        <f>'B5'!C19</f>
        <v>231</v>
      </c>
      <c r="AA20" s="192">
        <f t="shared" si="45"/>
        <v>2310</v>
      </c>
      <c r="AB20" s="192">
        <f t="shared" si="46"/>
        <v>231</v>
      </c>
      <c r="AC20" s="192">
        <f t="shared" si="45"/>
        <v>2310</v>
      </c>
      <c r="AD20" s="192">
        <f t="shared" si="47"/>
        <v>231</v>
      </c>
      <c r="AE20" s="192">
        <f t="shared" si="25"/>
        <v>2310</v>
      </c>
      <c r="AF20" s="192">
        <f t="shared" si="48"/>
        <v>231</v>
      </c>
      <c r="AG20" s="192">
        <f t="shared" si="26"/>
        <v>2310</v>
      </c>
      <c r="AH20" s="192">
        <f t="shared" si="49"/>
        <v>231</v>
      </c>
      <c r="AI20" s="192">
        <f t="shared" si="27"/>
        <v>2310</v>
      </c>
      <c r="AJ20" s="192">
        <f t="shared" si="50"/>
        <v>231</v>
      </c>
      <c r="AK20" s="192">
        <f t="shared" si="28"/>
        <v>2310</v>
      </c>
      <c r="AL20" s="192">
        <f t="shared" si="51"/>
        <v>231</v>
      </c>
      <c r="AM20" s="192">
        <f t="shared" si="29"/>
        <v>2310</v>
      </c>
      <c r="AN20" s="34">
        <f t="shared" si="30"/>
        <v>0.82499999999999996</v>
      </c>
      <c r="AO20" s="35">
        <f t="shared" si="54"/>
        <v>16170</v>
      </c>
      <c r="AQ20" s="208">
        <f t="shared" si="55"/>
        <v>0.7467185044082898</v>
      </c>
      <c r="AR20" s="37">
        <f t="shared" si="56"/>
        <v>69422.419354838697</v>
      </c>
      <c r="AS20" s="186">
        <f t="shared" si="57"/>
        <v>0</v>
      </c>
      <c r="AT20" s="303"/>
      <c r="AU20" s="475"/>
      <c r="AV20" s="432">
        <f t="shared" si="62"/>
        <v>0.89</v>
      </c>
      <c r="AW20" s="251">
        <f>-SUM('B5'!AI19)</f>
        <v>0</v>
      </c>
      <c r="AX20" s="251">
        <f>-SUM(AW20-AS20)</f>
        <v>0</v>
      </c>
      <c r="AY20" s="36">
        <f t="shared" si="52"/>
        <v>0</v>
      </c>
      <c r="AZ20" s="96">
        <f>ELEC!A18</f>
        <v>0</v>
      </c>
      <c r="BA20" s="114">
        <f>'General information '!D19</f>
        <v>0</v>
      </c>
      <c r="BB20" s="193">
        <f>SUM('General information '!E19)</f>
        <v>0</v>
      </c>
      <c r="BC20" s="3">
        <f t="shared" si="59"/>
        <v>0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61"/>
        <v>0</v>
      </c>
      <c r="BK20" s="469" t="e">
        <f>GEN!AF17</f>
        <v>#DIV/0!</v>
      </c>
      <c r="BL20" s="192"/>
    </row>
    <row r="21" spans="1:64">
      <c r="A21" s="379">
        <f>ELEC!C19</f>
        <v>44942</v>
      </c>
      <c r="B21" s="440">
        <f>'B5'!B20</f>
        <v>225</v>
      </c>
      <c r="C21" s="192">
        <f t="shared" si="32"/>
        <v>4841.1290322580644</v>
      </c>
      <c r="D21">
        <f t="shared" si="33"/>
        <v>225</v>
      </c>
      <c r="E21" s="192">
        <f t="shared" si="32"/>
        <v>4841.1290322580644</v>
      </c>
      <c r="F21">
        <f t="shared" si="34"/>
        <v>225</v>
      </c>
      <c r="G21" s="192">
        <f t="shared" si="16"/>
        <v>4841.1290322580644</v>
      </c>
      <c r="H21" s="192">
        <f t="shared" si="35"/>
        <v>225</v>
      </c>
      <c r="I21" s="192">
        <f t="shared" si="17"/>
        <v>4841.1290322580644</v>
      </c>
      <c r="J21" s="192">
        <f t="shared" si="36"/>
        <v>225</v>
      </c>
      <c r="K21" s="192">
        <f t="shared" si="18"/>
        <v>4841.1290322580644</v>
      </c>
      <c r="L21" s="192">
        <f t="shared" si="37"/>
        <v>225</v>
      </c>
      <c r="M21" s="192">
        <f t="shared" si="19"/>
        <v>4841.1290322580644</v>
      </c>
      <c r="N21" s="192">
        <f t="shared" si="38"/>
        <v>225</v>
      </c>
      <c r="O21" s="192">
        <f t="shared" si="20"/>
        <v>4841.1290322580644</v>
      </c>
      <c r="P21" s="192">
        <f t="shared" si="39"/>
        <v>225</v>
      </c>
      <c r="Q21" s="192">
        <f t="shared" si="21"/>
        <v>4841.1290322580644</v>
      </c>
      <c r="R21" s="192">
        <f t="shared" si="40"/>
        <v>225</v>
      </c>
      <c r="S21" s="192">
        <f t="shared" si="22"/>
        <v>4841.1290322580644</v>
      </c>
      <c r="T21" s="192">
        <f t="shared" si="41"/>
        <v>225</v>
      </c>
      <c r="U21" s="192">
        <f t="shared" si="23"/>
        <v>4841.1290322580644</v>
      </c>
      <c r="V21" s="192">
        <f t="shared" si="42"/>
        <v>225</v>
      </c>
      <c r="W21" s="192">
        <f t="shared" si="24"/>
        <v>4841.1290322580644</v>
      </c>
      <c r="X21" s="34">
        <f t="shared" si="43"/>
        <v>0.72580645161290303</v>
      </c>
      <c r="Y21" s="35">
        <f t="shared" si="44"/>
        <v>53252.419354838697</v>
      </c>
      <c r="Z21" s="440">
        <f>'B5'!C20</f>
        <v>231</v>
      </c>
      <c r="AA21" s="192">
        <f t="shared" si="45"/>
        <v>2310</v>
      </c>
      <c r="AB21" s="192">
        <f t="shared" si="46"/>
        <v>231</v>
      </c>
      <c r="AC21" s="192">
        <f t="shared" si="45"/>
        <v>2310</v>
      </c>
      <c r="AD21" s="192">
        <f t="shared" si="47"/>
        <v>231</v>
      </c>
      <c r="AE21" s="192">
        <f t="shared" si="25"/>
        <v>2310</v>
      </c>
      <c r="AF21" s="192">
        <f t="shared" si="48"/>
        <v>231</v>
      </c>
      <c r="AG21" s="192">
        <f t="shared" si="26"/>
        <v>2310</v>
      </c>
      <c r="AH21" s="192">
        <f t="shared" si="49"/>
        <v>231</v>
      </c>
      <c r="AI21" s="192">
        <f t="shared" si="27"/>
        <v>2310</v>
      </c>
      <c r="AJ21" s="192">
        <f t="shared" si="50"/>
        <v>231</v>
      </c>
      <c r="AK21" s="192">
        <f t="shared" si="28"/>
        <v>2310</v>
      </c>
      <c r="AL21" s="192">
        <f t="shared" si="51"/>
        <v>231</v>
      </c>
      <c r="AM21" s="192">
        <f t="shared" si="29"/>
        <v>2310</v>
      </c>
      <c r="AN21" s="34">
        <f t="shared" si="30"/>
        <v>0.82499999999999996</v>
      </c>
      <c r="AO21" s="35">
        <f t="shared" si="54"/>
        <v>16170</v>
      </c>
      <c r="AQ21" s="208">
        <f t="shared" si="55"/>
        <v>0.7467185044082898</v>
      </c>
      <c r="AR21" s="37">
        <f t="shared" si="56"/>
        <v>69422.419354838697</v>
      </c>
      <c r="AS21" s="186">
        <f>SUM(AR21-AR20-AT21)</f>
        <v>0</v>
      </c>
      <c r="AT21" s="303"/>
      <c r="AU21" s="475"/>
      <c r="AV21" s="432">
        <f t="shared" si="62"/>
        <v>0.89</v>
      </c>
      <c r="AW21" s="251">
        <f>-SUM('B5'!AI20)</f>
        <v>0</v>
      </c>
      <c r="AX21" s="251">
        <f t="shared" si="31"/>
        <v>0</v>
      </c>
      <c r="AY21" s="36">
        <f t="shared" si="52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59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61"/>
        <v>0</v>
      </c>
      <c r="BK21" s="469" t="e">
        <f>GEN!AF18</f>
        <v>#DIV/0!</v>
      </c>
    </row>
    <row r="22" spans="1:64">
      <c r="A22" s="379">
        <f>ELEC!C20</f>
        <v>44943</v>
      </c>
      <c r="B22" s="440">
        <f>'B5'!B21</f>
        <v>225</v>
      </c>
      <c r="C22" s="192">
        <f t="shared" si="32"/>
        <v>4841.1290322580644</v>
      </c>
      <c r="D22">
        <f t="shared" si="33"/>
        <v>225</v>
      </c>
      <c r="E22" s="192">
        <f t="shared" si="32"/>
        <v>4841.1290322580644</v>
      </c>
      <c r="F22">
        <f t="shared" si="34"/>
        <v>225</v>
      </c>
      <c r="G22" s="192">
        <f t="shared" si="16"/>
        <v>4841.1290322580644</v>
      </c>
      <c r="H22" s="192">
        <f t="shared" si="35"/>
        <v>225</v>
      </c>
      <c r="I22" s="192">
        <f t="shared" si="17"/>
        <v>4841.1290322580644</v>
      </c>
      <c r="J22" s="192">
        <f t="shared" si="36"/>
        <v>225</v>
      </c>
      <c r="K22" s="192">
        <f t="shared" si="18"/>
        <v>4841.1290322580644</v>
      </c>
      <c r="L22" s="192">
        <f t="shared" si="37"/>
        <v>225</v>
      </c>
      <c r="M22" s="192">
        <f t="shared" si="19"/>
        <v>4841.1290322580644</v>
      </c>
      <c r="N22" s="192">
        <f t="shared" si="38"/>
        <v>225</v>
      </c>
      <c r="O22" s="192">
        <f t="shared" si="20"/>
        <v>4841.1290322580644</v>
      </c>
      <c r="P22" s="192">
        <f t="shared" si="39"/>
        <v>225</v>
      </c>
      <c r="Q22" s="192">
        <f t="shared" si="21"/>
        <v>4841.1290322580644</v>
      </c>
      <c r="R22" s="192">
        <f t="shared" si="40"/>
        <v>225</v>
      </c>
      <c r="S22" s="192">
        <f t="shared" si="22"/>
        <v>4841.1290322580644</v>
      </c>
      <c r="T22" s="192">
        <f t="shared" si="41"/>
        <v>225</v>
      </c>
      <c r="U22" s="192">
        <f t="shared" si="23"/>
        <v>4841.1290322580644</v>
      </c>
      <c r="V22" s="192">
        <f t="shared" si="42"/>
        <v>225</v>
      </c>
      <c r="W22" s="192">
        <f t="shared" si="24"/>
        <v>4841.1290322580644</v>
      </c>
      <c r="X22" s="34">
        <f t="shared" si="43"/>
        <v>0.72580645161290303</v>
      </c>
      <c r="Y22" s="35">
        <f t="shared" si="44"/>
        <v>53252.419354838697</v>
      </c>
      <c r="Z22" s="440">
        <f>'B5'!C21</f>
        <v>231</v>
      </c>
      <c r="AA22" s="192">
        <f t="shared" si="45"/>
        <v>2310</v>
      </c>
      <c r="AB22" s="192">
        <f t="shared" si="46"/>
        <v>231</v>
      </c>
      <c r="AC22" s="192">
        <f t="shared" si="45"/>
        <v>2310</v>
      </c>
      <c r="AD22" s="192">
        <f t="shared" si="47"/>
        <v>231</v>
      </c>
      <c r="AE22" s="192">
        <f t="shared" si="25"/>
        <v>2310</v>
      </c>
      <c r="AF22" s="192">
        <f t="shared" si="48"/>
        <v>231</v>
      </c>
      <c r="AG22" s="192">
        <f t="shared" si="26"/>
        <v>2310</v>
      </c>
      <c r="AH22" s="192">
        <f t="shared" si="49"/>
        <v>231</v>
      </c>
      <c r="AI22" s="192">
        <f t="shared" si="27"/>
        <v>2310</v>
      </c>
      <c r="AJ22" s="192">
        <f t="shared" si="50"/>
        <v>231</v>
      </c>
      <c r="AK22" s="192">
        <f t="shared" si="28"/>
        <v>2310</v>
      </c>
      <c r="AL22" s="192">
        <f t="shared" si="51"/>
        <v>231</v>
      </c>
      <c r="AM22" s="192">
        <f t="shared" si="29"/>
        <v>2310</v>
      </c>
      <c r="AN22" s="34">
        <f t="shared" si="30"/>
        <v>0.82499999999999996</v>
      </c>
      <c r="AO22" s="35">
        <f t="shared" si="54"/>
        <v>16170</v>
      </c>
      <c r="AQ22" s="208">
        <f t="shared" si="55"/>
        <v>0.7467185044082898</v>
      </c>
      <c r="AR22" s="37">
        <f t="shared" si="56"/>
        <v>69422.419354838697</v>
      </c>
      <c r="AS22" s="186">
        <f t="shared" ref="AS22:AS32" si="63">SUM(AR22-AR21-AT22)</f>
        <v>0</v>
      </c>
      <c r="AT22" s="303"/>
      <c r="AU22" s="475"/>
      <c r="AV22" s="432">
        <f t="shared" si="62"/>
        <v>0.89</v>
      </c>
      <c r="AW22" s="251">
        <f>-SUM('B5'!AI21)</f>
        <v>0</v>
      </c>
      <c r="AX22" s="251">
        <f>-SUM(AW22-AS22)</f>
        <v>0</v>
      </c>
      <c r="AY22" s="36">
        <f t="shared" si="52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59"/>
        <v>0</v>
      </c>
      <c r="BD22" s="98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61"/>
        <v>0</v>
      </c>
      <c r="BK22" s="469" t="e">
        <f>GEN!AF19</f>
        <v>#DIV/0!</v>
      </c>
    </row>
    <row r="23" spans="1:64">
      <c r="A23" s="379">
        <f>ELEC!C21</f>
        <v>44944</v>
      </c>
      <c r="B23" s="440">
        <f>'B5'!B22</f>
        <v>225</v>
      </c>
      <c r="C23" s="192">
        <f t="shared" si="32"/>
        <v>4841.1290322580644</v>
      </c>
      <c r="D23">
        <f t="shared" si="33"/>
        <v>225</v>
      </c>
      <c r="E23" s="192">
        <f t="shared" si="32"/>
        <v>4841.1290322580644</v>
      </c>
      <c r="F23">
        <f t="shared" si="34"/>
        <v>225</v>
      </c>
      <c r="G23" s="192">
        <f t="shared" si="16"/>
        <v>4841.1290322580644</v>
      </c>
      <c r="H23" s="192">
        <f t="shared" si="35"/>
        <v>225</v>
      </c>
      <c r="I23" s="192">
        <f t="shared" si="17"/>
        <v>4841.1290322580644</v>
      </c>
      <c r="J23" s="192">
        <f t="shared" si="36"/>
        <v>225</v>
      </c>
      <c r="K23" s="192">
        <f t="shared" si="18"/>
        <v>4841.1290322580644</v>
      </c>
      <c r="L23" s="192">
        <f t="shared" si="37"/>
        <v>225</v>
      </c>
      <c r="M23" s="192">
        <f t="shared" si="19"/>
        <v>4841.1290322580644</v>
      </c>
      <c r="N23" s="192">
        <f t="shared" si="38"/>
        <v>225</v>
      </c>
      <c r="O23" s="192">
        <f t="shared" si="20"/>
        <v>4841.1290322580644</v>
      </c>
      <c r="P23" s="192">
        <f t="shared" si="39"/>
        <v>225</v>
      </c>
      <c r="Q23" s="192">
        <f t="shared" si="21"/>
        <v>4841.1290322580644</v>
      </c>
      <c r="R23" s="192">
        <f t="shared" si="40"/>
        <v>225</v>
      </c>
      <c r="S23" s="192">
        <f t="shared" si="22"/>
        <v>4841.1290322580644</v>
      </c>
      <c r="T23" s="192">
        <f t="shared" si="41"/>
        <v>225</v>
      </c>
      <c r="U23" s="192">
        <f t="shared" si="23"/>
        <v>4841.1290322580644</v>
      </c>
      <c r="V23" s="192">
        <f t="shared" si="42"/>
        <v>225</v>
      </c>
      <c r="W23" s="192">
        <f t="shared" si="24"/>
        <v>4841.1290322580644</v>
      </c>
      <c r="X23" s="34">
        <f t="shared" si="43"/>
        <v>0.72580645161290303</v>
      </c>
      <c r="Y23" s="35">
        <f t="shared" si="44"/>
        <v>53252.419354838697</v>
      </c>
      <c r="Z23" s="440">
        <f>'B5'!C22</f>
        <v>231</v>
      </c>
      <c r="AA23" s="192">
        <f t="shared" si="45"/>
        <v>2310</v>
      </c>
      <c r="AB23" s="192">
        <f t="shared" si="46"/>
        <v>231</v>
      </c>
      <c r="AC23" s="192">
        <f t="shared" si="45"/>
        <v>2310</v>
      </c>
      <c r="AD23" s="192">
        <f t="shared" si="47"/>
        <v>231</v>
      </c>
      <c r="AE23" s="192">
        <f t="shared" si="25"/>
        <v>2310</v>
      </c>
      <c r="AF23" s="192">
        <f t="shared" si="48"/>
        <v>231</v>
      </c>
      <c r="AG23" s="192">
        <f t="shared" si="26"/>
        <v>2310</v>
      </c>
      <c r="AH23" s="192">
        <f t="shared" si="49"/>
        <v>231</v>
      </c>
      <c r="AI23" s="192">
        <f t="shared" si="27"/>
        <v>2310</v>
      </c>
      <c r="AJ23" s="192">
        <f t="shared" si="50"/>
        <v>231</v>
      </c>
      <c r="AK23" s="192">
        <f t="shared" si="28"/>
        <v>2310</v>
      </c>
      <c r="AL23" s="192">
        <f t="shared" si="51"/>
        <v>231</v>
      </c>
      <c r="AM23" s="192">
        <f t="shared" si="29"/>
        <v>2310</v>
      </c>
      <c r="AN23" s="34">
        <f t="shared" si="30"/>
        <v>0.82499999999999996</v>
      </c>
      <c r="AO23" s="35">
        <f t="shared" si="54"/>
        <v>16170</v>
      </c>
      <c r="AQ23" s="208">
        <f t="shared" si="55"/>
        <v>0.7467185044082898</v>
      </c>
      <c r="AR23" s="37">
        <f t="shared" si="56"/>
        <v>69422.419354838697</v>
      </c>
      <c r="AS23" s="186">
        <f t="shared" si="63"/>
        <v>0</v>
      </c>
      <c r="AT23" s="303"/>
      <c r="AU23" s="475"/>
      <c r="AV23" s="432">
        <f t="shared" si="62"/>
        <v>0.89</v>
      </c>
      <c r="AW23" s="251">
        <f>-SUM('B5'!AI22)</f>
        <v>0</v>
      </c>
      <c r="AX23" s="251">
        <f t="shared" si="31"/>
        <v>0</v>
      </c>
      <c r="AY23" s="36">
        <f t="shared" si="52"/>
        <v>0</v>
      </c>
      <c r="AZ23" s="96">
        <f>ELEC!A21</f>
        <v>0</v>
      </c>
      <c r="BA23" s="114">
        <f>'General information '!D22</f>
        <v>0</v>
      </c>
      <c r="BB23" s="193">
        <f>SUM('General information '!E22)</f>
        <v>0</v>
      </c>
      <c r="BC23" s="3">
        <f t="shared" si="59"/>
        <v>0</v>
      </c>
      <c r="BD23" s="98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61"/>
        <v>0</v>
      </c>
      <c r="BK23" s="469" t="e">
        <f>GEN!AF20</f>
        <v>#DIV/0!</v>
      </c>
    </row>
    <row r="24" spans="1:64">
      <c r="A24" s="379">
        <f>ELEC!C22</f>
        <v>44945</v>
      </c>
      <c r="B24" s="440">
        <f>'B5'!B23</f>
        <v>225</v>
      </c>
      <c r="C24" s="192">
        <f t="shared" si="32"/>
        <v>4841.1290322580644</v>
      </c>
      <c r="D24">
        <f t="shared" si="33"/>
        <v>225</v>
      </c>
      <c r="E24" s="192">
        <f t="shared" si="32"/>
        <v>4841.1290322580644</v>
      </c>
      <c r="F24">
        <f t="shared" si="34"/>
        <v>225</v>
      </c>
      <c r="G24" s="192">
        <f t="shared" si="16"/>
        <v>4841.1290322580644</v>
      </c>
      <c r="H24" s="192">
        <f t="shared" si="35"/>
        <v>225</v>
      </c>
      <c r="I24" s="192">
        <f t="shared" si="17"/>
        <v>4841.1290322580644</v>
      </c>
      <c r="J24" s="192">
        <f t="shared" si="36"/>
        <v>225</v>
      </c>
      <c r="K24" s="192">
        <f t="shared" si="18"/>
        <v>4841.1290322580644</v>
      </c>
      <c r="L24" s="192">
        <f t="shared" si="37"/>
        <v>225</v>
      </c>
      <c r="M24" s="192">
        <f t="shared" si="19"/>
        <v>4841.1290322580644</v>
      </c>
      <c r="N24" s="192">
        <f t="shared" si="38"/>
        <v>225</v>
      </c>
      <c r="O24" s="192">
        <f t="shared" si="20"/>
        <v>4841.1290322580644</v>
      </c>
      <c r="P24" s="192">
        <f t="shared" si="39"/>
        <v>225</v>
      </c>
      <c r="Q24" s="192">
        <f t="shared" si="21"/>
        <v>4841.1290322580644</v>
      </c>
      <c r="R24" s="192">
        <f t="shared" si="40"/>
        <v>225</v>
      </c>
      <c r="S24" s="192">
        <f t="shared" si="22"/>
        <v>4841.1290322580644</v>
      </c>
      <c r="T24" s="192">
        <f t="shared" si="41"/>
        <v>225</v>
      </c>
      <c r="U24" s="192">
        <f t="shared" si="23"/>
        <v>4841.1290322580644</v>
      </c>
      <c r="V24" s="192">
        <f t="shared" si="42"/>
        <v>225</v>
      </c>
      <c r="W24" s="192">
        <f t="shared" si="24"/>
        <v>4841.1290322580644</v>
      </c>
      <c r="X24" s="34">
        <f t="shared" si="43"/>
        <v>0.72580645161290303</v>
      </c>
      <c r="Y24" s="35">
        <f t="shared" si="44"/>
        <v>53252.419354838697</v>
      </c>
      <c r="Z24" s="440">
        <f>'B5'!C23</f>
        <v>231</v>
      </c>
      <c r="AA24" s="192">
        <f t="shared" si="45"/>
        <v>2310</v>
      </c>
      <c r="AB24" s="192">
        <f t="shared" si="46"/>
        <v>231</v>
      </c>
      <c r="AC24" s="192">
        <f t="shared" si="45"/>
        <v>2310</v>
      </c>
      <c r="AD24" s="192">
        <f t="shared" si="47"/>
        <v>231</v>
      </c>
      <c r="AE24" s="192">
        <f t="shared" si="25"/>
        <v>2310</v>
      </c>
      <c r="AF24" s="192">
        <f t="shared" si="48"/>
        <v>231</v>
      </c>
      <c r="AG24" s="192">
        <f t="shared" si="26"/>
        <v>2310</v>
      </c>
      <c r="AH24" s="192">
        <f t="shared" si="49"/>
        <v>231</v>
      </c>
      <c r="AI24" s="192">
        <f t="shared" si="27"/>
        <v>2310</v>
      </c>
      <c r="AJ24" s="192">
        <f t="shared" si="50"/>
        <v>231</v>
      </c>
      <c r="AK24" s="192">
        <f t="shared" si="28"/>
        <v>2310</v>
      </c>
      <c r="AL24" s="192">
        <f t="shared" si="51"/>
        <v>231</v>
      </c>
      <c r="AM24" s="192">
        <f t="shared" si="29"/>
        <v>2310</v>
      </c>
      <c r="AN24" s="34">
        <f t="shared" si="30"/>
        <v>0.82499999999999996</v>
      </c>
      <c r="AO24" s="35">
        <f t="shared" si="54"/>
        <v>16170</v>
      </c>
      <c r="AQ24" s="208">
        <f t="shared" si="55"/>
        <v>0.7467185044082898</v>
      </c>
      <c r="AR24" s="37">
        <f t="shared" si="56"/>
        <v>69422.419354838697</v>
      </c>
      <c r="AS24" s="186">
        <f t="shared" si="63"/>
        <v>0</v>
      </c>
      <c r="AT24" s="303"/>
      <c r="AU24" s="475"/>
      <c r="AV24" s="432">
        <f t="shared" si="62"/>
        <v>0.89</v>
      </c>
      <c r="AW24" s="251">
        <f>-SUM('B5'!AI23)</f>
        <v>0</v>
      </c>
      <c r="AX24" s="251">
        <f t="shared" si="31"/>
        <v>0</v>
      </c>
      <c r="AY24" s="36">
        <f t="shared" si="52"/>
        <v>0</v>
      </c>
      <c r="AZ24" s="96">
        <f>ELEC!A22</f>
        <v>0</v>
      </c>
      <c r="BA24" s="114">
        <f>'General information '!D23</f>
        <v>0</v>
      </c>
      <c r="BB24" s="193">
        <f>SUM('General information '!E23)</f>
        <v>0</v>
      </c>
      <c r="BC24" s="3">
        <f t="shared" si="59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61"/>
        <v>0</v>
      </c>
      <c r="BK24" s="469" t="e">
        <f>GEN!AF21</f>
        <v>#DIV/0!</v>
      </c>
    </row>
    <row r="25" spans="1:64">
      <c r="A25" s="379">
        <f>ELEC!C23</f>
        <v>44946</v>
      </c>
      <c r="B25" s="440">
        <f>'B5'!B24</f>
        <v>225</v>
      </c>
      <c r="C25" s="192">
        <f t="shared" si="32"/>
        <v>4841.1290322580644</v>
      </c>
      <c r="D25">
        <f t="shared" si="33"/>
        <v>225</v>
      </c>
      <c r="E25" s="192">
        <f t="shared" si="32"/>
        <v>4841.1290322580644</v>
      </c>
      <c r="F25">
        <f t="shared" si="34"/>
        <v>225</v>
      </c>
      <c r="G25" s="192">
        <f t="shared" si="16"/>
        <v>4841.1290322580644</v>
      </c>
      <c r="H25" s="192">
        <f t="shared" si="35"/>
        <v>225</v>
      </c>
      <c r="I25" s="192">
        <f t="shared" si="17"/>
        <v>4841.1290322580644</v>
      </c>
      <c r="J25" s="192">
        <f t="shared" si="36"/>
        <v>225</v>
      </c>
      <c r="K25" s="192">
        <f t="shared" si="18"/>
        <v>4841.1290322580644</v>
      </c>
      <c r="L25" s="192">
        <f t="shared" si="37"/>
        <v>225</v>
      </c>
      <c r="M25" s="192">
        <f t="shared" si="19"/>
        <v>4841.1290322580644</v>
      </c>
      <c r="N25" s="192">
        <f t="shared" si="38"/>
        <v>225</v>
      </c>
      <c r="O25" s="192">
        <f t="shared" si="20"/>
        <v>4841.1290322580644</v>
      </c>
      <c r="P25" s="192">
        <f t="shared" si="39"/>
        <v>225</v>
      </c>
      <c r="Q25" s="192">
        <f t="shared" si="21"/>
        <v>4841.1290322580644</v>
      </c>
      <c r="R25" s="192">
        <f t="shared" si="40"/>
        <v>225</v>
      </c>
      <c r="S25" s="192">
        <f t="shared" si="22"/>
        <v>4841.1290322580644</v>
      </c>
      <c r="T25" s="192">
        <f t="shared" si="41"/>
        <v>225</v>
      </c>
      <c r="U25" s="192">
        <f t="shared" si="23"/>
        <v>4841.1290322580644</v>
      </c>
      <c r="V25" s="192">
        <f t="shared" si="42"/>
        <v>225</v>
      </c>
      <c r="W25" s="192">
        <f t="shared" si="24"/>
        <v>4841.1290322580644</v>
      </c>
      <c r="X25" s="34">
        <f t="shared" si="43"/>
        <v>0.72580645161290303</v>
      </c>
      <c r="Y25" s="35">
        <f t="shared" si="44"/>
        <v>53252.419354838697</v>
      </c>
      <c r="Z25" s="440">
        <f>'B5'!C24</f>
        <v>231</v>
      </c>
      <c r="AA25" s="192">
        <f t="shared" si="45"/>
        <v>2310</v>
      </c>
      <c r="AB25" s="192">
        <f t="shared" si="46"/>
        <v>231</v>
      </c>
      <c r="AC25" s="192">
        <f t="shared" si="45"/>
        <v>2310</v>
      </c>
      <c r="AD25" s="192">
        <f t="shared" si="47"/>
        <v>231</v>
      </c>
      <c r="AE25" s="192">
        <f t="shared" si="25"/>
        <v>2310</v>
      </c>
      <c r="AF25" s="192">
        <f t="shared" si="48"/>
        <v>231</v>
      </c>
      <c r="AG25" s="192">
        <f t="shared" si="26"/>
        <v>2310</v>
      </c>
      <c r="AH25" s="192">
        <f t="shared" si="49"/>
        <v>231</v>
      </c>
      <c r="AI25" s="192">
        <f t="shared" si="27"/>
        <v>2310</v>
      </c>
      <c r="AJ25" s="192">
        <f t="shared" si="50"/>
        <v>231</v>
      </c>
      <c r="AK25" s="192">
        <f t="shared" si="28"/>
        <v>2310</v>
      </c>
      <c r="AL25" s="192">
        <f t="shared" si="51"/>
        <v>231</v>
      </c>
      <c r="AM25" s="192">
        <f t="shared" si="29"/>
        <v>2310</v>
      </c>
      <c r="AN25" s="34">
        <f t="shared" si="30"/>
        <v>0.82499999999999996</v>
      </c>
      <c r="AO25" s="35">
        <f t="shared" si="54"/>
        <v>16170</v>
      </c>
      <c r="AQ25" s="208">
        <f t="shared" si="55"/>
        <v>0.7467185044082898</v>
      </c>
      <c r="AR25" s="37">
        <f t="shared" si="56"/>
        <v>69422.419354838697</v>
      </c>
      <c r="AS25" s="186">
        <f t="shared" si="63"/>
        <v>0</v>
      </c>
      <c r="AT25" s="303"/>
      <c r="AU25" s="475"/>
      <c r="AV25" s="432">
        <f t="shared" si="62"/>
        <v>0.89</v>
      </c>
      <c r="AW25" s="251">
        <f>-SUM('B5'!AI24)</f>
        <v>0</v>
      </c>
      <c r="AX25" s="251">
        <f t="shared" si="31"/>
        <v>0</v>
      </c>
      <c r="AY25" s="36">
        <f t="shared" si="52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59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61"/>
        <v>0</v>
      </c>
      <c r="BK25" s="469"/>
    </row>
    <row r="26" spans="1:64">
      <c r="A26" s="379">
        <f>ELEC!C24</f>
        <v>44947</v>
      </c>
      <c r="B26" s="440">
        <f>'B5'!B25</f>
        <v>225</v>
      </c>
      <c r="C26" s="192">
        <f t="shared" si="32"/>
        <v>4841.1290322580644</v>
      </c>
      <c r="D26">
        <f t="shared" si="33"/>
        <v>225</v>
      </c>
      <c r="E26" s="192">
        <f t="shared" si="32"/>
        <v>4841.1290322580644</v>
      </c>
      <c r="F26">
        <f t="shared" si="34"/>
        <v>225</v>
      </c>
      <c r="G26" s="192">
        <f t="shared" si="16"/>
        <v>4841.1290322580644</v>
      </c>
      <c r="H26" s="192">
        <f t="shared" si="35"/>
        <v>225</v>
      </c>
      <c r="I26" s="192">
        <f t="shared" si="17"/>
        <v>4841.1290322580644</v>
      </c>
      <c r="J26" s="192">
        <f t="shared" si="36"/>
        <v>225</v>
      </c>
      <c r="K26" s="192">
        <f t="shared" si="18"/>
        <v>4841.1290322580644</v>
      </c>
      <c r="L26" s="192">
        <f t="shared" si="37"/>
        <v>225</v>
      </c>
      <c r="M26" s="192">
        <f t="shared" si="19"/>
        <v>4841.1290322580644</v>
      </c>
      <c r="N26" s="192">
        <f t="shared" si="38"/>
        <v>225</v>
      </c>
      <c r="O26" s="192">
        <f t="shared" si="20"/>
        <v>4841.1290322580644</v>
      </c>
      <c r="P26" s="192">
        <f t="shared" si="39"/>
        <v>225</v>
      </c>
      <c r="Q26" s="192">
        <f t="shared" si="21"/>
        <v>4841.1290322580644</v>
      </c>
      <c r="R26" s="192">
        <f t="shared" si="40"/>
        <v>225</v>
      </c>
      <c r="S26" s="192">
        <f t="shared" si="22"/>
        <v>4841.1290322580644</v>
      </c>
      <c r="T26" s="192">
        <f t="shared" si="41"/>
        <v>225</v>
      </c>
      <c r="U26" s="192">
        <f t="shared" si="23"/>
        <v>4841.1290322580644</v>
      </c>
      <c r="V26" s="192">
        <f t="shared" si="42"/>
        <v>225</v>
      </c>
      <c r="W26" s="192">
        <f t="shared" si="24"/>
        <v>4841.1290322580644</v>
      </c>
      <c r="X26" s="34">
        <f t="shared" si="43"/>
        <v>0.72580645161290303</v>
      </c>
      <c r="Y26" s="35">
        <f t="shared" si="44"/>
        <v>53252.419354838697</v>
      </c>
      <c r="Z26" s="440">
        <f>'B5'!C25</f>
        <v>231</v>
      </c>
      <c r="AA26" s="192">
        <f t="shared" si="45"/>
        <v>2310</v>
      </c>
      <c r="AB26" s="192">
        <f t="shared" si="46"/>
        <v>231</v>
      </c>
      <c r="AC26" s="192">
        <f t="shared" si="45"/>
        <v>2310</v>
      </c>
      <c r="AD26" s="192">
        <f t="shared" si="47"/>
        <v>231</v>
      </c>
      <c r="AE26" s="192">
        <f t="shared" si="25"/>
        <v>2310</v>
      </c>
      <c r="AF26" s="192">
        <f t="shared" si="48"/>
        <v>231</v>
      </c>
      <c r="AG26" s="192">
        <f t="shared" si="26"/>
        <v>2310</v>
      </c>
      <c r="AH26" s="192">
        <f t="shared" si="49"/>
        <v>231</v>
      </c>
      <c r="AI26" s="192">
        <f t="shared" si="27"/>
        <v>2310</v>
      </c>
      <c r="AJ26" s="192">
        <f t="shared" si="50"/>
        <v>231</v>
      </c>
      <c r="AK26" s="192">
        <f t="shared" si="28"/>
        <v>2310</v>
      </c>
      <c r="AL26" s="192">
        <f t="shared" si="51"/>
        <v>231</v>
      </c>
      <c r="AM26" s="192">
        <f t="shared" si="29"/>
        <v>2310</v>
      </c>
      <c r="AN26" s="34">
        <f t="shared" si="30"/>
        <v>0.82499999999999996</v>
      </c>
      <c r="AO26" s="35">
        <f t="shared" si="54"/>
        <v>16170</v>
      </c>
      <c r="AQ26" s="208">
        <f t="shared" si="55"/>
        <v>0.7467185044082898</v>
      </c>
      <c r="AR26" s="37">
        <f t="shared" si="56"/>
        <v>69422.419354838697</v>
      </c>
      <c r="AS26" s="186">
        <f t="shared" si="63"/>
        <v>0</v>
      </c>
      <c r="AT26" s="303"/>
      <c r="AU26" s="475"/>
      <c r="AV26" s="432">
        <f t="shared" si="62"/>
        <v>0.89</v>
      </c>
      <c r="AW26" s="251">
        <f>-SUM('B5'!AI25)</f>
        <v>0</v>
      </c>
      <c r="AX26" s="251">
        <f t="shared" si="31"/>
        <v>0</v>
      </c>
      <c r="AY26" s="36">
        <f t="shared" si="52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59"/>
        <v>0</v>
      </c>
      <c r="BD26" s="98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61"/>
        <v>0</v>
      </c>
      <c r="BK26" s="469"/>
    </row>
    <row r="27" spans="1:64">
      <c r="A27" s="379">
        <f>ELEC!C25</f>
        <v>44948</v>
      </c>
      <c r="B27" s="440">
        <f>'B5'!B26</f>
        <v>225</v>
      </c>
      <c r="C27" s="192">
        <f t="shared" si="32"/>
        <v>4841.1290322580644</v>
      </c>
      <c r="D27">
        <f t="shared" si="33"/>
        <v>225</v>
      </c>
      <c r="E27" s="192">
        <f t="shared" si="32"/>
        <v>4841.1290322580644</v>
      </c>
      <c r="F27">
        <f t="shared" si="34"/>
        <v>225</v>
      </c>
      <c r="G27" s="192">
        <f t="shared" si="16"/>
        <v>4841.1290322580644</v>
      </c>
      <c r="H27" s="192">
        <f t="shared" si="35"/>
        <v>225</v>
      </c>
      <c r="I27" s="192">
        <f t="shared" si="17"/>
        <v>4841.1290322580644</v>
      </c>
      <c r="J27" s="192">
        <f t="shared" si="36"/>
        <v>225</v>
      </c>
      <c r="K27" s="192">
        <f t="shared" si="18"/>
        <v>4841.1290322580644</v>
      </c>
      <c r="L27" s="192">
        <f t="shared" si="37"/>
        <v>225</v>
      </c>
      <c r="M27" s="192">
        <f t="shared" si="19"/>
        <v>4841.1290322580644</v>
      </c>
      <c r="N27" s="192">
        <f t="shared" si="38"/>
        <v>225</v>
      </c>
      <c r="O27" s="192">
        <f t="shared" si="20"/>
        <v>4841.1290322580644</v>
      </c>
      <c r="P27" s="192">
        <f t="shared" si="39"/>
        <v>225</v>
      </c>
      <c r="Q27" s="192">
        <f t="shared" si="21"/>
        <v>4841.1290322580644</v>
      </c>
      <c r="R27" s="192">
        <f t="shared" si="40"/>
        <v>225</v>
      </c>
      <c r="S27" s="192">
        <f t="shared" si="22"/>
        <v>4841.1290322580644</v>
      </c>
      <c r="T27" s="192">
        <f t="shared" si="41"/>
        <v>225</v>
      </c>
      <c r="U27" s="192">
        <f t="shared" si="23"/>
        <v>4841.1290322580644</v>
      </c>
      <c r="V27" s="192">
        <f t="shared" si="42"/>
        <v>225</v>
      </c>
      <c r="W27" s="192">
        <f t="shared" si="24"/>
        <v>4841.1290322580644</v>
      </c>
      <c r="X27" s="34">
        <f t="shared" si="43"/>
        <v>0.72580645161290303</v>
      </c>
      <c r="Y27" s="35">
        <f t="shared" si="44"/>
        <v>53252.419354838697</v>
      </c>
      <c r="Z27" s="440">
        <f>'B5'!C26</f>
        <v>231</v>
      </c>
      <c r="AA27" s="192">
        <f t="shared" si="45"/>
        <v>2310</v>
      </c>
      <c r="AB27" s="192">
        <f t="shared" si="46"/>
        <v>231</v>
      </c>
      <c r="AC27" s="192">
        <f t="shared" si="45"/>
        <v>2310</v>
      </c>
      <c r="AD27" s="192">
        <f t="shared" si="47"/>
        <v>231</v>
      </c>
      <c r="AE27" s="192">
        <f t="shared" si="25"/>
        <v>2310</v>
      </c>
      <c r="AF27" s="192">
        <f t="shared" si="48"/>
        <v>231</v>
      </c>
      <c r="AG27" s="192">
        <f t="shared" si="26"/>
        <v>2310</v>
      </c>
      <c r="AH27" s="192">
        <f t="shared" si="49"/>
        <v>231</v>
      </c>
      <c r="AI27" s="192">
        <f t="shared" si="27"/>
        <v>2310</v>
      </c>
      <c r="AJ27" s="192">
        <f t="shared" si="50"/>
        <v>231</v>
      </c>
      <c r="AK27" s="192">
        <f t="shared" si="28"/>
        <v>2310</v>
      </c>
      <c r="AL27" s="192">
        <f t="shared" si="51"/>
        <v>231</v>
      </c>
      <c r="AM27" s="192">
        <f t="shared" si="29"/>
        <v>2310</v>
      </c>
      <c r="AN27" s="34">
        <f t="shared" si="30"/>
        <v>0.82499999999999996</v>
      </c>
      <c r="AO27" s="35">
        <f t="shared" si="54"/>
        <v>16170</v>
      </c>
      <c r="AQ27" s="208">
        <f t="shared" si="55"/>
        <v>0.7467185044082898</v>
      </c>
      <c r="AR27" s="37">
        <f t="shared" si="56"/>
        <v>69422.419354838697</v>
      </c>
      <c r="AS27" s="186">
        <f t="shared" si="63"/>
        <v>0</v>
      </c>
      <c r="AT27" s="303"/>
      <c r="AU27" s="475"/>
      <c r="AV27" s="432">
        <f t="shared" si="62"/>
        <v>0.89</v>
      </c>
      <c r="AW27" s="251">
        <f>-SUM('B5'!AI26)</f>
        <v>0</v>
      </c>
      <c r="AX27" s="251">
        <f t="shared" si="31"/>
        <v>0</v>
      </c>
      <c r="AY27" s="36">
        <f t="shared" si="52"/>
        <v>0</v>
      </c>
      <c r="AZ27" s="96">
        <f>ELEC!A25</f>
        <v>0</v>
      </c>
      <c r="BA27" s="114">
        <f>'General information '!D26</f>
        <v>0</v>
      </c>
      <c r="BB27" s="193">
        <f>SUM('General information '!E26)</f>
        <v>0</v>
      </c>
      <c r="BC27" s="3">
        <f t="shared" si="59"/>
        <v>0</v>
      </c>
      <c r="BD27" s="98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61"/>
        <v>0</v>
      </c>
      <c r="BK27" s="469" t="e">
        <f>GEN!AF24</f>
        <v>#DIV/0!</v>
      </c>
    </row>
    <row r="28" spans="1:64">
      <c r="A28" s="379">
        <f>ELEC!C26</f>
        <v>44949</v>
      </c>
      <c r="B28" s="440">
        <f>'B5'!B27</f>
        <v>225</v>
      </c>
      <c r="C28" s="192">
        <f t="shared" si="32"/>
        <v>4841.1290322580644</v>
      </c>
      <c r="D28">
        <f t="shared" si="33"/>
        <v>225</v>
      </c>
      <c r="E28" s="192">
        <f t="shared" si="32"/>
        <v>4841.1290322580644</v>
      </c>
      <c r="F28">
        <f t="shared" si="34"/>
        <v>225</v>
      </c>
      <c r="G28" s="192">
        <f t="shared" si="16"/>
        <v>4841.1290322580644</v>
      </c>
      <c r="H28" s="192">
        <f t="shared" si="35"/>
        <v>225</v>
      </c>
      <c r="I28" s="192">
        <f t="shared" si="17"/>
        <v>4841.1290322580644</v>
      </c>
      <c r="J28" s="192">
        <f t="shared" si="36"/>
        <v>225</v>
      </c>
      <c r="K28" s="192">
        <f t="shared" si="18"/>
        <v>4841.1290322580644</v>
      </c>
      <c r="L28" s="192">
        <f t="shared" si="37"/>
        <v>225</v>
      </c>
      <c r="M28" s="192">
        <f t="shared" si="19"/>
        <v>4841.1290322580644</v>
      </c>
      <c r="N28" s="192">
        <f t="shared" si="38"/>
        <v>225</v>
      </c>
      <c r="O28" s="192">
        <f t="shared" si="20"/>
        <v>4841.1290322580644</v>
      </c>
      <c r="P28" s="192">
        <f t="shared" si="39"/>
        <v>225</v>
      </c>
      <c r="Q28" s="192">
        <f t="shared" si="21"/>
        <v>4841.1290322580644</v>
      </c>
      <c r="R28" s="192">
        <f t="shared" si="40"/>
        <v>225</v>
      </c>
      <c r="S28" s="192">
        <f t="shared" si="22"/>
        <v>4841.1290322580644</v>
      </c>
      <c r="T28" s="192">
        <f t="shared" si="41"/>
        <v>225</v>
      </c>
      <c r="U28" s="192">
        <f t="shared" si="23"/>
        <v>4841.1290322580644</v>
      </c>
      <c r="V28" s="192">
        <f t="shared" si="42"/>
        <v>225</v>
      </c>
      <c r="W28" s="192">
        <f t="shared" si="24"/>
        <v>4841.1290322580644</v>
      </c>
      <c r="X28" s="34">
        <f t="shared" si="43"/>
        <v>0.72580645161290303</v>
      </c>
      <c r="Y28" s="35">
        <f t="shared" si="44"/>
        <v>53252.419354838697</v>
      </c>
      <c r="Z28" s="440">
        <f>'B5'!C27</f>
        <v>231</v>
      </c>
      <c r="AA28" s="192">
        <f t="shared" si="45"/>
        <v>2310</v>
      </c>
      <c r="AB28" s="192">
        <f t="shared" si="46"/>
        <v>231</v>
      </c>
      <c r="AC28" s="192">
        <f t="shared" si="45"/>
        <v>2310</v>
      </c>
      <c r="AD28" s="192">
        <f t="shared" si="47"/>
        <v>231</v>
      </c>
      <c r="AE28" s="192">
        <f t="shared" si="25"/>
        <v>2310</v>
      </c>
      <c r="AF28" s="192">
        <f t="shared" si="48"/>
        <v>231</v>
      </c>
      <c r="AG28" s="192">
        <f t="shared" si="26"/>
        <v>2310</v>
      </c>
      <c r="AH28" s="192">
        <f t="shared" si="49"/>
        <v>231</v>
      </c>
      <c r="AI28" s="192">
        <f t="shared" si="27"/>
        <v>2310</v>
      </c>
      <c r="AJ28" s="192">
        <f t="shared" si="50"/>
        <v>231</v>
      </c>
      <c r="AK28" s="192">
        <f t="shared" si="28"/>
        <v>2310</v>
      </c>
      <c r="AL28" s="192">
        <f t="shared" si="51"/>
        <v>231</v>
      </c>
      <c r="AM28" s="192">
        <f t="shared" si="29"/>
        <v>2310</v>
      </c>
      <c r="AN28" s="34">
        <f t="shared" si="30"/>
        <v>0.82499999999999996</v>
      </c>
      <c r="AO28" s="35">
        <f t="shared" si="54"/>
        <v>16170</v>
      </c>
      <c r="AQ28" s="208">
        <f t="shared" si="55"/>
        <v>0.7467185044082898</v>
      </c>
      <c r="AR28" s="37">
        <f t="shared" si="56"/>
        <v>69422.419354838697</v>
      </c>
      <c r="AS28" s="186">
        <f t="shared" si="63"/>
        <v>0</v>
      </c>
      <c r="AT28" s="303"/>
      <c r="AU28" s="475"/>
      <c r="AV28" s="432">
        <f t="shared" si="62"/>
        <v>0.89</v>
      </c>
      <c r="AW28" s="251">
        <f>-SUM('B5'!AI27)</f>
        <v>0</v>
      </c>
      <c r="AX28" s="251">
        <f t="shared" si="31"/>
        <v>0</v>
      </c>
      <c r="AY28" s="36">
        <f t="shared" si="52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59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61"/>
        <v>0</v>
      </c>
      <c r="BK28" s="469" t="e">
        <f>GEN!AF25</f>
        <v>#DIV/0!</v>
      </c>
    </row>
    <row r="29" spans="1:64">
      <c r="A29" s="379">
        <f>ELEC!C27</f>
        <v>44950</v>
      </c>
      <c r="B29" s="440">
        <f>'B5'!B28</f>
        <v>225</v>
      </c>
      <c r="C29" s="192">
        <f t="shared" si="32"/>
        <v>4841.1290322580644</v>
      </c>
      <c r="D29">
        <f t="shared" si="33"/>
        <v>225</v>
      </c>
      <c r="E29" s="192">
        <f t="shared" si="32"/>
        <v>4841.1290322580644</v>
      </c>
      <c r="F29">
        <f t="shared" si="34"/>
        <v>225</v>
      </c>
      <c r="G29" s="192">
        <f t="shared" si="16"/>
        <v>4841.1290322580644</v>
      </c>
      <c r="H29" s="192">
        <f t="shared" si="35"/>
        <v>225</v>
      </c>
      <c r="I29" s="192">
        <f t="shared" si="17"/>
        <v>4841.1290322580644</v>
      </c>
      <c r="J29" s="192">
        <f t="shared" si="36"/>
        <v>225</v>
      </c>
      <c r="K29" s="192">
        <f t="shared" si="18"/>
        <v>4841.1290322580644</v>
      </c>
      <c r="L29" s="192">
        <f t="shared" si="37"/>
        <v>225</v>
      </c>
      <c r="M29" s="192">
        <f t="shared" si="19"/>
        <v>4841.1290322580644</v>
      </c>
      <c r="N29" s="192">
        <f t="shared" si="38"/>
        <v>225</v>
      </c>
      <c r="O29" s="192">
        <f t="shared" si="20"/>
        <v>4841.1290322580644</v>
      </c>
      <c r="P29" s="192">
        <f t="shared" si="39"/>
        <v>225</v>
      </c>
      <c r="Q29" s="192">
        <f t="shared" si="21"/>
        <v>4841.1290322580644</v>
      </c>
      <c r="R29" s="192">
        <f t="shared" si="40"/>
        <v>225</v>
      </c>
      <c r="S29" s="192">
        <f t="shared" si="22"/>
        <v>4841.1290322580644</v>
      </c>
      <c r="T29" s="192">
        <f t="shared" si="41"/>
        <v>225</v>
      </c>
      <c r="U29" s="192">
        <f t="shared" si="23"/>
        <v>4841.1290322580644</v>
      </c>
      <c r="V29" s="192">
        <f t="shared" si="42"/>
        <v>225</v>
      </c>
      <c r="W29" s="192">
        <f t="shared" si="24"/>
        <v>4841.1290322580644</v>
      </c>
      <c r="X29" s="34">
        <f t="shared" si="43"/>
        <v>0.72580645161290303</v>
      </c>
      <c r="Y29" s="35">
        <f t="shared" si="44"/>
        <v>53252.419354838697</v>
      </c>
      <c r="Z29" s="440">
        <f>'B5'!C28</f>
        <v>231</v>
      </c>
      <c r="AA29" s="192">
        <f t="shared" si="45"/>
        <v>2310</v>
      </c>
      <c r="AB29" s="192">
        <f t="shared" si="46"/>
        <v>231</v>
      </c>
      <c r="AC29" s="192">
        <f t="shared" si="45"/>
        <v>2310</v>
      </c>
      <c r="AD29" s="192">
        <f t="shared" si="47"/>
        <v>231</v>
      </c>
      <c r="AE29" s="192">
        <f t="shared" si="25"/>
        <v>2310</v>
      </c>
      <c r="AF29" s="192">
        <f t="shared" si="48"/>
        <v>231</v>
      </c>
      <c r="AG29" s="192">
        <f t="shared" si="26"/>
        <v>2310</v>
      </c>
      <c r="AH29" s="192">
        <f t="shared" si="49"/>
        <v>231</v>
      </c>
      <c r="AI29" s="192">
        <f t="shared" si="27"/>
        <v>2310</v>
      </c>
      <c r="AJ29" s="192">
        <f t="shared" si="50"/>
        <v>231</v>
      </c>
      <c r="AK29" s="192">
        <f t="shared" si="28"/>
        <v>2310</v>
      </c>
      <c r="AL29" s="192">
        <f t="shared" si="51"/>
        <v>231</v>
      </c>
      <c r="AM29" s="192">
        <f t="shared" si="29"/>
        <v>2310</v>
      </c>
      <c r="AN29" s="34">
        <f t="shared" si="30"/>
        <v>0.82499999999999996</v>
      </c>
      <c r="AO29" s="35">
        <f t="shared" si="54"/>
        <v>16170</v>
      </c>
      <c r="AQ29" s="208">
        <f t="shared" si="55"/>
        <v>0.7467185044082898</v>
      </c>
      <c r="AR29" s="37">
        <f t="shared" si="56"/>
        <v>69422.419354838697</v>
      </c>
      <c r="AS29" s="186">
        <f>SUM(AR29-AR28-AT29)</f>
        <v>0</v>
      </c>
      <c r="AT29" s="303"/>
      <c r="AU29" s="475"/>
      <c r="AV29" s="432">
        <f t="shared" si="62"/>
        <v>0.89</v>
      </c>
      <c r="AW29" s="251">
        <f>-SUM('B5'!AI28)</f>
        <v>0</v>
      </c>
      <c r="AX29" s="251">
        <f t="shared" si="31"/>
        <v>0</v>
      </c>
      <c r="AY29" s="36">
        <f t="shared" si="52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59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61"/>
        <v>0</v>
      </c>
      <c r="BK29" s="469" t="e">
        <f>GEN!AF26</f>
        <v>#DIV/0!</v>
      </c>
    </row>
    <row r="30" spans="1:64">
      <c r="A30" s="379">
        <f>ELEC!C28</f>
        <v>44951</v>
      </c>
      <c r="B30" s="440">
        <f>'B5'!B29</f>
        <v>225</v>
      </c>
      <c r="C30" s="192">
        <f t="shared" si="32"/>
        <v>4841.1290322580644</v>
      </c>
      <c r="D30">
        <f>SUM(B30)</f>
        <v>225</v>
      </c>
      <c r="E30" s="192">
        <f t="shared" si="32"/>
        <v>4841.1290322580644</v>
      </c>
      <c r="F30">
        <f>SUM(D30)</f>
        <v>225</v>
      </c>
      <c r="G30" s="192">
        <f t="shared" si="16"/>
        <v>4841.1290322580644</v>
      </c>
      <c r="H30" s="192">
        <f>SUM(F30)</f>
        <v>225</v>
      </c>
      <c r="I30" s="192">
        <f t="shared" si="17"/>
        <v>4841.1290322580644</v>
      </c>
      <c r="J30" s="192">
        <f>SUM(H30)</f>
        <v>225</v>
      </c>
      <c r="K30" s="192">
        <f t="shared" si="18"/>
        <v>4841.1290322580644</v>
      </c>
      <c r="L30" s="192">
        <f>SUM(J30)</f>
        <v>225</v>
      </c>
      <c r="M30" s="192">
        <f t="shared" si="19"/>
        <v>4841.1290322580644</v>
      </c>
      <c r="N30" s="192">
        <f>SUM(L30)</f>
        <v>225</v>
      </c>
      <c r="O30" s="192">
        <f t="shared" si="20"/>
        <v>4841.1290322580644</v>
      </c>
      <c r="P30" s="192">
        <f>SUM(N30)</f>
        <v>225</v>
      </c>
      <c r="Q30" s="192">
        <f t="shared" si="21"/>
        <v>4841.1290322580644</v>
      </c>
      <c r="R30" s="192">
        <f>SUM(P30)</f>
        <v>225</v>
      </c>
      <c r="S30" s="192">
        <f t="shared" si="22"/>
        <v>4841.1290322580644</v>
      </c>
      <c r="T30" s="192">
        <f>SUM(R30)</f>
        <v>225</v>
      </c>
      <c r="U30" s="192">
        <f t="shared" si="23"/>
        <v>4841.1290322580644</v>
      </c>
      <c r="V30" s="192">
        <f>SUM(T30)</f>
        <v>225</v>
      </c>
      <c r="W30" s="192">
        <f t="shared" si="24"/>
        <v>4841.1290322580644</v>
      </c>
      <c r="X30" s="34">
        <f>SUM(Y30/73370)</f>
        <v>0.72580645161290303</v>
      </c>
      <c r="Y30" s="35">
        <f>SUM(C30+E30+G30+I30+K30+M30+O30+Q30+S30+U30+W30)</f>
        <v>53252.419354838697</v>
      </c>
      <c r="Z30" s="440">
        <f>'B5'!C29</f>
        <v>231</v>
      </c>
      <c r="AA30" s="192">
        <f t="shared" si="45"/>
        <v>2310</v>
      </c>
      <c r="AB30" s="192">
        <f>SUM(Z30)</f>
        <v>231</v>
      </c>
      <c r="AC30" s="192">
        <f t="shared" si="45"/>
        <v>2310</v>
      </c>
      <c r="AD30" s="192">
        <f>SUM(AB30)</f>
        <v>231</v>
      </c>
      <c r="AE30" s="192">
        <f t="shared" si="25"/>
        <v>2310</v>
      </c>
      <c r="AF30" s="192">
        <f>SUM(AD30)</f>
        <v>231</v>
      </c>
      <c r="AG30" s="192">
        <f t="shared" si="26"/>
        <v>2310</v>
      </c>
      <c r="AH30" s="192">
        <f>SUM(AF30)</f>
        <v>231</v>
      </c>
      <c r="AI30" s="192">
        <f t="shared" si="27"/>
        <v>2310</v>
      </c>
      <c r="AJ30" s="192">
        <f>SUM(AH30)</f>
        <v>231</v>
      </c>
      <c r="AK30" s="192">
        <f t="shared" si="28"/>
        <v>2310</v>
      </c>
      <c r="AL30" s="192">
        <f>SUM(AJ30)</f>
        <v>231</v>
      </c>
      <c r="AM30" s="192">
        <f t="shared" si="29"/>
        <v>2310</v>
      </c>
      <c r="AN30" s="34">
        <f>SUM(AO30/19600)</f>
        <v>0.82499999999999996</v>
      </c>
      <c r="AO30" s="35">
        <f>SUM(AA30+AC30+AE30+AG30+AI30+AK30+AM30)</f>
        <v>16170</v>
      </c>
      <c r="AQ30" s="208">
        <f t="shared" si="55"/>
        <v>0.7467185044082898</v>
      </c>
      <c r="AR30" s="37">
        <f t="shared" si="56"/>
        <v>69422.419354838697</v>
      </c>
      <c r="AS30" s="186">
        <f>SUM(AR30-AR29-AT30)</f>
        <v>0</v>
      </c>
      <c r="AT30" s="303"/>
      <c r="AU30" s="475"/>
      <c r="AV30" s="432">
        <f t="shared" si="62"/>
        <v>0.89</v>
      </c>
      <c r="AW30" s="251">
        <f>-SUM('B5'!AI29)</f>
        <v>0</v>
      </c>
      <c r="AX30" s="251">
        <f t="shared" si="31"/>
        <v>0</v>
      </c>
      <c r="AY30" s="36">
        <f t="shared" si="52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59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61"/>
        <v>0</v>
      </c>
      <c r="BK30" s="469" t="e">
        <f>GEN!AF27</f>
        <v>#DIV/0!</v>
      </c>
    </row>
    <row r="31" spans="1:64">
      <c r="A31" s="379">
        <f>ELEC!C29</f>
        <v>44952</v>
      </c>
      <c r="B31" s="440">
        <f>'B5'!B30</f>
        <v>225</v>
      </c>
      <c r="C31" s="192">
        <f t="shared" si="32"/>
        <v>4841.1290322580644</v>
      </c>
      <c r="D31">
        <f>SUM(B31)</f>
        <v>225</v>
      </c>
      <c r="E31" s="192">
        <f t="shared" si="32"/>
        <v>4841.1290322580644</v>
      </c>
      <c r="F31">
        <f>SUM(D31)</f>
        <v>225</v>
      </c>
      <c r="G31" s="192">
        <f t="shared" si="16"/>
        <v>4841.1290322580644</v>
      </c>
      <c r="H31" s="192">
        <f>SUM(F31)</f>
        <v>225</v>
      </c>
      <c r="I31" s="192">
        <f t="shared" si="17"/>
        <v>4841.1290322580644</v>
      </c>
      <c r="J31" s="192">
        <f>SUM(H31)</f>
        <v>225</v>
      </c>
      <c r="K31" s="192">
        <f t="shared" si="18"/>
        <v>4841.1290322580644</v>
      </c>
      <c r="L31" s="192">
        <f>SUM(J31)</f>
        <v>225</v>
      </c>
      <c r="M31" s="192">
        <f t="shared" si="19"/>
        <v>4841.1290322580644</v>
      </c>
      <c r="N31" s="192">
        <f>SUM(L31)</f>
        <v>225</v>
      </c>
      <c r="O31" s="192">
        <f t="shared" si="20"/>
        <v>4841.1290322580644</v>
      </c>
      <c r="P31" s="192">
        <f>SUM(N31)</f>
        <v>225</v>
      </c>
      <c r="Q31" s="192">
        <f t="shared" si="21"/>
        <v>4841.1290322580644</v>
      </c>
      <c r="R31" s="192">
        <f>SUM(P31)</f>
        <v>225</v>
      </c>
      <c r="S31" s="192">
        <f t="shared" si="22"/>
        <v>4841.1290322580644</v>
      </c>
      <c r="T31" s="192">
        <f>SUM(R31)</f>
        <v>225</v>
      </c>
      <c r="U31" s="192">
        <f t="shared" si="23"/>
        <v>4841.1290322580644</v>
      </c>
      <c r="V31" s="192">
        <f>SUM(T31)</f>
        <v>225</v>
      </c>
      <c r="W31" s="192">
        <f t="shared" si="24"/>
        <v>4841.1290322580644</v>
      </c>
      <c r="X31" s="34">
        <f>SUM(Y31/73370)</f>
        <v>0.72580645161290303</v>
      </c>
      <c r="Y31" s="35">
        <f>SUM(C31+E31+G31+I31+K31+M31+O31+Q31+S31+U31+W31)</f>
        <v>53252.419354838697</v>
      </c>
      <c r="Z31" s="440">
        <f>'B5'!C30</f>
        <v>231</v>
      </c>
      <c r="AA31" s="192">
        <f t="shared" si="45"/>
        <v>2310</v>
      </c>
      <c r="AB31" s="192">
        <f>SUM(Z31)</f>
        <v>231</v>
      </c>
      <c r="AC31" s="192">
        <f t="shared" si="45"/>
        <v>2310</v>
      </c>
      <c r="AD31" s="192">
        <f>SUM(AB31)</f>
        <v>231</v>
      </c>
      <c r="AE31" s="192">
        <f t="shared" si="25"/>
        <v>2310</v>
      </c>
      <c r="AF31" s="192">
        <f>SUM(AD31)</f>
        <v>231</v>
      </c>
      <c r="AG31" s="192">
        <f t="shared" si="26"/>
        <v>2310</v>
      </c>
      <c r="AH31" s="192">
        <f>SUM(AF31)</f>
        <v>231</v>
      </c>
      <c r="AI31" s="192">
        <f t="shared" si="27"/>
        <v>2310</v>
      </c>
      <c r="AJ31" s="192">
        <f>SUM(AH31)</f>
        <v>231</v>
      </c>
      <c r="AK31" s="192">
        <f t="shared" si="28"/>
        <v>2310</v>
      </c>
      <c r="AL31" s="192">
        <f>SUM(AJ31)</f>
        <v>231</v>
      </c>
      <c r="AM31" s="192">
        <f t="shared" si="29"/>
        <v>2310</v>
      </c>
      <c r="AN31" s="34">
        <f>SUM(AO31/19600)</f>
        <v>0.82499999999999996</v>
      </c>
      <c r="AO31" s="35">
        <f>SUM(AA31+AC31+AE31+AG31+AI31+AK31+AM31)</f>
        <v>16170</v>
      </c>
      <c r="AQ31" s="208">
        <f t="shared" si="55"/>
        <v>0.7467185044082898</v>
      </c>
      <c r="AR31" s="37">
        <f t="shared" si="56"/>
        <v>69422.419354838697</v>
      </c>
      <c r="AS31" s="186">
        <f t="shared" si="63"/>
        <v>0</v>
      </c>
      <c r="AT31" s="303"/>
      <c r="AU31" s="475"/>
      <c r="AV31" s="432">
        <f t="shared" si="62"/>
        <v>0.89</v>
      </c>
      <c r="AW31" s="251">
        <f>-SUM('B5'!AI30)</f>
        <v>0</v>
      </c>
      <c r="AX31" s="251">
        <f t="shared" si="31"/>
        <v>0</v>
      </c>
      <c r="AY31" s="36">
        <f t="shared" si="52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59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61"/>
        <v>0</v>
      </c>
      <c r="BK31" s="469" t="e">
        <f>GEN!AF28</f>
        <v>#DIV/0!</v>
      </c>
    </row>
    <row r="32" spans="1:64">
      <c r="A32" s="379">
        <f>ELEC!C30</f>
        <v>44953</v>
      </c>
      <c r="B32" s="440">
        <f>'B5'!B31</f>
        <v>225</v>
      </c>
      <c r="C32" s="192">
        <f t="shared" si="32"/>
        <v>4841.1290322580644</v>
      </c>
      <c r="D32">
        <f>SUM(B32)</f>
        <v>225</v>
      </c>
      <c r="E32" s="192">
        <f t="shared" si="32"/>
        <v>4841.1290322580644</v>
      </c>
      <c r="F32">
        <f>SUM(D32)</f>
        <v>225</v>
      </c>
      <c r="G32" s="192">
        <f t="shared" si="16"/>
        <v>4841.1290322580644</v>
      </c>
      <c r="H32" s="192">
        <f>SUM(F32)</f>
        <v>225</v>
      </c>
      <c r="I32" s="192">
        <f t="shared" si="17"/>
        <v>4841.1290322580644</v>
      </c>
      <c r="J32" s="192">
        <f>SUM(H32)</f>
        <v>225</v>
      </c>
      <c r="K32" s="192">
        <f t="shared" si="18"/>
        <v>4841.1290322580644</v>
      </c>
      <c r="L32" s="192">
        <f>SUM(J32)</f>
        <v>225</v>
      </c>
      <c r="M32" s="192">
        <f t="shared" si="19"/>
        <v>4841.1290322580644</v>
      </c>
      <c r="N32" s="192">
        <f>SUM(L32)</f>
        <v>225</v>
      </c>
      <c r="O32" s="192">
        <f t="shared" si="20"/>
        <v>4841.1290322580644</v>
      </c>
      <c r="P32" s="192">
        <f>SUM(N32)</f>
        <v>225</v>
      </c>
      <c r="Q32" s="192">
        <f t="shared" si="21"/>
        <v>4841.1290322580644</v>
      </c>
      <c r="R32" s="192">
        <f>SUM(P32)</f>
        <v>225</v>
      </c>
      <c r="S32" s="192">
        <f t="shared" si="22"/>
        <v>4841.1290322580644</v>
      </c>
      <c r="T32" s="192">
        <f>SUM(R32)</f>
        <v>225</v>
      </c>
      <c r="U32" s="192">
        <f t="shared" si="23"/>
        <v>4841.1290322580644</v>
      </c>
      <c r="V32" s="192">
        <f>SUM(T32)</f>
        <v>225</v>
      </c>
      <c r="W32" s="192">
        <f t="shared" si="24"/>
        <v>4841.1290322580644</v>
      </c>
      <c r="X32" s="34">
        <f>SUM(Y32/73370)</f>
        <v>0.72580645161290303</v>
      </c>
      <c r="Y32" s="35">
        <f>SUM(C32+E32+G32+I32+K32+M32+O32+Q32+S32+U32+W32)</f>
        <v>53252.419354838697</v>
      </c>
      <c r="Z32" s="440">
        <f>'B5'!C31</f>
        <v>231</v>
      </c>
      <c r="AA32" s="192">
        <f t="shared" si="45"/>
        <v>2310</v>
      </c>
      <c r="AB32" s="192">
        <f>SUM(Z32)</f>
        <v>231</v>
      </c>
      <c r="AC32" s="192">
        <f t="shared" si="45"/>
        <v>2310</v>
      </c>
      <c r="AD32" s="192">
        <f>SUM(AB32)</f>
        <v>231</v>
      </c>
      <c r="AE32" s="192">
        <f t="shared" si="25"/>
        <v>2310</v>
      </c>
      <c r="AF32" s="192">
        <f>SUM(AD32)</f>
        <v>231</v>
      </c>
      <c r="AG32" s="192">
        <f t="shared" si="26"/>
        <v>2310</v>
      </c>
      <c r="AH32" s="192">
        <f>SUM(AF32)</f>
        <v>231</v>
      </c>
      <c r="AI32" s="192">
        <f t="shared" si="27"/>
        <v>2310</v>
      </c>
      <c r="AJ32" s="192">
        <f>SUM(AH32)</f>
        <v>231</v>
      </c>
      <c r="AK32" s="192">
        <f t="shared" si="28"/>
        <v>2310</v>
      </c>
      <c r="AL32" s="192">
        <f>SUM(AJ32)</f>
        <v>231</v>
      </c>
      <c r="AM32" s="192">
        <f t="shared" si="29"/>
        <v>2310</v>
      </c>
      <c r="AN32" s="34">
        <f>SUM(AO32/19600)</f>
        <v>0.82499999999999996</v>
      </c>
      <c r="AO32" s="35">
        <f>SUM(AA32+AC32+AE32+AG32+AI32+AK32+AM32)</f>
        <v>16170</v>
      </c>
      <c r="AQ32" s="208">
        <f t="shared" si="55"/>
        <v>0.7467185044082898</v>
      </c>
      <c r="AR32" s="37">
        <f t="shared" si="56"/>
        <v>69422.419354838697</v>
      </c>
      <c r="AS32" s="186">
        <f t="shared" si="63"/>
        <v>0</v>
      </c>
      <c r="AT32" s="303"/>
      <c r="AU32" s="475"/>
      <c r="AV32" s="432">
        <f t="shared" si="62"/>
        <v>0.89</v>
      </c>
      <c r="AW32" s="251">
        <f>-SUM('B5'!AI31)</f>
        <v>0</v>
      </c>
      <c r="AX32" s="251">
        <f t="shared" si="31"/>
        <v>0</v>
      </c>
      <c r="AY32" s="36">
        <f t="shared" si="52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59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61"/>
        <v>0</v>
      </c>
      <c r="BK32" s="469" t="e">
        <f>GEN!AF29</f>
        <v>#DIV/0!</v>
      </c>
    </row>
    <row r="33" spans="1:63">
      <c r="A33" s="379">
        <f>ELEC!C31</f>
        <v>44954</v>
      </c>
      <c r="B33" s="440">
        <f>'B5'!B32</f>
        <v>225</v>
      </c>
      <c r="C33" s="192">
        <f t="shared" si="32"/>
        <v>4841.1290322580644</v>
      </c>
      <c r="D33">
        <f>SUM(B33)</f>
        <v>225</v>
      </c>
      <c r="E33" s="192">
        <f t="shared" si="32"/>
        <v>4841.1290322580644</v>
      </c>
      <c r="F33">
        <f>SUM(D33)</f>
        <v>225</v>
      </c>
      <c r="G33" s="192">
        <f t="shared" si="16"/>
        <v>4841.1290322580644</v>
      </c>
      <c r="H33" s="192">
        <f>SUM(F33)</f>
        <v>225</v>
      </c>
      <c r="I33" s="192">
        <f t="shared" si="17"/>
        <v>4841.1290322580644</v>
      </c>
      <c r="J33" s="192">
        <f>SUM(H33)</f>
        <v>225</v>
      </c>
      <c r="K33" s="192">
        <f t="shared" si="18"/>
        <v>4841.1290322580644</v>
      </c>
      <c r="L33" s="192">
        <f>SUM(J33)</f>
        <v>225</v>
      </c>
      <c r="M33" s="192">
        <f t="shared" si="19"/>
        <v>4841.1290322580644</v>
      </c>
      <c r="N33" s="192">
        <f>SUM(L33)</f>
        <v>225</v>
      </c>
      <c r="O33" s="192">
        <f t="shared" si="20"/>
        <v>4841.1290322580644</v>
      </c>
      <c r="P33" s="192">
        <f>SUM(N33)</f>
        <v>225</v>
      </c>
      <c r="Q33" s="192">
        <f t="shared" si="21"/>
        <v>4841.1290322580644</v>
      </c>
      <c r="R33" s="192">
        <f>SUM(P33)</f>
        <v>225</v>
      </c>
      <c r="S33" s="192">
        <f t="shared" si="22"/>
        <v>4841.1290322580644</v>
      </c>
      <c r="T33" s="192">
        <f>SUM(R33)</f>
        <v>225</v>
      </c>
      <c r="U33" s="192">
        <f t="shared" si="23"/>
        <v>4841.1290322580644</v>
      </c>
      <c r="V33" s="192">
        <f>SUM(T33)</f>
        <v>225</v>
      </c>
      <c r="W33" s="192">
        <f t="shared" si="24"/>
        <v>4841.1290322580644</v>
      </c>
      <c r="X33" s="34">
        <f>SUM(Y33/73370)</f>
        <v>0.72580645161290303</v>
      </c>
      <c r="Y33" s="35">
        <f>SUM(C33+E33+G33+I33+K33+M33+O33+Q33+S33+U33+W33)</f>
        <v>53252.419354838697</v>
      </c>
      <c r="Z33" s="440">
        <f>'B5'!C32</f>
        <v>231</v>
      </c>
      <c r="AA33" s="192">
        <f t="shared" si="45"/>
        <v>2310</v>
      </c>
      <c r="AB33" s="192">
        <f>SUM(Z33)</f>
        <v>231</v>
      </c>
      <c r="AC33" s="192">
        <f t="shared" si="45"/>
        <v>2310</v>
      </c>
      <c r="AD33" s="192">
        <f>SUM(AB33)</f>
        <v>231</v>
      </c>
      <c r="AE33" s="192">
        <f t="shared" si="25"/>
        <v>2310</v>
      </c>
      <c r="AF33" s="192">
        <f>SUM(AD33)</f>
        <v>231</v>
      </c>
      <c r="AG33" s="192">
        <f t="shared" si="26"/>
        <v>2310</v>
      </c>
      <c r="AH33" s="192">
        <f>SUM(AF33)</f>
        <v>231</v>
      </c>
      <c r="AI33" s="192">
        <f t="shared" si="27"/>
        <v>2310</v>
      </c>
      <c r="AJ33" s="192">
        <f>SUM(AH33)</f>
        <v>231</v>
      </c>
      <c r="AK33" s="192">
        <f t="shared" si="28"/>
        <v>2310</v>
      </c>
      <c r="AL33" s="192">
        <f>SUM(AJ33)</f>
        <v>231</v>
      </c>
      <c r="AM33" s="192">
        <f t="shared" si="29"/>
        <v>2310</v>
      </c>
      <c r="AN33" s="34">
        <f>SUM(AO33/19600)</f>
        <v>0.82499999999999996</v>
      </c>
      <c r="AO33" s="35">
        <f>SUM(AA33+AC33+AE33+AG33+AI33+AK33+AM33)</f>
        <v>16170</v>
      </c>
      <c r="AQ33" s="208">
        <f t="shared" si="55"/>
        <v>0.7467185044082898</v>
      </c>
      <c r="AR33" s="37">
        <f t="shared" si="56"/>
        <v>69422.419354838697</v>
      </c>
      <c r="AS33" s="186">
        <f>SUM(AR33-AR32-AT33)</f>
        <v>0</v>
      </c>
      <c r="AT33" s="303"/>
      <c r="AU33" s="475"/>
      <c r="AV33" s="432">
        <f t="shared" si="62"/>
        <v>0.89</v>
      </c>
      <c r="AW33" s="251">
        <f>-SUM('B5'!AI32)</f>
        <v>0</v>
      </c>
      <c r="AX33" s="251">
        <f t="shared" si="31"/>
        <v>0</v>
      </c>
      <c r="AY33" s="36">
        <f t="shared" si="52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59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61"/>
        <v>0</v>
      </c>
      <c r="BK33" s="469" t="e">
        <f>GEN!AF30</f>
        <v>#DIV/0!</v>
      </c>
    </row>
    <row r="34" spans="1:63">
      <c r="A34" s="379">
        <f>ELEC!C32</f>
        <v>44955</v>
      </c>
      <c r="B34" s="440">
        <f>'B5'!B33</f>
        <v>225</v>
      </c>
      <c r="C34" s="192">
        <f t="shared" ref="C34:C36" si="64">B34*$B$4</f>
        <v>4841.1290322580644</v>
      </c>
      <c r="D34">
        <f t="shared" ref="D34:D36" si="65">SUM(B34)</f>
        <v>225</v>
      </c>
      <c r="E34" s="192">
        <f t="shared" ref="E34:E36" si="66">D34*$B$4</f>
        <v>4841.1290322580644</v>
      </c>
      <c r="F34">
        <f t="shared" ref="F34:F36" si="67">SUM(D34)</f>
        <v>225</v>
      </c>
      <c r="G34" s="192">
        <f t="shared" ref="G34:G36" si="68">F34*$B$4</f>
        <v>4841.1290322580644</v>
      </c>
      <c r="H34" s="192">
        <f t="shared" ref="H34:H36" si="69">SUM(F34)</f>
        <v>225</v>
      </c>
      <c r="I34" s="192">
        <f t="shared" ref="I34:I36" si="70">H34*$B$4</f>
        <v>4841.1290322580644</v>
      </c>
      <c r="J34" s="192">
        <f t="shared" ref="J34:J36" si="71">SUM(H34)</f>
        <v>225</v>
      </c>
      <c r="K34" s="192">
        <f t="shared" ref="K34:K36" si="72">J34*$B$4</f>
        <v>4841.1290322580644</v>
      </c>
      <c r="L34" s="192">
        <f t="shared" ref="L34:L36" si="73">SUM(J34)</f>
        <v>225</v>
      </c>
      <c r="M34" s="192">
        <f t="shared" ref="M34:M36" si="74">L34*$B$4</f>
        <v>4841.1290322580644</v>
      </c>
      <c r="N34" s="192">
        <f t="shared" ref="N34:N36" si="75">SUM(L34)</f>
        <v>225</v>
      </c>
      <c r="O34" s="192">
        <f t="shared" ref="O34:O36" si="76">N34*$B$4</f>
        <v>4841.1290322580644</v>
      </c>
      <c r="P34" s="192">
        <f t="shared" ref="P34:P36" si="77">SUM(N34)</f>
        <v>225</v>
      </c>
      <c r="Q34" s="192">
        <f t="shared" ref="Q34:Q36" si="78">P34*$B$4</f>
        <v>4841.1290322580644</v>
      </c>
      <c r="R34" s="192">
        <f t="shared" ref="R34:R36" si="79">SUM(P34)</f>
        <v>225</v>
      </c>
      <c r="S34" s="192">
        <f t="shared" ref="S34:S36" si="80">R34*$B$4</f>
        <v>4841.1290322580644</v>
      </c>
      <c r="T34" s="192">
        <f t="shared" ref="T34:T36" si="81">SUM(R34)</f>
        <v>225</v>
      </c>
      <c r="U34" s="192">
        <f t="shared" ref="U34:U36" si="82">T34*$B$4</f>
        <v>4841.1290322580644</v>
      </c>
      <c r="V34" s="192">
        <f t="shared" ref="V34:V36" si="83">SUM(T34)</f>
        <v>225</v>
      </c>
      <c r="W34" s="192">
        <f t="shared" ref="W34:W36" si="84">V34*$B$4</f>
        <v>4841.1290322580644</v>
      </c>
      <c r="X34" s="34">
        <f t="shared" ref="X34:X36" si="85">SUM(Y34/73370)</f>
        <v>0.72580645161290303</v>
      </c>
      <c r="Y34" s="35">
        <f t="shared" ref="Y34:Y36" si="86">SUM(C34+E34+G34+I34+K34+M34+O34+Q34+S34+U34+W34)</f>
        <v>53252.419354838697</v>
      </c>
      <c r="Z34" s="440">
        <f>'B5'!C33</f>
        <v>231</v>
      </c>
      <c r="AA34" s="192">
        <f t="shared" ref="AA34:AA36" si="87">SUM(Z34*$Z$4)</f>
        <v>2310</v>
      </c>
      <c r="AB34" s="192">
        <f t="shared" ref="AB34:AB36" si="88">SUM(Z34)</f>
        <v>231</v>
      </c>
      <c r="AC34" s="192">
        <f t="shared" ref="AC34:AC36" si="89">SUM(AB34*$Z$4)</f>
        <v>2310</v>
      </c>
      <c r="AD34" s="192">
        <f t="shared" ref="AD34:AD36" si="90">SUM(AB34)</f>
        <v>231</v>
      </c>
      <c r="AE34" s="192">
        <f t="shared" ref="AE34:AE36" si="91">SUM(AD34*$Z$4)</f>
        <v>2310</v>
      </c>
      <c r="AF34" s="192">
        <f t="shared" ref="AF34:AF36" si="92">SUM(AD34)</f>
        <v>231</v>
      </c>
      <c r="AG34" s="192">
        <f t="shared" ref="AG34:AG36" si="93">SUM(AF34*$Z$4)</f>
        <v>2310</v>
      </c>
      <c r="AH34" s="192">
        <f t="shared" ref="AH34:AH36" si="94">SUM(AF34)</f>
        <v>231</v>
      </c>
      <c r="AI34" s="192">
        <f t="shared" ref="AI34:AI36" si="95">SUM(AH34*$Z$4)</f>
        <v>2310</v>
      </c>
      <c r="AJ34" s="192">
        <f t="shared" ref="AJ34:AJ36" si="96">SUM(AH34)</f>
        <v>231</v>
      </c>
      <c r="AK34" s="192">
        <f t="shared" ref="AK34:AK36" si="97">SUM(AJ34*$Z$4)</f>
        <v>2310</v>
      </c>
      <c r="AL34" s="192">
        <f t="shared" ref="AL34:AL36" si="98">SUM(AJ34)</f>
        <v>231</v>
      </c>
      <c r="AM34" s="192">
        <f t="shared" ref="AM34:AM36" si="99">SUM(AL34*$Z$4)</f>
        <v>2310</v>
      </c>
      <c r="AN34" s="34">
        <f t="shared" ref="AN34:AN36" si="100">SUM(AO34/19600)</f>
        <v>0.82499999999999996</v>
      </c>
      <c r="AO34" s="35">
        <f t="shared" ref="AO34:AO36" si="101">SUM(AA34+AC34+AE34+AG34+AI34+AK34+AM34)</f>
        <v>16170</v>
      </c>
      <c r="AQ34" s="208">
        <f t="shared" ref="AQ34:AQ36" si="102">SUM(AR34/92970)</f>
        <v>0.7467185044082898</v>
      </c>
      <c r="AR34" s="37">
        <f t="shared" si="56"/>
        <v>69422.419354838697</v>
      </c>
      <c r="AS34" s="186">
        <f t="shared" ref="AS34:AS36" si="103">SUM(AR34-AR33-AT34)</f>
        <v>0</v>
      </c>
      <c r="AT34" s="303"/>
      <c r="AU34" s="475"/>
      <c r="AV34" s="432">
        <f t="shared" si="62"/>
        <v>0.89</v>
      </c>
      <c r="AW34" s="251">
        <f>-SUM('B5'!AI33)</f>
        <v>0</v>
      </c>
      <c r="AX34" s="251">
        <f t="shared" ref="AX34:AX36" si="104">-SUM(AW34-AS34)</f>
        <v>0</v>
      </c>
      <c r="AY34" s="36">
        <f t="shared" ref="AY34:AY36" si="105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106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107">AX34/BI34</f>
        <v>0</v>
      </c>
      <c r="BK34" s="469" t="e">
        <f>GEN!AF31</f>
        <v>#DIV/0!</v>
      </c>
    </row>
    <row r="35" spans="1:63">
      <c r="A35" s="379">
        <f>ELEC!C33</f>
        <v>44956</v>
      </c>
      <c r="B35" s="440">
        <f>'B5'!B34</f>
        <v>225</v>
      </c>
      <c r="C35" s="192">
        <f t="shared" si="64"/>
        <v>4841.1290322580644</v>
      </c>
      <c r="D35">
        <f t="shared" si="65"/>
        <v>225</v>
      </c>
      <c r="E35" s="192">
        <f t="shared" si="66"/>
        <v>4841.1290322580644</v>
      </c>
      <c r="F35">
        <f t="shared" si="67"/>
        <v>225</v>
      </c>
      <c r="G35" s="192">
        <f t="shared" si="68"/>
        <v>4841.1290322580644</v>
      </c>
      <c r="H35" s="192">
        <f t="shared" si="69"/>
        <v>225</v>
      </c>
      <c r="I35" s="192">
        <f t="shared" si="70"/>
        <v>4841.1290322580644</v>
      </c>
      <c r="J35" s="192">
        <f t="shared" si="71"/>
        <v>225</v>
      </c>
      <c r="K35" s="192">
        <f t="shared" si="72"/>
        <v>4841.1290322580644</v>
      </c>
      <c r="L35" s="192">
        <f t="shared" si="73"/>
        <v>225</v>
      </c>
      <c r="M35" s="192">
        <f t="shared" si="74"/>
        <v>4841.1290322580644</v>
      </c>
      <c r="N35" s="192">
        <f t="shared" si="75"/>
        <v>225</v>
      </c>
      <c r="O35" s="192">
        <f t="shared" si="76"/>
        <v>4841.1290322580644</v>
      </c>
      <c r="P35" s="192">
        <f t="shared" si="77"/>
        <v>225</v>
      </c>
      <c r="Q35" s="192">
        <f t="shared" si="78"/>
        <v>4841.1290322580644</v>
      </c>
      <c r="R35" s="192">
        <f t="shared" si="79"/>
        <v>225</v>
      </c>
      <c r="S35" s="192">
        <f t="shared" si="80"/>
        <v>4841.1290322580644</v>
      </c>
      <c r="T35" s="192">
        <f t="shared" si="81"/>
        <v>225</v>
      </c>
      <c r="U35" s="192">
        <f t="shared" si="82"/>
        <v>4841.1290322580644</v>
      </c>
      <c r="V35" s="192">
        <f t="shared" si="83"/>
        <v>225</v>
      </c>
      <c r="W35" s="192">
        <f t="shared" si="84"/>
        <v>4841.1290322580644</v>
      </c>
      <c r="X35" s="34">
        <f t="shared" si="85"/>
        <v>0.72580645161290303</v>
      </c>
      <c r="Y35" s="35">
        <f t="shared" si="86"/>
        <v>53252.419354838697</v>
      </c>
      <c r="Z35" s="440">
        <f>'B5'!C34</f>
        <v>231</v>
      </c>
      <c r="AA35" s="192">
        <f t="shared" si="87"/>
        <v>2310</v>
      </c>
      <c r="AB35" s="192">
        <f t="shared" si="88"/>
        <v>231</v>
      </c>
      <c r="AC35" s="192">
        <f t="shared" si="89"/>
        <v>2310</v>
      </c>
      <c r="AD35" s="192">
        <f t="shared" si="90"/>
        <v>231</v>
      </c>
      <c r="AE35" s="192">
        <f t="shared" si="91"/>
        <v>2310</v>
      </c>
      <c r="AF35" s="192">
        <f t="shared" si="92"/>
        <v>231</v>
      </c>
      <c r="AG35" s="192">
        <f t="shared" si="93"/>
        <v>2310</v>
      </c>
      <c r="AH35" s="192">
        <f t="shared" si="94"/>
        <v>231</v>
      </c>
      <c r="AI35" s="192">
        <f t="shared" si="95"/>
        <v>2310</v>
      </c>
      <c r="AJ35" s="192">
        <f t="shared" si="96"/>
        <v>231</v>
      </c>
      <c r="AK35" s="192">
        <f t="shared" si="97"/>
        <v>2310</v>
      </c>
      <c r="AL35" s="192">
        <f t="shared" si="98"/>
        <v>231</v>
      </c>
      <c r="AM35" s="192">
        <f t="shared" si="99"/>
        <v>2310</v>
      </c>
      <c r="AN35" s="34">
        <f t="shared" si="100"/>
        <v>0.82499999999999996</v>
      </c>
      <c r="AO35" s="35">
        <f t="shared" si="101"/>
        <v>16170</v>
      </c>
      <c r="AQ35" s="208">
        <f t="shared" si="102"/>
        <v>0.7467185044082898</v>
      </c>
      <c r="AR35" s="37">
        <f t="shared" si="56"/>
        <v>69422.419354838697</v>
      </c>
      <c r="AS35" s="186">
        <f t="shared" si="103"/>
        <v>0</v>
      </c>
      <c r="AT35" s="303"/>
      <c r="AU35" s="475"/>
      <c r="AV35" s="432">
        <f t="shared" si="62"/>
        <v>0.89</v>
      </c>
      <c r="AW35" s="251">
        <f>-SUM('B5'!AI34)</f>
        <v>274</v>
      </c>
      <c r="AX35" s="251">
        <f t="shared" si="104"/>
        <v>-274</v>
      </c>
      <c r="AY35" s="36">
        <f t="shared" si="105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106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107"/>
        <v>-12.454545454545455</v>
      </c>
      <c r="BK35" s="469" t="e">
        <f>GEN!AF32</f>
        <v>#DIV/0!</v>
      </c>
    </row>
    <row r="36" spans="1:63">
      <c r="A36" s="379">
        <f>ELEC!C34</f>
        <v>44957</v>
      </c>
      <c r="B36" s="440">
        <f>'B5'!B35</f>
        <v>225</v>
      </c>
      <c r="C36" s="192">
        <f t="shared" si="64"/>
        <v>4841.1290322580644</v>
      </c>
      <c r="D36">
        <f t="shared" si="65"/>
        <v>225</v>
      </c>
      <c r="E36" s="192">
        <f t="shared" si="66"/>
        <v>4841.1290322580644</v>
      </c>
      <c r="F36">
        <f t="shared" si="67"/>
        <v>225</v>
      </c>
      <c r="G36" s="192">
        <f t="shared" si="68"/>
        <v>4841.1290322580644</v>
      </c>
      <c r="H36" s="192">
        <f t="shared" si="69"/>
        <v>225</v>
      </c>
      <c r="I36" s="192">
        <f t="shared" si="70"/>
        <v>4841.1290322580644</v>
      </c>
      <c r="J36" s="192">
        <f t="shared" si="71"/>
        <v>225</v>
      </c>
      <c r="K36" s="192">
        <f t="shared" si="72"/>
        <v>4841.1290322580644</v>
      </c>
      <c r="L36" s="192">
        <f t="shared" si="73"/>
        <v>225</v>
      </c>
      <c r="M36" s="192">
        <f t="shared" si="74"/>
        <v>4841.1290322580644</v>
      </c>
      <c r="N36" s="192">
        <f t="shared" si="75"/>
        <v>225</v>
      </c>
      <c r="O36" s="192">
        <f t="shared" si="76"/>
        <v>4841.1290322580644</v>
      </c>
      <c r="P36" s="192">
        <f t="shared" si="77"/>
        <v>225</v>
      </c>
      <c r="Q36" s="192">
        <f t="shared" si="78"/>
        <v>4841.1290322580644</v>
      </c>
      <c r="R36" s="192">
        <f t="shared" si="79"/>
        <v>225</v>
      </c>
      <c r="S36" s="192">
        <f t="shared" si="80"/>
        <v>4841.1290322580644</v>
      </c>
      <c r="T36" s="192">
        <f t="shared" si="81"/>
        <v>225</v>
      </c>
      <c r="U36" s="192">
        <f t="shared" si="82"/>
        <v>4841.1290322580644</v>
      </c>
      <c r="V36" s="192">
        <f t="shared" si="83"/>
        <v>225</v>
      </c>
      <c r="W36" s="192">
        <f t="shared" si="84"/>
        <v>4841.1290322580644</v>
      </c>
      <c r="X36" s="34">
        <f t="shared" si="85"/>
        <v>0.72580645161290303</v>
      </c>
      <c r="Y36" s="35">
        <f t="shared" si="86"/>
        <v>53252.419354838697</v>
      </c>
      <c r="Z36" s="440">
        <f>'B5'!C35</f>
        <v>231</v>
      </c>
      <c r="AA36" s="192">
        <f t="shared" si="87"/>
        <v>2310</v>
      </c>
      <c r="AB36" s="192">
        <f t="shared" si="88"/>
        <v>231</v>
      </c>
      <c r="AC36" s="192">
        <f t="shared" si="89"/>
        <v>2310</v>
      </c>
      <c r="AD36" s="192">
        <f t="shared" si="90"/>
        <v>231</v>
      </c>
      <c r="AE36" s="192">
        <f t="shared" si="91"/>
        <v>2310</v>
      </c>
      <c r="AF36" s="192">
        <f t="shared" si="92"/>
        <v>231</v>
      </c>
      <c r="AG36" s="192">
        <f t="shared" si="93"/>
        <v>2310</v>
      </c>
      <c r="AH36" s="192">
        <f t="shared" si="94"/>
        <v>231</v>
      </c>
      <c r="AI36" s="192">
        <f t="shared" si="95"/>
        <v>2310</v>
      </c>
      <c r="AJ36" s="192">
        <f t="shared" si="96"/>
        <v>231</v>
      </c>
      <c r="AK36" s="192">
        <f t="shared" si="97"/>
        <v>2310</v>
      </c>
      <c r="AL36" s="192">
        <f t="shared" si="98"/>
        <v>231</v>
      </c>
      <c r="AM36" s="192">
        <f t="shared" si="99"/>
        <v>2310</v>
      </c>
      <c r="AN36" s="34">
        <f t="shared" si="100"/>
        <v>0.82499999999999996</v>
      </c>
      <c r="AO36" s="35">
        <f t="shared" si="101"/>
        <v>16170</v>
      </c>
      <c r="AQ36" s="208">
        <f t="shared" si="102"/>
        <v>0.7467185044082898</v>
      </c>
      <c r="AR36" s="37">
        <f t="shared" si="56"/>
        <v>69422.419354838697</v>
      </c>
      <c r="AS36" s="186">
        <f t="shared" si="103"/>
        <v>0</v>
      </c>
      <c r="AT36" s="303"/>
      <c r="AU36" s="475"/>
      <c r="AV36" s="432">
        <f t="shared" si="62"/>
        <v>0.89</v>
      </c>
      <c r="AW36" s="251">
        <f>-SUM('B5'!AI35)</f>
        <v>0</v>
      </c>
      <c r="AX36" s="251">
        <f t="shared" si="104"/>
        <v>0</v>
      </c>
      <c r="AY36" s="36">
        <f t="shared" si="105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106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107"/>
        <v>0</v>
      </c>
      <c r="BK36" s="469" t="e">
        <f>GEN!AF33</f>
        <v>#DIV/0!</v>
      </c>
    </row>
    <row r="37" spans="1:63">
      <c r="AQ37" s="19"/>
      <c r="AR37" s="409" t="s">
        <v>121</v>
      </c>
      <c r="AS37" s="414">
        <f>COUNT(AT6:AT36)</f>
        <v>1</v>
      </c>
      <c r="AT37" s="192">
        <f>SUM(AT6:AT36)</f>
        <v>7795</v>
      </c>
      <c r="AU37">
        <f>SUM(AU6:AU36)/AS37</f>
        <v>0.89</v>
      </c>
      <c r="AX37" s="192">
        <f>SUM(AX6:AX36)</f>
        <v>-4904.7580645161361</v>
      </c>
      <c r="AY37" s="192">
        <f>SUM(AY6:AY36)</f>
        <v>-5648.2580645161361</v>
      </c>
    </row>
    <row r="38" spans="1:63">
      <c r="AT38" s="79">
        <f>+AT37*AU37</f>
        <v>6937.55</v>
      </c>
    </row>
    <row r="40" spans="1:63">
      <c r="AS40" s="1">
        <f>SUM(AS6:AS36)/'EDl log'!A35</f>
        <v>-5648.2580645161361</v>
      </c>
      <c r="AT40" s="192"/>
    </row>
    <row r="41" spans="1:63">
      <c r="AX41">
        <v>43309</v>
      </c>
    </row>
    <row r="42" spans="1:63">
      <c r="AR42" s="192">
        <f>AR36-22000</f>
        <v>47422.419354838697</v>
      </c>
      <c r="AU42" s="192"/>
      <c r="AX42">
        <f>AX37/AX41</f>
        <v>-0.1132503189756433</v>
      </c>
    </row>
    <row r="43" spans="1:63">
      <c r="AR43">
        <f>AR42/5500</f>
        <v>8.6222580645161262</v>
      </c>
    </row>
    <row r="44" spans="1:63">
      <c r="AR44">
        <f>AR43*2</f>
        <v>17.244516129032252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T1" zoomScale="85" zoomScaleNormal="85" workbookViewId="0">
      <pane ySplit="3" topLeftCell="Y14" activePane="bottomLeft" state="frozen"/>
      <selection pane="bottomLeft" activeCell="AY15" sqref="AY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8223787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97</v>
      </c>
      <c r="AU1" s="310"/>
      <c r="AV1" s="311" t="s">
        <v>98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1" t="s">
        <v>123</v>
      </c>
      <c r="AS2" s="552"/>
      <c r="AT2" s="552"/>
      <c r="AU2" s="552"/>
      <c r="AV2" s="553"/>
      <c r="AW2" s="551" t="s">
        <v>124</v>
      </c>
      <c r="AX2" s="552"/>
      <c r="AY2" s="553"/>
      <c r="AZ2" s="551" t="s">
        <v>125</v>
      </c>
      <c r="BA2" s="552"/>
      <c r="BB2" s="553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8" t="s">
        <v>160</v>
      </c>
      <c r="AO3" s="549"/>
      <c r="AP3" s="550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44926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v>2419355</v>
      </c>
      <c r="F5" s="349">
        <f>[2]WATER!F35</f>
        <v>0</v>
      </c>
      <c r="G5" s="349">
        <v>632594</v>
      </c>
      <c r="H5" s="349">
        <v>0</v>
      </c>
      <c r="I5" s="349">
        <v>0</v>
      </c>
      <c r="J5" s="349">
        <v>0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v>5198</v>
      </c>
      <c r="U5" s="349">
        <f>[2]WATER!U35</f>
        <v>0</v>
      </c>
      <c r="V5" s="349">
        <v>512</v>
      </c>
      <c r="W5" s="349">
        <f>[2]WATER!W35</f>
        <v>0</v>
      </c>
      <c r="X5" s="349">
        <v>156588</v>
      </c>
      <c r="Y5" s="349">
        <f>[2]WATER!Y35</f>
        <v>0</v>
      </c>
      <c r="Z5" s="349">
        <v>99898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v>262.47000000000003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v>44926</v>
      </c>
      <c r="AS5" s="349">
        <f>[2]WATER!AS36</f>
        <v>0.9</v>
      </c>
      <c r="AT5" s="349">
        <v>185</v>
      </c>
      <c r="AU5" s="349">
        <f>[2]WATER!AU36</f>
        <v>1.1000000000000001</v>
      </c>
      <c r="AV5" s="349">
        <v>117</v>
      </c>
      <c r="AW5" s="349">
        <f>[2]WATER!AW36</f>
        <v>2.9</v>
      </c>
      <c r="AX5" s="349">
        <v>144</v>
      </c>
      <c r="AY5" s="349">
        <v>166.5</v>
      </c>
      <c r="AZ5" s="349">
        <v>128.69999999999999</v>
      </c>
      <c r="BA5" s="349">
        <v>417.6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44927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632594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5198</v>
      </c>
      <c r="U6" s="5">
        <f t="shared" ref="U6:U33" si="3">SUM(T6-T5)</f>
        <v>0</v>
      </c>
      <c r="V6" s="5">
        <f>V5</f>
        <v>512</v>
      </c>
      <c r="W6" s="276">
        <f>+V6-V5</f>
        <v>0</v>
      </c>
      <c r="X6" s="5">
        <f>X5</f>
        <v>156588</v>
      </c>
      <c r="Y6" s="276">
        <f>SUM(X6-X5)</f>
        <v>0</v>
      </c>
      <c r="Z6" s="5">
        <f>Z5</f>
        <v>99898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16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44927</v>
      </c>
      <c r="AS6" s="363">
        <f>AS5</f>
        <v>0.9</v>
      </c>
      <c r="AT6" s="190">
        <f>AT5</f>
        <v>185</v>
      </c>
      <c r="AU6" s="364">
        <f>AU5</f>
        <v>1.1000000000000001</v>
      </c>
      <c r="AV6" s="190">
        <v>117</v>
      </c>
      <c r="AW6" s="5">
        <v>2.9</v>
      </c>
      <c r="AX6" s="190">
        <v>144</v>
      </c>
      <c r="AY6" s="365">
        <f>AS6*AT6</f>
        <v>166.5</v>
      </c>
      <c r="AZ6" s="365">
        <f>AU6*AV6</f>
        <v>128.70000000000002</v>
      </c>
      <c r="BA6" s="365">
        <f>AW6*AX6</f>
        <v>417.59999999999997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.75" thickBot="1">
      <c r="A7" s="6">
        <f>ELEC!C5</f>
        <v>44928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>G6</f>
        <v>632594</v>
      </c>
      <c r="H7" s="5">
        <f t="shared" ref="H7:H33" si="8">G7-G6</f>
        <v>0</v>
      </c>
      <c r="I7" s="5">
        <f t="shared" ref="I7:I33" si="9">C7+H7</f>
        <v>0</v>
      </c>
      <c r="J7" s="286">
        <f t="shared" si="0"/>
        <v>0</v>
      </c>
      <c r="K7" s="5">
        <f t="shared" ref="K7:K36" si="10">K6</f>
        <v>7089</v>
      </c>
      <c r="L7" s="80">
        <f>K7-K6</f>
        <v>0</v>
      </c>
      <c r="M7" s="349">
        <f t="shared" ref="M7:M36" si="11">M6</f>
        <v>457.44</v>
      </c>
      <c r="N7" s="429">
        <f t="shared" si="1"/>
        <v>0</v>
      </c>
      <c r="O7" s="349">
        <f t="shared" ref="O7:O36" si="12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3">T6</f>
        <v>5198</v>
      </c>
      <c r="U7" s="5">
        <f t="shared" si="3"/>
        <v>0</v>
      </c>
      <c r="V7" s="5">
        <f t="shared" ref="V7:V36" si="14">V6</f>
        <v>512</v>
      </c>
      <c r="W7" s="276">
        <f t="shared" ref="W7:W33" si="15">+V7-V6</f>
        <v>0</v>
      </c>
      <c r="X7" s="5">
        <f t="shared" ref="X7:X36" si="16">X6</f>
        <v>156588</v>
      </c>
      <c r="Y7" s="276">
        <f>SUM(X7-X6)</f>
        <v>0</v>
      </c>
      <c r="Z7" s="5">
        <f t="shared" ref="Z7:Z36" si="17">Z6</f>
        <v>99898</v>
      </c>
      <c r="AA7" s="80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0">
        <f>AC7-AC6</f>
        <v>0</v>
      </c>
      <c r="AE7" s="5">
        <f t="shared" ref="AE7:AE36" si="21">AE6</f>
        <v>262.47000000000003</v>
      </c>
      <c r="AF7" s="80">
        <f t="shared" ref="AF7:AF32" si="22">AE7-AE6</f>
        <v>0</v>
      </c>
      <c r="AG7" s="5">
        <f t="shared" ref="AG7:AG36" si="23">AG6</f>
        <v>2247.41</v>
      </c>
      <c r="AH7" s="80">
        <f t="shared" ref="AH7:AH33" si="24">AG7-AG6</f>
        <v>0</v>
      </c>
      <c r="AI7" s="80">
        <f t="shared" ref="AI7:AI33" si="25">AF7+AH7</f>
        <v>0</v>
      </c>
      <c r="AJ7" s="278">
        <f t="shared" ref="AJ7:AJ33" si="26">+Z7-Z6</f>
        <v>0</v>
      </c>
      <c r="AK7" s="279">
        <f>SUM(Y7-L7)</f>
        <v>0</v>
      </c>
      <c r="AL7" s="279">
        <f t="shared" ref="AL7:AL33" si="27">SUM(AJ7-W7)</f>
        <v>0</v>
      </c>
      <c r="AM7" s="279">
        <f>'General information '!D6</f>
        <v>17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8">A7</f>
        <v>44928</v>
      </c>
      <c r="AS7" s="363">
        <f t="shared" ref="AS7:AT21" si="29">AS6</f>
        <v>0.9</v>
      </c>
      <c r="AT7" s="190">
        <f t="shared" si="29"/>
        <v>185</v>
      </c>
      <c r="AU7" s="364">
        <f>AU6</f>
        <v>1.1000000000000001</v>
      </c>
      <c r="AV7" s="190">
        <f t="shared" ref="AV7:AV36" si="30">AV6</f>
        <v>117</v>
      </c>
      <c r="AW7" s="5">
        <v>2.9</v>
      </c>
      <c r="AX7" s="190">
        <f t="shared" ref="AX7:AX36" si="31">AX6</f>
        <v>144</v>
      </c>
      <c r="AY7" s="365">
        <f>AS7*AT7</f>
        <v>166.5</v>
      </c>
      <c r="AZ7" s="365">
        <f>AU7*AV7</f>
        <v>128.70000000000002</v>
      </c>
      <c r="BA7" s="365">
        <f>AW7*AX7</f>
        <v>417.59999999999997</v>
      </c>
      <c r="BB7" s="20">
        <f>AY7-AY6</f>
        <v>0</v>
      </c>
      <c r="BC7" s="20">
        <f t="shared" ref="BC7:BD21" si="32">AZ7-AZ6</f>
        <v>0</v>
      </c>
      <c r="BD7" s="20">
        <f t="shared" si="32"/>
        <v>0</v>
      </c>
      <c r="BE7" s="23">
        <f t="shared" ref="BE7:BE33" si="33">SUM(BB7:BD7)</f>
        <v>0</v>
      </c>
      <c r="BF7" s="79">
        <f t="shared" ref="BF7:BF33" si="34">SUM(I7-BE7)</f>
        <v>0</v>
      </c>
      <c r="BG7" s="79">
        <f t="shared" si="4"/>
        <v>0</v>
      </c>
      <c r="BI7" s="83"/>
    </row>
    <row r="8" spans="1:61" ht="15.75" thickBot="1">
      <c r="A8" s="6">
        <f>ELEC!C6</f>
        <v>44929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>G7</f>
        <v>632594</v>
      </c>
      <c r="H8" s="5">
        <f t="shared" si="8"/>
        <v>0</v>
      </c>
      <c r="I8" s="5">
        <f t="shared" si="9"/>
        <v>0</v>
      </c>
      <c r="J8" s="286">
        <f t="shared" si="0"/>
        <v>0</v>
      </c>
      <c r="K8" s="5">
        <f t="shared" si="10"/>
        <v>7089</v>
      </c>
      <c r="L8" s="80">
        <f>K8-K7</f>
        <v>0</v>
      </c>
      <c r="M8" s="349">
        <f t="shared" si="11"/>
        <v>457.44</v>
      </c>
      <c r="N8" s="429">
        <f t="shared" si="1"/>
        <v>0</v>
      </c>
      <c r="O8" s="349">
        <f t="shared" si="12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3"/>
        <v>5198</v>
      </c>
      <c r="U8" s="5">
        <f t="shared" si="3"/>
        <v>0</v>
      </c>
      <c r="V8" s="5">
        <f t="shared" si="14"/>
        <v>512</v>
      </c>
      <c r="W8" s="276">
        <f t="shared" si="15"/>
        <v>0</v>
      </c>
      <c r="X8" s="5">
        <f t="shared" si="16"/>
        <v>156588</v>
      </c>
      <c r="Y8" s="276">
        <f>SUM(X8-X7)</f>
        <v>0</v>
      </c>
      <c r="Z8" s="5">
        <f t="shared" si="17"/>
        <v>99898</v>
      </c>
      <c r="AA8" s="80">
        <f t="shared" si="18"/>
        <v>0</v>
      </c>
      <c r="AB8" s="5">
        <v>242</v>
      </c>
      <c r="AC8" s="5">
        <f t="shared" si="20"/>
        <v>855</v>
      </c>
      <c r="AD8" s="80">
        <f t="shared" ref="AD8:AD33" si="35">AC8-AC7</f>
        <v>0</v>
      </c>
      <c r="AE8" s="5">
        <f t="shared" si="21"/>
        <v>262.47000000000003</v>
      </c>
      <c r="AF8" s="80">
        <f t="shared" si="22"/>
        <v>0</v>
      </c>
      <c r="AG8" s="5">
        <f t="shared" si="23"/>
        <v>2247.41</v>
      </c>
      <c r="AH8" s="80">
        <f t="shared" si="24"/>
        <v>0</v>
      </c>
      <c r="AI8" s="80">
        <f t="shared" si="25"/>
        <v>0</v>
      </c>
      <c r="AJ8" s="278">
        <f t="shared" si="26"/>
        <v>0</v>
      </c>
      <c r="AK8" s="279">
        <f t="shared" ref="AK8:AK36" si="36">SUM(Y8-L8)</f>
        <v>0</v>
      </c>
      <c r="AL8" s="279">
        <f>SUM(AJ8-W8)</f>
        <v>0</v>
      </c>
      <c r="AM8" s="279">
        <f>'General information '!D7</f>
        <v>19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8"/>
        <v>44929</v>
      </c>
      <c r="AS8" s="363">
        <f t="shared" si="29"/>
        <v>0.9</v>
      </c>
      <c r="AT8" s="190">
        <v>171</v>
      </c>
      <c r="AU8" s="364">
        <v>1.1000000000000001</v>
      </c>
      <c r="AV8" s="190">
        <v>115</v>
      </c>
      <c r="AW8" s="5">
        <v>2.9</v>
      </c>
      <c r="AX8" s="190">
        <v>143</v>
      </c>
      <c r="AY8" s="365">
        <f t="shared" ref="AY8:AY33" si="37">AS8*AT8</f>
        <v>153.9</v>
      </c>
      <c r="AZ8" s="365">
        <f t="shared" ref="AZ8:AZ33" si="38">AU8*AV8</f>
        <v>126.50000000000001</v>
      </c>
      <c r="BA8" s="365">
        <f t="shared" ref="BA8:BA33" si="39">AW8*AX8</f>
        <v>414.7</v>
      </c>
      <c r="BB8" s="20">
        <f t="shared" ref="BB8:BB36" si="40">AY8-AY7</f>
        <v>-12.599999999999994</v>
      </c>
      <c r="BC8" s="20">
        <f t="shared" si="32"/>
        <v>-2.2000000000000028</v>
      </c>
      <c r="BD8" s="20">
        <f t="shared" si="32"/>
        <v>-2.8999999999999773</v>
      </c>
      <c r="BE8" s="23">
        <f t="shared" si="33"/>
        <v>-17.699999999999974</v>
      </c>
      <c r="BF8" s="79">
        <f t="shared" si="34"/>
        <v>17.699999999999974</v>
      </c>
      <c r="BG8" s="79">
        <f t="shared" si="4"/>
        <v>-17.699999999999974</v>
      </c>
      <c r="BI8" s="83"/>
    </row>
    <row r="9" spans="1:61" ht="15.75" thickBot="1">
      <c r="A9" s="6">
        <f>ELEC!C7</f>
        <v>44930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632594</v>
      </c>
      <c r="H9" s="5">
        <f t="shared" si="8"/>
        <v>0</v>
      </c>
      <c r="I9" s="5">
        <f t="shared" si="9"/>
        <v>0</v>
      </c>
      <c r="J9" s="286">
        <f t="shared" si="0"/>
        <v>0</v>
      </c>
      <c r="K9" s="5">
        <f t="shared" si="10"/>
        <v>7089</v>
      </c>
      <c r="L9" s="80">
        <f t="shared" ref="L9:L33" si="41">K9-K8</f>
        <v>0</v>
      </c>
      <c r="M9" s="349">
        <f t="shared" si="11"/>
        <v>457.44</v>
      </c>
      <c r="N9" s="429">
        <f t="shared" si="1"/>
        <v>0</v>
      </c>
      <c r="O9" s="349">
        <f t="shared" si="12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3"/>
        <v>5198</v>
      </c>
      <c r="U9" s="5">
        <f t="shared" si="3"/>
        <v>0</v>
      </c>
      <c r="V9" s="5">
        <f t="shared" si="14"/>
        <v>512</v>
      </c>
      <c r="W9" s="276">
        <f t="shared" si="15"/>
        <v>0</v>
      </c>
      <c r="X9" s="5">
        <f t="shared" si="16"/>
        <v>156588</v>
      </c>
      <c r="Y9" s="276">
        <f t="shared" ref="Y9:Y33" si="42">SUM(X9-X8)</f>
        <v>0</v>
      </c>
      <c r="Z9" s="5">
        <f t="shared" si="17"/>
        <v>99898</v>
      </c>
      <c r="AA9" s="80">
        <f t="shared" si="18"/>
        <v>0</v>
      </c>
      <c r="AB9" s="5">
        <f t="shared" si="19"/>
        <v>242</v>
      </c>
      <c r="AC9" s="5">
        <f t="shared" si="20"/>
        <v>855</v>
      </c>
      <c r="AD9" s="80">
        <f t="shared" si="35"/>
        <v>0</v>
      </c>
      <c r="AE9" s="5">
        <f t="shared" si="21"/>
        <v>262.47000000000003</v>
      </c>
      <c r="AF9" s="80">
        <f t="shared" si="22"/>
        <v>0</v>
      </c>
      <c r="AG9" s="5">
        <f t="shared" si="23"/>
        <v>2247.41</v>
      </c>
      <c r="AH9" s="80">
        <f t="shared" si="24"/>
        <v>0</v>
      </c>
      <c r="AI9" s="80">
        <f t="shared" si="25"/>
        <v>0</v>
      </c>
      <c r="AJ9" s="278">
        <f t="shared" si="26"/>
        <v>0</v>
      </c>
      <c r="AK9" s="279">
        <f t="shared" si="36"/>
        <v>0</v>
      </c>
      <c r="AL9" s="279">
        <f t="shared" si="27"/>
        <v>0</v>
      </c>
      <c r="AM9" s="279">
        <f>'General information '!D8</f>
        <v>17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8"/>
        <v>44930</v>
      </c>
      <c r="AS9" s="363">
        <f t="shared" si="29"/>
        <v>0.9</v>
      </c>
      <c r="AT9" s="190">
        <f t="shared" si="29"/>
        <v>171</v>
      </c>
      <c r="AU9" s="364">
        <f t="shared" ref="AU9:AU36" si="43">AU8</f>
        <v>1.1000000000000001</v>
      </c>
      <c r="AV9" s="190">
        <v>109</v>
      </c>
      <c r="AW9" s="5">
        <v>2.9</v>
      </c>
      <c r="AX9" s="190">
        <v>142</v>
      </c>
      <c r="AY9" s="365">
        <f t="shared" si="37"/>
        <v>153.9</v>
      </c>
      <c r="AZ9" s="365">
        <f t="shared" si="38"/>
        <v>119.9</v>
      </c>
      <c r="BA9" s="365">
        <f t="shared" si="39"/>
        <v>411.8</v>
      </c>
      <c r="BB9" s="20">
        <f t="shared" si="40"/>
        <v>0</v>
      </c>
      <c r="BC9" s="20">
        <f t="shared" si="32"/>
        <v>-6.6000000000000085</v>
      </c>
      <c r="BD9" s="20">
        <f t="shared" si="32"/>
        <v>-2.8999999999999773</v>
      </c>
      <c r="BE9" s="23">
        <f t="shared" si="33"/>
        <v>-9.4999999999999858</v>
      </c>
      <c r="BF9" s="294">
        <f t="shared" si="34"/>
        <v>9.4999999999999858</v>
      </c>
      <c r="BG9" s="79">
        <f t="shared" si="4"/>
        <v>-9.4999999999999858</v>
      </c>
    </row>
    <row r="10" spans="1:61" ht="15.75" thickBot="1">
      <c r="A10" s="6">
        <f>ELEC!C8</f>
        <v>44931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f t="shared" ref="G10:G36" si="44">G9</f>
        <v>632594</v>
      </c>
      <c r="H10" s="5">
        <f t="shared" si="8"/>
        <v>0</v>
      </c>
      <c r="I10" s="5">
        <f t="shared" si="9"/>
        <v>0</v>
      </c>
      <c r="J10" s="286">
        <f t="shared" si="0"/>
        <v>0</v>
      </c>
      <c r="K10" s="5">
        <f t="shared" si="10"/>
        <v>7089</v>
      </c>
      <c r="L10" s="80">
        <f>K10-K9</f>
        <v>0</v>
      </c>
      <c r="M10" s="349">
        <f t="shared" si="11"/>
        <v>457.44</v>
      </c>
      <c r="N10" s="429">
        <f t="shared" si="1"/>
        <v>0</v>
      </c>
      <c r="O10" s="349">
        <f t="shared" si="12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-1</v>
      </c>
      <c r="V10" s="5">
        <f t="shared" si="14"/>
        <v>512</v>
      </c>
      <c r="W10" s="276">
        <f t="shared" si="15"/>
        <v>0</v>
      </c>
      <c r="X10" s="5">
        <f t="shared" si="16"/>
        <v>156588</v>
      </c>
      <c r="Y10" s="276">
        <f t="shared" si="42"/>
        <v>0</v>
      </c>
      <c r="Z10" s="5">
        <f t="shared" si="17"/>
        <v>99898</v>
      </c>
      <c r="AA10" s="80">
        <f t="shared" si="18"/>
        <v>0</v>
      </c>
      <c r="AB10" s="5">
        <f t="shared" si="19"/>
        <v>242</v>
      </c>
      <c r="AC10" s="5">
        <f t="shared" si="20"/>
        <v>855</v>
      </c>
      <c r="AD10" s="80">
        <f t="shared" si="35"/>
        <v>0</v>
      </c>
      <c r="AE10" s="5">
        <f t="shared" si="21"/>
        <v>262.47000000000003</v>
      </c>
      <c r="AF10" s="80">
        <f t="shared" si="22"/>
        <v>0</v>
      </c>
      <c r="AG10" s="5">
        <f t="shared" si="23"/>
        <v>2247.41</v>
      </c>
      <c r="AH10" s="80">
        <f t="shared" si="24"/>
        <v>0</v>
      </c>
      <c r="AI10" s="80">
        <f t="shared" si="25"/>
        <v>0</v>
      </c>
      <c r="AJ10" s="278">
        <f t="shared" si="26"/>
        <v>0</v>
      </c>
      <c r="AK10" s="279">
        <f t="shared" si="36"/>
        <v>0</v>
      </c>
      <c r="AL10" s="279">
        <f t="shared" si="27"/>
        <v>0</v>
      </c>
      <c r="AM10" s="279">
        <f>'General information '!D9</f>
        <v>17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8"/>
        <v>44931</v>
      </c>
      <c r="AS10" s="363">
        <f t="shared" si="29"/>
        <v>0.9</v>
      </c>
      <c r="AT10" s="190">
        <f t="shared" si="29"/>
        <v>171</v>
      </c>
      <c r="AU10" s="364">
        <f t="shared" si="43"/>
        <v>1.1000000000000001</v>
      </c>
      <c r="AV10" s="190">
        <v>108</v>
      </c>
      <c r="AW10" s="5">
        <v>2.9</v>
      </c>
      <c r="AX10" s="190">
        <v>140</v>
      </c>
      <c r="AY10" s="365">
        <f t="shared" si="37"/>
        <v>153.9</v>
      </c>
      <c r="AZ10" s="365">
        <f t="shared" si="38"/>
        <v>118.80000000000001</v>
      </c>
      <c r="BA10" s="365">
        <f t="shared" si="39"/>
        <v>406</v>
      </c>
      <c r="BB10" s="20">
        <f t="shared" si="40"/>
        <v>0</v>
      </c>
      <c r="BC10" s="20">
        <f t="shared" si="32"/>
        <v>-1.0999999999999943</v>
      </c>
      <c r="BD10" s="20">
        <f t="shared" si="32"/>
        <v>-5.8000000000000114</v>
      </c>
      <c r="BE10" s="23">
        <f t="shared" si="33"/>
        <v>-6.9000000000000057</v>
      </c>
      <c r="BF10" s="79">
        <f t="shared" si="34"/>
        <v>6.9000000000000057</v>
      </c>
      <c r="BG10" s="79">
        <f t="shared" si="4"/>
        <v>-6.9000000000000057</v>
      </c>
    </row>
    <row r="11" spans="1:61" ht="15.75" thickBot="1">
      <c r="A11" s="6">
        <f>ELEC!C9</f>
        <v>44932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44"/>
        <v>632594</v>
      </c>
      <c r="H11" s="5">
        <f t="shared" si="8"/>
        <v>0</v>
      </c>
      <c r="I11" s="5">
        <f t="shared" si="9"/>
        <v>0</v>
      </c>
      <c r="J11" s="286">
        <f t="shared" si="0"/>
        <v>0</v>
      </c>
      <c r="K11" s="5">
        <f t="shared" si="10"/>
        <v>7089</v>
      </c>
      <c r="L11" s="80">
        <f t="shared" si="41"/>
        <v>0</v>
      </c>
      <c r="M11" s="349">
        <f t="shared" si="11"/>
        <v>457.44</v>
      </c>
      <c r="N11" s="429">
        <f t="shared" si="1"/>
        <v>0</v>
      </c>
      <c r="O11" s="349">
        <f t="shared" si="12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3"/>
        <v>5197</v>
      </c>
      <c r="U11" s="5">
        <f t="shared" si="3"/>
        <v>0</v>
      </c>
      <c r="V11" s="5">
        <f t="shared" si="14"/>
        <v>512</v>
      </c>
      <c r="W11" s="276">
        <f t="shared" si="15"/>
        <v>0</v>
      </c>
      <c r="X11" s="5">
        <f t="shared" si="16"/>
        <v>156588</v>
      </c>
      <c r="Y11" s="276">
        <f t="shared" si="42"/>
        <v>0</v>
      </c>
      <c r="Z11" s="5">
        <f t="shared" si="17"/>
        <v>99898</v>
      </c>
      <c r="AA11" s="80">
        <f t="shared" si="18"/>
        <v>0</v>
      </c>
      <c r="AB11" s="5">
        <f t="shared" si="19"/>
        <v>242</v>
      </c>
      <c r="AC11" s="5">
        <f t="shared" si="20"/>
        <v>855</v>
      </c>
      <c r="AD11" s="80">
        <f t="shared" si="35"/>
        <v>0</v>
      </c>
      <c r="AE11" s="5">
        <f t="shared" si="21"/>
        <v>262.47000000000003</v>
      </c>
      <c r="AF11" s="80">
        <f t="shared" si="22"/>
        <v>0</v>
      </c>
      <c r="AG11" s="5">
        <f t="shared" si="23"/>
        <v>2247.41</v>
      </c>
      <c r="AH11" s="80">
        <f t="shared" si="24"/>
        <v>0</v>
      </c>
      <c r="AI11" s="80">
        <f t="shared" si="25"/>
        <v>0</v>
      </c>
      <c r="AJ11" s="278">
        <f t="shared" si="26"/>
        <v>0</v>
      </c>
      <c r="AK11" s="279">
        <f t="shared" si="36"/>
        <v>0</v>
      </c>
      <c r="AL11" s="279">
        <f t="shared" si="27"/>
        <v>0</v>
      </c>
      <c r="AM11" s="279">
        <f>'General information '!D10</f>
        <v>0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8"/>
        <v>44932</v>
      </c>
      <c r="AS11" s="363">
        <f t="shared" si="29"/>
        <v>0.9</v>
      </c>
      <c r="AT11" s="190">
        <f t="shared" si="29"/>
        <v>171</v>
      </c>
      <c r="AU11" s="364">
        <f t="shared" si="43"/>
        <v>1.1000000000000001</v>
      </c>
      <c r="AV11" s="190">
        <f t="shared" si="30"/>
        <v>108</v>
      </c>
      <c r="AW11" s="5">
        <v>2.9</v>
      </c>
      <c r="AX11" s="190">
        <f t="shared" si="31"/>
        <v>140</v>
      </c>
      <c r="AY11" s="365">
        <f t="shared" si="37"/>
        <v>153.9</v>
      </c>
      <c r="AZ11" s="365">
        <f t="shared" si="38"/>
        <v>118.80000000000001</v>
      </c>
      <c r="BA11" s="365">
        <f t="shared" si="39"/>
        <v>406</v>
      </c>
      <c r="BB11" s="20">
        <f t="shared" si="40"/>
        <v>0</v>
      </c>
      <c r="BC11" s="20">
        <f t="shared" si="32"/>
        <v>0</v>
      </c>
      <c r="BD11" s="20">
        <f t="shared" si="32"/>
        <v>0</v>
      </c>
      <c r="BE11" s="23">
        <f t="shared" si="33"/>
        <v>0</v>
      </c>
      <c r="BF11" s="79">
        <f t="shared" si="34"/>
        <v>0</v>
      </c>
      <c r="BG11" s="79">
        <f t="shared" si="4"/>
        <v>0</v>
      </c>
    </row>
    <row r="12" spans="1:61" ht="15.75" thickBot="1">
      <c r="A12" s="6">
        <f>ELEC!C10</f>
        <v>44933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f t="shared" si="44"/>
        <v>632594</v>
      </c>
      <c r="H12" s="5">
        <f t="shared" si="8"/>
        <v>0</v>
      </c>
      <c r="I12" s="5">
        <f t="shared" si="9"/>
        <v>0</v>
      </c>
      <c r="J12" s="286">
        <f t="shared" si="0"/>
        <v>0</v>
      </c>
      <c r="K12" s="5">
        <f t="shared" si="10"/>
        <v>7089</v>
      </c>
      <c r="L12" s="80">
        <f t="shared" si="41"/>
        <v>0</v>
      </c>
      <c r="M12" s="349">
        <f t="shared" si="11"/>
        <v>457.44</v>
      </c>
      <c r="N12" s="429">
        <f t="shared" si="1"/>
        <v>0</v>
      </c>
      <c r="O12" s="349">
        <f t="shared" si="12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3"/>
        <v>5197</v>
      </c>
      <c r="U12" s="5">
        <f t="shared" si="3"/>
        <v>0</v>
      </c>
      <c r="V12" s="5">
        <f t="shared" si="14"/>
        <v>512</v>
      </c>
      <c r="W12" s="276">
        <f t="shared" si="15"/>
        <v>0</v>
      </c>
      <c r="X12" s="5">
        <f t="shared" si="16"/>
        <v>156588</v>
      </c>
      <c r="Y12" s="276">
        <f t="shared" si="42"/>
        <v>0</v>
      </c>
      <c r="Z12" s="5">
        <f t="shared" si="17"/>
        <v>99898</v>
      </c>
      <c r="AA12" s="80">
        <f t="shared" si="18"/>
        <v>0</v>
      </c>
      <c r="AB12" s="5">
        <f t="shared" si="19"/>
        <v>242</v>
      </c>
      <c r="AC12" s="5">
        <f t="shared" si="20"/>
        <v>855</v>
      </c>
      <c r="AD12" s="80">
        <f t="shared" si="35"/>
        <v>0</v>
      </c>
      <c r="AE12" s="5">
        <f t="shared" si="21"/>
        <v>262.47000000000003</v>
      </c>
      <c r="AF12" s="80">
        <f t="shared" si="22"/>
        <v>0</v>
      </c>
      <c r="AG12" s="5">
        <f t="shared" si="23"/>
        <v>2247.41</v>
      </c>
      <c r="AH12" s="80">
        <f t="shared" si="24"/>
        <v>0</v>
      </c>
      <c r="AI12" s="80">
        <f t="shared" si="25"/>
        <v>0</v>
      </c>
      <c r="AJ12" s="278">
        <f t="shared" si="26"/>
        <v>0</v>
      </c>
      <c r="AK12" s="279">
        <f t="shared" si="36"/>
        <v>0</v>
      </c>
      <c r="AL12" s="279">
        <f t="shared" si="27"/>
        <v>0</v>
      </c>
      <c r="AM12" s="279">
        <f>'General information '!D11</f>
        <v>0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8"/>
        <v>44933</v>
      </c>
      <c r="AS12" s="363">
        <f t="shared" si="29"/>
        <v>0.9</v>
      </c>
      <c r="AT12" s="190">
        <f t="shared" si="29"/>
        <v>171</v>
      </c>
      <c r="AU12" s="364">
        <f t="shared" si="43"/>
        <v>1.1000000000000001</v>
      </c>
      <c r="AV12" s="190">
        <f t="shared" si="30"/>
        <v>108</v>
      </c>
      <c r="AW12" s="5">
        <v>2.9</v>
      </c>
      <c r="AX12" s="190">
        <f t="shared" si="31"/>
        <v>140</v>
      </c>
      <c r="AY12" s="365">
        <f t="shared" si="37"/>
        <v>153.9</v>
      </c>
      <c r="AZ12" s="365">
        <f t="shared" si="38"/>
        <v>118.80000000000001</v>
      </c>
      <c r="BA12" s="365">
        <f t="shared" si="39"/>
        <v>406</v>
      </c>
      <c r="BB12" s="20">
        <f>AY12-AY11</f>
        <v>0</v>
      </c>
      <c r="BC12" s="20">
        <f t="shared" si="32"/>
        <v>0</v>
      </c>
      <c r="BD12" s="20">
        <f t="shared" si="32"/>
        <v>0</v>
      </c>
      <c r="BE12" s="23">
        <f t="shared" si="33"/>
        <v>0</v>
      </c>
      <c r="BF12" s="79">
        <f t="shared" si="34"/>
        <v>0</v>
      </c>
      <c r="BG12" s="79">
        <f t="shared" si="4"/>
        <v>0</v>
      </c>
    </row>
    <row r="13" spans="1:61" ht="15.75" thickBot="1">
      <c r="A13" s="6">
        <f>ELEC!C11</f>
        <v>44934</v>
      </c>
      <c r="B13" s="5"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v>632599</v>
      </c>
      <c r="H13" s="5">
        <f t="shared" si="8"/>
        <v>5</v>
      </c>
      <c r="I13" s="5">
        <f t="shared" si="9"/>
        <v>5</v>
      </c>
      <c r="J13" s="286">
        <f t="shared" si="0"/>
        <v>48.387096774193552</v>
      </c>
      <c r="K13" s="5">
        <f t="shared" si="10"/>
        <v>7089</v>
      </c>
      <c r="L13" s="80">
        <f t="shared" si="41"/>
        <v>0</v>
      </c>
      <c r="M13" s="349">
        <f t="shared" si="11"/>
        <v>457.44</v>
      </c>
      <c r="N13" s="429">
        <f t="shared" si="1"/>
        <v>0</v>
      </c>
      <c r="O13" s="349">
        <f t="shared" si="12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3"/>
        <v>5197</v>
      </c>
      <c r="U13" s="5">
        <f t="shared" si="3"/>
        <v>0</v>
      </c>
      <c r="V13" s="5">
        <v>515</v>
      </c>
      <c r="W13" s="276">
        <f t="shared" si="15"/>
        <v>3</v>
      </c>
      <c r="X13" s="5">
        <v>156588</v>
      </c>
      <c r="Y13" s="276">
        <f t="shared" si="42"/>
        <v>0</v>
      </c>
      <c r="Z13" s="5">
        <f t="shared" si="17"/>
        <v>99898</v>
      </c>
      <c r="AA13" s="80">
        <f t="shared" si="18"/>
        <v>0</v>
      </c>
      <c r="AB13" s="5">
        <f t="shared" si="19"/>
        <v>242</v>
      </c>
      <c r="AC13" s="5">
        <f t="shared" si="20"/>
        <v>855</v>
      </c>
      <c r="AD13" s="80">
        <f t="shared" si="35"/>
        <v>0</v>
      </c>
      <c r="AE13" s="5">
        <f t="shared" si="21"/>
        <v>262.47000000000003</v>
      </c>
      <c r="AF13" s="80">
        <f t="shared" si="22"/>
        <v>0</v>
      </c>
      <c r="AG13" s="5">
        <f t="shared" si="23"/>
        <v>2247.41</v>
      </c>
      <c r="AH13" s="80">
        <f t="shared" si="24"/>
        <v>0</v>
      </c>
      <c r="AI13" s="80">
        <f t="shared" si="25"/>
        <v>0</v>
      </c>
      <c r="AJ13" s="278">
        <f t="shared" si="26"/>
        <v>0</v>
      </c>
      <c r="AK13" s="279">
        <f t="shared" si="36"/>
        <v>0</v>
      </c>
      <c r="AL13" s="279">
        <f t="shared" si="27"/>
        <v>-3</v>
      </c>
      <c r="AM13" s="279">
        <f>'General information '!D12</f>
        <v>17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8"/>
        <v>44934</v>
      </c>
      <c r="AS13" s="363">
        <f t="shared" si="29"/>
        <v>0.9</v>
      </c>
      <c r="AT13" s="190">
        <f t="shared" si="29"/>
        <v>171</v>
      </c>
      <c r="AU13" s="364">
        <f t="shared" si="43"/>
        <v>1.1000000000000001</v>
      </c>
      <c r="AV13" s="190">
        <v>107</v>
      </c>
      <c r="AW13" s="5">
        <v>2.9</v>
      </c>
      <c r="AX13" s="190">
        <v>137</v>
      </c>
      <c r="AY13" s="365">
        <f t="shared" si="37"/>
        <v>153.9</v>
      </c>
      <c r="AZ13" s="365">
        <f t="shared" si="38"/>
        <v>117.7</v>
      </c>
      <c r="BA13" s="365">
        <f t="shared" si="39"/>
        <v>397.3</v>
      </c>
      <c r="BB13" s="20">
        <f t="shared" si="40"/>
        <v>0</v>
      </c>
      <c r="BC13" s="20">
        <f t="shared" si="32"/>
        <v>-1.1000000000000085</v>
      </c>
      <c r="BD13" s="20">
        <f t="shared" si="32"/>
        <v>-8.6999999999999886</v>
      </c>
      <c r="BE13" s="23">
        <f t="shared" si="33"/>
        <v>-9.7999999999999972</v>
      </c>
      <c r="BF13" s="79">
        <f t="shared" si="34"/>
        <v>14.799999999999997</v>
      </c>
      <c r="BG13" s="79">
        <f t="shared" si="4"/>
        <v>-9.7999999999999972</v>
      </c>
    </row>
    <row r="14" spans="1:61" ht="15.75" thickBot="1">
      <c r="A14" s="6">
        <f>ELEC!C12</f>
        <v>44935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44"/>
        <v>632599</v>
      </c>
      <c r="H14" s="5">
        <f t="shared" si="8"/>
        <v>0</v>
      </c>
      <c r="I14" s="5">
        <f t="shared" si="9"/>
        <v>0</v>
      </c>
      <c r="J14" s="286">
        <f t="shared" si="0"/>
        <v>0</v>
      </c>
      <c r="K14" s="5">
        <f t="shared" si="10"/>
        <v>7089</v>
      </c>
      <c r="L14" s="80">
        <f t="shared" si="41"/>
        <v>0</v>
      </c>
      <c r="M14" s="349">
        <f t="shared" si="11"/>
        <v>457.44</v>
      </c>
      <c r="N14" s="429">
        <f t="shared" ref="N14:N33" si="45">SUM(M14-M13)</f>
        <v>0</v>
      </c>
      <c r="O14" s="349">
        <f t="shared" si="12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v>5199</v>
      </c>
      <c r="U14" s="5">
        <f t="shared" si="3"/>
        <v>2</v>
      </c>
      <c r="V14" s="5">
        <f t="shared" si="14"/>
        <v>515</v>
      </c>
      <c r="W14" s="276">
        <f t="shared" si="15"/>
        <v>0</v>
      </c>
      <c r="X14" s="5">
        <f t="shared" si="16"/>
        <v>156588</v>
      </c>
      <c r="Y14" s="276">
        <f t="shared" si="42"/>
        <v>0</v>
      </c>
      <c r="Z14" s="5">
        <f t="shared" si="17"/>
        <v>99898</v>
      </c>
      <c r="AA14" s="80">
        <f t="shared" si="18"/>
        <v>0</v>
      </c>
      <c r="AB14" s="5">
        <f t="shared" si="19"/>
        <v>242</v>
      </c>
      <c r="AC14" s="5">
        <f t="shared" si="20"/>
        <v>855</v>
      </c>
      <c r="AD14" s="80">
        <f t="shared" si="35"/>
        <v>0</v>
      </c>
      <c r="AE14" s="5">
        <f t="shared" si="21"/>
        <v>262.47000000000003</v>
      </c>
      <c r="AF14" s="80">
        <f t="shared" si="22"/>
        <v>0</v>
      </c>
      <c r="AG14" s="5">
        <v>2247.41</v>
      </c>
      <c r="AH14" s="80">
        <f t="shared" si="24"/>
        <v>0</v>
      </c>
      <c r="AI14" s="80">
        <f t="shared" si="25"/>
        <v>0</v>
      </c>
      <c r="AJ14" s="278">
        <f t="shared" si="26"/>
        <v>0</v>
      </c>
      <c r="AK14" s="279">
        <f t="shared" si="36"/>
        <v>0</v>
      </c>
      <c r="AL14" s="279">
        <f t="shared" si="27"/>
        <v>0</v>
      </c>
      <c r="AM14" s="279">
        <f>'General information '!D13</f>
        <v>16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8"/>
        <v>44935</v>
      </c>
      <c r="AS14" s="363">
        <f t="shared" si="29"/>
        <v>0.9</v>
      </c>
      <c r="AT14" s="190">
        <f t="shared" si="29"/>
        <v>171</v>
      </c>
      <c r="AU14" s="364">
        <f t="shared" si="43"/>
        <v>1.1000000000000001</v>
      </c>
      <c r="AV14" s="190">
        <v>101</v>
      </c>
      <c r="AW14" s="5">
        <v>2.9</v>
      </c>
      <c r="AX14" s="190">
        <v>136</v>
      </c>
      <c r="AY14" s="365">
        <f t="shared" si="37"/>
        <v>153.9</v>
      </c>
      <c r="AZ14" s="365">
        <f t="shared" si="38"/>
        <v>111.10000000000001</v>
      </c>
      <c r="BA14" s="365">
        <f t="shared" si="39"/>
        <v>394.4</v>
      </c>
      <c r="BB14" s="20">
        <f t="shared" si="40"/>
        <v>0</v>
      </c>
      <c r="BC14" s="20">
        <f t="shared" si="32"/>
        <v>-6.5999999999999943</v>
      </c>
      <c r="BD14" s="20">
        <f t="shared" si="32"/>
        <v>-2.9000000000000341</v>
      </c>
      <c r="BE14" s="23">
        <f t="shared" si="33"/>
        <v>-9.5000000000000284</v>
      </c>
      <c r="BF14" s="79">
        <f t="shared" si="34"/>
        <v>9.5000000000000284</v>
      </c>
      <c r="BG14" s="79">
        <f t="shared" si="4"/>
        <v>-9.5000000000000284</v>
      </c>
    </row>
    <row r="15" spans="1:61" ht="16.5" customHeight="1" thickBot="1">
      <c r="A15" s="6">
        <f>ELEC!C13</f>
        <v>44936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44"/>
        <v>632599</v>
      </c>
      <c r="H15" s="5">
        <f t="shared" si="8"/>
        <v>0</v>
      </c>
      <c r="I15" s="5">
        <f t="shared" si="9"/>
        <v>0</v>
      </c>
      <c r="J15" s="286">
        <f t="shared" si="0"/>
        <v>0</v>
      </c>
      <c r="K15" s="5">
        <f t="shared" si="10"/>
        <v>7089</v>
      </c>
      <c r="L15" s="80">
        <f t="shared" si="41"/>
        <v>0</v>
      </c>
      <c r="M15" s="349">
        <f t="shared" si="11"/>
        <v>457.44</v>
      </c>
      <c r="N15" s="429">
        <f t="shared" si="45"/>
        <v>0</v>
      </c>
      <c r="O15" s="349">
        <f t="shared" si="12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3"/>
        <v>5199</v>
      </c>
      <c r="U15" s="5">
        <f t="shared" si="3"/>
        <v>0</v>
      </c>
      <c r="V15" s="5">
        <f t="shared" si="14"/>
        <v>515</v>
      </c>
      <c r="W15" s="276">
        <f t="shared" si="15"/>
        <v>0</v>
      </c>
      <c r="X15" s="5">
        <f t="shared" si="16"/>
        <v>156588</v>
      </c>
      <c r="Y15" s="276">
        <f t="shared" si="42"/>
        <v>0</v>
      </c>
      <c r="Z15" s="5">
        <f t="shared" si="17"/>
        <v>99898</v>
      </c>
      <c r="AA15" s="80">
        <f t="shared" si="18"/>
        <v>0</v>
      </c>
      <c r="AB15" s="5">
        <f t="shared" si="19"/>
        <v>242</v>
      </c>
      <c r="AC15" s="5">
        <f t="shared" si="20"/>
        <v>855</v>
      </c>
      <c r="AD15" s="80">
        <f t="shared" si="35"/>
        <v>0</v>
      </c>
      <c r="AE15" s="5">
        <f t="shared" si="21"/>
        <v>262.47000000000003</v>
      </c>
      <c r="AF15" s="80">
        <f t="shared" si="22"/>
        <v>0</v>
      </c>
      <c r="AG15" s="5">
        <f t="shared" si="23"/>
        <v>2247.41</v>
      </c>
      <c r="AH15" s="80">
        <f t="shared" si="24"/>
        <v>0</v>
      </c>
      <c r="AI15" s="80">
        <f t="shared" si="25"/>
        <v>0</v>
      </c>
      <c r="AJ15" s="278">
        <f t="shared" si="26"/>
        <v>0</v>
      </c>
      <c r="AK15" s="279">
        <f t="shared" si="36"/>
        <v>0</v>
      </c>
      <c r="AL15" s="279">
        <f t="shared" si="27"/>
        <v>0</v>
      </c>
      <c r="AM15" s="279">
        <f>'General information '!D14</f>
        <v>15.5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8"/>
        <v>44936</v>
      </c>
      <c r="AS15" s="363">
        <f t="shared" si="29"/>
        <v>0.9</v>
      </c>
      <c r="AT15" s="190">
        <v>140</v>
      </c>
      <c r="AU15" s="364">
        <f t="shared" si="43"/>
        <v>1.1000000000000001</v>
      </c>
      <c r="AV15" s="190">
        <v>100</v>
      </c>
      <c r="AW15" s="5">
        <v>2.9</v>
      </c>
      <c r="AX15" s="190">
        <v>135</v>
      </c>
      <c r="AY15" s="365">
        <f t="shared" si="37"/>
        <v>126</v>
      </c>
      <c r="AZ15" s="365">
        <f t="shared" si="38"/>
        <v>110.00000000000001</v>
      </c>
      <c r="BA15" s="365">
        <f t="shared" si="39"/>
        <v>391.5</v>
      </c>
      <c r="BB15" s="20">
        <f t="shared" si="40"/>
        <v>-27.900000000000006</v>
      </c>
      <c r="BC15" s="20">
        <f t="shared" si="32"/>
        <v>-1.0999999999999943</v>
      </c>
      <c r="BD15" s="20">
        <f t="shared" si="32"/>
        <v>-2.8999999999999773</v>
      </c>
      <c r="BE15" s="23">
        <f t="shared" si="33"/>
        <v>-31.899999999999977</v>
      </c>
      <c r="BF15" s="79">
        <f t="shared" si="34"/>
        <v>31.899999999999977</v>
      </c>
      <c r="BG15" s="79">
        <f t="shared" si="4"/>
        <v>-31.899999999999977</v>
      </c>
    </row>
    <row r="16" spans="1:61" ht="15.75" thickBot="1">
      <c r="A16" s="6">
        <f>ELEC!C14</f>
        <v>44937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f t="shared" si="44"/>
        <v>632599</v>
      </c>
      <c r="H16" s="5">
        <f t="shared" si="8"/>
        <v>0</v>
      </c>
      <c r="I16" s="5">
        <f t="shared" si="9"/>
        <v>0</v>
      </c>
      <c r="J16" s="286">
        <f t="shared" si="0"/>
        <v>0</v>
      </c>
      <c r="K16" s="5">
        <f t="shared" si="10"/>
        <v>7089</v>
      </c>
      <c r="L16" s="240">
        <f t="shared" si="41"/>
        <v>0</v>
      </c>
      <c r="M16" s="349">
        <f t="shared" si="11"/>
        <v>457.44</v>
      </c>
      <c r="N16" s="429">
        <f t="shared" si="45"/>
        <v>0</v>
      </c>
      <c r="O16" s="349">
        <f t="shared" si="12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3"/>
        <v>5199</v>
      </c>
      <c r="U16" s="5">
        <f t="shared" si="3"/>
        <v>0</v>
      </c>
      <c r="V16" s="5">
        <f t="shared" si="14"/>
        <v>515</v>
      </c>
      <c r="W16" s="276">
        <f t="shared" si="15"/>
        <v>0</v>
      </c>
      <c r="X16" s="5">
        <f t="shared" si="16"/>
        <v>156588</v>
      </c>
      <c r="Y16" s="276">
        <f t="shared" si="42"/>
        <v>0</v>
      </c>
      <c r="Z16" s="5">
        <f t="shared" si="17"/>
        <v>99898</v>
      </c>
      <c r="AA16" s="80">
        <f t="shared" si="18"/>
        <v>0</v>
      </c>
      <c r="AB16" s="5">
        <f t="shared" si="19"/>
        <v>242</v>
      </c>
      <c r="AC16" s="5">
        <f t="shared" si="20"/>
        <v>855</v>
      </c>
      <c r="AD16" s="80">
        <f t="shared" si="35"/>
        <v>0</v>
      </c>
      <c r="AE16" s="5">
        <f t="shared" si="21"/>
        <v>262.47000000000003</v>
      </c>
      <c r="AF16" s="80">
        <f t="shared" si="22"/>
        <v>0</v>
      </c>
      <c r="AG16" s="5">
        <f t="shared" si="23"/>
        <v>2247.41</v>
      </c>
      <c r="AH16" s="80">
        <f t="shared" si="24"/>
        <v>0</v>
      </c>
      <c r="AI16" s="80">
        <f t="shared" si="25"/>
        <v>0</v>
      </c>
      <c r="AJ16" s="278">
        <f t="shared" si="26"/>
        <v>0</v>
      </c>
      <c r="AK16" s="279">
        <f t="shared" si="36"/>
        <v>0</v>
      </c>
      <c r="AL16" s="279">
        <f t="shared" si="27"/>
        <v>0</v>
      </c>
      <c r="AM16" s="279">
        <f>'General information '!D15</f>
        <v>0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8"/>
        <v>44937</v>
      </c>
      <c r="AS16" s="363">
        <f t="shared" si="29"/>
        <v>0.9</v>
      </c>
      <c r="AT16" s="190">
        <f t="shared" si="29"/>
        <v>140</v>
      </c>
      <c r="AU16" s="364">
        <f t="shared" si="43"/>
        <v>1.1000000000000001</v>
      </c>
      <c r="AV16" s="190">
        <f t="shared" si="30"/>
        <v>100</v>
      </c>
      <c r="AW16" s="5">
        <v>2.9</v>
      </c>
      <c r="AX16" s="190">
        <f t="shared" si="31"/>
        <v>135</v>
      </c>
      <c r="AY16" s="365">
        <f t="shared" si="37"/>
        <v>126</v>
      </c>
      <c r="AZ16" s="365">
        <f t="shared" si="38"/>
        <v>110.00000000000001</v>
      </c>
      <c r="BA16" s="365">
        <f t="shared" si="39"/>
        <v>391.5</v>
      </c>
      <c r="BB16" s="20">
        <f t="shared" si="40"/>
        <v>0</v>
      </c>
      <c r="BC16" s="20">
        <f t="shared" si="32"/>
        <v>0</v>
      </c>
      <c r="BD16" s="20">
        <f t="shared" si="32"/>
        <v>0</v>
      </c>
      <c r="BE16" s="23">
        <f t="shared" si="33"/>
        <v>0</v>
      </c>
      <c r="BF16" s="79">
        <f t="shared" si="34"/>
        <v>0</v>
      </c>
      <c r="BG16" s="79">
        <f t="shared" si="4"/>
        <v>0</v>
      </c>
    </row>
    <row r="17" spans="1:61" ht="15.75" thickBot="1">
      <c r="A17" s="6">
        <f>ELEC!C15</f>
        <v>44938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44"/>
        <v>632599</v>
      </c>
      <c r="H17" s="5">
        <f t="shared" si="8"/>
        <v>0</v>
      </c>
      <c r="I17" s="5">
        <f t="shared" si="9"/>
        <v>0</v>
      </c>
      <c r="J17" s="286">
        <f t="shared" si="0"/>
        <v>0</v>
      </c>
      <c r="K17" s="5">
        <f t="shared" si="10"/>
        <v>7089</v>
      </c>
      <c r="L17" s="80">
        <f t="shared" si="41"/>
        <v>0</v>
      </c>
      <c r="M17" s="349">
        <f t="shared" si="11"/>
        <v>457.44</v>
      </c>
      <c r="N17" s="429">
        <f t="shared" si="45"/>
        <v>0</v>
      </c>
      <c r="O17" s="349">
        <f t="shared" si="12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3"/>
        <v>5199</v>
      </c>
      <c r="U17" s="5">
        <f t="shared" si="3"/>
        <v>0</v>
      </c>
      <c r="V17" s="5">
        <f t="shared" si="14"/>
        <v>515</v>
      </c>
      <c r="W17" s="276">
        <f t="shared" si="15"/>
        <v>0</v>
      </c>
      <c r="X17" s="5">
        <f t="shared" si="16"/>
        <v>156588</v>
      </c>
      <c r="Y17" s="276">
        <f t="shared" si="42"/>
        <v>0</v>
      </c>
      <c r="Z17" s="5">
        <f t="shared" si="17"/>
        <v>99898</v>
      </c>
      <c r="AA17" s="80">
        <f t="shared" si="18"/>
        <v>0</v>
      </c>
      <c r="AB17" s="5">
        <f t="shared" si="19"/>
        <v>242</v>
      </c>
      <c r="AC17" s="5">
        <f t="shared" si="20"/>
        <v>855</v>
      </c>
      <c r="AD17" s="80">
        <f t="shared" si="35"/>
        <v>0</v>
      </c>
      <c r="AE17" s="5">
        <f t="shared" si="21"/>
        <v>262.47000000000003</v>
      </c>
      <c r="AF17" s="80">
        <f t="shared" si="22"/>
        <v>0</v>
      </c>
      <c r="AG17" s="5">
        <f t="shared" si="23"/>
        <v>2247.41</v>
      </c>
      <c r="AH17" s="80">
        <f t="shared" si="24"/>
        <v>0</v>
      </c>
      <c r="AI17" s="80">
        <f t="shared" si="25"/>
        <v>0</v>
      </c>
      <c r="AJ17" s="278">
        <f t="shared" si="26"/>
        <v>0</v>
      </c>
      <c r="AK17" s="279">
        <f t="shared" si="36"/>
        <v>0</v>
      </c>
      <c r="AL17" s="279">
        <f t="shared" si="27"/>
        <v>0</v>
      </c>
      <c r="AM17" s="279">
        <f>'General information '!D16</f>
        <v>0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8"/>
        <v>44938</v>
      </c>
      <c r="AS17" s="363">
        <f t="shared" si="29"/>
        <v>0.9</v>
      </c>
      <c r="AT17" s="190">
        <f t="shared" si="29"/>
        <v>140</v>
      </c>
      <c r="AU17" s="364">
        <f t="shared" si="43"/>
        <v>1.1000000000000001</v>
      </c>
      <c r="AV17" s="190">
        <f t="shared" si="30"/>
        <v>100</v>
      </c>
      <c r="AW17" s="5">
        <v>2.9</v>
      </c>
      <c r="AX17" s="190">
        <f t="shared" si="31"/>
        <v>135</v>
      </c>
      <c r="AY17" s="365">
        <f t="shared" si="37"/>
        <v>126</v>
      </c>
      <c r="AZ17" s="365">
        <f t="shared" si="38"/>
        <v>110.00000000000001</v>
      </c>
      <c r="BA17" s="365">
        <f t="shared" si="39"/>
        <v>391.5</v>
      </c>
      <c r="BB17" s="20">
        <f t="shared" si="40"/>
        <v>0</v>
      </c>
      <c r="BC17" s="20">
        <f t="shared" si="32"/>
        <v>0</v>
      </c>
      <c r="BD17" s="20">
        <f t="shared" si="32"/>
        <v>0</v>
      </c>
      <c r="BE17" s="23">
        <f t="shared" si="33"/>
        <v>0</v>
      </c>
      <c r="BF17" s="79">
        <f t="shared" si="34"/>
        <v>0</v>
      </c>
      <c r="BG17" s="79">
        <f t="shared" si="4"/>
        <v>0</v>
      </c>
    </row>
    <row r="18" spans="1:61" ht="15.75" thickBot="1">
      <c r="A18" s="6">
        <f>ELEC!C16</f>
        <v>44939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44"/>
        <v>632599</v>
      </c>
      <c r="H18" s="5">
        <f t="shared" si="8"/>
        <v>0</v>
      </c>
      <c r="I18" s="5">
        <f t="shared" si="9"/>
        <v>0</v>
      </c>
      <c r="J18" s="286">
        <f t="shared" si="0"/>
        <v>0</v>
      </c>
      <c r="K18" s="5">
        <f t="shared" si="10"/>
        <v>7089</v>
      </c>
      <c r="L18" s="80">
        <f t="shared" si="41"/>
        <v>0</v>
      </c>
      <c r="M18" s="349">
        <f t="shared" si="11"/>
        <v>457.44</v>
      </c>
      <c r="N18" s="429">
        <f t="shared" si="45"/>
        <v>0</v>
      </c>
      <c r="O18" s="349">
        <f t="shared" si="12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3"/>
        <v>5199</v>
      </c>
      <c r="U18" s="5">
        <f t="shared" si="3"/>
        <v>0</v>
      </c>
      <c r="V18" s="5">
        <f t="shared" si="14"/>
        <v>515</v>
      </c>
      <c r="W18" s="276">
        <f t="shared" si="15"/>
        <v>0</v>
      </c>
      <c r="X18" s="5">
        <f t="shared" si="16"/>
        <v>156588</v>
      </c>
      <c r="Y18" s="276">
        <f t="shared" si="42"/>
        <v>0</v>
      </c>
      <c r="Z18" s="5">
        <v>99898</v>
      </c>
      <c r="AA18" s="80">
        <f t="shared" si="18"/>
        <v>0</v>
      </c>
      <c r="AB18" s="5">
        <f t="shared" si="19"/>
        <v>242</v>
      </c>
      <c r="AC18" s="5">
        <f t="shared" si="20"/>
        <v>855</v>
      </c>
      <c r="AD18" s="80">
        <f t="shared" si="35"/>
        <v>0</v>
      </c>
      <c r="AE18" s="5">
        <f t="shared" si="21"/>
        <v>262.47000000000003</v>
      </c>
      <c r="AF18" s="80">
        <f t="shared" si="22"/>
        <v>0</v>
      </c>
      <c r="AG18" s="5">
        <f t="shared" si="23"/>
        <v>2247.41</v>
      </c>
      <c r="AH18" s="80">
        <f t="shared" si="24"/>
        <v>0</v>
      </c>
      <c r="AI18" s="80">
        <f t="shared" si="25"/>
        <v>0</v>
      </c>
      <c r="AJ18" s="278">
        <f t="shared" si="26"/>
        <v>0</v>
      </c>
      <c r="AK18" s="279">
        <f t="shared" si="36"/>
        <v>0</v>
      </c>
      <c r="AL18" s="279">
        <f t="shared" si="27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8"/>
        <v>44939</v>
      </c>
      <c r="AS18" s="363">
        <f t="shared" si="29"/>
        <v>0.9</v>
      </c>
      <c r="AT18" s="190">
        <f t="shared" si="29"/>
        <v>140</v>
      </c>
      <c r="AU18" s="364">
        <f t="shared" si="43"/>
        <v>1.1000000000000001</v>
      </c>
      <c r="AV18" s="190">
        <f t="shared" si="30"/>
        <v>100</v>
      </c>
      <c r="AW18" s="5">
        <v>2.9</v>
      </c>
      <c r="AX18" s="190">
        <f t="shared" si="31"/>
        <v>135</v>
      </c>
      <c r="AY18" s="365">
        <f t="shared" si="37"/>
        <v>126</v>
      </c>
      <c r="AZ18" s="365">
        <f t="shared" si="38"/>
        <v>110.00000000000001</v>
      </c>
      <c r="BA18" s="365">
        <f t="shared" si="39"/>
        <v>391.5</v>
      </c>
      <c r="BB18" s="20">
        <f t="shared" si="40"/>
        <v>0</v>
      </c>
      <c r="BC18" s="20">
        <f t="shared" si="32"/>
        <v>0</v>
      </c>
      <c r="BD18" s="20">
        <f t="shared" si="32"/>
        <v>0</v>
      </c>
      <c r="BE18" s="23">
        <f t="shared" si="33"/>
        <v>0</v>
      </c>
      <c r="BF18" s="79">
        <f t="shared" si="34"/>
        <v>0</v>
      </c>
      <c r="BG18" s="79">
        <f t="shared" si="4"/>
        <v>0</v>
      </c>
    </row>
    <row r="19" spans="1:61" ht="15.75" thickBot="1">
      <c r="A19" s="6">
        <f>ELEC!C17</f>
        <v>44940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44"/>
        <v>632599</v>
      </c>
      <c r="H19" s="5">
        <f t="shared" si="8"/>
        <v>0</v>
      </c>
      <c r="I19" s="5">
        <f t="shared" si="9"/>
        <v>0</v>
      </c>
      <c r="J19" s="286">
        <f t="shared" si="0"/>
        <v>0</v>
      </c>
      <c r="K19" s="5">
        <f t="shared" si="10"/>
        <v>7089</v>
      </c>
      <c r="L19" s="80">
        <f t="shared" si="41"/>
        <v>0</v>
      </c>
      <c r="M19" s="349">
        <f t="shared" si="11"/>
        <v>457.44</v>
      </c>
      <c r="N19" s="429">
        <f t="shared" si="45"/>
        <v>0</v>
      </c>
      <c r="O19" s="349">
        <f t="shared" si="12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3"/>
        <v>5199</v>
      </c>
      <c r="U19" s="5">
        <f t="shared" si="3"/>
        <v>0</v>
      </c>
      <c r="V19" s="5">
        <f t="shared" si="14"/>
        <v>515</v>
      </c>
      <c r="W19" s="276">
        <f t="shared" si="15"/>
        <v>0</v>
      </c>
      <c r="X19" s="5">
        <f t="shared" si="16"/>
        <v>156588</v>
      </c>
      <c r="Y19" s="276">
        <f t="shared" si="42"/>
        <v>0</v>
      </c>
      <c r="Z19" s="5">
        <f t="shared" si="17"/>
        <v>99898</v>
      </c>
      <c r="AA19" s="80">
        <f t="shared" si="18"/>
        <v>0</v>
      </c>
      <c r="AB19" s="5">
        <f t="shared" si="19"/>
        <v>242</v>
      </c>
      <c r="AC19" s="5">
        <f t="shared" si="20"/>
        <v>855</v>
      </c>
      <c r="AD19" s="80">
        <f t="shared" si="35"/>
        <v>0</v>
      </c>
      <c r="AE19" s="5">
        <f t="shared" si="21"/>
        <v>262.47000000000003</v>
      </c>
      <c r="AF19" s="80">
        <f t="shared" si="22"/>
        <v>0</v>
      </c>
      <c r="AG19" s="5">
        <f t="shared" si="23"/>
        <v>2247.41</v>
      </c>
      <c r="AH19" s="80">
        <f t="shared" si="24"/>
        <v>0</v>
      </c>
      <c r="AI19" s="80">
        <f t="shared" si="25"/>
        <v>0</v>
      </c>
      <c r="AJ19" s="278">
        <f t="shared" si="26"/>
        <v>0</v>
      </c>
      <c r="AK19" s="279">
        <f t="shared" si="36"/>
        <v>0</v>
      </c>
      <c r="AL19" s="279">
        <f t="shared" si="27"/>
        <v>0</v>
      </c>
      <c r="AM19" s="279">
        <f>'General information '!D18</f>
        <v>0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8"/>
        <v>44940</v>
      </c>
      <c r="AS19" s="363">
        <f t="shared" si="29"/>
        <v>0.9</v>
      </c>
      <c r="AT19" s="190">
        <f t="shared" si="29"/>
        <v>140</v>
      </c>
      <c r="AU19" s="364">
        <f t="shared" si="43"/>
        <v>1.1000000000000001</v>
      </c>
      <c r="AV19" s="190">
        <f t="shared" si="30"/>
        <v>100</v>
      </c>
      <c r="AW19" s="5">
        <v>2.9</v>
      </c>
      <c r="AX19" s="190">
        <f t="shared" si="31"/>
        <v>135</v>
      </c>
      <c r="AY19" s="365">
        <f>AS19*AT19</f>
        <v>126</v>
      </c>
      <c r="AZ19" s="365">
        <f>AU19*AV19</f>
        <v>110.00000000000001</v>
      </c>
      <c r="BA19" s="365">
        <f>AW19*AX19</f>
        <v>391.5</v>
      </c>
      <c r="BB19" s="20">
        <f t="shared" si="40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4"/>
        <v>0</v>
      </c>
      <c r="BG19" s="79">
        <f t="shared" si="4"/>
        <v>0</v>
      </c>
    </row>
    <row r="20" spans="1:61" ht="15.75" thickBot="1">
      <c r="A20" s="6">
        <f>ELEC!C18</f>
        <v>44941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44"/>
        <v>632599</v>
      </c>
      <c r="H20" s="5">
        <f t="shared" si="8"/>
        <v>0</v>
      </c>
      <c r="I20" s="5">
        <f t="shared" si="9"/>
        <v>0</v>
      </c>
      <c r="J20" s="286">
        <f t="shared" si="0"/>
        <v>0</v>
      </c>
      <c r="K20" s="5">
        <f t="shared" si="10"/>
        <v>7089</v>
      </c>
      <c r="L20" s="80">
        <f t="shared" si="41"/>
        <v>0</v>
      </c>
      <c r="M20" s="349">
        <f t="shared" si="11"/>
        <v>457.44</v>
      </c>
      <c r="N20" s="429">
        <f t="shared" si="45"/>
        <v>0</v>
      </c>
      <c r="O20" s="349">
        <f t="shared" si="12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3"/>
        <v>5199</v>
      </c>
      <c r="U20" s="5">
        <f t="shared" si="3"/>
        <v>0</v>
      </c>
      <c r="V20" s="5">
        <f t="shared" si="14"/>
        <v>515</v>
      </c>
      <c r="W20" s="276">
        <f t="shared" si="15"/>
        <v>0</v>
      </c>
      <c r="X20" s="5">
        <f t="shared" si="16"/>
        <v>156588</v>
      </c>
      <c r="Y20" s="276">
        <f t="shared" si="42"/>
        <v>0</v>
      </c>
      <c r="Z20" s="5">
        <f t="shared" si="17"/>
        <v>99898</v>
      </c>
      <c r="AA20" s="80">
        <f t="shared" si="18"/>
        <v>0</v>
      </c>
      <c r="AB20" s="5">
        <f t="shared" si="19"/>
        <v>242</v>
      </c>
      <c r="AC20" s="5">
        <f t="shared" si="20"/>
        <v>855</v>
      </c>
      <c r="AD20" s="80">
        <f t="shared" si="35"/>
        <v>0</v>
      </c>
      <c r="AE20" s="5">
        <f t="shared" si="21"/>
        <v>262.47000000000003</v>
      </c>
      <c r="AF20" s="80">
        <f t="shared" si="22"/>
        <v>0</v>
      </c>
      <c r="AG20" s="5">
        <f t="shared" si="23"/>
        <v>2247.41</v>
      </c>
      <c r="AH20" s="80">
        <f t="shared" si="24"/>
        <v>0</v>
      </c>
      <c r="AI20" s="80">
        <f t="shared" si="25"/>
        <v>0</v>
      </c>
      <c r="AJ20" s="278">
        <f t="shared" si="26"/>
        <v>0</v>
      </c>
      <c r="AK20" s="279">
        <f t="shared" si="36"/>
        <v>0</v>
      </c>
      <c r="AL20" s="279">
        <f t="shared" si="27"/>
        <v>0</v>
      </c>
      <c r="AM20" s="279">
        <f>'General information '!D19</f>
        <v>0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8"/>
        <v>44941</v>
      </c>
      <c r="AS20" s="363">
        <f t="shared" si="29"/>
        <v>0.9</v>
      </c>
      <c r="AT20" s="190">
        <f t="shared" si="29"/>
        <v>140</v>
      </c>
      <c r="AU20" s="364">
        <f t="shared" si="43"/>
        <v>1.1000000000000001</v>
      </c>
      <c r="AV20" s="190">
        <f t="shared" si="30"/>
        <v>100</v>
      </c>
      <c r="AW20" s="5">
        <v>2.9</v>
      </c>
      <c r="AX20" s="190">
        <f t="shared" si="31"/>
        <v>135</v>
      </c>
      <c r="AY20" s="365">
        <f>AS20*AT20</f>
        <v>126</v>
      </c>
      <c r="AZ20" s="365">
        <f>AU20*AV20</f>
        <v>110.00000000000001</v>
      </c>
      <c r="BA20" s="365">
        <f>AW20*AX20</f>
        <v>391.5</v>
      </c>
      <c r="BB20" s="20">
        <f t="shared" si="40"/>
        <v>0</v>
      </c>
      <c r="BC20" s="20">
        <f t="shared" si="48"/>
        <v>0</v>
      </c>
      <c r="BD20" s="20">
        <f t="shared" si="48"/>
        <v>0</v>
      </c>
      <c r="BE20" s="23">
        <f>SUM(BB20:BD20)</f>
        <v>0</v>
      </c>
      <c r="BF20" s="79">
        <f t="shared" si="34"/>
        <v>0</v>
      </c>
      <c r="BG20" s="79">
        <f t="shared" si="4"/>
        <v>0</v>
      </c>
    </row>
    <row r="21" spans="1:61" ht="15.75" thickBot="1">
      <c r="A21" s="6">
        <f>ELEC!C19</f>
        <v>44942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44"/>
        <v>632599</v>
      </c>
      <c r="H21" s="5">
        <f t="shared" si="8"/>
        <v>0</v>
      </c>
      <c r="I21" s="5">
        <f t="shared" si="9"/>
        <v>0</v>
      </c>
      <c r="J21" s="286">
        <f t="shared" si="0"/>
        <v>0</v>
      </c>
      <c r="K21" s="5">
        <f t="shared" si="10"/>
        <v>7089</v>
      </c>
      <c r="L21" s="80">
        <f t="shared" si="41"/>
        <v>0</v>
      </c>
      <c r="M21" s="349">
        <f t="shared" si="11"/>
        <v>457.44</v>
      </c>
      <c r="N21" s="429">
        <f t="shared" si="45"/>
        <v>0</v>
      </c>
      <c r="O21" s="349">
        <f t="shared" si="12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3"/>
        <v>5199</v>
      </c>
      <c r="U21" s="5">
        <f t="shared" si="3"/>
        <v>0</v>
      </c>
      <c r="V21" s="5">
        <f t="shared" si="14"/>
        <v>515</v>
      </c>
      <c r="W21" s="276">
        <f t="shared" si="15"/>
        <v>0</v>
      </c>
      <c r="X21" s="5">
        <f t="shared" si="16"/>
        <v>156588</v>
      </c>
      <c r="Y21" s="276">
        <f>SUM(X21-X20)</f>
        <v>0</v>
      </c>
      <c r="Z21" s="5">
        <f t="shared" si="17"/>
        <v>99898</v>
      </c>
      <c r="AA21" s="80">
        <f t="shared" si="18"/>
        <v>0</v>
      </c>
      <c r="AB21" s="5">
        <f t="shared" si="19"/>
        <v>242</v>
      </c>
      <c r="AC21" s="5">
        <f t="shared" si="20"/>
        <v>855</v>
      </c>
      <c r="AD21" s="80">
        <f t="shared" si="35"/>
        <v>0</v>
      </c>
      <c r="AE21" s="5">
        <f t="shared" si="21"/>
        <v>262.47000000000003</v>
      </c>
      <c r="AF21" s="80">
        <f t="shared" si="22"/>
        <v>0</v>
      </c>
      <c r="AG21" s="5">
        <f t="shared" si="23"/>
        <v>2247.41</v>
      </c>
      <c r="AH21" s="80">
        <f t="shared" si="24"/>
        <v>0</v>
      </c>
      <c r="AI21" s="80">
        <f t="shared" si="25"/>
        <v>0</v>
      </c>
      <c r="AJ21" s="278">
        <f t="shared" si="26"/>
        <v>0</v>
      </c>
      <c r="AK21" s="279">
        <f t="shared" si="36"/>
        <v>0</v>
      </c>
      <c r="AL21" s="279">
        <f t="shared" si="27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8"/>
        <v>44942</v>
      </c>
      <c r="AS21" s="363">
        <f t="shared" si="29"/>
        <v>0.9</v>
      </c>
      <c r="AT21" s="190">
        <f t="shared" si="29"/>
        <v>140</v>
      </c>
      <c r="AU21" s="364">
        <f t="shared" si="43"/>
        <v>1.1000000000000001</v>
      </c>
      <c r="AV21" s="190">
        <f t="shared" si="30"/>
        <v>100</v>
      </c>
      <c r="AW21" s="5">
        <v>2.9</v>
      </c>
      <c r="AX21" s="190">
        <f t="shared" si="31"/>
        <v>135</v>
      </c>
      <c r="AY21" s="365">
        <f>AS21*AT21</f>
        <v>126</v>
      </c>
      <c r="AZ21" s="365">
        <f>AU21*AV21</f>
        <v>110.00000000000001</v>
      </c>
      <c r="BA21" s="365">
        <f>AW21*AX21</f>
        <v>391.5</v>
      </c>
      <c r="BB21" s="20">
        <f t="shared" si="40"/>
        <v>0</v>
      </c>
      <c r="BC21" s="20">
        <f t="shared" si="32"/>
        <v>0</v>
      </c>
      <c r="BD21" s="20">
        <f t="shared" si="32"/>
        <v>0</v>
      </c>
      <c r="BE21" s="23">
        <f t="shared" si="33"/>
        <v>0</v>
      </c>
      <c r="BF21" s="79">
        <f t="shared" si="34"/>
        <v>0</v>
      </c>
      <c r="BG21" s="79">
        <f t="shared" si="4"/>
        <v>0</v>
      </c>
    </row>
    <row r="22" spans="1:61" ht="15.75" thickBot="1">
      <c r="A22" s="6">
        <f>ELEC!C20</f>
        <v>44943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44"/>
        <v>632599</v>
      </c>
      <c r="H22" s="5">
        <f t="shared" si="8"/>
        <v>0</v>
      </c>
      <c r="I22" s="5">
        <f t="shared" si="9"/>
        <v>0</v>
      </c>
      <c r="J22" s="286">
        <f t="shared" si="0"/>
        <v>0</v>
      </c>
      <c r="K22" s="5">
        <f t="shared" si="10"/>
        <v>7089</v>
      </c>
      <c r="L22" s="80">
        <f t="shared" si="41"/>
        <v>0</v>
      </c>
      <c r="M22" s="349">
        <f t="shared" si="11"/>
        <v>457.44</v>
      </c>
      <c r="N22" s="429">
        <f t="shared" si="45"/>
        <v>0</v>
      </c>
      <c r="O22" s="349">
        <f t="shared" si="12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3"/>
        <v>5199</v>
      </c>
      <c r="U22" s="5">
        <f t="shared" si="3"/>
        <v>0</v>
      </c>
      <c r="V22" s="5">
        <f t="shared" si="14"/>
        <v>515</v>
      </c>
      <c r="W22" s="276">
        <f t="shared" si="15"/>
        <v>0</v>
      </c>
      <c r="X22" s="5">
        <f t="shared" si="16"/>
        <v>156588</v>
      </c>
      <c r="Y22" s="276">
        <f t="shared" si="42"/>
        <v>0</v>
      </c>
      <c r="Z22" s="5">
        <f t="shared" si="17"/>
        <v>99898</v>
      </c>
      <c r="AA22" s="80">
        <f t="shared" si="18"/>
        <v>0</v>
      </c>
      <c r="AB22" s="5">
        <f t="shared" si="19"/>
        <v>242</v>
      </c>
      <c r="AC22" s="5">
        <f t="shared" si="20"/>
        <v>855</v>
      </c>
      <c r="AD22" s="80">
        <f t="shared" si="35"/>
        <v>0</v>
      </c>
      <c r="AE22" s="5">
        <f t="shared" si="21"/>
        <v>262.47000000000003</v>
      </c>
      <c r="AF22" s="80">
        <f t="shared" si="22"/>
        <v>0</v>
      </c>
      <c r="AG22" s="5">
        <f t="shared" si="23"/>
        <v>2247.41</v>
      </c>
      <c r="AH22" s="80">
        <f t="shared" si="24"/>
        <v>0</v>
      </c>
      <c r="AI22" s="80">
        <f t="shared" si="25"/>
        <v>0</v>
      </c>
      <c r="AJ22" s="278">
        <f t="shared" si="26"/>
        <v>0</v>
      </c>
      <c r="AK22" s="279">
        <f t="shared" si="36"/>
        <v>0</v>
      </c>
      <c r="AL22" s="279">
        <f t="shared" si="27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8"/>
        <v>44943</v>
      </c>
      <c r="AS22" s="363">
        <f t="shared" ref="AS22:AT33" si="49">AS21</f>
        <v>0.9</v>
      </c>
      <c r="AT22" s="190">
        <f t="shared" si="49"/>
        <v>140</v>
      </c>
      <c r="AU22" s="364">
        <f t="shared" si="43"/>
        <v>1.1000000000000001</v>
      </c>
      <c r="AV22" s="190">
        <f t="shared" si="30"/>
        <v>100</v>
      </c>
      <c r="AW22" s="5">
        <v>2.9</v>
      </c>
      <c r="AX22" s="190">
        <f t="shared" si="31"/>
        <v>135</v>
      </c>
      <c r="AY22" s="365">
        <f t="shared" si="37"/>
        <v>126</v>
      </c>
      <c r="AZ22" s="365">
        <f t="shared" si="38"/>
        <v>110.00000000000001</v>
      </c>
      <c r="BA22" s="365">
        <f t="shared" si="39"/>
        <v>391.5</v>
      </c>
      <c r="BB22" s="20">
        <f t="shared" si="40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3"/>
        <v>0</v>
      </c>
      <c r="BF22" s="79">
        <f t="shared" si="34"/>
        <v>0</v>
      </c>
      <c r="BG22" s="79">
        <f t="shared" si="4"/>
        <v>0</v>
      </c>
    </row>
    <row r="23" spans="1:61" ht="15.75" thickBot="1">
      <c r="A23" s="6">
        <f>ELEC!C21</f>
        <v>44944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44"/>
        <v>632599</v>
      </c>
      <c r="H23" s="5">
        <f t="shared" si="8"/>
        <v>0</v>
      </c>
      <c r="I23" s="5">
        <f t="shared" si="9"/>
        <v>0</v>
      </c>
      <c r="J23" s="286">
        <f t="shared" si="0"/>
        <v>0</v>
      </c>
      <c r="K23" s="5">
        <f t="shared" si="10"/>
        <v>7089</v>
      </c>
      <c r="L23" s="240">
        <f t="shared" si="41"/>
        <v>0</v>
      </c>
      <c r="M23" s="349">
        <f t="shared" si="11"/>
        <v>457.44</v>
      </c>
      <c r="N23" s="429">
        <f t="shared" si="45"/>
        <v>0</v>
      </c>
      <c r="O23" s="349">
        <f t="shared" si="12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3"/>
        <v>5199</v>
      </c>
      <c r="U23" s="5">
        <f t="shared" si="3"/>
        <v>0</v>
      </c>
      <c r="V23" s="5">
        <f t="shared" si="14"/>
        <v>515</v>
      </c>
      <c r="W23" s="276">
        <f t="shared" si="15"/>
        <v>0</v>
      </c>
      <c r="X23" s="5">
        <f t="shared" si="16"/>
        <v>156588</v>
      </c>
      <c r="Y23" s="276">
        <f t="shared" si="42"/>
        <v>0</v>
      </c>
      <c r="Z23" s="5">
        <f t="shared" si="17"/>
        <v>99898</v>
      </c>
      <c r="AA23" s="80">
        <f t="shared" si="18"/>
        <v>0</v>
      </c>
      <c r="AB23" s="5">
        <f t="shared" si="19"/>
        <v>242</v>
      </c>
      <c r="AC23" s="5">
        <f t="shared" si="20"/>
        <v>855</v>
      </c>
      <c r="AD23" s="80">
        <f t="shared" si="35"/>
        <v>0</v>
      </c>
      <c r="AE23" s="5">
        <f t="shared" si="21"/>
        <v>262.47000000000003</v>
      </c>
      <c r="AF23" s="80">
        <f t="shared" si="22"/>
        <v>0</v>
      </c>
      <c r="AG23" s="5">
        <f t="shared" si="23"/>
        <v>2247.41</v>
      </c>
      <c r="AH23" s="80">
        <f t="shared" si="24"/>
        <v>0</v>
      </c>
      <c r="AI23" s="80">
        <f t="shared" si="25"/>
        <v>0</v>
      </c>
      <c r="AJ23" s="278">
        <f t="shared" si="26"/>
        <v>0</v>
      </c>
      <c r="AK23" s="279">
        <f t="shared" si="36"/>
        <v>0</v>
      </c>
      <c r="AL23" s="279">
        <f t="shared" si="27"/>
        <v>0</v>
      </c>
      <c r="AM23" s="279">
        <f>'General information '!D22</f>
        <v>0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8"/>
        <v>44944</v>
      </c>
      <c r="AS23" s="363">
        <f t="shared" si="49"/>
        <v>0.9</v>
      </c>
      <c r="AT23" s="190">
        <f t="shared" si="49"/>
        <v>140</v>
      </c>
      <c r="AU23" s="364">
        <f t="shared" si="43"/>
        <v>1.1000000000000001</v>
      </c>
      <c r="AV23" s="190">
        <f t="shared" si="30"/>
        <v>100</v>
      </c>
      <c r="AW23" s="5">
        <v>2.9</v>
      </c>
      <c r="AX23" s="190">
        <f t="shared" si="31"/>
        <v>135</v>
      </c>
      <c r="AY23" s="365">
        <f t="shared" si="37"/>
        <v>126</v>
      </c>
      <c r="AZ23" s="365">
        <f t="shared" si="38"/>
        <v>110.00000000000001</v>
      </c>
      <c r="BA23" s="365">
        <f t="shared" si="39"/>
        <v>391.5</v>
      </c>
      <c r="BB23" s="20">
        <f t="shared" si="40"/>
        <v>0</v>
      </c>
      <c r="BC23" s="20">
        <f t="shared" si="50"/>
        <v>0</v>
      </c>
      <c r="BD23" s="20">
        <f t="shared" si="50"/>
        <v>0</v>
      </c>
      <c r="BE23" s="23">
        <f t="shared" si="33"/>
        <v>0</v>
      </c>
      <c r="BF23" s="79">
        <f t="shared" si="34"/>
        <v>0</v>
      </c>
      <c r="BG23" s="79">
        <f t="shared" si="4"/>
        <v>0</v>
      </c>
    </row>
    <row r="24" spans="1:61" ht="15.75" thickBot="1">
      <c r="A24" s="6">
        <f>ELEC!C22</f>
        <v>44945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44"/>
        <v>632599</v>
      </c>
      <c r="H24" s="5">
        <f t="shared" si="8"/>
        <v>0</v>
      </c>
      <c r="I24" s="5">
        <f t="shared" si="9"/>
        <v>0</v>
      </c>
      <c r="J24" s="286">
        <f t="shared" si="0"/>
        <v>0</v>
      </c>
      <c r="K24" s="5">
        <f t="shared" si="10"/>
        <v>7089</v>
      </c>
      <c r="L24" s="240">
        <f t="shared" si="41"/>
        <v>0</v>
      </c>
      <c r="M24" s="349">
        <f t="shared" si="11"/>
        <v>457.44</v>
      </c>
      <c r="N24" s="429">
        <f t="shared" si="45"/>
        <v>0</v>
      </c>
      <c r="O24" s="349">
        <f t="shared" si="12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3"/>
        <v>5199</v>
      </c>
      <c r="U24" s="5">
        <f t="shared" si="3"/>
        <v>0</v>
      </c>
      <c r="V24" s="5">
        <f t="shared" si="14"/>
        <v>515</v>
      </c>
      <c r="W24" s="276">
        <f t="shared" si="15"/>
        <v>0</v>
      </c>
      <c r="X24" s="5">
        <f t="shared" si="16"/>
        <v>156588</v>
      </c>
      <c r="Y24" s="276">
        <f t="shared" si="42"/>
        <v>0</v>
      </c>
      <c r="Z24" s="5">
        <f t="shared" si="17"/>
        <v>99898</v>
      </c>
      <c r="AA24" s="80">
        <f t="shared" si="18"/>
        <v>0</v>
      </c>
      <c r="AB24" s="5">
        <f t="shared" si="19"/>
        <v>242</v>
      </c>
      <c r="AC24" s="5">
        <f t="shared" si="20"/>
        <v>855</v>
      </c>
      <c r="AD24" s="80">
        <f t="shared" si="35"/>
        <v>0</v>
      </c>
      <c r="AE24" s="5">
        <f t="shared" si="21"/>
        <v>262.47000000000003</v>
      </c>
      <c r="AF24" s="80">
        <f t="shared" si="22"/>
        <v>0</v>
      </c>
      <c r="AG24" s="5">
        <f t="shared" si="23"/>
        <v>2247.41</v>
      </c>
      <c r="AH24" s="80">
        <f t="shared" si="24"/>
        <v>0</v>
      </c>
      <c r="AI24" s="80">
        <f t="shared" si="25"/>
        <v>0</v>
      </c>
      <c r="AJ24" s="278">
        <f t="shared" si="26"/>
        <v>0</v>
      </c>
      <c r="AK24" s="279">
        <f t="shared" si="36"/>
        <v>0</v>
      </c>
      <c r="AL24" s="279">
        <f t="shared" si="27"/>
        <v>0</v>
      </c>
      <c r="AM24" s="279">
        <f>'General information '!D23</f>
        <v>0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8"/>
        <v>44945</v>
      </c>
      <c r="AS24" s="363">
        <f t="shared" si="49"/>
        <v>0.9</v>
      </c>
      <c r="AT24" s="190">
        <f t="shared" si="49"/>
        <v>140</v>
      </c>
      <c r="AU24" s="364">
        <f t="shared" si="43"/>
        <v>1.1000000000000001</v>
      </c>
      <c r="AV24" s="190">
        <f t="shared" si="30"/>
        <v>100</v>
      </c>
      <c r="AW24" s="5">
        <v>2.9</v>
      </c>
      <c r="AX24" s="190">
        <f t="shared" si="31"/>
        <v>135</v>
      </c>
      <c r="AY24" s="365">
        <f t="shared" si="37"/>
        <v>126</v>
      </c>
      <c r="AZ24" s="365">
        <f t="shared" si="38"/>
        <v>110.00000000000001</v>
      </c>
      <c r="BA24" s="365">
        <f t="shared" si="39"/>
        <v>391.5</v>
      </c>
      <c r="BB24" s="20">
        <f t="shared" si="40"/>
        <v>0</v>
      </c>
      <c r="BC24" s="20">
        <f t="shared" si="50"/>
        <v>0</v>
      </c>
      <c r="BD24" s="20">
        <f t="shared" si="50"/>
        <v>0</v>
      </c>
      <c r="BE24" s="23">
        <f t="shared" si="33"/>
        <v>0</v>
      </c>
      <c r="BF24" s="79">
        <f t="shared" si="34"/>
        <v>0</v>
      </c>
      <c r="BG24" s="79">
        <f t="shared" si="4"/>
        <v>0</v>
      </c>
      <c r="BI24" s="79"/>
    </row>
    <row r="25" spans="1:61" ht="15.75" thickBot="1">
      <c r="A25" s="6">
        <f>ELEC!C23</f>
        <v>44946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44"/>
        <v>632599</v>
      </c>
      <c r="H25" s="5">
        <f t="shared" si="8"/>
        <v>0</v>
      </c>
      <c r="I25" s="5">
        <f t="shared" si="9"/>
        <v>0</v>
      </c>
      <c r="J25" s="286">
        <f t="shared" si="0"/>
        <v>0</v>
      </c>
      <c r="K25" s="5">
        <f t="shared" si="10"/>
        <v>7089</v>
      </c>
      <c r="L25" s="240">
        <f t="shared" si="41"/>
        <v>0</v>
      </c>
      <c r="M25" s="349">
        <f t="shared" si="11"/>
        <v>457.44</v>
      </c>
      <c r="N25" s="429">
        <f t="shared" si="45"/>
        <v>0</v>
      </c>
      <c r="O25" s="349">
        <f t="shared" si="12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3"/>
        <v>5199</v>
      </c>
      <c r="U25" s="5">
        <f t="shared" si="3"/>
        <v>0</v>
      </c>
      <c r="V25" s="5">
        <f t="shared" si="14"/>
        <v>515</v>
      </c>
      <c r="W25" s="276">
        <f t="shared" si="15"/>
        <v>0</v>
      </c>
      <c r="X25" s="5">
        <f t="shared" si="16"/>
        <v>156588</v>
      </c>
      <c r="Y25" s="276">
        <f t="shared" si="42"/>
        <v>0</v>
      </c>
      <c r="Z25" s="5">
        <f t="shared" si="17"/>
        <v>99898</v>
      </c>
      <c r="AA25" s="80">
        <f t="shared" si="18"/>
        <v>0</v>
      </c>
      <c r="AB25" s="5">
        <f t="shared" si="19"/>
        <v>242</v>
      </c>
      <c r="AC25" s="5">
        <f t="shared" si="20"/>
        <v>855</v>
      </c>
      <c r="AD25" s="80">
        <f t="shared" si="35"/>
        <v>0</v>
      </c>
      <c r="AE25" s="5">
        <f t="shared" si="21"/>
        <v>262.47000000000003</v>
      </c>
      <c r="AF25" s="80">
        <f t="shared" si="22"/>
        <v>0</v>
      </c>
      <c r="AG25" s="5">
        <f t="shared" si="23"/>
        <v>2247.41</v>
      </c>
      <c r="AH25" s="80">
        <f t="shared" si="24"/>
        <v>0</v>
      </c>
      <c r="AI25" s="80">
        <f t="shared" si="25"/>
        <v>0</v>
      </c>
      <c r="AJ25" s="278">
        <f t="shared" si="26"/>
        <v>0</v>
      </c>
      <c r="AK25" s="279">
        <f t="shared" si="36"/>
        <v>0</v>
      </c>
      <c r="AL25" s="279">
        <f>SUM(AJ25-W25)</f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8"/>
        <v>44946</v>
      </c>
      <c r="AS25" s="363">
        <f t="shared" si="49"/>
        <v>0.9</v>
      </c>
      <c r="AT25" s="190">
        <f t="shared" si="49"/>
        <v>140</v>
      </c>
      <c r="AU25" s="364">
        <f t="shared" si="43"/>
        <v>1.1000000000000001</v>
      </c>
      <c r="AV25" s="190">
        <f t="shared" si="30"/>
        <v>100</v>
      </c>
      <c r="AW25" s="5">
        <v>2.9</v>
      </c>
      <c r="AX25" s="190">
        <f t="shared" si="31"/>
        <v>135</v>
      </c>
      <c r="AY25" s="365">
        <f t="shared" si="37"/>
        <v>126</v>
      </c>
      <c r="AZ25" s="365">
        <f t="shared" si="38"/>
        <v>110.00000000000001</v>
      </c>
      <c r="BA25" s="365">
        <f t="shared" si="39"/>
        <v>391.5</v>
      </c>
      <c r="BB25" s="20">
        <f t="shared" si="40"/>
        <v>0</v>
      </c>
      <c r="BC25" s="20">
        <f t="shared" si="50"/>
        <v>0</v>
      </c>
      <c r="BD25" s="20">
        <f t="shared" si="50"/>
        <v>0</v>
      </c>
      <c r="BE25" s="23">
        <f t="shared" si="33"/>
        <v>0</v>
      </c>
      <c r="BF25" s="79">
        <f t="shared" si="34"/>
        <v>0</v>
      </c>
      <c r="BG25" s="79">
        <f t="shared" si="4"/>
        <v>0</v>
      </c>
    </row>
    <row r="26" spans="1:61" ht="15.75" thickBot="1">
      <c r="A26" s="6">
        <f>ELEC!C24</f>
        <v>44947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44"/>
        <v>632599</v>
      </c>
      <c r="H26" s="5">
        <f>G26-G25</f>
        <v>0</v>
      </c>
      <c r="I26" s="5">
        <f t="shared" si="9"/>
        <v>0</v>
      </c>
      <c r="J26" s="286">
        <f t="shared" si="0"/>
        <v>0</v>
      </c>
      <c r="K26" s="5">
        <f t="shared" si="10"/>
        <v>7089</v>
      </c>
      <c r="L26" s="240">
        <f t="shared" si="41"/>
        <v>0</v>
      </c>
      <c r="M26" s="349">
        <f t="shared" si="11"/>
        <v>457.44</v>
      </c>
      <c r="N26" s="429">
        <f t="shared" si="45"/>
        <v>0</v>
      </c>
      <c r="O26" s="349">
        <f t="shared" si="12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3"/>
        <v>5199</v>
      </c>
      <c r="U26" s="5">
        <f t="shared" si="3"/>
        <v>0</v>
      </c>
      <c r="V26" s="5">
        <f t="shared" si="14"/>
        <v>515</v>
      </c>
      <c r="W26" s="276">
        <f t="shared" si="15"/>
        <v>0</v>
      </c>
      <c r="X26" s="5">
        <f t="shared" si="16"/>
        <v>156588</v>
      </c>
      <c r="Y26" s="276">
        <f t="shared" si="42"/>
        <v>0</v>
      </c>
      <c r="Z26" s="5">
        <f t="shared" si="17"/>
        <v>99898</v>
      </c>
      <c r="AA26" s="80">
        <f t="shared" si="18"/>
        <v>0</v>
      </c>
      <c r="AB26" s="5">
        <f t="shared" si="19"/>
        <v>242</v>
      </c>
      <c r="AC26" s="5">
        <f t="shared" si="20"/>
        <v>855</v>
      </c>
      <c r="AD26" s="80">
        <f t="shared" si="35"/>
        <v>0</v>
      </c>
      <c r="AE26" s="5">
        <f t="shared" si="21"/>
        <v>262.47000000000003</v>
      </c>
      <c r="AF26" s="80">
        <f t="shared" si="22"/>
        <v>0</v>
      </c>
      <c r="AG26" s="5">
        <f t="shared" si="23"/>
        <v>2247.41</v>
      </c>
      <c r="AH26" s="80">
        <f t="shared" si="24"/>
        <v>0</v>
      </c>
      <c r="AI26" s="80">
        <f t="shared" si="25"/>
        <v>0</v>
      </c>
      <c r="AJ26" s="278">
        <f t="shared" si="26"/>
        <v>0</v>
      </c>
      <c r="AK26" s="279">
        <f t="shared" si="36"/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8"/>
        <v>44947</v>
      </c>
      <c r="AS26" s="363">
        <f t="shared" si="49"/>
        <v>0.9</v>
      </c>
      <c r="AT26" s="190">
        <f t="shared" si="49"/>
        <v>140</v>
      </c>
      <c r="AU26" s="364">
        <f t="shared" si="43"/>
        <v>1.1000000000000001</v>
      </c>
      <c r="AV26" s="190">
        <f t="shared" si="30"/>
        <v>100</v>
      </c>
      <c r="AW26" s="5">
        <v>2.9</v>
      </c>
      <c r="AX26" s="190">
        <f t="shared" si="31"/>
        <v>135</v>
      </c>
      <c r="AY26" s="365">
        <f t="shared" si="37"/>
        <v>126</v>
      </c>
      <c r="AZ26" s="365">
        <f t="shared" si="38"/>
        <v>110.00000000000001</v>
      </c>
      <c r="BA26" s="365">
        <f t="shared" si="39"/>
        <v>391.5</v>
      </c>
      <c r="BB26" s="20">
        <f t="shared" si="40"/>
        <v>0</v>
      </c>
      <c r="BC26" s="20">
        <f t="shared" si="50"/>
        <v>0</v>
      </c>
      <c r="BD26" s="20">
        <f t="shared" si="50"/>
        <v>0</v>
      </c>
      <c r="BE26" s="23">
        <f t="shared" si="33"/>
        <v>0</v>
      </c>
      <c r="BF26" s="79">
        <f t="shared" si="34"/>
        <v>0</v>
      </c>
      <c r="BG26" s="79">
        <f t="shared" si="4"/>
        <v>0</v>
      </c>
    </row>
    <row r="27" spans="1:61" ht="15.75" thickBot="1">
      <c r="A27" s="6">
        <f>ELEC!C25</f>
        <v>44948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44"/>
        <v>632599</v>
      </c>
      <c r="H27" s="5">
        <f t="shared" si="8"/>
        <v>0</v>
      </c>
      <c r="I27" s="5">
        <f t="shared" si="9"/>
        <v>0</v>
      </c>
      <c r="J27" s="286">
        <f t="shared" si="0"/>
        <v>0</v>
      </c>
      <c r="K27" s="5">
        <f t="shared" si="10"/>
        <v>7089</v>
      </c>
      <c r="L27" s="240">
        <f t="shared" si="41"/>
        <v>0</v>
      </c>
      <c r="M27" s="349">
        <f t="shared" si="11"/>
        <v>457.44</v>
      </c>
      <c r="N27" s="429">
        <f t="shared" si="45"/>
        <v>0</v>
      </c>
      <c r="O27" s="349">
        <f t="shared" si="12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3"/>
        <v>5199</v>
      </c>
      <c r="U27" s="5">
        <f t="shared" si="3"/>
        <v>0</v>
      </c>
      <c r="V27" s="5">
        <f t="shared" si="14"/>
        <v>515</v>
      </c>
      <c r="W27" s="276">
        <f t="shared" si="15"/>
        <v>0</v>
      </c>
      <c r="X27" s="5">
        <f t="shared" si="16"/>
        <v>156588</v>
      </c>
      <c r="Y27" s="276">
        <f t="shared" si="42"/>
        <v>0</v>
      </c>
      <c r="Z27" s="5">
        <f t="shared" si="17"/>
        <v>99898</v>
      </c>
      <c r="AA27" s="80">
        <f t="shared" si="18"/>
        <v>0</v>
      </c>
      <c r="AB27" s="5">
        <f t="shared" si="19"/>
        <v>242</v>
      </c>
      <c r="AC27" s="5">
        <f t="shared" si="20"/>
        <v>855</v>
      </c>
      <c r="AD27" s="80">
        <f t="shared" si="35"/>
        <v>0</v>
      </c>
      <c r="AE27" s="5">
        <v>262.47000000000003</v>
      </c>
      <c r="AF27" s="80">
        <f t="shared" si="22"/>
        <v>0</v>
      </c>
      <c r="AG27" s="5">
        <f t="shared" si="23"/>
        <v>2247.41</v>
      </c>
      <c r="AH27" s="80">
        <f t="shared" si="24"/>
        <v>0</v>
      </c>
      <c r="AI27" s="80">
        <f t="shared" si="25"/>
        <v>0</v>
      </c>
      <c r="AJ27" s="278">
        <f t="shared" si="26"/>
        <v>0</v>
      </c>
      <c r="AK27" s="279">
        <f t="shared" si="36"/>
        <v>0</v>
      </c>
      <c r="AL27" s="279">
        <f t="shared" si="27"/>
        <v>0</v>
      </c>
      <c r="AM27" s="279">
        <f>'General information '!D26</f>
        <v>0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8"/>
        <v>44948</v>
      </c>
      <c r="AS27" s="363">
        <f t="shared" si="49"/>
        <v>0.9</v>
      </c>
      <c r="AT27" s="190">
        <f t="shared" si="49"/>
        <v>140</v>
      </c>
      <c r="AU27" s="364">
        <f t="shared" si="43"/>
        <v>1.1000000000000001</v>
      </c>
      <c r="AV27" s="190">
        <f t="shared" si="30"/>
        <v>100</v>
      </c>
      <c r="AW27" s="5">
        <v>2.9</v>
      </c>
      <c r="AX27" s="190">
        <f t="shared" si="31"/>
        <v>135</v>
      </c>
      <c r="AY27" s="365">
        <f t="shared" si="37"/>
        <v>126</v>
      </c>
      <c r="AZ27" s="365">
        <f t="shared" si="38"/>
        <v>110.00000000000001</v>
      </c>
      <c r="BA27" s="365">
        <f t="shared" si="39"/>
        <v>391.5</v>
      </c>
      <c r="BB27" s="20">
        <f t="shared" si="40"/>
        <v>0</v>
      </c>
      <c r="BC27" s="20">
        <f t="shared" si="50"/>
        <v>0</v>
      </c>
      <c r="BD27" s="20">
        <f t="shared" si="50"/>
        <v>0</v>
      </c>
      <c r="BE27" s="23">
        <f t="shared" si="33"/>
        <v>0</v>
      </c>
      <c r="BF27" s="79">
        <f t="shared" si="34"/>
        <v>0</v>
      </c>
      <c r="BG27" s="79">
        <f t="shared" si="4"/>
        <v>0</v>
      </c>
    </row>
    <row r="28" spans="1:61" ht="15.75" thickBot="1">
      <c r="A28" s="6">
        <f>ELEC!C26</f>
        <v>44949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44"/>
        <v>632599</v>
      </c>
      <c r="H28" s="5">
        <f t="shared" si="8"/>
        <v>0</v>
      </c>
      <c r="I28" s="5">
        <f t="shared" si="9"/>
        <v>0</v>
      </c>
      <c r="J28" s="286">
        <f t="shared" si="0"/>
        <v>0</v>
      </c>
      <c r="K28" s="5">
        <f t="shared" si="10"/>
        <v>7089</v>
      </c>
      <c r="L28" s="240">
        <f t="shared" si="41"/>
        <v>0</v>
      </c>
      <c r="M28" s="349">
        <f t="shared" si="11"/>
        <v>457.44</v>
      </c>
      <c r="N28" s="429">
        <f t="shared" si="45"/>
        <v>0</v>
      </c>
      <c r="O28" s="349">
        <f t="shared" si="12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3"/>
        <v>5199</v>
      </c>
      <c r="U28" s="5">
        <f t="shared" si="3"/>
        <v>0</v>
      </c>
      <c r="V28" s="5">
        <f t="shared" si="14"/>
        <v>515</v>
      </c>
      <c r="W28" s="276">
        <f t="shared" si="15"/>
        <v>0</v>
      </c>
      <c r="X28" s="5">
        <f t="shared" si="16"/>
        <v>156588</v>
      </c>
      <c r="Y28" s="276">
        <f t="shared" si="42"/>
        <v>0</v>
      </c>
      <c r="Z28" s="5">
        <f t="shared" si="17"/>
        <v>99898</v>
      </c>
      <c r="AA28" s="80">
        <f t="shared" si="18"/>
        <v>0</v>
      </c>
      <c r="AB28" s="5">
        <f t="shared" si="19"/>
        <v>242</v>
      </c>
      <c r="AC28" s="5">
        <f t="shared" si="20"/>
        <v>855</v>
      </c>
      <c r="AD28" s="80">
        <f t="shared" si="35"/>
        <v>0</v>
      </c>
      <c r="AE28" s="5">
        <f t="shared" si="21"/>
        <v>262.47000000000003</v>
      </c>
      <c r="AF28" s="80">
        <f t="shared" si="22"/>
        <v>0</v>
      </c>
      <c r="AG28" s="5">
        <f t="shared" si="23"/>
        <v>2247.41</v>
      </c>
      <c r="AH28" s="80">
        <f t="shared" si="24"/>
        <v>0</v>
      </c>
      <c r="AI28" s="80">
        <f t="shared" si="25"/>
        <v>0</v>
      </c>
      <c r="AJ28" s="278">
        <f t="shared" si="26"/>
        <v>0</v>
      </c>
      <c r="AK28" s="279">
        <f t="shared" si="36"/>
        <v>0</v>
      </c>
      <c r="AL28" s="279">
        <f t="shared" si="27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8"/>
        <v>44949</v>
      </c>
      <c r="AS28" s="363">
        <f t="shared" si="49"/>
        <v>0.9</v>
      </c>
      <c r="AT28" s="190">
        <f t="shared" si="49"/>
        <v>140</v>
      </c>
      <c r="AU28" s="364">
        <f t="shared" si="43"/>
        <v>1.1000000000000001</v>
      </c>
      <c r="AV28" s="190">
        <f t="shared" si="30"/>
        <v>100</v>
      </c>
      <c r="AW28" s="5">
        <v>2.9</v>
      </c>
      <c r="AX28" s="190">
        <f t="shared" si="31"/>
        <v>135</v>
      </c>
      <c r="AY28" s="365">
        <f t="shared" si="37"/>
        <v>126</v>
      </c>
      <c r="AZ28" s="365">
        <f t="shared" si="38"/>
        <v>110.00000000000001</v>
      </c>
      <c r="BA28" s="365">
        <f t="shared" si="39"/>
        <v>391.5</v>
      </c>
      <c r="BB28" s="20">
        <f t="shared" si="40"/>
        <v>0</v>
      </c>
      <c r="BC28" s="20">
        <f t="shared" si="50"/>
        <v>0</v>
      </c>
      <c r="BD28" s="20">
        <f t="shared" si="50"/>
        <v>0</v>
      </c>
      <c r="BE28" s="23">
        <f t="shared" si="33"/>
        <v>0</v>
      </c>
      <c r="BF28" s="79">
        <f t="shared" si="34"/>
        <v>0</v>
      </c>
      <c r="BG28" s="79">
        <f t="shared" si="4"/>
        <v>0</v>
      </c>
    </row>
    <row r="29" spans="1:61" ht="15.75" thickBot="1">
      <c r="A29" s="6">
        <f>ELEC!C27</f>
        <v>44950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44"/>
        <v>632599</v>
      </c>
      <c r="H29" s="5">
        <f t="shared" si="8"/>
        <v>0</v>
      </c>
      <c r="I29" s="5">
        <f t="shared" si="9"/>
        <v>0</v>
      </c>
      <c r="J29" s="286">
        <f t="shared" si="0"/>
        <v>0</v>
      </c>
      <c r="K29" s="5">
        <f t="shared" si="10"/>
        <v>7089</v>
      </c>
      <c r="L29" s="240">
        <f t="shared" si="41"/>
        <v>0</v>
      </c>
      <c r="M29" s="349">
        <f t="shared" si="11"/>
        <v>457.44</v>
      </c>
      <c r="N29" s="429">
        <f t="shared" si="45"/>
        <v>0</v>
      </c>
      <c r="O29" s="349">
        <f t="shared" si="12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3"/>
        <v>5199</v>
      </c>
      <c r="U29" s="5">
        <f t="shared" si="3"/>
        <v>0</v>
      </c>
      <c r="V29" s="5">
        <f t="shared" si="14"/>
        <v>515</v>
      </c>
      <c r="W29" s="276">
        <f t="shared" si="15"/>
        <v>0</v>
      </c>
      <c r="X29" s="5">
        <f t="shared" si="16"/>
        <v>156588</v>
      </c>
      <c r="Y29" s="276">
        <f t="shared" si="42"/>
        <v>0</v>
      </c>
      <c r="Z29" s="5">
        <f t="shared" si="17"/>
        <v>99898</v>
      </c>
      <c r="AA29" s="80">
        <f t="shared" si="18"/>
        <v>0</v>
      </c>
      <c r="AB29" s="5">
        <f t="shared" si="19"/>
        <v>242</v>
      </c>
      <c r="AC29" s="5">
        <f t="shared" si="20"/>
        <v>855</v>
      </c>
      <c r="AD29" s="80">
        <f t="shared" si="35"/>
        <v>0</v>
      </c>
      <c r="AE29" s="5">
        <f t="shared" si="21"/>
        <v>262.47000000000003</v>
      </c>
      <c r="AF29" s="80">
        <f t="shared" si="22"/>
        <v>0</v>
      </c>
      <c r="AG29" s="5">
        <f t="shared" si="23"/>
        <v>2247.41</v>
      </c>
      <c r="AH29" s="80">
        <f t="shared" si="24"/>
        <v>0</v>
      </c>
      <c r="AI29" s="80">
        <f t="shared" si="25"/>
        <v>0</v>
      </c>
      <c r="AJ29" s="278">
        <f t="shared" si="26"/>
        <v>0</v>
      </c>
      <c r="AK29" s="279">
        <f t="shared" si="36"/>
        <v>0</v>
      </c>
      <c r="AL29" s="279">
        <f t="shared" si="27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8"/>
        <v>44950</v>
      </c>
      <c r="AS29" s="363">
        <f t="shared" si="49"/>
        <v>0.9</v>
      </c>
      <c r="AT29" s="190">
        <f t="shared" si="49"/>
        <v>140</v>
      </c>
      <c r="AU29" s="364">
        <f t="shared" si="43"/>
        <v>1.1000000000000001</v>
      </c>
      <c r="AV29" s="190">
        <f t="shared" si="30"/>
        <v>100</v>
      </c>
      <c r="AW29" s="5">
        <v>2.9</v>
      </c>
      <c r="AX29" s="190">
        <f t="shared" si="31"/>
        <v>135</v>
      </c>
      <c r="AY29" s="365">
        <f t="shared" si="37"/>
        <v>126</v>
      </c>
      <c r="AZ29" s="365">
        <f t="shared" si="38"/>
        <v>110.00000000000001</v>
      </c>
      <c r="BA29" s="365">
        <f t="shared" si="39"/>
        <v>391.5</v>
      </c>
      <c r="BB29" s="20">
        <f t="shared" si="40"/>
        <v>0</v>
      </c>
      <c r="BC29" s="20">
        <f t="shared" si="50"/>
        <v>0</v>
      </c>
      <c r="BD29" s="20">
        <f t="shared" si="50"/>
        <v>0</v>
      </c>
      <c r="BE29" s="23">
        <f t="shared" si="33"/>
        <v>0</v>
      </c>
      <c r="BF29" s="79">
        <f t="shared" si="34"/>
        <v>0</v>
      </c>
      <c r="BG29" s="79">
        <f t="shared" si="4"/>
        <v>0</v>
      </c>
    </row>
    <row r="30" spans="1:61" ht="15.75" thickBot="1">
      <c r="A30" s="6">
        <f>ELEC!C28</f>
        <v>44951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44"/>
        <v>632599</v>
      </c>
      <c r="H30" s="5">
        <f t="shared" si="8"/>
        <v>0</v>
      </c>
      <c r="I30" s="5">
        <f t="shared" si="9"/>
        <v>0</v>
      </c>
      <c r="J30" s="286">
        <f t="shared" si="0"/>
        <v>0</v>
      </c>
      <c r="K30" s="5">
        <f t="shared" si="10"/>
        <v>7089</v>
      </c>
      <c r="L30" s="240">
        <f t="shared" si="41"/>
        <v>0</v>
      </c>
      <c r="M30" s="349">
        <f t="shared" si="11"/>
        <v>457.44</v>
      </c>
      <c r="N30" s="429">
        <f t="shared" si="45"/>
        <v>0</v>
      </c>
      <c r="O30" s="349">
        <f t="shared" si="12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3"/>
        <v>5199</v>
      </c>
      <c r="U30" s="5">
        <f t="shared" si="3"/>
        <v>0</v>
      </c>
      <c r="V30" s="5">
        <f t="shared" si="14"/>
        <v>515</v>
      </c>
      <c r="W30" s="276">
        <f t="shared" si="15"/>
        <v>0</v>
      </c>
      <c r="X30" s="5">
        <f t="shared" si="16"/>
        <v>156588</v>
      </c>
      <c r="Y30" s="276">
        <f t="shared" si="42"/>
        <v>0</v>
      </c>
      <c r="Z30" s="5">
        <f t="shared" si="17"/>
        <v>99898</v>
      </c>
      <c r="AA30" s="80">
        <f t="shared" si="18"/>
        <v>0</v>
      </c>
      <c r="AB30" s="5">
        <f t="shared" si="19"/>
        <v>242</v>
      </c>
      <c r="AC30" s="5">
        <f t="shared" si="20"/>
        <v>855</v>
      </c>
      <c r="AD30" s="80">
        <f t="shared" si="35"/>
        <v>0</v>
      </c>
      <c r="AE30" s="5">
        <f t="shared" si="21"/>
        <v>262.47000000000003</v>
      </c>
      <c r="AF30" s="80">
        <f t="shared" si="22"/>
        <v>0</v>
      </c>
      <c r="AG30" s="5">
        <f t="shared" si="23"/>
        <v>2247.41</v>
      </c>
      <c r="AH30" s="80">
        <f t="shared" si="24"/>
        <v>0</v>
      </c>
      <c r="AI30" s="80">
        <f t="shared" si="25"/>
        <v>0</v>
      </c>
      <c r="AJ30" s="278">
        <f t="shared" si="26"/>
        <v>0</v>
      </c>
      <c r="AK30" s="279">
        <f t="shared" si="36"/>
        <v>0</v>
      </c>
      <c r="AL30" s="279">
        <f t="shared" si="27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8"/>
        <v>44951</v>
      </c>
      <c r="AS30" s="363">
        <f t="shared" si="49"/>
        <v>0.9</v>
      </c>
      <c r="AT30" s="190">
        <f t="shared" si="49"/>
        <v>140</v>
      </c>
      <c r="AU30" s="364">
        <f t="shared" si="43"/>
        <v>1.1000000000000001</v>
      </c>
      <c r="AV30" s="190">
        <f t="shared" si="30"/>
        <v>100</v>
      </c>
      <c r="AW30" s="5">
        <v>2.9</v>
      </c>
      <c r="AX30" s="190">
        <f t="shared" si="31"/>
        <v>135</v>
      </c>
      <c r="AY30" s="365">
        <f t="shared" si="37"/>
        <v>126</v>
      </c>
      <c r="AZ30" s="365">
        <f t="shared" si="38"/>
        <v>110.00000000000001</v>
      </c>
      <c r="BA30" s="365">
        <f t="shared" si="39"/>
        <v>391.5</v>
      </c>
      <c r="BB30" s="20">
        <f t="shared" si="40"/>
        <v>0</v>
      </c>
      <c r="BC30" s="20">
        <f t="shared" si="50"/>
        <v>0</v>
      </c>
      <c r="BD30" s="20">
        <f t="shared" si="50"/>
        <v>0</v>
      </c>
      <c r="BE30" s="23">
        <f t="shared" si="33"/>
        <v>0</v>
      </c>
      <c r="BF30" s="79">
        <f t="shared" si="34"/>
        <v>0</v>
      </c>
      <c r="BG30" s="79">
        <f t="shared" si="4"/>
        <v>0</v>
      </c>
    </row>
    <row r="31" spans="1:61" ht="15.75" thickBot="1">
      <c r="A31" s="6">
        <f>ELEC!C29</f>
        <v>44952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44"/>
        <v>632599</v>
      </c>
      <c r="H31" s="5">
        <f t="shared" si="8"/>
        <v>0</v>
      </c>
      <c r="I31" s="5">
        <f t="shared" si="9"/>
        <v>0</v>
      </c>
      <c r="J31" s="286">
        <f t="shared" si="0"/>
        <v>0</v>
      </c>
      <c r="K31" s="5">
        <f t="shared" si="10"/>
        <v>7089</v>
      </c>
      <c r="L31" s="240">
        <f t="shared" si="41"/>
        <v>0</v>
      </c>
      <c r="M31" s="349">
        <f t="shared" si="11"/>
        <v>457.44</v>
      </c>
      <c r="N31" s="429">
        <f t="shared" si="45"/>
        <v>0</v>
      </c>
      <c r="O31" s="349">
        <f t="shared" si="12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3"/>
        <v>5199</v>
      </c>
      <c r="U31" s="5">
        <f t="shared" si="3"/>
        <v>0</v>
      </c>
      <c r="V31" s="5">
        <f t="shared" si="14"/>
        <v>515</v>
      </c>
      <c r="W31" s="276">
        <f t="shared" si="15"/>
        <v>0</v>
      </c>
      <c r="X31" s="5">
        <f t="shared" si="16"/>
        <v>156588</v>
      </c>
      <c r="Y31" s="276">
        <f t="shared" si="42"/>
        <v>0</v>
      </c>
      <c r="Z31" s="5">
        <f t="shared" si="17"/>
        <v>99898</v>
      </c>
      <c r="AA31" s="80">
        <f t="shared" si="18"/>
        <v>0</v>
      </c>
      <c r="AB31" s="5">
        <f t="shared" si="19"/>
        <v>242</v>
      </c>
      <c r="AC31" s="5">
        <f t="shared" si="20"/>
        <v>855</v>
      </c>
      <c r="AD31" s="80">
        <f t="shared" si="35"/>
        <v>0</v>
      </c>
      <c r="AE31" s="5">
        <f t="shared" si="21"/>
        <v>262.47000000000003</v>
      </c>
      <c r="AF31" s="80">
        <f t="shared" si="22"/>
        <v>0</v>
      </c>
      <c r="AG31" s="5">
        <f t="shared" si="23"/>
        <v>2247.41</v>
      </c>
      <c r="AH31" s="80">
        <f>AG31-AG30</f>
        <v>0</v>
      </c>
      <c r="AI31" s="80">
        <f>AF31+AH31</f>
        <v>0</v>
      </c>
      <c r="AJ31" s="278">
        <f t="shared" si="26"/>
        <v>0</v>
      </c>
      <c r="AK31" s="279">
        <f t="shared" si="36"/>
        <v>0</v>
      </c>
      <c r="AL31" s="279">
        <f t="shared" si="27"/>
        <v>0</v>
      </c>
      <c r="AM31" s="279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8"/>
        <v>44952</v>
      </c>
      <c r="AS31" s="363">
        <f t="shared" si="49"/>
        <v>0.9</v>
      </c>
      <c r="AT31" s="190">
        <f t="shared" si="49"/>
        <v>140</v>
      </c>
      <c r="AU31" s="364">
        <f t="shared" si="43"/>
        <v>1.1000000000000001</v>
      </c>
      <c r="AV31" s="190">
        <f t="shared" si="30"/>
        <v>100</v>
      </c>
      <c r="AW31" s="5">
        <v>2.9</v>
      </c>
      <c r="AX31" s="190">
        <f t="shared" si="31"/>
        <v>135</v>
      </c>
      <c r="AY31" s="365">
        <f t="shared" si="37"/>
        <v>126</v>
      </c>
      <c r="AZ31" s="365">
        <f>AU31*AV31</f>
        <v>110.00000000000001</v>
      </c>
      <c r="BA31" s="365">
        <f t="shared" si="39"/>
        <v>391.5</v>
      </c>
      <c r="BB31" s="20">
        <f t="shared" si="40"/>
        <v>0</v>
      </c>
      <c r="BC31" s="20">
        <f t="shared" si="50"/>
        <v>0</v>
      </c>
      <c r="BD31" s="20">
        <f t="shared" si="50"/>
        <v>0</v>
      </c>
      <c r="BE31" s="23">
        <f t="shared" si="33"/>
        <v>0</v>
      </c>
      <c r="BF31" s="79">
        <f t="shared" si="34"/>
        <v>0</v>
      </c>
      <c r="BG31" s="79">
        <f t="shared" si="4"/>
        <v>0</v>
      </c>
    </row>
    <row r="32" spans="1:61" ht="15.75" thickBot="1">
      <c r="A32" s="6">
        <f>ELEC!C30</f>
        <v>44953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44"/>
        <v>632599</v>
      </c>
      <c r="H32" s="5">
        <f t="shared" si="8"/>
        <v>0</v>
      </c>
      <c r="I32" s="5">
        <f t="shared" si="9"/>
        <v>0</v>
      </c>
      <c r="J32" s="286">
        <f t="shared" si="0"/>
        <v>0</v>
      </c>
      <c r="K32" s="5">
        <f t="shared" si="10"/>
        <v>7089</v>
      </c>
      <c r="L32" s="240">
        <f t="shared" si="41"/>
        <v>0</v>
      </c>
      <c r="M32" s="349">
        <f t="shared" si="11"/>
        <v>457.44</v>
      </c>
      <c r="N32" s="429">
        <f t="shared" si="45"/>
        <v>0</v>
      </c>
      <c r="O32" s="349">
        <f t="shared" si="12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-3</v>
      </c>
      <c r="V32" s="5">
        <f t="shared" si="14"/>
        <v>515</v>
      </c>
      <c r="W32" s="276">
        <f t="shared" si="15"/>
        <v>0</v>
      </c>
      <c r="X32" s="5">
        <f t="shared" si="16"/>
        <v>156588</v>
      </c>
      <c r="Y32" s="276">
        <f t="shared" si="42"/>
        <v>0</v>
      </c>
      <c r="Z32" s="5">
        <f t="shared" si="17"/>
        <v>99898</v>
      </c>
      <c r="AA32" s="80">
        <f t="shared" si="18"/>
        <v>0</v>
      </c>
      <c r="AB32" s="5">
        <f t="shared" si="19"/>
        <v>242</v>
      </c>
      <c r="AC32" s="5">
        <f t="shared" si="20"/>
        <v>855</v>
      </c>
      <c r="AD32" s="80">
        <f t="shared" si="35"/>
        <v>0</v>
      </c>
      <c r="AE32" s="5">
        <f t="shared" si="21"/>
        <v>262.47000000000003</v>
      </c>
      <c r="AF32" s="80">
        <f t="shared" si="22"/>
        <v>0</v>
      </c>
      <c r="AG32" s="5">
        <f t="shared" si="23"/>
        <v>2247.41</v>
      </c>
      <c r="AH32" s="80">
        <f t="shared" si="24"/>
        <v>0</v>
      </c>
      <c r="AI32" s="80">
        <f t="shared" si="25"/>
        <v>0</v>
      </c>
      <c r="AJ32" s="278">
        <f>+Z32-Z31</f>
        <v>0</v>
      </c>
      <c r="AK32" s="279">
        <f t="shared" si="36"/>
        <v>0</v>
      </c>
      <c r="AL32" s="279">
        <f t="shared" si="27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8"/>
        <v>44953</v>
      </c>
      <c r="AS32" s="363">
        <f t="shared" si="49"/>
        <v>0.9</v>
      </c>
      <c r="AT32" s="190">
        <f t="shared" si="49"/>
        <v>140</v>
      </c>
      <c r="AU32" s="364">
        <f t="shared" si="43"/>
        <v>1.1000000000000001</v>
      </c>
      <c r="AV32" s="190">
        <f t="shared" si="30"/>
        <v>100</v>
      </c>
      <c r="AW32" s="5">
        <v>2.9</v>
      </c>
      <c r="AX32" s="190">
        <f t="shared" si="31"/>
        <v>135</v>
      </c>
      <c r="AY32" s="365">
        <f t="shared" si="37"/>
        <v>126</v>
      </c>
      <c r="AZ32" s="365">
        <f t="shared" si="38"/>
        <v>110.00000000000001</v>
      </c>
      <c r="BA32" s="365">
        <f t="shared" si="39"/>
        <v>391.5</v>
      </c>
      <c r="BB32" s="20">
        <f t="shared" si="40"/>
        <v>0</v>
      </c>
      <c r="BC32" s="20">
        <f t="shared" si="50"/>
        <v>0</v>
      </c>
      <c r="BD32" s="20">
        <f t="shared" si="50"/>
        <v>0</v>
      </c>
      <c r="BE32" s="23">
        <f t="shared" si="33"/>
        <v>0</v>
      </c>
      <c r="BF32" s="79">
        <f t="shared" si="34"/>
        <v>0</v>
      </c>
      <c r="BG32" s="79">
        <f t="shared" si="4"/>
        <v>0</v>
      </c>
    </row>
    <row r="33" spans="1:59" ht="15.75" thickBot="1">
      <c r="A33" s="6">
        <f>ELEC!C31</f>
        <v>44954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44"/>
        <v>632599</v>
      </c>
      <c r="H33" s="5">
        <f t="shared" si="8"/>
        <v>0</v>
      </c>
      <c r="I33" s="5">
        <f t="shared" si="9"/>
        <v>0</v>
      </c>
      <c r="J33" s="286">
        <f t="shared" si="0"/>
        <v>0</v>
      </c>
      <c r="K33" s="5">
        <f t="shared" si="10"/>
        <v>7089</v>
      </c>
      <c r="L33" s="240">
        <f t="shared" si="41"/>
        <v>0</v>
      </c>
      <c r="M33" s="349">
        <f t="shared" si="11"/>
        <v>457.44</v>
      </c>
      <c r="N33" s="429">
        <f t="shared" si="45"/>
        <v>0</v>
      </c>
      <c r="O33" s="349">
        <f t="shared" si="12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3"/>
        <v>5196</v>
      </c>
      <c r="U33" s="5">
        <f t="shared" si="3"/>
        <v>0</v>
      </c>
      <c r="V33" s="5">
        <f t="shared" si="14"/>
        <v>515</v>
      </c>
      <c r="W33" s="276">
        <f t="shared" si="15"/>
        <v>0</v>
      </c>
      <c r="X33" s="5">
        <f t="shared" si="16"/>
        <v>156588</v>
      </c>
      <c r="Y33" s="276">
        <f t="shared" si="42"/>
        <v>0</v>
      </c>
      <c r="Z33" s="5">
        <f t="shared" si="17"/>
        <v>99898</v>
      </c>
      <c r="AA33" s="80">
        <f t="shared" si="18"/>
        <v>0</v>
      </c>
      <c r="AB33" s="5">
        <f t="shared" si="19"/>
        <v>242</v>
      </c>
      <c r="AC33" s="5">
        <f t="shared" si="20"/>
        <v>855</v>
      </c>
      <c r="AD33" s="80">
        <f t="shared" si="35"/>
        <v>0</v>
      </c>
      <c r="AE33" s="5">
        <f t="shared" si="21"/>
        <v>262.47000000000003</v>
      </c>
      <c r="AF33" s="80">
        <f>AE33-AE32</f>
        <v>0</v>
      </c>
      <c r="AG33" s="5">
        <f t="shared" si="23"/>
        <v>2247.41</v>
      </c>
      <c r="AH33" s="80">
        <f t="shared" si="24"/>
        <v>0</v>
      </c>
      <c r="AI33" s="80">
        <f t="shared" si="25"/>
        <v>0</v>
      </c>
      <c r="AJ33" s="278">
        <f t="shared" si="26"/>
        <v>0</v>
      </c>
      <c r="AK33" s="279">
        <f t="shared" si="36"/>
        <v>0</v>
      </c>
      <c r="AL33" s="279">
        <f t="shared" si="27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8"/>
        <v>44954</v>
      </c>
      <c r="AS33" s="363">
        <f t="shared" si="49"/>
        <v>0.9</v>
      </c>
      <c r="AT33" s="190">
        <f t="shared" si="49"/>
        <v>140</v>
      </c>
      <c r="AU33" s="364">
        <f t="shared" si="43"/>
        <v>1.1000000000000001</v>
      </c>
      <c r="AV33" s="190">
        <f t="shared" si="30"/>
        <v>100</v>
      </c>
      <c r="AW33" s="5">
        <v>2.9</v>
      </c>
      <c r="AX33" s="190">
        <f t="shared" si="31"/>
        <v>135</v>
      </c>
      <c r="AY33" s="365">
        <f t="shared" si="37"/>
        <v>126</v>
      </c>
      <c r="AZ33" s="365">
        <f t="shared" si="38"/>
        <v>110.00000000000001</v>
      </c>
      <c r="BA33" s="365">
        <f t="shared" si="39"/>
        <v>391.5</v>
      </c>
      <c r="BB33" s="20">
        <f t="shared" si="40"/>
        <v>0</v>
      </c>
      <c r="BC33" s="20">
        <f t="shared" si="50"/>
        <v>0</v>
      </c>
      <c r="BD33" s="20">
        <f t="shared" si="50"/>
        <v>0</v>
      </c>
      <c r="BE33" s="23">
        <f t="shared" si="33"/>
        <v>0</v>
      </c>
      <c r="BF33" s="79">
        <f t="shared" si="34"/>
        <v>0</v>
      </c>
      <c r="BG33" s="79">
        <f t="shared" si="4"/>
        <v>0</v>
      </c>
    </row>
    <row r="34" spans="1:59" ht="15.75" thickBot="1">
      <c r="A34" s="6">
        <f>ELEC!C32</f>
        <v>44955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44"/>
        <v>632599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0"/>
        <v>7089</v>
      </c>
      <c r="L34" s="240">
        <f t="shared" ref="L34:L36" si="56">K34-K33</f>
        <v>0</v>
      </c>
      <c r="M34" s="349">
        <f t="shared" si="11"/>
        <v>457.44</v>
      </c>
      <c r="N34" s="429">
        <f t="shared" ref="N34:N36" si="57">SUM(M34-M33)</f>
        <v>0</v>
      </c>
      <c r="O34" s="349">
        <f t="shared" si="12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v>5198</v>
      </c>
      <c r="U34" s="5">
        <f t="shared" ref="U34:U36" si="60">SUM(T34-T33)</f>
        <v>2</v>
      </c>
      <c r="V34" s="5">
        <f t="shared" si="14"/>
        <v>515</v>
      </c>
      <c r="W34" s="276">
        <f t="shared" ref="W34:W36" si="61">+V34-V33</f>
        <v>0</v>
      </c>
      <c r="X34" s="5">
        <f t="shared" si="16"/>
        <v>156588</v>
      </c>
      <c r="Y34" s="276">
        <f t="shared" ref="Y34:Y36" si="62">SUM(X34-X33)</f>
        <v>0</v>
      </c>
      <c r="Z34" s="5">
        <f t="shared" si="17"/>
        <v>99898</v>
      </c>
      <c r="AA34" s="80">
        <f t="shared" ref="AA34:AA36" si="63">Z34-Z33</f>
        <v>0</v>
      </c>
      <c r="AB34" s="5">
        <f t="shared" si="19"/>
        <v>242</v>
      </c>
      <c r="AC34" s="5">
        <f t="shared" si="20"/>
        <v>855</v>
      </c>
      <c r="AD34" s="80">
        <f t="shared" ref="AD34:AD36" si="64">AC34-AC33</f>
        <v>0</v>
      </c>
      <c r="AE34" s="5">
        <f t="shared" si="21"/>
        <v>262.47000000000003</v>
      </c>
      <c r="AF34" s="80">
        <f t="shared" ref="AF34:AF36" si="65">AE34-AE33</f>
        <v>0</v>
      </c>
      <c r="AG34" s="5">
        <f t="shared" si="23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 t="shared" si="36"/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44955</v>
      </c>
      <c r="AS34" s="363">
        <f t="shared" ref="AS34:AT34" si="71">AS33</f>
        <v>0.9</v>
      </c>
      <c r="AT34" s="190">
        <f t="shared" si="71"/>
        <v>140</v>
      </c>
      <c r="AU34" s="364">
        <f t="shared" si="43"/>
        <v>1.1000000000000001</v>
      </c>
      <c r="AV34" s="190">
        <f t="shared" si="30"/>
        <v>100</v>
      </c>
      <c r="AW34" s="5">
        <v>2.9</v>
      </c>
      <c r="AX34" s="190">
        <f t="shared" si="31"/>
        <v>135</v>
      </c>
      <c r="AY34" s="365">
        <f t="shared" ref="AY34:AY36" si="72">AS34*AT34</f>
        <v>126</v>
      </c>
      <c r="AZ34" s="365">
        <f t="shared" ref="AZ34:AZ36" si="73">AU34*AV34</f>
        <v>110.00000000000001</v>
      </c>
      <c r="BA34" s="365">
        <f t="shared" ref="BA34:BA36" si="74">AW34*AX34</f>
        <v>391.5</v>
      </c>
      <c r="BB34" s="20">
        <f t="shared" si="40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44956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44"/>
        <v>632599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0"/>
        <v>7089</v>
      </c>
      <c r="L35" s="240">
        <f t="shared" si="56"/>
        <v>0</v>
      </c>
      <c r="M35" s="349">
        <f t="shared" si="11"/>
        <v>457.44</v>
      </c>
      <c r="N35" s="429">
        <f t="shared" si="57"/>
        <v>0</v>
      </c>
      <c r="O35" s="349">
        <f t="shared" si="12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3"/>
        <v>5198</v>
      </c>
      <c r="U35" s="5">
        <f t="shared" si="60"/>
        <v>0</v>
      </c>
      <c r="V35" s="5">
        <f t="shared" si="14"/>
        <v>515</v>
      </c>
      <c r="W35" s="276">
        <f t="shared" si="61"/>
        <v>0</v>
      </c>
      <c r="X35" s="5">
        <f t="shared" si="16"/>
        <v>156588</v>
      </c>
      <c r="Y35" s="276">
        <f t="shared" si="62"/>
        <v>0</v>
      </c>
      <c r="Z35" s="5">
        <f t="shared" si="17"/>
        <v>99898</v>
      </c>
      <c r="AA35" s="80">
        <f t="shared" si="63"/>
        <v>0</v>
      </c>
      <c r="AB35" s="5">
        <f t="shared" si="19"/>
        <v>242</v>
      </c>
      <c r="AC35" s="5">
        <f t="shared" si="20"/>
        <v>855</v>
      </c>
      <c r="AD35" s="80">
        <f t="shared" si="64"/>
        <v>0</v>
      </c>
      <c r="AE35" s="5">
        <f t="shared" si="21"/>
        <v>262.47000000000003</v>
      </c>
      <c r="AF35" s="80">
        <f t="shared" si="65"/>
        <v>0</v>
      </c>
      <c r="AG35" s="5">
        <f t="shared" si="23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si="36"/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44956</v>
      </c>
      <c r="AS35" s="363">
        <f t="shared" ref="AS35:AT35" si="80">AS34</f>
        <v>0.9</v>
      </c>
      <c r="AT35" s="190">
        <f t="shared" si="80"/>
        <v>140</v>
      </c>
      <c r="AU35" s="364">
        <f t="shared" si="43"/>
        <v>1.1000000000000001</v>
      </c>
      <c r="AV35" s="190">
        <f t="shared" si="30"/>
        <v>100</v>
      </c>
      <c r="AW35" s="5">
        <v>2.9</v>
      </c>
      <c r="AX35" s="190">
        <f t="shared" si="31"/>
        <v>135</v>
      </c>
      <c r="AY35" s="365">
        <f t="shared" si="72"/>
        <v>126</v>
      </c>
      <c r="AZ35" s="365">
        <f t="shared" si="73"/>
        <v>110.00000000000001</v>
      </c>
      <c r="BA35" s="365">
        <f t="shared" si="74"/>
        <v>391.5</v>
      </c>
      <c r="BB35" s="20">
        <f t="shared" si="40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44957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44"/>
        <v>632599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0"/>
        <v>7089</v>
      </c>
      <c r="L36" s="240">
        <f t="shared" si="56"/>
        <v>0</v>
      </c>
      <c r="M36" s="349">
        <f t="shared" si="11"/>
        <v>457.44</v>
      </c>
      <c r="N36" s="429">
        <f t="shared" si="57"/>
        <v>0</v>
      </c>
      <c r="O36" s="349">
        <f t="shared" si="12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3"/>
        <v>5198</v>
      </c>
      <c r="U36" s="5">
        <f t="shared" si="60"/>
        <v>0</v>
      </c>
      <c r="V36" s="5">
        <f t="shared" si="14"/>
        <v>515</v>
      </c>
      <c r="W36" s="276">
        <f t="shared" si="61"/>
        <v>0</v>
      </c>
      <c r="X36" s="5">
        <f t="shared" si="16"/>
        <v>156588</v>
      </c>
      <c r="Y36" s="276">
        <f t="shared" si="62"/>
        <v>0</v>
      </c>
      <c r="Z36" s="5">
        <f t="shared" si="17"/>
        <v>99898</v>
      </c>
      <c r="AA36" s="80">
        <f t="shared" si="63"/>
        <v>0</v>
      </c>
      <c r="AB36" s="5">
        <f t="shared" si="19"/>
        <v>242</v>
      </c>
      <c r="AC36" s="5">
        <f t="shared" si="20"/>
        <v>855</v>
      </c>
      <c r="AD36" s="80">
        <f t="shared" si="64"/>
        <v>0</v>
      </c>
      <c r="AE36" s="5">
        <f t="shared" si="21"/>
        <v>262.47000000000003</v>
      </c>
      <c r="AF36" s="80">
        <f t="shared" si="65"/>
        <v>0</v>
      </c>
      <c r="AG36" s="5">
        <f t="shared" si="23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36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44957</v>
      </c>
      <c r="AS36" s="363">
        <f t="shared" ref="AS36:AT36" si="81">AS35</f>
        <v>0.9</v>
      </c>
      <c r="AT36" s="190">
        <f t="shared" si="81"/>
        <v>140</v>
      </c>
      <c r="AU36" s="364">
        <f t="shared" si="43"/>
        <v>1.1000000000000001</v>
      </c>
      <c r="AV36" s="190">
        <f t="shared" si="30"/>
        <v>100</v>
      </c>
      <c r="AW36" s="5">
        <v>2.9</v>
      </c>
      <c r="AX36" s="190">
        <f t="shared" si="31"/>
        <v>135</v>
      </c>
      <c r="AY36" s="365">
        <f t="shared" si="72"/>
        <v>126</v>
      </c>
      <c r="AZ36" s="365">
        <f t="shared" si="73"/>
        <v>110.00000000000001</v>
      </c>
      <c r="BA36" s="365">
        <f t="shared" si="74"/>
        <v>391.5</v>
      </c>
      <c r="BB36" s="20">
        <f t="shared" si="40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5</v>
      </c>
      <c r="I37" s="351">
        <f>SUM(I6:I36)</f>
        <v>5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0</v>
      </c>
      <c r="AK37" s="279">
        <f>SUM(Y37-L37)</f>
        <v>0</v>
      </c>
      <c r="AL37" s="274">
        <f>SUM(AL6:AL36)</f>
        <v>-3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5</v>
      </c>
      <c r="Z38" s="274">
        <f>SUM(Y37:AJ37)</f>
        <v>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5</v>
      </c>
      <c r="H39" s="1">
        <f>SUM(H38+C38)</f>
        <v>7500</v>
      </c>
      <c r="K39" s="1">
        <f>SUM(H39/G39)</f>
        <v>1500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0"/>
  <sheetViews>
    <sheetView zoomScale="60" zoomScaleNormal="60" workbookViewId="0">
      <pane ySplit="4" topLeftCell="A7" activePane="bottomLeft" state="frozen"/>
      <selection pane="bottomLeft" activeCell="F14" sqref="F14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4" t="s">
        <v>171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6"/>
    </row>
    <row r="2" spans="1:15" ht="15.75" customHeight="1" thickBot="1">
      <c r="A2" s="557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9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v>44926</v>
      </c>
      <c r="B5" s="36">
        <v>19</v>
      </c>
      <c r="C5" s="36">
        <v>13</v>
      </c>
      <c r="D5" s="25">
        <f t="shared" ref="D5:D10" si="0">(C5+B5)/2</f>
        <v>16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A5+1</f>
        <v>44927</v>
      </c>
      <c r="B6" s="36">
        <v>20</v>
      </c>
      <c r="C6" s="36">
        <v>14</v>
      </c>
      <c r="D6" s="25">
        <f t="shared" si="0"/>
        <v>17</v>
      </c>
      <c r="E6" s="193">
        <v>0.69</v>
      </c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44929</v>
      </c>
      <c r="B7" s="36">
        <v>20</v>
      </c>
      <c r="C7" s="36">
        <v>18</v>
      </c>
      <c r="D7" s="25">
        <f t="shared" si="0"/>
        <v>19</v>
      </c>
      <c r="E7" s="193">
        <v>0.69</v>
      </c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44930</v>
      </c>
      <c r="B8" s="36">
        <v>21</v>
      </c>
      <c r="C8" s="36">
        <v>13</v>
      </c>
      <c r="D8" s="25">
        <f>(C8+B8)/2</f>
        <v>17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44931</v>
      </c>
      <c r="B9" s="36">
        <v>20</v>
      </c>
      <c r="C9" s="36">
        <v>14</v>
      </c>
      <c r="D9" s="25">
        <f t="shared" si="0"/>
        <v>17</v>
      </c>
      <c r="E9" s="193">
        <v>0.64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44932</v>
      </c>
      <c r="B10" s="36"/>
      <c r="C10" s="36"/>
      <c r="D10" s="25">
        <f t="shared" si="0"/>
        <v>0</v>
      </c>
      <c r="E10" s="193"/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44933</v>
      </c>
      <c r="B11" s="36"/>
      <c r="C11" s="36"/>
      <c r="D11" s="25">
        <f>(C11+B11)/2</f>
        <v>0</v>
      </c>
      <c r="E11" s="193"/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44934</v>
      </c>
      <c r="B12" s="36">
        <v>18</v>
      </c>
      <c r="C12" s="36">
        <v>16</v>
      </c>
      <c r="D12" s="25">
        <f>(C12+B12)/2</f>
        <v>17</v>
      </c>
      <c r="E12" s="193">
        <v>0.62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44935</v>
      </c>
      <c r="B13" s="36">
        <v>19</v>
      </c>
      <c r="C13" s="36">
        <v>13</v>
      </c>
      <c r="D13" s="25">
        <f t="shared" ref="D12:D20" si="3">(C13+B13)/2</f>
        <v>16</v>
      </c>
      <c r="E13" s="193">
        <v>0.6</v>
      </c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44936</v>
      </c>
      <c r="B14" s="36">
        <v>18</v>
      </c>
      <c r="C14" s="36">
        <v>13</v>
      </c>
      <c r="D14" s="25">
        <f t="shared" si="3"/>
        <v>15.5</v>
      </c>
      <c r="E14" s="193">
        <v>0.6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44937</v>
      </c>
      <c r="B15" s="36"/>
      <c r="C15" s="36"/>
      <c r="D15" s="25">
        <f t="shared" si="3"/>
        <v>0</v>
      </c>
      <c r="E15" s="193"/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44938</v>
      </c>
      <c r="B16" s="36"/>
      <c r="C16" s="36"/>
      <c r="D16" s="25">
        <f t="shared" si="3"/>
        <v>0</v>
      </c>
      <c r="E16" s="522"/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44939</v>
      </c>
      <c r="B17" s="36"/>
      <c r="C17" s="36"/>
      <c r="D17" s="25">
        <f t="shared" si="3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44940</v>
      </c>
      <c r="B18" s="36"/>
      <c r="C18" s="36"/>
      <c r="D18" s="25">
        <f t="shared" si="3"/>
        <v>0</v>
      </c>
      <c r="E18" s="193"/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44941</v>
      </c>
      <c r="B19" s="36"/>
      <c r="C19" s="36"/>
      <c r="D19" s="25">
        <f t="shared" si="3"/>
        <v>0</v>
      </c>
      <c r="E19" s="193"/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44942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44943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44944</v>
      </c>
      <c r="B22" s="36"/>
      <c r="C22" s="36"/>
      <c r="D22" s="25">
        <f>(C22+B22)/2</f>
        <v>0</v>
      </c>
      <c r="E22" s="193"/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44945</v>
      </c>
      <c r="B23" s="36"/>
      <c r="C23" s="36"/>
      <c r="D23" s="25">
        <f t="shared" ref="D23:D35" si="6">(C23+B23)/2</f>
        <v>0</v>
      </c>
      <c r="E23" s="193"/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44946</v>
      </c>
      <c r="B24" s="36"/>
      <c r="C24" s="36"/>
      <c r="D24" s="25">
        <f t="shared" si="6"/>
        <v>0</v>
      </c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44947</v>
      </c>
      <c r="B25" s="36"/>
      <c r="C25" s="36"/>
      <c r="D25" s="25">
        <f t="shared" si="6"/>
        <v>0</v>
      </c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44948</v>
      </c>
      <c r="B26" s="36"/>
      <c r="C26" s="36"/>
      <c r="D26" s="25">
        <f t="shared" si="6"/>
        <v>0</v>
      </c>
      <c r="E26" s="193"/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44949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44950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44951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44952</v>
      </c>
      <c r="B30" s="36"/>
      <c r="C30" s="36"/>
      <c r="D30" s="25">
        <f t="shared" si="6"/>
        <v>0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44953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44954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44955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44956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44957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134.5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"/>
  <sheetViews>
    <sheetView tabSelected="1" zoomScale="60" zoomScaleNormal="60" workbookViewId="0">
      <pane ySplit="1" topLeftCell="A11" activePane="bottomLeft" state="frozen"/>
      <selection pane="bottomLeft" activeCell="C12" sqref="C12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v>44926</v>
      </c>
      <c r="B2" s="238">
        <v>1724</v>
      </c>
      <c r="C2" s="238">
        <v>0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v>146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44927</v>
      </c>
      <c r="B3" s="523">
        <v>1724</v>
      </c>
      <c r="C3" s="248">
        <f>B3-B2</f>
        <v>0</v>
      </c>
      <c r="D3" s="444">
        <f>D2+C3*250</f>
        <v>805681</v>
      </c>
      <c r="E3" s="248">
        <f>SUM(D3-D2)</f>
        <v>0</v>
      </c>
      <c r="F3" s="248">
        <f t="shared" ref="F3:F30" si="0">IF(C3&gt;0,E3/C3,0)</f>
        <v>0</v>
      </c>
      <c r="G3" s="238" t="e" vm="1">
        <f>[4]GEN!G32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146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[4]GEN!O32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[4]GEN!W32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0</v>
      </c>
      <c r="AA3" s="248">
        <f>U3+M3+E3</f>
        <v>0</v>
      </c>
      <c r="AB3" s="248">
        <f>V3+N3+F3</f>
        <v>500</v>
      </c>
      <c r="AC3" s="248">
        <f>IF(Z3&gt;0,AA3/Z3,0)</f>
        <v>0</v>
      </c>
      <c r="AD3" s="71">
        <f>ELEC!Q4</f>
        <v>0</v>
      </c>
      <c r="AE3" s="71" t="e">
        <f>SUM(AD3/Z3)</f>
        <v>#DIV/0!</v>
      </c>
      <c r="AF3" s="345" t="e">
        <f>SUM(AE3/1600)</f>
        <v>#DIV/0!</v>
      </c>
      <c r="AG3" s="346" t="e">
        <f>SUM(360*AF3)</f>
        <v>#DIV/0!</v>
      </c>
      <c r="AH3" s="346" t="e">
        <f>SUM(AC3-AG3)</f>
        <v>#DIV/0!</v>
      </c>
      <c r="AI3" s="71">
        <f>AD3*AJ3</f>
        <v>0</v>
      </c>
      <c r="AJ3" s="250">
        <f t="shared" ref="AJ3:AJ33" si="9">305/1185</f>
        <v>0.25738396624472576</v>
      </c>
      <c r="AK3" s="250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44928</v>
      </c>
      <c r="B4" s="523">
        <v>1724</v>
      </c>
      <c r="C4" s="248">
        <f t="shared" ref="C4:C19" si="11">B4-B3</f>
        <v>0</v>
      </c>
      <c r="D4" s="444">
        <f>D3+C4*85</f>
        <v>805681</v>
      </c>
      <c r="E4" s="248">
        <f t="shared" ref="E4:E33" si="12">SUM(D4-D3)</f>
        <v>0</v>
      </c>
      <c r="F4" s="248">
        <f t="shared" si="0"/>
        <v>0</v>
      </c>
      <c r="G4" s="185"/>
      <c r="H4" s="238">
        <f t="shared" ref="H4:H33" si="13">H3</f>
        <v>12231</v>
      </c>
      <c r="I4" s="248" t="str">
        <f t="shared" si="1"/>
        <v>ok</v>
      </c>
      <c r="J4" s="443">
        <f t="shared" ref="J4:J33" si="14">J3</f>
        <v>146</v>
      </c>
      <c r="K4" s="248">
        <f t="shared" si="2"/>
        <v>0</v>
      </c>
      <c r="L4" s="444">
        <f t="shared" ref="L4:L5" si="15">L3</f>
        <v>392191</v>
      </c>
      <c r="M4" s="248">
        <f t="shared" si="3"/>
        <v>0</v>
      </c>
      <c r="N4" s="248">
        <v>250</v>
      </c>
      <c r="O4" s="185"/>
      <c r="P4" s="249">
        <f t="shared" ref="P4:P33" si="16">P3</f>
        <v>10873</v>
      </c>
      <c r="Q4" s="248" t="str">
        <f t="shared" si="4"/>
        <v>ok</v>
      </c>
      <c r="R4" s="443">
        <f t="shared" ref="R4:R33" si="17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8">X3</f>
        <v>14773</v>
      </c>
      <c r="Y4" s="248" t="str">
        <f t="shared" ref="Y4:Y33" si="19">IF(R4-X4&lt;=0,"ok","oil change")</f>
        <v>ok</v>
      </c>
      <c r="Z4" s="248">
        <f t="shared" si="8"/>
        <v>0</v>
      </c>
      <c r="AA4" s="248">
        <f t="shared" ref="AA4:AA30" si="20">U4+M4+E4</f>
        <v>0</v>
      </c>
      <c r="AB4" s="248">
        <f t="shared" ref="AB4:AB30" si="21">V4+N4+F4</f>
        <v>500</v>
      </c>
      <c r="AC4" s="248">
        <f t="shared" ref="AC4:AC30" si="22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3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4">IF(Z4=0,0,1)</f>
        <v>0</v>
      </c>
    </row>
    <row r="5" spans="1:38" ht="15.75" thickBot="1">
      <c r="A5" s="4">
        <f>ELEC!C6</f>
        <v>44929</v>
      </c>
      <c r="B5" s="523">
        <v>1734</v>
      </c>
      <c r="C5" s="248">
        <f t="shared" si="11"/>
        <v>10</v>
      </c>
      <c r="D5" s="444">
        <f t="shared" ref="D5:D33" si="25">D4+C5*85</f>
        <v>806531</v>
      </c>
      <c r="E5" s="248">
        <f t="shared" si="12"/>
        <v>850</v>
      </c>
      <c r="F5" s="248">
        <f t="shared" si="0"/>
        <v>85</v>
      </c>
      <c r="G5" s="185"/>
      <c r="H5" s="238">
        <f t="shared" si="13"/>
        <v>12231</v>
      </c>
      <c r="I5" s="248" t="str">
        <f t="shared" si="1"/>
        <v>ok</v>
      </c>
      <c r="J5" s="443">
        <f t="shared" si="14"/>
        <v>146</v>
      </c>
      <c r="K5" s="248">
        <f t="shared" si="2"/>
        <v>0</v>
      </c>
      <c r="L5" s="444">
        <f t="shared" si="15"/>
        <v>392191</v>
      </c>
      <c r="M5" s="248">
        <f>SUM(L5-L4)</f>
        <v>0</v>
      </c>
      <c r="N5" s="248">
        <v>250</v>
      </c>
      <c r="O5" s="185"/>
      <c r="P5" s="249">
        <f t="shared" si="16"/>
        <v>10873</v>
      </c>
      <c r="Q5" s="248" t="str">
        <f t="shared" si="4"/>
        <v>ok</v>
      </c>
      <c r="R5" s="443">
        <f t="shared" si="17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8"/>
        <v>14773</v>
      </c>
      <c r="Y5" s="248" t="str">
        <f t="shared" si="19"/>
        <v>ok</v>
      </c>
      <c r="Z5" s="248">
        <f t="shared" si="8"/>
        <v>10</v>
      </c>
      <c r="AA5" s="248">
        <f t="shared" si="20"/>
        <v>850</v>
      </c>
      <c r="AB5" s="248">
        <f t="shared" si="21"/>
        <v>585</v>
      </c>
      <c r="AC5" s="248">
        <f t="shared" si="22"/>
        <v>85</v>
      </c>
      <c r="AD5" s="71">
        <f>ELEC!Q6</f>
        <v>3419.000000001688</v>
      </c>
      <c r="AE5" s="71">
        <f t="shared" ref="AE5:AE30" si="26">SUM(AD5/Z5)</f>
        <v>341.9000000001688</v>
      </c>
      <c r="AF5" s="345">
        <f t="shared" ref="AF5:AG30" si="27">SUM(AE5/1600)</f>
        <v>0.2136875000001055</v>
      </c>
      <c r="AG5" s="346">
        <f>SUM(320*AF5)</f>
        <v>68.38000000003376</v>
      </c>
      <c r="AH5" s="346">
        <f t="shared" si="23"/>
        <v>16.61999999996624</v>
      </c>
      <c r="AI5" s="71">
        <f t="shared" ref="AI5:AI30" si="28">AD5*AJ5</f>
        <v>879.99578059115186</v>
      </c>
      <c r="AJ5" s="250">
        <f t="shared" si="9"/>
        <v>0.25738396624472576</v>
      </c>
      <c r="AK5" s="250">
        <f t="shared" si="10"/>
        <v>87.99957805911518</v>
      </c>
      <c r="AL5">
        <f t="shared" si="24"/>
        <v>1</v>
      </c>
    </row>
    <row r="6" spans="1:38" ht="15.75" thickBot="1">
      <c r="A6" s="4">
        <f>ELEC!C7</f>
        <v>44930</v>
      </c>
      <c r="B6" s="523">
        <v>1751</v>
      </c>
      <c r="C6" s="248">
        <f>B6-B5</f>
        <v>17</v>
      </c>
      <c r="D6" s="444">
        <f t="shared" si="25"/>
        <v>807976</v>
      </c>
      <c r="E6" s="248">
        <f t="shared" si="12"/>
        <v>1445</v>
      </c>
      <c r="F6" s="248">
        <f t="shared" si="0"/>
        <v>85</v>
      </c>
      <c r="G6" s="185"/>
      <c r="H6" s="238">
        <f t="shared" si="13"/>
        <v>12231</v>
      </c>
      <c r="I6" s="248" t="str">
        <f t="shared" si="1"/>
        <v>ok</v>
      </c>
      <c r="J6" s="443">
        <f t="shared" si="14"/>
        <v>146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6"/>
        <v>10873</v>
      </c>
      <c r="Q6" s="248" t="str">
        <f t="shared" si="4"/>
        <v>ok</v>
      </c>
      <c r="R6" s="443">
        <f t="shared" si="17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8"/>
        <v>14773</v>
      </c>
      <c r="Y6" s="248" t="str">
        <f t="shared" si="19"/>
        <v>ok</v>
      </c>
      <c r="Z6" s="248">
        <f t="shared" si="8"/>
        <v>17</v>
      </c>
      <c r="AA6" s="248">
        <f t="shared" si="20"/>
        <v>1445</v>
      </c>
      <c r="AB6" s="248">
        <f t="shared" si="21"/>
        <v>585</v>
      </c>
      <c r="AC6" s="248">
        <f t="shared" si="22"/>
        <v>85</v>
      </c>
      <c r="AD6" s="71">
        <f>ELEC!Q7</f>
        <v>2737.0000000009895</v>
      </c>
      <c r="AE6" s="71">
        <f>SUM(AD6/Z6)</f>
        <v>161.00000000005821</v>
      </c>
      <c r="AF6" s="345">
        <f t="shared" si="27"/>
        <v>0.10062500000003638</v>
      </c>
      <c r="AG6" s="346">
        <f>SUM(320*AF6)</f>
        <v>32.200000000011642</v>
      </c>
      <c r="AH6" s="346">
        <f t="shared" si="23"/>
        <v>52.799999999988358</v>
      </c>
      <c r="AI6" s="71">
        <f t="shared" si="28"/>
        <v>704.45991561206904</v>
      </c>
      <c r="AJ6" s="250">
        <f t="shared" si="9"/>
        <v>0.25738396624472576</v>
      </c>
      <c r="AK6" s="250">
        <f t="shared" si="10"/>
        <v>41.438818565415829</v>
      </c>
      <c r="AL6">
        <f t="shared" si="24"/>
        <v>1</v>
      </c>
    </row>
    <row r="7" spans="1:38" ht="15.75" thickBot="1">
      <c r="A7" s="4">
        <f>ELEC!C8</f>
        <v>44931</v>
      </c>
      <c r="B7" s="523">
        <v>1761</v>
      </c>
      <c r="C7" s="248">
        <f t="shared" si="11"/>
        <v>10</v>
      </c>
      <c r="D7" s="444">
        <f t="shared" si="25"/>
        <v>808826</v>
      </c>
      <c r="E7" s="248">
        <f t="shared" si="12"/>
        <v>850</v>
      </c>
      <c r="F7" s="248">
        <f t="shared" si="0"/>
        <v>85</v>
      </c>
      <c r="G7" s="185"/>
      <c r="H7" s="238">
        <f t="shared" si="13"/>
        <v>12231</v>
      </c>
      <c r="I7" s="248" t="str">
        <f t="shared" si="1"/>
        <v>ok</v>
      </c>
      <c r="J7" s="443">
        <v>147</v>
      </c>
      <c r="K7" s="248"/>
      <c r="L7" s="444">
        <f t="shared" ref="L7:L33" si="29">(K7*N6)+L6</f>
        <v>392191</v>
      </c>
      <c r="M7" s="248">
        <f t="shared" si="3"/>
        <v>0</v>
      </c>
      <c r="N7" s="248">
        <v>250</v>
      </c>
      <c r="O7" s="185"/>
      <c r="P7" s="249">
        <f t="shared" si="16"/>
        <v>10873</v>
      </c>
      <c r="Q7" s="248" t="str">
        <f>IF(J7-P7&lt;=0,"ok","oil change")</f>
        <v>ok</v>
      </c>
      <c r="R7" s="443">
        <f t="shared" si="17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8"/>
        <v>14773</v>
      </c>
      <c r="Y7" s="248" t="str">
        <f>IF(R7-X7&lt;=0,"ok","oil change")</f>
        <v>ok</v>
      </c>
      <c r="Z7" s="248">
        <f t="shared" si="8"/>
        <v>10</v>
      </c>
      <c r="AA7" s="248">
        <f>U7+M7+E7</f>
        <v>850</v>
      </c>
      <c r="AB7" s="248">
        <f t="shared" si="21"/>
        <v>585</v>
      </c>
      <c r="AC7" s="248">
        <f t="shared" si="22"/>
        <v>85</v>
      </c>
      <c r="AD7" s="71">
        <f>ELEC!Q8</f>
        <v>2341.999999996915</v>
      </c>
      <c r="AE7" s="71">
        <f t="shared" si="26"/>
        <v>234.1999999996915</v>
      </c>
      <c r="AF7" s="345">
        <f t="shared" si="27"/>
        <v>0.14637499999980719</v>
      </c>
      <c r="AG7" s="345">
        <f t="shared" si="27"/>
        <v>9.148437499987949E-5</v>
      </c>
      <c r="AH7" s="346">
        <f t="shared" si="23"/>
        <v>84.999908515624995</v>
      </c>
      <c r="AI7" s="71">
        <f t="shared" si="28"/>
        <v>602.79324894435365</v>
      </c>
      <c r="AJ7" s="250">
        <f t="shared" si="9"/>
        <v>0.25738396624472576</v>
      </c>
      <c r="AK7" s="250">
        <f t="shared" si="10"/>
        <v>60.279324894435362</v>
      </c>
      <c r="AL7">
        <f t="shared" si="24"/>
        <v>1</v>
      </c>
    </row>
    <row r="8" spans="1:38" ht="15.75" thickBot="1">
      <c r="A8" s="4">
        <f>ELEC!C9</f>
        <v>44932</v>
      </c>
      <c r="B8" s="523">
        <f>B7</f>
        <v>1761</v>
      </c>
      <c r="C8" s="248">
        <f t="shared" si="11"/>
        <v>0</v>
      </c>
      <c r="D8" s="444">
        <f t="shared" si="25"/>
        <v>808826</v>
      </c>
      <c r="E8" s="248">
        <f t="shared" si="12"/>
        <v>0</v>
      </c>
      <c r="F8" s="248">
        <f t="shared" si="0"/>
        <v>0</v>
      </c>
      <c r="G8" s="185"/>
      <c r="H8" s="238">
        <f t="shared" si="13"/>
        <v>12231</v>
      </c>
      <c r="I8" s="248" t="str">
        <f>IF(B8-H8&lt;=0,"ok","oil change")</f>
        <v>ok</v>
      </c>
      <c r="J8" s="443">
        <f t="shared" si="14"/>
        <v>147</v>
      </c>
      <c r="K8" s="248">
        <f t="shared" si="2"/>
        <v>0</v>
      </c>
      <c r="L8" s="444">
        <f t="shared" si="29"/>
        <v>392191</v>
      </c>
      <c r="M8" s="248">
        <f t="shared" si="3"/>
        <v>0</v>
      </c>
      <c r="N8" s="248">
        <v>250</v>
      </c>
      <c r="O8" s="185"/>
      <c r="P8" s="249">
        <f t="shared" si="16"/>
        <v>10873</v>
      </c>
      <c r="Q8" s="248" t="str">
        <f t="shared" si="4"/>
        <v>ok</v>
      </c>
      <c r="R8" s="443">
        <f t="shared" si="17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8"/>
        <v>14773</v>
      </c>
      <c r="Y8" s="248" t="str">
        <f t="shared" si="19"/>
        <v>ok</v>
      </c>
      <c r="Z8" s="248">
        <f t="shared" si="8"/>
        <v>0</v>
      </c>
      <c r="AA8" s="248">
        <f t="shared" si="20"/>
        <v>0</v>
      </c>
      <c r="AB8" s="248">
        <f t="shared" si="21"/>
        <v>500</v>
      </c>
      <c r="AC8" s="248">
        <f t="shared" si="22"/>
        <v>0</v>
      </c>
      <c r="AD8" s="71">
        <f>ELEC!Q9</f>
        <v>0</v>
      </c>
      <c r="AE8" s="71" t="e">
        <f>SUM(AD8/Z8)</f>
        <v>#DIV/0!</v>
      </c>
      <c r="AF8" s="345" t="e">
        <f t="shared" si="27"/>
        <v>#DIV/0!</v>
      </c>
      <c r="AG8" s="345" t="e">
        <f t="shared" si="27"/>
        <v>#DIV/0!</v>
      </c>
      <c r="AH8" s="346" t="e">
        <f t="shared" si="23"/>
        <v>#DIV/0!</v>
      </c>
      <c r="AI8" s="71">
        <f t="shared" si="28"/>
        <v>0</v>
      </c>
      <c r="AJ8" s="250">
        <f t="shared" si="9"/>
        <v>0.25738396624472576</v>
      </c>
      <c r="AK8" s="250" t="e">
        <f t="shared" si="10"/>
        <v>#DIV/0!</v>
      </c>
      <c r="AL8">
        <f t="shared" si="24"/>
        <v>0</v>
      </c>
    </row>
    <row r="9" spans="1:38" ht="15.75" thickBot="1">
      <c r="A9" s="4">
        <f>ELEC!C10</f>
        <v>44933</v>
      </c>
      <c r="B9" s="523">
        <f t="shared" ref="B9:B33" si="30">B8</f>
        <v>1761</v>
      </c>
      <c r="C9" s="248">
        <f t="shared" si="11"/>
        <v>0</v>
      </c>
      <c r="D9" s="444">
        <f t="shared" si="25"/>
        <v>808826</v>
      </c>
      <c r="E9" s="248">
        <f t="shared" si="12"/>
        <v>0</v>
      </c>
      <c r="F9" s="248">
        <f t="shared" si="0"/>
        <v>0</v>
      </c>
      <c r="G9" s="185"/>
      <c r="H9" s="238">
        <f t="shared" si="13"/>
        <v>12231</v>
      </c>
      <c r="I9" s="248" t="str">
        <f t="shared" si="1"/>
        <v>ok</v>
      </c>
      <c r="J9" s="443">
        <f t="shared" si="14"/>
        <v>147</v>
      </c>
      <c r="K9" s="248">
        <f t="shared" si="2"/>
        <v>0</v>
      </c>
      <c r="L9" s="444">
        <f t="shared" si="29"/>
        <v>392191</v>
      </c>
      <c r="M9" s="248">
        <f t="shared" si="3"/>
        <v>0</v>
      </c>
      <c r="N9" s="248">
        <v>250</v>
      </c>
      <c r="O9" s="185"/>
      <c r="P9" s="249">
        <f t="shared" si="16"/>
        <v>10873</v>
      </c>
      <c r="Q9" s="248" t="str">
        <f t="shared" si="4"/>
        <v>ok</v>
      </c>
      <c r="R9" s="443">
        <f t="shared" si="17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8"/>
        <v>14773</v>
      </c>
      <c r="Y9" s="248" t="str">
        <f t="shared" si="19"/>
        <v>ok</v>
      </c>
      <c r="Z9" s="248">
        <f t="shared" si="8"/>
        <v>0</v>
      </c>
      <c r="AA9" s="248">
        <f t="shared" si="20"/>
        <v>0</v>
      </c>
      <c r="AB9" s="248">
        <f t="shared" si="21"/>
        <v>500</v>
      </c>
      <c r="AC9" s="248">
        <f t="shared" si="22"/>
        <v>0</v>
      </c>
      <c r="AD9" s="71">
        <f>ELEC!Q10</f>
        <v>0</v>
      </c>
      <c r="AE9" s="71" t="e">
        <f t="shared" si="26"/>
        <v>#DIV/0!</v>
      </c>
      <c r="AF9" s="345" t="e">
        <f t="shared" si="27"/>
        <v>#DIV/0!</v>
      </c>
      <c r="AG9" s="345" t="e">
        <f t="shared" si="27"/>
        <v>#DIV/0!</v>
      </c>
      <c r="AH9" s="346" t="e">
        <f t="shared" si="23"/>
        <v>#DIV/0!</v>
      </c>
      <c r="AI9" s="71">
        <f t="shared" si="28"/>
        <v>0</v>
      </c>
      <c r="AJ9" s="250">
        <f t="shared" si="9"/>
        <v>0.25738396624472576</v>
      </c>
      <c r="AK9" s="250" t="e">
        <f t="shared" si="10"/>
        <v>#DIV/0!</v>
      </c>
      <c r="AL9">
        <f t="shared" si="24"/>
        <v>0</v>
      </c>
    </row>
    <row r="10" spans="1:38" ht="15.75" thickBot="1">
      <c r="A10" s="4">
        <f>ELEC!C11</f>
        <v>44934</v>
      </c>
      <c r="B10" s="523">
        <v>1772</v>
      </c>
      <c r="C10" s="248">
        <f t="shared" si="11"/>
        <v>11</v>
      </c>
      <c r="D10" s="444">
        <f t="shared" si="25"/>
        <v>809761</v>
      </c>
      <c r="E10" s="248">
        <f>SUM(D10-D9)</f>
        <v>935</v>
      </c>
      <c r="F10" s="248">
        <f t="shared" si="0"/>
        <v>85</v>
      </c>
      <c r="G10" s="185"/>
      <c r="H10" s="238">
        <f t="shared" si="13"/>
        <v>12231</v>
      </c>
      <c r="I10" s="248" t="str">
        <f>IF(B10-H10&lt;=0,"ok","oil change")</f>
        <v>ok</v>
      </c>
      <c r="J10" s="443">
        <f>J9</f>
        <v>147</v>
      </c>
      <c r="K10" s="248">
        <f t="shared" si="2"/>
        <v>0</v>
      </c>
      <c r="L10" s="444">
        <f t="shared" si="29"/>
        <v>392191</v>
      </c>
      <c r="M10" s="248">
        <f t="shared" si="3"/>
        <v>0</v>
      </c>
      <c r="N10" s="248">
        <v>250</v>
      </c>
      <c r="O10" s="185"/>
      <c r="P10" s="249">
        <f t="shared" si="16"/>
        <v>10873</v>
      </c>
      <c r="Q10" s="248" t="str">
        <f t="shared" si="4"/>
        <v>ok</v>
      </c>
      <c r="R10" s="443">
        <f t="shared" si="17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8"/>
        <v>14773</v>
      </c>
      <c r="Y10" s="248" t="str">
        <f t="shared" si="19"/>
        <v>ok</v>
      </c>
      <c r="Z10" s="248">
        <f t="shared" si="8"/>
        <v>11</v>
      </c>
      <c r="AA10" s="248">
        <f t="shared" si="20"/>
        <v>935</v>
      </c>
      <c r="AB10" s="248">
        <f t="shared" si="21"/>
        <v>585</v>
      </c>
      <c r="AC10" s="248">
        <f t="shared" si="22"/>
        <v>85</v>
      </c>
      <c r="AD10" s="71">
        <f>ELEC!Q11</f>
        <v>2362.0000000009895</v>
      </c>
      <c r="AE10" s="71">
        <f t="shared" si="26"/>
        <v>214.72727272736267</v>
      </c>
      <c r="AF10" s="345">
        <f t="shared" si="27"/>
        <v>0.13420454545460167</v>
      </c>
      <c r="AG10" s="345">
        <f t="shared" si="27"/>
        <v>8.3877840909126047E-5</v>
      </c>
      <c r="AH10" s="346">
        <f t="shared" si="23"/>
        <v>84.999916122159092</v>
      </c>
      <c r="AI10" s="71">
        <f t="shared" si="28"/>
        <v>607.94092827029692</v>
      </c>
      <c r="AJ10" s="250">
        <f t="shared" si="9"/>
        <v>0.25738396624472576</v>
      </c>
      <c r="AK10" s="250">
        <f t="shared" si="10"/>
        <v>55.267357115481538</v>
      </c>
      <c r="AL10">
        <f t="shared" si="24"/>
        <v>1</v>
      </c>
    </row>
    <row r="11" spans="1:38" ht="15.75" thickBot="1">
      <c r="A11" s="4">
        <f>ELEC!C12</f>
        <v>44935</v>
      </c>
      <c r="B11" s="523">
        <v>1787</v>
      </c>
      <c r="C11" s="248">
        <f t="shared" si="11"/>
        <v>15</v>
      </c>
      <c r="D11" s="444">
        <f t="shared" si="25"/>
        <v>811036</v>
      </c>
      <c r="E11" s="248">
        <f t="shared" si="12"/>
        <v>1275</v>
      </c>
      <c r="F11" s="248">
        <f>IF(C11&gt;0,E11/C11,0)</f>
        <v>85</v>
      </c>
      <c r="G11" s="185"/>
      <c r="H11" s="238">
        <f t="shared" si="13"/>
        <v>12231</v>
      </c>
      <c r="I11" s="248" t="str">
        <f t="shared" si="1"/>
        <v>ok</v>
      </c>
      <c r="J11" s="443">
        <f t="shared" si="14"/>
        <v>147</v>
      </c>
      <c r="K11" s="248">
        <f t="shared" si="2"/>
        <v>0</v>
      </c>
      <c r="L11" s="444">
        <f t="shared" si="29"/>
        <v>392191</v>
      </c>
      <c r="M11" s="248">
        <f t="shared" si="3"/>
        <v>0</v>
      </c>
      <c r="N11" s="248">
        <v>250</v>
      </c>
      <c r="O11" s="185"/>
      <c r="P11" s="249">
        <f t="shared" si="16"/>
        <v>10873</v>
      </c>
      <c r="Q11" s="248" t="str">
        <f t="shared" si="4"/>
        <v>ok</v>
      </c>
      <c r="R11" s="443">
        <f t="shared" si="17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8"/>
        <v>14773</v>
      </c>
      <c r="Y11" s="248" t="str">
        <f t="shared" si="19"/>
        <v>ok</v>
      </c>
      <c r="Z11" s="248">
        <f t="shared" si="8"/>
        <v>15</v>
      </c>
      <c r="AA11" s="248">
        <f t="shared" si="20"/>
        <v>1275</v>
      </c>
      <c r="AB11" s="248">
        <f t="shared" si="21"/>
        <v>585</v>
      </c>
      <c r="AC11" s="248">
        <f t="shared" si="22"/>
        <v>85</v>
      </c>
      <c r="AD11" s="71">
        <f>ELEC!Q12</f>
        <v>3133.0000000016298</v>
      </c>
      <c r="AE11" s="71">
        <f t="shared" si="26"/>
        <v>208.86666666677533</v>
      </c>
      <c r="AF11" s="345">
        <f t="shared" si="27"/>
        <v>0.13054166666673458</v>
      </c>
      <c r="AG11" s="345">
        <f t="shared" si="27"/>
        <v>8.1588541666709118E-5</v>
      </c>
      <c r="AH11" s="346">
        <f t="shared" si="23"/>
        <v>84.999918411458339</v>
      </c>
      <c r="AI11" s="71">
        <f t="shared" si="28"/>
        <v>806.3839662451453</v>
      </c>
      <c r="AJ11" s="250">
        <f t="shared" si="9"/>
        <v>0.25738396624472576</v>
      </c>
      <c r="AK11" s="250">
        <f t="shared" si="10"/>
        <v>53.758931083009685</v>
      </c>
      <c r="AL11">
        <f t="shared" si="24"/>
        <v>1</v>
      </c>
    </row>
    <row r="12" spans="1:38" ht="15.75" thickBot="1">
      <c r="A12" s="4">
        <f>ELEC!C13</f>
        <v>44936</v>
      </c>
      <c r="B12" s="523">
        <v>1800</v>
      </c>
      <c r="C12" s="248">
        <f t="shared" si="11"/>
        <v>13</v>
      </c>
      <c r="D12" s="444">
        <f t="shared" si="25"/>
        <v>812141</v>
      </c>
      <c r="E12" s="248">
        <f t="shared" si="12"/>
        <v>1105</v>
      </c>
      <c r="F12" s="248">
        <f t="shared" si="0"/>
        <v>85</v>
      </c>
      <c r="G12" s="185"/>
      <c r="H12" s="238">
        <f t="shared" si="13"/>
        <v>12231</v>
      </c>
      <c r="I12" s="248" t="str">
        <f t="shared" si="1"/>
        <v>ok</v>
      </c>
      <c r="J12" s="443">
        <f t="shared" si="14"/>
        <v>147</v>
      </c>
      <c r="K12" s="248">
        <f t="shared" si="2"/>
        <v>0</v>
      </c>
      <c r="L12" s="444">
        <f t="shared" si="29"/>
        <v>392191</v>
      </c>
      <c r="M12" s="248">
        <f t="shared" si="3"/>
        <v>0</v>
      </c>
      <c r="N12" s="248">
        <v>250</v>
      </c>
      <c r="O12" s="185"/>
      <c r="P12" s="249">
        <f t="shared" si="16"/>
        <v>10873</v>
      </c>
      <c r="Q12" s="248" t="str">
        <f t="shared" si="4"/>
        <v>ok</v>
      </c>
      <c r="R12" s="443">
        <f t="shared" si="17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8"/>
        <v>14773</v>
      </c>
      <c r="Y12" s="248" t="str">
        <f t="shared" si="19"/>
        <v>ok</v>
      </c>
      <c r="Z12" s="248">
        <f t="shared" si="8"/>
        <v>13</v>
      </c>
      <c r="AA12" s="248">
        <f t="shared" si="20"/>
        <v>1105</v>
      </c>
      <c r="AB12" s="248">
        <f t="shared" si="21"/>
        <v>585</v>
      </c>
      <c r="AC12" s="248">
        <f t="shared" si="22"/>
        <v>85</v>
      </c>
      <c r="AD12" s="71">
        <f>ELEC!Q13</f>
        <v>2957.9999999987194</v>
      </c>
      <c r="AE12" s="71">
        <f t="shared" si="26"/>
        <v>227.53846153836304</v>
      </c>
      <c r="AF12" s="345">
        <f t="shared" si="27"/>
        <v>0.14221153846147691</v>
      </c>
      <c r="AG12" s="345">
        <f t="shared" si="27"/>
        <v>8.888221153842307E-5</v>
      </c>
      <c r="AH12" s="346">
        <f t="shared" si="23"/>
        <v>84.999911117788457</v>
      </c>
      <c r="AI12" s="71">
        <f t="shared" si="28"/>
        <v>761.34177215156922</v>
      </c>
      <c r="AJ12" s="250">
        <f t="shared" si="9"/>
        <v>0.25738396624472576</v>
      </c>
      <c r="AK12" s="250">
        <f t="shared" si="10"/>
        <v>58.564751703966863</v>
      </c>
      <c r="AL12">
        <f t="shared" si="24"/>
        <v>1</v>
      </c>
    </row>
    <row r="13" spans="1:38" ht="15.75" thickBot="1">
      <c r="A13" s="4">
        <f>ELEC!C14</f>
        <v>44937</v>
      </c>
      <c r="B13" s="523">
        <f t="shared" si="30"/>
        <v>1800</v>
      </c>
      <c r="C13" s="248">
        <f t="shared" si="11"/>
        <v>0</v>
      </c>
      <c r="D13" s="444">
        <f t="shared" si="25"/>
        <v>812141</v>
      </c>
      <c r="E13" s="248">
        <f t="shared" si="12"/>
        <v>0</v>
      </c>
      <c r="F13" s="248">
        <f t="shared" si="0"/>
        <v>0</v>
      </c>
      <c r="G13" s="185"/>
      <c r="H13" s="238">
        <f t="shared" si="13"/>
        <v>12231</v>
      </c>
      <c r="I13" s="248" t="str">
        <f t="shared" si="1"/>
        <v>ok</v>
      </c>
      <c r="J13" s="443">
        <f t="shared" si="14"/>
        <v>147</v>
      </c>
      <c r="K13" s="248">
        <f t="shared" si="2"/>
        <v>0</v>
      </c>
      <c r="L13" s="444">
        <f t="shared" si="29"/>
        <v>392191</v>
      </c>
      <c r="M13" s="248">
        <f t="shared" si="3"/>
        <v>0</v>
      </c>
      <c r="N13" s="248">
        <v>250</v>
      </c>
      <c r="O13" s="185"/>
      <c r="P13" s="249">
        <f t="shared" si="16"/>
        <v>10873</v>
      </c>
      <c r="Q13" s="248" t="str">
        <f t="shared" si="4"/>
        <v>ok</v>
      </c>
      <c r="R13" s="443">
        <f t="shared" si="17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8"/>
        <v>14773</v>
      </c>
      <c r="Y13" s="248" t="str">
        <f t="shared" si="19"/>
        <v>ok</v>
      </c>
      <c r="Z13" s="248">
        <f t="shared" si="8"/>
        <v>0</v>
      </c>
      <c r="AA13" s="248">
        <f t="shared" si="20"/>
        <v>0</v>
      </c>
      <c r="AB13" s="248">
        <f t="shared" si="21"/>
        <v>500</v>
      </c>
      <c r="AC13" s="248">
        <f t="shared" si="22"/>
        <v>0</v>
      </c>
      <c r="AD13" s="71">
        <f>ELEC!Q14</f>
        <v>0</v>
      </c>
      <c r="AE13" s="71" t="e">
        <f t="shared" si="26"/>
        <v>#DIV/0!</v>
      </c>
      <c r="AF13" s="345" t="e">
        <f t="shared" si="27"/>
        <v>#DIV/0!</v>
      </c>
      <c r="AG13" s="345" t="e">
        <f t="shared" si="27"/>
        <v>#DIV/0!</v>
      </c>
      <c r="AH13" s="346" t="e">
        <f t="shared" si="23"/>
        <v>#DIV/0!</v>
      </c>
      <c r="AI13" s="71">
        <f t="shared" si="28"/>
        <v>0</v>
      </c>
      <c r="AJ13" s="250">
        <f t="shared" si="9"/>
        <v>0.25738396624472576</v>
      </c>
      <c r="AK13" s="250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44938</v>
      </c>
      <c r="B14" s="523">
        <f t="shared" si="30"/>
        <v>1800</v>
      </c>
      <c r="C14" s="248">
        <f t="shared" si="11"/>
        <v>0</v>
      </c>
      <c r="D14" s="444">
        <f t="shared" si="25"/>
        <v>812141</v>
      </c>
      <c r="E14" s="248">
        <f t="shared" si="12"/>
        <v>0</v>
      </c>
      <c r="F14" s="248">
        <f t="shared" si="0"/>
        <v>0</v>
      </c>
      <c r="G14" s="185"/>
      <c r="H14" s="238">
        <f t="shared" si="13"/>
        <v>12231</v>
      </c>
      <c r="I14" s="248" t="str">
        <f t="shared" si="1"/>
        <v>ok</v>
      </c>
      <c r="J14" s="443">
        <f t="shared" si="14"/>
        <v>147</v>
      </c>
      <c r="K14" s="248">
        <f t="shared" si="2"/>
        <v>0</v>
      </c>
      <c r="L14" s="444">
        <f t="shared" si="29"/>
        <v>392191</v>
      </c>
      <c r="M14" s="248">
        <f t="shared" si="3"/>
        <v>0</v>
      </c>
      <c r="N14" s="248">
        <v>250</v>
      </c>
      <c r="O14" s="185"/>
      <c r="P14" s="249">
        <f t="shared" si="16"/>
        <v>10873</v>
      </c>
      <c r="Q14" s="248" t="str">
        <f t="shared" si="4"/>
        <v>ok</v>
      </c>
      <c r="R14" s="443">
        <f t="shared" si="17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8"/>
        <v>14773</v>
      </c>
      <c r="Y14" s="248" t="str">
        <f t="shared" si="19"/>
        <v>ok</v>
      </c>
      <c r="Z14" s="248">
        <f t="shared" si="8"/>
        <v>0</v>
      </c>
      <c r="AA14" s="248">
        <f t="shared" si="20"/>
        <v>0</v>
      </c>
      <c r="AB14" s="248">
        <f t="shared" si="21"/>
        <v>500</v>
      </c>
      <c r="AC14" s="248">
        <f t="shared" si="22"/>
        <v>0</v>
      </c>
      <c r="AD14" s="71">
        <f>ELEC!Q15</f>
        <v>0</v>
      </c>
      <c r="AE14" s="71" t="e">
        <f t="shared" si="26"/>
        <v>#DIV/0!</v>
      </c>
      <c r="AF14" s="345" t="e">
        <f t="shared" si="27"/>
        <v>#DIV/0!</v>
      </c>
      <c r="AG14" s="345" t="e">
        <f t="shared" si="27"/>
        <v>#DIV/0!</v>
      </c>
      <c r="AH14" s="346" t="e">
        <f t="shared" si="23"/>
        <v>#DIV/0!</v>
      </c>
      <c r="AI14" s="71">
        <f t="shared" si="28"/>
        <v>0</v>
      </c>
      <c r="AJ14" s="250">
        <f t="shared" si="9"/>
        <v>0.25738396624472576</v>
      </c>
      <c r="AK14" s="250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44939</v>
      </c>
      <c r="B15" s="523">
        <f t="shared" si="30"/>
        <v>1800</v>
      </c>
      <c r="C15" s="248">
        <f t="shared" si="11"/>
        <v>0</v>
      </c>
      <c r="D15" s="444">
        <f t="shared" si="25"/>
        <v>812141</v>
      </c>
      <c r="E15" s="248">
        <f t="shared" si="12"/>
        <v>0</v>
      </c>
      <c r="F15" s="248">
        <f t="shared" si="0"/>
        <v>0</v>
      </c>
      <c r="G15" s="185"/>
      <c r="H15" s="238">
        <f t="shared" si="13"/>
        <v>12231</v>
      </c>
      <c r="I15" s="248" t="str">
        <f t="shared" si="1"/>
        <v>ok</v>
      </c>
      <c r="J15" s="443">
        <f t="shared" si="14"/>
        <v>147</v>
      </c>
      <c r="K15" s="248">
        <f t="shared" si="2"/>
        <v>0</v>
      </c>
      <c r="L15" s="444">
        <f t="shared" si="29"/>
        <v>392191</v>
      </c>
      <c r="M15" s="248">
        <f t="shared" si="3"/>
        <v>0</v>
      </c>
      <c r="N15" s="248">
        <v>250</v>
      </c>
      <c r="O15" s="185"/>
      <c r="P15" s="249">
        <f t="shared" si="16"/>
        <v>10873</v>
      </c>
      <c r="Q15" s="248" t="str">
        <f t="shared" si="4"/>
        <v>ok</v>
      </c>
      <c r="R15" s="443">
        <f t="shared" si="17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8"/>
        <v>14773</v>
      </c>
      <c r="Y15" s="248" t="str">
        <f t="shared" si="19"/>
        <v>ok</v>
      </c>
      <c r="Z15" s="248">
        <f t="shared" si="8"/>
        <v>0</v>
      </c>
      <c r="AA15" s="248">
        <f t="shared" si="20"/>
        <v>0</v>
      </c>
      <c r="AB15" s="248">
        <f t="shared" si="21"/>
        <v>500</v>
      </c>
      <c r="AC15" s="248">
        <f t="shared" si="22"/>
        <v>0</v>
      </c>
      <c r="AD15" s="71">
        <f>ELEC!Q16</f>
        <v>0</v>
      </c>
      <c r="AE15" s="71" t="e">
        <f t="shared" si="26"/>
        <v>#DIV/0!</v>
      </c>
      <c r="AF15" s="345" t="e">
        <f t="shared" si="27"/>
        <v>#DIV/0!</v>
      </c>
      <c r="AG15" s="345" t="e">
        <f t="shared" si="27"/>
        <v>#DIV/0!</v>
      </c>
      <c r="AH15" s="346" t="e">
        <f t="shared" si="23"/>
        <v>#DIV/0!</v>
      </c>
      <c r="AI15" s="71">
        <f t="shared" si="28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44940</v>
      </c>
      <c r="B16" s="523">
        <f t="shared" si="30"/>
        <v>1800</v>
      </c>
      <c r="C16" s="248">
        <f t="shared" si="11"/>
        <v>0</v>
      </c>
      <c r="D16" s="444">
        <f t="shared" si="25"/>
        <v>812141</v>
      </c>
      <c r="E16" s="248">
        <f t="shared" si="12"/>
        <v>0</v>
      </c>
      <c r="F16" s="248">
        <f t="shared" si="0"/>
        <v>0</v>
      </c>
      <c r="G16" s="185"/>
      <c r="H16" s="238">
        <f t="shared" si="13"/>
        <v>12231</v>
      </c>
      <c r="I16" s="248" t="str">
        <f t="shared" si="1"/>
        <v>ok</v>
      </c>
      <c r="J16" s="443">
        <f t="shared" si="14"/>
        <v>147</v>
      </c>
      <c r="K16" s="248">
        <f t="shared" si="2"/>
        <v>0</v>
      </c>
      <c r="L16" s="444">
        <f t="shared" si="29"/>
        <v>392191</v>
      </c>
      <c r="M16" s="248">
        <f t="shared" si="3"/>
        <v>0</v>
      </c>
      <c r="N16" s="248">
        <v>250</v>
      </c>
      <c r="O16" s="185"/>
      <c r="P16" s="249">
        <f t="shared" si="16"/>
        <v>10873</v>
      </c>
      <c r="Q16" s="248" t="str">
        <f t="shared" si="4"/>
        <v>ok</v>
      </c>
      <c r="R16" s="443">
        <f t="shared" si="17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8"/>
        <v>14773</v>
      </c>
      <c r="Y16" s="248" t="str">
        <f t="shared" si="19"/>
        <v>ok</v>
      </c>
      <c r="Z16" s="248">
        <f t="shared" si="8"/>
        <v>0</v>
      </c>
      <c r="AA16" s="248">
        <f t="shared" si="20"/>
        <v>0</v>
      </c>
      <c r="AB16" s="248">
        <f t="shared" si="21"/>
        <v>500</v>
      </c>
      <c r="AC16" s="248">
        <f t="shared" si="22"/>
        <v>0</v>
      </c>
      <c r="AD16" s="71">
        <f>ELEC!Q17</f>
        <v>0</v>
      </c>
      <c r="AE16" s="71" t="e">
        <f t="shared" si="26"/>
        <v>#DIV/0!</v>
      </c>
      <c r="AF16" s="345" t="e">
        <f t="shared" si="27"/>
        <v>#DIV/0!</v>
      </c>
      <c r="AG16" s="345" t="e">
        <f t="shared" si="27"/>
        <v>#DIV/0!</v>
      </c>
      <c r="AH16" s="346" t="e">
        <f t="shared" si="23"/>
        <v>#DIV/0!</v>
      </c>
      <c r="AI16" s="71">
        <f t="shared" si="28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44941</v>
      </c>
      <c r="B17" s="523">
        <f t="shared" si="30"/>
        <v>1800</v>
      </c>
      <c r="C17" s="248">
        <f t="shared" si="11"/>
        <v>0</v>
      </c>
      <c r="D17" s="444">
        <f t="shared" si="25"/>
        <v>812141</v>
      </c>
      <c r="E17" s="248">
        <f t="shared" si="12"/>
        <v>0</v>
      </c>
      <c r="F17" s="248">
        <f t="shared" si="0"/>
        <v>0</v>
      </c>
      <c r="G17" s="185"/>
      <c r="H17" s="238">
        <f t="shared" si="13"/>
        <v>12231</v>
      </c>
      <c r="I17" s="248" t="str">
        <f t="shared" si="1"/>
        <v>ok</v>
      </c>
      <c r="J17" s="443">
        <f t="shared" si="14"/>
        <v>147</v>
      </c>
      <c r="K17" s="248">
        <f t="shared" si="2"/>
        <v>0</v>
      </c>
      <c r="L17" s="444">
        <f t="shared" si="29"/>
        <v>392191</v>
      </c>
      <c r="M17" s="248">
        <f t="shared" si="3"/>
        <v>0</v>
      </c>
      <c r="N17" s="248">
        <v>250</v>
      </c>
      <c r="O17" s="185"/>
      <c r="P17" s="249">
        <f t="shared" si="16"/>
        <v>10873</v>
      </c>
      <c r="Q17" s="248" t="str">
        <f t="shared" si="4"/>
        <v>ok</v>
      </c>
      <c r="R17" s="443">
        <f t="shared" si="17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8"/>
        <v>14773</v>
      </c>
      <c r="Y17" s="248" t="str">
        <f t="shared" si="19"/>
        <v>ok</v>
      </c>
      <c r="Z17" s="248">
        <f t="shared" si="8"/>
        <v>0</v>
      </c>
      <c r="AA17" s="248">
        <f t="shared" si="20"/>
        <v>0</v>
      </c>
      <c r="AB17" s="248">
        <f t="shared" si="21"/>
        <v>500</v>
      </c>
      <c r="AC17" s="248">
        <f t="shared" si="22"/>
        <v>0</v>
      </c>
      <c r="AD17" s="71">
        <f>ELEC!Q18</f>
        <v>0</v>
      </c>
      <c r="AE17" s="71" t="e">
        <f t="shared" si="26"/>
        <v>#DIV/0!</v>
      </c>
      <c r="AF17" s="345" t="e">
        <f t="shared" si="27"/>
        <v>#DIV/0!</v>
      </c>
      <c r="AG17" s="345" t="e">
        <f t="shared" si="27"/>
        <v>#DIV/0!</v>
      </c>
      <c r="AH17" s="346" t="e">
        <f t="shared" si="23"/>
        <v>#DIV/0!</v>
      </c>
      <c r="AI17" s="71">
        <f t="shared" si="28"/>
        <v>0</v>
      </c>
      <c r="AJ17" s="250">
        <f t="shared" si="9"/>
        <v>0.25738396624472576</v>
      </c>
      <c r="AK17" s="250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44942</v>
      </c>
      <c r="B18" s="523">
        <f t="shared" si="30"/>
        <v>1800</v>
      </c>
      <c r="C18" s="248">
        <f t="shared" si="11"/>
        <v>0</v>
      </c>
      <c r="D18" s="444">
        <f t="shared" si="25"/>
        <v>812141</v>
      </c>
      <c r="E18" s="248">
        <f t="shared" si="12"/>
        <v>0</v>
      </c>
      <c r="F18" s="248">
        <f t="shared" si="0"/>
        <v>0</v>
      </c>
      <c r="G18" s="185"/>
      <c r="H18" s="238">
        <f t="shared" si="13"/>
        <v>12231</v>
      </c>
      <c r="I18" s="248" t="str">
        <f t="shared" si="1"/>
        <v>ok</v>
      </c>
      <c r="J18" s="443">
        <f t="shared" si="14"/>
        <v>147</v>
      </c>
      <c r="K18" s="248">
        <f t="shared" si="2"/>
        <v>0</v>
      </c>
      <c r="L18" s="444">
        <f t="shared" si="29"/>
        <v>392191</v>
      </c>
      <c r="M18" s="248">
        <f t="shared" si="3"/>
        <v>0</v>
      </c>
      <c r="N18" s="248">
        <v>250</v>
      </c>
      <c r="O18" s="185"/>
      <c r="P18" s="249">
        <f t="shared" si="16"/>
        <v>10873</v>
      </c>
      <c r="Q18" s="248" t="str">
        <f>IF(J18-P14&lt;=0,"ok","oil change")</f>
        <v>ok</v>
      </c>
      <c r="R18" s="443">
        <f t="shared" si="17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8"/>
        <v>14773</v>
      </c>
      <c r="Y18" s="248" t="str">
        <f t="shared" si="19"/>
        <v>ok</v>
      </c>
      <c r="Z18" s="248">
        <f t="shared" si="8"/>
        <v>0</v>
      </c>
      <c r="AA18" s="248">
        <f t="shared" si="20"/>
        <v>0</v>
      </c>
      <c r="AB18" s="248">
        <f t="shared" si="21"/>
        <v>500</v>
      </c>
      <c r="AC18" s="248">
        <f t="shared" si="22"/>
        <v>0</v>
      </c>
      <c r="AD18" s="71">
        <f>ELEC!Q19</f>
        <v>0</v>
      </c>
      <c r="AE18" s="71" t="e">
        <f t="shared" si="26"/>
        <v>#DIV/0!</v>
      </c>
      <c r="AF18" s="345" t="e">
        <f t="shared" si="27"/>
        <v>#DIV/0!</v>
      </c>
      <c r="AG18" s="345" t="e">
        <f t="shared" si="27"/>
        <v>#DIV/0!</v>
      </c>
      <c r="AH18" s="346" t="e">
        <f t="shared" si="23"/>
        <v>#DIV/0!</v>
      </c>
      <c r="AI18" s="71">
        <f t="shared" si="28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44943</v>
      </c>
      <c r="B19" s="523">
        <f t="shared" si="30"/>
        <v>1800</v>
      </c>
      <c r="C19" s="248">
        <f t="shared" si="11"/>
        <v>0</v>
      </c>
      <c r="D19" s="444">
        <f t="shared" si="25"/>
        <v>812141</v>
      </c>
      <c r="E19" s="248">
        <f t="shared" si="12"/>
        <v>0</v>
      </c>
      <c r="F19" s="248">
        <f t="shared" si="0"/>
        <v>0</v>
      </c>
      <c r="G19" s="185"/>
      <c r="H19" s="238">
        <f t="shared" si="13"/>
        <v>12231</v>
      </c>
      <c r="I19" s="248" t="str">
        <f t="shared" si="1"/>
        <v>ok</v>
      </c>
      <c r="J19" s="443">
        <f t="shared" si="14"/>
        <v>147</v>
      </c>
      <c r="K19" s="248">
        <f t="shared" si="2"/>
        <v>0</v>
      </c>
      <c r="L19" s="444">
        <f t="shared" si="29"/>
        <v>392191</v>
      </c>
      <c r="M19" s="248">
        <f t="shared" si="3"/>
        <v>0</v>
      </c>
      <c r="N19" s="248">
        <v>250</v>
      </c>
      <c r="O19" s="185"/>
      <c r="P19" s="249">
        <f t="shared" si="16"/>
        <v>10873</v>
      </c>
      <c r="Q19" s="248" t="str">
        <f t="shared" ref="Q19:Q30" si="33">IF(J19-P19&lt;=0,"ok","oil change")</f>
        <v>ok</v>
      </c>
      <c r="R19" s="443">
        <f t="shared" si="17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8"/>
        <v>14773</v>
      </c>
      <c r="Y19" s="248" t="str">
        <f t="shared" si="19"/>
        <v>ok</v>
      </c>
      <c r="Z19" s="248">
        <f t="shared" si="8"/>
        <v>0</v>
      </c>
      <c r="AA19" s="248">
        <f t="shared" si="20"/>
        <v>0</v>
      </c>
      <c r="AB19" s="248">
        <f t="shared" si="21"/>
        <v>500</v>
      </c>
      <c r="AC19" s="248">
        <f t="shared" si="22"/>
        <v>0</v>
      </c>
      <c r="AD19" s="71">
        <f>ELEC!Q20</f>
        <v>0</v>
      </c>
      <c r="AE19" s="71" t="e">
        <f t="shared" si="26"/>
        <v>#DIV/0!</v>
      </c>
      <c r="AF19" s="345" t="e">
        <f t="shared" si="27"/>
        <v>#DIV/0!</v>
      </c>
      <c r="AG19" s="345" t="e">
        <f t="shared" si="27"/>
        <v>#DIV/0!</v>
      </c>
      <c r="AH19" s="346" t="e">
        <f t="shared" si="23"/>
        <v>#DIV/0!</v>
      </c>
      <c r="AI19" s="71">
        <f t="shared" si="28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44944</v>
      </c>
      <c r="B20" s="523">
        <f t="shared" si="30"/>
        <v>1800</v>
      </c>
      <c r="C20" s="248">
        <f>B20-B19</f>
        <v>0</v>
      </c>
      <c r="D20" s="444">
        <f t="shared" si="25"/>
        <v>812141</v>
      </c>
      <c r="E20" s="248">
        <f t="shared" si="12"/>
        <v>0</v>
      </c>
      <c r="F20" s="248">
        <f t="shared" si="0"/>
        <v>0</v>
      </c>
      <c r="G20" s="185"/>
      <c r="H20" s="238">
        <f t="shared" si="13"/>
        <v>12231</v>
      </c>
      <c r="I20" s="248" t="str">
        <f t="shared" si="1"/>
        <v>ok</v>
      </c>
      <c r="J20" s="443">
        <f t="shared" si="14"/>
        <v>147</v>
      </c>
      <c r="K20" s="248">
        <f t="shared" si="2"/>
        <v>0</v>
      </c>
      <c r="L20" s="444">
        <f t="shared" si="29"/>
        <v>392191</v>
      </c>
      <c r="M20" s="248">
        <f t="shared" si="3"/>
        <v>0</v>
      </c>
      <c r="N20" s="248">
        <v>250</v>
      </c>
      <c r="O20" s="185"/>
      <c r="P20" s="249">
        <f t="shared" si="16"/>
        <v>10873</v>
      </c>
      <c r="Q20" s="248" t="str">
        <f t="shared" si="33"/>
        <v>ok</v>
      </c>
      <c r="R20" s="443">
        <f t="shared" si="17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8"/>
        <v>14773</v>
      </c>
      <c r="Y20" s="248" t="str">
        <f t="shared" si="19"/>
        <v>ok</v>
      </c>
      <c r="Z20" s="248">
        <f t="shared" si="8"/>
        <v>0</v>
      </c>
      <c r="AA20" s="248">
        <f t="shared" si="20"/>
        <v>0</v>
      </c>
      <c r="AB20" s="248">
        <f t="shared" si="21"/>
        <v>500</v>
      </c>
      <c r="AC20" s="248">
        <f t="shared" si="22"/>
        <v>0</v>
      </c>
      <c r="AD20" s="71">
        <f>ELEC!Q21</f>
        <v>0</v>
      </c>
      <c r="AE20" s="71" t="e">
        <f t="shared" si="26"/>
        <v>#DIV/0!</v>
      </c>
      <c r="AF20" s="345" t="e">
        <f t="shared" si="27"/>
        <v>#DIV/0!</v>
      </c>
      <c r="AG20" s="345" t="e">
        <f t="shared" si="27"/>
        <v>#DIV/0!</v>
      </c>
      <c r="AH20" s="346" t="e">
        <f t="shared" si="23"/>
        <v>#DIV/0!</v>
      </c>
      <c r="AI20" s="71">
        <f>AD20*AJ20</f>
        <v>0</v>
      </c>
      <c r="AJ20" s="250">
        <f t="shared" si="9"/>
        <v>0.25738396624472576</v>
      </c>
      <c r="AK20" s="250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44945</v>
      </c>
      <c r="B21" s="523">
        <f t="shared" si="30"/>
        <v>1800</v>
      </c>
      <c r="C21" s="248">
        <f>B21-B20</f>
        <v>0</v>
      </c>
      <c r="D21" s="444">
        <f t="shared" si="25"/>
        <v>812141</v>
      </c>
      <c r="E21" s="248">
        <f t="shared" si="12"/>
        <v>0</v>
      </c>
      <c r="F21" s="248">
        <f t="shared" si="0"/>
        <v>0</v>
      </c>
      <c r="G21" s="185"/>
      <c r="H21" s="238">
        <f t="shared" si="13"/>
        <v>12231</v>
      </c>
      <c r="I21" s="248" t="str">
        <f t="shared" si="1"/>
        <v>ok</v>
      </c>
      <c r="J21" s="443">
        <f t="shared" si="14"/>
        <v>147</v>
      </c>
      <c r="K21" s="248">
        <f t="shared" si="2"/>
        <v>0</v>
      </c>
      <c r="L21" s="444">
        <f t="shared" si="29"/>
        <v>392191</v>
      </c>
      <c r="M21" s="248">
        <f t="shared" si="3"/>
        <v>0</v>
      </c>
      <c r="N21" s="248">
        <v>250</v>
      </c>
      <c r="O21" s="185"/>
      <c r="P21" s="249">
        <f t="shared" si="16"/>
        <v>10873</v>
      </c>
      <c r="Q21" s="248" t="str">
        <f t="shared" si="33"/>
        <v>ok</v>
      </c>
      <c r="R21" s="443">
        <f t="shared" si="17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8"/>
        <v>14773</v>
      </c>
      <c r="Y21" s="248" t="str">
        <f t="shared" si="19"/>
        <v>ok</v>
      </c>
      <c r="Z21" s="248">
        <f t="shared" si="8"/>
        <v>0</v>
      </c>
      <c r="AA21" s="248">
        <f t="shared" si="20"/>
        <v>0</v>
      </c>
      <c r="AB21" s="248">
        <f t="shared" si="21"/>
        <v>500</v>
      </c>
      <c r="AC21" s="248">
        <f t="shared" si="22"/>
        <v>0</v>
      </c>
      <c r="AD21" s="71">
        <f>ELEC!Q22</f>
        <v>0</v>
      </c>
      <c r="AE21" s="71" t="e">
        <f t="shared" si="26"/>
        <v>#DIV/0!</v>
      </c>
      <c r="AF21" s="345" t="e">
        <f t="shared" si="27"/>
        <v>#DIV/0!</v>
      </c>
      <c r="AG21" s="345" t="e">
        <f t="shared" si="27"/>
        <v>#DIV/0!</v>
      </c>
      <c r="AH21" s="346" t="e">
        <f t="shared" si="23"/>
        <v>#DIV/0!</v>
      </c>
      <c r="AI21" s="71">
        <f t="shared" si="28"/>
        <v>0</v>
      </c>
      <c r="AJ21" s="250">
        <f t="shared" si="9"/>
        <v>0.25738396624472576</v>
      </c>
      <c r="AK21" s="250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44946</v>
      </c>
      <c r="B22" s="523">
        <f t="shared" si="30"/>
        <v>1800</v>
      </c>
      <c r="C22" s="248">
        <f t="shared" ref="C22:C33" si="34">B22-B21</f>
        <v>0</v>
      </c>
      <c r="D22" s="444">
        <f t="shared" si="25"/>
        <v>812141</v>
      </c>
      <c r="E22" s="248">
        <f t="shared" si="12"/>
        <v>0</v>
      </c>
      <c r="F22" s="248">
        <f t="shared" si="0"/>
        <v>0</v>
      </c>
      <c r="G22" s="185"/>
      <c r="H22" s="238">
        <f t="shared" si="13"/>
        <v>12231</v>
      </c>
      <c r="I22" s="248" t="str">
        <f t="shared" si="1"/>
        <v>ok</v>
      </c>
      <c r="J22" s="443">
        <f t="shared" si="14"/>
        <v>147</v>
      </c>
      <c r="K22" s="248">
        <f t="shared" si="2"/>
        <v>0</v>
      </c>
      <c r="L22" s="444">
        <f t="shared" si="29"/>
        <v>392191</v>
      </c>
      <c r="M22" s="248">
        <f t="shared" si="3"/>
        <v>0</v>
      </c>
      <c r="N22" s="248">
        <v>250</v>
      </c>
      <c r="O22" s="185"/>
      <c r="P22" s="249">
        <f t="shared" si="16"/>
        <v>10873</v>
      </c>
      <c r="Q22" s="248" t="str">
        <f t="shared" si="33"/>
        <v>ok</v>
      </c>
      <c r="R22" s="443">
        <f t="shared" si="17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8"/>
        <v>14773</v>
      </c>
      <c r="Y22" s="248" t="str">
        <f t="shared" si="19"/>
        <v>ok</v>
      </c>
      <c r="Z22" s="248">
        <f t="shared" si="8"/>
        <v>0</v>
      </c>
      <c r="AA22" s="248">
        <f t="shared" si="20"/>
        <v>0</v>
      </c>
      <c r="AB22" s="248">
        <f t="shared" si="21"/>
        <v>500</v>
      </c>
      <c r="AC22" s="248">
        <f t="shared" si="22"/>
        <v>0</v>
      </c>
      <c r="AD22" s="71">
        <f>ELEC!Q23</f>
        <v>0</v>
      </c>
      <c r="AE22" s="71" t="e">
        <f t="shared" si="26"/>
        <v>#DIV/0!</v>
      </c>
      <c r="AF22" s="345" t="e">
        <f t="shared" si="27"/>
        <v>#DIV/0!</v>
      </c>
      <c r="AG22" s="345" t="e">
        <f t="shared" si="27"/>
        <v>#DIV/0!</v>
      </c>
      <c r="AH22" s="346" t="e">
        <f t="shared" si="23"/>
        <v>#DIV/0!</v>
      </c>
      <c r="AI22" s="71">
        <f t="shared" si="28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44947</v>
      </c>
      <c r="B23" s="523">
        <f t="shared" si="30"/>
        <v>1800</v>
      </c>
      <c r="C23" s="248">
        <f t="shared" si="34"/>
        <v>0</v>
      </c>
      <c r="D23" s="444">
        <f>D22+C23*85</f>
        <v>812141</v>
      </c>
      <c r="E23" s="248">
        <f t="shared" si="12"/>
        <v>0</v>
      </c>
      <c r="F23" s="248">
        <f t="shared" si="0"/>
        <v>0</v>
      </c>
      <c r="G23" s="185"/>
      <c r="H23" s="238">
        <f t="shared" si="13"/>
        <v>12231</v>
      </c>
      <c r="I23" s="248" t="str">
        <f t="shared" si="1"/>
        <v>ok</v>
      </c>
      <c r="J23" s="443">
        <f t="shared" si="14"/>
        <v>147</v>
      </c>
      <c r="K23" s="248">
        <f t="shared" si="2"/>
        <v>0</v>
      </c>
      <c r="L23" s="444">
        <f t="shared" si="29"/>
        <v>392191</v>
      </c>
      <c r="M23" s="248">
        <f t="shared" si="3"/>
        <v>0</v>
      </c>
      <c r="N23" s="248">
        <v>250</v>
      </c>
      <c r="O23" s="185"/>
      <c r="P23" s="249">
        <f t="shared" si="16"/>
        <v>10873</v>
      </c>
      <c r="Q23" s="248" t="str">
        <f t="shared" si="33"/>
        <v>ok</v>
      </c>
      <c r="R23" s="443">
        <f t="shared" si="17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8"/>
        <v>14773</v>
      </c>
      <c r="Y23" s="248" t="str">
        <f t="shared" si="19"/>
        <v>ok</v>
      </c>
      <c r="Z23" s="248">
        <f t="shared" si="8"/>
        <v>0</v>
      </c>
      <c r="AA23" s="248">
        <f t="shared" si="20"/>
        <v>0</v>
      </c>
      <c r="AB23" s="248">
        <f t="shared" si="21"/>
        <v>500</v>
      </c>
      <c r="AC23" s="248">
        <f t="shared" si="22"/>
        <v>0</v>
      </c>
      <c r="AD23" s="71">
        <f>ELEC!Q24</f>
        <v>0</v>
      </c>
      <c r="AE23" s="71" t="e">
        <f t="shared" si="26"/>
        <v>#DIV/0!</v>
      </c>
      <c r="AF23" s="345" t="e">
        <f t="shared" si="27"/>
        <v>#DIV/0!</v>
      </c>
      <c r="AG23" s="345" t="e">
        <f t="shared" si="27"/>
        <v>#DIV/0!</v>
      </c>
      <c r="AH23" s="346" t="e">
        <f t="shared" si="23"/>
        <v>#DIV/0!</v>
      </c>
      <c r="AI23" s="71">
        <f t="shared" si="28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44948</v>
      </c>
      <c r="B24" s="523">
        <f t="shared" si="30"/>
        <v>1800</v>
      </c>
      <c r="C24" s="248">
        <f t="shared" si="34"/>
        <v>0</v>
      </c>
      <c r="D24" s="444">
        <f t="shared" si="25"/>
        <v>812141</v>
      </c>
      <c r="E24" s="248">
        <f>SUM(D24-D23)</f>
        <v>0</v>
      </c>
      <c r="F24" s="248">
        <f t="shared" si="0"/>
        <v>0</v>
      </c>
      <c r="G24" s="185"/>
      <c r="H24" s="238">
        <f t="shared" si="13"/>
        <v>12231</v>
      </c>
      <c r="I24" s="248" t="str">
        <f t="shared" si="1"/>
        <v>ok</v>
      </c>
      <c r="J24" s="443">
        <f t="shared" si="14"/>
        <v>147</v>
      </c>
      <c r="K24" s="248">
        <f t="shared" si="2"/>
        <v>0</v>
      </c>
      <c r="L24" s="444">
        <f t="shared" si="29"/>
        <v>392191</v>
      </c>
      <c r="M24" s="248">
        <f t="shared" si="3"/>
        <v>0</v>
      </c>
      <c r="N24" s="248">
        <v>250</v>
      </c>
      <c r="O24" s="185"/>
      <c r="P24" s="249">
        <f t="shared" si="16"/>
        <v>10873</v>
      </c>
      <c r="Q24" s="248" t="str">
        <f t="shared" si="33"/>
        <v>ok</v>
      </c>
      <c r="R24" s="443">
        <f t="shared" si="17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8"/>
        <v>14773</v>
      </c>
      <c r="Y24" s="248" t="str">
        <f t="shared" si="19"/>
        <v>ok</v>
      </c>
      <c r="Z24" s="248">
        <f t="shared" si="8"/>
        <v>0</v>
      </c>
      <c r="AA24" s="248">
        <f t="shared" si="20"/>
        <v>0</v>
      </c>
      <c r="AB24" s="248">
        <f t="shared" si="21"/>
        <v>500</v>
      </c>
      <c r="AC24" s="248">
        <f t="shared" si="22"/>
        <v>0</v>
      </c>
      <c r="AD24" s="71">
        <f>ELEC!Q25</f>
        <v>0</v>
      </c>
      <c r="AE24" s="71" t="e">
        <f t="shared" si="26"/>
        <v>#DIV/0!</v>
      </c>
      <c r="AF24" s="345" t="e">
        <f t="shared" si="27"/>
        <v>#DIV/0!</v>
      </c>
      <c r="AG24" s="345" t="e">
        <f t="shared" si="27"/>
        <v>#DIV/0!</v>
      </c>
      <c r="AH24" s="346" t="e">
        <f t="shared" si="23"/>
        <v>#DIV/0!</v>
      </c>
      <c r="AI24" s="71">
        <f t="shared" si="28"/>
        <v>0</v>
      </c>
      <c r="AJ24" s="250">
        <f t="shared" si="9"/>
        <v>0.25738396624472576</v>
      </c>
      <c r="AK24" s="250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44949</v>
      </c>
      <c r="B25" s="523">
        <f t="shared" si="30"/>
        <v>1800</v>
      </c>
      <c r="C25" s="248">
        <f t="shared" si="34"/>
        <v>0</v>
      </c>
      <c r="D25" s="444">
        <f t="shared" si="25"/>
        <v>812141</v>
      </c>
      <c r="E25" s="248">
        <f>SUM(D25-D24)</f>
        <v>0</v>
      </c>
      <c r="F25" s="248">
        <f t="shared" si="0"/>
        <v>0</v>
      </c>
      <c r="G25" s="185"/>
      <c r="H25" s="238">
        <f t="shared" si="13"/>
        <v>12231</v>
      </c>
      <c r="I25" s="248" t="str">
        <f t="shared" si="1"/>
        <v>ok</v>
      </c>
      <c r="J25" s="443">
        <f t="shared" si="14"/>
        <v>147</v>
      </c>
      <c r="K25" s="248">
        <f t="shared" si="2"/>
        <v>0</v>
      </c>
      <c r="L25" s="444">
        <f t="shared" si="29"/>
        <v>392191</v>
      </c>
      <c r="M25" s="248">
        <f t="shared" si="3"/>
        <v>0</v>
      </c>
      <c r="N25" s="248">
        <v>250</v>
      </c>
      <c r="O25" s="185"/>
      <c r="P25" s="249">
        <f t="shared" si="16"/>
        <v>10873</v>
      </c>
      <c r="Q25" s="248" t="str">
        <f t="shared" si="33"/>
        <v>ok</v>
      </c>
      <c r="R25" s="443">
        <f t="shared" si="17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8"/>
        <v>14773</v>
      </c>
      <c r="Y25" s="248" t="str">
        <f t="shared" si="19"/>
        <v>ok</v>
      </c>
      <c r="Z25" s="248">
        <f t="shared" si="8"/>
        <v>0</v>
      </c>
      <c r="AA25" s="248">
        <f t="shared" si="20"/>
        <v>0</v>
      </c>
      <c r="AB25" s="248">
        <f t="shared" si="21"/>
        <v>500</v>
      </c>
      <c r="AC25" s="248">
        <f t="shared" si="22"/>
        <v>0</v>
      </c>
      <c r="AD25" s="71">
        <f>ELEC!Q26</f>
        <v>0</v>
      </c>
      <c r="AE25" s="71" t="e">
        <f t="shared" si="26"/>
        <v>#DIV/0!</v>
      </c>
      <c r="AF25" s="345" t="e">
        <f t="shared" si="27"/>
        <v>#DIV/0!</v>
      </c>
      <c r="AG25" s="345" t="e">
        <f t="shared" si="27"/>
        <v>#DIV/0!</v>
      </c>
      <c r="AH25" s="346" t="e">
        <f t="shared" si="23"/>
        <v>#DIV/0!</v>
      </c>
      <c r="AI25" s="71">
        <f t="shared" si="28"/>
        <v>0</v>
      </c>
      <c r="AJ25" s="250">
        <f t="shared" si="9"/>
        <v>0.25738396624472576</v>
      </c>
      <c r="AK25" s="250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44950</v>
      </c>
      <c r="B26" s="523">
        <f t="shared" si="30"/>
        <v>1800</v>
      </c>
      <c r="C26" s="248">
        <f t="shared" si="34"/>
        <v>0</v>
      </c>
      <c r="D26" s="444">
        <f t="shared" si="25"/>
        <v>812141</v>
      </c>
      <c r="E26" s="248">
        <f>SUM(D26-D25)</f>
        <v>0</v>
      </c>
      <c r="F26" s="248">
        <f>IF(C25&gt;0,E26/C25,0)</f>
        <v>0</v>
      </c>
      <c r="G26" s="185"/>
      <c r="H26" s="238">
        <f t="shared" si="13"/>
        <v>12231</v>
      </c>
      <c r="I26" s="248" t="str">
        <f t="shared" si="1"/>
        <v>ok</v>
      </c>
      <c r="J26" s="443">
        <f t="shared" si="14"/>
        <v>147</v>
      </c>
      <c r="K26" s="248">
        <f t="shared" si="2"/>
        <v>0</v>
      </c>
      <c r="L26" s="444">
        <f t="shared" si="29"/>
        <v>392191</v>
      </c>
      <c r="M26" s="248">
        <f t="shared" si="3"/>
        <v>0</v>
      </c>
      <c r="N26" s="248">
        <v>250</v>
      </c>
      <c r="O26" s="185"/>
      <c r="P26" s="249">
        <f t="shared" si="16"/>
        <v>10873</v>
      </c>
      <c r="Q26" s="248" t="str">
        <f t="shared" si="33"/>
        <v>ok</v>
      </c>
      <c r="R26" s="443">
        <f t="shared" si="17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8"/>
        <v>14773</v>
      </c>
      <c r="Y26" s="248" t="str">
        <f t="shared" si="19"/>
        <v>ok</v>
      </c>
      <c r="Z26" s="248">
        <f t="shared" si="8"/>
        <v>0</v>
      </c>
      <c r="AA26" s="248">
        <f t="shared" si="20"/>
        <v>0</v>
      </c>
      <c r="AB26" s="248">
        <f t="shared" si="21"/>
        <v>500</v>
      </c>
      <c r="AC26" s="248">
        <f t="shared" si="22"/>
        <v>0</v>
      </c>
      <c r="AD26" s="71">
        <f>ELEC!Q27</f>
        <v>0</v>
      </c>
      <c r="AE26" s="71" t="e">
        <f t="shared" si="26"/>
        <v>#DIV/0!</v>
      </c>
      <c r="AF26" s="345" t="e">
        <f t="shared" si="27"/>
        <v>#DIV/0!</v>
      </c>
      <c r="AG26" s="345" t="e">
        <f t="shared" si="27"/>
        <v>#DIV/0!</v>
      </c>
      <c r="AH26" s="346" t="e">
        <f t="shared" si="23"/>
        <v>#DIV/0!</v>
      </c>
      <c r="AI26" s="71">
        <f t="shared" si="28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44951</v>
      </c>
      <c r="B27" s="523">
        <f t="shared" si="30"/>
        <v>1800</v>
      </c>
      <c r="C27" s="248">
        <f t="shared" si="34"/>
        <v>0</v>
      </c>
      <c r="D27" s="444">
        <f t="shared" si="25"/>
        <v>812141</v>
      </c>
      <c r="E27" s="248">
        <f>SUM(D27-D26)</f>
        <v>0</v>
      </c>
      <c r="F27" s="248">
        <f>IF(C26&gt;0,E27/C26,0)</f>
        <v>0</v>
      </c>
      <c r="G27" s="185"/>
      <c r="H27" s="238">
        <f t="shared" si="13"/>
        <v>12231</v>
      </c>
      <c r="I27" s="248" t="str">
        <f>IF(B26-H27&lt;=0,"ok","oil change")</f>
        <v>ok</v>
      </c>
      <c r="J27" s="443">
        <f t="shared" si="14"/>
        <v>147</v>
      </c>
      <c r="K27" s="248">
        <f t="shared" si="2"/>
        <v>0</v>
      </c>
      <c r="L27" s="444">
        <f t="shared" si="29"/>
        <v>392191</v>
      </c>
      <c r="M27" s="248">
        <f t="shared" si="3"/>
        <v>0</v>
      </c>
      <c r="N27" s="248">
        <v>250</v>
      </c>
      <c r="O27" s="185"/>
      <c r="P27" s="249">
        <f t="shared" si="16"/>
        <v>10873</v>
      </c>
      <c r="Q27" s="248" t="str">
        <f t="shared" si="33"/>
        <v>ok</v>
      </c>
      <c r="R27" s="443">
        <f t="shared" si="17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8"/>
        <v>14773</v>
      </c>
      <c r="Y27" s="248" t="str">
        <f t="shared" si="19"/>
        <v>ok</v>
      </c>
      <c r="Z27" s="248">
        <f t="shared" si="8"/>
        <v>0</v>
      </c>
      <c r="AA27" s="248">
        <f t="shared" si="20"/>
        <v>0</v>
      </c>
      <c r="AB27" s="248">
        <f t="shared" si="21"/>
        <v>500</v>
      </c>
      <c r="AC27" s="248">
        <f t="shared" si="22"/>
        <v>0</v>
      </c>
      <c r="AD27" s="71">
        <f>ELEC!Q28</f>
        <v>0</v>
      </c>
      <c r="AE27" s="71" t="e">
        <f t="shared" si="26"/>
        <v>#DIV/0!</v>
      </c>
      <c r="AF27" s="345" t="e">
        <f t="shared" si="27"/>
        <v>#DIV/0!</v>
      </c>
      <c r="AG27" s="345" t="e">
        <f t="shared" si="27"/>
        <v>#DIV/0!</v>
      </c>
      <c r="AH27" s="346" t="e">
        <f t="shared" si="23"/>
        <v>#DIV/0!</v>
      </c>
      <c r="AI27" s="71">
        <f t="shared" si="28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44952</v>
      </c>
      <c r="B28" s="523">
        <f t="shared" si="30"/>
        <v>1800</v>
      </c>
      <c r="C28" s="248">
        <f t="shared" si="34"/>
        <v>0</v>
      </c>
      <c r="D28" s="444">
        <f t="shared" si="25"/>
        <v>812141</v>
      </c>
      <c r="E28" s="248">
        <f t="shared" si="12"/>
        <v>0</v>
      </c>
      <c r="F28" s="248">
        <f t="shared" si="0"/>
        <v>0</v>
      </c>
      <c r="G28" s="185"/>
      <c r="H28" s="238">
        <f t="shared" si="13"/>
        <v>12231</v>
      </c>
      <c r="I28" s="248" t="str">
        <f t="shared" si="1"/>
        <v>ok</v>
      </c>
      <c r="J28" s="443">
        <f t="shared" si="14"/>
        <v>147</v>
      </c>
      <c r="K28" s="248">
        <f t="shared" si="2"/>
        <v>0</v>
      </c>
      <c r="L28" s="444">
        <f t="shared" si="29"/>
        <v>392191</v>
      </c>
      <c r="M28" s="248">
        <f t="shared" si="3"/>
        <v>0</v>
      </c>
      <c r="N28" s="248">
        <v>250</v>
      </c>
      <c r="O28" s="185"/>
      <c r="P28" s="249">
        <f t="shared" si="16"/>
        <v>10873</v>
      </c>
      <c r="Q28" s="248" t="str">
        <f t="shared" si="33"/>
        <v>ok</v>
      </c>
      <c r="R28" s="443">
        <f t="shared" si="17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8"/>
        <v>14773</v>
      </c>
      <c r="Y28" s="248" t="str">
        <f t="shared" si="19"/>
        <v>ok</v>
      </c>
      <c r="Z28" s="248">
        <f t="shared" si="8"/>
        <v>0</v>
      </c>
      <c r="AA28" s="248">
        <f t="shared" si="20"/>
        <v>0</v>
      </c>
      <c r="AB28" s="248">
        <f t="shared" si="21"/>
        <v>500</v>
      </c>
      <c r="AC28" s="248">
        <f t="shared" si="22"/>
        <v>0</v>
      </c>
      <c r="AD28" s="71">
        <f>ELEC!Q29</f>
        <v>0</v>
      </c>
      <c r="AE28" s="71" t="e">
        <f t="shared" si="26"/>
        <v>#DIV/0!</v>
      </c>
      <c r="AF28" s="345" t="e">
        <f t="shared" si="27"/>
        <v>#DIV/0!</v>
      </c>
      <c r="AG28" s="345" t="e">
        <f t="shared" si="27"/>
        <v>#DIV/0!</v>
      </c>
      <c r="AH28" s="346" t="e">
        <f t="shared" si="23"/>
        <v>#DIV/0!</v>
      </c>
      <c r="AI28" s="71">
        <f t="shared" si="28"/>
        <v>0</v>
      </c>
      <c r="AJ28" s="250">
        <f t="shared" si="9"/>
        <v>0.25738396624472576</v>
      </c>
      <c r="AK28" s="250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44953</v>
      </c>
      <c r="B29" s="523">
        <f t="shared" si="30"/>
        <v>1800</v>
      </c>
      <c r="C29" s="248">
        <f t="shared" si="34"/>
        <v>0</v>
      </c>
      <c r="D29" s="444">
        <f t="shared" si="25"/>
        <v>812141</v>
      </c>
      <c r="E29" s="248">
        <f t="shared" si="12"/>
        <v>0</v>
      </c>
      <c r="F29" s="248">
        <f t="shared" si="0"/>
        <v>0</v>
      </c>
      <c r="G29" s="185"/>
      <c r="H29" s="238">
        <f t="shared" si="13"/>
        <v>12231</v>
      </c>
      <c r="I29" s="248" t="str">
        <f t="shared" si="1"/>
        <v>ok</v>
      </c>
      <c r="J29" s="443">
        <f t="shared" si="14"/>
        <v>147</v>
      </c>
      <c r="K29" s="248">
        <f t="shared" si="2"/>
        <v>0</v>
      </c>
      <c r="L29" s="444">
        <f t="shared" si="29"/>
        <v>392191</v>
      </c>
      <c r="M29" s="248">
        <f t="shared" si="3"/>
        <v>0</v>
      </c>
      <c r="N29" s="248">
        <v>250</v>
      </c>
      <c r="O29" s="185"/>
      <c r="P29" s="249">
        <f t="shared" si="16"/>
        <v>10873</v>
      </c>
      <c r="Q29" s="248" t="str">
        <f t="shared" si="33"/>
        <v>ok</v>
      </c>
      <c r="R29" s="443">
        <f t="shared" si="17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8"/>
        <v>14773</v>
      </c>
      <c r="Y29" s="248" t="str">
        <f t="shared" si="19"/>
        <v>ok</v>
      </c>
      <c r="Z29" s="248">
        <f t="shared" si="8"/>
        <v>0</v>
      </c>
      <c r="AA29" s="248">
        <f t="shared" si="20"/>
        <v>0</v>
      </c>
      <c r="AB29" s="248">
        <f t="shared" si="21"/>
        <v>500</v>
      </c>
      <c r="AC29" s="248">
        <f t="shared" si="22"/>
        <v>0</v>
      </c>
      <c r="AD29" s="71">
        <f>ELEC!Q30</f>
        <v>0</v>
      </c>
      <c r="AE29" s="71" t="e">
        <f t="shared" si="26"/>
        <v>#DIV/0!</v>
      </c>
      <c r="AF29" s="345" t="e">
        <f t="shared" si="27"/>
        <v>#DIV/0!</v>
      </c>
      <c r="AG29" s="345" t="e">
        <f t="shared" si="27"/>
        <v>#DIV/0!</v>
      </c>
      <c r="AH29" s="346" t="e">
        <f t="shared" si="23"/>
        <v>#DIV/0!</v>
      </c>
      <c r="AI29" s="71">
        <f t="shared" si="28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44954</v>
      </c>
      <c r="B30" s="523">
        <f t="shared" si="30"/>
        <v>1800</v>
      </c>
      <c r="C30" s="248">
        <f t="shared" si="34"/>
        <v>0</v>
      </c>
      <c r="D30" s="444">
        <f t="shared" si="25"/>
        <v>812141</v>
      </c>
      <c r="E30" s="248">
        <f t="shared" si="12"/>
        <v>0</v>
      </c>
      <c r="F30" s="248">
        <f t="shared" si="0"/>
        <v>0</v>
      </c>
      <c r="G30" s="185"/>
      <c r="H30" s="238">
        <f t="shared" si="13"/>
        <v>12231</v>
      </c>
      <c r="I30" s="248" t="str">
        <f t="shared" si="1"/>
        <v>ok</v>
      </c>
      <c r="J30" s="443">
        <f t="shared" si="14"/>
        <v>147</v>
      </c>
      <c r="K30" s="248">
        <f t="shared" si="2"/>
        <v>0</v>
      </c>
      <c r="L30" s="444">
        <f t="shared" si="29"/>
        <v>392191</v>
      </c>
      <c r="M30" s="248">
        <f t="shared" si="3"/>
        <v>0</v>
      </c>
      <c r="N30" s="248">
        <v>250</v>
      </c>
      <c r="O30" s="185"/>
      <c r="P30" s="249">
        <f t="shared" si="16"/>
        <v>10873</v>
      </c>
      <c r="Q30" s="248" t="str">
        <f t="shared" si="33"/>
        <v>ok</v>
      </c>
      <c r="R30" s="443">
        <f t="shared" si="17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8"/>
        <v>14773</v>
      </c>
      <c r="Y30" s="248" t="str">
        <f t="shared" si="19"/>
        <v>ok</v>
      </c>
      <c r="Z30" s="248">
        <f t="shared" si="8"/>
        <v>0</v>
      </c>
      <c r="AA30" s="248">
        <f t="shared" si="20"/>
        <v>0</v>
      </c>
      <c r="AB30" s="248">
        <f t="shared" si="21"/>
        <v>500</v>
      </c>
      <c r="AC30" s="248">
        <f t="shared" si="22"/>
        <v>0</v>
      </c>
      <c r="AD30" s="71">
        <f>ELEC!Q31</f>
        <v>0</v>
      </c>
      <c r="AE30" s="71" t="e">
        <f t="shared" si="26"/>
        <v>#DIV/0!</v>
      </c>
      <c r="AF30" s="345" t="e">
        <f t="shared" si="27"/>
        <v>#DIV/0!</v>
      </c>
      <c r="AG30" s="345" t="e">
        <f t="shared" si="27"/>
        <v>#DIV/0!</v>
      </c>
      <c r="AH30" s="346" t="e">
        <f t="shared" si="23"/>
        <v>#DIV/0!</v>
      </c>
      <c r="AI30" s="71">
        <f t="shared" si="28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44955</v>
      </c>
      <c r="B31" s="523">
        <f t="shared" si="30"/>
        <v>1800</v>
      </c>
      <c r="C31" s="248">
        <f t="shared" si="34"/>
        <v>0</v>
      </c>
      <c r="D31" s="444">
        <f t="shared" si="25"/>
        <v>812141</v>
      </c>
      <c r="E31" s="248">
        <f t="shared" si="12"/>
        <v>0</v>
      </c>
      <c r="F31" s="248">
        <f t="shared" ref="F31:F33" si="35">IF(C31&gt;0,E31/C31,0)</f>
        <v>0</v>
      </c>
      <c r="G31" s="185"/>
      <c r="H31" s="238">
        <f t="shared" si="13"/>
        <v>12231</v>
      </c>
      <c r="I31" s="248" t="str">
        <f t="shared" ref="I31:I33" si="36">IF(B31-H31&lt;=0,"ok","oil change")</f>
        <v>ok</v>
      </c>
      <c r="J31" s="443">
        <f t="shared" si="14"/>
        <v>147</v>
      </c>
      <c r="K31" s="248">
        <f t="shared" si="2"/>
        <v>0</v>
      </c>
      <c r="L31" s="444">
        <f t="shared" si="29"/>
        <v>392191</v>
      </c>
      <c r="M31" s="248">
        <f t="shared" si="3"/>
        <v>0</v>
      </c>
      <c r="N31" s="248">
        <v>250</v>
      </c>
      <c r="O31" s="185"/>
      <c r="P31" s="249">
        <f t="shared" si="16"/>
        <v>10873</v>
      </c>
      <c r="Q31" s="248" t="str">
        <f t="shared" ref="Q31:Q33" si="37">IF(J31-P31&lt;=0,"ok","oil change")</f>
        <v>ok</v>
      </c>
      <c r="R31" s="443">
        <f t="shared" si="17"/>
        <v>13917</v>
      </c>
      <c r="S31" s="248">
        <f t="shared" ref="S31:S33" si="38">R31-R30</f>
        <v>0</v>
      </c>
      <c r="T31" s="444">
        <f t="shared" si="31"/>
        <v>418512</v>
      </c>
      <c r="U31" s="248">
        <f t="shared" ref="U31:U33" si="39">V31*S31</f>
        <v>0</v>
      </c>
      <c r="V31" s="248">
        <v>250</v>
      </c>
      <c r="W31" s="185"/>
      <c r="X31" s="238">
        <f t="shared" si="18"/>
        <v>14773</v>
      </c>
      <c r="Y31" s="248" t="str">
        <f t="shared" si="19"/>
        <v>ok</v>
      </c>
      <c r="Z31" s="248">
        <f t="shared" si="8"/>
        <v>0</v>
      </c>
      <c r="AA31" s="248">
        <f t="shared" ref="AA31:AA33" si="40">U31+M31+E31</f>
        <v>0</v>
      </c>
      <c r="AB31" s="248">
        <f t="shared" ref="AB31:AB33" si="41">V31+N31+F31</f>
        <v>500</v>
      </c>
      <c r="AC31" s="248">
        <f t="shared" ref="AC31:AC33" si="42">IF(Z31&gt;0,AA31/Z31,0)</f>
        <v>0</v>
      </c>
      <c r="AD31" s="71">
        <f>ELEC!Q32</f>
        <v>0</v>
      </c>
      <c r="AE31" s="71" t="e">
        <f t="shared" ref="AE31:AE33" si="43">SUM(AD31/Z31)</f>
        <v>#DIV/0!</v>
      </c>
      <c r="AF31" s="345" t="e">
        <f t="shared" ref="AF31:AF33" si="44">SUM(AE31/1600)</f>
        <v>#DIV/0!</v>
      </c>
      <c r="AG31" s="345" t="e">
        <f t="shared" ref="AG31:AG33" si="45">SUM(AF31/1600)</f>
        <v>#DIV/0!</v>
      </c>
      <c r="AH31" s="346" t="e">
        <f t="shared" ref="AH31:AH33" si="46">SUM(AC31-AG31)</f>
        <v>#DIV/0!</v>
      </c>
      <c r="AI31" s="71">
        <f t="shared" ref="AI31:AI33" si="47">AD31*AJ31</f>
        <v>0</v>
      </c>
      <c r="AJ31" s="250">
        <f t="shared" si="9"/>
        <v>0.25738396624472576</v>
      </c>
      <c r="AK31" s="250" t="e">
        <f t="shared" ref="AK31:AK33" si="48">AI31/Z31</f>
        <v>#DIV/0!</v>
      </c>
      <c r="AL31">
        <f t="shared" ref="AL31:AL33" si="49">IF(Z31=0,0,1)</f>
        <v>0</v>
      </c>
    </row>
    <row r="32" spans="1:38" ht="15.75" thickBot="1">
      <c r="A32" s="4">
        <f>ELEC!C33</f>
        <v>44956</v>
      </c>
      <c r="B32" s="523">
        <f t="shared" si="30"/>
        <v>1800</v>
      </c>
      <c r="C32" s="248">
        <f t="shared" si="34"/>
        <v>0</v>
      </c>
      <c r="D32" s="444">
        <f t="shared" si="25"/>
        <v>812141</v>
      </c>
      <c r="E32" s="248">
        <f t="shared" si="12"/>
        <v>0</v>
      </c>
      <c r="F32" s="248">
        <f t="shared" si="35"/>
        <v>0</v>
      </c>
      <c r="G32" s="185"/>
      <c r="H32" s="238">
        <f t="shared" si="13"/>
        <v>12231</v>
      </c>
      <c r="I32" s="248" t="str">
        <f t="shared" si="36"/>
        <v>ok</v>
      </c>
      <c r="J32" s="443">
        <f t="shared" si="14"/>
        <v>147</v>
      </c>
      <c r="K32" s="248">
        <f t="shared" si="2"/>
        <v>0</v>
      </c>
      <c r="L32" s="444">
        <f t="shared" si="29"/>
        <v>392191</v>
      </c>
      <c r="M32" s="248">
        <f t="shared" si="3"/>
        <v>0</v>
      </c>
      <c r="N32" s="248">
        <v>250</v>
      </c>
      <c r="O32" s="185"/>
      <c r="P32" s="249">
        <f t="shared" si="16"/>
        <v>10873</v>
      </c>
      <c r="Q32" s="248" t="str">
        <f t="shared" si="37"/>
        <v>ok</v>
      </c>
      <c r="R32" s="443">
        <f t="shared" si="17"/>
        <v>13917</v>
      </c>
      <c r="S32" s="248">
        <f t="shared" si="38"/>
        <v>0</v>
      </c>
      <c r="T32" s="444">
        <f t="shared" si="31"/>
        <v>418512</v>
      </c>
      <c r="U32" s="248">
        <f t="shared" si="39"/>
        <v>0</v>
      </c>
      <c r="V32" s="248">
        <v>250</v>
      </c>
      <c r="W32" s="185"/>
      <c r="X32" s="238">
        <f t="shared" si="18"/>
        <v>14773</v>
      </c>
      <c r="Y32" s="248" t="str">
        <f t="shared" si="19"/>
        <v>ok</v>
      </c>
      <c r="Z32" s="248">
        <f t="shared" si="8"/>
        <v>0</v>
      </c>
      <c r="AA32" s="248">
        <f t="shared" si="40"/>
        <v>0</v>
      </c>
      <c r="AB32" s="248">
        <f t="shared" si="41"/>
        <v>500</v>
      </c>
      <c r="AC32" s="248">
        <f t="shared" si="42"/>
        <v>0</v>
      </c>
      <c r="AD32" s="71">
        <f>ELEC!Q33</f>
        <v>0</v>
      </c>
      <c r="AE32" s="71" t="e">
        <f t="shared" si="43"/>
        <v>#DIV/0!</v>
      </c>
      <c r="AF32" s="345" t="e">
        <f t="shared" si="44"/>
        <v>#DIV/0!</v>
      </c>
      <c r="AG32" s="345" t="e">
        <f t="shared" si="45"/>
        <v>#DIV/0!</v>
      </c>
      <c r="AH32" s="346" t="e">
        <f t="shared" si="46"/>
        <v>#DIV/0!</v>
      </c>
      <c r="AI32" s="71">
        <f t="shared" si="47"/>
        <v>0</v>
      </c>
      <c r="AJ32" s="250">
        <f t="shared" si="9"/>
        <v>0.25738396624472576</v>
      </c>
      <c r="AK32" s="250" t="e">
        <f t="shared" si="48"/>
        <v>#DIV/0!</v>
      </c>
      <c r="AL32">
        <f t="shared" si="49"/>
        <v>0</v>
      </c>
    </row>
    <row r="33" spans="1:38">
      <c r="A33" s="4">
        <f>ELEC!C34</f>
        <v>44957</v>
      </c>
      <c r="B33" s="523">
        <f t="shared" si="30"/>
        <v>1800</v>
      </c>
      <c r="C33" s="248">
        <f t="shared" si="34"/>
        <v>0</v>
      </c>
      <c r="D33" s="444">
        <f t="shared" si="25"/>
        <v>812141</v>
      </c>
      <c r="E33" s="248">
        <f t="shared" si="12"/>
        <v>0</v>
      </c>
      <c r="F33" s="248">
        <f t="shared" si="35"/>
        <v>0</v>
      </c>
      <c r="G33" s="185"/>
      <c r="H33" s="238">
        <f t="shared" si="13"/>
        <v>12231</v>
      </c>
      <c r="I33" s="248" t="str">
        <f t="shared" si="36"/>
        <v>ok</v>
      </c>
      <c r="J33" s="443">
        <f t="shared" si="14"/>
        <v>147</v>
      </c>
      <c r="K33" s="248">
        <f t="shared" si="2"/>
        <v>0</v>
      </c>
      <c r="L33" s="444">
        <f t="shared" si="29"/>
        <v>392191</v>
      </c>
      <c r="M33" s="248">
        <f t="shared" si="3"/>
        <v>0</v>
      </c>
      <c r="N33" s="248">
        <v>250</v>
      </c>
      <c r="O33" s="185"/>
      <c r="P33" s="249">
        <f t="shared" si="16"/>
        <v>10873</v>
      </c>
      <c r="Q33" s="248" t="str">
        <f t="shared" si="37"/>
        <v>ok</v>
      </c>
      <c r="R33" s="443">
        <f t="shared" si="17"/>
        <v>13917</v>
      </c>
      <c r="S33" s="248">
        <f t="shared" si="38"/>
        <v>0</v>
      </c>
      <c r="T33" s="444">
        <f t="shared" si="31"/>
        <v>418512</v>
      </c>
      <c r="U33" s="248">
        <f t="shared" si="39"/>
        <v>0</v>
      </c>
      <c r="V33" s="248">
        <v>250</v>
      </c>
      <c r="W33" s="185"/>
      <c r="X33" s="238">
        <f t="shared" si="18"/>
        <v>14773</v>
      </c>
      <c r="Y33" s="248" t="str">
        <f t="shared" si="19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76</v>
      </c>
      <c r="V34" s="39"/>
      <c r="X34">
        <v>341</v>
      </c>
      <c r="Z34" s="360">
        <f>SUM(Z3:Z33)</f>
        <v>76</v>
      </c>
      <c r="AF34" s="345">
        <f>SUM(AE34/1600)</f>
        <v>0</v>
      </c>
      <c r="AL34">
        <f>SUM(AL3:AL33)</f>
        <v>6</v>
      </c>
    </row>
    <row r="35" spans="1:38">
      <c r="C35" s="39">
        <f>SUM(C3:C33)</f>
        <v>76</v>
      </c>
      <c r="K35" s="39">
        <f>SUM(K3:K33)</f>
        <v>0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0"/>
  <sheetViews>
    <sheetView zoomScale="85" zoomScaleNormal="85" workbookViewId="0">
      <selection activeCell="Q4" sqref="Q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v>44926</v>
      </c>
      <c r="B3" s="78">
        <v>1127523</v>
      </c>
      <c r="C3" s="78">
        <f>'[2]EDl log'!C33</f>
        <v>0</v>
      </c>
      <c r="D3" s="78">
        <f>'[2]EDl log'!D33</f>
        <v>0</v>
      </c>
      <c r="E3" s="78">
        <v>1127523</v>
      </c>
      <c r="F3" s="78">
        <f>'[2]EDl log'!F33</f>
        <v>161640</v>
      </c>
      <c r="G3" s="78">
        <f>'[2]EDl log'!G33</f>
        <v>0</v>
      </c>
      <c r="H3" s="78">
        <v>563797</v>
      </c>
      <c r="I3" s="78">
        <f>'[2]EDl log'!I33</f>
        <v>0</v>
      </c>
      <c r="J3" s="78">
        <v>401939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44927</v>
      </c>
      <c r="B4" s="78">
        <f>B3</f>
        <v>1127523</v>
      </c>
      <c r="C4" s="78">
        <f t="shared" ref="C4:C30" si="0">SUM(B4-B3)</f>
        <v>0</v>
      </c>
      <c r="D4" s="264">
        <f>SUM(G4+I4+K4)</f>
        <v>0</v>
      </c>
      <c r="E4" s="264">
        <f>B3+D4</f>
        <v>1127523</v>
      </c>
      <c r="F4" s="78">
        <f>'[2]EDl log'!F34</f>
        <v>161640</v>
      </c>
      <c r="G4" s="152">
        <f t="shared" ref="G4:G30" si="1">F4-F3</f>
        <v>0</v>
      </c>
      <c r="H4" s="78">
        <f>H3</f>
        <v>563797</v>
      </c>
      <c r="I4" s="153">
        <f t="shared" ref="I4:I30" si="2">H4-H3</f>
        <v>0</v>
      </c>
      <c r="J4" s="78">
        <f>J3</f>
        <v>401939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0</v>
      </c>
      <c r="R4" s="255">
        <f>SUM(P4:Q4)</f>
        <v>154.80303857058792</v>
      </c>
      <c r="S4" s="257">
        <f>SUM(ELEC!N4)</f>
        <v>0</v>
      </c>
      <c r="T4" s="288">
        <f>IF(S4&gt;0,R4/S4,0)</f>
        <v>0</v>
      </c>
      <c r="U4" s="226"/>
      <c r="V4" s="157" t="s">
        <v>215</v>
      </c>
      <c r="W4" s="158">
        <f>'[2]EDl log'!$W$21</f>
        <v>44887</v>
      </c>
      <c r="X4" s="159"/>
      <c r="Y4" s="159"/>
      <c r="Z4" s="160" t="s">
        <v>216</v>
      </c>
      <c r="AA4" s="159"/>
      <c r="AB4" s="574"/>
      <c r="AC4" s="575"/>
    </row>
    <row r="5" spans="1:32" ht="20.100000000000001" customHeight="1">
      <c r="A5" s="155">
        <f>ELEC!C5</f>
        <v>44928</v>
      </c>
      <c r="B5" s="78">
        <f t="shared" ref="B5:B34" si="6">B4</f>
        <v>1127523</v>
      </c>
      <c r="C5" s="78">
        <f t="shared" si="0"/>
        <v>0</v>
      </c>
      <c r="D5" s="264">
        <f>SUM(G5+I5+K5)</f>
        <v>0</v>
      </c>
      <c r="E5" s="264">
        <f>B4+D5</f>
        <v>1127523</v>
      </c>
      <c r="F5" s="78">
        <f>F4</f>
        <v>161640</v>
      </c>
      <c r="G5" s="152">
        <f t="shared" si="1"/>
        <v>0</v>
      </c>
      <c r="H5" s="78">
        <f t="shared" ref="H5:H34" si="7">H4</f>
        <v>563797</v>
      </c>
      <c r="I5" s="153">
        <f t="shared" si="2"/>
        <v>0</v>
      </c>
      <c r="J5" s="78">
        <f t="shared" ref="J5:J34" si="8">J4</f>
        <v>401939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8"/>
      <c r="W5" s="569"/>
      <c r="X5" s="569"/>
      <c r="Y5" s="570"/>
      <c r="Z5" s="25" t="s">
        <v>217</v>
      </c>
      <c r="AA5" s="25">
        <v>5000</v>
      </c>
      <c r="AB5" s="576"/>
      <c r="AC5" s="577"/>
    </row>
    <row r="6" spans="1:32" ht="20.100000000000001" customHeight="1">
      <c r="A6" s="155">
        <f>ELEC!C6</f>
        <v>44929</v>
      </c>
      <c r="B6" s="78">
        <f t="shared" si="6"/>
        <v>1127523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1127523</v>
      </c>
      <c r="F6" s="78">
        <f t="shared" ref="F6:F34" si="15">F5</f>
        <v>161640</v>
      </c>
      <c r="G6" s="152">
        <f t="shared" si="1"/>
        <v>0</v>
      </c>
      <c r="H6" s="78">
        <f t="shared" si="7"/>
        <v>563797</v>
      </c>
      <c r="I6" s="153">
        <f t="shared" si="2"/>
        <v>0</v>
      </c>
      <c r="J6" s="78">
        <f t="shared" si="8"/>
        <v>401939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954.71161290322038</v>
      </c>
      <c r="R6" s="255">
        <f t="shared" si="12"/>
        <v>1109.5146514738083</v>
      </c>
      <c r="S6" s="257">
        <f>SUM(ELEC!N6)</f>
        <v>2464</v>
      </c>
      <c r="T6" s="288">
        <f t="shared" ref="T6:T30" si="16">IF(S6&gt;0,R6/S6,0)</f>
        <v>0.45029003712411048</v>
      </c>
      <c r="V6" s="571"/>
      <c r="W6" s="572"/>
      <c r="X6" s="572"/>
      <c r="Y6" s="573"/>
      <c r="Z6" s="580"/>
      <c r="AA6" s="581"/>
      <c r="AB6" s="576"/>
      <c r="AC6" s="577"/>
    </row>
    <row r="7" spans="1:32" ht="20.100000000000001" customHeight="1">
      <c r="A7" s="155">
        <f>ELEC!C7</f>
        <v>44930</v>
      </c>
      <c r="B7" s="78">
        <f t="shared" si="6"/>
        <v>1127523</v>
      </c>
      <c r="C7" s="78">
        <f>SUM(B7-B6)</f>
        <v>0</v>
      </c>
      <c r="D7" s="264">
        <f>SUM(G7+I7+K7)</f>
        <v>0</v>
      </c>
      <c r="E7" s="264">
        <f t="shared" si="14"/>
        <v>1127523</v>
      </c>
      <c r="F7" s="78">
        <f t="shared" si="15"/>
        <v>161640</v>
      </c>
      <c r="G7" s="152">
        <f t="shared" si="1"/>
        <v>0</v>
      </c>
      <c r="H7" s="78">
        <f t="shared" si="7"/>
        <v>563797</v>
      </c>
      <c r="I7" s="153">
        <f t="shared" si="2"/>
        <v>0</v>
      </c>
      <c r="J7" s="78">
        <f t="shared" si="8"/>
        <v>401939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-88.052580645150016</v>
      </c>
      <c r="R7" s="255">
        <f t="shared" si="12"/>
        <v>66.7504579254379</v>
      </c>
      <c r="S7" s="257">
        <f>SUM(ELEC!N7)</f>
        <v>2763</v>
      </c>
      <c r="T7" s="288">
        <f t="shared" si="16"/>
        <v>2.4158689079058233E-2</v>
      </c>
      <c r="V7" s="563" t="s">
        <v>218</v>
      </c>
      <c r="W7" s="564"/>
      <c r="X7" s="565" t="s">
        <v>219</v>
      </c>
      <c r="Y7" s="566"/>
      <c r="Z7" s="567"/>
      <c r="AA7" s="161"/>
      <c r="AB7" s="578"/>
      <c r="AC7" s="579"/>
    </row>
    <row r="8" spans="1:32" ht="20.100000000000001" customHeight="1">
      <c r="A8" s="155">
        <f>ELEC!C8</f>
        <v>44931</v>
      </c>
      <c r="B8" s="78">
        <f t="shared" si="6"/>
        <v>1127523</v>
      </c>
      <c r="C8" s="78">
        <f t="shared" si="0"/>
        <v>0</v>
      </c>
      <c r="D8" s="264">
        <f t="shared" si="13"/>
        <v>0</v>
      </c>
      <c r="E8" s="264">
        <f t="shared" si="14"/>
        <v>1127523</v>
      </c>
      <c r="F8" s="78">
        <f t="shared" si="15"/>
        <v>161640</v>
      </c>
      <c r="G8" s="152">
        <f t="shared" si="1"/>
        <v>0</v>
      </c>
      <c r="H8" s="78">
        <f t="shared" si="7"/>
        <v>563797</v>
      </c>
      <c r="I8" s="153">
        <f t="shared" si="2"/>
        <v>0</v>
      </c>
      <c r="J8" s="78">
        <f t="shared" si="8"/>
        <v>401939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1092.0587096774186</v>
      </c>
      <c r="R8" s="255">
        <f t="shared" si="12"/>
        <v>1246.8617482480065</v>
      </c>
      <c r="S8" s="257">
        <f>SUM(ELEC!N8)</f>
        <v>2299</v>
      </c>
      <c r="T8" s="288">
        <f>IF(S8&gt;0,R8/S8,0)</f>
        <v>0.54234960776337826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44932</v>
      </c>
      <c r="B9" s="78">
        <f t="shared" si="6"/>
        <v>1127523</v>
      </c>
      <c r="C9" s="78">
        <f t="shared" si="0"/>
        <v>0</v>
      </c>
      <c r="D9" s="264">
        <f t="shared" si="13"/>
        <v>0</v>
      </c>
      <c r="E9" s="264">
        <f t="shared" si="14"/>
        <v>1127523</v>
      </c>
      <c r="F9" s="78">
        <f t="shared" si="15"/>
        <v>161640</v>
      </c>
      <c r="G9" s="152">
        <f t="shared" si="1"/>
        <v>0</v>
      </c>
      <c r="H9" s="78">
        <f t="shared" si="7"/>
        <v>563797</v>
      </c>
      <c r="I9" s="153">
        <f t="shared" si="2"/>
        <v>0</v>
      </c>
      <c r="J9" s="78">
        <f t="shared" si="8"/>
        <v>401939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0</v>
      </c>
      <c r="R9" s="255">
        <f>SUM(P9:Q9)</f>
        <v>154.80303857058792</v>
      </c>
      <c r="S9" s="257">
        <f>SUM(ELEC!N9)</f>
        <v>0</v>
      </c>
      <c r="T9" s="288">
        <f t="shared" si="16"/>
        <v>0</v>
      </c>
      <c r="V9" s="227">
        <f>'[2]EDl log'!V26</f>
        <v>401934</v>
      </c>
      <c r="W9" s="227">
        <f>'[2]EDl log'!W26</f>
        <v>401934</v>
      </c>
      <c r="X9" s="227" t="str">
        <f>'[5]EDl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44933</v>
      </c>
      <c r="B10" s="78">
        <f t="shared" si="6"/>
        <v>1127523</v>
      </c>
      <c r="C10" s="78">
        <f t="shared" si="0"/>
        <v>0</v>
      </c>
      <c r="D10" s="264">
        <f t="shared" si="13"/>
        <v>0</v>
      </c>
      <c r="E10" s="264">
        <f t="shared" si="14"/>
        <v>1127523</v>
      </c>
      <c r="F10" s="78">
        <f t="shared" si="15"/>
        <v>161640</v>
      </c>
      <c r="G10" s="152">
        <f t="shared" si="1"/>
        <v>0</v>
      </c>
      <c r="H10" s="78">
        <f t="shared" si="7"/>
        <v>563797</v>
      </c>
      <c r="I10" s="153">
        <f t="shared" si="2"/>
        <v>0</v>
      </c>
      <c r="J10" s="78">
        <f t="shared" si="8"/>
        <v>401939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0</v>
      </c>
      <c r="R10" s="255">
        <f t="shared" si="12"/>
        <v>154.80303857058792</v>
      </c>
      <c r="S10" s="257">
        <f>SUM(ELEC!N10)</f>
        <v>0</v>
      </c>
      <c r="T10" s="288">
        <f t="shared" si="16"/>
        <v>0</v>
      </c>
      <c r="V10" s="227">
        <f>'[2]EDl log'!V27</f>
        <v>561453</v>
      </c>
      <c r="W10" s="227">
        <f>'[2]EDl log'!W27</f>
        <v>563190</v>
      </c>
      <c r="X10" s="227" t="str">
        <f>'[5]EDl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44934</v>
      </c>
      <c r="B11" s="78">
        <f t="shared" si="6"/>
        <v>1127523</v>
      </c>
      <c r="C11" s="78">
        <f>SUM(B11-B10)</f>
        <v>0</v>
      </c>
      <c r="D11" s="264">
        <f>SUM(G11+I11+K11)</f>
        <v>0</v>
      </c>
      <c r="E11" s="264">
        <f t="shared" si="14"/>
        <v>1127523</v>
      </c>
      <c r="F11" s="78">
        <f t="shared" si="15"/>
        <v>161640</v>
      </c>
      <c r="G11" s="152">
        <f t="shared" si="1"/>
        <v>0</v>
      </c>
      <c r="H11" s="78">
        <f t="shared" si="7"/>
        <v>563797</v>
      </c>
      <c r="I11" s="153">
        <f t="shared" si="2"/>
        <v>0</v>
      </c>
      <c r="J11" s="78">
        <f t="shared" si="8"/>
        <v>401939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284.82870967740558</v>
      </c>
      <c r="R11" s="255">
        <f t="shared" si="12"/>
        <v>439.63174824799353</v>
      </c>
      <c r="S11" s="257">
        <f>SUM(ELEC!N11)</f>
        <v>2330</v>
      </c>
      <c r="T11" s="288">
        <f t="shared" si="16"/>
        <v>0.18868315375450365</v>
      </c>
      <c r="V11" s="227">
        <f>'[2]EDl log'!V28</f>
        <v>161459</v>
      </c>
      <c r="W11" s="227">
        <f>'[2]EDl log'!W28</f>
        <v>161640</v>
      </c>
      <c r="X11" s="227" t="str">
        <f>'[5]EDl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44935</v>
      </c>
      <c r="B12" s="78">
        <f t="shared" si="6"/>
        <v>1127523</v>
      </c>
      <c r="C12" s="78">
        <f t="shared" si="0"/>
        <v>0</v>
      </c>
      <c r="D12" s="264">
        <f t="shared" si="13"/>
        <v>0</v>
      </c>
      <c r="E12" s="264">
        <f t="shared" si="14"/>
        <v>1127523</v>
      </c>
      <c r="F12" s="78">
        <f t="shared" si="15"/>
        <v>161640</v>
      </c>
      <c r="G12" s="152">
        <f t="shared" si="1"/>
        <v>0</v>
      </c>
      <c r="H12" s="78">
        <f t="shared" si="7"/>
        <v>563797</v>
      </c>
      <c r="I12" s="153">
        <f t="shared" si="2"/>
        <v>0</v>
      </c>
      <c r="J12" s="78">
        <f t="shared" si="8"/>
        <v>401939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1118.6295161290222</v>
      </c>
      <c r="R12" s="255">
        <f t="shared" si="12"/>
        <v>1273.4325546996101</v>
      </c>
      <c r="S12" s="257">
        <f>SUM(ELEC!N12)</f>
        <v>3064</v>
      </c>
      <c r="T12" s="288">
        <f t="shared" si="16"/>
        <v>0.41561114709517299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44936</v>
      </c>
      <c r="B13" s="78">
        <f t="shared" si="6"/>
        <v>1127523</v>
      </c>
      <c r="C13" s="78">
        <f t="shared" si="0"/>
        <v>0</v>
      </c>
      <c r="D13" s="264">
        <f t="shared" si="13"/>
        <v>0</v>
      </c>
      <c r="E13" s="264">
        <f t="shared" si="14"/>
        <v>1127523</v>
      </c>
      <c r="F13" s="78">
        <f t="shared" si="15"/>
        <v>161640</v>
      </c>
      <c r="G13" s="152">
        <f t="shared" si="1"/>
        <v>0</v>
      </c>
      <c r="H13" s="78">
        <f t="shared" si="7"/>
        <v>563797</v>
      </c>
      <c r="I13" s="153">
        <f t="shared" si="2"/>
        <v>0</v>
      </c>
      <c r="J13" s="78">
        <f t="shared" si="8"/>
        <v>401939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759.19870967744441</v>
      </c>
      <c r="R13" s="255">
        <f t="shared" si="12"/>
        <v>914.0017482480323</v>
      </c>
      <c r="S13" s="257">
        <f>SUM(ELEC!N13)</f>
        <v>2908</v>
      </c>
      <c r="T13" s="288">
        <f>IF(S13&gt;0,R13/S13,0)</f>
        <v>0.3143059656973976</v>
      </c>
      <c r="V13" s="202" t="s">
        <v>227</v>
      </c>
      <c r="W13" s="511">
        <f>'[2]EDl log'!$W$30</f>
        <v>0</v>
      </c>
      <c r="Y13" s="203" t="s">
        <v>228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44937</v>
      </c>
      <c r="B14" s="78">
        <f t="shared" si="6"/>
        <v>1127523</v>
      </c>
      <c r="C14" s="78">
        <f t="shared" si="0"/>
        <v>0</v>
      </c>
      <c r="D14" s="264">
        <f t="shared" si="13"/>
        <v>0</v>
      </c>
      <c r="E14" s="264">
        <f t="shared" si="14"/>
        <v>1127523</v>
      </c>
      <c r="F14" s="78">
        <f t="shared" si="15"/>
        <v>161640</v>
      </c>
      <c r="G14" s="152">
        <f t="shared" si="1"/>
        <v>0</v>
      </c>
      <c r="H14" s="78">
        <f t="shared" si="7"/>
        <v>563797</v>
      </c>
      <c r="I14" s="153">
        <f t="shared" si="2"/>
        <v>0</v>
      </c>
      <c r="J14" s="78">
        <f t="shared" si="8"/>
        <v>401939</v>
      </c>
      <c r="K14" s="154">
        <f>J14-J13</f>
        <v>0</v>
      </c>
      <c r="L14" s="254">
        <f>SUM(G14*$Y$28)/1507.5</f>
        <v>0</v>
      </c>
      <c r="M14" s="254">
        <f>SUM(I14*$Y$27)/1507.5</f>
        <v>0</v>
      </c>
      <c r="N14" s="254">
        <f>SUM(K14*$Y$26)/1507.5</f>
        <v>0</v>
      </c>
      <c r="O14" s="254">
        <f t="shared" si="10"/>
        <v>154.80303857058792</v>
      </c>
      <c r="P14" s="255">
        <f>SUM(L14:O14)</f>
        <v>154.80303857058792</v>
      </c>
      <c r="Q14" s="255">
        <f>SUM(-tanks!AX16*tanks!$AU$37)</f>
        <v>0</v>
      </c>
      <c r="R14" s="255">
        <f>SUM(P14:Q14)</f>
        <v>154.80303857058792</v>
      </c>
      <c r="S14" s="257">
        <f>SUM(ELEC!N14)</f>
        <v>0</v>
      </c>
      <c r="T14" s="288">
        <f>IF(S14&gt;0,R14/S14,0)</f>
        <v>0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44938</v>
      </c>
      <c r="B15" s="78">
        <f t="shared" si="6"/>
        <v>1127523</v>
      </c>
      <c r="C15" s="78">
        <f t="shared" si="0"/>
        <v>0</v>
      </c>
      <c r="D15" s="264">
        <f t="shared" si="13"/>
        <v>0</v>
      </c>
      <c r="E15" s="264">
        <f t="shared" si="14"/>
        <v>1127523</v>
      </c>
      <c r="F15" s="78">
        <f t="shared" si="15"/>
        <v>161640</v>
      </c>
      <c r="G15" s="152">
        <f t="shared" si="1"/>
        <v>0</v>
      </c>
      <c r="H15" s="78">
        <f t="shared" si="7"/>
        <v>563797</v>
      </c>
      <c r="I15" s="153">
        <f t="shared" si="2"/>
        <v>0</v>
      </c>
      <c r="J15" s="78">
        <f t="shared" si="8"/>
        <v>401939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0</v>
      </c>
      <c r="R15" s="255">
        <f>SUM(P15:Q15)</f>
        <v>154.80303857058792</v>
      </c>
      <c r="S15" s="257">
        <f>SUM(ELEC!N15)</f>
        <v>0</v>
      </c>
      <c r="T15" s="288">
        <f>IF(S15&gt;0,R15/S15,0)</f>
        <v>0</v>
      </c>
      <c r="V15" s="202" t="s">
        <v>229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44939</v>
      </c>
      <c r="B16" s="78">
        <f>B15</f>
        <v>1127523</v>
      </c>
      <c r="C16" s="78">
        <f t="shared" si="0"/>
        <v>0</v>
      </c>
      <c r="D16" s="264">
        <f t="shared" si="13"/>
        <v>0</v>
      </c>
      <c r="E16" s="264">
        <f t="shared" si="14"/>
        <v>1127523</v>
      </c>
      <c r="F16" s="78">
        <f t="shared" si="15"/>
        <v>161640</v>
      </c>
      <c r="G16" s="152">
        <f t="shared" si="1"/>
        <v>0</v>
      </c>
      <c r="H16" s="78">
        <f t="shared" si="7"/>
        <v>563797</v>
      </c>
      <c r="I16" s="153">
        <f t="shared" si="2"/>
        <v>0</v>
      </c>
      <c r="J16" s="78">
        <f t="shared" si="8"/>
        <v>401939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230</v>
      </c>
      <c r="X16" s="207"/>
      <c r="Y16" s="231"/>
      <c r="Z16" s="3" t="s">
        <v>231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44940</v>
      </c>
      <c r="B17" s="78">
        <f>B16</f>
        <v>1127523</v>
      </c>
      <c r="C17" s="78">
        <f t="shared" si="0"/>
        <v>0</v>
      </c>
      <c r="D17" s="264">
        <f t="shared" si="13"/>
        <v>0</v>
      </c>
      <c r="E17" s="264">
        <f t="shared" si="14"/>
        <v>1127523</v>
      </c>
      <c r="F17" s="78">
        <f t="shared" si="15"/>
        <v>161640</v>
      </c>
      <c r="G17" s="152">
        <f>F17-F16</f>
        <v>0</v>
      </c>
      <c r="H17" s="78">
        <f t="shared" si="7"/>
        <v>563797</v>
      </c>
      <c r="I17" s="153">
        <f t="shared" si="2"/>
        <v>0</v>
      </c>
      <c r="J17" s="78">
        <v>401939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232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44941</v>
      </c>
      <c r="B18" s="78">
        <f>B17</f>
        <v>1127523</v>
      </c>
      <c r="C18" s="78">
        <f>SUM(B18-B17)</f>
        <v>0</v>
      </c>
      <c r="D18" s="264">
        <f>SUM(G18+I18+K18)</f>
        <v>0</v>
      </c>
      <c r="E18" s="264">
        <f t="shared" si="14"/>
        <v>1127523</v>
      </c>
      <c r="F18" s="78">
        <f t="shared" si="15"/>
        <v>161640</v>
      </c>
      <c r="G18" s="152">
        <f t="shared" si="1"/>
        <v>0</v>
      </c>
      <c r="H18" s="78">
        <f t="shared" si="7"/>
        <v>563797</v>
      </c>
      <c r="I18" s="153">
        <f t="shared" si="2"/>
        <v>0</v>
      </c>
      <c r="J18" s="78">
        <v>401939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0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154.80303857058792</v>
      </c>
      <c r="Q18" s="255">
        <f>SUM(-tanks!AX20*tanks!$AU$37)</f>
        <v>0</v>
      </c>
      <c r="R18" s="255">
        <f t="shared" si="12"/>
        <v>154.80303857058792</v>
      </c>
      <c r="S18" s="257">
        <f>SUM(ELEC!N18)</f>
        <v>0</v>
      </c>
      <c r="T18" s="288">
        <f t="shared" si="16"/>
        <v>0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44942</v>
      </c>
      <c r="B19" s="78">
        <f t="shared" si="6"/>
        <v>1127523</v>
      </c>
      <c r="C19" s="78">
        <f t="shared" si="0"/>
        <v>0</v>
      </c>
      <c r="D19" s="264">
        <f t="shared" si="13"/>
        <v>0</v>
      </c>
      <c r="E19" s="264">
        <f t="shared" si="14"/>
        <v>1127523</v>
      </c>
      <c r="F19" s="78">
        <f t="shared" si="15"/>
        <v>161640</v>
      </c>
      <c r="G19" s="152">
        <f t="shared" si="1"/>
        <v>0</v>
      </c>
      <c r="H19" s="78">
        <f t="shared" si="7"/>
        <v>563797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44943</v>
      </c>
      <c r="B20" s="78">
        <f t="shared" si="6"/>
        <v>1127523</v>
      </c>
      <c r="C20" s="78">
        <f t="shared" si="0"/>
        <v>0</v>
      </c>
      <c r="D20" s="264">
        <f t="shared" si="13"/>
        <v>0</v>
      </c>
      <c r="E20" s="264">
        <f t="shared" si="14"/>
        <v>1127523</v>
      </c>
      <c r="F20" s="78">
        <f t="shared" si="15"/>
        <v>161640</v>
      </c>
      <c r="G20" s="152">
        <f t="shared" si="1"/>
        <v>0</v>
      </c>
      <c r="H20" s="78">
        <f t="shared" si="7"/>
        <v>563797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44944</v>
      </c>
      <c r="B21" s="78">
        <f t="shared" si="6"/>
        <v>1127523</v>
      </c>
      <c r="C21" s="78">
        <f t="shared" si="0"/>
        <v>0</v>
      </c>
      <c r="D21" s="264">
        <f t="shared" si="13"/>
        <v>0</v>
      </c>
      <c r="E21" s="264">
        <f t="shared" si="14"/>
        <v>1127523</v>
      </c>
      <c r="F21" s="78">
        <f t="shared" si="15"/>
        <v>161640</v>
      </c>
      <c r="G21" s="152">
        <f t="shared" si="1"/>
        <v>0</v>
      </c>
      <c r="H21" s="78">
        <f t="shared" si="7"/>
        <v>563797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0</v>
      </c>
      <c r="R21" s="255">
        <f t="shared" si="12"/>
        <v>154.80303857058792</v>
      </c>
      <c r="S21" s="257">
        <f>SUM(ELEC!N21)</f>
        <v>0</v>
      </c>
      <c r="T21" s="288">
        <f t="shared" si="16"/>
        <v>0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4"/>
      <c r="AC21" s="575"/>
    </row>
    <row r="22" spans="1:32" ht="20.100000000000001" customHeight="1">
      <c r="A22" s="155">
        <f>ELEC!C22</f>
        <v>44945</v>
      </c>
      <c r="B22" s="78">
        <f t="shared" si="6"/>
        <v>1127523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161640</v>
      </c>
      <c r="G22" s="152">
        <f t="shared" si="1"/>
        <v>0</v>
      </c>
      <c r="H22" s="78">
        <f t="shared" si="7"/>
        <v>563797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0</v>
      </c>
      <c r="R22" s="255">
        <f t="shared" si="12"/>
        <v>154.80303857058792</v>
      </c>
      <c r="S22" s="257">
        <f>SUM(ELEC!N22)</f>
        <v>0</v>
      </c>
      <c r="T22" s="288">
        <f t="shared" si="16"/>
        <v>0</v>
      </c>
      <c r="V22" s="568"/>
      <c r="W22" s="569"/>
      <c r="X22" s="569"/>
      <c r="Y22" s="570"/>
      <c r="Z22" s="25" t="s">
        <v>217</v>
      </c>
      <c r="AA22" s="25">
        <v>5000</v>
      </c>
      <c r="AB22" s="576"/>
      <c r="AC22" s="577"/>
    </row>
    <row r="23" spans="1:32" ht="21" customHeight="1">
      <c r="A23" s="155">
        <f>ELEC!C23</f>
        <v>44946</v>
      </c>
      <c r="B23" s="78">
        <v>1127523</v>
      </c>
      <c r="C23" s="78">
        <f t="shared" si="0"/>
        <v>0</v>
      </c>
      <c r="D23" s="264">
        <f t="shared" si="13"/>
        <v>0</v>
      </c>
      <c r="E23" s="264">
        <f t="shared" si="14"/>
        <v>1127523</v>
      </c>
      <c r="F23" s="78">
        <f t="shared" si="15"/>
        <v>161640</v>
      </c>
      <c r="G23" s="152">
        <f t="shared" si="1"/>
        <v>0</v>
      </c>
      <c r="H23" s="78">
        <v>563797</v>
      </c>
      <c r="I23" s="153">
        <f t="shared" si="2"/>
        <v>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71"/>
      <c r="W23" s="572"/>
      <c r="X23" s="572"/>
      <c r="Y23" s="573"/>
      <c r="Z23" s="580"/>
      <c r="AA23" s="581"/>
      <c r="AB23" s="576"/>
      <c r="AC23" s="577"/>
    </row>
    <row r="24" spans="1:32" ht="20.100000000000001" customHeight="1">
      <c r="A24" s="155">
        <f>ELEC!C24</f>
        <v>44947</v>
      </c>
      <c r="B24" s="78">
        <f t="shared" si="6"/>
        <v>1127523</v>
      </c>
      <c r="C24" s="78">
        <f t="shared" si="0"/>
        <v>0</v>
      </c>
      <c r="D24" s="264">
        <f t="shared" si="13"/>
        <v>0</v>
      </c>
      <c r="E24" s="264">
        <f t="shared" si="14"/>
        <v>1127523</v>
      </c>
      <c r="F24" s="78">
        <f t="shared" si="15"/>
        <v>161640</v>
      </c>
      <c r="G24" s="152">
        <f t="shared" si="1"/>
        <v>0</v>
      </c>
      <c r="H24" s="78">
        <f t="shared" si="7"/>
        <v>563797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63" t="s">
        <v>218</v>
      </c>
      <c r="W24" s="564"/>
      <c r="X24" s="565" t="s">
        <v>219</v>
      </c>
      <c r="Y24" s="566"/>
      <c r="Z24" s="567"/>
      <c r="AA24" s="161"/>
      <c r="AB24" s="578"/>
      <c r="AC24" s="579"/>
    </row>
    <row r="25" spans="1:32" ht="20.100000000000001" customHeight="1">
      <c r="A25" s="155">
        <f>ELEC!C25</f>
        <v>44948</v>
      </c>
      <c r="B25" s="78">
        <f t="shared" si="6"/>
        <v>1127523</v>
      </c>
      <c r="C25" s="78">
        <f t="shared" si="0"/>
        <v>0</v>
      </c>
      <c r="D25" s="264">
        <f t="shared" si="13"/>
        <v>0</v>
      </c>
      <c r="E25" s="264">
        <f t="shared" si="14"/>
        <v>1127523</v>
      </c>
      <c r="F25" s="78">
        <f t="shared" si="15"/>
        <v>161640</v>
      </c>
      <c r="G25" s="152">
        <f t="shared" si="1"/>
        <v>0</v>
      </c>
      <c r="H25" s="78">
        <f t="shared" si="7"/>
        <v>563797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0</v>
      </c>
      <c r="R25" s="255">
        <f t="shared" si="12"/>
        <v>154.80303857058792</v>
      </c>
      <c r="S25" s="257">
        <f>SUM(ELEC!N25)</f>
        <v>0</v>
      </c>
      <c r="T25" s="288">
        <f t="shared" si="16"/>
        <v>0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44949</v>
      </c>
      <c r="B26" s="78">
        <f t="shared" si="6"/>
        <v>1127523</v>
      </c>
      <c r="C26" s="78">
        <f t="shared" si="0"/>
        <v>0</v>
      </c>
      <c r="D26" s="264">
        <f t="shared" si="13"/>
        <v>0</v>
      </c>
      <c r="E26" s="264">
        <f t="shared" si="14"/>
        <v>1127523</v>
      </c>
      <c r="F26" s="78">
        <f t="shared" si="15"/>
        <v>161640</v>
      </c>
      <c r="G26" s="152">
        <f t="shared" si="1"/>
        <v>0</v>
      </c>
      <c r="H26" s="78">
        <f t="shared" si="7"/>
        <v>563797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0</v>
      </c>
      <c r="T26" s="288">
        <f t="shared" si="16"/>
        <v>0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 t="e">
        <f>SUM(K36)</f>
        <v>#DIV/0!</v>
      </c>
    </row>
    <row r="27" spans="1:32" ht="20.100000000000001" customHeight="1">
      <c r="A27" s="155">
        <f>ELEC!C27</f>
        <v>44950</v>
      </c>
      <c r="B27" s="78">
        <f t="shared" si="6"/>
        <v>1127523</v>
      </c>
      <c r="C27" s="78">
        <f t="shared" si="0"/>
        <v>0</v>
      </c>
      <c r="D27" s="264">
        <f t="shared" si="13"/>
        <v>0</v>
      </c>
      <c r="E27" s="264">
        <f t="shared" si="14"/>
        <v>1127523</v>
      </c>
      <c r="F27" s="78">
        <f t="shared" si="15"/>
        <v>161640</v>
      </c>
      <c r="G27" s="152">
        <f t="shared" si="1"/>
        <v>0</v>
      </c>
      <c r="H27" s="78">
        <f t="shared" si="7"/>
        <v>563797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563797</v>
      </c>
      <c r="X27" s="163" t="s">
        <v>233</v>
      </c>
      <c r="Y27" s="163">
        <v>112</v>
      </c>
      <c r="Z27" s="163">
        <v>1</v>
      </c>
      <c r="AA27" s="185">
        <f>(W27-V27)*Z27</f>
        <v>607</v>
      </c>
      <c r="AB27" s="185">
        <f>SUM(AA27*Y27)</f>
        <v>67984</v>
      </c>
      <c r="AC27" s="225">
        <f>AC10</f>
        <v>6200000</v>
      </c>
      <c r="AD27" s="424" t="e">
        <f>SUM(I36)</f>
        <v>#DIV/0!</v>
      </c>
    </row>
    <row r="28" spans="1:32" ht="20.100000000000001" customHeight="1">
      <c r="A28" s="155">
        <f>ELEC!C28</f>
        <v>44951</v>
      </c>
      <c r="B28" s="78">
        <f t="shared" si="6"/>
        <v>1127523</v>
      </c>
      <c r="C28" s="78">
        <f t="shared" si="0"/>
        <v>0</v>
      </c>
      <c r="D28" s="264">
        <f t="shared" si="13"/>
        <v>0</v>
      </c>
      <c r="E28" s="264">
        <f t="shared" si="14"/>
        <v>1127523</v>
      </c>
      <c r="F28" s="78">
        <f t="shared" si="15"/>
        <v>161640</v>
      </c>
      <c r="G28" s="152">
        <f t="shared" si="1"/>
        <v>0</v>
      </c>
      <c r="H28" s="78">
        <f t="shared" si="7"/>
        <v>563797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161640</v>
      </c>
      <c r="X28" s="163" t="s">
        <v>205</v>
      </c>
      <c r="Y28" s="163">
        <v>320</v>
      </c>
      <c r="Z28" s="163">
        <v>1</v>
      </c>
      <c r="AA28" s="185">
        <f>(W28-V28)*Z28</f>
        <v>0</v>
      </c>
      <c r="AB28" s="185">
        <f>SUM(AA28*Y28)</f>
        <v>0</v>
      </c>
      <c r="AC28" s="225">
        <f>AC11</f>
        <v>1000</v>
      </c>
      <c r="AD28" s="424">
        <f>SUM(G36)</f>
        <v>0</v>
      </c>
      <c r="AE28" s="39">
        <f>SUM(AB28*5%)</f>
        <v>0</v>
      </c>
      <c r="AF28" s="79">
        <f>SUM(AE28/7)*31</f>
        <v>0</v>
      </c>
    </row>
    <row r="29" spans="1:32" ht="20.100000000000001" customHeight="1">
      <c r="A29" s="155">
        <f>ELEC!C29</f>
        <v>44952</v>
      </c>
      <c r="B29" s="78">
        <f t="shared" si="6"/>
        <v>1127523</v>
      </c>
      <c r="C29" s="78">
        <f t="shared" si="0"/>
        <v>0</v>
      </c>
      <c r="D29" s="264">
        <f t="shared" si="13"/>
        <v>0</v>
      </c>
      <c r="E29" s="264">
        <f t="shared" si="14"/>
        <v>1127523</v>
      </c>
      <c r="F29" s="78">
        <f t="shared" si="15"/>
        <v>161640</v>
      </c>
      <c r="G29" s="152">
        <f t="shared" si="1"/>
        <v>0</v>
      </c>
      <c r="H29" s="78">
        <f t="shared" si="7"/>
        <v>563797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0</v>
      </c>
      <c r="R29" s="255">
        <f t="shared" si="12"/>
        <v>154.80303857058792</v>
      </c>
      <c r="S29" s="257">
        <f>SUM(ELEC!N29)</f>
        <v>0</v>
      </c>
      <c r="T29" s="288">
        <f t="shared" si="16"/>
        <v>0</v>
      </c>
      <c r="V29" s="200"/>
      <c r="W29" s="201"/>
      <c r="X29" s="201"/>
      <c r="Y29" s="145"/>
      <c r="Z29" s="3"/>
      <c r="AA29" s="185">
        <f>SUM(AA26:AA28)</f>
        <v>612</v>
      </c>
      <c r="AB29" s="185">
        <f>SUM(AB26:AB28)</f>
        <v>68384</v>
      </c>
      <c r="AC29" s="225">
        <f>SUM(AC26:AC28)</f>
        <v>7234333</v>
      </c>
    </row>
    <row r="30" spans="1:32" ht="20.100000000000001" customHeight="1">
      <c r="A30" s="155">
        <f>ELEC!C30</f>
        <v>44953</v>
      </c>
      <c r="B30" s="78">
        <f t="shared" si="6"/>
        <v>1127523</v>
      </c>
      <c r="C30" s="78">
        <f t="shared" si="0"/>
        <v>0</v>
      </c>
      <c r="D30" s="264">
        <f t="shared" si="13"/>
        <v>0</v>
      </c>
      <c r="E30" s="264">
        <f t="shared" si="14"/>
        <v>1127523</v>
      </c>
      <c r="F30" s="78">
        <f t="shared" si="15"/>
        <v>161640</v>
      </c>
      <c r="G30" s="152">
        <f t="shared" si="1"/>
        <v>0</v>
      </c>
      <c r="H30" s="78">
        <f t="shared" si="7"/>
        <v>563797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7302717</v>
      </c>
      <c r="AC30" s="225"/>
    </row>
    <row r="31" spans="1:32" ht="20.100000000000001" customHeight="1">
      <c r="A31" s="155">
        <f>ELEC!C31</f>
        <v>44954</v>
      </c>
      <c r="B31" s="78">
        <f t="shared" si="6"/>
        <v>1127523</v>
      </c>
      <c r="C31" s="78">
        <f>SUM(B31-B30)</f>
        <v>0</v>
      </c>
      <c r="D31" s="264">
        <f t="shared" si="13"/>
        <v>0</v>
      </c>
      <c r="E31" s="264">
        <f t="shared" si="14"/>
        <v>1127523</v>
      </c>
      <c r="F31" s="78">
        <f t="shared" si="15"/>
        <v>161640</v>
      </c>
      <c r="G31" s="152">
        <f>F31-F30</f>
        <v>0</v>
      </c>
      <c r="H31" s="78">
        <f t="shared" si="7"/>
        <v>563797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44955</v>
      </c>
      <c r="B32" s="78">
        <f t="shared" si="6"/>
        <v>1127523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1127523</v>
      </c>
      <c r="F32" s="78">
        <f t="shared" si="15"/>
        <v>161640</v>
      </c>
      <c r="G32" s="152">
        <f t="shared" ref="G32:G34" si="22">F32-F31</f>
        <v>0</v>
      </c>
      <c r="H32" s="78">
        <f t="shared" si="7"/>
        <v>563797</v>
      </c>
      <c r="I32" s="153">
        <f t="shared" ref="I32:I34" si="23">H32-H31</f>
        <v>0</v>
      </c>
      <c r="J32" s="78">
        <f t="shared" si="8"/>
        <v>401939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229</v>
      </c>
      <c r="W32" s="360">
        <f>'Utility Cost '!B18</f>
        <v>76</v>
      </c>
      <c r="X32" s="207">
        <f>SUM(W32/A35)</f>
        <v>76</v>
      </c>
      <c r="Y32" s="231">
        <f>SUM(X32/1)</f>
        <v>76</v>
      </c>
      <c r="Z32" s="3"/>
      <c r="AA32" s="185"/>
      <c r="AB32" s="185"/>
      <c r="AC32" s="225"/>
    </row>
    <row r="33" spans="1:30" ht="20.100000000000001" customHeight="1">
      <c r="A33" s="155">
        <f>ELEC!C33</f>
        <v>44956</v>
      </c>
      <c r="B33" s="78">
        <f t="shared" si="6"/>
        <v>1127523</v>
      </c>
      <c r="C33" s="78">
        <f t="shared" si="20"/>
        <v>0</v>
      </c>
      <c r="D33" s="264">
        <f t="shared" si="21"/>
        <v>0</v>
      </c>
      <c r="E33" s="264">
        <f t="shared" si="14"/>
        <v>1127523</v>
      </c>
      <c r="F33" s="78">
        <f t="shared" si="15"/>
        <v>161640</v>
      </c>
      <c r="G33" s="152">
        <f t="shared" si="22"/>
        <v>0</v>
      </c>
      <c r="H33" s="78">
        <f t="shared" si="7"/>
        <v>563797</v>
      </c>
      <c r="I33" s="153">
        <f t="shared" si="23"/>
        <v>0</v>
      </c>
      <c r="J33" s="78">
        <f t="shared" si="8"/>
        <v>401939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243.86</v>
      </c>
      <c r="R33" s="255">
        <f t="shared" si="29"/>
        <v>398.6630385705879</v>
      </c>
      <c r="S33" s="257">
        <f>SUM(ELEC!N33)</f>
        <v>0</v>
      </c>
      <c r="T33" s="288">
        <f t="shared" si="30"/>
        <v>0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803298.87</v>
      </c>
      <c r="AC33" s="225">
        <f>SUM(AC29)</f>
        <v>7234333</v>
      </c>
    </row>
    <row r="34" spans="1:30" ht="20.100000000000001" customHeight="1">
      <c r="A34" s="155">
        <f>ELEC!C34</f>
        <v>44957</v>
      </c>
      <c r="B34" s="78">
        <f t="shared" si="6"/>
        <v>1127523</v>
      </c>
      <c r="C34" s="78">
        <f t="shared" si="20"/>
        <v>0</v>
      </c>
      <c r="D34" s="264">
        <f t="shared" si="21"/>
        <v>0</v>
      </c>
      <c r="E34" s="264">
        <f t="shared" si="14"/>
        <v>1127523</v>
      </c>
      <c r="F34" s="78">
        <f t="shared" si="15"/>
        <v>161640</v>
      </c>
      <c r="G34" s="152">
        <f t="shared" si="22"/>
        <v>0</v>
      </c>
      <c r="H34" s="78">
        <f t="shared" si="7"/>
        <v>563797</v>
      </c>
      <c r="I34" s="153">
        <f t="shared" si="23"/>
        <v>0</v>
      </c>
      <c r="J34" s="78">
        <f t="shared" si="8"/>
        <v>401939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232</v>
      </c>
      <c r="Z34" s="3"/>
      <c r="AA34" s="3"/>
      <c r="AB34" s="445">
        <f>AB30+AB33</f>
        <v>8106015.8700000001</v>
      </c>
      <c r="AC34" s="225">
        <f>SUM(AC30)</f>
        <v>0</v>
      </c>
    </row>
    <row r="35" spans="1:30" ht="15.75" thickBot="1">
      <c r="A35" s="442">
        <f>A37-COUNTIF(C4:C33,0)</f>
        <v>1</v>
      </c>
      <c r="C35" s="164">
        <f>SUM(C4:C34)/A35</f>
        <v>0</v>
      </c>
      <c r="D35" s="164"/>
      <c r="E35" s="164"/>
      <c r="F35" s="487"/>
      <c r="G35" s="487">
        <f>SUM(G4:G34)/A35</f>
        <v>0</v>
      </c>
      <c r="H35" s="164"/>
      <c r="I35" s="164">
        <f>SUM(I4:I34)/A35</f>
        <v>0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 t="e">
        <f>SUM(G36:K36)</f>
        <v>#DIV/0!</v>
      </c>
      <c r="G36" s="210">
        <f>IF(C35&gt;0,G35/C35,0)</f>
        <v>0</v>
      </c>
      <c r="H36" s="199"/>
      <c r="I36" s="210" t="e">
        <f>SUM(I35/C35)</f>
        <v>#DIV/0!</v>
      </c>
      <c r="J36" s="199"/>
      <c r="K36" s="210" t="e">
        <f>SUM(K35/C35)</f>
        <v>#DIV/0!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4844.2567164179109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4844.2567164179109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60"/>
      <c r="AC45" s="560"/>
      <c r="AD45" s="471"/>
    </row>
    <row r="46" spans="1:30">
      <c r="V46" s="560"/>
      <c r="W46" s="560"/>
      <c r="X46" s="560"/>
      <c r="Y46" s="560"/>
      <c r="Z46" s="226"/>
      <c r="AA46" s="226"/>
      <c r="AB46" s="560"/>
      <c r="AC46" s="560"/>
      <c r="AD46" s="471"/>
    </row>
    <row r="47" spans="1:30">
      <c r="V47" s="560"/>
      <c r="W47" s="560"/>
      <c r="X47" s="560"/>
      <c r="Y47" s="560"/>
      <c r="Z47" s="560"/>
      <c r="AA47" s="560"/>
      <c r="AB47" s="560"/>
      <c r="AC47" s="560"/>
      <c r="AD47" s="471"/>
    </row>
    <row r="48" spans="1:30">
      <c r="V48" s="561"/>
      <c r="W48" s="561"/>
      <c r="X48" s="562"/>
      <c r="Y48" s="562"/>
      <c r="Z48" s="562"/>
      <c r="AA48" s="1"/>
      <c r="AB48" s="560"/>
      <c r="AC48" s="560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9"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14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44926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44927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2464</v>
      </c>
      <c r="D4" s="3">
        <f t="shared" si="0"/>
        <v>-955.00000000168802</v>
      </c>
      <c r="E4" s="3">
        <f>ELEC!Q6</f>
        <v>3419.000000001688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-17.699999999999974</v>
      </c>
      <c r="J4" s="9">
        <f>'B5'!A6</f>
        <v>44928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2763</v>
      </c>
      <c r="D5" s="3">
        <f t="shared" si="0"/>
        <v>25.99999999901047</v>
      </c>
      <c r="E5" s="3">
        <f>ELEC!Q7</f>
        <v>2737.0000000009895</v>
      </c>
      <c r="F5" s="3">
        <f>GEN!Z5</f>
        <v>10</v>
      </c>
      <c r="G5" s="3">
        <f>WATER!C8+WATER!H8</f>
        <v>0</v>
      </c>
      <c r="H5" s="3">
        <f>WATER!L8</f>
        <v>0</v>
      </c>
      <c r="I5" s="15">
        <f>WATER!BC8+WATER!BD8+WATER!BE9-Sheet1!G5</f>
        <v>-14.599999999999966</v>
      </c>
      <c r="J5" s="9">
        <f>'B5'!A7</f>
        <v>44929</v>
      </c>
    </row>
    <row r="6" spans="1:10">
      <c r="A6" s="3">
        <f>ELEC!T8+ELEC!X8+ELEC!AB8</f>
        <v>0</v>
      </c>
      <c r="B6" s="3">
        <f>ELEC!AF8</f>
        <v>0</v>
      </c>
      <c r="C6" s="3">
        <f>ELEC!N8</f>
        <v>2299</v>
      </c>
      <c r="D6" s="3">
        <f t="shared" si="0"/>
        <v>2299</v>
      </c>
      <c r="E6" s="3">
        <f>ELEC!Q25</f>
        <v>0</v>
      </c>
      <c r="F6" s="3">
        <f>GEN!Z6</f>
        <v>17</v>
      </c>
      <c r="G6" s="3">
        <f>WATER!C9+WATER!H9</f>
        <v>0</v>
      </c>
      <c r="H6" s="3">
        <f>WATER!L9</f>
        <v>0</v>
      </c>
      <c r="I6" s="15">
        <f>WATER!BC9+WATER!BD9+WATER!BE10-Sheet1!G6</f>
        <v>-16.399999999999991</v>
      </c>
      <c r="J6" s="9">
        <f>'B5'!A8</f>
        <v>44930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-6.9000000000000057</v>
      </c>
      <c r="J7" s="9">
        <f>'B5'!A9</f>
        <v>44931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44932</v>
      </c>
    </row>
    <row r="9" spans="1:10">
      <c r="A9" s="3">
        <f>ELEC!T11+ELEC!X11+ELEC!AB11</f>
        <v>1</v>
      </c>
      <c r="B9" s="3">
        <f>ELEC!AF11</f>
        <v>251</v>
      </c>
      <c r="C9" s="3">
        <f>ELEC!N11</f>
        <v>2330</v>
      </c>
      <c r="D9" s="3">
        <f t="shared" si="0"/>
        <v>-32.00000000098953</v>
      </c>
      <c r="E9" s="3">
        <f>ELEC!Q11</f>
        <v>2362.0000000009895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-9.7999999999999972</v>
      </c>
      <c r="J9" s="9">
        <f>'B5'!A11</f>
        <v>44933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3064</v>
      </c>
      <c r="D10" s="3">
        <f t="shared" si="0"/>
        <v>-69.000000001629815</v>
      </c>
      <c r="E10" s="3">
        <f>ELEC!Q12</f>
        <v>3133.0000000016298</v>
      </c>
      <c r="F10" s="3">
        <f>GEN!Z10</f>
        <v>11</v>
      </c>
      <c r="G10" s="3">
        <f>WATER!C13+WATER!H13</f>
        <v>5</v>
      </c>
      <c r="H10" s="3">
        <f>WATER!L13</f>
        <v>0</v>
      </c>
      <c r="I10" s="15">
        <f>WATER!BC13+WATER!BD13+WATER!BE14-Sheet1!G10</f>
        <v>-24.300000000000026</v>
      </c>
      <c r="J10" s="9">
        <f>'B5'!A12</f>
        <v>44934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2908</v>
      </c>
      <c r="D11" s="3">
        <f t="shared" si="0"/>
        <v>-49.999999998719431</v>
      </c>
      <c r="E11" s="3">
        <f>ELEC!Q13</f>
        <v>2957.9999999987194</v>
      </c>
      <c r="F11" s="3">
        <f>GEN!Z11</f>
        <v>15</v>
      </c>
      <c r="G11" s="3">
        <f>WATER!C14+WATER!H14</f>
        <v>0</v>
      </c>
      <c r="H11" s="3">
        <f>WATER!L14</f>
        <v>0</v>
      </c>
      <c r="I11" s="15">
        <f>WATER!BC14+WATER!BD14+WATER!BE15-Sheet1!G11</f>
        <v>-41.400000000000006</v>
      </c>
      <c r="J11" s="9">
        <f>'B5'!A13</f>
        <v>44935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13</v>
      </c>
      <c r="G12" s="3">
        <f>WATER!C15+WATER!H15</f>
        <v>0</v>
      </c>
      <c r="H12" s="3">
        <f>WATER!L15</f>
        <v>0</v>
      </c>
      <c r="I12" s="15">
        <f>WATER!BC15+WATER!BD15+WATER!BE16-Sheet1!G12</f>
        <v>-3.9999999999999716</v>
      </c>
      <c r="J12" s="9">
        <f>'B5'!A14</f>
        <v>44936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44937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44938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44939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44940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44941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44942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44943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44944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44945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44946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44947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44948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44949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44950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44951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44952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44953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44954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5"/>
      <c r="B1" s="582" t="s">
        <v>244</v>
      </c>
      <c r="C1" s="582" t="s">
        <v>245</v>
      </c>
      <c r="D1" s="587" t="s">
        <v>246</v>
      </c>
      <c r="E1" s="587" t="s">
        <v>247</v>
      </c>
      <c r="F1" s="588" t="s">
        <v>248</v>
      </c>
      <c r="G1" s="589" t="s">
        <v>249</v>
      </c>
      <c r="H1" s="590" t="s">
        <v>250</v>
      </c>
      <c r="I1" s="591" t="s">
        <v>251</v>
      </c>
      <c r="J1" s="590" t="s">
        <v>252</v>
      </c>
      <c r="K1" s="584" t="s">
        <v>253</v>
      </c>
      <c r="L1" s="584" t="s">
        <v>254</v>
      </c>
      <c r="M1" s="584" t="s">
        <v>255</v>
      </c>
      <c r="N1" s="584" t="s">
        <v>256</v>
      </c>
    </row>
    <row r="2" spans="1:14">
      <c r="A2" s="586"/>
      <c r="B2" s="583"/>
      <c r="C2" s="583"/>
      <c r="D2" s="587"/>
      <c r="E2" s="587"/>
      <c r="F2" s="588"/>
      <c r="G2" s="589"/>
      <c r="H2" s="590"/>
      <c r="I2" s="592"/>
      <c r="J2" s="590"/>
      <c r="K2" s="584"/>
      <c r="L2" s="584"/>
      <c r="M2" s="584"/>
      <c r="N2" s="584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44927</v>
      </c>
      <c r="B5" s="74">
        <f>'B5'!V5</f>
        <v>0</v>
      </c>
      <c r="C5" s="74">
        <f>'B5'!AH5</f>
        <v>0</v>
      </c>
      <c r="D5" s="74">
        <f>GEN!AI3</f>
        <v>0</v>
      </c>
      <c r="E5" s="223">
        <f t="shared" ref="E5:E33" si="0">B5+C5+D5</f>
        <v>0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0</v>
      </c>
      <c r="J5" s="77">
        <f>ELEC!R4</f>
        <v>0</v>
      </c>
      <c r="K5" s="78"/>
      <c r="L5" s="3"/>
      <c r="M5" s="3"/>
      <c r="N5" s="3"/>
    </row>
    <row r="6" spans="1:14">
      <c r="A6" s="62">
        <f>'B5'!A6</f>
        <v>44928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0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44929</v>
      </c>
      <c r="B7" s="74">
        <f>'B5'!V7</f>
        <v>84</v>
      </c>
      <c r="C7" s="74">
        <f>'B5'!AH7</f>
        <v>0</v>
      </c>
      <c r="D7" s="74">
        <f>GEN!AI5</f>
        <v>879.99578059115186</v>
      </c>
      <c r="E7" s="223">
        <f t="shared" si="0"/>
        <v>963.99578059115186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3419.000000001688</v>
      </c>
      <c r="J7" s="77">
        <f>ELEC!R6</f>
        <v>-955.00000000168802</v>
      </c>
      <c r="K7" s="3"/>
      <c r="L7" s="3"/>
      <c r="M7" s="3"/>
      <c r="N7" s="3"/>
    </row>
    <row r="8" spans="1:14">
      <c r="A8" s="62">
        <f>'B5'!A8</f>
        <v>44930</v>
      </c>
      <c r="B8" s="74">
        <f>'B5'!V8</f>
        <v>206</v>
      </c>
      <c r="C8" s="74">
        <f>'B5'!AH8</f>
        <v>91</v>
      </c>
      <c r="D8" s="74">
        <f>GEN!AI6</f>
        <v>704.45991561206904</v>
      </c>
      <c r="E8" s="223">
        <f t="shared" si="0"/>
        <v>1001.459915612069</v>
      </c>
      <c r="F8" s="73">
        <f>WATER!L8</f>
        <v>0</v>
      </c>
      <c r="G8" s="76">
        <f>WATER!BG8</f>
        <v>-17.699999999999974</v>
      </c>
      <c r="H8" s="77">
        <f>ELEC!AF7</f>
        <v>0</v>
      </c>
      <c r="I8" s="77">
        <f>ELEC!Q7</f>
        <v>2737.0000000009895</v>
      </c>
      <c r="J8" s="77">
        <f>ELEC!R7</f>
        <v>25.99999999901047</v>
      </c>
      <c r="K8" s="3"/>
      <c r="L8" s="3"/>
      <c r="M8" s="3"/>
      <c r="N8" s="3"/>
    </row>
    <row r="9" spans="1:14">
      <c r="A9" s="62">
        <f>'B5'!A9</f>
        <v>44931</v>
      </c>
      <c r="B9" s="74">
        <f>'B5'!V9</f>
        <v>113</v>
      </c>
      <c r="C9" s="74">
        <f>'B5'!AH9</f>
        <v>0</v>
      </c>
      <c r="D9" s="74">
        <f>GEN!AI7</f>
        <v>602.79324894435365</v>
      </c>
      <c r="E9" s="223">
        <f t="shared" si="0"/>
        <v>715.79324894435365</v>
      </c>
      <c r="F9" s="73">
        <f>WATER!L9</f>
        <v>0</v>
      </c>
      <c r="G9" s="76">
        <f>WATER!BG9</f>
        <v>-9.4999999999999858</v>
      </c>
      <c r="H9" s="77">
        <f>ELEC!AF8</f>
        <v>0</v>
      </c>
      <c r="I9" s="77">
        <f>ELEC!Q8</f>
        <v>2341.999999996915</v>
      </c>
      <c r="J9" s="77">
        <f>ELEC!R8</f>
        <v>-42.999999996914994</v>
      </c>
      <c r="K9" s="3"/>
      <c r="L9" s="3"/>
      <c r="M9" s="3"/>
      <c r="N9" s="3"/>
    </row>
    <row r="10" spans="1:14">
      <c r="A10" s="62">
        <f>'B5'!A10</f>
        <v>44932</v>
      </c>
      <c r="B10" s="74">
        <f>'B5'!V10</f>
        <v>0</v>
      </c>
      <c r="C10" s="74">
        <f>'B5'!AH10</f>
        <v>0</v>
      </c>
      <c r="D10" s="74">
        <f>GEN!AI8</f>
        <v>0</v>
      </c>
      <c r="E10" s="223">
        <f t="shared" si="0"/>
        <v>0</v>
      </c>
      <c r="F10" s="73">
        <f>WATER!L10</f>
        <v>0</v>
      </c>
      <c r="G10" s="76">
        <f>WATER!BG10</f>
        <v>-6.9000000000000057</v>
      </c>
      <c r="H10" s="77">
        <f>ELEC!AF9</f>
        <v>0</v>
      </c>
      <c r="I10" s="77">
        <f>ELEC!Q9</f>
        <v>0</v>
      </c>
      <c r="J10" s="77">
        <f>ELEC!R9</f>
        <v>0</v>
      </c>
      <c r="K10" s="3"/>
      <c r="L10" s="3"/>
      <c r="M10" s="3"/>
      <c r="N10" s="3"/>
    </row>
    <row r="11" spans="1:14">
      <c r="A11" s="62">
        <f>'B5'!A11</f>
        <v>44933</v>
      </c>
      <c r="B11" s="74">
        <f>'B5'!V11</f>
        <v>0</v>
      </c>
      <c r="C11" s="74">
        <f>'B5'!AH11</f>
        <v>0</v>
      </c>
      <c r="D11" s="74">
        <f>GEN!AI9</f>
        <v>0</v>
      </c>
      <c r="E11" s="223">
        <f t="shared" si="0"/>
        <v>0</v>
      </c>
      <c r="F11" s="73">
        <f>WATER!L11</f>
        <v>0</v>
      </c>
      <c r="G11" s="76">
        <f>WATER!BG11</f>
        <v>0</v>
      </c>
      <c r="H11" s="77">
        <f>ELEC!AF10</f>
        <v>0</v>
      </c>
      <c r="I11" s="77">
        <f>ELEC!Q10</f>
        <v>0</v>
      </c>
      <c r="J11" s="77">
        <f>ELEC!R10</f>
        <v>0</v>
      </c>
      <c r="K11" s="3"/>
      <c r="L11" s="3"/>
      <c r="M11" s="3"/>
      <c r="N11" s="3"/>
    </row>
    <row r="12" spans="1:14">
      <c r="A12" s="62">
        <f>'B5'!A12</f>
        <v>44934</v>
      </c>
      <c r="B12" s="74">
        <f>'B5'!V12</f>
        <v>180</v>
      </c>
      <c r="C12" s="74">
        <f>'B5'!AH12</f>
        <v>0</v>
      </c>
      <c r="D12" s="74">
        <f>GEN!AI10</f>
        <v>607.94092827029692</v>
      </c>
      <c r="E12" s="223">
        <f t="shared" si="0"/>
        <v>787.94092827029692</v>
      </c>
      <c r="F12" s="73">
        <f>WATER!L12</f>
        <v>0</v>
      </c>
      <c r="G12" s="76">
        <f>WATER!BG12</f>
        <v>0</v>
      </c>
      <c r="H12" s="77">
        <f>ELEC!AF11</f>
        <v>251</v>
      </c>
      <c r="I12" s="77">
        <f>ELEC!Q11</f>
        <v>2362.0000000009895</v>
      </c>
      <c r="J12" s="77">
        <f>ELEC!R11</f>
        <v>-32.00000000098953</v>
      </c>
      <c r="K12" s="3"/>
      <c r="L12" s="3"/>
      <c r="M12" s="3"/>
      <c r="N12" s="3"/>
    </row>
    <row r="13" spans="1:14">
      <c r="A13" s="62">
        <f>'B5'!A13</f>
        <v>44935</v>
      </c>
      <c r="B13" s="74">
        <f>'B5'!V13</f>
        <v>207</v>
      </c>
      <c r="C13" s="74">
        <f>'B5'!AH13</f>
        <v>69.5</v>
      </c>
      <c r="D13" s="74">
        <f>GEN!AI11</f>
        <v>806.3839662451453</v>
      </c>
      <c r="E13" s="223">
        <f t="shared" si="0"/>
        <v>1082.8839662451453</v>
      </c>
      <c r="F13" s="73">
        <f>WATER!L13</f>
        <v>0</v>
      </c>
      <c r="G13" s="76">
        <f>WATER!BG13</f>
        <v>-9.7999999999999972</v>
      </c>
      <c r="H13" s="77">
        <f>ELEC!AF12</f>
        <v>0</v>
      </c>
      <c r="I13" s="77">
        <f>ELEC!Q12</f>
        <v>3133.0000000016298</v>
      </c>
      <c r="J13" s="77">
        <f>ELEC!R12</f>
        <v>-69.000000001629815</v>
      </c>
      <c r="K13" s="3"/>
      <c r="L13" s="3"/>
      <c r="M13" s="3"/>
      <c r="N13" s="3"/>
    </row>
    <row r="14" spans="1:14">
      <c r="A14" s="62">
        <f>'B5'!A14</f>
        <v>44936</v>
      </c>
      <c r="B14" s="74">
        <f>'B5'!V14</f>
        <v>67</v>
      </c>
      <c r="C14" s="74">
        <f>'B5'!AH14</f>
        <v>0</v>
      </c>
      <c r="D14" s="74">
        <f>GEN!AI12</f>
        <v>761.34177215156922</v>
      </c>
      <c r="E14" s="223">
        <f t="shared" si="0"/>
        <v>828.34177215156922</v>
      </c>
      <c r="F14" s="73">
        <f>WATER!L14</f>
        <v>0</v>
      </c>
      <c r="G14" s="76">
        <f>WATER!BG14</f>
        <v>-9.5000000000000284</v>
      </c>
      <c r="H14" s="77">
        <f>ELEC!AF13</f>
        <v>0</v>
      </c>
      <c r="I14" s="77">
        <f>ELEC!Q13</f>
        <v>2957.9999999987194</v>
      </c>
      <c r="J14" s="77">
        <f>ELEC!R13</f>
        <v>-49.999999998719431</v>
      </c>
      <c r="K14" s="3"/>
      <c r="L14" s="3"/>
      <c r="M14" s="3"/>
      <c r="N14" s="3"/>
    </row>
    <row r="15" spans="1:14">
      <c r="A15" s="62">
        <f>'B5'!A15</f>
        <v>44937</v>
      </c>
      <c r="B15" s="74">
        <f>'B5'!V15</f>
        <v>0</v>
      </c>
      <c r="C15" s="74">
        <f>'B5'!AH15</f>
        <v>0</v>
      </c>
      <c r="D15" s="74">
        <f>GEN!AI13</f>
        <v>0</v>
      </c>
      <c r="E15" s="223">
        <f t="shared" si="0"/>
        <v>0</v>
      </c>
      <c r="F15" s="73">
        <f>WATER!L15</f>
        <v>0</v>
      </c>
      <c r="G15" s="76">
        <f>WATER!BG15</f>
        <v>-31.899999999999977</v>
      </c>
      <c r="H15" s="77">
        <f>ELEC!AF14</f>
        <v>0</v>
      </c>
      <c r="I15" s="77">
        <f>ELEC!Q14</f>
        <v>0</v>
      </c>
      <c r="J15" s="77">
        <f>ELEC!R14</f>
        <v>0</v>
      </c>
      <c r="K15" s="3"/>
      <c r="L15" s="3"/>
      <c r="M15" s="3"/>
      <c r="N15" s="3"/>
    </row>
    <row r="16" spans="1:14">
      <c r="A16" s="62">
        <f>'B5'!A16</f>
        <v>44938</v>
      </c>
      <c r="B16" s="74">
        <f>'B5'!V16</f>
        <v>0</v>
      </c>
      <c r="C16" s="74">
        <f>'B5'!AH16</f>
        <v>0</v>
      </c>
      <c r="D16" s="74">
        <f>GEN!AI14</f>
        <v>0</v>
      </c>
      <c r="E16" s="223">
        <f t="shared" si="0"/>
        <v>0</v>
      </c>
      <c r="F16" s="73">
        <f>WATER!L16</f>
        <v>0</v>
      </c>
      <c r="G16" s="76">
        <f>WATER!BG16</f>
        <v>0</v>
      </c>
      <c r="H16" s="77">
        <f>ELEC!AF15</f>
        <v>0</v>
      </c>
      <c r="I16" s="77">
        <f>ELEC!Q15</f>
        <v>0</v>
      </c>
      <c r="J16" s="77">
        <f>ELEC!R15</f>
        <v>0</v>
      </c>
      <c r="K16" s="3"/>
      <c r="L16" s="3"/>
      <c r="M16" s="3"/>
      <c r="N16" s="3"/>
    </row>
    <row r="17" spans="1:14">
      <c r="A17" s="62">
        <f>'B5'!A17</f>
        <v>44939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0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44940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44941</v>
      </c>
      <c r="B19" s="74">
        <f>'B5'!V19</f>
        <v>0</v>
      </c>
      <c r="C19" s="74">
        <f>'B5'!AH19</f>
        <v>0</v>
      </c>
      <c r="D19" s="74">
        <f>GEN!AI17</f>
        <v>0</v>
      </c>
      <c r="E19" s="223">
        <f t="shared" si="0"/>
        <v>0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0</v>
      </c>
      <c r="J19" s="77">
        <f>ELEC!R18</f>
        <v>0</v>
      </c>
      <c r="K19" s="3"/>
      <c r="L19" s="3"/>
      <c r="M19" s="3"/>
      <c r="N19" s="3"/>
    </row>
    <row r="20" spans="1:14">
      <c r="A20" s="62">
        <f>'B5'!A20</f>
        <v>44942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0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44943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44944</v>
      </c>
      <c r="B22" s="74">
        <f>'B5'!V22</f>
        <v>0</v>
      </c>
      <c r="C22" s="74">
        <f>'B5'!AH22</f>
        <v>0</v>
      </c>
      <c r="D22" s="74">
        <f>GEN!AI20</f>
        <v>0</v>
      </c>
      <c r="E22" s="223">
        <f t="shared" si="0"/>
        <v>0</v>
      </c>
      <c r="F22" s="73">
        <f>WATER!L22</f>
        <v>0</v>
      </c>
      <c r="G22" s="76">
        <f>WATER!BG22</f>
        <v>0</v>
      </c>
      <c r="H22" s="77">
        <f>ELEC!AF21</f>
        <v>0</v>
      </c>
      <c r="I22" s="77">
        <f>ELEC!Q21</f>
        <v>0</v>
      </c>
      <c r="J22" s="77">
        <f>ELEC!R21</f>
        <v>0</v>
      </c>
      <c r="K22" s="3"/>
      <c r="L22" s="3"/>
      <c r="M22" s="3"/>
      <c r="N22" s="3"/>
    </row>
    <row r="23" spans="1:14">
      <c r="A23" s="62">
        <f>'B5'!A23</f>
        <v>44945</v>
      </c>
      <c r="B23" s="74">
        <f>'B5'!V23</f>
        <v>0</v>
      </c>
      <c r="C23" s="74">
        <f>'B5'!AH23</f>
        <v>0</v>
      </c>
      <c r="D23" s="74">
        <f>GEN!AI21</f>
        <v>0</v>
      </c>
      <c r="E23" s="223">
        <f t="shared" si="0"/>
        <v>0</v>
      </c>
      <c r="F23" s="73">
        <f>WATER!L23</f>
        <v>0</v>
      </c>
      <c r="G23" s="76">
        <f>WATER!BG23</f>
        <v>0</v>
      </c>
      <c r="H23" s="77">
        <f>ELEC!AF22</f>
        <v>0</v>
      </c>
      <c r="I23" s="77">
        <f>ELEC!Q22</f>
        <v>0</v>
      </c>
      <c r="J23" s="77">
        <f>ELEC!R22</f>
        <v>0</v>
      </c>
      <c r="K23" s="3"/>
      <c r="L23" s="3"/>
      <c r="M23" s="3"/>
      <c r="N23" s="3"/>
    </row>
    <row r="24" spans="1:14">
      <c r="A24" s="62">
        <f>'B5'!A24</f>
        <v>44946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44947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44948</v>
      </c>
      <c r="B26" s="74">
        <f>'B5'!V26</f>
        <v>0</v>
      </c>
      <c r="C26" s="74">
        <f>'B5'!AH26</f>
        <v>0</v>
      </c>
      <c r="D26" s="74">
        <f>GEN!AI24</f>
        <v>0</v>
      </c>
      <c r="E26" s="223">
        <f t="shared" si="0"/>
        <v>0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0</v>
      </c>
      <c r="J26" s="77">
        <f>ELEC!R25</f>
        <v>0</v>
      </c>
      <c r="K26" s="3"/>
      <c r="L26" s="3"/>
      <c r="M26" s="3"/>
      <c r="N26" s="3"/>
    </row>
    <row r="27" spans="1:14">
      <c r="A27" s="62">
        <f>'B5'!A27</f>
        <v>44949</v>
      </c>
      <c r="B27" s="74">
        <f>'B5'!V27</f>
        <v>0</v>
      </c>
      <c r="C27" s="74">
        <f>'B5'!AH27</f>
        <v>0</v>
      </c>
      <c r="D27" s="74">
        <f>GEN!AI25</f>
        <v>0</v>
      </c>
      <c r="E27" s="223">
        <f t="shared" si="0"/>
        <v>0</v>
      </c>
      <c r="F27" s="73">
        <f>WATER!L27</f>
        <v>0</v>
      </c>
      <c r="G27" s="76">
        <f>WATER!BG27</f>
        <v>0</v>
      </c>
      <c r="H27" s="77">
        <f>ELEC!AF26</f>
        <v>0</v>
      </c>
      <c r="I27" s="77">
        <f>ELEC!Q26</f>
        <v>0</v>
      </c>
      <c r="J27" s="77">
        <f>ELEC!R26</f>
        <v>0</v>
      </c>
      <c r="K27" s="3"/>
      <c r="L27" s="3"/>
      <c r="M27" s="3"/>
      <c r="N27" s="3"/>
    </row>
    <row r="28" spans="1:14">
      <c r="A28" s="62">
        <f>'B5'!A28</f>
        <v>44950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44951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44952</v>
      </c>
      <c r="B30" s="74">
        <f>'B5'!V30</f>
        <v>0</v>
      </c>
      <c r="C30" s="74">
        <f>'B5'!AH30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44953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44954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60" t="s">
        <v>257</v>
      </c>
      <c r="U3" s="560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118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5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5">
        <v>42438</v>
      </c>
      <c r="D14">
        <f>'B5'!AL13</f>
        <v>2</v>
      </c>
      <c r="E14">
        <f t="shared" si="0"/>
        <v>180</v>
      </c>
      <c r="F14">
        <f>'B5'!AM13</f>
        <v>1</v>
      </c>
      <c r="G14">
        <f t="shared" si="1"/>
        <v>107</v>
      </c>
    </row>
    <row r="15" spans="3:21">
      <c r="C15" s="95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-1</v>
      </c>
      <c r="E23">
        <f t="shared" si="0"/>
        <v>-90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2" t="s">
        <v>126</v>
      </c>
      <c r="B1" s="614" t="s">
        <v>274</v>
      </c>
      <c r="C1" s="615"/>
      <c r="D1" s="617"/>
      <c r="E1" s="614" t="s">
        <v>275</v>
      </c>
      <c r="F1" s="615"/>
      <c r="G1" s="616"/>
      <c r="H1" s="611" t="s">
        <v>276</v>
      </c>
      <c r="I1" s="608" t="s">
        <v>277</v>
      </c>
      <c r="J1" s="605" t="s">
        <v>278</v>
      </c>
    </row>
    <row r="2" spans="1:18" ht="38.25" thickBot="1">
      <c r="A2" s="603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2"/>
      <c r="I2" s="609"/>
      <c r="J2" s="606"/>
    </row>
    <row r="3" spans="1:18" ht="24" customHeight="1" thickBot="1">
      <c r="A3" s="604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3"/>
      <c r="I3" s="610"/>
      <c r="J3" s="607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3" t="s">
        <v>287</v>
      </c>
      <c r="C5" s="594"/>
      <c r="D5" s="594"/>
      <c r="E5" s="594"/>
      <c r="F5" s="594"/>
      <c r="G5" s="595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44927</v>
      </c>
      <c r="B6" s="596"/>
      <c r="C6" s="597"/>
      <c r="D6" s="597"/>
      <c r="E6" s="597"/>
      <c r="F6" s="597"/>
      <c r="G6" s="598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44927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44928</v>
      </c>
      <c r="B7" s="596"/>
      <c r="C7" s="597"/>
      <c r="D7" s="597"/>
      <c r="E7" s="597"/>
      <c r="F7" s="597"/>
      <c r="G7" s="598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44928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44929</v>
      </c>
      <c r="B8" s="596"/>
      <c r="C8" s="597"/>
      <c r="D8" s="597"/>
      <c r="E8" s="597"/>
      <c r="F8" s="597"/>
      <c r="G8" s="598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44929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44930</v>
      </c>
      <c r="B9" s="596"/>
      <c r="C9" s="597"/>
      <c r="D9" s="597"/>
      <c r="E9" s="597"/>
      <c r="F9" s="597"/>
      <c r="G9" s="598"/>
      <c r="H9" s="512">
        <v>7082</v>
      </c>
      <c r="I9" s="3">
        <f t="shared" si="4"/>
        <v>7082</v>
      </c>
      <c r="J9" s="415">
        <v>0.25</v>
      </c>
      <c r="L9" s="95">
        <f t="shared" si="0"/>
        <v>44930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44931</v>
      </c>
      <c r="B10" s="596"/>
      <c r="C10" s="597"/>
      <c r="D10" s="597"/>
      <c r="E10" s="597"/>
      <c r="F10" s="597"/>
      <c r="G10" s="598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44931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44932</v>
      </c>
      <c r="B11" s="596"/>
      <c r="C11" s="597"/>
      <c r="D11" s="597"/>
      <c r="E11" s="597"/>
      <c r="F11" s="597"/>
      <c r="G11" s="598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44932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44933</v>
      </c>
      <c r="B12" s="596"/>
      <c r="C12" s="597"/>
      <c r="D12" s="597"/>
      <c r="E12" s="597"/>
      <c r="F12" s="597"/>
      <c r="G12" s="598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44933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44934</v>
      </c>
      <c r="B13" s="596"/>
      <c r="C13" s="597"/>
      <c r="D13" s="597"/>
      <c r="E13" s="597"/>
      <c r="F13" s="597"/>
      <c r="G13" s="598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44934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44935</v>
      </c>
      <c r="B14" s="596"/>
      <c r="C14" s="597"/>
      <c r="D14" s="597"/>
      <c r="E14" s="597"/>
      <c r="F14" s="597"/>
      <c r="G14" s="598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44935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44936</v>
      </c>
      <c r="B15" s="596"/>
      <c r="C15" s="597"/>
      <c r="D15" s="597"/>
      <c r="E15" s="597"/>
      <c r="F15" s="597"/>
      <c r="G15" s="598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44936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44937</v>
      </c>
      <c r="B16" s="596"/>
      <c r="C16" s="597"/>
      <c r="D16" s="597"/>
      <c r="E16" s="597"/>
      <c r="F16" s="597"/>
      <c r="G16" s="598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44937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44938</v>
      </c>
      <c r="B17" s="596"/>
      <c r="C17" s="597"/>
      <c r="D17" s="597"/>
      <c r="E17" s="597"/>
      <c r="F17" s="597"/>
      <c r="G17" s="598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44938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44939</v>
      </c>
      <c r="B18" s="596"/>
      <c r="C18" s="597"/>
      <c r="D18" s="597"/>
      <c r="E18" s="597"/>
      <c r="F18" s="597"/>
      <c r="G18" s="598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44939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44940</v>
      </c>
      <c r="B19" s="596"/>
      <c r="C19" s="597"/>
      <c r="D19" s="597"/>
      <c r="E19" s="597"/>
      <c r="F19" s="597"/>
      <c r="G19" s="598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44940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44941</v>
      </c>
      <c r="B20" s="596"/>
      <c r="C20" s="597"/>
      <c r="D20" s="597"/>
      <c r="E20" s="597"/>
      <c r="F20" s="597"/>
      <c r="G20" s="598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44941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44942</v>
      </c>
      <c r="B21" s="596"/>
      <c r="C21" s="597"/>
      <c r="D21" s="597"/>
      <c r="E21" s="597"/>
      <c r="F21" s="597"/>
      <c r="G21" s="598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44942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44943</v>
      </c>
      <c r="B22" s="596"/>
      <c r="C22" s="597"/>
      <c r="D22" s="597"/>
      <c r="E22" s="597"/>
      <c r="F22" s="597"/>
      <c r="G22" s="598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44943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44944</v>
      </c>
      <c r="B23" s="596"/>
      <c r="C23" s="597"/>
      <c r="D23" s="597"/>
      <c r="E23" s="597"/>
      <c r="F23" s="597"/>
      <c r="G23" s="598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44944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44945</v>
      </c>
      <c r="B24" s="596"/>
      <c r="C24" s="597"/>
      <c r="D24" s="597"/>
      <c r="E24" s="597"/>
      <c r="F24" s="597"/>
      <c r="G24" s="598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44945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44946</v>
      </c>
      <c r="B25" s="596"/>
      <c r="C25" s="597"/>
      <c r="D25" s="597"/>
      <c r="E25" s="597"/>
      <c r="F25" s="597"/>
      <c r="G25" s="598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44946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44947</v>
      </c>
      <c r="B26" s="596"/>
      <c r="C26" s="597"/>
      <c r="D26" s="597"/>
      <c r="E26" s="597"/>
      <c r="F26" s="597"/>
      <c r="G26" s="598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44947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44948</v>
      </c>
      <c r="B27" s="596"/>
      <c r="C27" s="597"/>
      <c r="D27" s="597"/>
      <c r="E27" s="597"/>
      <c r="F27" s="597"/>
      <c r="G27" s="598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44948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44949</v>
      </c>
      <c r="B28" s="596"/>
      <c r="C28" s="597"/>
      <c r="D28" s="597"/>
      <c r="E28" s="597"/>
      <c r="F28" s="597"/>
      <c r="G28" s="598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44949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44950</v>
      </c>
      <c r="B29" s="596"/>
      <c r="C29" s="597"/>
      <c r="D29" s="597"/>
      <c r="E29" s="597"/>
      <c r="F29" s="597"/>
      <c r="G29" s="598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44950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44951</v>
      </c>
      <c r="B30" s="596"/>
      <c r="C30" s="597"/>
      <c r="D30" s="597"/>
      <c r="E30" s="597"/>
      <c r="F30" s="597"/>
      <c r="G30" s="598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44951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44952</v>
      </c>
      <c r="B31" s="596"/>
      <c r="C31" s="597"/>
      <c r="D31" s="597"/>
      <c r="E31" s="597"/>
      <c r="F31" s="597"/>
      <c r="G31" s="598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44952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44953</v>
      </c>
      <c r="B32" s="596"/>
      <c r="C32" s="597"/>
      <c r="D32" s="597"/>
      <c r="E32" s="597"/>
      <c r="F32" s="597"/>
      <c r="G32" s="598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44953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44954</v>
      </c>
      <c r="B33" s="596"/>
      <c r="C33" s="597"/>
      <c r="D33" s="597"/>
      <c r="E33" s="597"/>
      <c r="F33" s="597"/>
      <c r="G33" s="598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44954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44955</v>
      </c>
      <c r="B34" s="596"/>
      <c r="C34" s="597"/>
      <c r="D34" s="597"/>
      <c r="E34" s="597"/>
      <c r="F34" s="597"/>
      <c r="G34" s="598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44955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44956</v>
      </c>
      <c r="B35" s="596"/>
      <c r="C35" s="597"/>
      <c r="D35" s="597"/>
      <c r="E35" s="597"/>
      <c r="F35" s="597"/>
      <c r="G35" s="598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44956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44957</v>
      </c>
      <c r="B36" s="599"/>
      <c r="C36" s="600"/>
      <c r="D36" s="600"/>
      <c r="E36" s="600"/>
      <c r="F36" s="600"/>
      <c r="G36" s="601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44957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I49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18" t="s">
        <v>289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</row>
    <row r="2" spans="1:28" ht="19.5">
      <c r="A2" s="619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</row>
    <row r="3" spans="1:28" ht="19.5">
      <c r="A3" s="619" t="s">
        <v>290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19" t="s">
        <v>291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</row>
    <row r="6" spans="1:28" ht="15.75" thickBot="1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620"/>
    </row>
    <row r="7" spans="1:28" ht="15.75" thickBot="1">
      <c r="A7" s="622" t="s">
        <v>292</v>
      </c>
      <c r="B7" s="623"/>
      <c r="C7" s="624" t="s">
        <v>293</v>
      </c>
      <c r="D7" s="625"/>
      <c r="E7" s="625"/>
      <c r="F7" s="625"/>
      <c r="G7" s="625"/>
      <c r="H7" s="625"/>
      <c r="I7" s="625"/>
      <c r="J7" s="625"/>
      <c r="K7" s="626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'[6]Degree Days 2022'!B10</f>
        <v>0</v>
      </c>
      <c r="C10" s="239">
        <f>'General information '!C5</f>
        <v>13</v>
      </c>
      <c r="D10" s="239">
        <f>'[7]Degree Days 2020'!D10</f>
        <v>-0.80000000000000071</v>
      </c>
      <c r="E10" s="3">
        <v>1</v>
      </c>
      <c r="F10" s="239">
        <f>'[8]Degree Days 2022'!F10</f>
        <v>17</v>
      </c>
      <c r="G10" s="239">
        <f>'[8]Degree Days 2022'!G10</f>
        <v>12</v>
      </c>
      <c r="H10" s="239">
        <f>'[7]Degree Days 2020'!H10</f>
        <v>0.19999999999999929</v>
      </c>
      <c r="I10" s="3">
        <f>'[7]Degree Days 2020'!I10</f>
        <v>1</v>
      </c>
      <c r="J10" s="239">
        <f>'[9]Degree Days 2022'!J10</f>
        <v>17</v>
      </c>
      <c r="K10" s="239">
        <f>'[9]Degree Days 2022'!K10</f>
        <v>14</v>
      </c>
      <c r="L10" s="239">
        <f>'[7]Degree Days 2020'!L10</f>
        <v>-2.3000000000000007</v>
      </c>
      <c r="M10" s="3">
        <f>'[10]Degree Days 2020'!M10</f>
        <v>1</v>
      </c>
      <c r="N10" s="239">
        <f>'[11]Degree Days 2022'!N10</f>
        <v>0</v>
      </c>
      <c r="O10" s="239">
        <f>'[11]Degree Days 2022'!O10</f>
        <v>0</v>
      </c>
      <c r="P10" s="239">
        <f>(N10+O10)/2-18.3</f>
        <v>-18.3</v>
      </c>
      <c r="Q10" s="3">
        <v>1</v>
      </c>
      <c r="R10" s="239">
        <f>'[12]Degree Days 2022'!R10</f>
        <v>0</v>
      </c>
      <c r="S10" s="239">
        <f>'[12]Degree Days 2022'!S10</f>
        <v>0</v>
      </c>
      <c r="T10" s="239">
        <f>(R10+S10)/2-18.3</f>
        <v>-18.3</v>
      </c>
      <c r="U10" s="3">
        <v>1</v>
      </c>
      <c r="V10" s="239">
        <f>'[13]Degree Days 2022'!V10</f>
        <v>25</v>
      </c>
      <c r="W10" s="239">
        <f>'[13]Degree Days 2022'!W10</f>
        <v>21</v>
      </c>
      <c r="X10" s="239">
        <f>(V10+W10)/2-18.3</f>
        <v>4.6999999999999993</v>
      </c>
      <c r="Z10" t="s">
        <v>305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'[6]Degree Days 2022'!B11</f>
        <v>0</v>
      </c>
      <c r="C11" s="239">
        <f>'General information '!C6</f>
        <v>14</v>
      </c>
      <c r="D11" s="239">
        <f>'[7]Degree Days 2020'!D11</f>
        <v>-0.30000000000000071</v>
      </c>
      <c r="E11" s="3">
        <v>2</v>
      </c>
      <c r="F11" s="239">
        <f>'[8]Degree Days 2022'!F11</f>
        <v>19</v>
      </c>
      <c r="G11" s="239">
        <f>'[8]Degree Days 2022'!G11</f>
        <v>11</v>
      </c>
      <c r="H11" s="239">
        <f>'[7]Degree Days 2020'!H11</f>
        <v>1.6999999999999993</v>
      </c>
      <c r="I11" s="3">
        <f>'[7]Degree Days 2020'!I11</f>
        <v>2</v>
      </c>
      <c r="J11" s="239">
        <f>'[9]Degree Days 2022'!J11</f>
        <v>24</v>
      </c>
      <c r="K11" s="239">
        <f>'[9]Degree Days 2022'!K11</f>
        <v>15</v>
      </c>
      <c r="L11" s="239">
        <f>'[7]Degree Days 2020'!L11</f>
        <v>-2.8000000000000007</v>
      </c>
      <c r="M11" s="3">
        <f>'[10]Degree Days 2020'!M11</f>
        <v>2</v>
      </c>
      <c r="N11" s="239">
        <f>'[11]Degree Days 2022'!N11</f>
        <v>0</v>
      </c>
      <c r="O11" s="239">
        <f>'[11]Degree Days 2022'!O11</f>
        <v>0</v>
      </c>
      <c r="P11" s="239">
        <f t="shared" ref="P11:P39" si="0">(N11+O11)/2-18.3</f>
        <v>-18.3</v>
      </c>
      <c r="Q11" s="3">
        <v>2</v>
      </c>
      <c r="R11" s="239">
        <f>'[12]Degree Days 2022'!R11</f>
        <v>0</v>
      </c>
      <c r="S11" s="239">
        <f>'[12]Degree Days 2022'!S11</f>
        <v>0</v>
      </c>
      <c r="T11" s="239">
        <f t="shared" ref="T11:T40" si="1">(R11+S11)/2-18.3</f>
        <v>-18.3</v>
      </c>
      <c r="U11" s="3">
        <v>2</v>
      </c>
      <c r="V11" s="239">
        <f>'[13]Degree Days 2022'!V11</f>
        <v>25</v>
      </c>
      <c r="W11" s="239">
        <f>'[13]Degree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'[6]Degree Days 2022'!B12</f>
        <v>0</v>
      </c>
      <c r="C12" s="239">
        <f>'General information '!C7</f>
        <v>18</v>
      </c>
      <c r="D12" s="239">
        <f>'[7]Degree Days 2020'!D12</f>
        <v>0.19999999999999929</v>
      </c>
      <c r="E12" s="3">
        <v>3</v>
      </c>
      <c r="F12" s="239">
        <f>'[8]Degree Days 2022'!F12</f>
        <v>19</v>
      </c>
      <c r="G12" s="239">
        <f>'[8]Degree Days 2022'!G12</f>
        <v>11</v>
      </c>
      <c r="H12" s="239">
        <f>'[7]Degree Days 2020'!H12</f>
        <v>-0.80000000000000071</v>
      </c>
      <c r="I12" s="3">
        <f>'[7]Degree Days 2020'!I12</f>
        <v>3</v>
      </c>
      <c r="J12" s="239">
        <f>'[9]Degree Days 2022'!J12</f>
        <v>20</v>
      </c>
      <c r="K12" s="239">
        <f>'[9]Degree Days 2022'!K12</f>
        <v>13</v>
      </c>
      <c r="L12" s="239">
        <f>'[7]Degree Days 2020'!L12</f>
        <v>-2.8000000000000007</v>
      </c>
      <c r="M12" s="3">
        <f>'[10]Degree Days 2020'!M12</f>
        <v>3</v>
      </c>
      <c r="N12" s="239">
        <f>'[11]Degree Days 2022'!N12</f>
        <v>24</v>
      </c>
      <c r="O12" s="239">
        <f>'[11]Degree Days 2022'!O12</f>
        <v>17</v>
      </c>
      <c r="P12" s="239">
        <f t="shared" si="0"/>
        <v>2.1999999999999993</v>
      </c>
      <c r="Q12" s="3">
        <v>3</v>
      </c>
      <c r="R12" s="239">
        <f>'[12]Degree Days 2022'!R12</f>
        <v>0</v>
      </c>
      <c r="S12" s="239">
        <f>'[12]Degree Days 2022'!S12</f>
        <v>0</v>
      </c>
      <c r="T12" s="239">
        <f t="shared" si="1"/>
        <v>-18.3</v>
      </c>
      <c r="U12" s="3">
        <v>3</v>
      </c>
      <c r="V12" s="239">
        <f>'[13]Degree Days 2022'!V12</f>
        <v>0</v>
      </c>
      <c r="W12" s="239">
        <f>'[13]Degree Days 2022'!W12</f>
        <v>0</v>
      </c>
      <c r="X12" s="239">
        <f t="shared" si="2"/>
        <v>-18.3</v>
      </c>
      <c r="Z12" t="s">
        <v>299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'[6]Degree Days 2022'!B13</f>
        <v>18</v>
      </c>
      <c r="C13" s="239">
        <f>'General information '!C8</f>
        <v>13</v>
      </c>
      <c r="D13" s="239">
        <f>'[7]Degree Days 2020'!D13</f>
        <v>0.19999999999999929</v>
      </c>
      <c r="E13" s="3">
        <f>'[7]Degree Days 2020'!E13</f>
        <v>4</v>
      </c>
      <c r="F13" s="239">
        <f>'[8]Degree Days 2022'!F13</f>
        <v>0</v>
      </c>
      <c r="G13" s="239">
        <f>'[8]Degree Days 2022'!G13</f>
        <v>0</v>
      </c>
      <c r="H13" s="239">
        <f>'[7]Degree Days 2020'!H13</f>
        <v>-0.80000000000000071</v>
      </c>
      <c r="I13" s="3">
        <f>'[7]Degree Days 2020'!I13</f>
        <v>4</v>
      </c>
      <c r="J13" s="239">
        <f>'[9]Degree Days 2022'!J13</f>
        <v>0</v>
      </c>
      <c r="K13" s="239">
        <f>'[9]Degree Days 2022'!K13</f>
        <v>0</v>
      </c>
      <c r="L13" s="239">
        <f>'[7]Degree Days 2020'!L13</f>
        <v>-2.8000000000000007</v>
      </c>
      <c r="M13" s="3">
        <f>'[10]Degree Days 2020'!M13</f>
        <v>4</v>
      </c>
      <c r="N13" s="239">
        <f>'[11]Degree Days 2022'!N13</f>
        <v>24</v>
      </c>
      <c r="O13" s="239">
        <f>'[11]Degree Days 2022'!O13</f>
        <v>16</v>
      </c>
      <c r="P13" s="239">
        <f t="shared" si="0"/>
        <v>1.6999999999999993</v>
      </c>
      <c r="Q13" s="3">
        <v>4</v>
      </c>
      <c r="R13" s="239">
        <f>'[12]Degree Days 2022'!R13</f>
        <v>23</v>
      </c>
      <c r="S13" s="239">
        <f>'[12]Degree Days 2022'!S13</f>
        <v>19</v>
      </c>
      <c r="T13" s="239">
        <f t="shared" si="1"/>
        <v>2.6999999999999993</v>
      </c>
      <c r="U13" s="3">
        <v>4</v>
      </c>
      <c r="V13" s="239">
        <f>'[13]Degree Days 2022'!V13</f>
        <v>0</v>
      </c>
      <c r="W13" s="239">
        <f>'[13]Degree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'[6]Degree Days 2022'!B14</f>
        <v>19</v>
      </c>
      <c r="C14" s="239">
        <f>'General information '!C9</f>
        <v>14</v>
      </c>
      <c r="D14" s="239">
        <f>'[7]Degree Days 2020'!D14</f>
        <v>0.69999999999999929</v>
      </c>
      <c r="E14" s="3">
        <f>'[7]Degree Days 2020'!E14</f>
        <v>5</v>
      </c>
      <c r="F14" s="239">
        <f>'[8]Degree Days 2022'!F14</f>
        <v>0</v>
      </c>
      <c r="G14" s="239">
        <f>'[8]Degree Days 2022'!G14</f>
        <v>0</v>
      </c>
      <c r="H14" s="239">
        <f>'[7]Degree Days 2020'!H14</f>
        <v>-0.80000000000000071</v>
      </c>
      <c r="I14" s="3">
        <f>'[7]Degree Days 2020'!I14</f>
        <v>5</v>
      </c>
      <c r="J14" s="239">
        <f>'[9]Degree Days 2022'!J14</f>
        <v>0</v>
      </c>
      <c r="K14" s="239">
        <f>'[9]Degree Days 2022'!K14</f>
        <v>0</v>
      </c>
      <c r="L14" s="239">
        <f>'[7]Degree Days 2020'!L14</f>
        <v>-2.8000000000000007</v>
      </c>
      <c r="M14" s="3">
        <f>'[10]Degree Days 2020'!M14</f>
        <v>5</v>
      </c>
      <c r="N14" s="239">
        <f>'[11]Degree Days 2022'!N14</f>
        <v>30</v>
      </c>
      <c r="O14" s="239">
        <f>'[11]Degree Days 2022'!O14</f>
        <v>16</v>
      </c>
      <c r="P14" s="239">
        <f t="shared" si="0"/>
        <v>4.6999999999999993</v>
      </c>
      <c r="Q14" s="3">
        <v>5</v>
      </c>
      <c r="R14" s="239">
        <f>'[12]Degree Days 2022'!R14</f>
        <v>22</v>
      </c>
      <c r="S14" s="239">
        <f>'[12]Degree Days 2022'!S14</f>
        <v>18</v>
      </c>
      <c r="T14" s="239">
        <f t="shared" si="1"/>
        <v>1.6999999999999993</v>
      </c>
      <c r="U14" s="3">
        <v>5</v>
      </c>
      <c r="V14" s="239">
        <f>'[13]Degree Days 2022'!V14</f>
        <v>27</v>
      </c>
      <c r="W14" s="239">
        <f>'[13]Degree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'[6]Degree Days 2022'!B15</f>
        <v>21</v>
      </c>
      <c r="C15" s="239">
        <f>'General information '!C10</f>
        <v>0</v>
      </c>
      <c r="D15" s="239">
        <f>'[7]Degree Days 2020'!D15</f>
        <v>0.19999999999999929</v>
      </c>
      <c r="E15" s="3">
        <f>'[7]Degree Days 2020'!E15</f>
        <v>6</v>
      </c>
      <c r="F15" s="239">
        <f>'[8]Degree Days 2022'!F15</f>
        <v>17</v>
      </c>
      <c r="G15" s="239">
        <f>'[8]Degree Days 2022'!G15</f>
        <v>12</v>
      </c>
      <c r="H15" s="239">
        <f>'[7]Degree Days 2020'!H15</f>
        <v>-1.3000000000000007</v>
      </c>
      <c r="I15" s="3">
        <f>'[7]Degree Days 2020'!I15</f>
        <v>6</v>
      </c>
      <c r="J15" s="239">
        <f>'[9]Degree Days 2022'!J15</f>
        <v>22</v>
      </c>
      <c r="K15" s="239">
        <f>'[9]Degree Days 2022'!K15</f>
        <v>13</v>
      </c>
      <c r="L15" s="239">
        <f>'[7]Degree Days 2020'!L15</f>
        <v>-2.3000000000000007</v>
      </c>
      <c r="M15" s="3">
        <f>'[10]Degree Days 2020'!M15</f>
        <v>6</v>
      </c>
      <c r="N15" s="239">
        <f>'[11]Degree Days 2022'!N15</f>
        <v>34</v>
      </c>
      <c r="O15" s="239">
        <f>'[11]Degree Days 2022'!O15</f>
        <v>18</v>
      </c>
      <c r="P15" s="239">
        <f t="shared" si="0"/>
        <v>7.6999999999999993</v>
      </c>
      <c r="Q15" s="3">
        <v>6</v>
      </c>
      <c r="R15" s="239">
        <f>'[12]Degree Days 2022'!R15</f>
        <v>0</v>
      </c>
      <c r="S15" s="239">
        <f>'[12]Degree Days 2022'!S15</f>
        <v>0</v>
      </c>
      <c r="T15" s="239">
        <f t="shared" si="1"/>
        <v>-18.3</v>
      </c>
      <c r="U15" s="3">
        <v>6</v>
      </c>
      <c r="V15" s="239">
        <f>'[13]Degree Days 2022'!V15</f>
        <v>26</v>
      </c>
      <c r="W15" s="239">
        <f>'[13]Degree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'[6]Degree Days 2022'!B16</f>
        <v>0</v>
      </c>
      <c r="C16" s="239">
        <f>'General information '!C11</f>
        <v>0</v>
      </c>
      <c r="D16" s="239">
        <f>'[7]Degree Days 2020'!D16</f>
        <v>-1.3000000000000007</v>
      </c>
      <c r="E16" s="3">
        <f>'[7]Degree Days 2020'!E16</f>
        <v>7</v>
      </c>
      <c r="F16" s="239">
        <f>'[8]Degree Days 2022'!F16</f>
        <v>17</v>
      </c>
      <c r="G16" s="239">
        <f>'[8]Degree Days 2022'!G16</f>
        <v>13</v>
      </c>
      <c r="H16" s="239">
        <f>'[7]Degree Days 2020'!H16</f>
        <v>0.69999999999999929</v>
      </c>
      <c r="I16" s="3">
        <f>'[7]Degree Days 2020'!I16</f>
        <v>7</v>
      </c>
      <c r="J16" s="239">
        <f>'[9]Degree Days 2022'!J16</f>
        <v>17</v>
      </c>
      <c r="K16" s="239">
        <f>'[9]Degree Days 2022'!K16</f>
        <v>13</v>
      </c>
      <c r="L16" s="239">
        <f>'[7]Degree Days 2020'!L16</f>
        <v>-1.8000000000000007</v>
      </c>
      <c r="M16" s="3">
        <f>'[10]Degree Days 2020'!M16</f>
        <v>7</v>
      </c>
      <c r="N16" s="239">
        <f>'[11]Degree Days 2022'!N16</f>
        <v>21</v>
      </c>
      <c r="O16" s="239">
        <f>'[11]Degree Days 2022'!O16</f>
        <v>16</v>
      </c>
      <c r="P16" s="239">
        <f t="shared" si="0"/>
        <v>0.19999999999999929</v>
      </c>
      <c r="Q16" s="3">
        <v>7</v>
      </c>
      <c r="R16" s="239">
        <f>'[12]Degree Days 2022'!R16</f>
        <v>0</v>
      </c>
      <c r="S16" s="239">
        <f>'[12]Degree Days 2022'!S16</f>
        <v>0</v>
      </c>
      <c r="T16" s="239">
        <f t="shared" si="1"/>
        <v>-18.3</v>
      </c>
      <c r="U16" s="3">
        <v>7</v>
      </c>
      <c r="V16" s="239">
        <f>'[13]Degree Days 2022'!V16</f>
        <v>27</v>
      </c>
      <c r="W16" s="239">
        <f>'[13]Degree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'[6]Degree Days 2022'!B17</f>
        <v>0</v>
      </c>
      <c r="C17" s="239">
        <f>'General information '!C12</f>
        <v>16</v>
      </c>
      <c r="D17" s="239">
        <f>'[7]Degree Days 2020'!D17</f>
        <v>-0.80000000000000071</v>
      </c>
      <c r="E17" s="3">
        <f>'[7]Degree Days 2020'!E17</f>
        <v>8</v>
      </c>
      <c r="F17" s="239">
        <f>'[8]Degree Days 2022'!F17</f>
        <v>0</v>
      </c>
      <c r="G17" s="239">
        <f>'[8]Degree Days 2022'!G17</f>
        <v>0</v>
      </c>
      <c r="H17" s="239">
        <f>'[7]Degree Days 2020'!H17</f>
        <v>2.6999999999999993</v>
      </c>
      <c r="I17" s="3">
        <f>'[7]Degree Days 2020'!I17</f>
        <v>8</v>
      </c>
      <c r="J17" s="239">
        <f>'[9]Degree Days 2022'!J17</f>
        <v>8</v>
      </c>
      <c r="K17" s="239">
        <f>'[9]Degree Days 2022'!K17</f>
        <v>13</v>
      </c>
      <c r="L17" s="239">
        <f>'[7]Degree Days 2020'!L17</f>
        <v>-0.30000000000000071</v>
      </c>
      <c r="M17" s="3">
        <f>'[10]Degree Days 2020'!M17</f>
        <v>8</v>
      </c>
      <c r="N17" s="239">
        <f>'[11]Degree Days 2022'!N17</f>
        <v>0</v>
      </c>
      <c r="O17" s="239">
        <f>'[11]Degree Days 2022'!O17</f>
        <v>0</v>
      </c>
      <c r="P17" s="239">
        <f t="shared" si="0"/>
        <v>-18.3</v>
      </c>
      <c r="Q17" s="3">
        <v>8</v>
      </c>
      <c r="R17" s="239">
        <f>'[12]Degree Days 2022'!R17</f>
        <v>22</v>
      </c>
      <c r="S17" s="239">
        <f>'[12]Degree Days 2022'!S17</f>
        <v>17</v>
      </c>
      <c r="T17" s="239">
        <f t="shared" si="1"/>
        <v>1.1999999999999993</v>
      </c>
      <c r="U17" s="3">
        <v>8</v>
      </c>
      <c r="V17" s="239">
        <f>'[13]Degree Days 2022'!V17</f>
        <v>27</v>
      </c>
      <c r="W17" s="239">
        <f>'[13]Degree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'[6]Degree Days 2022'!B18</f>
        <v>23</v>
      </c>
      <c r="C18" s="239">
        <f>'General information '!C13</f>
        <v>13</v>
      </c>
      <c r="D18" s="239">
        <f>'[7]Degree Days 2020'!D18</f>
        <v>0.19999999999999929</v>
      </c>
      <c r="E18" s="3">
        <f>'[7]Degree Days 2020'!E18</f>
        <v>9</v>
      </c>
      <c r="F18" s="239">
        <f>'[8]Degree Days 2022'!F18</f>
        <v>21</v>
      </c>
      <c r="G18" s="239">
        <f>'[8]Degree Days 2022'!G18</f>
        <v>10</v>
      </c>
      <c r="H18" s="239">
        <f>'[7]Degree Days 2020'!H18</f>
        <v>1.1999999999999993</v>
      </c>
      <c r="I18" s="3">
        <f>'[7]Degree Days 2020'!I18</f>
        <v>9</v>
      </c>
      <c r="J18" s="239">
        <f>'[9]Degree Days 2022'!J18</f>
        <v>16</v>
      </c>
      <c r="K18" s="239">
        <f>'[9]Degree Days 2022'!K18</f>
        <v>14</v>
      </c>
      <c r="L18" s="239">
        <f>'[7]Degree Days 2020'!L18</f>
        <v>1.6999999999999993</v>
      </c>
      <c r="M18" s="3">
        <f>'[10]Degree Days 2020'!M18</f>
        <v>9</v>
      </c>
      <c r="N18" s="239">
        <f>'[11]Degree Days 2022'!N18</f>
        <v>0</v>
      </c>
      <c r="O18" s="239">
        <f>'[11]Degree Days 2022'!O18</f>
        <v>0</v>
      </c>
      <c r="P18" s="239">
        <f t="shared" si="0"/>
        <v>-18.3</v>
      </c>
      <c r="Q18" s="3">
        <v>9</v>
      </c>
      <c r="R18" s="239">
        <f>'[12]Degree Days 2022'!R18</f>
        <v>23</v>
      </c>
      <c r="S18" s="239">
        <f>'[12]Degree Days 2022'!S18</f>
        <v>18</v>
      </c>
      <c r="T18" s="239">
        <f t="shared" si="1"/>
        <v>2.1999999999999993</v>
      </c>
      <c r="U18" s="3">
        <v>9</v>
      </c>
      <c r="V18" s="239">
        <f>'[13]Degree Days 2022'!V18</f>
        <v>0</v>
      </c>
      <c r="W18" s="239">
        <f>'[13]Degree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'[6]Degree Days 2022'!B19</f>
        <v>18</v>
      </c>
      <c r="C19" s="239">
        <f>'General information '!C14</f>
        <v>13</v>
      </c>
      <c r="D19" s="239">
        <f>'[7]Degree Days 2020'!D19</f>
        <v>0.19999999999999929</v>
      </c>
      <c r="E19" s="3">
        <f>'[7]Degree Days 2020'!E19</f>
        <v>10</v>
      </c>
      <c r="F19" s="239">
        <f>'[8]Degree Days 2022'!F19</f>
        <v>0</v>
      </c>
      <c r="G19" s="239">
        <f>'[8]Degree Days 2022'!G19</f>
        <v>0</v>
      </c>
      <c r="H19" s="239">
        <f>'[7]Degree Days 2020'!H19</f>
        <v>-1.8000000000000007</v>
      </c>
      <c r="I19" s="3">
        <f>'[7]Degree Days 2020'!I19</f>
        <v>10</v>
      </c>
      <c r="J19" s="239">
        <f>'[9]Degree Days 2022'!J19</f>
        <v>14</v>
      </c>
      <c r="K19" s="239">
        <f>'[9]Degree Days 2022'!K19</f>
        <v>11</v>
      </c>
      <c r="L19" s="239">
        <f>'[7]Degree Days 2020'!L19</f>
        <v>-2.3000000000000007</v>
      </c>
      <c r="M19" s="3">
        <f>'[10]Degree Days 2020'!M19</f>
        <v>10</v>
      </c>
      <c r="N19" s="239">
        <f>'[11]Degree Days 2022'!N19</f>
        <v>22</v>
      </c>
      <c r="O19" s="239">
        <f>'[11]Degree Days 2022'!O19</f>
        <v>15</v>
      </c>
      <c r="P19" s="239">
        <f t="shared" si="0"/>
        <v>0.19999999999999929</v>
      </c>
      <c r="Q19" s="3">
        <v>10</v>
      </c>
      <c r="R19" s="239">
        <f>'[12]Degree Days 2022'!R19</f>
        <v>23</v>
      </c>
      <c r="S19" s="239">
        <f>'[12]Degree Days 2022'!S19</f>
        <v>17</v>
      </c>
      <c r="T19" s="239">
        <f t="shared" si="1"/>
        <v>1.6999999999999993</v>
      </c>
      <c r="U19" s="3">
        <v>10</v>
      </c>
      <c r="V19" s="239">
        <f>'[13]Degree Days 2022'!V19</f>
        <v>0</v>
      </c>
      <c r="W19" s="239">
        <f>'[13]Degree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'[6]Degree Days 2022'!B20</f>
        <v>19</v>
      </c>
      <c r="C20" s="239">
        <f>'General information '!C15</f>
        <v>0</v>
      </c>
      <c r="D20" s="239">
        <f>'[7]Degree Days 2020'!D20</f>
        <v>0.69999999999999929</v>
      </c>
      <c r="E20" s="3">
        <f>'[7]Degree Days 2020'!E20</f>
        <v>11</v>
      </c>
      <c r="F20" s="239">
        <f>'[8]Degree Days 2022'!F20</f>
        <v>0</v>
      </c>
      <c r="G20" s="239">
        <f>'[8]Degree Days 2022'!G20</f>
        <v>0</v>
      </c>
      <c r="H20" s="239">
        <f>'[7]Degree Days 2020'!H20</f>
        <v>-2.8000000000000007</v>
      </c>
      <c r="I20" s="3">
        <f>'[7]Degree Days 2020'!I20</f>
        <v>11</v>
      </c>
      <c r="J20" s="239">
        <f>'[9]Degree Days 2022'!J20</f>
        <v>14</v>
      </c>
      <c r="K20" s="239">
        <f>'[9]Degree Days 2022'!K20</f>
        <v>9</v>
      </c>
      <c r="L20" s="239">
        <f>'[7]Degree Days 2020'!L20</f>
        <v>-3.8000000000000007</v>
      </c>
      <c r="M20" s="3">
        <f>'[10]Degree Days 2020'!M20</f>
        <v>11</v>
      </c>
      <c r="N20" s="239">
        <f>'[11]Degree Days 2022'!N20</f>
        <v>21</v>
      </c>
      <c r="O20" s="239">
        <f>'[11]Degree Days 2022'!O20</f>
        <v>16</v>
      </c>
      <c r="P20" s="239">
        <f t="shared" si="0"/>
        <v>0.19999999999999929</v>
      </c>
      <c r="Q20" s="3">
        <v>11</v>
      </c>
      <c r="R20" s="239">
        <f>'[12]Degree Days 2022'!R20</f>
        <v>23</v>
      </c>
      <c r="S20" s="239">
        <f>'[12]Degree Days 2022'!S20</f>
        <v>17</v>
      </c>
      <c r="T20" s="239">
        <f t="shared" si="1"/>
        <v>1.6999999999999993</v>
      </c>
      <c r="U20" s="3">
        <v>11</v>
      </c>
      <c r="V20" s="239">
        <f>'[13]Degree Days 2022'!V20</f>
        <v>0</v>
      </c>
      <c r="W20" s="239">
        <f>'[13]Degree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'[6]Degree Days 2022'!B21</f>
        <v>0</v>
      </c>
      <c r="C21" s="239">
        <f>'General information '!C16</f>
        <v>0</v>
      </c>
      <c r="D21" s="239">
        <f>'[7]Degree Days 2020'!D21</f>
        <v>0.19999999999999929</v>
      </c>
      <c r="E21" s="3">
        <f>'[7]Degree Days 2020'!E21</f>
        <v>12</v>
      </c>
      <c r="F21" s="239">
        <f>'[8]Degree Days 2022'!F21</f>
        <v>0</v>
      </c>
      <c r="G21" s="239">
        <f>'[8]Degree Days 2022'!G21</f>
        <v>0</v>
      </c>
      <c r="H21" s="239">
        <f>'[7]Degree Days 2020'!H21</f>
        <v>-2.8000000000000007</v>
      </c>
      <c r="I21" s="3">
        <f>'[7]Degree Days 2020'!I21</f>
        <v>12</v>
      </c>
      <c r="J21" s="239">
        <f>'[9]Degree Days 2022'!J21</f>
        <v>0</v>
      </c>
      <c r="K21" s="239">
        <f>'[9]Degree Days 2022'!K21</f>
        <v>0</v>
      </c>
      <c r="L21" s="239">
        <f>'[7]Degree Days 2020'!L21</f>
        <v>-2.8000000000000007</v>
      </c>
      <c r="M21" s="3">
        <f>'[10]Degree Days 2020'!M21</f>
        <v>12</v>
      </c>
      <c r="N21" s="239">
        <f>'[11]Degree Days 2022'!N21</f>
        <v>20</v>
      </c>
      <c r="O21" s="239">
        <f>'[11]Degree Days 2022'!O21</f>
        <v>16</v>
      </c>
      <c r="P21" s="239">
        <f t="shared" si="0"/>
        <v>-0.30000000000000071</v>
      </c>
      <c r="Q21" s="3">
        <v>12</v>
      </c>
      <c r="R21" s="239">
        <f>'[12]Degree Days 2022'!R21</f>
        <v>22</v>
      </c>
      <c r="S21" s="239">
        <f>'[12]Degree Days 2022'!S21</f>
        <v>17</v>
      </c>
      <c r="T21" s="239">
        <f t="shared" si="1"/>
        <v>1.1999999999999993</v>
      </c>
      <c r="U21" s="3">
        <v>12</v>
      </c>
      <c r="V21" s="239">
        <f>'[13]Degree Days 2022'!V21</f>
        <v>0</v>
      </c>
      <c r="W21" s="239">
        <f>'[13]Degree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'[6]Degree Days 2022'!B22</f>
        <v>16</v>
      </c>
      <c r="C22" s="239">
        <f>'General information '!C17</f>
        <v>0</v>
      </c>
      <c r="D22" s="239">
        <f>'[7]Degree Days 2020'!D22</f>
        <v>-3.3000000000000007</v>
      </c>
      <c r="E22" s="3">
        <f>'[7]Degree Days 2020'!E22</f>
        <v>13</v>
      </c>
      <c r="F22" s="239">
        <f>'[8]Degree Days 2022'!F22</f>
        <v>17</v>
      </c>
      <c r="G22" s="239">
        <f>'[8]Degree Days 2022'!G22</f>
        <v>12</v>
      </c>
      <c r="H22" s="239">
        <f>'[7]Degree Days 2020'!H22</f>
        <v>-1.8000000000000007</v>
      </c>
      <c r="I22" s="3">
        <f>'[7]Degree Days 2020'!I22</f>
        <v>13</v>
      </c>
      <c r="J22" s="239">
        <f>'[9]Degree Days 2022'!J22</f>
        <v>13</v>
      </c>
      <c r="K22" s="239">
        <f>'[9]Degree Days 2022'!K22</f>
        <v>9</v>
      </c>
      <c r="L22" s="239">
        <f>'[7]Degree Days 2020'!L22</f>
        <v>-1.3000000000000007</v>
      </c>
      <c r="M22" s="3">
        <f>'[10]Degree Days 2020'!M22</f>
        <v>13</v>
      </c>
      <c r="N22" s="239">
        <f>'[11]Degree Days 2022'!N22</f>
        <v>20</v>
      </c>
      <c r="O22" s="239">
        <f>'[11]Degree Days 2022'!O22</f>
        <v>17</v>
      </c>
      <c r="P22" s="239">
        <f t="shared" si="0"/>
        <v>0.19999999999999929</v>
      </c>
      <c r="Q22" s="3">
        <v>13</v>
      </c>
      <c r="R22" s="239">
        <f>'[12]Degree Days 2022'!R22</f>
        <v>0</v>
      </c>
      <c r="S22" s="239">
        <f>'[12]Degree Days 2022'!S22</f>
        <v>0</v>
      </c>
      <c r="T22" s="239">
        <f t="shared" si="1"/>
        <v>-18.3</v>
      </c>
      <c r="U22" s="3">
        <v>13</v>
      </c>
      <c r="V22" s="239">
        <f>'[13]Degree Days 2022'!V22</f>
        <v>0</v>
      </c>
      <c r="W22" s="239">
        <f>'[13]Degree Days 2022'!W22</f>
        <v>0</v>
      </c>
      <c r="X22" s="239">
        <f t="shared" si="2"/>
        <v>-18.3</v>
      </c>
    </row>
    <row r="23" spans="1:28">
      <c r="A23" s="113">
        <v>14</v>
      </c>
      <c r="B23" s="239">
        <f>'[6]Degree Days 2022'!B23</f>
        <v>0</v>
      </c>
      <c r="C23" s="239">
        <f>'General information '!C18</f>
        <v>0</v>
      </c>
      <c r="D23" s="239">
        <f>'[7]Degree Days 2020'!D23</f>
        <v>-3.8000000000000007</v>
      </c>
      <c r="E23" s="3">
        <f>'[7]Degree Days 2020'!E23</f>
        <v>14</v>
      </c>
      <c r="F23" s="239">
        <f>'[8]Degree Days 2022'!F23</f>
        <v>18</v>
      </c>
      <c r="G23" s="239">
        <f>'[8]Degree Days 2022'!G23</f>
        <v>12</v>
      </c>
      <c r="H23" s="239">
        <f>'[7]Degree Days 2020'!H23</f>
        <v>-2.8000000000000007</v>
      </c>
      <c r="I23" s="3">
        <f>'[7]Degree Days 2020'!I23</f>
        <v>14</v>
      </c>
      <c r="J23" s="239">
        <f>'[9]Degree Days 2022'!J23</f>
        <v>12</v>
      </c>
      <c r="K23" s="239">
        <f>'[9]Degree Days 2022'!K23</f>
        <v>8</v>
      </c>
      <c r="L23" s="239">
        <f>'[7]Degree Days 2020'!L23</f>
        <v>-1.3000000000000007</v>
      </c>
      <c r="M23" s="3">
        <f>'[10]Degree Days 2020'!M23</f>
        <v>14</v>
      </c>
      <c r="N23" s="239">
        <f>'[11]Degree Days 2022'!N23</f>
        <v>0</v>
      </c>
      <c r="O23" s="239">
        <f>'[11]Degree Days 2022'!O23</f>
        <v>0</v>
      </c>
      <c r="P23" s="239">
        <f t="shared" si="0"/>
        <v>-18.3</v>
      </c>
      <c r="Q23" s="3">
        <v>14</v>
      </c>
      <c r="R23" s="239">
        <f>'[12]Degree Days 2022'!R23</f>
        <v>0</v>
      </c>
      <c r="S23" s="239">
        <f>'[12]Degree Days 2022'!S23</f>
        <v>0</v>
      </c>
      <c r="T23" s="239">
        <f t="shared" si="1"/>
        <v>-18.3</v>
      </c>
      <c r="U23" s="3">
        <v>14</v>
      </c>
      <c r="V23" s="239">
        <f>'[13]Degree Days 2022'!V23</f>
        <v>27</v>
      </c>
      <c r="W23" s="239">
        <f>'[13]Degree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'[6]Degree Days 2022'!B24</f>
        <v>0</v>
      </c>
      <c r="C24" s="239">
        <f>'General information '!C19</f>
        <v>0</v>
      </c>
      <c r="D24" s="239">
        <f>'[7]Degree Days 2020'!D24</f>
        <v>-2.3000000000000007</v>
      </c>
      <c r="E24" s="3">
        <f>'[7]Degree Days 2020'!E24</f>
        <v>15</v>
      </c>
      <c r="F24" s="239">
        <f>'[8]Degree Days 2022'!F24</f>
        <v>17</v>
      </c>
      <c r="G24" s="239">
        <f>'[8]Degree Days 2022'!G24</f>
        <v>14</v>
      </c>
      <c r="H24" s="239">
        <f>'[7]Degree Days 2020'!H24</f>
        <v>-3.3000000000000007</v>
      </c>
      <c r="I24" s="3">
        <f>'[7]Degree Days 2020'!I24</f>
        <v>15</v>
      </c>
      <c r="J24" s="239">
        <f>'[9]Degree Days 2022'!J24</f>
        <v>10</v>
      </c>
      <c r="K24" s="239">
        <f>'[9]Degree Days 2022'!K24</f>
        <v>5</v>
      </c>
      <c r="L24" s="239">
        <f>'[7]Degree Days 2020'!L24</f>
        <v>-1.3000000000000007</v>
      </c>
      <c r="M24" s="3">
        <f>'[10]Degree Days 2020'!M24</f>
        <v>15</v>
      </c>
      <c r="N24" s="239">
        <f>'[11]Degree Days 2022'!N24</f>
        <v>0</v>
      </c>
      <c r="O24" s="239">
        <f>'[11]Degree Days 2022'!O24</f>
        <v>0</v>
      </c>
      <c r="P24" s="239">
        <f t="shared" si="0"/>
        <v>-18.3</v>
      </c>
      <c r="Q24" s="3">
        <v>15</v>
      </c>
      <c r="R24" s="239">
        <f>'[12]Degree Days 2022'!R24</f>
        <v>22</v>
      </c>
      <c r="S24" s="239">
        <f>'[12]Degree Days 2022'!S24</f>
        <v>18</v>
      </c>
      <c r="T24" s="239">
        <f t="shared" si="1"/>
        <v>1.6999999999999993</v>
      </c>
      <c r="U24" s="3">
        <v>15</v>
      </c>
      <c r="V24" s="239">
        <f>'[13]Degree Days 2022'!V24</f>
        <v>28</v>
      </c>
      <c r="W24" s="239">
        <f>'[13]Degree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'[6]Degree Days 2022'!B25</f>
        <v>14</v>
      </c>
      <c r="C25" s="239">
        <f>'General information '!C20</f>
        <v>0</v>
      </c>
      <c r="D25" s="239">
        <f>'[7]Degree Days 2020'!D25</f>
        <v>-6.3000000000000007</v>
      </c>
      <c r="E25" s="3">
        <f>'[7]Degree Days 2020'!E25</f>
        <v>16</v>
      </c>
      <c r="F25" s="239">
        <f>'[8]Degree Days 2022'!F25</f>
        <v>17</v>
      </c>
      <c r="G25" s="239">
        <f>'[8]Degree Days 2022'!G25</f>
        <v>13</v>
      </c>
      <c r="H25" s="239">
        <f>'[7]Degree Days 2020'!H25</f>
        <v>-9.3000000000000007</v>
      </c>
      <c r="I25" s="3">
        <f>'[7]Degree Days 2020'!I25</f>
        <v>16</v>
      </c>
      <c r="J25" s="239">
        <f>'[9]Degree Days 2022'!J25</f>
        <v>0</v>
      </c>
      <c r="K25" s="239">
        <f>'[9]Degree Days 2022'!K25</f>
        <v>0</v>
      </c>
      <c r="L25" s="239">
        <f>'[7]Degree Days 2020'!L25</f>
        <v>-1.8000000000000007</v>
      </c>
      <c r="M25" s="3">
        <f>'[10]Degree Days 2020'!M25</f>
        <v>16</v>
      </c>
      <c r="N25" s="239">
        <f>'[11]Degree Days 2022'!N25</f>
        <v>0</v>
      </c>
      <c r="O25" s="239">
        <f>'[11]Degree Days 2022'!O25</f>
        <v>0</v>
      </c>
      <c r="P25" s="239">
        <f t="shared" si="0"/>
        <v>-18.3</v>
      </c>
      <c r="Q25" s="3">
        <v>16</v>
      </c>
      <c r="R25" s="239">
        <f>'[12]Degree Days 2022'!R25</f>
        <v>22</v>
      </c>
      <c r="S25" s="239">
        <f>'[12]Degree Days 2022'!S25</f>
        <v>18</v>
      </c>
      <c r="T25" s="239">
        <f t="shared" si="1"/>
        <v>1.6999999999999993</v>
      </c>
      <c r="U25" s="3">
        <v>16</v>
      </c>
      <c r="V25" s="239">
        <f>'[13]Degree Days 2022'!V25</f>
        <v>30</v>
      </c>
      <c r="W25" s="239">
        <f>'[13]Degree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'[6]Degree Days 2022'!B26</f>
        <v>12</v>
      </c>
      <c r="C26" s="239">
        <f>'General information '!C21</f>
        <v>0</v>
      </c>
      <c r="D26" s="239">
        <f>'[7]Degree Days 2020'!D26</f>
        <v>-4.8000000000000007</v>
      </c>
      <c r="E26" s="3">
        <f>'[7]Degree Days 2020'!E26</f>
        <v>17</v>
      </c>
      <c r="F26" s="239">
        <f>'[8]Degree Days 2022'!F26</f>
        <v>18</v>
      </c>
      <c r="G26" s="239">
        <f>'[8]Degree Days 2022'!G26</f>
        <v>12</v>
      </c>
      <c r="H26" s="239">
        <f>'[7]Degree Days 2020'!H26</f>
        <v>-8.3000000000000007</v>
      </c>
      <c r="I26" s="3">
        <f>'[7]Degree Days 2020'!I26</f>
        <v>17</v>
      </c>
      <c r="J26" s="239">
        <f>'[9]Degree Days 2022'!J26</f>
        <v>16</v>
      </c>
      <c r="K26" s="239">
        <f>'[9]Degree Days 2022'!K26</f>
        <v>9</v>
      </c>
      <c r="L26" s="239">
        <f>'[7]Degree Days 2020'!L26</f>
        <v>-0.80000000000000071</v>
      </c>
      <c r="M26" s="3">
        <f>'[10]Degree Days 2020'!M26</f>
        <v>17</v>
      </c>
      <c r="N26" s="239">
        <f>'[11]Degree Days 2022'!N26</f>
        <v>0</v>
      </c>
      <c r="O26" s="239">
        <f>'[11]Degree Days 2022'!O26</f>
        <v>0</v>
      </c>
      <c r="P26" s="239">
        <f t="shared" si="0"/>
        <v>-18.3</v>
      </c>
      <c r="Q26" s="3">
        <v>17</v>
      </c>
      <c r="R26" s="239">
        <f>'[12]Degree Days 2022'!R26</f>
        <v>23</v>
      </c>
      <c r="S26" s="239">
        <f>'[12]Degree Days 2022'!S26</f>
        <v>18</v>
      </c>
      <c r="T26" s="239">
        <f t="shared" si="1"/>
        <v>2.1999999999999993</v>
      </c>
      <c r="U26" s="3">
        <v>17</v>
      </c>
      <c r="V26" s="239">
        <f>'[13]Degree Days 2022'!V26</f>
        <v>0</v>
      </c>
      <c r="W26" s="239">
        <f>'[13]Degree Days 2022'!W26</f>
        <v>0</v>
      </c>
      <c r="X26" s="239">
        <f t="shared" si="2"/>
        <v>-18.3</v>
      </c>
    </row>
    <row r="27" spans="1:28">
      <c r="A27" s="113">
        <v>18</v>
      </c>
      <c r="B27" s="239">
        <f>'[6]Degree Days 2022'!B27</f>
        <v>15</v>
      </c>
      <c r="C27" s="239">
        <f>'General information '!C22</f>
        <v>0</v>
      </c>
      <c r="D27" s="239">
        <f>'[7]Degree Days 2020'!D27</f>
        <v>-7.3000000000000007</v>
      </c>
      <c r="E27" s="3">
        <f>'[7]Degree Days 2020'!E27</f>
        <v>18</v>
      </c>
      <c r="F27" s="239">
        <f>'[8]Degree Days 2022'!F27</f>
        <v>0</v>
      </c>
      <c r="G27" s="239">
        <f>'[8]Degree Days 2022'!G27</f>
        <v>0</v>
      </c>
      <c r="H27" s="239">
        <f>'[7]Degree Days 2020'!H27</f>
        <v>-8.3000000000000007</v>
      </c>
      <c r="I27" s="3">
        <f>'[7]Degree Days 2020'!I27</f>
        <v>18</v>
      </c>
      <c r="J27" s="239">
        <f>'[9]Degree Days 2022'!J27</f>
        <v>0</v>
      </c>
      <c r="K27" s="239">
        <f>'[9]Degree Days 2022'!K27</f>
        <v>0</v>
      </c>
      <c r="L27" s="239">
        <f>'[7]Degree Days 2020'!L27</f>
        <v>-0.80000000000000071</v>
      </c>
      <c r="M27" s="3">
        <f>'[10]Degree Days 2020'!M27</f>
        <v>18</v>
      </c>
      <c r="N27" s="239">
        <f>'[11]Degree Days 2022'!N27</f>
        <v>35</v>
      </c>
      <c r="O27" s="239">
        <f>'[11]Degree Days 2022'!O27</f>
        <v>19</v>
      </c>
      <c r="P27" s="239">
        <f t="shared" si="0"/>
        <v>8.6999999999999993</v>
      </c>
      <c r="Q27" s="3">
        <v>18</v>
      </c>
      <c r="R27" s="239">
        <f>'[12]Degree Days 2022'!R27</f>
        <v>23</v>
      </c>
      <c r="S27" s="239">
        <f>'[12]Degree Days 2022'!S27</f>
        <v>17</v>
      </c>
      <c r="T27" s="239">
        <f t="shared" si="1"/>
        <v>1.6999999999999993</v>
      </c>
      <c r="U27" s="3">
        <v>18</v>
      </c>
      <c r="V27" s="239">
        <f>'[13]Degree Days 2022'!V27</f>
        <v>0</v>
      </c>
      <c r="W27" s="239">
        <f>'[13]Degree Days 2022'!W27</f>
        <v>0</v>
      </c>
      <c r="X27" s="239">
        <f t="shared" si="2"/>
        <v>-18.3</v>
      </c>
    </row>
    <row r="28" spans="1:28">
      <c r="A28" s="113">
        <v>19</v>
      </c>
      <c r="B28" s="239">
        <f>'[6]Degree Days 2022'!B28</f>
        <v>14</v>
      </c>
      <c r="C28" s="239">
        <f>'General information '!C23</f>
        <v>0</v>
      </c>
      <c r="D28" s="239">
        <f>'[7]Degree Days 2020'!D28</f>
        <v>-4.8000000000000007</v>
      </c>
      <c r="E28" s="3">
        <f>'[7]Degree Days 2020'!E28</f>
        <v>19</v>
      </c>
      <c r="F28" s="239">
        <f>'[8]Degree Days 2022'!F28</f>
        <v>0</v>
      </c>
      <c r="G28" s="239">
        <f>'[8]Degree Days 2022'!G28</f>
        <v>0</v>
      </c>
      <c r="H28" s="239">
        <f>'[7]Degree Days 2020'!H28</f>
        <v>-7.8000000000000007</v>
      </c>
      <c r="I28" s="3">
        <f>'[7]Degree Days 2020'!I28</f>
        <v>19</v>
      </c>
      <c r="J28" s="239">
        <f>'[9]Degree Days 2022'!J28</f>
        <v>0</v>
      </c>
      <c r="K28" s="239">
        <f>'[9]Degree Days 2022'!K28</f>
        <v>0</v>
      </c>
      <c r="L28" s="239">
        <f>'[7]Degree Days 2020'!L28</f>
        <v>-0.30000000000000071</v>
      </c>
      <c r="M28" s="3">
        <f>'[10]Degree Days 2020'!M28</f>
        <v>19</v>
      </c>
      <c r="N28" s="239">
        <f>'[11]Degree Days 2022'!N28</f>
        <v>21</v>
      </c>
      <c r="O28" s="239">
        <f>'[11]Degree Days 2022'!O28</f>
        <v>16</v>
      </c>
      <c r="P28" s="239">
        <f t="shared" si="0"/>
        <v>0.19999999999999929</v>
      </c>
      <c r="Q28" s="3">
        <v>19</v>
      </c>
      <c r="R28" s="239">
        <f>'[12]Degree Days 2022'!R28</f>
        <v>24</v>
      </c>
      <c r="S28" s="239">
        <f>'[12]Degree Days 2022'!S28</f>
        <v>19</v>
      </c>
      <c r="T28" s="239">
        <f t="shared" si="1"/>
        <v>3.1999999999999993</v>
      </c>
      <c r="U28" s="3">
        <v>19</v>
      </c>
      <c r="V28" s="239">
        <f>'[13]Degree Days 2022'!V28</f>
        <v>0</v>
      </c>
      <c r="W28" s="239">
        <f>'[13]Degree Days 2022'!W28</f>
        <v>0</v>
      </c>
      <c r="X28" s="239">
        <f t="shared" si="2"/>
        <v>-18.3</v>
      </c>
    </row>
    <row r="29" spans="1:28">
      <c r="A29" s="113">
        <v>20</v>
      </c>
      <c r="B29" s="239">
        <f>'[6]Degree Days 2022'!B29</f>
        <v>11</v>
      </c>
      <c r="C29" s="239">
        <f>'General information '!C24</f>
        <v>0</v>
      </c>
      <c r="D29" s="239">
        <f>'[7]Degree Days 2020'!D29</f>
        <v>-4.8000000000000007</v>
      </c>
      <c r="E29" s="3">
        <f>'[7]Degree Days 2020'!E29</f>
        <v>20</v>
      </c>
      <c r="F29" s="239">
        <f>'[8]Degree Days 2022'!F29</f>
        <v>18</v>
      </c>
      <c r="G29" s="239">
        <f>'[8]Degree Days 2022'!G29</f>
        <v>13</v>
      </c>
      <c r="H29" s="239">
        <f>'[7]Degree Days 2020'!H29</f>
        <v>-1.8000000000000007</v>
      </c>
      <c r="I29" s="3">
        <f>'[7]Degree Days 2020'!I29</f>
        <v>20</v>
      </c>
      <c r="J29" s="239">
        <f>'[9]Degree Days 2022'!J29</f>
        <v>11</v>
      </c>
      <c r="K29" s="239">
        <f>'[9]Degree Days 2022'!K29</f>
        <v>9</v>
      </c>
      <c r="L29" s="239">
        <f>'[7]Degree Days 2020'!L29</f>
        <v>1.1999999999999993</v>
      </c>
      <c r="M29" s="3">
        <f>'[10]Degree Days 2020'!M29</f>
        <v>20</v>
      </c>
      <c r="N29" s="239">
        <f>'[11]Degree Days 2022'!N29</f>
        <v>20</v>
      </c>
      <c r="O29" s="239">
        <f>'[11]Degree Days 2022'!O29</f>
        <v>16</v>
      </c>
      <c r="P29" s="239">
        <f t="shared" si="0"/>
        <v>-0.30000000000000071</v>
      </c>
      <c r="Q29" s="3">
        <v>20</v>
      </c>
      <c r="R29" s="239">
        <f>'[12]Degree Days 2022'!R29</f>
        <v>0</v>
      </c>
      <c r="S29" s="239">
        <f>'[12]Degree Days 2022'!S29</f>
        <v>0</v>
      </c>
      <c r="T29" s="239">
        <f t="shared" si="1"/>
        <v>-18.3</v>
      </c>
      <c r="U29" s="3">
        <v>20</v>
      </c>
      <c r="V29" s="239">
        <f>'[13]Degree Days 2022'!V29</f>
        <v>27</v>
      </c>
      <c r="W29" s="239">
        <f>'[13]Degree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'[6]Degree Days 2022'!B30</f>
        <v>0</v>
      </c>
      <c r="C30" s="239">
        <f>'General information '!C25</f>
        <v>0</v>
      </c>
      <c r="D30" s="239">
        <f>'[7]Degree Days 2020'!D30</f>
        <v>-5.8000000000000007</v>
      </c>
      <c r="E30" s="3">
        <f>'[7]Degree Days 2020'!E30</f>
        <v>21</v>
      </c>
      <c r="F30" s="239">
        <f>'[8]Degree Days 2022'!F30</f>
        <v>19</v>
      </c>
      <c r="G30" s="239">
        <f>'[8]Degree Days 2022'!G30</f>
        <v>13</v>
      </c>
      <c r="H30" s="239">
        <f>'[7]Degree Days 2020'!H30</f>
        <v>-2.8000000000000007</v>
      </c>
      <c r="I30" s="3">
        <f>'[7]Degree Days 2020'!I30</f>
        <v>21</v>
      </c>
      <c r="J30" s="239">
        <f>'[9]Degree Days 2022'!J30</f>
        <v>14</v>
      </c>
      <c r="K30" s="239">
        <f>'[9]Degree Days 2022'!K30</f>
        <v>8</v>
      </c>
      <c r="L30" s="239">
        <f>'[7]Degree Days 2020'!L30</f>
        <v>0.19999999999999929</v>
      </c>
      <c r="M30" s="3">
        <f>'[10]Degree Days 2020'!M30</f>
        <v>21</v>
      </c>
      <c r="N30" s="239">
        <f>'[11]Degree Days 2022'!N30</f>
        <v>0</v>
      </c>
      <c r="O30" s="239">
        <f>'[11]Degree Days 2022'!O30</f>
        <v>0</v>
      </c>
      <c r="P30" s="239">
        <f t="shared" si="0"/>
        <v>-18.3</v>
      </c>
      <c r="Q30" s="3">
        <v>21</v>
      </c>
      <c r="R30" s="239">
        <f>'[12]Degree Days 2022'!R30</f>
        <v>0</v>
      </c>
      <c r="S30" s="239">
        <f>'[12]Degree Days 2022'!S30</f>
        <v>0</v>
      </c>
      <c r="T30" s="239">
        <f t="shared" si="1"/>
        <v>-18.3</v>
      </c>
      <c r="U30" s="3">
        <v>21</v>
      </c>
      <c r="V30" s="239">
        <f>'[13]Degree Days 2022'!V30</f>
        <v>28</v>
      </c>
      <c r="W30" s="239">
        <f>'[13]Degree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'[6]Degree Days 2022'!B31</f>
        <v>0</v>
      </c>
      <c r="C31" s="239">
        <f>'General information '!C26</f>
        <v>0</v>
      </c>
      <c r="D31" s="239">
        <f>'[7]Degree Days 2020'!D31</f>
        <v>-4.8000000000000007</v>
      </c>
      <c r="E31" s="3">
        <f>'[7]Degree Days 2020'!E31</f>
        <v>22</v>
      </c>
      <c r="F31" s="239">
        <f>'[8]Degree Days 2022'!F31</f>
        <v>23</v>
      </c>
      <c r="G31" s="239">
        <f>'[8]Degree Days 2022'!G31</f>
        <v>14</v>
      </c>
      <c r="H31" s="239">
        <f>'[7]Degree Days 2020'!H31</f>
        <v>-1.8000000000000007</v>
      </c>
      <c r="I31" s="3">
        <f>'[7]Degree Days 2020'!I31</f>
        <v>22</v>
      </c>
      <c r="J31" s="239">
        <f>'[9]Degree Days 2022'!J31</f>
        <v>15</v>
      </c>
      <c r="K31" s="239">
        <f>'[9]Degree Days 2022'!K31</f>
        <v>11</v>
      </c>
      <c r="L31" s="239">
        <f>'[7]Degree Days 2020'!L31</f>
        <v>1.6999999999999993</v>
      </c>
      <c r="M31" s="3">
        <f>'[10]Degree Days 2020'!M31</f>
        <v>22</v>
      </c>
      <c r="N31" s="239">
        <f>'[11]Degree Days 2022'!N31</f>
        <v>0</v>
      </c>
      <c r="O31" s="239">
        <f>'[11]Degree Days 2022'!O31</f>
        <v>0</v>
      </c>
      <c r="P31" s="239">
        <f t="shared" si="0"/>
        <v>-18.3</v>
      </c>
      <c r="Q31" s="3">
        <v>22</v>
      </c>
      <c r="R31" s="239">
        <f>'[12]Degree Days 2022'!R31</f>
        <v>24</v>
      </c>
      <c r="S31" s="239">
        <f>'[12]Degree Days 2022'!S31</f>
        <v>21</v>
      </c>
      <c r="T31" s="239">
        <f t="shared" si="1"/>
        <v>4.1999999999999993</v>
      </c>
      <c r="U31" s="3">
        <v>22</v>
      </c>
      <c r="V31" s="239">
        <f>'[13]Degree Days 2022'!V31</f>
        <v>0</v>
      </c>
      <c r="W31" s="239">
        <f>'[13]Degree Days 2022'!W31</f>
        <v>0</v>
      </c>
      <c r="X31" s="239">
        <f t="shared" si="2"/>
        <v>-18.3</v>
      </c>
    </row>
    <row r="32" spans="1:28">
      <c r="A32" s="113">
        <v>23</v>
      </c>
      <c r="B32" s="239">
        <f>'[6]Degree Days 2022'!B32</f>
        <v>0</v>
      </c>
      <c r="C32" s="239">
        <f>'General information '!C27</f>
        <v>0</v>
      </c>
      <c r="D32" s="239">
        <f>'[7]Degree Days 2020'!D32</f>
        <v>-3.3000000000000007</v>
      </c>
      <c r="E32" s="3">
        <f>'[7]Degree Days 2020'!E32</f>
        <v>23</v>
      </c>
      <c r="F32" s="239">
        <f>'[8]Degree Days 2022'!F32</f>
        <v>25</v>
      </c>
      <c r="G32" s="239">
        <f>'[8]Degree Days 2022'!G32</f>
        <v>14</v>
      </c>
      <c r="H32" s="239">
        <f>'[7]Degree Days 2020'!H32</f>
        <v>-2.3000000000000007</v>
      </c>
      <c r="I32" s="3">
        <f>'[7]Degree Days 2020'!I32</f>
        <v>23</v>
      </c>
      <c r="J32" s="239">
        <f>'[9]Degree Days 2022'!J32</f>
        <v>15</v>
      </c>
      <c r="K32" s="239">
        <f>'[9]Degree Days 2022'!K32</f>
        <v>9</v>
      </c>
      <c r="L32" s="239">
        <f>'[7]Degree Days 2020'!L32</f>
        <v>6.6999999999999993</v>
      </c>
      <c r="M32" s="3">
        <f>'[10]Degree Days 2020'!M32</f>
        <v>23</v>
      </c>
      <c r="N32" s="239">
        <f>'[11]Degree Days 2022'!N32</f>
        <v>0</v>
      </c>
      <c r="O32" s="239">
        <f>'[11]Degree Days 2022'!O32</f>
        <v>0</v>
      </c>
      <c r="P32" s="239">
        <f t="shared" si="0"/>
        <v>-18.3</v>
      </c>
      <c r="Q32" s="3">
        <v>23</v>
      </c>
      <c r="R32" s="239">
        <f>'[12]Degree Days 2022'!R32</f>
        <v>24</v>
      </c>
      <c r="S32" s="239">
        <f>'[12]Degree Days 2022'!S32</f>
        <v>20</v>
      </c>
      <c r="T32" s="239">
        <f t="shared" si="1"/>
        <v>3.6999999999999993</v>
      </c>
      <c r="U32" s="3">
        <v>23</v>
      </c>
      <c r="V32" s="239">
        <f>'[13]Degree Days 2022'!V32</f>
        <v>0</v>
      </c>
      <c r="W32" s="239">
        <f>'[13]Degree Days 2022'!W32</f>
        <v>0</v>
      </c>
      <c r="X32" s="239">
        <f t="shared" si="2"/>
        <v>-18.3</v>
      </c>
    </row>
    <row r="33" spans="1:24">
      <c r="A33" s="113">
        <v>24</v>
      </c>
      <c r="B33" s="239">
        <f>'[6]Degree Days 2022'!B33</f>
        <v>13</v>
      </c>
      <c r="C33" s="239">
        <f>'General information '!C28</f>
        <v>0</v>
      </c>
      <c r="D33" s="239">
        <f>'[7]Degree Days 2020'!D33</f>
        <v>-4.3000000000000007</v>
      </c>
      <c r="E33" s="3">
        <f>'[7]Degree Days 2020'!E33</f>
        <v>24</v>
      </c>
      <c r="F33" s="239">
        <f>'[8]Degree Days 2022'!F33</f>
        <v>26</v>
      </c>
      <c r="G33" s="239">
        <f>'[8]Degree Days 2022'!G33</f>
        <v>12</v>
      </c>
      <c r="H33" s="239">
        <f>'[7]Degree Days 2020'!H33</f>
        <v>-2.8000000000000007</v>
      </c>
      <c r="I33" s="3">
        <f>'[7]Degree Days 2020'!I33</f>
        <v>24</v>
      </c>
      <c r="J33" s="239">
        <f>'[9]Degree Days 2022'!J33</f>
        <v>13</v>
      </c>
      <c r="K33" s="239">
        <f>'[9]Degree Days 2022'!K33</f>
        <v>9</v>
      </c>
      <c r="L33" s="239">
        <f>'[7]Degree Days 2020'!L33</f>
        <v>-4.8000000000000007</v>
      </c>
      <c r="M33" s="3">
        <f>'[10]Degree Days 2020'!M33</f>
        <v>24</v>
      </c>
      <c r="N33" s="239">
        <f>'[11]Degree Days 2022'!N33</f>
        <v>0</v>
      </c>
      <c r="O33" s="239">
        <f>'[11]Degree Days 2022'!O33</f>
        <v>0</v>
      </c>
      <c r="P33" s="239">
        <f t="shared" si="0"/>
        <v>-18.3</v>
      </c>
      <c r="Q33" s="3">
        <v>24</v>
      </c>
      <c r="R33" s="239">
        <f>'[12]Degree Days 2022'!R33</f>
        <v>24</v>
      </c>
      <c r="S33" s="239">
        <f>'[12]Degree Days 2022'!S33</f>
        <v>20</v>
      </c>
      <c r="T33" s="239">
        <f t="shared" si="1"/>
        <v>3.6999999999999993</v>
      </c>
      <c r="U33" s="3">
        <v>24</v>
      </c>
      <c r="V33" s="239">
        <f>'[13]Degree Days 2022'!V33</f>
        <v>0</v>
      </c>
      <c r="W33" s="239">
        <f>'[13]Degree Days 2022'!W33</f>
        <v>0</v>
      </c>
      <c r="X33" s="239">
        <f t="shared" si="2"/>
        <v>-18.3</v>
      </c>
    </row>
    <row r="34" spans="1:24">
      <c r="A34" s="113">
        <v>25</v>
      </c>
      <c r="B34" s="239">
        <f>'[6]Degree Days 2022'!B34</f>
        <v>16</v>
      </c>
      <c r="C34" s="239">
        <f>'General information '!C29</f>
        <v>0</v>
      </c>
      <c r="D34" s="239">
        <f>'[7]Degree Days 2020'!D34</f>
        <v>-1.8000000000000007</v>
      </c>
      <c r="E34" s="3">
        <f>'[7]Degree Days 2020'!E34</f>
        <v>25</v>
      </c>
      <c r="F34" s="239">
        <f>'[8]Degree Days 2022'!F34</f>
        <v>0</v>
      </c>
      <c r="G34" s="239">
        <f>'[8]Degree Days 2022'!G34</f>
        <v>0</v>
      </c>
      <c r="H34" s="239">
        <f>'[7]Degree Days 2020'!H34</f>
        <v>-2.8000000000000007</v>
      </c>
      <c r="I34" s="3">
        <f>'[7]Degree Days 2020'!I34</f>
        <v>25</v>
      </c>
      <c r="J34" s="239">
        <f>'[9]Degree Days 2022'!J34</f>
        <v>0</v>
      </c>
      <c r="K34" s="239">
        <f>'[9]Degree Days 2022'!K34</f>
        <v>0</v>
      </c>
      <c r="L34" s="239">
        <f>'[7]Degree Days 2020'!L34</f>
        <v>-4.8000000000000007</v>
      </c>
      <c r="M34" s="3">
        <f>'[10]Degree Days 2020'!M34</f>
        <v>25</v>
      </c>
      <c r="N34" s="239">
        <f>'[11]Degree Days 2022'!N34</f>
        <v>23</v>
      </c>
      <c r="O34" s="239">
        <f>'[11]Degree Days 2022'!O34</f>
        <v>18</v>
      </c>
      <c r="P34" s="239">
        <f t="shared" si="0"/>
        <v>2.1999999999999993</v>
      </c>
      <c r="Q34" s="3">
        <v>25</v>
      </c>
      <c r="R34" s="239">
        <f>'[12]Degree Days 2022'!R34</f>
        <v>24</v>
      </c>
      <c r="S34" s="239">
        <f>'[12]Degree Days 2022'!S34</f>
        <v>20</v>
      </c>
      <c r="T34" s="239">
        <f t="shared" si="1"/>
        <v>3.6999999999999993</v>
      </c>
      <c r="U34" s="3">
        <v>25</v>
      </c>
      <c r="V34" s="239">
        <f>'[13]Degree Days 2022'!V34</f>
        <v>0</v>
      </c>
      <c r="W34" s="239">
        <f>'[13]Degree Days 2022'!W34</f>
        <v>0</v>
      </c>
      <c r="X34" s="239">
        <f t="shared" si="2"/>
        <v>-18.3</v>
      </c>
    </row>
    <row r="35" spans="1:24">
      <c r="A35" s="113">
        <v>26</v>
      </c>
      <c r="B35" s="239">
        <f>'[6]Degree Days 2022'!B35</f>
        <v>12</v>
      </c>
      <c r="C35" s="239">
        <f>'General information '!C30</f>
        <v>0</v>
      </c>
      <c r="D35" s="239">
        <f>'[7]Degree Days 2020'!D35</f>
        <v>-3.8000000000000007</v>
      </c>
      <c r="E35" s="3">
        <f>'[7]Degree Days 2020'!E35</f>
        <v>26</v>
      </c>
      <c r="F35" s="239">
        <f>'[8]Degree Days 2022'!F35</f>
        <v>0</v>
      </c>
      <c r="G35" s="239">
        <f>'[8]Degree Days 2022'!G35</f>
        <v>0</v>
      </c>
      <c r="H35" s="239">
        <f>'[7]Degree Days 2020'!H35</f>
        <v>-2.8000000000000007</v>
      </c>
      <c r="I35" s="3">
        <f>'[7]Degree Days 2020'!I35</f>
        <v>26</v>
      </c>
      <c r="J35" s="239">
        <f>'[9]Degree Days 2022'!J35</f>
        <v>0</v>
      </c>
      <c r="K35" s="239">
        <f>'[9]Degree Days 2022'!K35</f>
        <v>0</v>
      </c>
      <c r="L35" s="239">
        <f>'[7]Degree Days 2020'!L35</f>
        <v>-5.3000000000000007</v>
      </c>
      <c r="M35" s="3">
        <f>'[10]Degree Days 2020'!M35</f>
        <v>26</v>
      </c>
      <c r="N35" s="239">
        <f>'[11]Degree Days 2022'!N35</f>
        <v>25</v>
      </c>
      <c r="O35" s="239">
        <f>'[11]Degree Days 2022'!O35</f>
        <v>16</v>
      </c>
      <c r="P35" s="239">
        <f t="shared" si="0"/>
        <v>2.1999999999999993</v>
      </c>
      <c r="Q35" s="3">
        <v>26</v>
      </c>
      <c r="R35" s="239">
        <f>'[12]Degree Days 2022'!R35</f>
        <v>28</v>
      </c>
      <c r="S35" s="239">
        <f>'[12]Degree Days 2022'!S35</f>
        <v>19</v>
      </c>
      <c r="T35" s="239">
        <f t="shared" si="1"/>
        <v>5.1999999999999993</v>
      </c>
      <c r="U35" s="3">
        <v>26</v>
      </c>
      <c r="V35" s="239">
        <f>'[13]Degree Days 2022'!V35</f>
        <v>29</v>
      </c>
      <c r="W35" s="239">
        <f>'[13]Degree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'[6]Degree Days 2022'!B36</f>
        <v>14</v>
      </c>
      <c r="C36" s="239">
        <f>'General information '!C31</f>
        <v>0</v>
      </c>
      <c r="D36" s="239">
        <f>'[7]Degree Days 2020'!D36</f>
        <v>-6.3000000000000007</v>
      </c>
      <c r="E36" s="3">
        <f>'[7]Degree Days 2020'!E36</f>
        <v>27</v>
      </c>
      <c r="F36" s="239">
        <f>'[8]Degree Days 2022'!F36</f>
        <v>18</v>
      </c>
      <c r="G36" s="239">
        <f>'[8]Degree Days 2022'!G36</f>
        <v>14</v>
      </c>
      <c r="H36" s="239">
        <f>'[7]Degree Days 2020'!H36</f>
        <v>-2.8000000000000007</v>
      </c>
      <c r="I36" s="3">
        <f>'[7]Degree Days 2020'!I36</f>
        <v>27</v>
      </c>
      <c r="J36" s="239">
        <f>'[9]Degree Days 2022'!J36</f>
        <v>18</v>
      </c>
      <c r="K36" s="239">
        <f>'[9]Degree Days 2022'!K36</f>
        <v>11</v>
      </c>
      <c r="L36" s="239">
        <f>'[7]Degree Days 2020'!L36</f>
        <v>-4.3000000000000007</v>
      </c>
      <c r="M36" s="3">
        <f>'[10]Degree Days 2020'!M36</f>
        <v>27</v>
      </c>
      <c r="N36" s="239">
        <f>'[11]Degree Days 2022'!N36</f>
        <v>23</v>
      </c>
      <c r="O36" s="239">
        <f>'[11]Degree Days 2022'!O36</f>
        <v>17</v>
      </c>
      <c r="P36" s="239">
        <f t="shared" si="0"/>
        <v>1.6999999999999993</v>
      </c>
      <c r="Q36" s="3">
        <v>27</v>
      </c>
      <c r="R36" s="239">
        <f>'[12]Degree Days 2022'!R36</f>
        <v>0</v>
      </c>
      <c r="S36" s="239">
        <f>'[12]Degree Days 2022'!S36</f>
        <v>0</v>
      </c>
      <c r="T36" s="239">
        <f t="shared" si="1"/>
        <v>-18.3</v>
      </c>
      <c r="U36" s="3">
        <v>27</v>
      </c>
      <c r="V36" s="239">
        <f>'[13]Degree Days 2022'!V36</f>
        <v>29</v>
      </c>
      <c r="W36" s="239">
        <f>'[13]Degree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'[6]Degree Days 2022'!B37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>
        <f>'[8]Degree Days 2022'!F37</f>
        <v>17</v>
      </c>
      <c r="G37" s="239">
        <f>'[8]Degree Days 2022'!G37</f>
        <v>12</v>
      </c>
      <c r="H37" s="239">
        <f>'[7]Degree Days 2020'!H37</f>
        <v>-3.3000000000000007</v>
      </c>
      <c r="I37" s="3">
        <f>'[7]Degree Days 2020'!I37</f>
        <v>28</v>
      </c>
      <c r="J37" s="239">
        <f>'[9]Degree Days 2022'!J37</f>
        <v>18</v>
      </c>
      <c r="K37" s="239">
        <f>'[9]Degree Days 2022'!K37</f>
        <v>11</v>
      </c>
      <c r="L37" s="239">
        <f>'[7]Degree Days 2020'!L37</f>
        <v>-3.3000000000000007</v>
      </c>
      <c r="M37" s="3">
        <f>'[10]Degree Days 2020'!M37</f>
        <v>28</v>
      </c>
      <c r="N37" s="239">
        <f>'[11]Degree Days 2022'!N37</f>
        <v>22</v>
      </c>
      <c r="O37" s="239">
        <f>'[11]Degree Days 2022'!O37</f>
        <v>19</v>
      </c>
      <c r="P37" s="239">
        <f t="shared" si="0"/>
        <v>2.1999999999999993</v>
      </c>
      <c r="Q37" s="3">
        <v>28</v>
      </c>
      <c r="R37" s="239">
        <f>'[12]Degree Days 2022'!R37</f>
        <v>0</v>
      </c>
      <c r="S37" s="239">
        <f>'[12]Degree Days 2022'!S37</f>
        <v>0</v>
      </c>
      <c r="T37" s="239">
        <f t="shared" si="1"/>
        <v>-18.3</v>
      </c>
      <c r="U37" s="3">
        <v>28</v>
      </c>
      <c r="V37" s="239">
        <f>'[13]Degree Days 2022'!V37</f>
        <v>28</v>
      </c>
      <c r="W37" s="239">
        <f>'[13]Degree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'[6]Degree Days 2022'!B38</f>
        <v>0</v>
      </c>
      <c r="C38" s="239">
        <f>'General information '!C33</f>
        <v>0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>
        <f>'[9]Degree Days 2022'!J38</f>
        <v>22</v>
      </c>
      <c r="K38" s="239">
        <f>'[9]Degree Days 2022'!K38</f>
        <v>12</v>
      </c>
      <c r="L38" s="239">
        <f>'[7]Degree Days 2020'!L38</f>
        <v>-2.8000000000000007</v>
      </c>
      <c r="M38" s="3">
        <f>'[10]Degree Days 2020'!M38</f>
        <v>29</v>
      </c>
      <c r="N38" s="239">
        <f>'[11]Degree Days 2022'!N38</f>
        <v>0</v>
      </c>
      <c r="O38" s="239">
        <f>'[11]Degree Days 2022'!O38</f>
        <v>0</v>
      </c>
      <c r="P38" s="239">
        <f t="shared" si="0"/>
        <v>-18.3</v>
      </c>
      <c r="Q38" s="3">
        <v>29</v>
      </c>
      <c r="R38" s="239">
        <f>'[12]Degree Days 2022'!R38</f>
        <v>0</v>
      </c>
      <c r="S38" s="239">
        <f>'[12]Degree Days 2022'!S38</f>
        <v>0</v>
      </c>
      <c r="T38" s="239">
        <f t="shared" si="1"/>
        <v>-18.3</v>
      </c>
      <c r="U38" s="3">
        <v>29</v>
      </c>
      <c r="V38" s="239">
        <f>'[13]Degree Days 2022'!V38</f>
        <v>29</v>
      </c>
      <c r="W38" s="239">
        <f>'[13]Degree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'[6]Degree Days 2022'!B39</f>
        <v>17</v>
      </c>
      <c r="C39" s="239">
        <f>'General information '!C34</f>
        <v>0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>
        <f>'[9]Degree Days 2022'!J39</f>
        <v>19</v>
      </c>
      <c r="K39" s="239">
        <f>'[9]Degree Days 2022'!K39</f>
        <v>15</v>
      </c>
      <c r="L39" s="239">
        <f>'[7]Degree Days 2020'!L39</f>
        <v>-2.3000000000000007</v>
      </c>
      <c r="M39" s="3">
        <f>'[10]Degree Days 2020'!M39</f>
        <v>30</v>
      </c>
      <c r="N39" s="239">
        <f>'[11]Degree Days 2022'!N39</f>
        <v>0</v>
      </c>
      <c r="O39" s="239">
        <f>'[11]Degree Days 2022'!O39</f>
        <v>0</v>
      </c>
      <c r="P39" s="239">
        <f t="shared" si="0"/>
        <v>-18.3</v>
      </c>
      <c r="Q39" s="3">
        <v>30</v>
      </c>
      <c r="R39" s="239">
        <f>'[12]Degree Days 2022'!R39</f>
        <v>27</v>
      </c>
      <c r="S39" s="239">
        <f>'[12]Degree Days 2022'!S39</f>
        <v>22</v>
      </c>
      <c r="T39" s="239">
        <f t="shared" si="1"/>
        <v>6.1999999999999993</v>
      </c>
      <c r="U39" s="3">
        <v>30</v>
      </c>
      <c r="V39" s="239">
        <f>'[13]Degree Days 2022'!V39</f>
        <v>29</v>
      </c>
      <c r="W39" s="239">
        <f>'[13]Degree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'[6]Degree Days 2022'!B40</f>
        <v>17</v>
      </c>
      <c r="C40" s="239">
        <f>'General information '!C35</f>
        <v>0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>
        <f>'[9]Degree Days 2022'!J40</f>
        <v>21</v>
      </c>
      <c r="K40" s="239">
        <f>'[9]Degree Days 2022'!K40</f>
        <v>13</v>
      </c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>
        <f>'[12]Degree Days 2022'!R40</f>
        <v>26</v>
      </c>
      <c r="S40" s="239">
        <f>'[12]Degree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'[14]General information '!B5</f>
        <v>0</v>
      </c>
      <c r="C48" s="239">
        <f>'[14]General information '!C5</f>
        <v>0</v>
      </c>
      <c r="D48" s="115">
        <f t="shared" ref="D48:D56" si="3">(B48+C48)/2-18.3</f>
        <v>-18.3</v>
      </c>
      <c r="E48" s="113">
        <v>1</v>
      </c>
      <c r="F48" s="239">
        <f>'[15]General information '!B5</f>
        <v>31</v>
      </c>
      <c r="G48" s="239">
        <f>'[15]General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19</v>
      </c>
      <c r="K48" s="239">
        <f>'General information '!C5</f>
        <v>13</v>
      </c>
      <c r="L48" s="115">
        <f>(J48+K48)/2-18.3</f>
        <v>-2.3000000000000007</v>
      </c>
      <c r="M48" s="113">
        <v>1</v>
      </c>
      <c r="N48" s="239">
        <f>'[5]General information '!B5</f>
        <v>29</v>
      </c>
      <c r="O48" s="239">
        <f>'[5]General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19</v>
      </c>
      <c r="W48" s="239">
        <f>'General information '!C5</f>
        <v>13</v>
      </c>
      <c r="X48" s="115">
        <f t="shared" ref="X48:X78" si="5">(V48+W48)/2-18.3</f>
        <v>-2.3000000000000007</v>
      </c>
    </row>
    <row r="49" spans="1:24">
      <c r="A49" s="113">
        <v>2</v>
      </c>
      <c r="B49" s="239">
        <f>'[14]General information '!B6</f>
        <v>0</v>
      </c>
      <c r="C49" s="239">
        <f>'[14]General information '!C6</f>
        <v>0</v>
      </c>
      <c r="D49" s="115">
        <f t="shared" si="3"/>
        <v>-18.3</v>
      </c>
      <c r="E49" s="113">
        <v>2</v>
      </c>
      <c r="F49" s="239">
        <f>'[15]General information '!B6</f>
        <v>31</v>
      </c>
      <c r="G49" s="239">
        <f>'[15]General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20</v>
      </c>
      <c r="K49" s="239">
        <f>'General information '!C6</f>
        <v>14</v>
      </c>
      <c r="L49" s="115">
        <f t="shared" ref="L49:L77" si="6">(J49+K49)/2-18.3</f>
        <v>-1.3000000000000007</v>
      </c>
      <c r="M49" s="113">
        <v>2</v>
      </c>
      <c r="N49" s="239">
        <f>'[5]General information '!B6</f>
        <v>0</v>
      </c>
      <c r="O49" s="239">
        <f>'[5]General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20</v>
      </c>
      <c r="W49" s="239">
        <f>'General information '!C6</f>
        <v>14</v>
      </c>
      <c r="X49" s="115">
        <f t="shared" si="5"/>
        <v>-1.3000000000000007</v>
      </c>
    </row>
    <row r="50" spans="1:24">
      <c r="A50" s="113">
        <v>3</v>
      </c>
      <c r="B50" s="239">
        <f>'[14]General information '!B7</f>
        <v>29</v>
      </c>
      <c r="C50" s="239">
        <f>'[14]General information '!C7</f>
        <v>26</v>
      </c>
      <c r="D50" s="115">
        <f t="shared" si="3"/>
        <v>9.1999999999999993</v>
      </c>
      <c r="E50" s="113">
        <v>3</v>
      </c>
      <c r="F50" s="239">
        <f>'[15]General information '!B7</f>
        <v>0</v>
      </c>
      <c r="G50" s="239">
        <f>'[15]General information '!C7</f>
        <v>0</v>
      </c>
      <c r="H50" s="115">
        <f t="shared" si="4"/>
        <v>-18.3</v>
      </c>
      <c r="I50" s="113">
        <v>3</v>
      </c>
      <c r="J50" s="239">
        <f>'General information '!B7</f>
        <v>20</v>
      </c>
      <c r="K50" s="239">
        <f>'General information '!C7</f>
        <v>18</v>
      </c>
      <c r="L50" s="115">
        <f t="shared" si="6"/>
        <v>0.69999999999999929</v>
      </c>
      <c r="M50" s="113">
        <v>3</v>
      </c>
      <c r="N50" s="239">
        <f>'[5]General information '!B7</f>
        <v>0</v>
      </c>
      <c r="O50" s="239">
        <f>'[5]General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20</v>
      </c>
      <c r="W50" s="239">
        <f>'General information '!C7</f>
        <v>18</v>
      </c>
      <c r="X50" s="115">
        <f t="shared" si="5"/>
        <v>0.69999999999999929</v>
      </c>
    </row>
    <row r="51" spans="1:24">
      <c r="A51" s="113">
        <v>4</v>
      </c>
      <c r="B51" s="239">
        <f>'[14]General information '!B8</f>
        <v>29</v>
      </c>
      <c r="C51" s="239">
        <f>'[14]General information '!C8</f>
        <v>25</v>
      </c>
      <c r="D51" s="115">
        <f t="shared" si="3"/>
        <v>8.6999999999999993</v>
      </c>
      <c r="E51" s="113">
        <v>4</v>
      </c>
      <c r="F51" s="239">
        <f>'[15]General information '!B8</f>
        <v>30</v>
      </c>
      <c r="G51" s="239">
        <f>'[15]General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21</v>
      </c>
      <c r="K51" s="239">
        <f>'General information '!C8</f>
        <v>13</v>
      </c>
      <c r="L51" s="115">
        <f t="shared" si="6"/>
        <v>-1.3000000000000007</v>
      </c>
      <c r="M51" s="113">
        <v>4</v>
      </c>
      <c r="N51" s="239">
        <f>'[5]General information '!B8</f>
        <v>28</v>
      </c>
      <c r="O51" s="239">
        <f>'[5]General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21</v>
      </c>
      <c r="W51" s="239">
        <f>'General information '!C8</f>
        <v>13</v>
      </c>
      <c r="X51" s="115">
        <f t="shared" si="5"/>
        <v>-1.3000000000000007</v>
      </c>
    </row>
    <row r="52" spans="1:24">
      <c r="A52" s="113">
        <v>5</v>
      </c>
      <c r="B52" s="239">
        <f>'[14]General information '!B9</f>
        <v>30</v>
      </c>
      <c r="C52" s="239">
        <f>'[14]General information '!C9</f>
        <v>24</v>
      </c>
      <c r="D52" s="115">
        <f t="shared" si="3"/>
        <v>8.6999999999999993</v>
      </c>
      <c r="E52" s="113">
        <v>5</v>
      </c>
      <c r="F52" s="239">
        <f>'[15]General information '!B9</f>
        <v>0</v>
      </c>
      <c r="G52" s="239">
        <f>'[15]General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20</v>
      </c>
      <c r="K52" s="239">
        <f>'General information '!C9</f>
        <v>14</v>
      </c>
      <c r="L52" s="115">
        <f t="shared" si="6"/>
        <v>-1.3000000000000007</v>
      </c>
      <c r="M52" s="113">
        <v>5</v>
      </c>
      <c r="N52" s="239">
        <f>'[5]General information '!B9</f>
        <v>28</v>
      </c>
      <c r="O52" s="239">
        <f>'[5]General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20</v>
      </c>
      <c r="W52" s="239">
        <f>'General information '!C9</f>
        <v>14</v>
      </c>
      <c r="X52" s="115">
        <f t="shared" si="5"/>
        <v>-1.3000000000000007</v>
      </c>
    </row>
    <row r="53" spans="1:24">
      <c r="A53" s="113">
        <v>6</v>
      </c>
      <c r="B53" s="239">
        <f>'[14]General information '!B10</f>
        <v>30</v>
      </c>
      <c r="C53" s="239">
        <f>'[14]General information '!C10</f>
        <v>24</v>
      </c>
      <c r="D53" s="115">
        <f t="shared" si="3"/>
        <v>8.6999999999999993</v>
      </c>
      <c r="E53" s="113">
        <v>6</v>
      </c>
      <c r="F53" s="239">
        <f>'[15]General information '!B10</f>
        <v>0</v>
      </c>
      <c r="G53" s="239">
        <f>'[15]General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0</v>
      </c>
      <c r="K53" s="239">
        <f>'General information '!C10</f>
        <v>0</v>
      </c>
      <c r="L53" s="115">
        <f t="shared" si="6"/>
        <v>-18.3</v>
      </c>
      <c r="M53" s="113">
        <v>6</v>
      </c>
      <c r="N53" s="239">
        <f>'[5]General information '!B10</f>
        <v>27</v>
      </c>
      <c r="O53" s="239">
        <f>'[5]General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0</v>
      </c>
      <c r="W53" s="239">
        <f>'General information '!C10</f>
        <v>0</v>
      </c>
      <c r="X53" s="115">
        <f t="shared" si="5"/>
        <v>-18.3</v>
      </c>
    </row>
    <row r="54" spans="1:24">
      <c r="A54" s="113">
        <v>7</v>
      </c>
      <c r="B54" s="239">
        <f>'[14]General information '!B11</f>
        <v>0</v>
      </c>
      <c r="C54" s="239">
        <f>'[14]General information '!C11</f>
        <v>0</v>
      </c>
      <c r="D54" s="115">
        <f t="shared" si="3"/>
        <v>-18.3</v>
      </c>
      <c r="E54" s="113">
        <v>7</v>
      </c>
      <c r="F54" s="239">
        <f>'[15]General information '!B11</f>
        <v>0</v>
      </c>
      <c r="G54" s="239">
        <f>'[15]General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0</v>
      </c>
      <c r="K54" s="239">
        <f>'General information '!C11</f>
        <v>0</v>
      </c>
      <c r="L54" s="115">
        <f t="shared" si="6"/>
        <v>-18.3</v>
      </c>
      <c r="M54" s="113">
        <v>7</v>
      </c>
      <c r="N54" s="239">
        <f>'[5]General information '!B11</f>
        <v>27</v>
      </c>
      <c r="O54" s="239">
        <f>'[5]General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0</v>
      </c>
      <c r="W54" s="239">
        <f>'General information '!C11</f>
        <v>0</v>
      </c>
      <c r="X54" s="115">
        <f t="shared" si="5"/>
        <v>-18.3</v>
      </c>
    </row>
    <row r="55" spans="1:24">
      <c r="A55" s="113">
        <v>8</v>
      </c>
      <c r="B55" s="239">
        <f>'[14]General information '!B12</f>
        <v>0</v>
      </c>
      <c r="C55" s="239">
        <f>'[14]General information '!C12</f>
        <v>0</v>
      </c>
      <c r="D55" s="115">
        <f t="shared" si="3"/>
        <v>-18.3</v>
      </c>
      <c r="E55" s="113">
        <v>8</v>
      </c>
      <c r="F55" s="239">
        <f>'[15]General information '!B12</f>
        <v>30</v>
      </c>
      <c r="G55" s="239">
        <f>'[15]General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18</v>
      </c>
      <c r="K55" s="239">
        <f>'General information '!C12</f>
        <v>16</v>
      </c>
      <c r="L55" s="115">
        <f t="shared" si="6"/>
        <v>-1.3000000000000007</v>
      </c>
      <c r="M55" s="113">
        <v>8</v>
      </c>
      <c r="N55" s="239">
        <f>'[5]General information '!B12</f>
        <v>0</v>
      </c>
      <c r="O55" s="239">
        <f>'[5]General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18</v>
      </c>
      <c r="W55" s="239">
        <f>'General information '!C12</f>
        <v>16</v>
      </c>
      <c r="X55" s="115">
        <f t="shared" si="5"/>
        <v>-1.3000000000000007</v>
      </c>
    </row>
    <row r="56" spans="1:24">
      <c r="A56" s="113">
        <v>9</v>
      </c>
      <c r="B56" s="239">
        <f>'[14]General information '!B13</f>
        <v>0</v>
      </c>
      <c r="C56" s="239">
        <f>'[14]General information '!C13</f>
        <v>0</v>
      </c>
      <c r="D56" s="115">
        <f t="shared" si="3"/>
        <v>-18.3</v>
      </c>
      <c r="E56" s="113">
        <v>9</v>
      </c>
      <c r="F56" s="239">
        <f>'[15]General information '!B13</f>
        <v>30</v>
      </c>
      <c r="G56" s="239">
        <f>'[15]General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19</v>
      </c>
      <c r="K56" s="239">
        <f>'General information '!C13</f>
        <v>13</v>
      </c>
      <c r="L56" s="115">
        <f t="shared" si="6"/>
        <v>-2.3000000000000007</v>
      </c>
      <c r="M56" s="113">
        <v>9</v>
      </c>
      <c r="N56" s="239">
        <f>'[5]General information '!B13</f>
        <v>0</v>
      </c>
      <c r="O56" s="239">
        <f>'[5]General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19</v>
      </c>
      <c r="W56" s="239">
        <f>'General information '!C13</f>
        <v>13</v>
      </c>
      <c r="X56" s="115">
        <f t="shared" si="5"/>
        <v>-2.3000000000000007</v>
      </c>
    </row>
    <row r="57" spans="1:24">
      <c r="A57" s="113">
        <v>10</v>
      </c>
      <c r="B57" s="239">
        <f>'[14]General information '!B14</f>
        <v>0</v>
      </c>
      <c r="C57" s="239">
        <f>'[14]General information '!C14</f>
        <v>0</v>
      </c>
      <c r="D57" s="115">
        <f t="shared" ref="D57:D78" si="9">(B57+C57)/2-18.3</f>
        <v>-18.3</v>
      </c>
      <c r="E57" s="113">
        <v>10</v>
      </c>
      <c r="F57" s="239">
        <f>'[15]General information '!B14</f>
        <v>0</v>
      </c>
      <c r="G57" s="239">
        <f>'[15]General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18</v>
      </c>
      <c r="K57" s="239">
        <f>'General information '!C14</f>
        <v>13</v>
      </c>
      <c r="L57" s="115">
        <f t="shared" si="6"/>
        <v>-2.8000000000000007</v>
      </c>
      <c r="M57" s="113">
        <v>10</v>
      </c>
      <c r="N57" s="239">
        <f>'[5]General information '!B14</f>
        <v>0</v>
      </c>
      <c r="O57" s="239">
        <f>'[5]General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18</v>
      </c>
      <c r="W57" s="239">
        <f>'General information '!C14</f>
        <v>13</v>
      </c>
      <c r="X57" s="115">
        <f t="shared" si="5"/>
        <v>-2.8000000000000007</v>
      </c>
    </row>
    <row r="58" spans="1:24">
      <c r="A58" s="113">
        <v>11</v>
      </c>
      <c r="B58" s="239">
        <f>'[14]General information '!B15</f>
        <v>30</v>
      </c>
      <c r="C58" s="239">
        <f>'[14]General information '!C15</f>
        <v>25</v>
      </c>
      <c r="D58" s="115">
        <f t="shared" si="9"/>
        <v>9.1999999999999993</v>
      </c>
      <c r="E58" s="113">
        <v>11</v>
      </c>
      <c r="F58" s="239">
        <f>'[15]General information '!B15</f>
        <v>0</v>
      </c>
      <c r="G58" s="239">
        <f>'[15]General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0</v>
      </c>
      <c r="K58" s="239">
        <f>'General information '!C15</f>
        <v>0</v>
      </c>
      <c r="L58" s="115">
        <f t="shared" si="6"/>
        <v>-18.3</v>
      </c>
      <c r="M58" s="113">
        <v>11</v>
      </c>
      <c r="N58" s="239">
        <f>'[5]General information '!B15</f>
        <v>28</v>
      </c>
      <c r="O58" s="239">
        <f>'[5]General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0</v>
      </c>
      <c r="W58" s="239">
        <f>'General information '!C15</f>
        <v>0</v>
      </c>
      <c r="X58" s="115">
        <f t="shared" si="5"/>
        <v>-18.3</v>
      </c>
    </row>
    <row r="59" spans="1:24">
      <c r="A59" s="113">
        <v>12</v>
      </c>
      <c r="B59" s="239">
        <f>'[14]General information '!B16</f>
        <v>31</v>
      </c>
      <c r="C59" s="239">
        <f>'[14]General information '!C16</f>
        <v>24</v>
      </c>
      <c r="D59" s="115">
        <f t="shared" si="9"/>
        <v>9.1999999999999993</v>
      </c>
      <c r="E59" s="113">
        <v>12</v>
      </c>
      <c r="F59" s="239">
        <f>'[15]General information '!B16</f>
        <v>0</v>
      </c>
      <c r="G59" s="239">
        <f>'[15]General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0</v>
      </c>
      <c r="K59" s="239">
        <f>'General information '!C16</f>
        <v>0</v>
      </c>
      <c r="L59" s="115">
        <f t="shared" si="6"/>
        <v>-18.3</v>
      </c>
      <c r="M59" s="113">
        <v>12</v>
      </c>
      <c r="N59" s="239">
        <f>'[5]General information '!B16</f>
        <v>27</v>
      </c>
      <c r="O59" s="239">
        <f>'[5]General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0</v>
      </c>
      <c r="W59" s="239">
        <f>'General information '!C16</f>
        <v>0</v>
      </c>
      <c r="X59" s="115">
        <f t="shared" si="5"/>
        <v>-18.3</v>
      </c>
    </row>
    <row r="60" spans="1:24">
      <c r="A60" s="113">
        <v>13</v>
      </c>
      <c r="B60" s="239">
        <f>'[14]General information '!B17</f>
        <v>30</v>
      </c>
      <c r="C60" s="239">
        <f>'[14]General information '!C17</f>
        <v>23</v>
      </c>
      <c r="D60" s="115">
        <f t="shared" si="9"/>
        <v>8.1999999999999993</v>
      </c>
      <c r="E60" s="113">
        <v>13</v>
      </c>
      <c r="F60" s="239">
        <f>'[15]General information '!B17</f>
        <v>0</v>
      </c>
      <c r="G60" s="239">
        <f>'[15]General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0</v>
      </c>
      <c r="K60" s="239">
        <f>'General information '!C17</f>
        <v>0</v>
      </c>
      <c r="L60" s="115">
        <f t="shared" si="6"/>
        <v>-18.3</v>
      </c>
      <c r="M60" s="113">
        <v>13</v>
      </c>
      <c r="N60" s="239">
        <f>'[5]General information '!B17</f>
        <v>0</v>
      </c>
      <c r="O60" s="239">
        <f>'[5]General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0</v>
      </c>
      <c r="W60" s="239">
        <f>'General information '!C17</f>
        <v>0</v>
      </c>
      <c r="X60" s="115">
        <f t="shared" si="5"/>
        <v>-18.3</v>
      </c>
    </row>
    <row r="61" spans="1:24">
      <c r="A61" s="113">
        <v>14</v>
      </c>
      <c r="B61" s="239">
        <f>'[14]General information '!B18</f>
        <v>27</v>
      </c>
      <c r="C61" s="239">
        <f>'[14]General information '!C18</f>
        <v>26</v>
      </c>
      <c r="D61" s="115">
        <f t="shared" si="9"/>
        <v>8.1999999999999993</v>
      </c>
      <c r="E61" s="113">
        <v>14</v>
      </c>
      <c r="F61" s="239">
        <f>'[15]General information '!B18</f>
        <v>0</v>
      </c>
      <c r="G61" s="239">
        <f>'[15]General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0</v>
      </c>
      <c r="K61" s="239">
        <f>'General information '!C18</f>
        <v>0</v>
      </c>
      <c r="L61" s="115">
        <f t="shared" si="6"/>
        <v>-18.3</v>
      </c>
      <c r="M61" s="113">
        <v>14</v>
      </c>
      <c r="N61" s="239">
        <f>'[5]General information '!B18</f>
        <v>0</v>
      </c>
      <c r="O61" s="239">
        <f>'[5]General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0</v>
      </c>
      <c r="W61" s="239">
        <f>'General information '!C18</f>
        <v>0</v>
      </c>
      <c r="X61" s="115">
        <f t="shared" si="5"/>
        <v>-18.3</v>
      </c>
    </row>
    <row r="62" spans="1:24">
      <c r="A62" s="113">
        <v>15</v>
      </c>
      <c r="B62" s="239">
        <f>'[14]General information '!B19</f>
        <v>0</v>
      </c>
      <c r="C62" s="239">
        <f>'[14]General information '!C19</f>
        <v>0</v>
      </c>
      <c r="D62" s="115">
        <f t="shared" si="9"/>
        <v>-18.3</v>
      </c>
      <c r="E62" s="113">
        <v>15</v>
      </c>
      <c r="F62" s="239">
        <f>'[15]General information '!B19</f>
        <v>0</v>
      </c>
      <c r="G62" s="239">
        <f>'[15]General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0</v>
      </c>
      <c r="K62" s="239">
        <f>'General information '!C19</f>
        <v>0</v>
      </c>
      <c r="L62" s="115">
        <f t="shared" si="6"/>
        <v>-18.3</v>
      </c>
      <c r="M62" s="113">
        <v>15</v>
      </c>
      <c r="N62" s="239">
        <f>'[5]General information '!B19</f>
        <v>0</v>
      </c>
      <c r="O62" s="239">
        <f>'[5]General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0</v>
      </c>
      <c r="W62" s="239">
        <f>'General information '!C19</f>
        <v>0</v>
      </c>
      <c r="X62" s="115">
        <f t="shared" si="5"/>
        <v>-18.3</v>
      </c>
    </row>
    <row r="63" spans="1:24">
      <c r="A63" s="113">
        <v>16</v>
      </c>
      <c r="B63" s="239">
        <f>'[14]General information '!B20</f>
        <v>0</v>
      </c>
      <c r="C63" s="239">
        <f>'[14]General information '!C20</f>
        <v>0</v>
      </c>
      <c r="D63" s="115">
        <f t="shared" si="9"/>
        <v>-18.3</v>
      </c>
      <c r="E63" s="113">
        <v>16</v>
      </c>
      <c r="F63" s="239">
        <f>'[15]General information '!B20</f>
        <v>30</v>
      </c>
      <c r="G63" s="239">
        <f>'[15]General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'[5]General information '!B20</f>
        <v>0</v>
      </c>
      <c r="O63" s="239">
        <f>'[5]General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'[14]General information '!B21</f>
        <v>28</v>
      </c>
      <c r="C64" s="239">
        <f>'[14]General information '!C21</f>
        <v>26</v>
      </c>
      <c r="D64" s="115">
        <f t="shared" si="9"/>
        <v>8.6999999999999993</v>
      </c>
      <c r="E64" s="113">
        <v>17</v>
      </c>
      <c r="F64" s="239">
        <f>'[15]General information '!B21</f>
        <v>31</v>
      </c>
      <c r="G64" s="239">
        <f>'[15]General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'[5]General information '!B21</f>
        <v>26</v>
      </c>
      <c r="O64" s="239">
        <f>'[5]General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'[14]General information '!B22</f>
        <v>30</v>
      </c>
      <c r="C65" s="239">
        <f>'[14]General information '!C22</f>
        <v>25</v>
      </c>
      <c r="D65" s="115">
        <f t="shared" si="9"/>
        <v>9.1999999999999993</v>
      </c>
      <c r="E65" s="113">
        <v>18</v>
      </c>
      <c r="F65" s="239">
        <f>'[15]General information '!B22</f>
        <v>30</v>
      </c>
      <c r="G65" s="239">
        <f>'[15]General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0</v>
      </c>
      <c r="K65" s="239">
        <f>'General information '!C22</f>
        <v>0</v>
      </c>
      <c r="L65" s="115">
        <f t="shared" si="6"/>
        <v>-18.3</v>
      </c>
      <c r="M65" s="113">
        <v>18</v>
      </c>
      <c r="N65" s="239">
        <f>'[5]General information '!B22</f>
        <v>27</v>
      </c>
      <c r="O65" s="239">
        <f>'[5]General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0</v>
      </c>
      <c r="W65" s="239">
        <f>'General information '!C22</f>
        <v>0</v>
      </c>
      <c r="X65" s="115">
        <f t="shared" si="5"/>
        <v>-18.3</v>
      </c>
    </row>
    <row r="66" spans="1:24">
      <c r="A66" s="113">
        <v>19</v>
      </c>
      <c r="B66" s="239">
        <f>'[14]General information '!B23</f>
        <v>0</v>
      </c>
      <c r="C66" s="239">
        <f>'[14]General information '!C23</f>
        <v>0</v>
      </c>
      <c r="D66" s="115">
        <f t="shared" si="9"/>
        <v>-18.3</v>
      </c>
      <c r="E66" s="113">
        <v>19</v>
      </c>
      <c r="F66" s="239">
        <f>'[15]General information '!B23</f>
        <v>30</v>
      </c>
      <c r="G66" s="239">
        <f>'[15]General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0</v>
      </c>
      <c r="K66" s="239">
        <f>'General information '!C23</f>
        <v>0</v>
      </c>
      <c r="L66" s="115">
        <f t="shared" si="6"/>
        <v>-18.3</v>
      </c>
      <c r="M66" s="113">
        <v>19</v>
      </c>
      <c r="N66" s="239">
        <f>'[5]General information '!B23</f>
        <v>26</v>
      </c>
      <c r="O66" s="239">
        <f>'[5]General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0</v>
      </c>
      <c r="W66" s="239">
        <f>'General information '!C23</f>
        <v>0</v>
      </c>
      <c r="X66" s="115">
        <f t="shared" si="5"/>
        <v>-18.3</v>
      </c>
    </row>
    <row r="67" spans="1:24">
      <c r="A67" s="113">
        <v>20</v>
      </c>
      <c r="B67" s="239">
        <f>'[14]General information '!B24</f>
        <v>0</v>
      </c>
      <c r="C67" s="239">
        <f>'[14]General information '!C24</f>
        <v>0</v>
      </c>
      <c r="D67" s="115">
        <f t="shared" si="9"/>
        <v>-18.3</v>
      </c>
      <c r="E67" s="113">
        <v>20</v>
      </c>
      <c r="F67" s="239">
        <f>'[15]General information '!B24</f>
        <v>29</v>
      </c>
      <c r="G67" s="239">
        <f>'[15]General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'[5]General information '!B24</f>
        <v>26</v>
      </c>
      <c r="O67" s="239">
        <f>'[5]General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'[14]General information '!B25</f>
        <v>0</v>
      </c>
      <c r="C68" s="239">
        <f>'[14]General information '!C25</f>
        <v>0</v>
      </c>
      <c r="D68" s="115">
        <f t="shared" si="9"/>
        <v>-18.3</v>
      </c>
      <c r="E68" s="113">
        <v>21</v>
      </c>
      <c r="F68" s="239">
        <f>'[15]General information '!B25</f>
        <v>30</v>
      </c>
      <c r="G68" s="239">
        <f>'[15]General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'[5]General information '!B25</f>
        <v>0</v>
      </c>
      <c r="O68" s="239">
        <f>'[5]General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'[14]General information '!B26</f>
        <v>0</v>
      </c>
      <c r="C69" s="239">
        <f>'[14]General information '!C26</f>
        <v>0</v>
      </c>
      <c r="D69" s="115">
        <f t="shared" si="9"/>
        <v>-18.3</v>
      </c>
      <c r="E69" s="113">
        <v>22</v>
      </c>
      <c r="F69" s="239">
        <f>'[15]General information '!B26</f>
        <v>30</v>
      </c>
      <c r="G69" s="239">
        <f>'[15]General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0</v>
      </c>
      <c r="K69" s="239">
        <f>'General information '!C26</f>
        <v>0</v>
      </c>
      <c r="L69" s="115">
        <f t="shared" si="6"/>
        <v>-18.3</v>
      </c>
      <c r="M69" s="113">
        <v>22</v>
      </c>
      <c r="N69" s="239">
        <f>'[5]General information '!B26</f>
        <v>0</v>
      </c>
      <c r="O69" s="239">
        <f>'[5]General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0</v>
      </c>
      <c r="W69" s="239">
        <f>'General information '!C26</f>
        <v>0</v>
      </c>
      <c r="X69" s="115">
        <f t="shared" si="5"/>
        <v>-18.3</v>
      </c>
    </row>
    <row r="70" spans="1:24">
      <c r="A70" s="113">
        <v>23</v>
      </c>
      <c r="B70" s="239">
        <f>'[14]General information '!B27</f>
        <v>0</v>
      </c>
      <c r="C70" s="239">
        <f>'[14]General information '!C27</f>
        <v>0</v>
      </c>
      <c r="D70" s="115">
        <f t="shared" si="9"/>
        <v>-18.3</v>
      </c>
      <c r="E70" s="113">
        <v>23</v>
      </c>
      <c r="F70" s="239">
        <f>'[15]General information '!B27</f>
        <v>29</v>
      </c>
      <c r="G70" s="239">
        <f>'[15]General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'[5]General information '!B27</f>
        <v>26</v>
      </c>
      <c r="O70" s="239">
        <f>'[5]General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'[14]General information '!B28</f>
        <v>31</v>
      </c>
      <c r="C71" s="239">
        <f>'[14]General information '!C28</f>
        <v>26</v>
      </c>
      <c r="D71" s="115">
        <f t="shared" si="9"/>
        <v>10.199999999999999</v>
      </c>
      <c r="E71" s="113">
        <v>24</v>
      </c>
      <c r="F71" s="239">
        <f>'[15]General information '!B28</f>
        <v>29</v>
      </c>
      <c r="G71" s="239">
        <f>'[15]General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'[5]General information '!B28</f>
        <v>28</v>
      </c>
      <c r="O71" s="239">
        <f>'[5]General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'[14]General information '!B29</f>
        <v>31</v>
      </c>
      <c r="C72" s="239">
        <f>'[14]General information '!C29</f>
        <v>26</v>
      </c>
      <c r="D72" s="115">
        <f t="shared" si="9"/>
        <v>10.199999999999999</v>
      </c>
      <c r="E72" s="113">
        <v>25</v>
      </c>
      <c r="F72" s="239">
        <f>'[15]General information '!B29</f>
        <v>31</v>
      </c>
      <c r="G72" s="239">
        <f>'[15]General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'[5]General information '!B29</f>
        <v>27</v>
      </c>
      <c r="O72" s="239">
        <f>'[5]General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'[14]General information '!B30</f>
        <v>31</v>
      </c>
      <c r="C73" s="239">
        <f>'[14]General information '!C30</f>
        <v>27</v>
      </c>
      <c r="D73" s="115">
        <f t="shared" si="9"/>
        <v>10.7</v>
      </c>
      <c r="E73" s="113">
        <v>26</v>
      </c>
      <c r="F73" s="239">
        <f>'[15]General information '!B30</f>
        <v>31</v>
      </c>
      <c r="G73" s="239">
        <f>'[15]General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0</v>
      </c>
      <c r="K73" s="239">
        <f>'General information '!C30</f>
        <v>0</v>
      </c>
      <c r="L73" s="115">
        <f t="shared" si="6"/>
        <v>-18.3</v>
      </c>
      <c r="M73" s="113">
        <v>26</v>
      </c>
      <c r="N73" s="239">
        <f>'[5]General information '!B30</f>
        <v>27</v>
      </c>
      <c r="O73" s="239">
        <f>'[5]General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0</v>
      </c>
      <c r="W73" s="239">
        <f>'General information '!C30</f>
        <v>0</v>
      </c>
      <c r="X73" s="115">
        <f t="shared" si="5"/>
        <v>-18.3</v>
      </c>
    </row>
    <row r="74" spans="1:24">
      <c r="A74" s="113">
        <v>27</v>
      </c>
      <c r="B74" s="239">
        <f>'[14]General information '!B31</f>
        <v>30</v>
      </c>
      <c r="C74" s="239">
        <f>'[14]General information '!C31</f>
        <v>26</v>
      </c>
      <c r="D74" s="115">
        <f t="shared" si="9"/>
        <v>9.6999999999999993</v>
      </c>
      <c r="E74" s="113">
        <v>27</v>
      </c>
      <c r="F74" s="239">
        <f>'[15]General information '!B31</f>
        <v>0</v>
      </c>
      <c r="G74" s="239">
        <f>'[15]General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'[5]General information '!B31</f>
        <v>27</v>
      </c>
      <c r="O74" s="239">
        <f>'[5]General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'[14]General information '!B32</f>
        <v>31</v>
      </c>
      <c r="C75" s="239">
        <f>'[14]General information '!C32</f>
        <v>27</v>
      </c>
      <c r="D75" s="115">
        <f t="shared" si="9"/>
        <v>10.7</v>
      </c>
      <c r="E75" s="113">
        <v>28</v>
      </c>
      <c r="F75" s="239">
        <f>'[15]General information '!B32</f>
        <v>32</v>
      </c>
      <c r="G75" s="239">
        <f>'[15]General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'[5]General information '!B32</f>
        <v>0</v>
      </c>
      <c r="O75" s="239">
        <f>'[5]General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'[14]General information '!B33</f>
        <v>0</v>
      </c>
      <c r="C76" s="239">
        <f>'[14]General information '!C33</f>
        <v>0</v>
      </c>
      <c r="D76" s="115">
        <f t="shared" si="9"/>
        <v>-18.3</v>
      </c>
      <c r="E76" s="113">
        <v>29</v>
      </c>
      <c r="F76" s="239">
        <f>'[15]General information '!B33</f>
        <v>32</v>
      </c>
      <c r="G76" s="239">
        <f>'[15]General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'[5]General information '!B33</f>
        <v>0</v>
      </c>
      <c r="O76" s="239">
        <f>'[5]General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'[14]General information '!B34</f>
        <v>0</v>
      </c>
      <c r="C77" s="239">
        <f>'[14]General information '!C34</f>
        <v>0</v>
      </c>
      <c r="D77" s="115">
        <f t="shared" si="9"/>
        <v>-18.3</v>
      </c>
      <c r="E77" s="113">
        <v>30</v>
      </c>
      <c r="F77" s="239">
        <f>'[15]General information '!B34</f>
        <v>31</v>
      </c>
      <c r="G77" s="239">
        <f>'[15]General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'[5]General information '!B34</f>
        <v>26</v>
      </c>
      <c r="O77" s="239">
        <f>'[5]General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'[14]General information '!B35</f>
        <v>31</v>
      </c>
      <c r="C78" s="239">
        <f>'[14]General information '!C35</f>
        <v>26</v>
      </c>
      <c r="D78" s="115">
        <f t="shared" si="9"/>
        <v>10.199999999999999</v>
      </c>
      <c r="E78" s="116">
        <v>31</v>
      </c>
      <c r="F78" s="239">
        <f>'[15]General information '!B35</f>
        <v>31</v>
      </c>
      <c r="G78" s="239">
        <f>'[15]General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'[5]General information '!B35</f>
        <v>26</v>
      </c>
      <c r="O78" s="239">
        <f>'[5]General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-415.20000000000016</v>
      </c>
      <c r="K81" s="115">
        <f>SUMIF(L48:L78,"&gt;0")</f>
        <v>0.69999999999999929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-433.50000000000017</v>
      </c>
      <c r="W81" s="115">
        <f>SUMIF(X48:X78,"&gt;0")</f>
        <v>0.69999999999999929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7" t="s">
        <v>303</v>
      </c>
      <c r="O84" s="627" t="s">
        <v>304</v>
      </c>
      <c r="P84" s="130"/>
      <c r="T84" s="130"/>
      <c r="X84" s="130"/>
    </row>
    <row r="85" spans="1:24" ht="20.25" thickBot="1">
      <c r="D85" s="130"/>
      <c r="I85" s="629" t="s">
        <v>312</v>
      </c>
      <c r="J85" s="630"/>
      <c r="K85" s="630"/>
      <c r="L85" s="630"/>
      <c r="N85" s="628"/>
      <c r="O85" s="628"/>
      <c r="P85" s="130"/>
      <c r="T85" s="130"/>
      <c r="X85" s="130"/>
    </row>
    <row r="86" spans="1:24" ht="18.75" thickBot="1">
      <c r="D86" s="130"/>
      <c r="I86" s="631" t="s">
        <v>313</v>
      </c>
      <c r="J86" s="631"/>
      <c r="K86" s="631"/>
      <c r="L86" s="631"/>
      <c r="N86" s="136">
        <f>B43+F43+J43+N43+R43+V43+B81+F81+J81+N81+R81+V81</f>
        <v>-2652.1000000000004</v>
      </c>
      <c r="O86" s="136">
        <f>C43+G43+K43+O43+S43+W43+C81+G81+K81+O81+S81+W81</f>
        <v>694.50000000000011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21"/>
      <c r="C88" s="621"/>
      <c r="D88" s="621"/>
      <c r="E88" s="621"/>
      <c r="F88" s="621"/>
      <c r="G88" s="621"/>
      <c r="H88" s="621"/>
      <c r="I88" s="621"/>
      <c r="J88" s="621"/>
      <c r="K88" s="621"/>
      <c r="L88" s="621"/>
      <c r="M88" s="621"/>
      <c r="N88" s="621"/>
      <c r="O88" s="621"/>
      <c r="P88" s="621"/>
      <c r="Q88" s="621"/>
      <c r="R88" s="621"/>
      <c r="S88" s="621"/>
      <c r="T88" s="621"/>
      <c r="U88" s="621"/>
      <c r="V88" s="621"/>
      <c r="W88" s="621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G1" activePane="topRight" state="frozen"/>
      <selection pane="topRight" activeCell="K21" sqref="K2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2" t="s">
        <v>315</v>
      </c>
      <c r="B2" s="632"/>
      <c r="C2" s="632"/>
      <c r="D2" s="632"/>
      <c r="E2" s="632"/>
      <c r="F2" s="632"/>
      <c r="G2" s="632"/>
      <c r="H2" s="632"/>
      <c r="I2" s="632"/>
    </row>
    <row r="3" spans="1:11">
      <c r="A3" s="183">
        <v>44949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10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5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'[16]Budget 2021'!$I$15</f>
        <v>8701</v>
      </c>
      <c r="J7" s="241"/>
    </row>
    <row r="8" spans="1:11">
      <c r="A8" s="180" t="s">
        <v>328</v>
      </c>
      <c r="B8" s="300">
        <f>tanks!AT37</f>
        <v>7795</v>
      </c>
      <c r="C8" s="417">
        <f>SUM(tanks!AU37)</f>
        <v>0.89</v>
      </c>
      <c r="D8" s="181">
        <f>SUM(B8*C8)*D4</f>
        <v>10458356.625</v>
      </c>
      <c r="E8" s="182">
        <f>SUM(D8/D4/F4)</f>
        <v>223.79193548387099</v>
      </c>
      <c r="F8" s="182">
        <f>SUM(E8*F4)</f>
        <v>6937.55</v>
      </c>
      <c r="G8" s="174">
        <f>E8*$G$4</f>
        <v>2237.9193548387098</v>
      </c>
      <c r="H8" s="179">
        <v>30289.9</v>
      </c>
      <c r="I8" s="182">
        <f>'[16]Budget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612</v>
      </c>
      <c r="C10" s="171"/>
      <c r="D10" s="173">
        <f>'EDl log'!AB30</f>
        <v>7302717</v>
      </c>
      <c r="E10" s="172">
        <f>SUM(D10/D4/F4)</f>
        <v>156.26634569090035</v>
      </c>
      <c r="F10" s="172">
        <f>SUM(E10*F4)</f>
        <v>4844.2567164179109</v>
      </c>
      <c r="G10" s="425">
        <f>E10*$G$4</f>
        <v>1562.6634569090036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644.57441020702936</v>
      </c>
      <c r="F12" s="170">
        <f>SUM(F6:F10)</f>
        <v>19981.806716417908</v>
      </c>
      <c r="G12" s="169">
        <f>SUM(G6:G10)</f>
        <v>12000.582811747714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0.69999999999999929</v>
      </c>
      <c r="C14" s="93">
        <v>0</v>
      </c>
      <c r="D14" s="161"/>
      <c r="E14" s="371">
        <f>'[17]Utility Cost '!F14</f>
        <v>0</v>
      </c>
      <c r="F14" s="3">
        <v>0</v>
      </c>
      <c r="G14" s="361"/>
      <c r="H14" s="362">
        <f>SUM(G12-H12)</f>
        <v>-68128.317188252287</v>
      </c>
      <c r="I14" s="362">
        <f>SUM(G12-I12)</f>
        <v>-39243.336908682395</v>
      </c>
    </row>
    <row r="15" spans="1:11">
      <c r="A15" s="382" t="s">
        <v>336</v>
      </c>
      <c r="B15" s="93">
        <f>'Degree Days 2022'!J81</f>
        <v>-415.20000000000016</v>
      </c>
      <c r="C15" s="93">
        <v>-549.00000000000011</v>
      </c>
      <c r="D15" s="161"/>
      <c r="E15" s="371">
        <f>'[17]Utility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134.5</v>
      </c>
      <c r="C16" s="459">
        <v>21.818181818181817</v>
      </c>
      <c r="D16" s="370"/>
      <c r="E16" s="371">
        <f>'[17]Utility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435">
        <v>0</v>
      </c>
      <c r="D17" s="408">
        <v>0</v>
      </c>
      <c r="E17" s="371">
        <f>'[17]Utility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76</v>
      </c>
      <c r="C18" s="436">
        <v>201</v>
      </c>
      <c r="D18" s="369">
        <f>'[18]Other Fuel Calculation 2021'!$G$116</f>
        <v>202.66666666666666</v>
      </c>
      <c r="E18" s="371">
        <f>'[17]Utility Cost '!F18</f>
        <v>276.33333333333337</v>
      </c>
      <c r="F18" s="438">
        <f>B18-D18</f>
        <v>-126.66666666666666</v>
      </c>
    </row>
    <row r="19" spans="1:6">
      <c r="A19" s="434" t="s">
        <v>339</v>
      </c>
      <c r="B19" s="436">
        <f>GEN!AL34</f>
        <v>6</v>
      </c>
      <c r="C19" s="436">
        <v>19</v>
      </c>
      <c r="D19" s="369"/>
      <c r="E19" s="371"/>
      <c r="F19" s="438"/>
    </row>
    <row r="20" spans="1:6">
      <c r="A20" s="434" t="s">
        <v>340</v>
      </c>
      <c r="B20" s="433">
        <f>B18/B19</f>
        <v>12.666666666666666</v>
      </c>
      <c r="C20" s="433">
        <v>10.578947368421053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64A1211-60D8-4124-8B70-61D774B73CB5}"/>
</file>

<file path=customXml/itemProps2.xml><?xml version="1.0" encoding="utf-8"?>
<ds:datastoreItem xmlns:ds="http://schemas.openxmlformats.org/officeDocument/2006/customXml" ds:itemID="{1F2A82A3-AC79-49A3-AF02-735AF56E11B7}"/>
</file>

<file path=customXml/itemProps3.xml><?xml version="1.0" encoding="utf-8"?>
<ds:datastoreItem xmlns:ds="http://schemas.openxmlformats.org/officeDocument/2006/customXml" ds:itemID="{0681EA65-C721-4189-A818-9E5C2E92F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2023-01-11T08:09:18Z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