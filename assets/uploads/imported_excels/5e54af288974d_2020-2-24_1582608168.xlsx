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Cairo at Nile Plaza\"/>
    </mc:Choice>
  </mc:AlternateContent>
  <bookViews>
    <workbookView xWindow="0" yWindow="0" windowWidth="28800" windowHeight="12435" tabRatio="598" firstSheet="2"/>
  </bookViews>
  <sheets>
    <sheet name="TOTAL" sheetId="9" r:id="rId1"/>
    <sheet name="Submetering" sheetId="8" r:id="rId2"/>
    <sheet name="Mall, Citadel, Rotana" sheetId="2" r:id="rId3"/>
    <sheet name="Water" sheetId="3" r:id="rId4"/>
    <sheet name="ELECT." sheetId="4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Gas!$A$1:$C$35</definedName>
  </definedNames>
  <calcPr calcId="152511"/>
</workbook>
</file>

<file path=xl/calcChain.xml><?xml version="1.0" encoding="utf-8"?>
<calcChain xmlns="http://schemas.openxmlformats.org/spreadsheetml/2006/main">
  <c r="C4" i="2" l="1"/>
  <c r="E4" i="2"/>
  <c r="G4" i="2"/>
  <c r="I4" i="2"/>
  <c r="I35" i="2"/>
  <c r="K4" i="2"/>
  <c r="M4" i="2"/>
  <c r="O4" i="2"/>
  <c r="Q4" i="2"/>
  <c r="Q35" i="2"/>
  <c r="S4" i="2"/>
  <c r="C5" i="2"/>
  <c r="E5" i="2"/>
  <c r="G5" i="2"/>
  <c r="I5" i="2"/>
  <c r="K5" i="2"/>
  <c r="M5" i="2"/>
  <c r="O5" i="2"/>
  <c r="Q5" i="2"/>
  <c r="S5" i="2"/>
  <c r="C6" i="2"/>
  <c r="E6" i="2"/>
  <c r="G6" i="2"/>
  <c r="I6" i="2"/>
  <c r="K6" i="2"/>
  <c r="M6" i="2"/>
  <c r="O6" i="2"/>
  <c r="Q6" i="2"/>
  <c r="S6" i="2"/>
  <c r="C7" i="2"/>
  <c r="E7" i="2"/>
  <c r="G7" i="2"/>
  <c r="I7" i="2"/>
  <c r="K7" i="2"/>
  <c r="M7" i="2"/>
  <c r="O7" i="2"/>
  <c r="Q7" i="2"/>
  <c r="S7" i="2"/>
  <c r="C8" i="2"/>
  <c r="E8" i="2"/>
  <c r="G8" i="2"/>
  <c r="I8" i="2"/>
  <c r="K8" i="2"/>
  <c r="M8" i="2"/>
  <c r="O8" i="2"/>
  <c r="Q8" i="2"/>
  <c r="S8" i="2"/>
  <c r="C9" i="2"/>
  <c r="E9" i="2"/>
  <c r="G9" i="2"/>
  <c r="I9" i="2"/>
  <c r="K9" i="2"/>
  <c r="M9" i="2"/>
  <c r="O9" i="2"/>
  <c r="Q9" i="2"/>
  <c r="S9" i="2"/>
  <c r="C10" i="2"/>
  <c r="E10" i="2"/>
  <c r="G10" i="2"/>
  <c r="I10" i="2"/>
  <c r="K10" i="2"/>
  <c r="M10" i="2"/>
  <c r="O10" i="2"/>
  <c r="Q10" i="2"/>
  <c r="S10" i="2"/>
  <c r="C11" i="2"/>
  <c r="E11" i="2"/>
  <c r="G11" i="2"/>
  <c r="I11" i="2"/>
  <c r="K11" i="2"/>
  <c r="M11" i="2"/>
  <c r="O11" i="2"/>
  <c r="Q11" i="2"/>
  <c r="S11" i="2"/>
  <c r="C12" i="2"/>
  <c r="E12" i="2"/>
  <c r="G12" i="2"/>
  <c r="I12" i="2"/>
  <c r="K12" i="2"/>
  <c r="M12" i="2"/>
  <c r="O12" i="2"/>
  <c r="Q12" i="2"/>
  <c r="S12" i="2"/>
  <c r="C13" i="2"/>
  <c r="E13" i="2"/>
  <c r="G13" i="2"/>
  <c r="I13" i="2"/>
  <c r="K13" i="2"/>
  <c r="M13" i="2"/>
  <c r="O13" i="2"/>
  <c r="Q13" i="2"/>
  <c r="S13" i="2"/>
  <c r="C14" i="2"/>
  <c r="E14" i="2"/>
  <c r="G14" i="2"/>
  <c r="I14" i="2"/>
  <c r="K14" i="2"/>
  <c r="M14" i="2"/>
  <c r="O14" i="2"/>
  <c r="Q14" i="2"/>
  <c r="S14" i="2"/>
  <c r="C15" i="2"/>
  <c r="E15" i="2"/>
  <c r="G15" i="2"/>
  <c r="I15" i="2"/>
  <c r="K15" i="2"/>
  <c r="M15" i="2"/>
  <c r="O15" i="2"/>
  <c r="Q15" i="2"/>
  <c r="S15" i="2"/>
  <c r="C16" i="2"/>
  <c r="E16" i="2"/>
  <c r="G16" i="2"/>
  <c r="I16" i="2"/>
  <c r="K16" i="2"/>
  <c r="M16" i="2"/>
  <c r="O16" i="2"/>
  <c r="Q16" i="2"/>
  <c r="S16" i="2"/>
  <c r="C17" i="2"/>
  <c r="E17" i="2"/>
  <c r="G17" i="2"/>
  <c r="I17" i="2"/>
  <c r="K17" i="2"/>
  <c r="M17" i="2"/>
  <c r="O17" i="2"/>
  <c r="Q17" i="2"/>
  <c r="S17" i="2"/>
  <c r="C18" i="2"/>
  <c r="E18" i="2"/>
  <c r="G18" i="2"/>
  <c r="I18" i="2"/>
  <c r="K18" i="2"/>
  <c r="M18" i="2"/>
  <c r="O18" i="2"/>
  <c r="Q18" i="2"/>
  <c r="S18" i="2"/>
  <c r="C19" i="2"/>
  <c r="E19" i="2"/>
  <c r="G19" i="2"/>
  <c r="I19" i="2"/>
  <c r="K19" i="2"/>
  <c r="M19" i="2"/>
  <c r="O19" i="2"/>
  <c r="Q19" i="2"/>
  <c r="S19" i="2"/>
  <c r="N94" i="10"/>
  <c r="N15" i="10"/>
  <c r="N10" i="10"/>
  <c r="N3" i="10"/>
  <c r="G61" i="10"/>
  <c r="G60" i="10"/>
  <c r="G59" i="10"/>
  <c r="G58" i="10"/>
  <c r="G57" i="10"/>
  <c r="G56" i="10"/>
  <c r="G55" i="10"/>
  <c r="G54" i="10"/>
  <c r="G53" i="10"/>
  <c r="G51" i="10"/>
  <c r="G50" i="10"/>
  <c r="G49" i="10"/>
  <c r="G48" i="10"/>
  <c r="G47" i="10"/>
  <c r="G46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65" i="10"/>
  <c r="D21" i="11"/>
  <c r="D20" i="11"/>
  <c r="D19" i="11"/>
  <c r="D18" i="11"/>
  <c r="D17" i="11"/>
  <c r="C6" i="3"/>
  <c r="C34" i="3"/>
  <c r="E32" i="8"/>
  <c r="E34" i="3"/>
  <c r="F32" i="8"/>
  <c r="W34" i="4"/>
  <c r="P32" i="8"/>
  <c r="S34" i="4"/>
  <c r="O32" i="8"/>
  <c r="Q34" i="4"/>
  <c r="N32" i="8"/>
  <c r="O34" i="4"/>
  <c r="M32" i="8"/>
  <c r="M34" i="4"/>
  <c r="K34" i="4"/>
  <c r="H34" i="4"/>
  <c r="F34" i="4"/>
  <c r="D34" i="4"/>
  <c r="Q32" i="8"/>
  <c r="J12" i="11"/>
  <c r="K12" i="11"/>
  <c r="J10" i="11"/>
  <c r="J9" i="11"/>
  <c r="J8" i="11"/>
  <c r="K8" i="11"/>
  <c r="C2" i="11"/>
  <c r="D2" i="11"/>
  <c r="J7" i="11"/>
  <c r="J6" i="11"/>
  <c r="J4" i="11"/>
  <c r="J3" i="11"/>
  <c r="F4" i="1"/>
  <c r="G4" i="1"/>
  <c r="F5" i="1"/>
  <c r="G5" i="1"/>
  <c r="F6" i="1"/>
  <c r="G6" i="1"/>
  <c r="F7" i="1"/>
  <c r="S6" i="8"/>
  <c r="F8" i="1"/>
  <c r="F9" i="1"/>
  <c r="G9" i="1"/>
  <c r="F10" i="1"/>
  <c r="G10" i="1"/>
  <c r="F11" i="1"/>
  <c r="S10" i="8"/>
  <c r="F12" i="1"/>
  <c r="S11" i="8"/>
  <c r="F13" i="1"/>
  <c r="G13" i="1"/>
  <c r="F14" i="1"/>
  <c r="F15" i="1"/>
  <c r="S14" i="8"/>
  <c r="F16" i="1"/>
  <c r="F17" i="1"/>
  <c r="G17" i="1"/>
  <c r="F18" i="1"/>
  <c r="S17" i="8"/>
  <c r="F19" i="1"/>
  <c r="F20" i="1"/>
  <c r="G20" i="1"/>
  <c r="F21" i="1"/>
  <c r="F22" i="1"/>
  <c r="S21" i="8"/>
  <c r="F23" i="1"/>
  <c r="S22" i="8"/>
  <c r="G23" i="1"/>
  <c r="F24" i="1"/>
  <c r="G24" i="1"/>
  <c r="F25" i="1"/>
  <c r="G25" i="1"/>
  <c r="F26" i="1"/>
  <c r="G26" i="1"/>
  <c r="F27" i="1"/>
  <c r="G27" i="1"/>
  <c r="F28" i="1"/>
  <c r="S27" i="8"/>
  <c r="G28" i="1"/>
  <c r="F29" i="1"/>
  <c r="G29" i="1"/>
  <c r="S28" i="8"/>
  <c r="F30" i="1"/>
  <c r="F31" i="1"/>
  <c r="G31" i="1"/>
  <c r="S30" i="8"/>
  <c r="F32" i="1"/>
  <c r="G32" i="1"/>
  <c r="F33" i="1"/>
  <c r="G33" i="1"/>
  <c r="R33" i="1"/>
  <c r="W32" i="8"/>
  <c r="O33" i="1"/>
  <c r="U32" i="8"/>
  <c r="L33" i="1"/>
  <c r="M33" i="1"/>
  <c r="I33" i="1"/>
  <c r="J33" i="1"/>
  <c r="C33" i="1"/>
  <c r="D33" i="1"/>
  <c r="R32" i="1"/>
  <c r="W31" i="8"/>
  <c r="S32" i="1"/>
  <c r="O32" i="1"/>
  <c r="P32" i="1"/>
  <c r="L32" i="1"/>
  <c r="M32" i="1"/>
  <c r="I32" i="1"/>
  <c r="T31" i="8"/>
  <c r="C32" i="1"/>
  <c r="D32" i="1"/>
  <c r="R31" i="1"/>
  <c r="S31" i="1"/>
  <c r="O31" i="1"/>
  <c r="P31" i="1"/>
  <c r="L31" i="1"/>
  <c r="M31" i="1"/>
  <c r="I31" i="1"/>
  <c r="J31" i="1"/>
  <c r="C31" i="1"/>
  <c r="D31" i="1"/>
  <c r="R30" i="8"/>
  <c r="R30" i="1"/>
  <c r="S30" i="1"/>
  <c r="O30" i="1"/>
  <c r="U29" i="8"/>
  <c r="L30" i="1"/>
  <c r="M30" i="1"/>
  <c r="I30" i="1"/>
  <c r="J30" i="1"/>
  <c r="T29" i="8"/>
  <c r="C30" i="1"/>
  <c r="R29" i="8"/>
  <c r="R29" i="1"/>
  <c r="W28" i="8"/>
  <c r="O29" i="1"/>
  <c r="P29" i="1"/>
  <c r="L29" i="1"/>
  <c r="M29" i="1"/>
  <c r="I29" i="1"/>
  <c r="J29" i="1"/>
  <c r="C29" i="1"/>
  <c r="R28" i="8"/>
  <c r="R28" i="1"/>
  <c r="S28" i="1"/>
  <c r="O28" i="1"/>
  <c r="P28" i="1"/>
  <c r="L28" i="1"/>
  <c r="V27" i="8"/>
  <c r="I28" i="1"/>
  <c r="J28" i="1"/>
  <c r="C28" i="1"/>
  <c r="R27" i="8"/>
  <c r="D28" i="1"/>
  <c r="R27" i="1"/>
  <c r="W26" i="8"/>
  <c r="O27" i="1"/>
  <c r="P27" i="1"/>
  <c r="L27" i="1"/>
  <c r="M27" i="1"/>
  <c r="I27" i="1"/>
  <c r="T26" i="8"/>
  <c r="C27" i="1"/>
  <c r="D27" i="1"/>
  <c r="R26" i="1"/>
  <c r="S26" i="1"/>
  <c r="O26" i="1"/>
  <c r="P26" i="1"/>
  <c r="L26" i="1"/>
  <c r="M26" i="1"/>
  <c r="I26" i="1"/>
  <c r="T25" i="8"/>
  <c r="J26" i="1"/>
  <c r="C26" i="1"/>
  <c r="D26" i="1"/>
  <c r="R25" i="1"/>
  <c r="W24" i="8"/>
  <c r="O25" i="1"/>
  <c r="P25" i="1"/>
  <c r="L25" i="1"/>
  <c r="M25" i="1"/>
  <c r="I25" i="1"/>
  <c r="T24" i="8"/>
  <c r="C25" i="1"/>
  <c r="D25" i="1"/>
  <c r="R24" i="1"/>
  <c r="S24" i="1"/>
  <c r="O24" i="1"/>
  <c r="P24" i="1"/>
  <c r="L24" i="1"/>
  <c r="M24" i="1"/>
  <c r="I24" i="1"/>
  <c r="J24" i="1"/>
  <c r="C24" i="1"/>
  <c r="R23" i="8"/>
  <c r="D24" i="1"/>
  <c r="R23" i="1"/>
  <c r="W22" i="8"/>
  <c r="S23" i="1"/>
  <c r="O23" i="1"/>
  <c r="U22" i="8"/>
  <c r="P23" i="1"/>
  <c r="L23" i="1"/>
  <c r="V22" i="8"/>
  <c r="M23" i="1"/>
  <c r="I23" i="1"/>
  <c r="J23" i="1"/>
  <c r="C23" i="1"/>
  <c r="R22" i="8"/>
  <c r="R22" i="1"/>
  <c r="S22" i="1"/>
  <c r="O22" i="1"/>
  <c r="P22" i="1"/>
  <c r="L22" i="1"/>
  <c r="M22" i="1"/>
  <c r="I22" i="1"/>
  <c r="J22" i="1"/>
  <c r="C22" i="1"/>
  <c r="R21" i="8"/>
  <c r="D22" i="1"/>
  <c r="R21" i="1"/>
  <c r="W20" i="8"/>
  <c r="S21" i="1"/>
  <c r="O21" i="1"/>
  <c r="P21" i="1"/>
  <c r="L21" i="1"/>
  <c r="M21" i="1"/>
  <c r="I21" i="1"/>
  <c r="T20" i="8"/>
  <c r="C21" i="1"/>
  <c r="D21" i="1"/>
  <c r="R20" i="1"/>
  <c r="S20" i="1"/>
  <c r="O20" i="1"/>
  <c r="U19" i="8"/>
  <c r="P20" i="1"/>
  <c r="L20" i="1"/>
  <c r="M20" i="1"/>
  <c r="I20" i="1"/>
  <c r="J20" i="1"/>
  <c r="C20" i="1"/>
  <c r="D20" i="1"/>
  <c r="R19" i="1"/>
  <c r="S19" i="1"/>
  <c r="O19" i="1"/>
  <c r="P19" i="1"/>
  <c r="L19" i="1"/>
  <c r="M19" i="1"/>
  <c r="I19" i="1"/>
  <c r="J19" i="1"/>
  <c r="T18" i="8"/>
  <c r="C19" i="1"/>
  <c r="T19" i="1"/>
  <c r="U19" i="1"/>
  <c r="R18" i="1"/>
  <c r="S18" i="1"/>
  <c r="O18" i="1"/>
  <c r="P18" i="1"/>
  <c r="L18" i="1"/>
  <c r="M18" i="1"/>
  <c r="I18" i="1"/>
  <c r="J18" i="1"/>
  <c r="C18" i="1"/>
  <c r="D18" i="1"/>
  <c r="R17" i="1"/>
  <c r="S17" i="1"/>
  <c r="O17" i="1"/>
  <c r="P17" i="1"/>
  <c r="L17" i="1"/>
  <c r="M17" i="1"/>
  <c r="I17" i="1"/>
  <c r="T16" i="8"/>
  <c r="C17" i="1"/>
  <c r="D17" i="1"/>
  <c r="R16" i="1"/>
  <c r="S16" i="1"/>
  <c r="O16" i="1"/>
  <c r="U15" i="8"/>
  <c r="P16" i="1"/>
  <c r="L16" i="1"/>
  <c r="V15" i="8"/>
  <c r="I16" i="1"/>
  <c r="J16" i="1"/>
  <c r="C16" i="1"/>
  <c r="R15" i="8"/>
  <c r="R15" i="1"/>
  <c r="S15" i="1"/>
  <c r="O15" i="1"/>
  <c r="P15" i="1"/>
  <c r="L15" i="1"/>
  <c r="M15" i="1"/>
  <c r="I15" i="1"/>
  <c r="J15" i="1"/>
  <c r="G15" i="1"/>
  <c r="C15" i="1"/>
  <c r="D15" i="1"/>
  <c r="R14" i="1"/>
  <c r="S14" i="1"/>
  <c r="O14" i="1"/>
  <c r="P14" i="1"/>
  <c r="L14" i="1"/>
  <c r="M14" i="1"/>
  <c r="I14" i="1"/>
  <c r="T13" i="8"/>
  <c r="G14" i="1"/>
  <c r="C14" i="1"/>
  <c r="R13" i="8"/>
  <c r="R13" i="1"/>
  <c r="S13" i="1"/>
  <c r="O13" i="1"/>
  <c r="P13" i="1"/>
  <c r="L13" i="1"/>
  <c r="V12" i="8"/>
  <c r="M13" i="1"/>
  <c r="I13" i="1"/>
  <c r="J13" i="1"/>
  <c r="C13" i="1"/>
  <c r="D13" i="1"/>
  <c r="R12" i="1"/>
  <c r="S12" i="1"/>
  <c r="O12" i="1"/>
  <c r="P12" i="1"/>
  <c r="L12" i="1"/>
  <c r="M12" i="1"/>
  <c r="I12" i="1"/>
  <c r="T11" i="8"/>
  <c r="J12" i="1"/>
  <c r="C12" i="1"/>
  <c r="R11" i="8"/>
  <c r="D12" i="1"/>
  <c r="R11" i="1"/>
  <c r="S11" i="1"/>
  <c r="O11" i="1"/>
  <c r="P11" i="1"/>
  <c r="L11" i="1"/>
  <c r="M11" i="1"/>
  <c r="I11" i="1"/>
  <c r="T10" i="8"/>
  <c r="J11" i="1"/>
  <c r="G11" i="1"/>
  <c r="C11" i="1"/>
  <c r="R10" i="8"/>
  <c r="R10" i="1"/>
  <c r="W9" i="8"/>
  <c r="O10" i="1"/>
  <c r="P10" i="1"/>
  <c r="L10" i="1"/>
  <c r="M10" i="1"/>
  <c r="I10" i="1"/>
  <c r="J10" i="1"/>
  <c r="C10" i="1"/>
  <c r="R9" i="8"/>
  <c r="R9" i="1"/>
  <c r="S9" i="1"/>
  <c r="W8" i="8"/>
  <c r="P9" i="1"/>
  <c r="O9" i="1"/>
  <c r="L9" i="1"/>
  <c r="M9" i="1"/>
  <c r="I9" i="1"/>
  <c r="J9" i="1"/>
  <c r="C9" i="1"/>
  <c r="R8" i="1"/>
  <c r="W7" i="8"/>
  <c r="O8" i="1"/>
  <c r="U7" i="8"/>
  <c r="P8" i="1"/>
  <c r="L8" i="1"/>
  <c r="M8" i="1"/>
  <c r="I8" i="1"/>
  <c r="J8" i="1"/>
  <c r="G8" i="1"/>
  <c r="C8" i="1"/>
  <c r="R7" i="8"/>
  <c r="R7" i="1"/>
  <c r="W6" i="8"/>
  <c r="S7" i="1"/>
  <c r="O7" i="1"/>
  <c r="P7" i="1"/>
  <c r="L7" i="1"/>
  <c r="V6" i="8"/>
  <c r="M7" i="1"/>
  <c r="I7" i="1"/>
  <c r="T6" i="8"/>
  <c r="J7" i="1"/>
  <c r="C7" i="1"/>
  <c r="D7" i="1"/>
  <c r="R6" i="1"/>
  <c r="S6" i="1"/>
  <c r="O6" i="1"/>
  <c r="P6" i="1"/>
  <c r="L6" i="1"/>
  <c r="M6" i="1"/>
  <c r="I6" i="1"/>
  <c r="J6" i="1"/>
  <c r="C6" i="1"/>
  <c r="R5" i="8"/>
  <c r="R5" i="1"/>
  <c r="W4" i="8"/>
  <c r="S5" i="1"/>
  <c r="O5" i="1"/>
  <c r="P5" i="1"/>
  <c r="L5" i="1"/>
  <c r="M5" i="1"/>
  <c r="I5" i="1"/>
  <c r="J5" i="1"/>
  <c r="C5" i="1"/>
  <c r="D5" i="1"/>
  <c r="R4" i="1"/>
  <c r="S4" i="1"/>
  <c r="O4" i="1"/>
  <c r="U3" i="8"/>
  <c r="L4" i="1"/>
  <c r="M4" i="1"/>
  <c r="I4" i="1"/>
  <c r="J4" i="1"/>
  <c r="C4" i="1"/>
  <c r="D4" i="1"/>
  <c r="R3" i="1"/>
  <c r="R34" i="1"/>
  <c r="O3" i="1"/>
  <c r="L3" i="1"/>
  <c r="V2" i="8"/>
  <c r="I3" i="1"/>
  <c r="J3" i="1"/>
  <c r="J34" i="1"/>
  <c r="F3" i="1"/>
  <c r="S2" i="8"/>
  <c r="C3" i="1"/>
  <c r="R2" i="8"/>
  <c r="C34" i="5"/>
  <c r="C33" i="5"/>
  <c r="C32" i="5"/>
  <c r="G30" i="9"/>
  <c r="C31" i="5"/>
  <c r="C30" i="5"/>
  <c r="G28" i="9"/>
  <c r="C29" i="5"/>
  <c r="C28" i="5"/>
  <c r="C27" i="5"/>
  <c r="G25" i="9"/>
  <c r="C26" i="5"/>
  <c r="G24" i="9"/>
  <c r="C25" i="5"/>
  <c r="G23" i="9"/>
  <c r="C24" i="5"/>
  <c r="G22" i="9"/>
  <c r="C23" i="5"/>
  <c r="C22" i="5"/>
  <c r="G20" i="9"/>
  <c r="C21" i="5"/>
  <c r="G19" i="9"/>
  <c r="C20" i="5"/>
  <c r="G18" i="9"/>
  <c r="C19" i="5"/>
  <c r="C18" i="5"/>
  <c r="G16" i="9"/>
  <c r="C17" i="5"/>
  <c r="G15" i="9"/>
  <c r="C16" i="5"/>
  <c r="C15" i="5"/>
  <c r="G13" i="9"/>
  <c r="C14" i="5"/>
  <c r="G12" i="9"/>
  <c r="C13" i="5"/>
  <c r="G11" i="9"/>
  <c r="C12" i="5"/>
  <c r="C11" i="5"/>
  <c r="C10" i="5"/>
  <c r="G8" i="9"/>
  <c r="C9" i="5"/>
  <c r="G7" i="9"/>
  <c r="C8" i="5"/>
  <c r="C7" i="5"/>
  <c r="C6" i="5"/>
  <c r="G4" i="9"/>
  <c r="C5" i="5"/>
  <c r="C4" i="5"/>
  <c r="G2" i="9"/>
  <c r="J32" i="8"/>
  <c r="W33" i="4"/>
  <c r="S33" i="4"/>
  <c r="O31" i="8"/>
  <c r="Q33" i="4"/>
  <c r="N31" i="8"/>
  <c r="O33" i="4"/>
  <c r="M33" i="4"/>
  <c r="K33" i="4"/>
  <c r="K31" i="8"/>
  <c r="H33" i="4"/>
  <c r="J31" i="8"/>
  <c r="F33" i="4"/>
  <c r="I33" i="4"/>
  <c r="D33" i="4"/>
  <c r="Q31" i="8"/>
  <c r="W32" i="4"/>
  <c r="S32" i="4"/>
  <c r="Q32" i="4"/>
  <c r="O32" i="4"/>
  <c r="M30" i="8"/>
  <c r="M32" i="4"/>
  <c r="K32" i="4"/>
  <c r="K30" i="8"/>
  <c r="H32" i="4"/>
  <c r="F32" i="4"/>
  <c r="I30" i="8"/>
  <c r="D32" i="4"/>
  <c r="W31" i="4"/>
  <c r="S31" i="4"/>
  <c r="O29" i="8"/>
  <c r="Q31" i="4"/>
  <c r="O31" i="4"/>
  <c r="M31" i="4"/>
  <c r="K31" i="4"/>
  <c r="H31" i="4"/>
  <c r="J29" i="8"/>
  <c r="F31" i="4"/>
  <c r="I29" i="8"/>
  <c r="D31" i="4"/>
  <c r="Q29" i="8"/>
  <c r="W30" i="4"/>
  <c r="S30" i="4"/>
  <c r="O28" i="8"/>
  <c r="Q30" i="4"/>
  <c r="N28" i="8"/>
  <c r="O30" i="4"/>
  <c r="M28" i="8"/>
  <c r="M30" i="4"/>
  <c r="L28" i="8"/>
  <c r="K30" i="4"/>
  <c r="K28" i="8"/>
  <c r="H30" i="4"/>
  <c r="J28" i="8"/>
  <c r="F30" i="4"/>
  <c r="I30" i="4"/>
  <c r="D30" i="4"/>
  <c r="W29" i="4"/>
  <c r="P27" i="8"/>
  <c r="S29" i="4"/>
  <c r="O27" i="8"/>
  <c r="Q29" i="4"/>
  <c r="O29" i="4"/>
  <c r="M27" i="8"/>
  <c r="M29" i="4"/>
  <c r="L27" i="8"/>
  <c r="K29" i="4"/>
  <c r="K27" i="8"/>
  <c r="H29" i="4"/>
  <c r="J27" i="8"/>
  <c r="F29" i="4"/>
  <c r="I27" i="8"/>
  <c r="D29" i="4"/>
  <c r="Q27" i="8"/>
  <c r="W28" i="4"/>
  <c r="P26" i="8"/>
  <c r="S28" i="4"/>
  <c r="O26" i="8"/>
  <c r="Q28" i="4"/>
  <c r="N26" i="8"/>
  <c r="O28" i="4"/>
  <c r="M26" i="8"/>
  <c r="M28" i="4"/>
  <c r="K28" i="4"/>
  <c r="H28" i="4"/>
  <c r="F28" i="4"/>
  <c r="I26" i="8"/>
  <c r="D28" i="4"/>
  <c r="W27" i="4"/>
  <c r="P25" i="8"/>
  <c r="S27" i="4"/>
  <c r="O25" i="8"/>
  <c r="Q27" i="4"/>
  <c r="O27" i="4"/>
  <c r="M25" i="8"/>
  <c r="M27" i="4"/>
  <c r="L25" i="8"/>
  <c r="K27" i="4"/>
  <c r="H27" i="4"/>
  <c r="F27" i="4"/>
  <c r="I25" i="8"/>
  <c r="D27" i="4"/>
  <c r="Q25" i="8"/>
  <c r="W26" i="4"/>
  <c r="P24" i="8"/>
  <c r="S26" i="4"/>
  <c r="Q26" i="4"/>
  <c r="N24" i="8"/>
  <c r="O26" i="4"/>
  <c r="M26" i="4"/>
  <c r="L24" i="8"/>
  <c r="K26" i="4"/>
  <c r="K24" i="8"/>
  <c r="H26" i="4"/>
  <c r="J24" i="8"/>
  <c r="F26" i="4"/>
  <c r="I24" i="8"/>
  <c r="D26" i="4"/>
  <c r="Q24" i="8"/>
  <c r="W25" i="4"/>
  <c r="P23" i="8"/>
  <c r="S25" i="4"/>
  <c r="O23" i="8"/>
  <c r="Q25" i="4"/>
  <c r="O25" i="4"/>
  <c r="M23" i="8"/>
  <c r="M25" i="4"/>
  <c r="K25" i="4"/>
  <c r="K23" i="8"/>
  <c r="H25" i="4"/>
  <c r="F25" i="4"/>
  <c r="I25" i="4"/>
  <c r="D25" i="4"/>
  <c r="Q23" i="8"/>
  <c r="W24" i="4"/>
  <c r="S24" i="4"/>
  <c r="O22" i="8"/>
  <c r="Q24" i="4"/>
  <c r="O24" i="4"/>
  <c r="M22" i="8"/>
  <c r="M24" i="4"/>
  <c r="X24" i="4"/>
  <c r="L22" i="8"/>
  <c r="K24" i="4"/>
  <c r="H24" i="4"/>
  <c r="I24" i="4"/>
  <c r="F24" i="4"/>
  <c r="D24" i="4"/>
  <c r="W23" i="4"/>
  <c r="P21" i="8"/>
  <c r="S23" i="4"/>
  <c r="O21" i="8"/>
  <c r="Q23" i="4"/>
  <c r="N21" i="8"/>
  <c r="O23" i="4"/>
  <c r="M21" i="8"/>
  <c r="M23" i="4"/>
  <c r="L21" i="8"/>
  <c r="K23" i="4"/>
  <c r="K21" i="8"/>
  <c r="H23" i="4"/>
  <c r="J21" i="8"/>
  <c r="F23" i="4"/>
  <c r="D23" i="4"/>
  <c r="Q21" i="8"/>
  <c r="W22" i="4"/>
  <c r="P20" i="8"/>
  <c r="S22" i="4"/>
  <c r="O20" i="8"/>
  <c r="Q22" i="4"/>
  <c r="O22" i="4"/>
  <c r="M20" i="8"/>
  <c r="M22" i="4"/>
  <c r="L20" i="8"/>
  <c r="K22" i="4"/>
  <c r="K20" i="8"/>
  <c r="H22" i="4"/>
  <c r="J20" i="8"/>
  <c r="F22" i="4"/>
  <c r="D22" i="4"/>
  <c r="W21" i="4"/>
  <c r="P19" i="8"/>
  <c r="S21" i="4"/>
  <c r="O19" i="8"/>
  <c r="Q21" i="4"/>
  <c r="O21" i="4"/>
  <c r="M19" i="8"/>
  <c r="M21" i="4"/>
  <c r="L19" i="8"/>
  <c r="K21" i="4"/>
  <c r="K19" i="8"/>
  <c r="H21" i="4"/>
  <c r="F21" i="4"/>
  <c r="D21" i="4"/>
  <c r="Q19" i="8"/>
  <c r="W20" i="4"/>
  <c r="S20" i="4"/>
  <c r="O18" i="8"/>
  <c r="Q20" i="4"/>
  <c r="O20" i="4"/>
  <c r="Z20" i="4"/>
  <c r="M18" i="8"/>
  <c r="M20" i="4"/>
  <c r="L18" i="8"/>
  <c r="K20" i="4"/>
  <c r="H20" i="4"/>
  <c r="J18" i="8"/>
  <c r="F20" i="4"/>
  <c r="I18" i="8"/>
  <c r="D20" i="4"/>
  <c r="Q18" i="8"/>
  <c r="W19" i="4"/>
  <c r="P17" i="8"/>
  <c r="S19" i="4"/>
  <c r="O17" i="8"/>
  <c r="Q19" i="4"/>
  <c r="N17" i="8"/>
  <c r="O19" i="4"/>
  <c r="M17" i="8"/>
  <c r="M19" i="4"/>
  <c r="L17" i="8"/>
  <c r="K19" i="4"/>
  <c r="K17" i="8"/>
  <c r="H19" i="4"/>
  <c r="F19" i="4"/>
  <c r="I17" i="8"/>
  <c r="D19" i="4"/>
  <c r="Q17" i="8"/>
  <c r="W18" i="4"/>
  <c r="P16" i="8"/>
  <c r="S18" i="4"/>
  <c r="O16" i="8"/>
  <c r="Q18" i="4"/>
  <c r="N16" i="8"/>
  <c r="O18" i="4"/>
  <c r="M16" i="8"/>
  <c r="M18" i="4"/>
  <c r="K18" i="4"/>
  <c r="K16" i="8"/>
  <c r="H18" i="4"/>
  <c r="F18" i="4"/>
  <c r="D18" i="4"/>
  <c r="Q16" i="8"/>
  <c r="W17" i="4"/>
  <c r="P15" i="8"/>
  <c r="S17" i="4"/>
  <c r="O15" i="8"/>
  <c r="Q17" i="4"/>
  <c r="Z17" i="4"/>
  <c r="O17" i="4"/>
  <c r="M17" i="4"/>
  <c r="K17" i="4"/>
  <c r="K15" i="8"/>
  <c r="H17" i="4"/>
  <c r="I17" i="4"/>
  <c r="F17" i="4"/>
  <c r="D17" i="4"/>
  <c r="Q15" i="8"/>
  <c r="W16" i="4"/>
  <c r="P14" i="8"/>
  <c r="S16" i="4"/>
  <c r="Q16" i="4"/>
  <c r="O16" i="4"/>
  <c r="M14" i="8"/>
  <c r="M16" i="4"/>
  <c r="K16" i="4"/>
  <c r="K14" i="8"/>
  <c r="H16" i="4"/>
  <c r="J14" i="8"/>
  <c r="F16" i="4"/>
  <c r="I14" i="8"/>
  <c r="D16" i="4"/>
  <c r="Q14" i="8"/>
  <c r="W15" i="4"/>
  <c r="P13" i="8"/>
  <c r="S15" i="4"/>
  <c r="O13" i="8"/>
  <c r="Q15" i="4"/>
  <c r="N13" i="8"/>
  <c r="O15" i="4"/>
  <c r="M13" i="8"/>
  <c r="M15" i="4"/>
  <c r="L13" i="8"/>
  <c r="K15" i="4"/>
  <c r="K13" i="8"/>
  <c r="H15" i="4"/>
  <c r="J13" i="8"/>
  <c r="I15" i="4"/>
  <c r="F15" i="4"/>
  <c r="I13" i="8"/>
  <c r="D15" i="4"/>
  <c r="Q13" i="8"/>
  <c r="W14" i="4"/>
  <c r="S14" i="4"/>
  <c r="Q14" i="4"/>
  <c r="N12" i="8"/>
  <c r="O14" i="4"/>
  <c r="M12" i="8"/>
  <c r="M14" i="4"/>
  <c r="L12" i="8"/>
  <c r="K14" i="4"/>
  <c r="H14" i="4"/>
  <c r="J12" i="8"/>
  <c r="F14" i="4"/>
  <c r="D14" i="4"/>
  <c r="W13" i="4"/>
  <c r="P11" i="8"/>
  <c r="S13" i="4"/>
  <c r="O11" i="8"/>
  <c r="Q13" i="4"/>
  <c r="N11" i="8"/>
  <c r="O13" i="4"/>
  <c r="M13" i="4"/>
  <c r="K13" i="4"/>
  <c r="H13" i="4"/>
  <c r="I13" i="4"/>
  <c r="F13" i="4"/>
  <c r="I11" i="8"/>
  <c r="D13" i="4"/>
  <c r="Q11" i="8"/>
  <c r="W12" i="4"/>
  <c r="P10" i="8"/>
  <c r="S12" i="4"/>
  <c r="O10" i="8"/>
  <c r="Q12" i="4"/>
  <c r="O12" i="4"/>
  <c r="M10" i="8"/>
  <c r="M12" i="4"/>
  <c r="L10" i="8"/>
  <c r="K12" i="4"/>
  <c r="K10" i="8"/>
  <c r="H12" i="4"/>
  <c r="J10" i="8"/>
  <c r="F12" i="4"/>
  <c r="I10" i="8"/>
  <c r="D12" i="4"/>
  <c r="W11" i="4"/>
  <c r="P9" i="8"/>
  <c r="S11" i="4"/>
  <c r="O9" i="8"/>
  <c r="Q11" i="4"/>
  <c r="N9" i="8"/>
  <c r="O11" i="4"/>
  <c r="M11" i="4"/>
  <c r="L9" i="8"/>
  <c r="K11" i="4"/>
  <c r="H11" i="4"/>
  <c r="I11" i="4"/>
  <c r="F11" i="4"/>
  <c r="D11" i="4"/>
  <c r="Q9" i="8"/>
  <c r="W10" i="4"/>
  <c r="P8" i="8"/>
  <c r="S10" i="4"/>
  <c r="O8" i="8"/>
  <c r="Q10" i="4"/>
  <c r="N8" i="8"/>
  <c r="O10" i="4"/>
  <c r="M8" i="8"/>
  <c r="M10" i="4"/>
  <c r="L8" i="8"/>
  <c r="K10" i="4"/>
  <c r="K8" i="8"/>
  <c r="H10" i="4"/>
  <c r="J8" i="8"/>
  <c r="F10" i="4"/>
  <c r="I8" i="8"/>
  <c r="D10" i="4"/>
  <c r="Q8" i="8"/>
  <c r="W9" i="4"/>
  <c r="P7" i="8"/>
  <c r="S9" i="4"/>
  <c r="O7" i="8"/>
  <c r="Q9" i="4"/>
  <c r="N7" i="8"/>
  <c r="E7" i="9"/>
  <c r="O9" i="4"/>
  <c r="M7" i="8"/>
  <c r="M9" i="4"/>
  <c r="K9" i="4"/>
  <c r="K7" i="8"/>
  <c r="H9" i="4"/>
  <c r="F9" i="4"/>
  <c r="I9" i="4"/>
  <c r="D9" i="4"/>
  <c r="Q7" i="8"/>
  <c r="W8" i="4"/>
  <c r="P6" i="8"/>
  <c r="S8" i="4"/>
  <c r="O6" i="8"/>
  <c r="Q8" i="4"/>
  <c r="N6" i="8"/>
  <c r="O8" i="4"/>
  <c r="M6" i="8"/>
  <c r="M8" i="4"/>
  <c r="L6" i="8"/>
  <c r="K8" i="4"/>
  <c r="H8" i="4"/>
  <c r="J6" i="8"/>
  <c r="F8" i="4"/>
  <c r="I6" i="8"/>
  <c r="D8" i="4"/>
  <c r="Q6" i="8"/>
  <c r="W7" i="4"/>
  <c r="S7" i="4"/>
  <c r="O5" i="8"/>
  <c r="Q7" i="4"/>
  <c r="N5" i="8"/>
  <c r="O7" i="4"/>
  <c r="M5" i="8"/>
  <c r="M7" i="4"/>
  <c r="L5" i="8"/>
  <c r="K7" i="4"/>
  <c r="K5" i="8"/>
  <c r="H7" i="4"/>
  <c r="F7" i="4"/>
  <c r="I7" i="4"/>
  <c r="D7" i="4"/>
  <c r="Q5" i="8"/>
  <c r="W6" i="4"/>
  <c r="P4" i="8"/>
  <c r="E4" i="9"/>
  <c r="S6" i="4"/>
  <c r="Q6" i="4"/>
  <c r="O6" i="4"/>
  <c r="M4" i="8"/>
  <c r="M6" i="4"/>
  <c r="L4" i="8"/>
  <c r="K6" i="4"/>
  <c r="H6" i="4"/>
  <c r="J4" i="8"/>
  <c r="F6" i="4"/>
  <c r="I4" i="8"/>
  <c r="D6" i="4"/>
  <c r="Q4" i="8"/>
  <c r="W5" i="4"/>
  <c r="S5" i="4"/>
  <c r="O3" i="8"/>
  <c r="Q5" i="4"/>
  <c r="O5" i="4"/>
  <c r="M3" i="8"/>
  <c r="M5" i="4"/>
  <c r="L3" i="8"/>
  <c r="K5" i="4"/>
  <c r="K3" i="8"/>
  <c r="H5" i="4"/>
  <c r="I5" i="4"/>
  <c r="F5" i="4"/>
  <c r="D5" i="4"/>
  <c r="W4" i="4"/>
  <c r="P2" i="8"/>
  <c r="E2" i="9"/>
  <c r="S4" i="4"/>
  <c r="O2" i="8"/>
  <c r="Q4" i="4"/>
  <c r="N2" i="8"/>
  <c r="O4" i="4"/>
  <c r="M4" i="4"/>
  <c r="K4" i="4"/>
  <c r="X4" i="4"/>
  <c r="H4" i="4"/>
  <c r="H35" i="4"/>
  <c r="J2" i="8"/>
  <c r="F4" i="4"/>
  <c r="I2" i="8"/>
  <c r="D4" i="4"/>
  <c r="Q2" i="8"/>
  <c r="I34" i="3"/>
  <c r="H32" i="8"/>
  <c r="G34" i="3"/>
  <c r="I33" i="3"/>
  <c r="H31" i="8"/>
  <c r="G33" i="3"/>
  <c r="G31" i="8"/>
  <c r="I31" i="9"/>
  <c r="E33" i="3"/>
  <c r="C33" i="3"/>
  <c r="E31" i="8"/>
  <c r="I32" i="3"/>
  <c r="H30" i="8"/>
  <c r="G32" i="3"/>
  <c r="G30" i="8"/>
  <c r="E32" i="3"/>
  <c r="J32" i="3"/>
  <c r="K32" i="3"/>
  <c r="C32" i="3"/>
  <c r="I31" i="3"/>
  <c r="H29" i="8"/>
  <c r="G31" i="3"/>
  <c r="G29" i="8"/>
  <c r="E31" i="3"/>
  <c r="F29" i="8"/>
  <c r="C31" i="3"/>
  <c r="I30" i="3"/>
  <c r="H28" i="8"/>
  <c r="G30" i="3"/>
  <c r="G28" i="8"/>
  <c r="E30" i="3"/>
  <c r="F28" i="8"/>
  <c r="C30" i="3"/>
  <c r="E28" i="8"/>
  <c r="I29" i="3"/>
  <c r="G29" i="3"/>
  <c r="G27" i="8"/>
  <c r="E29" i="3"/>
  <c r="C29" i="3"/>
  <c r="E27" i="8"/>
  <c r="I28" i="3"/>
  <c r="H26" i="8"/>
  <c r="G28" i="3"/>
  <c r="E28" i="3"/>
  <c r="F26" i="8"/>
  <c r="C28" i="3"/>
  <c r="I27" i="3"/>
  <c r="H25" i="8"/>
  <c r="G27" i="3"/>
  <c r="E27" i="3"/>
  <c r="C27" i="3"/>
  <c r="I26" i="3"/>
  <c r="H24" i="8"/>
  <c r="G26" i="3"/>
  <c r="G24" i="8"/>
  <c r="E26" i="3"/>
  <c r="F24" i="8"/>
  <c r="C26" i="3"/>
  <c r="E24" i="8"/>
  <c r="I25" i="3"/>
  <c r="G25" i="3"/>
  <c r="E25" i="3"/>
  <c r="F23" i="8"/>
  <c r="C25" i="3"/>
  <c r="E23" i="8"/>
  <c r="I24" i="3"/>
  <c r="G24" i="3"/>
  <c r="G22" i="8"/>
  <c r="E24" i="3"/>
  <c r="F22" i="8"/>
  <c r="C24" i="3"/>
  <c r="I23" i="3"/>
  <c r="H21" i="8"/>
  <c r="G23" i="3"/>
  <c r="G21" i="8"/>
  <c r="E23" i="3"/>
  <c r="F21" i="8"/>
  <c r="C23" i="3"/>
  <c r="I22" i="3"/>
  <c r="H20" i="8"/>
  <c r="G22" i="3"/>
  <c r="G20" i="8"/>
  <c r="E22" i="3"/>
  <c r="F20" i="8"/>
  <c r="C22" i="3"/>
  <c r="I21" i="3"/>
  <c r="H19" i="8"/>
  <c r="G21" i="3"/>
  <c r="G19" i="8"/>
  <c r="E21" i="3"/>
  <c r="F19" i="8"/>
  <c r="C21" i="3"/>
  <c r="I20" i="3"/>
  <c r="H18" i="8"/>
  <c r="G20" i="3"/>
  <c r="E20" i="3"/>
  <c r="F18" i="8"/>
  <c r="C20" i="3"/>
  <c r="I19" i="3"/>
  <c r="H17" i="8"/>
  <c r="G19" i="3"/>
  <c r="G17" i="8"/>
  <c r="E19" i="3"/>
  <c r="C19" i="3"/>
  <c r="I18" i="3"/>
  <c r="H16" i="8"/>
  <c r="G18" i="3"/>
  <c r="G16" i="8"/>
  <c r="I16" i="9"/>
  <c r="E18" i="3"/>
  <c r="F16" i="8"/>
  <c r="C18" i="3"/>
  <c r="I17" i="3"/>
  <c r="H15" i="8"/>
  <c r="G17" i="3"/>
  <c r="E17" i="3"/>
  <c r="F15" i="8"/>
  <c r="C17" i="3"/>
  <c r="I16" i="3"/>
  <c r="H14" i="8"/>
  <c r="G16" i="3"/>
  <c r="G14" i="8"/>
  <c r="E16" i="3"/>
  <c r="F14" i="8"/>
  <c r="C16" i="3"/>
  <c r="E14" i="8"/>
  <c r="I15" i="3"/>
  <c r="H13" i="8"/>
  <c r="G15" i="3"/>
  <c r="G13" i="8"/>
  <c r="E15" i="3"/>
  <c r="F13" i="8"/>
  <c r="C15" i="3"/>
  <c r="E13" i="8"/>
  <c r="I14" i="3"/>
  <c r="H12" i="8"/>
  <c r="G14" i="3"/>
  <c r="G12" i="8"/>
  <c r="E14" i="3"/>
  <c r="C14" i="3"/>
  <c r="E12" i="8"/>
  <c r="I13" i="3"/>
  <c r="H11" i="8"/>
  <c r="G13" i="3"/>
  <c r="G11" i="8"/>
  <c r="E13" i="3"/>
  <c r="C13" i="3"/>
  <c r="E11" i="8"/>
  <c r="I12" i="3"/>
  <c r="H10" i="8"/>
  <c r="G12" i="3"/>
  <c r="G10" i="8"/>
  <c r="E12" i="3"/>
  <c r="C12" i="3"/>
  <c r="E10" i="8"/>
  <c r="I11" i="3"/>
  <c r="H9" i="8"/>
  <c r="G11" i="3"/>
  <c r="E11" i="3"/>
  <c r="F9" i="8"/>
  <c r="C11" i="3"/>
  <c r="I10" i="3"/>
  <c r="H8" i="8"/>
  <c r="G10" i="3"/>
  <c r="G8" i="8"/>
  <c r="E10" i="3"/>
  <c r="C10" i="3"/>
  <c r="E8" i="8"/>
  <c r="I9" i="3"/>
  <c r="H7" i="8"/>
  <c r="G9" i="3"/>
  <c r="E9" i="3"/>
  <c r="F7" i="8"/>
  <c r="C9" i="3"/>
  <c r="E7" i="8"/>
  <c r="I8" i="3"/>
  <c r="H6" i="8"/>
  <c r="G8" i="3"/>
  <c r="E8" i="3"/>
  <c r="F6" i="8"/>
  <c r="C8" i="3"/>
  <c r="I7" i="3"/>
  <c r="H5" i="8"/>
  <c r="G7" i="3"/>
  <c r="G5" i="8"/>
  <c r="E7" i="3"/>
  <c r="F5" i="8"/>
  <c r="C7" i="3"/>
  <c r="I6" i="3"/>
  <c r="H4" i="8"/>
  <c r="G6" i="3"/>
  <c r="G4" i="8"/>
  <c r="E6" i="3"/>
  <c r="F4" i="8"/>
  <c r="I5" i="3"/>
  <c r="H3" i="8"/>
  <c r="G5" i="3"/>
  <c r="G3" i="8"/>
  <c r="E5" i="3"/>
  <c r="F3" i="8"/>
  <c r="C5" i="3"/>
  <c r="I4" i="3"/>
  <c r="G4" i="3"/>
  <c r="G2" i="8"/>
  <c r="E4" i="3"/>
  <c r="F2" i="8"/>
  <c r="I2" i="9"/>
  <c r="C4" i="3"/>
  <c r="C35" i="3"/>
  <c r="S34" i="2"/>
  <c r="Q34" i="2"/>
  <c r="O34" i="2"/>
  <c r="M34" i="2"/>
  <c r="K34" i="2"/>
  <c r="I34" i="2"/>
  <c r="G34" i="2"/>
  <c r="E34" i="2"/>
  <c r="C34" i="2"/>
  <c r="S33" i="2"/>
  <c r="Q33" i="2"/>
  <c r="O33" i="2"/>
  <c r="M33" i="2"/>
  <c r="M35" i="2"/>
  <c r="K33" i="2"/>
  <c r="I33" i="2"/>
  <c r="G33" i="2"/>
  <c r="E33" i="2"/>
  <c r="C33" i="2"/>
  <c r="S32" i="2"/>
  <c r="Q32" i="2"/>
  <c r="O32" i="2"/>
  <c r="M32" i="2"/>
  <c r="K32" i="2"/>
  <c r="I32" i="2"/>
  <c r="G32" i="2"/>
  <c r="E32" i="2"/>
  <c r="C32" i="2"/>
  <c r="S31" i="2"/>
  <c r="Q31" i="2"/>
  <c r="O31" i="2"/>
  <c r="M31" i="2"/>
  <c r="K31" i="2"/>
  <c r="I31" i="2"/>
  <c r="G31" i="2"/>
  <c r="E31" i="2"/>
  <c r="C31" i="2"/>
  <c r="S30" i="2"/>
  <c r="Q30" i="2"/>
  <c r="O30" i="2"/>
  <c r="M30" i="2"/>
  <c r="K30" i="2"/>
  <c r="I30" i="2"/>
  <c r="G30" i="2"/>
  <c r="E30" i="2"/>
  <c r="C30" i="2"/>
  <c r="S29" i="2"/>
  <c r="Q29" i="2"/>
  <c r="O29" i="2"/>
  <c r="M29" i="2"/>
  <c r="K29" i="2"/>
  <c r="I29" i="2"/>
  <c r="G29" i="2"/>
  <c r="E29" i="2"/>
  <c r="C29" i="2"/>
  <c r="S28" i="2"/>
  <c r="Q28" i="2"/>
  <c r="O28" i="2"/>
  <c r="M28" i="2"/>
  <c r="K28" i="2"/>
  <c r="I28" i="2"/>
  <c r="G28" i="2"/>
  <c r="E28" i="2"/>
  <c r="C28" i="2"/>
  <c r="S27" i="2"/>
  <c r="Q27" i="2"/>
  <c r="O27" i="2"/>
  <c r="M27" i="2"/>
  <c r="K27" i="2"/>
  <c r="I27" i="2"/>
  <c r="G27" i="2"/>
  <c r="E27" i="2"/>
  <c r="C27" i="2"/>
  <c r="S26" i="2"/>
  <c r="Q26" i="2"/>
  <c r="O26" i="2"/>
  <c r="M26" i="2"/>
  <c r="K26" i="2"/>
  <c r="I26" i="2"/>
  <c r="G26" i="2"/>
  <c r="E26" i="2"/>
  <c r="C26" i="2"/>
  <c r="S25" i="2"/>
  <c r="Q25" i="2"/>
  <c r="O25" i="2"/>
  <c r="M25" i="2"/>
  <c r="K25" i="2"/>
  <c r="I25" i="2"/>
  <c r="G25" i="2"/>
  <c r="E25" i="2"/>
  <c r="C25" i="2"/>
  <c r="S24" i="2"/>
  <c r="Q24" i="2"/>
  <c r="O24" i="2"/>
  <c r="M24" i="2"/>
  <c r="K24" i="2"/>
  <c r="I24" i="2"/>
  <c r="G24" i="2"/>
  <c r="E24" i="2"/>
  <c r="C24" i="2"/>
  <c r="S23" i="2"/>
  <c r="Q23" i="2"/>
  <c r="O23" i="2"/>
  <c r="M23" i="2"/>
  <c r="K23" i="2"/>
  <c r="I23" i="2"/>
  <c r="G23" i="2"/>
  <c r="E23" i="2"/>
  <c r="C23" i="2"/>
  <c r="S22" i="2"/>
  <c r="Q22" i="2"/>
  <c r="O22" i="2"/>
  <c r="M22" i="2"/>
  <c r="K22" i="2"/>
  <c r="I22" i="2"/>
  <c r="G22" i="2"/>
  <c r="E22" i="2"/>
  <c r="C22" i="2"/>
  <c r="S21" i="2"/>
  <c r="Q21" i="2"/>
  <c r="O21" i="2"/>
  <c r="M21" i="2"/>
  <c r="K21" i="2"/>
  <c r="I21" i="2"/>
  <c r="G21" i="2"/>
  <c r="E21" i="2"/>
  <c r="C21" i="2"/>
  <c r="S20" i="2"/>
  <c r="Q20" i="2"/>
  <c r="O20" i="2"/>
  <c r="M20" i="2"/>
  <c r="K20" i="2"/>
  <c r="I20" i="2"/>
  <c r="G20" i="2"/>
  <c r="E20" i="2"/>
  <c r="C20" i="2"/>
  <c r="G35" i="2"/>
  <c r="E35" i="2"/>
  <c r="M85" i="10"/>
  <c r="N40" i="10"/>
  <c r="N41" i="10"/>
  <c r="N42" i="10"/>
  <c r="N43" i="10"/>
  <c r="N44" i="10"/>
  <c r="N46" i="10"/>
  <c r="J26" i="11"/>
  <c r="K26" i="11"/>
  <c r="I26" i="11"/>
  <c r="G31" i="9"/>
  <c r="G27" i="9"/>
  <c r="G3" i="9"/>
  <c r="Q3" i="8"/>
  <c r="F31" i="8"/>
  <c r="H27" i="8"/>
  <c r="H22" i="8"/>
  <c r="E19" i="8"/>
  <c r="J35" i="11"/>
  <c r="I35" i="11"/>
  <c r="J32" i="11"/>
  <c r="I32" i="11"/>
  <c r="K32" i="11"/>
  <c r="J29" i="11"/>
  <c r="J31" i="11"/>
  <c r="I31" i="11"/>
  <c r="K31" i="11"/>
  <c r="J30" i="11"/>
  <c r="I30" i="11"/>
  <c r="I29" i="11"/>
  <c r="K29" i="11"/>
  <c r="C14" i="11"/>
  <c r="J25" i="11"/>
  <c r="I25" i="11"/>
  <c r="K25" i="11"/>
  <c r="C9" i="11"/>
  <c r="D9" i="11"/>
  <c r="J24" i="11"/>
  <c r="I24" i="11"/>
  <c r="K24" i="11"/>
  <c r="J23" i="11"/>
  <c r="I23" i="11"/>
  <c r="J22" i="11"/>
  <c r="I22" i="11"/>
  <c r="K22" i="11"/>
  <c r="C8" i="11"/>
  <c r="J21" i="11"/>
  <c r="I21" i="11"/>
  <c r="J20" i="11"/>
  <c r="I20" i="11"/>
  <c r="J19" i="11"/>
  <c r="I19" i="11"/>
  <c r="J18" i="11"/>
  <c r="I18" i="11"/>
  <c r="K18" i="11"/>
  <c r="J17" i="11"/>
  <c r="I17" i="11"/>
  <c r="I12" i="11"/>
  <c r="I10" i="11"/>
  <c r="K10" i="11"/>
  <c r="I9" i="11"/>
  <c r="K9" i="11"/>
  <c r="I8" i="11"/>
  <c r="I7" i="11"/>
  <c r="K7" i="11"/>
  <c r="K13" i="11"/>
  <c r="I6" i="11"/>
  <c r="I4" i="11"/>
  <c r="K4" i="11"/>
  <c r="I3" i="11"/>
  <c r="K3" i="11"/>
  <c r="K5" i="11"/>
  <c r="K14" i="11"/>
  <c r="K11" i="11"/>
  <c r="N95" i="10"/>
  <c r="O93" i="10"/>
  <c r="N93" i="10"/>
  <c r="M93" i="10"/>
  <c r="O92" i="10"/>
  <c r="N92" i="10"/>
  <c r="M92" i="10"/>
  <c r="O91" i="10"/>
  <c r="N91" i="10"/>
  <c r="M91" i="10"/>
  <c r="O90" i="10"/>
  <c r="N90" i="10"/>
  <c r="M90" i="10"/>
  <c r="O89" i="10"/>
  <c r="N89" i="10"/>
  <c r="M89" i="10"/>
  <c r="O88" i="10"/>
  <c r="N88" i="10"/>
  <c r="M88" i="10"/>
  <c r="O87" i="10"/>
  <c r="N87" i="10"/>
  <c r="M87" i="10"/>
  <c r="O86" i="10"/>
  <c r="N86" i="10"/>
  <c r="M86" i="10"/>
  <c r="O85" i="10"/>
  <c r="N85" i="10"/>
  <c r="O84" i="10"/>
  <c r="N84" i="10"/>
  <c r="M84" i="10"/>
  <c r="O83" i="10"/>
  <c r="N83" i="10"/>
  <c r="M83" i="10"/>
  <c r="O82" i="10"/>
  <c r="N82" i="10"/>
  <c r="M82" i="10"/>
  <c r="O81" i="10"/>
  <c r="N81" i="10"/>
  <c r="M81" i="10"/>
  <c r="O80" i="10"/>
  <c r="N80" i="10"/>
  <c r="M80" i="10"/>
  <c r="O79" i="10"/>
  <c r="N79" i="10"/>
  <c r="M79" i="10"/>
  <c r="O78" i="10"/>
  <c r="N78" i="10"/>
  <c r="M78" i="10"/>
  <c r="O77" i="10"/>
  <c r="N77" i="10"/>
  <c r="M77" i="10"/>
  <c r="O76" i="10"/>
  <c r="N76" i="10"/>
  <c r="M76" i="10"/>
  <c r="O75" i="10"/>
  <c r="N75" i="10"/>
  <c r="M75" i="10"/>
  <c r="O74" i="10"/>
  <c r="N74" i="10"/>
  <c r="M74" i="10"/>
  <c r="O73" i="10"/>
  <c r="N73" i="10"/>
  <c r="M73" i="10"/>
  <c r="O72" i="10"/>
  <c r="N72" i="10"/>
  <c r="M72" i="10"/>
  <c r="N61" i="10"/>
  <c r="N60" i="10"/>
  <c r="N59" i="10"/>
  <c r="N58" i="10"/>
  <c r="N57" i="10"/>
  <c r="N56" i="10"/>
  <c r="N55" i="10"/>
  <c r="N54" i="10"/>
  <c r="N53" i="10"/>
  <c r="N51" i="10"/>
  <c r="N50" i="10"/>
  <c r="N49" i="10"/>
  <c r="N48" i="10"/>
  <c r="N47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4" i="10"/>
  <c r="N13" i="10"/>
  <c r="N12" i="10"/>
  <c r="N11" i="10"/>
  <c r="N9" i="10"/>
  <c r="N8" i="10"/>
  <c r="N7" i="10"/>
  <c r="N6" i="10"/>
  <c r="N5" i="10"/>
  <c r="N4" i="10"/>
  <c r="W29" i="8"/>
  <c r="J16" i="8"/>
  <c r="M15" i="8"/>
  <c r="L15" i="8"/>
  <c r="J15" i="8"/>
  <c r="I15" i="8"/>
  <c r="V3" i="8"/>
  <c r="S7" i="8"/>
  <c r="V7" i="8"/>
  <c r="T8" i="8"/>
  <c r="U8" i="8"/>
  <c r="V10" i="8"/>
  <c r="U10" i="8"/>
  <c r="T12" i="8"/>
  <c r="W12" i="8"/>
  <c r="V13" i="8"/>
  <c r="T14" i="8"/>
  <c r="U14" i="8"/>
  <c r="U18" i="8"/>
  <c r="V19" i="8"/>
  <c r="W19" i="8"/>
  <c r="R20" i="8"/>
  <c r="U20" i="8"/>
  <c r="U26" i="8"/>
  <c r="T27" i="8"/>
  <c r="W27" i="8"/>
  <c r="V29" i="8"/>
  <c r="U30" i="8"/>
  <c r="R32" i="8"/>
  <c r="T32" i="8"/>
  <c r="G5" i="9"/>
  <c r="G6" i="9"/>
  <c r="G9" i="9"/>
  <c r="G10" i="9"/>
  <c r="G14" i="9"/>
  <c r="G17" i="9"/>
  <c r="G26" i="9"/>
  <c r="K2" i="8"/>
  <c r="I3" i="8"/>
  <c r="N3" i="8"/>
  <c r="P3" i="8"/>
  <c r="N4" i="8"/>
  <c r="O4" i="8"/>
  <c r="I5" i="8"/>
  <c r="K6" i="8"/>
  <c r="J7" i="8"/>
  <c r="L7" i="8"/>
  <c r="I9" i="8"/>
  <c r="J9" i="8"/>
  <c r="M9" i="8"/>
  <c r="Q10" i="8"/>
  <c r="L11" i="8"/>
  <c r="M11" i="8"/>
  <c r="Q12" i="8"/>
  <c r="P12" i="8"/>
  <c r="N14" i="8"/>
  <c r="N18" i="8"/>
  <c r="P18" i="8"/>
  <c r="Q20" i="8"/>
  <c r="I21" i="8"/>
  <c r="Q22" i="8"/>
  <c r="K22" i="8"/>
  <c r="N22" i="8"/>
  <c r="P22" i="8"/>
  <c r="J23" i="8"/>
  <c r="N23" i="8"/>
  <c r="O24" i="8"/>
  <c r="J25" i="8"/>
  <c r="N25" i="8"/>
  <c r="Q26" i="8"/>
  <c r="L26" i="8"/>
  <c r="Q28" i="8"/>
  <c r="I28" i="8"/>
  <c r="N29" i="8"/>
  <c r="P29" i="8"/>
  <c r="Q30" i="8"/>
  <c r="L30" i="8"/>
  <c r="N30" i="8"/>
  <c r="O30" i="8"/>
  <c r="P30" i="8"/>
  <c r="P31" i="8"/>
  <c r="L32" i="8"/>
  <c r="G6" i="8"/>
  <c r="F8" i="8"/>
  <c r="G15" i="8"/>
  <c r="I15" i="9"/>
  <c r="G18" i="8"/>
  <c r="E22" i="8"/>
  <c r="G23" i="8"/>
  <c r="G25" i="8"/>
  <c r="I25" i="9"/>
  <c r="G26" i="8"/>
  <c r="E29" i="8"/>
  <c r="G32" i="8"/>
  <c r="X2" i="8"/>
  <c r="B3" i="8"/>
  <c r="X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I20" i="8"/>
  <c r="V32" i="8"/>
  <c r="W5" i="8"/>
  <c r="V11" i="8"/>
  <c r="V8" i="8"/>
  <c r="T5" i="8"/>
  <c r="U4" i="8"/>
  <c r="K4" i="8"/>
  <c r="P5" i="8"/>
  <c r="W10" i="8"/>
  <c r="K12" i="8"/>
  <c r="U16" i="8"/>
  <c r="T22" i="8"/>
  <c r="U24" i="8"/>
  <c r="F25" i="8"/>
  <c r="W25" i="8"/>
  <c r="G29" i="9"/>
  <c r="W30" i="8"/>
  <c r="T3" i="8"/>
  <c r="V18" i="8"/>
  <c r="V20" i="8"/>
  <c r="V24" i="8"/>
  <c r="V26" i="8"/>
  <c r="W16" i="8"/>
  <c r="R25" i="8"/>
  <c r="U28" i="8"/>
  <c r="U23" i="8"/>
  <c r="U13" i="8"/>
  <c r="V23" i="8"/>
  <c r="S31" i="8"/>
  <c r="K30" i="11"/>
  <c r="C15" i="11"/>
  <c r="D15" i="11"/>
  <c r="E4" i="8"/>
  <c r="U2" i="8"/>
  <c r="T15" i="8"/>
  <c r="S18" i="8"/>
  <c r="K9" i="8"/>
  <c r="K29" i="8"/>
  <c r="K25" i="8"/>
  <c r="S4" i="8"/>
  <c r="J3" i="8"/>
  <c r="W13" i="8"/>
  <c r="W3" i="8"/>
  <c r="S33" i="1"/>
  <c r="W11" i="8"/>
  <c r="P33" i="1"/>
  <c r="P4" i="1"/>
  <c r="V4" i="8"/>
  <c r="T4" i="8"/>
  <c r="T28" i="8"/>
  <c r="T23" i="8"/>
  <c r="T21" i="8"/>
  <c r="J17" i="1"/>
  <c r="S16" i="8"/>
  <c r="S32" i="8"/>
  <c r="S5" i="8"/>
  <c r="G12" i="1"/>
  <c r="T26" i="1"/>
  <c r="U26" i="1"/>
  <c r="T5" i="1"/>
  <c r="U5" i="1"/>
  <c r="R31" i="8"/>
  <c r="R17" i="8"/>
  <c r="R4" i="8"/>
  <c r="D6" i="1"/>
  <c r="D8" i="1"/>
  <c r="S24" i="8"/>
  <c r="S3" i="8"/>
  <c r="G19" i="1"/>
  <c r="S8" i="8"/>
  <c r="G22" i="1"/>
  <c r="S29" i="8"/>
  <c r="S23" i="8"/>
  <c r="G30" i="1"/>
  <c r="T33" i="1"/>
  <c r="U33" i="1"/>
  <c r="T4" i="1"/>
  <c r="U4" i="1"/>
  <c r="R3" i="8"/>
  <c r="D11" i="1"/>
  <c r="R24" i="8"/>
  <c r="R19" i="8"/>
  <c r="P3" i="1"/>
  <c r="G3" i="1"/>
  <c r="G34" i="1"/>
  <c r="T2" i="8"/>
  <c r="D3" i="1"/>
  <c r="D34" i="1"/>
  <c r="Z6" i="4"/>
  <c r="X6" i="4"/>
  <c r="Z5" i="4"/>
  <c r="E3" i="9"/>
  <c r="X5" i="4"/>
  <c r="Y5" i="4"/>
  <c r="J5" i="8"/>
  <c r="I6" i="4"/>
  <c r="I10" i="4"/>
  <c r="J19" i="8"/>
  <c r="J17" i="8"/>
  <c r="I22" i="8"/>
  <c r="I12" i="8"/>
  <c r="M2" i="8"/>
  <c r="Z4" i="4"/>
  <c r="AA5" i="4"/>
  <c r="J6" i="3"/>
  <c r="K6" i="3"/>
  <c r="J10" i="3"/>
  <c r="K10" i="3"/>
  <c r="J14" i="3"/>
  <c r="K14" i="3"/>
  <c r="I3" i="9"/>
  <c r="I4" i="9"/>
  <c r="G7" i="8"/>
  <c r="J5" i="3"/>
  <c r="K5" i="3"/>
  <c r="F17" i="8"/>
  <c r="F12" i="8"/>
  <c r="E16" i="8"/>
  <c r="E30" i="8"/>
  <c r="E15" i="8"/>
  <c r="E3" i="8"/>
  <c r="E9" i="8"/>
  <c r="E5" i="8"/>
  <c r="H2" i="8"/>
  <c r="K17" i="11"/>
  <c r="C10" i="11"/>
  <c r="D10" i="11"/>
  <c r="Y6" i="4"/>
  <c r="AA4" i="4"/>
  <c r="AA6" i="4"/>
  <c r="S8" i="1"/>
  <c r="R6" i="8"/>
  <c r="G7" i="1"/>
  <c r="X7" i="4"/>
  <c r="X9" i="4"/>
  <c r="E6" i="8"/>
  <c r="U6" i="8"/>
  <c r="U5" i="8"/>
  <c r="T6" i="1"/>
  <c r="U6" i="1"/>
  <c r="T7" i="1"/>
  <c r="U7" i="1"/>
  <c r="V5" i="8"/>
  <c r="X8" i="4"/>
  <c r="Z8" i="4"/>
  <c r="Z7" i="4"/>
  <c r="E5" i="9"/>
  <c r="E6" i="9"/>
  <c r="Y7" i="4"/>
  <c r="I8" i="4"/>
  <c r="I6" i="9"/>
  <c r="I5" i="9"/>
  <c r="J7" i="3"/>
  <c r="K7" i="3"/>
  <c r="J8" i="3"/>
  <c r="K8" i="3"/>
  <c r="Y8" i="4"/>
  <c r="AA8" i="4"/>
  <c r="AA7" i="4"/>
  <c r="U9" i="8"/>
  <c r="V9" i="8"/>
  <c r="T9" i="8"/>
  <c r="S9" i="8"/>
  <c r="T9" i="1"/>
  <c r="U9" i="1"/>
  <c r="R8" i="8"/>
  <c r="D9" i="1"/>
  <c r="T7" i="8"/>
  <c r="T8" i="1"/>
  <c r="Z9" i="4"/>
  <c r="AA9" i="4"/>
  <c r="E8" i="9"/>
  <c r="Z10" i="4"/>
  <c r="X10" i="4"/>
  <c r="Y10" i="4"/>
  <c r="Y9" i="4"/>
  <c r="I7" i="8"/>
  <c r="I8" i="9"/>
  <c r="J9" i="3"/>
  <c r="I7" i="9"/>
  <c r="K9" i="3"/>
  <c r="U8" i="1"/>
  <c r="AA10" i="4"/>
  <c r="S10" i="1"/>
  <c r="D10" i="1"/>
  <c r="T10" i="1"/>
  <c r="U10" i="1"/>
  <c r="E9" i="9"/>
  <c r="Z11" i="4"/>
  <c r="AA11" i="4"/>
  <c r="X11" i="4"/>
  <c r="Y11" i="4"/>
  <c r="Z12" i="4"/>
  <c r="G9" i="8"/>
  <c r="I9" i="9"/>
  <c r="J11" i="3"/>
  <c r="K11" i="3"/>
  <c r="F10" i="8"/>
  <c r="I10" i="9"/>
  <c r="T11" i="1"/>
  <c r="U11" i="1"/>
  <c r="U11" i="8"/>
  <c r="AA12" i="4"/>
  <c r="N10" i="8"/>
  <c r="E10" i="9"/>
  <c r="X12" i="4"/>
  <c r="I12" i="4"/>
  <c r="J12" i="3"/>
  <c r="Y12" i="4"/>
  <c r="K12" i="3"/>
  <c r="T12" i="1"/>
  <c r="U12" i="1"/>
  <c r="X13" i="4"/>
  <c r="Z13" i="4"/>
  <c r="E11" i="9"/>
  <c r="K11" i="8"/>
  <c r="Y13" i="4"/>
  <c r="J11" i="8"/>
  <c r="F11" i="8"/>
  <c r="I11" i="9"/>
  <c r="J13" i="3"/>
  <c r="AA13" i="4"/>
  <c r="K13" i="3"/>
  <c r="U12" i="8"/>
  <c r="S13" i="8"/>
  <c r="S12" i="8"/>
  <c r="R12" i="8"/>
  <c r="T13" i="1"/>
  <c r="O12" i="8"/>
  <c r="E12" i="9"/>
  <c r="Z14" i="4"/>
  <c r="AA14" i="4"/>
  <c r="X14" i="4"/>
  <c r="I14" i="4"/>
  <c r="I12" i="9"/>
  <c r="U13" i="1"/>
  <c r="Y14" i="4"/>
  <c r="V14" i="8"/>
  <c r="W14" i="8"/>
  <c r="J14" i="1"/>
  <c r="T15" i="1"/>
  <c r="U15" i="1"/>
  <c r="D14" i="1"/>
  <c r="R14" i="8"/>
  <c r="T14" i="1"/>
  <c r="U14" i="1"/>
  <c r="S15" i="8"/>
  <c r="O14" i="8"/>
  <c r="E14" i="9"/>
  <c r="L14" i="8"/>
  <c r="I16" i="4"/>
  <c r="Z15" i="4"/>
  <c r="Z16" i="4"/>
  <c r="E13" i="9"/>
  <c r="X16" i="4"/>
  <c r="Y16" i="4"/>
  <c r="X15" i="4"/>
  <c r="I13" i="9"/>
  <c r="I14" i="9"/>
  <c r="J15" i="3"/>
  <c r="K15" i="3"/>
  <c r="J16" i="3"/>
  <c r="K16" i="3"/>
  <c r="AA16" i="4"/>
  <c r="AA15" i="4"/>
  <c r="Y15" i="4"/>
  <c r="W15" i="8"/>
  <c r="M16" i="1"/>
  <c r="V16" i="8"/>
  <c r="T16" i="1"/>
  <c r="U16" i="1"/>
  <c r="G16" i="1"/>
  <c r="D16" i="1"/>
  <c r="Z18" i="4"/>
  <c r="N15" i="8"/>
  <c r="E15" i="9"/>
  <c r="X17" i="4"/>
  <c r="Y17" i="4"/>
  <c r="AA17" i="4"/>
  <c r="J17" i="3"/>
  <c r="K17" i="3"/>
  <c r="W17" i="8"/>
  <c r="V17" i="8"/>
  <c r="T17" i="8"/>
  <c r="T17" i="1"/>
  <c r="R16" i="8"/>
  <c r="E16" i="9"/>
  <c r="AA18" i="4"/>
  <c r="X18" i="4"/>
  <c r="L16" i="8"/>
  <c r="I18" i="4"/>
  <c r="Y18" i="4"/>
  <c r="I16" i="8"/>
  <c r="J18" i="3"/>
  <c r="K18" i="3"/>
  <c r="U17" i="1"/>
  <c r="W18" i="8"/>
  <c r="U17" i="8"/>
  <c r="G18" i="1"/>
  <c r="T18" i="1"/>
  <c r="Z19" i="4"/>
  <c r="E17" i="9"/>
  <c r="X19" i="4"/>
  <c r="I19" i="4"/>
  <c r="I20" i="4"/>
  <c r="U18" i="1"/>
  <c r="AA19" i="4"/>
  <c r="Y19" i="4"/>
  <c r="J21" i="1"/>
  <c r="S19" i="8"/>
  <c r="D19" i="1"/>
  <c r="R18" i="8"/>
  <c r="T19" i="8"/>
  <c r="T20" i="1"/>
  <c r="U20" i="1"/>
  <c r="N20" i="8"/>
  <c r="N19" i="8"/>
  <c r="E19" i="9"/>
  <c r="I22" i="4"/>
  <c r="I19" i="8"/>
  <c r="J21" i="3"/>
  <c r="K21" i="3"/>
  <c r="AA20" i="4"/>
  <c r="E18" i="9"/>
  <c r="Z21" i="4"/>
  <c r="X20" i="4"/>
  <c r="Y20" i="4"/>
  <c r="X21" i="4"/>
  <c r="K18" i="8"/>
  <c r="I21" i="4"/>
  <c r="I19" i="9"/>
  <c r="I17" i="9"/>
  <c r="I18" i="9"/>
  <c r="J20" i="3"/>
  <c r="K20" i="3"/>
  <c r="E17" i="8"/>
  <c r="E18" i="8"/>
  <c r="J19" i="3"/>
  <c r="AA21" i="4"/>
  <c r="Y21" i="4"/>
  <c r="K19" i="3"/>
  <c r="G21" i="9"/>
  <c r="W23" i="8"/>
  <c r="S25" i="1"/>
  <c r="T24" i="1"/>
  <c r="U24" i="1"/>
  <c r="W21" i="8"/>
  <c r="U21" i="8"/>
  <c r="T23" i="1"/>
  <c r="U23" i="1"/>
  <c r="V21" i="8"/>
  <c r="D23" i="1"/>
  <c r="T22" i="1"/>
  <c r="U22" i="1"/>
  <c r="T21" i="1"/>
  <c r="U21" i="1"/>
  <c r="S20" i="8"/>
  <c r="G21" i="1"/>
  <c r="X25" i="4"/>
  <c r="Y25" i="4"/>
  <c r="Z25" i="4"/>
  <c r="E23" i="9"/>
  <c r="L23" i="8"/>
  <c r="J22" i="8"/>
  <c r="I23" i="8"/>
  <c r="E22" i="9"/>
  <c r="Z24" i="4"/>
  <c r="Y24" i="4"/>
  <c r="X23" i="4"/>
  <c r="Y23" i="4"/>
  <c r="I23" i="4"/>
  <c r="Z22" i="4"/>
  <c r="Z23" i="4"/>
  <c r="E21" i="9"/>
  <c r="E20" i="9"/>
  <c r="AA22" i="4"/>
  <c r="X22" i="4"/>
  <c r="I23" i="9"/>
  <c r="J25" i="3"/>
  <c r="K25" i="3"/>
  <c r="H23" i="8"/>
  <c r="I22" i="9"/>
  <c r="I20" i="9"/>
  <c r="I21" i="9"/>
  <c r="J24" i="3"/>
  <c r="K24" i="3"/>
  <c r="J23" i="3"/>
  <c r="K23" i="3"/>
  <c r="E21" i="8"/>
  <c r="E20" i="8"/>
  <c r="J22" i="3"/>
  <c r="AA25" i="4"/>
  <c r="AA23" i="4"/>
  <c r="AA24" i="4"/>
  <c r="Y22" i="4"/>
  <c r="K22" i="3"/>
  <c r="S35" i="4"/>
  <c r="Z27" i="4"/>
  <c r="S26" i="8"/>
  <c r="S25" i="8"/>
  <c r="R26" i="8"/>
  <c r="U25" i="8"/>
  <c r="V25" i="8"/>
  <c r="J25" i="1"/>
  <c r="T25" i="1"/>
  <c r="Z26" i="4"/>
  <c r="E25" i="9"/>
  <c r="M24" i="8"/>
  <c r="E24" i="9"/>
  <c r="X27" i="4"/>
  <c r="Y27" i="4"/>
  <c r="X26" i="4"/>
  <c r="I27" i="4"/>
  <c r="I26" i="4"/>
  <c r="J27" i="3"/>
  <c r="E26" i="8"/>
  <c r="E25" i="8"/>
  <c r="J26" i="3"/>
  <c r="K26" i="3"/>
  <c r="I24" i="9"/>
  <c r="K27" i="3"/>
  <c r="U25" i="1"/>
  <c r="AA27" i="4"/>
  <c r="AA26" i="4"/>
  <c r="Y26" i="4"/>
  <c r="J29" i="3"/>
  <c r="K29" i="3"/>
  <c r="I28" i="9"/>
  <c r="I27" i="9"/>
  <c r="F27" i="8"/>
  <c r="J30" i="3"/>
  <c r="K30" i="3"/>
  <c r="Z29" i="4"/>
  <c r="I29" i="4"/>
  <c r="S27" i="1"/>
  <c r="T28" i="1"/>
  <c r="U28" i="1"/>
  <c r="U27" i="8"/>
  <c r="M28" i="1"/>
  <c r="J27" i="1"/>
  <c r="T27" i="1"/>
  <c r="E26" i="9"/>
  <c r="N27" i="8"/>
  <c r="E27" i="9"/>
  <c r="Z28" i="4"/>
  <c r="AA28" i="4"/>
  <c r="X28" i="4"/>
  <c r="K26" i="8"/>
  <c r="X29" i="4"/>
  <c r="Y29" i="4"/>
  <c r="J26" i="8"/>
  <c r="I28" i="4"/>
  <c r="I26" i="9"/>
  <c r="J28" i="3"/>
  <c r="K28" i="3"/>
  <c r="U27" i="1"/>
  <c r="AA29" i="4"/>
  <c r="Y28" i="4"/>
  <c r="S29" i="1"/>
  <c r="P30" i="1"/>
  <c r="V28" i="8"/>
  <c r="T29" i="1"/>
  <c r="U29" i="1"/>
  <c r="T30" i="1"/>
  <c r="U30" i="1"/>
  <c r="D29" i="1"/>
  <c r="P28" i="8"/>
  <c r="Z30" i="4"/>
  <c r="X30" i="4"/>
  <c r="Y30" i="4"/>
  <c r="E28" i="9"/>
  <c r="AA30" i="4"/>
  <c r="V30" i="8"/>
  <c r="T30" i="8"/>
  <c r="D30" i="1"/>
  <c r="Z31" i="4"/>
  <c r="Z32" i="4"/>
  <c r="AA32" i="4"/>
  <c r="X32" i="4"/>
  <c r="Z35" i="4"/>
  <c r="M29" i="8"/>
  <c r="E29" i="9"/>
  <c r="X31" i="4"/>
  <c r="L29" i="8"/>
  <c r="J30" i="8"/>
  <c r="I31" i="4"/>
  <c r="J31" i="3"/>
  <c r="I29" i="9"/>
  <c r="AA31" i="4"/>
  <c r="Y31" i="4"/>
  <c r="K31" i="3"/>
  <c r="U31" i="8"/>
  <c r="O34" i="1"/>
  <c r="V31" i="8"/>
  <c r="F34" i="1"/>
  <c r="T31" i="1"/>
  <c r="E30" i="9"/>
  <c r="I32" i="4"/>
  <c r="Y32" i="4"/>
  <c r="F30" i="8"/>
  <c r="I30" i="9"/>
  <c r="U31" i="1"/>
  <c r="X33" i="4"/>
  <c r="Z33" i="4"/>
  <c r="AA33" i="4"/>
  <c r="M31" i="8"/>
  <c r="E31" i="9"/>
  <c r="O35" i="4"/>
  <c r="L31" i="8"/>
  <c r="Y33" i="4"/>
  <c r="I34" i="4"/>
  <c r="I31" i="8"/>
  <c r="I32" i="8"/>
  <c r="F35" i="4"/>
  <c r="I35" i="4"/>
  <c r="I35" i="3"/>
  <c r="E35" i="3"/>
  <c r="J33" i="3"/>
  <c r="K33" i="3"/>
  <c r="N65" i="10"/>
  <c r="P34" i="1"/>
  <c r="T32" i="1"/>
  <c r="U32" i="1"/>
  <c r="J32" i="1"/>
  <c r="L34" i="1"/>
  <c r="M3" i="1"/>
  <c r="M34" i="1"/>
  <c r="K35" i="11"/>
  <c r="C26" i="11"/>
  <c r="D26" i="11"/>
  <c r="Z34" i="4"/>
  <c r="AA34" i="4"/>
  <c r="Q35" i="4"/>
  <c r="X34" i="4"/>
  <c r="Y34" i="4"/>
  <c r="K6" i="11"/>
  <c r="K35" i="4"/>
  <c r="K32" i="8"/>
  <c r="J34" i="3"/>
  <c r="K34" i="3"/>
  <c r="W35" i="4"/>
  <c r="L2" i="8"/>
  <c r="M35" i="4"/>
  <c r="I4" i="4"/>
  <c r="K19" i="11"/>
  <c r="C11" i="11"/>
  <c r="D11" i="11"/>
  <c r="K21" i="11"/>
  <c r="K23" i="11"/>
  <c r="C35" i="2"/>
  <c r="K35" i="2"/>
  <c r="S35" i="2"/>
  <c r="K20" i="11"/>
  <c r="T3" i="1"/>
  <c r="C34" i="1"/>
  <c r="W2" i="8"/>
  <c r="I34" i="1"/>
  <c r="S3" i="1"/>
  <c r="S34" i="1"/>
  <c r="C27" i="11"/>
  <c r="D27" i="11"/>
  <c r="C35" i="5"/>
  <c r="C6" i="11"/>
  <c r="D6" i="11"/>
  <c r="C5" i="11"/>
  <c r="D5" i="11"/>
  <c r="Y4" i="4"/>
  <c r="Y35" i="4"/>
  <c r="X35" i="4"/>
  <c r="C16" i="11"/>
  <c r="D16" i="11"/>
  <c r="D14" i="11"/>
  <c r="J4" i="3"/>
  <c r="E2" i="8"/>
  <c r="G35" i="3"/>
  <c r="C7" i="11"/>
  <c r="D7" i="11"/>
  <c r="D8" i="11"/>
  <c r="U3" i="1"/>
  <c r="U34" i="1"/>
  <c r="T34" i="1"/>
  <c r="J35" i="3"/>
  <c r="K4" i="3"/>
  <c r="K35" i="3"/>
  <c r="C22" i="11"/>
  <c r="D22" i="11"/>
</calcChain>
</file>

<file path=xl/comments1.xml><?xml version="1.0" encoding="utf-8"?>
<comments xmlns="http://schemas.openxmlformats.org/spreadsheetml/2006/main">
  <authors>
    <author>Mohamed Amin</author>
  </authors>
  <commentList>
    <comment ref="H3" authorId="0" shapeId="0">
      <text>
        <r>
          <rPr>
            <b/>
            <sz val="9"/>
            <color indexed="81"/>
            <rFont val="Tahoma"/>
            <family val="2"/>
          </rPr>
          <t>Mohamed Amin:</t>
        </r>
        <r>
          <rPr>
            <sz val="9"/>
            <color indexed="81"/>
            <rFont val="Tahoma"/>
            <family val="2"/>
          </rPr>
          <t xml:space="preserve">
counter malfunction</t>
        </r>
      </text>
    </comment>
    <comment ref="H4" authorId="0" shapeId="0">
      <text>
        <r>
          <rPr>
            <b/>
            <sz val="9"/>
            <color indexed="81"/>
            <rFont val="Tahoma"/>
            <family val="2"/>
          </rPr>
          <t>Mohamed Amin:</t>
        </r>
        <r>
          <rPr>
            <sz val="9"/>
            <color indexed="81"/>
            <rFont val="Tahoma"/>
            <family val="2"/>
          </rPr>
          <t xml:space="preserve">
counter malfunction
</t>
        </r>
      </text>
    </comment>
  </commentList>
</comments>
</file>

<file path=xl/sharedStrings.xml><?xml version="1.0" encoding="utf-8"?>
<sst xmlns="http://schemas.openxmlformats.org/spreadsheetml/2006/main" count="462" uniqueCount="149">
  <si>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</si>
  <si>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</si>
  <si>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</si>
  <si>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</si>
  <si>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</si>
  <si>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</si>
  <si>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</si>
  <si>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</si>
  <si>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</si>
  <si>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</si>
  <si>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</si>
  <si>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</si>
  <si>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>Last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</si>
  <si>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</si>
  <si>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</si>
  <si>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</si>
  <si>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</si>
  <si>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</si>
  <si>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</si>
  <si>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</si>
  <si>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</si>
  <si>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</si>
  <si>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</si>
  <si>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</si>
  <si>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 xml:space="preserve">Last </t>
  </si>
  <si>
    <t xml:space="preserve">                                     </t>
  </si>
  <si>
    <t xml:space="preserve">        </t>
  </si>
  <si>
    <t xml:space="preserve">         </t>
  </si>
  <si>
    <t>Total</t>
  </si>
  <si>
    <t xml:space="preserve">                            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</si>
  <si>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</si>
  <si>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</si>
  <si>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</si>
  <si>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</si>
  <si>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</si>
  <si>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</si>
  <si>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</si>
  <si>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</si>
  <si>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</si>
  <si>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</si>
  <si>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</si>
  <si>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</si>
  <si>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</si>
  <si>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</si>
  <si>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</si>
  <si>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</si>
  <si>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</si>
  <si>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</si>
  <si>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</si>
  <si>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</si>
  <si>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</si>
  <si>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</si>
  <si>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</si>
  <si>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</si>
  <si>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</si>
  <si>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</si>
  <si>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</si>
  <si>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</si>
  <si>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</si>
  <si>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</si>
  <si>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</si>
  <si>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</si>
  <si>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</si>
  <si>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</si>
  <si>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</si>
  <si>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</si>
  <si>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</si>
  <si>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</si>
  <si>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</si>
  <si>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</si>
  <si>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</si>
  <si>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</si>
  <si>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</si>
  <si>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</si>
  <si>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</si>
  <si>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</si>
  <si>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</si>
  <si>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</si>
  <si>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</si>
  <si>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</si>
  <si>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</si>
  <si>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</si>
  <si>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</si>
  <si>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.</t>
  </si>
  <si>
    <t>Four Season Nile Plaza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</si>
  <si>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</si>
  <si>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</si>
  <si>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</si>
  <si>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</si>
  <si>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</si>
  <si>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</si>
  <si>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</si>
  <si>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</si>
  <si>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</si>
  <si>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</si>
  <si>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</si>
  <si>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</si>
  <si>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</si>
  <si>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</si>
  <si>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</si>
  <si>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</si>
  <si>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</si>
  <si>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</si>
  <si>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</si>
  <si>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</si>
  <si>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</si>
  <si>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</si>
  <si>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</si>
  <si>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</si>
  <si>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</si>
  <si>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</si>
  <si>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</si>
  <si>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</si>
  <si>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Rotana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</si>
  <si>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</si>
  <si>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</si>
  <si>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</si>
  <si>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</si>
  <si>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</si>
  <si>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</si>
  <si>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</si>
  <si>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</si>
  <si>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</si>
  <si>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</si>
  <si>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</si>
  <si>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</si>
  <si>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</si>
  <si>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</si>
  <si>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</si>
  <si>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</si>
  <si>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</si>
  <si>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</si>
  <si>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</si>
  <si>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</si>
  <si>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</si>
  <si>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</si>
  <si>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</si>
  <si>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Acutal till july  2019</t>
  </si>
  <si>
    <t>August . 2018</t>
  </si>
  <si>
    <t>Acutal till August  2019</t>
  </si>
  <si>
    <t xml:space="preserve">There was mistake in the reading last month </t>
  </si>
  <si>
    <t>Main Building, Podium, Hotel and Large cons.  Sep. 2019</t>
  </si>
  <si>
    <t>Mall, Citadel and Rotana readings and cons.  Sep. 2019</t>
  </si>
  <si>
    <t>Feeders and transformers Electrity cons.  Sep.  2019</t>
  </si>
  <si>
    <t>Gas Con. Sep  2019</t>
  </si>
  <si>
    <t>Energy Monthly Statement  Sep . 2019</t>
  </si>
  <si>
    <t>Acutal till Sept. 2019</t>
  </si>
  <si>
    <t>sep . 2018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</si>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</sst>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72" formatCode="#,##0.0"/>
    <numFmt numFmtId="174" formatCode="[$-409]d\-mmm\-yyyy;@"/>
    <numFmt numFmtId="176" formatCode="0.000"/>
    <numFmt numFmtId="178" formatCode="0.00;[Red]0.00"/>
  </numFmts>
  <fonts count="53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1"/>
      <color indexed="10"/>
      <name val="Calibri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color indexed="12"/>
      <name val="Arial"/>
      <family val="2"/>
    </font>
    <font>
      <b/>
      <sz val="12"/>
      <color indexed="30"/>
      <name val="Arial"/>
      <family val="2"/>
    </font>
    <font>
      <b/>
      <sz val="12"/>
      <color indexed="12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i/>
      <sz val="12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20"/>
      <name val="Arial"/>
      <family val="2"/>
    </font>
    <font>
      <b/>
      <sz val="12"/>
      <name val="Trebuchet MS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8"/>
      <name val="Trebuchet MS"/>
      <family val="2"/>
    </font>
    <font>
      <sz val="11"/>
      <name val="Calibri"/>
      <family val="2"/>
    </font>
    <font>
      <sz val="10"/>
      <color indexed="30"/>
      <name val="Trebuchet MS"/>
      <family val="2"/>
    </font>
    <font>
      <b/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7">
    <xf numFmtId="0" fontId="0" fillId="0" borderId="0"/>
    <xf numFmtId="0" fontId="17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1" fillId="0" borderId="0"/>
  </cellStyleXfs>
  <cellXfs count="196">
    <xf numFmtId="0" fontId="0" fillId="0" borderId="0" xfId="0"/>
    <xf numFmtId="0" fontId="4" fillId="0" borderId="1" xfId="0" applyFont="1" applyBorder="1" applyAlignment="1">
      <alignment horizontal="center"/>
    </xf>
    <xf numFmtId="174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74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74" fontId="8" fillId="0" borderId="1" xfId="0" applyNumberFormat="1" applyFont="1" applyBorder="1" applyAlignment="1">
      <alignment horizontal="center" vertical="center"/>
    </xf>
    <xf numFmtId="174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174" fontId="6" fillId="0" borderId="2" xfId="0" applyNumberFormat="1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/>
    </xf>
    <xf numFmtId="174" fontId="4" fillId="0" borderId="0" xfId="0" applyNumberFormat="1" applyFont="1" applyAlignment="1">
      <alignment horizontal="center" vertical="center"/>
    </xf>
    <xf numFmtId="0" fontId="12" fillId="0" borderId="0" xfId="0" applyFont="1" applyFill="1" applyBorder="1" applyAlignment="1">
      <alignment horizontal="left"/>
    </xf>
    <xf numFmtId="0" fontId="13" fillId="0" borderId="0" xfId="0" applyFont="1" applyFill="1" applyBorder="1" applyAlignment="1"/>
    <xf numFmtId="0" fontId="4" fillId="0" borderId="0" xfId="0" applyFont="1" applyAlignment="1">
      <alignment horizontal="center"/>
    </xf>
    <xf numFmtId="0" fontId="11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8" fillId="0" borderId="0" xfId="0" applyFont="1"/>
    <xf numFmtId="0" fontId="18" fillId="0" borderId="1" xfId="0" applyFont="1" applyBorder="1" applyAlignment="1">
      <alignment horizontal="center"/>
    </xf>
    <xf numFmtId="0" fontId="19" fillId="4" borderId="1" xfId="0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18" fillId="0" borderId="1" xfId="0" applyFont="1" applyFill="1" applyBorder="1" applyAlignment="1">
      <alignment horizontal="center"/>
    </xf>
    <xf numFmtId="0" fontId="18" fillId="3" borderId="1" xfId="0" applyFont="1" applyFill="1" applyBorder="1" applyAlignment="1">
      <alignment horizontal="center"/>
    </xf>
    <xf numFmtId="0" fontId="18" fillId="0" borderId="1" xfId="0" applyFont="1" applyBorder="1"/>
    <xf numFmtId="0" fontId="20" fillId="4" borderId="1" xfId="0" applyFont="1" applyFill="1" applyBorder="1" applyAlignment="1">
      <alignment horizontal="center"/>
    </xf>
    <xf numFmtId="0" fontId="21" fillId="0" borderId="1" xfId="0" applyFont="1" applyBorder="1"/>
    <xf numFmtId="17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74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22" fillId="4" borderId="1" xfId="0" applyFont="1" applyFill="1" applyBorder="1" applyAlignment="1">
      <alignment horizontal="center"/>
    </xf>
    <xf numFmtId="178" fontId="18" fillId="3" borderId="1" xfId="0" applyNumberFormat="1" applyFont="1" applyFill="1" applyBorder="1" applyAlignment="1">
      <alignment horizontal="center"/>
    </xf>
    <xf numFmtId="178" fontId="20" fillId="4" borderId="1" xfId="0" applyNumberFormat="1" applyFont="1" applyFill="1" applyBorder="1" applyAlignment="1">
      <alignment horizontal="center"/>
    </xf>
    <xf numFmtId="0" fontId="1" fillId="0" borderId="0" xfId="0" applyFont="1"/>
    <xf numFmtId="0" fontId="7" fillId="13" borderId="1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9" fillId="13" borderId="1" xfId="0" applyFont="1" applyFill="1" applyBorder="1" applyAlignment="1">
      <alignment horizontal="center"/>
    </xf>
    <xf numFmtId="0" fontId="7" fillId="13" borderId="4" xfId="0" applyFont="1" applyFill="1" applyBorder="1" applyAlignment="1">
      <alignment horizontal="center"/>
    </xf>
    <xf numFmtId="0" fontId="0" fillId="13" borderId="4" xfId="0" applyFill="1" applyBorder="1"/>
    <xf numFmtId="0" fontId="0" fillId="13" borderId="4" xfId="0" applyFill="1" applyBorder="1" applyAlignment="1">
      <alignment horizontal="center"/>
    </xf>
    <xf numFmtId="0" fontId="10" fillId="13" borderId="4" xfId="0" applyFont="1" applyFill="1" applyBorder="1" applyAlignment="1">
      <alignment horizontal="center"/>
    </xf>
    <xf numFmtId="0" fontId="11" fillId="14" borderId="0" xfId="0" applyFont="1" applyFill="1" applyAlignment="1">
      <alignment horizontal="center"/>
    </xf>
    <xf numFmtId="0" fontId="41" fillId="14" borderId="1" xfId="0" applyFont="1" applyFill="1" applyBorder="1" applyAlignment="1">
      <alignment horizontal="center"/>
    </xf>
    <xf numFmtId="0" fontId="42" fillId="14" borderId="1" xfId="0" applyFont="1" applyFill="1" applyBorder="1" applyAlignment="1">
      <alignment horizontal="center"/>
    </xf>
    <xf numFmtId="0" fontId="40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43" fillId="0" borderId="1" xfId="0" applyNumberFormat="1" applyFont="1" applyBorder="1" applyAlignment="1">
      <alignment horizontal="center" vertical="center"/>
    </xf>
    <xf numFmtId="1" fontId="44" fillId="0" borderId="0" xfId="0" applyNumberFormat="1" applyFont="1"/>
    <xf numFmtId="1" fontId="43" fillId="0" borderId="0" xfId="0" applyNumberFormat="1" applyFont="1" applyAlignment="1">
      <alignment horizontal="center" vertical="center"/>
    </xf>
    <xf numFmtId="1" fontId="45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15" fillId="4" borderId="1" xfId="0" applyNumberFormat="1" applyFont="1" applyFill="1" applyBorder="1" applyAlignment="1">
      <alignment horizontal="center"/>
    </xf>
    <xf numFmtId="2" fontId="43" fillId="0" borderId="1" xfId="0" applyNumberFormat="1" applyFont="1" applyBorder="1" applyAlignment="1">
      <alignment horizontal="center" vertical="center"/>
    </xf>
    <xf numFmtId="2" fontId="9" fillId="4" borderId="1" xfId="0" applyNumberFormat="1" applyFont="1" applyFill="1" applyBorder="1" applyAlignment="1">
      <alignment horizontal="center"/>
    </xf>
    <xf numFmtId="1" fontId="46" fillId="0" borderId="1" xfId="0" applyNumberFormat="1" applyFont="1" applyBorder="1" applyAlignment="1">
      <alignment horizontal="center" vertical="center"/>
    </xf>
    <xf numFmtId="0" fontId="24" fillId="0" borderId="0" xfId="0" applyFont="1"/>
    <xf numFmtId="2" fontId="5" fillId="4" borderId="1" xfId="0" applyNumberFormat="1" applyFont="1" applyFill="1" applyBorder="1" applyAlignment="1">
      <alignment horizontal="center"/>
    </xf>
    <xf numFmtId="0" fontId="47" fillId="0" borderId="5" xfId="0" applyFont="1" applyBorder="1"/>
    <xf numFmtId="0" fontId="48" fillId="0" borderId="0" xfId="0" applyFont="1"/>
    <xf numFmtId="1" fontId="40" fillId="0" borderId="5" xfId="0" applyNumberFormat="1" applyFont="1" applyBorder="1" applyAlignment="1">
      <alignment wrapText="1"/>
    </xf>
    <xf numFmtId="0" fontId="40" fillId="0" borderId="5" xfId="0" applyFont="1" applyBorder="1" applyAlignment="1">
      <alignment horizontal="center" wrapText="1"/>
    </xf>
    <xf numFmtId="0" fontId="49" fillId="0" borderId="5" xfId="0" applyFont="1" applyBorder="1" applyAlignment="1">
      <alignment horizontal="center"/>
    </xf>
    <xf numFmtId="1" fontId="40" fillId="0" borderId="5" xfId="0" applyNumberFormat="1" applyFont="1" applyBorder="1" applyAlignment="1">
      <alignment horizontal="center" wrapText="1"/>
    </xf>
    <xf numFmtId="0" fontId="48" fillId="0" borderId="0" xfId="0" applyFont="1" applyAlignment="1">
      <alignment horizontal="center"/>
    </xf>
    <xf numFmtId="2" fontId="40" fillId="0" borderId="5" xfId="0" applyNumberFormat="1" applyFont="1" applyBorder="1" applyAlignment="1">
      <alignment horizontal="center" wrapText="1"/>
    </xf>
    <xf numFmtId="1" fontId="1" fillId="0" borderId="0" xfId="0" applyNumberFormat="1" applyFont="1" applyAlignment="1">
      <alignment horizontal="center"/>
    </xf>
    <xf numFmtId="176" fontId="27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4" applyFont="1"/>
    <xf numFmtId="0" fontId="29" fillId="4" borderId="4" xfId="5" applyFont="1" applyFill="1" applyBorder="1" applyAlignment="1">
      <alignment horizontal="center" vertical="center" wrapText="1"/>
    </xf>
    <xf numFmtId="0" fontId="29" fillId="4" borderId="4" xfId="5" applyFont="1" applyFill="1" applyBorder="1" applyAlignment="1">
      <alignment horizontal="left" vertical="center" wrapText="1"/>
    </xf>
    <xf numFmtId="0" fontId="30" fillId="4" borderId="4" xfId="5" applyFont="1" applyFill="1" applyBorder="1" applyAlignment="1">
      <alignment horizontal="center" vertical="center" wrapText="1"/>
    </xf>
    <xf numFmtId="0" fontId="31" fillId="0" borderId="4" xfId="5" applyFont="1" applyBorder="1" applyAlignment="1">
      <alignment horizontal="left" vertical="center" wrapText="1"/>
    </xf>
    <xf numFmtId="3" fontId="31" fillId="5" borderId="4" xfId="5" applyNumberFormat="1" applyFont="1" applyFill="1" applyBorder="1" applyAlignment="1">
      <alignment horizontal="left" vertical="center" wrapText="1"/>
    </xf>
    <xf numFmtId="3" fontId="29" fillId="0" borderId="4" xfId="5" applyNumberFormat="1" applyFont="1" applyBorder="1" applyAlignment="1">
      <alignment horizontal="left" vertical="center" wrapText="1"/>
    </xf>
    <xf numFmtId="0" fontId="32" fillId="0" borderId="4" xfId="5" applyFont="1" applyBorder="1" applyAlignment="1">
      <alignment horizontal="center" vertical="center" wrapText="1"/>
    </xf>
    <xf numFmtId="3" fontId="33" fillId="0" borderId="4" xfId="5" applyNumberFormat="1" applyFont="1" applyFill="1" applyBorder="1" applyAlignment="1">
      <alignment horizontal="left" vertical="center" wrapText="1"/>
    </xf>
    <xf numFmtId="3" fontId="29" fillId="0" borderId="4" xfId="5" applyNumberFormat="1" applyFont="1" applyFill="1" applyBorder="1" applyAlignment="1">
      <alignment horizontal="left" vertical="center" wrapText="1"/>
    </xf>
    <xf numFmtId="3" fontId="34" fillId="3" borderId="4" xfId="1" applyNumberFormat="1" applyFont="1" applyFill="1" applyBorder="1" applyAlignment="1">
      <alignment horizontal="left" vertical="center" wrapText="1"/>
    </xf>
    <xf numFmtId="0" fontId="30" fillId="0" borderId="4" xfId="5" applyFont="1" applyBorder="1" applyAlignment="1">
      <alignment horizontal="left" vertical="center" wrapText="1"/>
    </xf>
    <xf numFmtId="0" fontId="1" fillId="0" borderId="6" xfId="4" applyFont="1" applyFill="1" applyBorder="1" applyAlignment="1"/>
    <xf numFmtId="0" fontId="3" fillId="0" borderId="0" xfId="4"/>
    <xf numFmtId="3" fontId="31" fillId="0" borderId="4" xfId="5" applyNumberFormat="1" applyFont="1" applyFill="1" applyBorder="1" applyAlignment="1">
      <alignment horizontal="left" vertical="center" wrapText="1"/>
    </xf>
    <xf numFmtId="0" fontId="3" fillId="3" borderId="0" xfId="4" applyFill="1"/>
    <xf numFmtId="3" fontId="35" fillId="5" borderId="4" xfId="5" applyNumberFormat="1" applyFont="1" applyFill="1" applyBorder="1" applyAlignment="1">
      <alignment horizontal="left" vertical="center" wrapText="1"/>
    </xf>
    <xf numFmtId="0" fontId="32" fillId="3" borderId="4" xfId="5" applyFont="1" applyFill="1" applyBorder="1" applyAlignment="1">
      <alignment horizontal="center" vertical="center" wrapText="1"/>
    </xf>
    <xf numFmtId="3" fontId="36" fillId="0" borderId="4" xfId="5" applyNumberFormat="1" applyFont="1" applyFill="1" applyBorder="1" applyAlignment="1">
      <alignment horizontal="left" vertical="center" wrapText="1"/>
    </xf>
    <xf numFmtId="0" fontId="29" fillId="6" borderId="7" xfId="5" applyFont="1" applyFill="1" applyBorder="1" applyAlignment="1">
      <alignment horizontal="center" vertical="center" wrapText="1"/>
    </xf>
    <xf numFmtId="0" fontId="31" fillId="6" borderId="4" xfId="5" applyFont="1" applyFill="1" applyBorder="1" applyAlignment="1">
      <alignment horizontal="left" vertical="center" wrapText="1"/>
    </xf>
    <xf numFmtId="3" fontId="31" fillId="6" borderId="4" xfId="5" applyNumberFormat="1" applyFont="1" applyFill="1" applyBorder="1" applyAlignment="1">
      <alignment horizontal="left" vertical="center" wrapText="1"/>
    </xf>
    <xf numFmtId="0" fontId="32" fillId="6" borderId="4" xfId="5" applyFont="1" applyFill="1" applyBorder="1" applyAlignment="1">
      <alignment horizontal="center" vertical="center" wrapText="1"/>
    </xf>
    <xf numFmtId="0" fontId="31" fillId="0" borderId="4" xfId="5" applyFont="1" applyFill="1" applyBorder="1" applyAlignment="1">
      <alignment horizontal="left" vertical="center" wrapText="1"/>
    </xf>
    <xf numFmtId="3" fontId="32" fillId="5" borderId="4" xfId="5" applyNumberFormat="1" applyFont="1" applyFill="1" applyBorder="1" applyAlignment="1">
      <alignment horizontal="left" vertical="center" wrapText="1"/>
    </xf>
    <xf numFmtId="0" fontId="29" fillId="6" borderId="4" xfId="5" applyFont="1" applyFill="1" applyBorder="1" applyAlignment="1">
      <alignment horizontal="center" vertical="center" wrapText="1"/>
    </xf>
    <xf numFmtId="0" fontId="32" fillId="0" borderId="4" xfId="5" applyFont="1" applyFill="1" applyBorder="1" applyAlignment="1">
      <alignment horizontal="center" vertical="center" wrapText="1"/>
    </xf>
    <xf numFmtId="0" fontId="37" fillId="0" borderId="4" xfId="5" applyFont="1" applyFill="1" applyBorder="1" applyAlignment="1">
      <alignment horizontal="left" vertical="center" wrapText="1"/>
    </xf>
    <xf numFmtId="3" fontId="36" fillId="0" borderId="4" xfId="5" applyNumberFormat="1" applyFont="1" applyBorder="1" applyAlignment="1">
      <alignment horizontal="left" vertical="center" wrapText="1"/>
    </xf>
    <xf numFmtId="3" fontId="29" fillId="6" borderId="4" xfId="5" applyNumberFormat="1" applyFont="1" applyFill="1" applyBorder="1" applyAlignment="1">
      <alignment horizontal="left" vertical="center" wrapText="1"/>
    </xf>
    <xf numFmtId="3" fontId="38" fillId="4" borderId="4" xfId="5" applyNumberFormat="1" applyFont="1" applyFill="1" applyBorder="1" applyAlignment="1">
      <alignment horizontal="left" vertical="center"/>
    </xf>
    <xf numFmtId="0" fontId="39" fillId="0" borderId="0" xfId="5" applyFont="1" applyAlignment="1">
      <alignment vertical="center"/>
    </xf>
    <xf numFmtId="0" fontId="3" fillId="0" borderId="0" xfId="3"/>
    <xf numFmtId="17" fontId="2" fillId="0" borderId="0" xfId="3" applyNumberFormat="1" applyFont="1"/>
    <xf numFmtId="0" fontId="3" fillId="0" borderId="0" xfId="3" applyAlignment="1">
      <alignment horizontal="center" vertical="center"/>
    </xf>
    <xf numFmtId="0" fontId="4" fillId="0" borderId="1" xfId="3" applyFont="1" applyBorder="1" applyAlignment="1">
      <alignment horizontal="center"/>
    </xf>
    <xf numFmtId="0" fontId="4" fillId="7" borderId="1" xfId="3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3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1" fillId="0" borderId="1" xfId="6" applyFont="1" applyFill="1" applyBorder="1" applyAlignment="1">
      <alignment horizontal="center" vertical="center"/>
    </xf>
    <xf numFmtId="43" fontId="1" fillId="0" borderId="1" xfId="6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48" fillId="15" borderId="1" xfId="0" applyFont="1" applyFill="1" applyBorder="1" applyAlignment="1">
      <alignment horizontal="center" vertical="center"/>
    </xf>
    <xf numFmtId="43" fontId="48" fillId="0" borderId="1" xfId="0" applyNumberFormat="1" applyFont="1" applyFill="1" applyBorder="1" applyAlignment="1">
      <alignment horizontal="center" vertical="center"/>
    </xf>
    <xf numFmtId="43" fontId="48" fillId="0" borderId="0" xfId="0" applyNumberFormat="1" applyFont="1" applyFill="1" applyBorder="1" applyAlignment="1">
      <alignment horizontal="center" vertical="center"/>
    </xf>
    <xf numFmtId="0" fontId="48" fillId="0" borderId="0" xfId="6" applyFont="1" applyFill="1" applyBorder="1" applyAlignment="1">
      <alignment horizontal="center" vertical="center"/>
    </xf>
    <xf numFmtId="0" fontId="1" fillId="0" borderId="0" xfId="6" applyFont="1" applyFill="1" applyBorder="1" applyAlignment="1">
      <alignment horizontal="center" vertical="center"/>
    </xf>
    <xf numFmtId="0" fontId="48" fillId="15" borderId="1" xfId="6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50" fillId="0" borderId="0" xfId="0" applyFont="1" applyFill="1" applyBorder="1" applyAlignment="1">
      <alignment horizontal="center" vertical="center"/>
    </xf>
    <xf numFmtId="0" fontId="48" fillId="0" borderId="0" xfId="0" applyFont="1" applyFill="1" applyBorder="1" applyAlignment="1">
      <alignment horizontal="center" vertical="center"/>
    </xf>
    <xf numFmtId="172" fontId="48" fillId="0" borderId="1" xfId="0" applyNumberFormat="1" applyFont="1" applyFill="1" applyBorder="1" applyAlignment="1">
      <alignment horizontal="center" vertical="center"/>
    </xf>
    <xf numFmtId="172" fontId="48" fillId="0" borderId="0" xfId="0" applyNumberFormat="1" applyFont="1" applyFill="1" applyBorder="1" applyAlignment="1">
      <alignment horizontal="center" vertical="center"/>
    </xf>
    <xf numFmtId="0" fontId="1" fillId="17" borderId="1" xfId="6" applyFont="1" applyFill="1" applyBorder="1" applyAlignment="1">
      <alignment horizontal="center" vertical="center"/>
    </xf>
    <xf numFmtId="43" fontId="48" fillId="0" borderId="1" xfId="2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172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/>
    </xf>
    <xf numFmtId="0" fontId="48" fillId="0" borderId="1" xfId="6" applyFont="1" applyFill="1" applyBorder="1" applyAlignment="1">
      <alignment horizontal="center" vertical="center"/>
    </xf>
    <xf numFmtId="172" fontId="48" fillId="0" borderId="1" xfId="6" applyNumberFormat="1" applyFont="1" applyFill="1" applyBorder="1" applyAlignment="1">
      <alignment horizontal="center" vertical="center"/>
    </xf>
    <xf numFmtId="172" fontId="48" fillId="0" borderId="0" xfId="6" applyNumberFormat="1" applyFont="1" applyFill="1" applyBorder="1" applyAlignment="1">
      <alignment horizontal="center" vertical="center"/>
    </xf>
    <xf numFmtId="172" fontId="48" fillId="0" borderId="1" xfId="2" applyNumberFormat="1" applyFont="1" applyFill="1" applyBorder="1" applyAlignment="1">
      <alignment horizontal="center" vertical="center"/>
    </xf>
    <xf numFmtId="0" fontId="48" fillId="15" borderId="4" xfId="6" applyFont="1" applyFill="1" applyBorder="1" applyAlignment="1">
      <alignment horizontal="center" vertical="center"/>
    </xf>
    <xf numFmtId="0" fontId="1" fillId="17" borderId="4" xfId="0" applyFont="1" applyFill="1" applyBorder="1" applyAlignment="1">
      <alignment horizontal="center" vertical="center"/>
    </xf>
    <xf numFmtId="172" fontId="48" fillId="0" borderId="8" xfId="6" applyNumberFormat="1" applyFont="1" applyFill="1" applyBorder="1" applyAlignment="1">
      <alignment horizontal="center" vertical="center"/>
    </xf>
    <xf numFmtId="172" fontId="51" fillId="0" borderId="1" xfId="0" applyNumberFormat="1" applyFont="1" applyFill="1" applyBorder="1" applyAlignment="1">
      <alignment horizontal="center" vertical="center"/>
    </xf>
    <xf numFmtId="0" fontId="1" fillId="0" borderId="0" xfId="2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48" fillId="0" borderId="0" xfId="6" applyFont="1" applyFill="1" applyBorder="1" applyAlignment="1">
      <alignment horizontal="center"/>
    </xf>
    <xf numFmtId="0" fontId="48" fillId="15" borderId="4" xfId="6" applyFont="1" applyFill="1" applyBorder="1"/>
    <xf numFmtId="0" fontId="1" fillId="17" borderId="4" xfId="0" applyFont="1" applyFill="1" applyBorder="1"/>
    <xf numFmtId="0" fontId="1" fillId="0" borderId="4" xfId="0" applyFont="1" applyFill="1" applyBorder="1"/>
    <xf numFmtId="1" fontId="1" fillId="17" borderId="4" xfId="0" applyNumberFormat="1" applyFont="1" applyFill="1" applyBorder="1" applyAlignment="1">
      <alignment horizontal="center" vertical="center"/>
    </xf>
    <xf numFmtId="3" fontId="29" fillId="14" borderId="4" xfId="5" applyNumberFormat="1" applyFont="1" applyFill="1" applyBorder="1" applyAlignment="1">
      <alignment horizontal="left" vertical="center" wrapText="1"/>
    </xf>
    <xf numFmtId="174" fontId="4" fillId="0" borderId="9" xfId="0" applyNumberFormat="1" applyFont="1" applyBorder="1" applyAlignment="1">
      <alignment horizontal="center" vertical="center"/>
    </xf>
    <xf numFmtId="174" fontId="8" fillId="0" borderId="0" xfId="0" applyNumberFormat="1" applyFont="1" applyAlignment="1">
      <alignment horizontal="center" vertical="center"/>
    </xf>
    <xf numFmtId="174" fontId="9" fillId="0" borderId="0" xfId="0" applyNumberFormat="1" applyFont="1" applyAlignment="1">
      <alignment horizontal="center" vertical="center"/>
    </xf>
    <xf numFmtId="174" fontId="16" fillId="0" borderId="0" xfId="0" applyNumberFormat="1" applyFont="1" applyAlignment="1">
      <alignment horizontal="center" vertical="center"/>
    </xf>
    <xf numFmtId="174" fontId="16" fillId="0" borderId="2" xfId="0" applyNumberFormat="1" applyFont="1" applyBorder="1" applyAlignment="1">
      <alignment horizontal="center" vertical="center"/>
    </xf>
    <xf numFmtId="174" fontId="16" fillId="0" borderId="10" xfId="0" applyNumberFormat="1" applyFont="1" applyBorder="1" applyAlignment="1">
      <alignment horizontal="center" vertical="center"/>
    </xf>
    <xf numFmtId="0" fontId="31" fillId="0" borderId="14" xfId="5" applyFont="1" applyBorder="1" applyAlignment="1">
      <alignment horizontal="left" vertical="center" wrapText="1"/>
    </xf>
    <xf numFmtId="0" fontId="31" fillId="0" borderId="15" xfId="5" applyFont="1" applyBorder="1" applyAlignment="1">
      <alignment horizontal="left" vertical="center" wrapText="1"/>
    </xf>
    <xf numFmtId="0" fontId="30" fillId="0" borderId="14" xfId="5" applyFont="1" applyBorder="1" applyAlignment="1">
      <alignment horizontal="left" vertical="center" wrapText="1"/>
    </xf>
    <xf numFmtId="0" fontId="30" fillId="0" borderId="15" xfId="5" applyFont="1" applyBorder="1" applyAlignment="1">
      <alignment horizontal="left" vertical="center" wrapText="1"/>
    </xf>
    <xf numFmtId="0" fontId="38" fillId="4" borderId="4" xfId="5" applyFont="1" applyFill="1" applyBorder="1" applyAlignment="1">
      <alignment horizontal="center" vertical="center"/>
    </xf>
    <xf numFmtId="17" fontId="2" fillId="0" borderId="2" xfId="3" applyNumberFormat="1" applyFont="1" applyBorder="1" applyAlignment="1">
      <alignment horizontal="center" vertical="center"/>
    </xf>
    <xf numFmtId="17" fontId="2" fillId="0" borderId="16" xfId="3" applyNumberFormat="1" applyFont="1" applyBorder="1" applyAlignment="1">
      <alignment horizontal="center" vertical="center"/>
    </xf>
    <xf numFmtId="17" fontId="2" fillId="0" borderId="10" xfId="3" applyNumberFormat="1" applyFont="1" applyBorder="1" applyAlignment="1">
      <alignment horizontal="center" vertical="center"/>
    </xf>
    <xf numFmtId="0" fontId="2" fillId="0" borderId="2" xfId="3" applyFont="1" applyBorder="1" applyAlignment="1">
      <alignment horizontal="center" vertical="center"/>
    </xf>
    <xf numFmtId="0" fontId="2" fillId="0" borderId="16" xfId="3" applyFont="1" applyBorder="1" applyAlignment="1">
      <alignment horizontal="center" vertical="center"/>
    </xf>
    <xf numFmtId="0" fontId="2" fillId="0" borderId="10" xfId="3" applyFont="1" applyBorder="1" applyAlignment="1">
      <alignment horizontal="center" vertical="center"/>
    </xf>
    <xf numFmtId="0" fontId="29" fillId="0" borderId="14" xfId="5" applyFont="1" applyBorder="1" applyAlignment="1">
      <alignment horizontal="center" vertical="center" wrapText="1"/>
    </xf>
    <xf numFmtId="0" fontId="29" fillId="0" borderId="15" xfId="5" applyFont="1" applyBorder="1" applyAlignment="1">
      <alignment horizontal="center" vertical="center" wrapText="1"/>
    </xf>
    <xf numFmtId="0" fontId="29" fillId="0" borderId="14" xfId="5" applyFont="1" applyFill="1" applyBorder="1" applyAlignment="1">
      <alignment horizontal="center" vertical="center" wrapText="1"/>
    </xf>
    <xf numFmtId="0" fontId="29" fillId="0" borderId="7" xfId="5" applyFont="1" applyFill="1" applyBorder="1" applyAlignment="1">
      <alignment horizontal="center" vertical="center" wrapText="1"/>
    </xf>
    <xf numFmtId="0" fontId="29" fillId="0" borderId="15" xfId="5" applyFont="1" applyFill="1" applyBorder="1" applyAlignment="1">
      <alignment horizontal="center" vertical="center" wrapText="1"/>
    </xf>
    <xf numFmtId="0" fontId="29" fillId="0" borderId="7" xfId="5" applyFont="1" applyBorder="1" applyAlignment="1">
      <alignment horizontal="center" vertical="center" wrapText="1"/>
    </xf>
    <xf numFmtId="176" fontId="28" fillId="12" borderId="11" xfId="5" applyNumberFormat="1" applyFont="1" applyFill="1" applyBorder="1" applyAlignment="1">
      <alignment horizontal="center" vertical="center"/>
    </xf>
    <xf numFmtId="176" fontId="28" fillId="12" borderId="12" xfId="5" applyNumberFormat="1" applyFont="1" applyFill="1" applyBorder="1" applyAlignment="1">
      <alignment horizontal="center" vertical="center"/>
    </xf>
    <xf numFmtId="176" fontId="28" fillId="12" borderId="13" xfId="5" applyNumberFormat="1" applyFont="1" applyFill="1" applyBorder="1" applyAlignment="1">
      <alignment horizontal="center" vertical="center"/>
    </xf>
    <xf numFmtId="0" fontId="52" fillId="0" borderId="0" xfId="0" applyFont="1" applyFill="1" applyBorder="1" applyAlignment="1">
      <alignment horizontal="center" vertical="center"/>
    </xf>
    <xf numFmtId="0" fontId="18" fillId="19" borderId="17" xfId="0" applyFont="1" applyFill="1" applyBorder="1" applyAlignment="1">
      <alignment horizontal="left" vertical="center"/>
    </xf>
    <xf numFmtId="0" fontId="18" fillId="19" borderId="0" xfId="0" applyFont="1" applyFill="1" applyBorder="1" applyAlignment="1">
      <alignment horizontal="left" vertical="center"/>
    </xf>
  </cellXfs>
  <cellStyles count="7">
    <cellStyle name="Bad" xfId="1" builtinId="27" customBuiltin="1"/>
    <cellStyle name="Comma" xfId="2" builtinId="3"/>
    <cellStyle name="Normal" xfId="0" builtinId="0"/>
    <cellStyle name="Normal 12" xfId="3"/>
    <cellStyle name="Normal 14" xfId="4"/>
    <cellStyle name="Normal 14 2" xfId="5"/>
    <cellStyle name="Normal_~0313373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K32"/>
  <sheetViews>
    <sheetView tabSelected="1" zoomScale="85" zoomScaleNormal="85" workbookViewId="0">
      <selection activeCell="C22" sqref="C22"/>
    </sheetView>
  </sheetViews>
  <sheetFormatPr defaultColWidth="11.5703125" defaultRowHeight="12.75" x14ac:dyDescent="0.2"/>
  <cols>
    <col min="1" max="1" width="15.85546875" style="77" bestFit="1" customWidth="1"/>
    <col min="2" max="3" width="11.5703125" style="82"/>
    <col min="4" max="4" width="13.42578125" style="82" customWidth="1"/>
    <col min="5" max="6" width="12.5703125" style="16" customWidth="1"/>
    <col min="7" max="11" width="11.5703125" style="16"/>
  </cols>
  <sheetData>
    <row r="1" spans="1:11" s="60" customFormat="1" ht="60" x14ac:dyDescent="0.25">
      <c r="A1" s="76" t="s">
        <v>51</v>
      </c>
      <c r="B1" s="80" t="s">
        <v>0</v>
      </c>
      <c r="C1" s="80" t="s">
        <v>52</v>
      </c>
      <c r="D1" s="80" t="s">
        <v>53</v>
      </c>
      <c r="E1" s="79" t="s">
        <v>54</v>
      </c>
      <c r="F1" s="79" t="s">
        <v>55</v>
      </c>
      <c r="G1" s="79" t="s">
        <v>80</v>
      </c>
      <c r="H1" s="79" t="s">
        <v>81</v>
      </c>
      <c r="I1" s="79" t="s">
        <v>56</v>
      </c>
      <c r="J1" s="79" t="s">
        <v>57</v>
      </c>
      <c r="K1" s="79" t="s">
        <v>58</v>
      </c>
    </row>
    <row r="2" spans="1:11" x14ac:dyDescent="0.2">
      <c r="A2" s="77" t="s">
        <v>59</v>
      </c>
      <c r="B2" s="82">
        <v>1</v>
      </c>
      <c r="C2" s="82">
        <v>9</v>
      </c>
      <c r="D2" s="82">
        <v>2019</v>
      </c>
      <c r="E2" s="63">
        <f>( (Submetering!O2+Submetering!P2)*0.842284+Submetering!Q2+Submetering!M2+Submetering!N2)*1.02</f>
        <v>74529.42954360001</v>
      </c>
      <c r="F2" s="16">
        <v>1.27</v>
      </c>
      <c r="G2" s="63">
        <f>Gas!C4</f>
        <v>2148</v>
      </c>
      <c r="H2" s="16">
        <v>3.65</v>
      </c>
      <c r="I2" s="63">
        <f>Submetering!F2+Submetering!G2</f>
        <v>1066.5</v>
      </c>
      <c r="J2" s="64">
        <v>10.029999999999999</v>
      </c>
      <c r="K2" s="63">
        <f>ELECT.!B4</f>
        <v>245</v>
      </c>
    </row>
    <row r="3" spans="1:11" x14ac:dyDescent="0.2">
      <c r="A3" s="77" t="s">
        <v>59</v>
      </c>
      <c r="B3" s="82">
        <f>B2+1</f>
        <v>2</v>
      </c>
      <c r="C3" s="82">
        <v>9</v>
      </c>
      <c r="D3" s="82">
        <v>2019</v>
      </c>
      <c r="E3" s="63">
        <f>( (Submetering!O3+Submetering!P3)*0.842284+Submetering!Q3+Submetering!M3+Submetering!N3)*1.02</f>
        <v>50833.017758400005</v>
      </c>
      <c r="F3" s="16">
        <v>1.27</v>
      </c>
      <c r="G3" s="63">
        <f>Gas!C5</f>
        <v>2960</v>
      </c>
      <c r="H3" s="16">
        <v>3.65</v>
      </c>
      <c r="I3" s="63">
        <f>Submetering!F3+Submetering!G3</f>
        <v>1044.9000000000001</v>
      </c>
      <c r="J3" s="64">
        <v>10.029999999999999</v>
      </c>
      <c r="K3" s="63">
        <f>ELECT.!B5</f>
        <v>240</v>
      </c>
    </row>
    <row r="4" spans="1:11" x14ac:dyDescent="0.2">
      <c r="A4" s="77" t="s">
        <v>59</v>
      </c>
      <c r="B4" s="82">
        <f t="shared" ref="B4:B31" si="0">B3+1</f>
        <v>3</v>
      </c>
      <c r="C4" s="82">
        <v>9</v>
      </c>
      <c r="D4" s="82">
        <v>2019</v>
      </c>
      <c r="E4" s="63">
        <f>( (Submetering!O4+Submetering!P4)*0.842284+Submetering!Q4+Submetering!M4+Submetering!N4)*1.02</f>
        <v>51678.677506079999</v>
      </c>
      <c r="F4" s="16">
        <v>1.27</v>
      </c>
      <c r="G4" s="63">
        <f>Gas!C6</f>
        <v>2445</v>
      </c>
      <c r="H4" s="16">
        <v>3.65</v>
      </c>
      <c r="I4" s="63">
        <f>Submetering!F4+Submetering!G4</f>
        <v>1112.4000000000001</v>
      </c>
      <c r="J4" s="64">
        <v>10.029999999999999</v>
      </c>
      <c r="K4" s="63">
        <f>ELECT.!B6</f>
        <v>248</v>
      </c>
    </row>
    <row r="5" spans="1:11" x14ac:dyDescent="0.2">
      <c r="A5" s="77" t="s">
        <v>59</v>
      </c>
      <c r="B5" s="82">
        <f t="shared" si="0"/>
        <v>4</v>
      </c>
      <c r="C5" s="82">
        <v>9</v>
      </c>
      <c r="D5" s="82">
        <v>2019</v>
      </c>
      <c r="E5" s="63">
        <f>( (Submetering!O5+Submetering!P5)*0.842284+Submetering!Q5+Submetering!M5+Submetering!N5)*1.02</f>
        <v>64737.279632160004</v>
      </c>
      <c r="F5" s="16">
        <v>1.27</v>
      </c>
      <c r="G5" s="63">
        <f>Gas!C7</f>
        <v>2101</v>
      </c>
      <c r="H5" s="16">
        <v>3.65</v>
      </c>
      <c r="I5" s="63">
        <f>Submetering!F5+Submetering!G5</f>
        <v>1139.4000000000001</v>
      </c>
      <c r="J5" s="64">
        <v>10.029999999999999</v>
      </c>
      <c r="K5" s="63">
        <f>ELECT.!B7</f>
        <v>242</v>
      </c>
    </row>
    <row r="6" spans="1:11" x14ac:dyDescent="0.2">
      <c r="A6" s="77" t="s">
        <v>59</v>
      </c>
      <c r="B6" s="82">
        <f t="shared" si="0"/>
        <v>5</v>
      </c>
      <c r="C6" s="82">
        <v>9</v>
      </c>
      <c r="D6" s="82">
        <v>2019</v>
      </c>
      <c r="E6" s="63">
        <f>( (Submetering!O6+Submetering!P6)*0.842284+Submetering!Q6+Submetering!M6+Submetering!N6)*1.02</f>
        <v>59716.359032640001</v>
      </c>
      <c r="F6" s="16">
        <v>1.27</v>
      </c>
      <c r="G6" s="63">
        <f>Gas!C8</f>
        <v>4082</v>
      </c>
      <c r="H6" s="16">
        <v>3.65</v>
      </c>
      <c r="I6" s="63">
        <f>Submetering!F6+Submetering!G6</f>
        <v>1174.5</v>
      </c>
      <c r="J6" s="64">
        <v>10.029999999999999</v>
      </c>
      <c r="K6" s="63">
        <f>ELECT.!B8</f>
        <v>293</v>
      </c>
    </row>
    <row r="7" spans="1:11" x14ac:dyDescent="0.2">
      <c r="A7" s="77" t="s">
        <v>59</v>
      </c>
      <c r="B7" s="82">
        <f t="shared" si="0"/>
        <v>6</v>
      </c>
      <c r="C7" s="82">
        <v>9</v>
      </c>
      <c r="D7" s="82">
        <v>2019</v>
      </c>
      <c r="E7" s="63">
        <f>( (Submetering!O7+Submetering!P7)*0.842284+Submetering!Q7+Submetering!M7+Submetering!N7)*1.02</f>
        <v>65178.301789440004</v>
      </c>
      <c r="F7" s="16">
        <v>1.27</v>
      </c>
      <c r="G7" s="63">
        <f>Gas!C9</f>
        <v>3955</v>
      </c>
      <c r="H7" s="16">
        <v>3.65</v>
      </c>
      <c r="I7" s="63">
        <f>Submetering!F7+Submetering!G7</f>
        <v>1026</v>
      </c>
      <c r="J7" s="64">
        <v>10.029999999999999</v>
      </c>
      <c r="K7" s="63">
        <f>ELECT.!B9</f>
        <v>277</v>
      </c>
    </row>
    <row r="8" spans="1:11" x14ac:dyDescent="0.2">
      <c r="A8" s="77" t="s">
        <v>59</v>
      </c>
      <c r="B8" s="82">
        <f t="shared" si="0"/>
        <v>7</v>
      </c>
      <c r="C8" s="82">
        <v>9</v>
      </c>
      <c r="D8" s="82">
        <v>2019</v>
      </c>
      <c r="E8" s="63">
        <f>( (Submetering!O8+Submetering!P8)*0.842284+Submetering!Q8+Submetering!M8+Submetering!N8)*1.02</f>
        <v>46624.216209839993</v>
      </c>
      <c r="F8" s="16">
        <v>1.27</v>
      </c>
      <c r="G8" s="63">
        <f>Gas!C10</f>
        <v>2328</v>
      </c>
      <c r="H8" s="16">
        <v>3.65</v>
      </c>
      <c r="I8" s="63">
        <f>Submetering!F8+Submetering!G8</f>
        <v>1107</v>
      </c>
      <c r="J8" s="64">
        <v>10.029999999999999</v>
      </c>
      <c r="K8" s="63">
        <f>ELECT.!B10</f>
        <v>292</v>
      </c>
    </row>
    <row r="9" spans="1:11" x14ac:dyDescent="0.2">
      <c r="A9" s="77" t="s">
        <v>59</v>
      </c>
      <c r="B9" s="82">
        <f t="shared" si="0"/>
        <v>8</v>
      </c>
      <c r="C9" s="82">
        <v>9</v>
      </c>
      <c r="D9" s="82">
        <v>2019</v>
      </c>
      <c r="E9" s="63">
        <f>( (Submetering!O9+Submetering!P9)*0.842284+Submetering!Q9+Submetering!M9+Submetering!N9)*1.02</f>
        <v>74898.542916720005</v>
      </c>
      <c r="F9" s="16">
        <v>1.27</v>
      </c>
      <c r="G9" s="63">
        <f>Gas!C11</f>
        <v>3602</v>
      </c>
      <c r="H9" s="16">
        <v>3.65</v>
      </c>
      <c r="I9" s="63">
        <f>Submetering!F9+Submetering!G9</f>
        <v>1107</v>
      </c>
      <c r="J9" s="64">
        <v>10.029999999999999</v>
      </c>
      <c r="K9" s="63">
        <f>ELECT.!B11</f>
        <v>269</v>
      </c>
    </row>
    <row r="10" spans="1:11" x14ac:dyDescent="0.2">
      <c r="A10" s="77" t="s">
        <v>59</v>
      </c>
      <c r="B10" s="82">
        <f t="shared" si="0"/>
        <v>9</v>
      </c>
      <c r="C10" s="82">
        <v>9</v>
      </c>
      <c r="D10" s="82">
        <v>2019</v>
      </c>
      <c r="E10" s="63">
        <f>( (Submetering!O10+Submetering!P10)*0.842284+Submetering!Q10+Submetering!M10+Submetering!N10)*1.02</f>
        <v>60041.208571440002</v>
      </c>
      <c r="F10" s="16">
        <v>1.27</v>
      </c>
      <c r="G10" s="63">
        <f>Gas!C12</f>
        <v>3588</v>
      </c>
      <c r="H10" s="16">
        <v>3.65</v>
      </c>
      <c r="I10" s="63">
        <f>Submetering!F10+Submetering!G10</f>
        <v>950.4</v>
      </c>
      <c r="J10" s="64">
        <v>10.029999999999999</v>
      </c>
      <c r="K10" s="63">
        <f>ELECT.!B12</f>
        <v>280</v>
      </c>
    </row>
    <row r="11" spans="1:11" x14ac:dyDescent="0.2">
      <c r="A11" s="77" t="s">
        <v>59</v>
      </c>
      <c r="B11" s="82">
        <f t="shared" si="0"/>
        <v>10</v>
      </c>
      <c r="C11" s="82">
        <v>9</v>
      </c>
      <c r="D11" s="82">
        <v>2019</v>
      </c>
      <c r="E11" s="63">
        <f>( (Submetering!O11+Submetering!P11)*0.842284+Submetering!Q11+Submetering!M11+Submetering!N11)*1.02</f>
        <v>64055.235228480007</v>
      </c>
      <c r="F11" s="16">
        <v>1.27</v>
      </c>
      <c r="G11" s="63">
        <f>Gas!C13</f>
        <v>2965</v>
      </c>
      <c r="H11" s="16">
        <v>3.65</v>
      </c>
      <c r="I11" s="63">
        <f>Submetering!F11+Submetering!G11</f>
        <v>1161</v>
      </c>
      <c r="J11" s="64">
        <v>10.029999999999999</v>
      </c>
      <c r="K11" s="63">
        <f>ELECT.!B13</f>
        <v>297</v>
      </c>
    </row>
    <row r="12" spans="1:11" x14ac:dyDescent="0.2">
      <c r="A12" s="77" t="s">
        <v>59</v>
      </c>
      <c r="B12" s="82">
        <f t="shared" si="0"/>
        <v>11</v>
      </c>
      <c r="C12" s="82">
        <v>9</v>
      </c>
      <c r="D12" s="82">
        <v>2019</v>
      </c>
      <c r="E12" s="63">
        <f>( (Submetering!O12+Submetering!P12)*0.842284+Submetering!Q12+Submetering!M12+Submetering!N12)*1.02</f>
        <v>45571.374176400001</v>
      </c>
      <c r="F12" s="16">
        <v>1.27</v>
      </c>
      <c r="G12" s="63">
        <f>Gas!C14</f>
        <v>2819</v>
      </c>
      <c r="H12" s="16">
        <v>3.65</v>
      </c>
      <c r="I12" s="63">
        <f>Submetering!F12+Submetering!G12</f>
        <v>882.90000000000009</v>
      </c>
      <c r="J12" s="64">
        <v>10.029999999999999</v>
      </c>
      <c r="K12" s="63">
        <f>ELECT.!B14</f>
        <v>294</v>
      </c>
    </row>
    <row r="13" spans="1:11" x14ac:dyDescent="0.2">
      <c r="A13" s="77" t="s">
        <v>59</v>
      </c>
      <c r="B13" s="82">
        <f t="shared" si="0"/>
        <v>12</v>
      </c>
      <c r="C13" s="82">
        <v>9</v>
      </c>
      <c r="D13" s="82">
        <v>2019</v>
      </c>
      <c r="E13" s="63">
        <f>( (Submetering!O13+Submetering!P13)*0.842284+Submetering!Q13+Submetering!M13+Submetering!N13)*1.02</f>
        <v>78555.435770160009</v>
      </c>
      <c r="F13" s="16">
        <v>1.27</v>
      </c>
      <c r="G13" s="63">
        <f>Gas!C15</f>
        <v>3611</v>
      </c>
      <c r="H13" s="16">
        <v>3.65</v>
      </c>
      <c r="I13" s="63">
        <f>Submetering!F13+Submetering!G13</f>
        <v>1182.5999999999999</v>
      </c>
      <c r="J13" s="64">
        <v>10.029999999999999</v>
      </c>
      <c r="K13" s="63">
        <f>ELECT.!B15</f>
        <v>304</v>
      </c>
    </row>
    <row r="14" spans="1:11" x14ac:dyDescent="0.2">
      <c r="A14" s="77" t="s">
        <v>59</v>
      </c>
      <c r="B14" s="82">
        <f t="shared" si="0"/>
        <v>13</v>
      </c>
      <c r="C14" s="82">
        <v>9</v>
      </c>
      <c r="D14" s="82">
        <v>2019</v>
      </c>
      <c r="E14" s="63">
        <f>( (Submetering!O14+Submetering!P14)*0.842284+Submetering!Q14+Submetering!M14+Submetering!N14)*1.02</f>
        <v>56312.294068800002</v>
      </c>
      <c r="F14" s="16">
        <v>1.27</v>
      </c>
      <c r="G14" s="63">
        <f>Gas!C16</f>
        <v>2887</v>
      </c>
      <c r="H14" s="16">
        <v>3.65</v>
      </c>
      <c r="I14" s="63">
        <f>Submetering!F14+Submetering!G14</f>
        <v>831.6</v>
      </c>
      <c r="J14" s="64">
        <v>10.029999999999999</v>
      </c>
      <c r="K14" s="63">
        <f>ELECT.!B16</f>
        <v>323</v>
      </c>
    </row>
    <row r="15" spans="1:11" x14ac:dyDescent="0.2">
      <c r="A15" s="77" t="s">
        <v>59</v>
      </c>
      <c r="B15" s="82">
        <f t="shared" si="0"/>
        <v>14</v>
      </c>
      <c r="C15" s="82">
        <v>9</v>
      </c>
      <c r="D15" s="82">
        <v>2019</v>
      </c>
      <c r="E15" s="63">
        <f>( (Submetering!O15+Submetering!P15)*0.842284+Submetering!Q15+Submetering!M15+Submetering!N15)*1.02</f>
        <v>61437.880589280001</v>
      </c>
      <c r="F15" s="16">
        <v>1.27</v>
      </c>
      <c r="G15" s="63">
        <f>Gas!C17</f>
        <v>3369</v>
      </c>
      <c r="H15" s="16">
        <v>3.65</v>
      </c>
      <c r="I15" s="63">
        <f>Submetering!F15+Submetering!G15</f>
        <v>1228.5</v>
      </c>
      <c r="J15" s="64">
        <v>10.029999999999999</v>
      </c>
      <c r="K15" s="63">
        <f>ELECT.!B17</f>
        <v>350</v>
      </c>
    </row>
    <row r="16" spans="1:11" x14ac:dyDescent="0.2">
      <c r="A16" s="77" t="s">
        <v>59</v>
      </c>
      <c r="B16" s="82">
        <f t="shared" si="0"/>
        <v>15</v>
      </c>
      <c r="C16" s="82">
        <v>9</v>
      </c>
      <c r="D16" s="82">
        <v>2019</v>
      </c>
      <c r="E16" s="63">
        <f>( (Submetering!O16+Submetering!P16)*0.842284+Submetering!Q16+Submetering!M16+Submetering!N16)*1.02</f>
        <v>62618.895749280004</v>
      </c>
      <c r="F16" s="16">
        <v>1.27</v>
      </c>
      <c r="G16" s="63">
        <f>Gas!C18</f>
        <v>3125</v>
      </c>
      <c r="H16" s="16">
        <v>3.65</v>
      </c>
      <c r="I16" s="63">
        <f>Submetering!F16+Submetering!G16</f>
        <v>1171.8</v>
      </c>
      <c r="J16" s="64">
        <v>10.029999999999999</v>
      </c>
      <c r="K16" s="63">
        <f>ELECT.!B18</f>
        <v>352</v>
      </c>
    </row>
    <row r="17" spans="1:11" x14ac:dyDescent="0.2">
      <c r="A17" s="77" t="s">
        <v>59</v>
      </c>
      <c r="B17" s="82">
        <f t="shared" si="0"/>
        <v>16</v>
      </c>
      <c r="C17" s="82">
        <v>9</v>
      </c>
      <c r="D17" s="82">
        <v>2019</v>
      </c>
      <c r="E17" s="63">
        <f>( (Submetering!O17+Submetering!P17)*0.842284+Submetering!Q17+Submetering!M17+Submetering!N17)*1.02</f>
        <v>42416.894803679999</v>
      </c>
      <c r="F17" s="16">
        <v>1.27</v>
      </c>
      <c r="G17" s="63">
        <f>Gas!C19</f>
        <v>3061</v>
      </c>
      <c r="H17" s="16">
        <v>3.65</v>
      </c>
      <c r="I17" s="63">
        <f>Submetering!F17+Submetering!G17</f>
        <v>1050.3000000000002</v>
      </c>
      <c r="J17" s="64">
        <v>10.029999999999999</v>
      </c>
      <c r="K17" s="63">
        <f>ELECT.!B19</f>
        <v>324</v>
      </c>
    </row>
    <row r="18" spans="1:11" x14ac:dyDescent="0.2">
      <c r="A18" s="77" t="s">
        <v>59</v>
      </c>
      <c r="B18" s="82">
        <f t="shared" si="0"/>
        <v>17</v>
      </c>
      <c r="C18" s="82">
        <v>9</v>
      </c>
      <c r="D18" s="82">
        <v>2019</v>
      </c>
      <c r="E18" s="63">
        <f>( (Submetering!O18+Submetering!P18)*0.842284+Submetering!Q18+Submetering!M18+Submetering!N18)*1.02</f>
        <v>76622.806033440007</v>
      </c>
      <c r="F18" s="16">
        <v>1.27</v>
      </c>
      <c r="G18" s="63">
        <f>Gas!C20</f>
        <v>2800</v>
      </c>
      <c r="H18" s="16">
        <v>3.65</v>
      </c>
      <c r="I18" s="63">
        <f>Submetering!F18+Submetering!G18</f>
        <v>1144.8000000000002</v>
      </c>
      <c r="J18" s="64">
        <v>10.029999999999999</v>
      </c>
      <c r="K18" s="63">
        <f>ELECT.!B20</f>
        <v>334</v>
      </c>
    </row>
    <row r="19" spans="1:11" x14ac:dyDescent="0.2">
      <c r="A19" s="77" t="s">
        <v>59</v>
      </c>
      <c r="B19" s="82">
        <f t="shared" si="0"/>
        <v>18</v>
      </c>
      <c r="C19" s="82">
        <v>9</v>
      </c>
      <c r="D19" s="82">
        <v>2019</v>
      </c>
      <c r="E19" s="63">
        <f>( (Submetering!O19+Submetering!P19)*0.842284+Submetering!Q19+Submetering!M19+Submetering!N19)*1.02</f>
        <v>50563.966695359995</v>
      </c>
      <c r="F19" s="16">
        <v>1.27</v>
      </c>
      <c r="G19" s="63">
        <f>Gas!C21</f>
        <v>3066</v>
      </c>
      <c r="H19" s="16">
        <v>3.65</v>
      </c>
      <c r="I19" s="63">
        <f>Submetering!F19+Submetering!G19</f>
        <v>1244.7</v>
      </c>
      <c r="J19" s="64">
        <v>10.029999999999999</v>
      </c>
      <c r="K19" s="63">
        <f>ELECT.!B21</f>
        <v>353</v>
      </c>
    </row>
    <row r="20" spans="1:11" x14ac:dyDescent="0.2">
      <c r="A20" s="77" t="s">
        <v>59</v>
      </c>
      <c r="B20" s="82">
        <f t="shared" si="0"/>
        <v>19</v>
      </c>
      <c r="C20" s="82">
        <v>9</v>
      </c>
      <c r="D20" s="82">
        <v>2019</v>
      </c>
      <c r="E20" s="63">
        <f>( (Submetering!O20+Submetering!P20)*0.842284+Submetering!Q20+Submetering!M20+Submetering!N20)*1.02</f>
        <v>81702.660352079998</v>
      </c>
      <c r="F20" s="16">
        <v>1.27</v>
      </c>
      <c r="G20" s="63">
        <f>Gas!C22</f>
        <v>2096</v>
      </c>
      <c r="H20" s="16">
        <v>3.65</v>
      </c>
      <c r="I20" s="63">
        <f>Submetering!F20+Submetering!G20</f>
        <v>753.3</v>
      </c>
      <c r="J20" s="64">
        <v>10.029999999999999</v>
      </c>
      <c r="K20" s="63">
        <f>ELECT.!B22</f>
        <v>353</v>
      </c>
    </row>
    <row r="21" spans="1:11" x14ac:dyDescent="0.2">
      <c r="A21" s="77" t="s">
        <v>59</v>
      </c>
      <c r="B21" s="82">
        <f t="shared" si="0"/>
        <v>20</v>
      </c>
      <c r="C21" s="82">
        <v>9</v>
      </c>
      <c r="D21" s="82">
        <v>2019</v>
      </c>
      <c r="E21" s="63">
        <f>( (Submetering!O21+Submetering!P21)*0.842284+Submetering!Q21+Submetering!M21+Submetering!N21)*1.02</f>
        <v>53103.699514079999</v>
      </c>
      <c r="F21" s="16">
        <v>1.27</v>
      </c>
      <c r="G21" s="63">
        <f>Gas!C23</f>
        <v>2038</v>
      </c>
      <c r="H21" s="16">
        <v>3.65</v>
      </c>
      <c r="I21" s="63">
        <f>Submetering!F21+Submetering!G21</f>
        <v>1069.2</v>
      </c>
      <c r="J21" s="64">
        <v>10.029999999999999</v>
      </c>
      <c r="K21" s="63">
        <f>ELECT.!B23</f>
        <v>356</v>
      </c>
    </row>
    <row r="22" spans="1:11" x14ac:dyDescent="0.2">
      <c r="A22" s="77" t="s">
        <v>59</v>
      </c>
      <c r="B22" s="82">
        <f t="shared" si="0"/>
        <v>21</v>
      </c>
      <c r="C22" s="82">
        <v>9</v>
      </c>
      <c r="D22" s="82">
        <v>2019</v>
      </c>
      <c r="E22" s="63">
        <f>( (Submetering!O22+Submetering!P22)*0.842284+Submetering!Q22+Submetering!M22+Submetering!N22)*1.02</f>
        <v>56754.908013600005</v>
      </c>
      <c r="F22" s="16">
        <v>1.27</v>
      </c>
      <c r="G22" s="63">
        <f>Gas!C24</f>
        <v>4655</v>
      </c>
      <c r="H22" s="16">
        <v>3.65</v>
      </c>
      <c r="I22" s="63">
        <f>Submetering!F22+Submetering!G22</f>
        <v>1004.4000000000001</v>
      </c>
      <c r="J22" s="64">
        <v>10.029999999999999</v>
      </c>
      <c r="K22" s="63">
        <f>ELECT.!B24</f>
        <v>331</v>
      </c>
    </row>
    <row r="23" spans="1:11" x14ac:dyDescent="0.2">
      <c r="A23" s="77" t="s">
        <v>59</v>
      </c>
      <c r="B23" s="82">
        <f t="shared" si="0"/>
        <v>22</v>
      </c>
      <c r="C23" s="82">
        <v>9</v>
      </c>
      <c r="D23" s="82">
        <v>2019</v>
      </c>
      <c r="E23" s="63">
        <f>( (Submetering!O23+Submetering!P23)*0.842284+Submetering!Q23+Submetering!M23+Submetering!N23)*1.02</f>
        <v>61244.297123040007</v>
      </c>
      <c r="F23" s="16">
        <v>1.27</v>
      </c>
      <c r="G23" s="63">
        <f>Gas!C25</f>
        <v>4343</v>
      </c>
      <c r="H23" s="16">
        <v>3.65</v>
      </c>
      <c r="I23" s="63">
        <f>Submetering!F23+Submetering!G23</f>
        <v>1209.5999999999999</v>
      </c>
      <c r="J23" s="64">
        <v>10.029999999999999</v>
      </c>
      <c r="K23" s="63">
        <f>ELECT.!B25</f>
        <v>352</v>
      </c>
    </row>
    <row r="24" spans="1:11" x14ac:dyDescent="0.2">
      <c r="A24" s="77" t="s">
        <v>59</v>
      </c>
      <c r="B24" s="82">
        <f t="shared" si="0"/>
        <v>23</v>
      </c>
      <c r="C24" s="82">
        <v>9</v>
      </c>
      <c r="D24" s="82">
        <v>2019</v>
      </c>
      <c r="E24" s="63">
        <f>( (Submetering!O24+Submetering!P24)*0.842284+Submetering!Q24+Submetering!M24+Submetering!N24)*1.02</f>
        <v>49163.382802079999</v>
      </c>
      <c r="F24" s="16">
        <v>1.27</v>
      </c>
      <c r="G24" s="63">
        <f>Gas!C26</f>
        <v>3224</v>
      </c>
      <c r="H24" s="16">
        <v>3.65</v>
      </c>
      <c r="I24" s="63">
        <f>Submetering!F24+Submetering!G24</f>
        <v>1158.3000000000002</v>
      </c>
      <c r="J24" s="64">
        <v>10.029999999999999</v>
      </c>
      <c r="K24" s="63">
        <f>ELECT.!B26</f>
        <v>317</v>
      </c>
    </row>
    <row r="25" spans="1:11" x14ac:dyDescent="0.2">
      <c r="A25" s="77" t="s">
        <v>59</v>
      </c>
      <c r="B25" s="82">
        <f t="shared" si="0"/>
        <v>24</v>
      </c>
      <c r="C25" s="82">
        <v>9</v>
      </c>
      <c r="D25" s="82">
        <v>2019</v>
      </c>
      <c r="E25" s="63">
        <f>( (Submetering!O25+Submetering!P25)*0.842284+Submetering!Q25+Submetering!M25+Submetering!N25)*1.02</f>
        <v>68444.392622160012</v>
      </c>
      <c r="F25" s="16">
        <v>1.27</v>
      </c>
      <c r="G25" s="63">
        <f>Gas!C27</f>
        <v>3193</v>
      </c>
      <c r="H25" s="16">
        <v>3.65</v>
      </c>
      <c r="I25" s="63">
        <f>Submetering!F25+Submetering!G25</f>
        <v>17120.7</v>
      </c>
      <c r="J25" s="64">
        <v>10.029999999999999</v>
      </c>
      <c r="K25" s="63">
        <f>ELECT.!B27</f>
        <v>252</v>
      </c>
    </row>
    <row r="26" spans="1:11" x14ac:dyDescent="0.2">
      <c r="A26" s="77" t="s">
        <v>59</v>
      </c>
      <c r="B26" s="82">
        <f>B25+1</f>
        <v>25</v>
      </c>
      <c r="C26" s="82">
        <v>9</v>
      </c>
      <c r="D26" s="82">
        <v>2019</v>
      </c>
      <c r="E26" s="63">
        <f>( (Submetering!O26+Submetering!P26)*0.842284+Submetering!Q26+Submetering!M26+Submetering!N26)*1.02</f>
        <v>51531.512742480001</v>
      </c>
      <c r="F26" s="16">
        <v>1.27</v>
      </c>
      <c r="G26" s="63">
        <f>Gas!C28</f>
        <v>3783</v>
      </c>
      <c r="H26" s="16">
        <v>3.65</v>
      </c>
      <c r="I26" s="63">
        <f>Submetering!F26+Submetering!G26</f>
        <v>585.9</v>
      </c>
      <c r="J26" s="64">
        <v>10.029999999999999</v>
      </c>
      <c r="K26" s="63">
        <f>ELECT.!B28</f>
        <v>278</v>
      </c>
    </row>
    <row r="27" spans="1:11" x14ac:dyDescent="0.2">
      <c r="A27" s="77" t="s">
        <v>59</v>
      </c>
      <c r="B27" s="82">
        <f t="shared" si="0"/>
        <v>26</v>
      </c>
      <c r="C27" s="82">
        <v>9</v>
      </c>
      <c r="D27" s="82">
        <v>2019</v>
      </c>
      <c r="E27" s="63">
        <f>( (Submetering!O27+Submetering!P27)*0.842284+Submetering!Q27+Submetering!M27+Submetering!N27)*1.02</f>
        <v>45540.475153200001</v>
      </c>
      <c r="F27" s="16">
        <v>1.27</v>
      </c>
      <c r="G27" s="63">
        <f>Gas!C29</f>
        <v>3389</v>
      </c>
      <c r="H27" s="16">
        <v>3.65</v>
      </c>
      <c r="I27" s="63">
        <f>Submetering!F27+Submetering!G27</f>
        <v>955.8</v>
      </c>
      <c r="J27" s="64">
        <v>10.029999999999999</v>
      </c>
      <c r="K27" s="63">
        <f>ELECT.!B29</f>
        <v>295</v>
      </c>
    </row>
    <row r="28" spans="1:11" x14ac:dyDescent="0.2">
      <c r="A28" s="77" t="s">
        <v>59</v>
      </c>
      <c r="B28" s="82">
        <f t="shared" si="0"/>
        <v>27</v>
      </c>
      <c r="C28" s="82">
        <v>9</v>
      </c>
      <c r="D28" s="82">
        <v>2019</v>
      </c>
      <c r="E28" s="63">
        <f>( (Submetering!O28+Submetering!P28)*0.842284+Submetering!Q28+Submetering!M28+Submetering!N28)*1.02</f>
        <v>77412.223201439992</v>
      </c>
      <c r="F28" s="16">
        <v>1.27</v>
      </c>
      <c r="G28" s="63">
        <f>Gas!C30</f>
        <v>3343</v>
      </c>
      <c r="H28" s="16">
        <v>3.65</v>
      </c>
      <c r="I28" s="63">
        <f>Submetering!F28+Submetering!G28</f>
        <v>1031.4000000000001</v>
      </c>
      <c r="J28" s="64">
        <v>10.029999999999999</v>
      </c>
      <c r="K28" s="63">
        <f>ELECT.!B30</f>
        <v>255</v>
      </c>
    </row>
    <row r="29" spans="1:11" x14ac:dyDescent="0.2">
      <c r="A29" s="77" t="s">
        <v>59</v>
      </c>
      <c r="B29" s="82">
        <f t="shared" si="0"/>
        <v>28</v>
      </c>
      <c r="C29" s="82">
        <v>9</v>
      </c>
      <c r="D29" s="82">
        <v>2019</v>
      </c>
      <c r="E29" s="63">
        <f>( (Submetering!O29+Submetering!P29)*0.842284+Submetering!Q29+Submetering!M29+Submetering!N29)*1.02</f>
        <v>51877.641549839995</v>
      </c>
      <c r="F29" s="16">
        <v>1.27</v>
      </c>
      <c r="G29" s="63">
        <f>Gas!C31</f>
        <v>3639</v>
      </c>
      <c r="H29" s="16">
        <v>3.65</v>
      </c>
      <c r="I29" s="63">
        <f>Submetering!F29+Submetering!G29</f>
        <v>1017.9000000000001</v>
      </c>
      <c r="J29" s="64">
        <v>10.029999999999999</v>
      </c>
      <c r="K29" s="63">
        <f>ELECT.!B31</f>
        <v>248</v>
      </c>
    </row>
    <row r="30" spans="1:11" x14ac:dyDescent="0.2">
      <c r="A30" s="77" t="s">
        <v>59</v>
      </c>
      <c r="B30" s="82">
        <f t="shared" si="0"/>
        <v>29</v>
      </c>
      <c r="C30" s="82">
        <v>9</v>
      </c>
      <c r="D30" s="82">
        <v>2019</v>
      </c>
      <c r="E30" s="63">
        <f>( (Submetering!O30+Submetering!P30)*0.842284+Submetering!Q30+Submetering!M30+Submetering!N30)*1.02</f>
        <v>71539.792713600007</v>
      </c>
      <c r="F30" s="16">
        <v>1.27</v>
      </c>
      <c r="G30" s="63">
        <f>Gas!C32</f>
        <v>3376</v>
      </c>
      <c r="H30" s="16">
        <v>3.65</v>
      </c>
      <c r="I30" s="63">
        <f>Submetering!F30+Submetering!G30</f>
        <v>1023.3</v>
      </c>
      <c r="J30" s="64">
        <v>10.029999999999999</v>
      </c>
      <c r="K30" s="63">
        <f>ELECT.!B32</f>
        <v>249</v>
      </c>
    </row>
    <row r="31" spans="1:11" x14ac:dyDescent="0.2">
      <c r="A31" s="77" t="s">
        <v>59</v>
      </c>
      <c r="B31" s="82">
        <f t="shared" si="0"/>
        <v>30</v>
      </c>
      <c r="C31" s="82">
        <v>9</v>
      </c>
      <c r="D31" s="82">
        <v>2019</v>
      </c>
      <c r="E31" s="63">
        <f>( (Submetering!O31+Submetering!P31)*0.842284+Submetering!Q31+Submetering!M31+Submetering!N31)*1.02</f>
        <v>63296.271853680002</v>
      </c>
      <c r="F31" s="16">
        <v>1.27</v>
      </c>
      <c r="G31" s="63">
        <f>Gas!C33</f>
        <v>3144</v>
      </c>
      <c r="H31" s="16">
        <v>3.65</v>
      </c>
      <c r="I31" s="63">
        <f>Submetering!F31+Submetering!G31</f>
        <v>926.1</v>
      </c>
      <c r="J31" s="64">
        <v>10.029999999999999</v>
      </c>
      <c r="K31" s="63">
        <f>ELECT.!B33</f>
        <v>248</v>
      </c>
    </row>
    <row r="32" spans="1:11" x14ac:dyDescent="0.2">
      <c r="K32" s="8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X32"/>
  <sheetViews>
    <sheetView zoomScale="85" zoomScaleNormal="85" workbookViewId="0">
      <selection activeCell="E35" sqref="E35"/>
    </sheetView>
  </sheetViews>
  <sheetFormatPr defaultColWidth="11.5703125" defaultRowHeight="12.75" x14ac:dyDescent="0.2"/>
  <cols>
    <col min="1" max="1" width="15.85546875" style="77" bestFit="1" customWidth="1"/>
    <col min="2" max="3" width="11.5703125" style="82"/>
    <col min="4" max="4" width="13.42578125" style="82" customWidth="1"/>
    <col min="5" max="17" width="12.5703125" style="63" customWidth="1"/>
    <col min="18" max="23" width="12.5703125" style="64" customWidth="1"/>
    <col min="24" max="24" width="11.5703125" style="61"/>
  </cols>
  <sheetData>
    <row r="1" spans="1:24" s="60" customFormat="1" ht="30" x14ac:dyDescent="0.25">
      <c r="A1" s="76" t="s">
        <v>51</v>
      </c>
      <c r="B1" s="80" t="s">
        <v>0</v>
      </c>
      <c r="C1" s="80" t="s">
        <v>52</v>
      </c>
      <c r="D1" s="80" t="s">
        <v>53</v>
      </c>
      <c r="E1" s="81" t="s">
        <v>70</v>
      </c>
      <c r="F1" s="81" t="s">
        <v>71</v>
      </c>
      <c r="G1" s="81" t="s">
        <v>72</v>
      </c>
      <c r="H1" s="81" t="s">
        <v>73</v>
      </c>
      <c r="I1" s="81" t="s">
        <v>63</v>
      </c>
      <c r="J1" s="81" t="s">
        <v>62</v>
      </c>
      <c r="K1" s="81" t="s">
        <v>61</v>
      </c>
      <c r="L1" s="81" t="s">
        <v>64</v>
      </c>
      <c r="M1" s="81" t="s">
        <v>65</v>
      </c>
      <c r="N1" s="81" t="s">
        <v>66</v>
      </c>
      <c r="O1" s="81" t="s">
        <v>67</v>
      </c>
      <c r="P1" s="81" t="s">
        <v>68</v>
      </c>
      <c r="Q1" s="81" t="s">
        <v>82</v>
      </c>
      <c r="R1" s="83" t="s">
        <v>74</v>
      </c>
      <c r="S1" s="83" t="s">
        <v>75</v>
      </c>
      <c r="T1" s="83" t="s">
        <v>76</v>
      </c>
      <c r="U1" s="83" t="s">
        <v>77</v>
      </c>
      <c r="V1" s="83" t="s">
        <v>78</v>
      </c>
      <c r="W1" s="83" t="s">
        <v>79</v>
      </c>
      <c r="X1" s="78" t="s">
        <v>58</v>
      </c>
    </row>
    <row r="2" spans="1:24" x14ac:dyDescent="0.2">
      <c r="A2" s="77" t="s">
        <v>59</v>
      </c>
      <c r="B2" s="82">
        <v>1</v>
      </c>
      <c r="C2" s="82">
        <v>9</v>
      </c>
      <c r="D2" s="82">
        <v>2019</v>
      </c>
      <c r="E2" s="63">
        <f>Water!C4</f>
        <v>1030</v>
      </c>
      <c r="F2" s="63">
        <f>Water!E4</f>
        <v>553.5</v>
      </c>
      <c r="G2" s="63">
        <f>Water!G4</f>
        <v>513</v>
      </c>
      <c r="H2" s="63">
        <f>Water!I4</f>
        <v>5.67</v>
      </c>
      <c r="I2" s="63">
        <f>ELECT.!F4</f>
        <v>24204</v>
      </c>
      <c r="J2" s="63">
        <f>ELECT.!H4</f>
        <v>58792</v>
      </c>
      <c r="K2" s="63">
        <f>ELECT.!K4</f>
        <v>6542</v>
      </c>
      <c r="L2" s="63">
        <f>ELECT.!M4</f>
        <v>8131</v>
      </c>
      <c r="M2" s="63">
        <f>ELECT.!O4</f>
        <v>27668</v>
      </c>
      <c r="N2" s="63">
        <f>ELECT.!Q4</f>
        <v>14004</v>
      </c>
      <c r="O2" s="63">
        <f>ELECT.!S4</f>
        <v>11489</v>
      </c>
      <c r="P2" s="63">
        <f>ELECT.!W4*2</f>
        <v>25406</v>
      </c>
      <c r="Q2" s="63">
        <f>ELECT.!D4</f>
        <v>320</v>
      </c>
      <c r="R2" s="64">
        <f>BTU!C3</f>
        <v>14.151599999999235</v>
      </c>
      <c r="S2" s="64">
        <f>BTU!F3</f>
        <v>0.89733333333015253</v>
      </c>
      <c r="T2" s="64" t="str">
        <f>BTU!I3</f>
        <v>0</v>
      </c>
      <c r="U2" s="64">
        <f>BTU!O3</f>
        <v>1.1550000000002001</v>
      </c>
      <c r="V2" s="64">
        <f>BTU!L3</f>
        <v>0.1000000000003638</v>
      </c>
      <c r="W2" s="64">
        <f>BTU!R3</f>
        <v>2.8400000000001455</v>
      </c>
      <c r="X2" s="61">
        <f>ELECT.!B4</f>
        <v>245</v>
      </c>
    </row>
    <row r="3" spans="1:24" x14ac:dyDescent="0.2">
      <c r="A3" s="77" t="s">
        <v>59</v>
      </c>
      <c r="B3" s="82">
        <f>B2+1</f>
        <v>2</v>
      </c>
      <c r="C3" s="82">
        <v>9</v>
      </c>
      <c r="D3" s="82">
        <v>2019</v>
      </c>
      <c r="E3" s="63">
        <f>Water!C5</f>
        <v>1060</v>
      </c>
      <c r="F3" s="63">
        <f>Water!E5</f>
        <v>534.6</v>
      </c>
      <c r="G3" s="63">
        <f>Water!G5</f>
        <v>510.3</v>
      </c>
      <c r="H3" s="63">
        <f>Water!I5</f>
        <v>5.67</v>
      </c>
      <c r="I3" s="63">
        <f>ELECT.!F5</f>
        <v>24350</v>
      </c>
      <c r="J3" s="63">
        <f>ELECT.!H5</f>
        <v>56902</v>
      </c>
      <c r="K3" s="63">
        <f>ELECT.!K5</f>
        <v>6210</v>
      </c>
      <c r="L3" s="63">
        <f>ELECT.!M5</f>
        <v>8586</v>
      </c>
      <c r="M3" s="63">
        <f>ELECT.!O5</f>
        <v>3572</v>
      </c>
      <c r="N3" s="63">
        <f>ELECT.!Q5</f>
        <v>13382</v>
      </c>
      <c r="O3" s="63">
        <f>ELECT.!S5</f>
        <v>11348</v>
      </c>
      <c r="P3" s="63">
        <f>ELECT.!W5*2</f>
        <v>25032</v>
      </c>
      <c r="Q3" s="63">
        <f>ELECT.!D5</f>
        <v>2240</v>
      </c>
      <c r="R3" s="64">
        <f>BTU!C4</f>
        <v>14.33600000000115</v>
      </c>
      <c r="S3" s="64">
        <f>BTU!F4</f>
        <v>0.39499999999998181</v>
      </c>
      <c r="T3" s="64">
        <f>BTU!I4</f>
        <v>10</v>
      </c>
      <c r="U3" s="64">
        <f>BTU!O4</f>
        <v>2.7449999999998909</v>
      </c>
      <c r="V3" s="64">
        <f>BTU!L4</f>
        <v>0.54000000000087311</v>
      </c>
      <c r="W3" s="64">
        <f>BTU!R4</f>
        <v>5.8000000000001819</v>
      </c>
      <c r="X3" s="61">
        <f>ELECT.!B5</f>
        <v>240</v>
      </c>
    </row>
    <row r="4" spans="1:24" x14ac:dyDescent="0.2">
      <c r="A4" s="77" t="s">
        <v>59</v>
      </c>
      <c r="B4" s="82">
        <f t="shared" ref="B4:B31" si="0">B3+1</f>
        <v>3</v>
      </c>
      <c r="C4" s="82">
        <v>9</v>
      </c>
      <c r="D4" s="82">
        <v>2019</v>
      </c>
      <c r="E4" s="63">
        <f>Water!C6</f>
        <v>1140</v>
      </c>
      <c r="F4" s="63">
        <f>Water!E6</f>
        <v>567</v>
      </c>
      <c r="G4" s="63">
        <f>Water!G6</f>
        <v>545.4</v>
      </c>
      <c r="H4" s="63">
        <f>Water!I6</f>
        <v>5.6159999999999997</v>
      </c>
      <c r="I4" s="63">
        <f>ELECT.!F6</f>
        <v>17111</v>
      </c>
      <c r="J4" s="63">
        <f>ELECT.!H6</f>
        <v>49775</v>
      </c>
      <c r="K4" s="63">
        <f>ELECT.!K6</f>
        <v>5335</v>
      </c>
      <c r="L4" s="63">
        <f>ELECT.!M6</f>
        <v>5797</v>
      </c>
      <c r="M4" s="63">
        <f>ELECT.!O6</f>
        <v>11132</v>
      </c>
      <c r="N4" s="63">
        <f>ELECT.!Q6</f>
        <v>11371</v>
      </c>
      <c r="O4" s="63">
        <f>ELECT.!S6</f>
        <v>10030</v>
      </c>
      <c r="P4" s="63">
        <f>ELECT.!W6*2</f>
        <v>22076</v>
      </c>
      <c r="Q4" s="63">
        <f>ELECT.!D6</f>
        <v>1120</v>
      </c>
      <c r="R4" s="64">
        <f>BTU!C5</f>
        <v>32.180999999998676</v>
      </c>
      <c r="S4" s="64">
        <f>BTU!F5</f>
        <v>5.0320000000001528</v>
      </c>
      <c r="T4" s="64">
        <f>BTU!I5</f>
        <v>5</v>
      </c>
      <c r="U4" s="64">
        <f>BTU!O5</f>
        <v>6.55600000000004</v>
      </c>
      <c r="V4" s="64">
        <f>BTU!L5</f>
        <v>1.5900000000001455</v>
      </c>
      <c r="W4" s="64">
        <f>BTU!R5</f>
        <v>4</v>
      </c>
      <c r="X4" s="61">
        <f>ELECT.!B6</f>
        <v>248</v>
      </c>
    </row>
    <row r="5" spans="1:24" x14ac:dyDescent="0.2">
      <c r="A5" s="77" t="s">
        <v>59</v>
      </c>
      <c r="B5" s="82">
        <f t="shared" si="0"/>
        <v>4</v>
      </c>
      <c r="C5" s="82">
        <v>9</v>
      </c>
      <c r="D5" s="82">
        <v>2019</v>
      </c>
      <c r="E5" s="63">
        <f>Water!C7</f>
        <v>1160</v>
      </c>
      <c r="F5" s="63">
        <f>Water!E7</f>
        <v>577.79999999999995</v>
      </c>
      <c r="G5" s="63">
        <f>Water!G7</f>
        <v>561.6</v>
      </c>
      <c r="H5" s="63">
        <f>Water!I7</f>
        <v>5.3730000000000002</v>
      </c>
      <c r="I5" s="63">
        <f>ELECT.!F7</f>
        <v>19396</v>
      </c>
      <c r="J5" s="63">
        <f>ELECT.!H7</f>
        <v>63636</v>
      </c>
      <c r="K5" s="63">
        <f>ELECT.!K7</f>
        <v>7284</v>
      </c>
      <c r="L5" s="63">
        <f>ELECT.!M7</f>
        <v>6399</v>
      </c>
      <c r="M5" s="63">
        <f>ELECT.!O7</f>
        <v>12790</v>
      </c>
      <c r="N5" s="63">
        <f>ELECT.!Q7</f>
        <v>14534</v>
      </c>
      <c r="O5" s="63">
        <f>ELECT.!S7</f>
        <v>13570</v>
      </c>
      <c r="P5" s="63">
        <f>ELECT.!W7*2</f>
        <v>28392</v>
      </c>
      <c r="Q5" s="63">
        <f>ELECT.!D7</f>
        <v>800</v>
      </c>
      <c r="R5" s="64">
        <f>BTU!C6</f>
        <v>14.980000000001382</v>
      </c>
      <c r="S5" s="64">
        <f>BTU!F6</f>
        <v>3.3949999999999818</v>
      </c>
      <c r="T5" s="64">
        <f>BTU!I6</f>
        <v>0</v>
      </c>
      <c r="U5" s="64">
        <f>BTU!O6</f>
        <v>3.5279999999997926</v>
      </c>
      <c r="V5" s="64">
        <f>BTU!L6</f>
        <v>0.76000000000021828</v>
      </c>
      <c r="W5" s="64">
        <f>BTU!R6</f>
        <v>1.0299999999997453</v>
      </c>
      <c r="X5" s="61">
        <f>ELECT.!B7</f>
        <v>242</v>
      </c>
    </row>
    <row r="6" spans="1:24" x14ac:dyDescent="0.2">
      <c r="A6" s="77" t="s">
        <v>59</v>
      </c>
      <c r="B6" s="82">
        <f t="shared" si="0"/>
        <v>5</v>
      </c>
      <c r="C6" s="82">
        <v>9</v>
      </c>
      <c r="D6" s="82">
        <v>2019</v>
      </c>
      <c r="E6" s="63">
        <f>Water!C8</f>
        <v>1210</v>
      </c>
      <c r="F6" s="63">
        <f>Water!E8</f>
        <v>591.29999999999995</v>
      </c>
      <c r="G6" s="63">
        <f>Water!G8</f>
        <v>583.20000000000005</v>
      </c>
      <c r="H6" s="63">
        <f>Water!I8</f>
        <v>6.6420000000000003</v>
      </c>
      <c r="I6" s="63">
        <f>ELECT.!F8</f>
        <v>17320</v>
      </c>
      <c r="J6" s="63">
        <f>ELECT.!H8</f>
        <v>60375</v>
      </c>
      <c r="K6" s="63">
        <f>ELECT.!K8</f>
        <v>5897</v>
      </c>
      <c r="L6" s="63">
        <f>ELECT.!M8</f>
        <v>5604</v>
      </c>
      <c r="M6" s="63">
        <f>ELECT.!O8</f>
        <v>11526</v>
      </c>
      <c r="N6" s="63">
        <f>ELECT.!Q8</f>
        <v>13768</v>
      </c>
      <c r="O6" s="63">
        <f>ELECT.!S8</f>
        <v>11636</v>
      </c>
      <c r="P6" s="63">
        <f>ELECT.!W8*2</f>
        <v>26512</v>
      </c>
      <c r="Q6" s="63">
        <f>ELECT.!D8</f>
        <v>1120</v>
      </c>
      <c r="R6" s="64">
        <f>BTU!C7</f>
        <v>15.955999999998312</v>
      </c>
      <c r="S6" s="64">
        <f>BTU!F7</f>
        <v>3.3089999999997417</v>
      </c>
      <c r="T6" s="64">
        <f>BTU!I7</f>
        <v>0</v>
      </c>
      <c r="U6" s="64">
        <f>BTU!O7</f>
        <v>3.2300000000000182</v>
      </c>
      <c r="V6" s="64">
        <f>BTU!L7</f>
        <v>0.75999999999839929</v>
      </c>
      <c r="W6" s="64">
        <f>BTU!R7</f>
        <v>0.97000000000025466</v>
      </c>
      <c r="X6" s="61">
        <f>ELECT.!B8</f>
        <v>293</v>
      </c>
    </row>
    <row r="7" spans="1:24" x14ac:dyDescent="0.2">
      <c r="A7" s="77" t="s">
        <v>59</v>
      </c>
      <c r="B7" s="82">
        <f t="shared" si="0"/>
        <v>6</v>
      </c>
      <c r="C7" s="82">
        <v>9</v>
      </c>
      <c r="D7" s="82">
        <v>2019</v>
      </c>
      <c r="E7" s="63">
        <f>Water!C9</f>
        <v>1040</v>
      </c>
      <c r="F7" s="63">
        <f>Water!E9</f>
        <v>496.8</v>
      </c>
      <c r="G7" s="63">
        <f>Water!G9</f>
        <v>529.20000000000005</v>
      </c>
      <c r="H7" s="63">
        <f>Water!I9</f>
        <v>5.8860000000000001</v>
      </c>
      <c r="I7" s="63">
        <f>ELECT.!F9</f>
        <v>18903</v>
      </c>
      <c r="J7" s="63">
        <f>ELECT.!H9</f>
        <v>64590</v>
      </c>
      <c r="K7" s="63">
        <f>ELECT.!K9</f>
        <v>6253</v>
      </c>
      <c r="L7" s="63">
        <f>ELECT.!M9</f>
        <v>5884</v>
      </c>
      <c r="M7" s="63">
        <f>ELECT.!O9</f>
        <v>12754</v>
      </c>
      <c r="N7" s="63">
        <f>ELECT.!Q9</f>
        <v>15469</v>
      </c>
      <c r="O7" s="63">
        <f>ELECT.!S9</f>
        <v>13040</v>
      </c>
      <c r="P7" s="63">
        <f>ELECT.!W9*2</f>
        <v>28368</v>
      </c>
      <c r="Q7" s="63">
        <f>ELECT.!D9</f>
        <v>800</v>
      </c>
      <c r="R7" s="64">
        <f>BTU!C8</f>
        <v>18.997000000001208</v>
      </c>
      <c r="S7" s="64">
        <f>BTU!F8</f>
        <v>2.0700000000001637</v>
      </c>
      <c r="T7" s="64">
        <f>BTU!I8</f>
        <v>0</v>
      </c>
      <c r="U7" s="64">
        <f>BTU!O8</f>
        <v>3.4839999999999236</v>
      </c>
      <c r="V7" s="64">
        <f>BTU!L8</f>
        <v>0.88000000000101863</v>
      </c>
      <c r="W7" s="64">
        <f>BTU!R8</f>
        <v>5.0900000000001455</v>
      </c>
      <c r="X7" s="61">
        <f>ELECT.!B9</f>
        <v>277</v>
      </c>
    </row>
    <row r="8" spans="1:24" x14ac:dyDescent="0.2">
      <c r="A8" s="77" t="s">
        <v>59</v>
      </c>
      <c r="B8" s="82">
        <f t="shared" si="0"/>
        <v>7</v>
      </c>
      <c r="C8" s="82">
        <v>9</v>
      </c>
      <c r="D8" s="82">
        <v>2019</v>
      </c>
      <c r="E8" s="63">
        <f>Water!C10</f>
        <v>1150</v>
      </c>
      <c r="F8" s="63">
        <f>Water!E10</f>
        <v>567</v>
      </c>
      <c r="G8" s="63">
        <f>Water!G10</f>
        <v>540</v>
      </c>
      <c r="H8" s="63">
        <f>Water!I10</f>
        <v>7.6950000000000003</v>
      </c>
      <c r="I8" s="63">
        <f>ELECT.!F10</f>
        <v>15862</v>
      </c>
      <c r="J8" s="63">
        <f>ELECT.!H10</f>
        <v>43690</v>
      </c>
      <c r="K8" s="63">
        <f>ELECT.!K10</f>
        <v>4567</v>
      </c>
      <c r="L8" s="63">
        <f>ELECT.!M10</f>
        <v>5152</v>
      </c>
      <c r="M8" s="63">
        <f>ELECT.!O10</f>
        <v>10598</v>
      </c>
      <c r="N8" s="63">
        <f>ELECT.!Q10</f>
        <v>10355</v>
      </c>
      <c r="O8" s="63">
        <f>ELECT.!S10</f>
        <v>8817</v>
      </c>
      <c r="P8" s="63">
        <f>ELECT.!W10*2</f>
        <v>19246</v>
      </c>
      <c r="Q8" s="63">
        <f>ELECT.!D10</f>
        <v>1120</v>
      </c>
      <c r="R8" s="64">
        <f>BTU!C9</f>
        <v>15.05199999999968</v>
      </c>
      <c r="S8" s="64">
        <f>BTU!F9</f>
        <v>1.8919999999998254</v>
      </c>
      <c r="T8" s="64">
        <f>BTU!I9</f>
        <v>0</v>
      </c>
      <c r="U8" s="64">
        <f>BTU!O9</f>
        <v>3.4700000000002547</v>
      </c>
      <c r="V8" s="64">
        <f>BTU!L9</f>
        <v>0.70999999999912689</v>
      </c>
      <c r="W8" s="64">
        <f>BTU!R9</f>
        <v>1.1099999999996726</v>
      </c>
      <c r="X8" s="61">
        <f>ELECT.!B10</f>
        <v>292</v>
      </c>
    </row>
    <row r="9" spans="1:24" x14ac:dyDescent="0.2">
      <c r="A9" s="77" t="s">
        <v>59</v>
      </c>
      <c r="B9" s="82">
        <f t="shared" si="0"/>
        <v>8</v>
      </c>
      <c r="C9" s="82">
        <v>9</v>
      </c>
      <c r="D9" s="82">
        <v>2019</v>
      </c>
      <c r="E9" s="63">
        <f>Water!C11</f>
        <v>1160</v>
      </c>
      <c r="F9" s="63">
        <f>Water!E11</f>
        <v>604.79999999999995</v>
      </c>
      <c r="G9" s="63">
        <f>Water!G11</f>
        <v>502.2</v>
      </c>
      <c r="H9" s="63">
        <f>Water!I11</f>
        <v>7.1819999999999995</v>
      </c>
      <c r="I9" s="63">
        <f>ELECT.!F11</f>
        <v>22997</v>
      </c>
      <c r="J9" s="63">
        <f>ELECT.!H11</f>
        <v>74394</v>
      </c>
      <c r="K9" s="63">
        <f>ELECT.!K11</f>
        <v>7808</v>
      </c>
      <c r="L9" s="63">
        <f>ELECT.!M11</f>
        <v>8163</v>
      </c>
      <c r="M9" s="63">
        <f>ELECT.!O11</f>
        <v>14642</v>
      </c>
      <c r="N9" s="63">
        <f>ELECT.!Q11</f>
        <v>17096</v>
      </c>
      <c r="O9" s="63">
        <f>ELECT.!S11</f>
        <v>14627</v>
      </c>
      <c r="P9" s="63">
        <f>ELECT.!W11*2</f>
        <v>33352</v>
      </c>
      <c r="Q9" s="63">
        <f>ELECT.!D11</f>
        <v>1280</v>
      </c>
      <c r="R9" s="64">
        <f>BTU!C10</f>
        <v>15.084000000000742</v>
      </c>
      <c r="S9" s="64">
        <f>BTU!F10</f>
        <v>3.886000000000422</v>
      </c>
      <c r="T9" s="64">
        <f>BTU!I10</f>
        <v>0</v>
      </c>
      <c r="U9" s="64">
        <f>BTU!O10</f>
        <v>3.3389999999999418</v>
      </c>
      <c r="V9" s="64">
        <f>BTU!L10</f>
        <v>0.75</v>
      </c>
      <c r="W9" s="64">
        <f>BTU!R10</f>
        <v>0.8000000000001819</v>
      </c>
      <c r="X9" s="61">
        <f>ELECT.!B11</f>
        <v>269</v>
      </c>
    </row>
    <row r="10" spans="1:24" x14ac:dyDescent="0.2">
      <c r="A10" s="77" t="s">
        <v>59</v>
      </c>
      <c r="B10" s="82">
        <f t="shared" si="0"/>
        <v>9</v>
      </c>
      <c r="C10" s="82">
        <v>9</v>
      </c>
      <c r="D10" s="82">
        <v>2019</v>
      </c>
      <c r="E10" s="63">
        <f>Water!C12</f>
        <v>990</v>
      </c>
      <c r="F10" s="63">
        <f>Water!E12</f>
        <v>507.59999999999997</v>
      </c>
      <c r="G10" s="63">
        <f>Water!G12</f>
        <v>442.8</v>
      </c>
      <c r="H10" s="63">
        <f>Water!I12</f>
        <v>5.6970000000000001</v>
      </c>
      <c r="I10" s="63">
        <f>ELECT.!F12</f>
        <v>19492</v>
      </c>
      <c r="J10" s="63">
        <f>ELECT.!H12</f>
        <v>58354</v>
      </c>
      <c r="K10" s="63">
        <f>ELECT.!K12</f>
        <v>6029</v>
      </c>
      <c r="L10" s="63">
        <f>ELECT.!M12</f>
        <v>6787</v>
      </c>
      <c r="M10" s="63">
        <f>ELECT.!O12</f>
        <v>12464</v>
      </c>
      <c r="N10" s="63">
        <f>ELECT.!Q12</f>
        <v>12959</v>
      </c>
      <c r="O10" s="63">
        <f>ELECT.!S12</f>
        <v>11211</v>
      </c>
      <c r="P10" s="63">
        <f>ELECT.!W12*2</f>
        <v>26972</v>
      </c>
      <c r="Q10" s="63">
        <f>ELECT.!D12</f>
        <v>1280</v>
      </c>
      <c r="R10" s="64">
        <f>BTU!C11</f>
        <v>14.279999999998836</v>
      </c>
      <c r="S10" s="64">
        <f>BTU!F11</f>
        <v>3.7479999999995925</v>
      </c>
      <c r="T10" s="64">
        <f>BTU!I11</f>
        <v>0</v>
      </c>
      <c r="U10" s="64">
        <f>BTU!O11</f>
        <v>3.2519999999999527</v>
      </c>
      <c r="V10" s="64">
        <f>BTU!L11</f>
        <v>0.71000000000094587</v>
      </c>
      <c r="W10" s="64">
        <f>BTU!R11</f>
        <v>3</v>
      </c>
      <c r="X10" s="61">
        <f>ELECT.!B12</f>
        <v>280</v>
      </c>
    </row>
    <row r="11" spans="1:24" x14ac:dyDescent="0.2">
      <c r="A11" s="77" t="s">
        <v>59</v>
      </c>
      <c r="B11" s="82">
        <f t="shared" si="0"/>
        <v>10</v>
      </c>
      <c r="C11" s="82">
        <v>9</v>
      </c>
      <c r="D11" s="82">
        <v>2019</v>
      </c>
      <c r="E11" s="63">
        <f>Water!C13</f>
        <v>1210</v>
      </c>
      <c r="F11" s="63">
        <f>Water!E13</f>
        <v>631.79999999999995</v>
      </c>
      <c r="G11" s="63">
        <f>Water!G13</f>
        <v>529.20000000000005</v>
      </c>
      <c r="H11" s="63">
        <f>Water!I13</f>
        <v>5.5350000000000001</v>
      </c>
      <c r="I11" s="63">
        <f>ELECT.!F13</f>
        <v>18385</v>
      </c>
      <c r="J11" s="63">
        <f>ELECT.!H13</f>
        <v>64587</v>
      </c>
      <c r="K11" s="63">
        <f>ELECT.!K13</f>
        <v>6782</v>
      </c>
      <c r="L11" s="63">
        <f>ELECT.!M13</f>
        <v>6021</v>
      </c>
      <c r="M11" s="63">
        <f>ELECT.!O13</f>
        <v>12132</v>
      </c>
      <c r="N11" s="63">
        <f>ELECT.!Q13</f>
        <v>14301</v>
      </c>
      <c r="O11" s="63">
        <f>ELECT.!S13</f>
        <v>12538</v>
      </c>
      <c r="P11" s="63">
        <f>ELECT.!W13*2</f>
        <v>29498</v>
      </c>
      <c r="Q11" s="63">
        <f>ELECT.!D13</f>
        <v>960</v>
      </c>
      <c r="R11" s="64">
        <f>BTU!C12</f>
        <v>14.399999999999636</v>
      </c>
      <c r="S11" s="64">
        <f>BTU!F12</f>
        <v>3.6000000000003638</v>
      </c>
      <c r="T11" s="64">
        <f>BTU!I12</f>
        <v>0</v>
      </c>
      <c r="U11" s="64">
        <f>BTU!O12</f>
        <v>3.5</v>
      </c>
      <c r="V11" s="64">
        <f>BTU!L12</f>
        <v>0.7999999999992724</v>
      </c>
      <c r="W11" s="64">
        <f>BTU!R12</f>
        <v>2.6999999999998181</v>
      </c>
      <c r="X11" s="61">
        <f>ELECT.!B13</f>
        <v>297</v>
      </c>
    </row>
    <row r="12" spans="1:24" x14ac:dyDescent="0.2">
      <c r="A12" s="77" t="s">
        <v>59</v>
      </c>
      <c r="B12" s="82">
        <f t="shared" si="0"/>
        <v>11</v>
      </c>
      <c r="C12" s="82">
        <v>9</v>
      </c>
      <c r="D12" s="82">
        <v>2019</v>
      </c>
      <c r="E12" s="63">
        <f>Water!C14</f>
        <v>910</v>
      </c>
      <c r="F12" s="63">
        <f>Water!E14</f>
        <v>467.1</v>
      </c>
      <c r="G12" s="63">
        <f>Water!G14</f>
        <v>415.8</v>
      </c>
      <c r="H12" s="63">
        <f>Water!I14</f>
        <v>4.4279999999999999</v>
      </c>
      <c r="I12" s="63">
        <f>ELECT.!F14</f>
        <v>15387</v>
      </c>
      <c r="J12" s="63">
        <f>ELECT.!H14</f>
        <v>45138</v>
      </c>
      <c r="K12" s="63">
        <f>ELECT.!K14</f>
        <v>4767</v>
      </c>
      <c r="L12" s="63">
        <f>ELECT.!M14</f>
        <v>4604</v>
      </c>
      <c r="M12" s="63">
        <f>ELECT.!O14</f>
        <v>8478</v>
      </c>
      <c r="N12" s="63">
        <f>ELECT.!Q14</f>
        <v>9984</v>
      </c>
      <c r="O12" s="63">
        <f>ELECT.!S14</f>
        <v>8761</v>
      </c>
      <c r="P12" s="63">
        <f>ELECT.!W14*2</f>
        <v>20844</v>
      </c>
      <c r="Q12" s="63">
        <f>ELECT.!D14</f>
        <v>1280</v>
      </c>
      <c r="R12" s="64">
        <f>BTU!C13</f>
        <v>14.260000000000218</v>
      </c>
      <c r="S12" s="64">
        <f>BTU!F13</f>
        <v>3.4369999999998981</v>
      </c>
      <c r="T12" s="64">
        <f>BTU!I13</f>
        <v>0</v>
      </c>
      <c r="U12" s="64">
        <f>BTU!O13</f>
        <v>3.0700000000001637</v>
      </c>
      <c r="V12" s="64">
        <f>BTU!L13</f>
        <v>0.65999999999985448</v>
      </c>
      <c r="W12" s="64">
        <f>BTU!R13</f>
        <v>1.1999999999998181</v>
      </c>
      <c r="X12" s="61">
        <f>ELECT.!B14</f>
        <v>294</v>
      </c>
    </row>
    <row r="13" spans="1:24" x14ac:dyDescent="0.2">
      <c r="A13" s="77" t="s">
        <v>59</v>
      </c>
      <c r="B13" s="82">
        <f t="shared" si="0"/>
        <v>12</v>
      </c>
      <c r="C13" s="82">
        <v>9</v>
      </c>
      <c r="D13" s="82">
        <v>2019</v>
      </c>
      <c r="E13" s="63">
        <f>Water!C15</f>
        <v>1190</v>
      </c>
      <c r="F13" s="63">
        <f>Water!E15</f>
        <v>612.9</v>
      </c>
      <c r="G13" s="63">
        <f>Water!G15</f>
        <v>569.70000000000005</v>
      </c>
      <c r="H13" s="63">
        <f>Water!I15</f>
        <v>4.6710000000000003</v>
      </c>
      <c r="I13" s="63">
        <f>ELECT.!F15</f>
        <v>21070</v>
      </c>
      <c r="J13" s="63">
        <f>ELECT.!H15</f>
        <v>78985</v>
      </c>
      <c r="K13" s="63">
        <f>ELECT.!K15</f>
        <v>8151</v>
      </c>
      <c r="L13" s="63">
        <f>ELECT.!M15</f>
        <v>8219</v>
      </c>
      <c r="M13" s="63">
        <f>ELECT.!O15</f>
        <v>14762</v>
      </c>
      <c r="N13" s="63">
        <f>ELECT.!Q15</f>
        <v>17438</v>
      </c>
      <c r="O13" s="63">
        <f>ELECT.!S15</f>
        <v>15329</v>
      </c>
      <c r="P13" s="63">
        <f>ELECT.!W15*2</f>
        <v>36358</v>
      </c>
      <c r="Q13" s="63">
        <f>ELECT.!D15</f>
        <v>1280</v>
      </c>
      <c r="R13" s="64">
        <f>BTU!C14</f>
        <v>13.990999999999985</v>
      </c>
      <c r="S13" s="64">
        <f>BTU!F14</f>
        <v>3.3840000000000146</v>
      </c>
      <c r="T13" s="64">
        <f>BTU!I14</f>
        <v>0</v>
      </c>
      <c r="U13" s="64">
        <f>BTU!O14</f>
        <v>2.6320000000000618</v>
      </c>
      <c r="V13" s="64">
        <f>BTU!L14</f>
        <v>0.67000000000007276</v>
      </c>
      <c r="W13" s="64">
        <f>BTU!R14</f>
        <v>1.2600000000002183</v>
      </c>
      <c r="X13" s="61">
        <f>ELECT.!B15</f>
        <v>304</v>
      </c>
    </row>
    <row r="14" spans="1:24" x14ac:dyDescent="0.2">
      <c r="A14" s="77" t="s">
        <v>59</v>
      </c>
      <c r="B14" s="82">
        <f t="shared" si="0"/>
        <v>13</v>
      </c>
      <c r="C14" s="82">
        <v>9</v>
      </c>
      <c r="D14" s="82">
        <v>2019</v>
      </c>
      <c r="E14" s="63">
        <f>Water!C16</f>
        <v>1000</v>
      </c>
      <c r="F14" s="63">
        <f>Water!E16</f>
        <v>359.1</v>
      </c>
      <c r="G14" s="63">
        <f>Water!G16</f>
        <v>472.5</v>
      </c>
      <c r="H14" s="63">
        <f>Water!I16</f>
        <v>3.726</v>
      </c>
      <c r="I14" s="63">
        <f>ELECT.!F16</f>
        <v>16140</v>
      </c>
      <c r="J14" s="63">
        <f>ELECT.!H16</f>
        <v>55456</v>
      </c>
      <c r="K14" s="63">
        <f>ELECT.!K16</f>
        <v>5492</v>
      </c>
      <c r="L14" s="63">
        <f>ELECT.!M16</f>
        <v>5409</v>
      </c>
      <c r="M14" s="63">
        <f>ELECT.!O16</f>
        <v>10594</v>
      </c>
      <c r="N14" s="63">
        <f>ELECT.!Q16</f>
        <v>12296</v>
      </c>
      <c r="O14" s="63">
        <f>ELECT.!S16</f>
        <v>11230</v>
      </c>
      <c r="P14" s="63">
        <f>ELECT.!W16*2</f>
        <v>25430</v>
      </c>
      <c r="Q14" s="63">
        <f>ELECT.!D16</f>
        <v>1440</v>
      </c>
      <c r="R14" s="64">
        <f>BTU!C15</f>
        <v>15.215000000000146</v>
      </c>
      <c r="S14" s="64">
        <f>BTU!F15</f>
        <v>2.4049999999997453</v>
      </c>
      <c r="T14" s="64">
        <f>BTU!I15</f>
        <v>0</v>
      </c>
      <c r="U14" s="64">
        <f>BTU!O15</f>
        <v>3.1679999999996653</v>
      </c>
      <c r="V14" s="64">
        <f>BTU!L15</f>
        <v>0.77000000000043656</v>
      </c>
      <c r="W14" s="64">
        <f>BTU!R15</f>
        <v>5.6199999999998909</v>
      </c>
      <c r="X14" s="61">
        <f>ELECT.!B16</f>
        <v>323</v>
      </c>
    </row>
    <row r="15" spans="1:24" x14ac:dyDescent="0.2">
      <c r="A15" s="77" t="s">
        <v>59</v>
      </c>
      <c r="B15" s="82">
        <f t="shared" si="0"/>
        <v>14</v>
      </c>
      <c r="C15" s="82">
        <v>9</v>
      </c>
      <c r="D15" s="82">
        <v>2019</v>
      </c>
      <c r="E15" s="63">
        <f>Water!C17</f>
        <v>1080</v>
      </c>
      <c r="F15" s="63">
        <f>Water!E17</f>
        <v>720.9</v>
      </c>
      <c r="G15" s="63">
        <f>Water!G17</f>
        <v>507.59999999999997</v>
      </c>
      <c r="H15" s="63">
        <f>Water!I17</f>
        <v>5.1840000000000002</v>
      </c>
      <c r="I15" s="63">
        <f>ELECT.!F17</f>
        <v>17560</v>
      </c>
      <c r="J15" s="63">
        <f>ELECT.!H17</f>
        <v>61715</v>
      </c>
      <c r="K15" s="63">
        <f>ELECT.!K17</f>
        <v>6110</v>
      </c>
      <c r="L15" s="63">
        <f>ELECT.!M17</f>
        <v>5993</v>
      </c>
      <c r="M15" s="63">
        <f>ELECT.!O17</f>
        <v>11354</v>
      </c>
      <c r="N15" s="63">
        <f>ELECT.!Q17</f>
        <v>12993</v>
      </c>
      <c r="O15" s="63">
        <f>ELECT.!S17</f>
        <v>12380</v>
      </c>
      <c r="P15" s="63">
        <f>ELECT.!W17*2</f>
        <v>29466</v>
      </c>
      <c r="Q15" s="63">
        <f>ELECT.!D17</f>
        <v>640</v>
      </c>
      <c r="R15" s="64">
        <f>BTU!C16</f>
        <v>12.480999999999767</v>
      </c>
      <c r="S15" s="64">
        <f>BTU!F16</f>
        <v>1.8859999999999673</v>
      </c>
      <c r="T15" s="64">
        <f>BTU!I16</f>
        <v>0</v>
      </c>
      <c r="U15" s="64">
        <f>BTU!O16</f>
        <v>2.8299999999999272</v>
      </c>
      <c r="V15" s="64">
        <f>BTU!L16</f>
        <v>0.62999999999919964</v>
      </c>
      <c r="W15" s="64">
        <f>BTU!R16</f>
        <v>2.8600000000005821</v>
      </c>
      <c r="X15" s="61">
        <f>ELECT.!B17</f>
        <v>350</v>
      </c>
    </row>
    <row r="16" spans="1:24" x14ac:dyDescent="0.2">
      <c r="A16" s="77" t="s">
        <v>59</v>
      </c>
      <c r="B16" s="82">
        <f t="shared" si="0"/>
        <v>15</v>
      </c>
      <c r="C16" s="82">
        <v>9</v>
      </c>
      <c r="D16" s="82">
        <v>2019</v>
      </c>
      <c r="E16" s="63">
        <f>Water!C18</f>
        <v>1090</v>
      </c>
      <c r="F16" s="63">
        <f>Water!E18</f>
        <v>604.79999999999995</v>
      </c>
      <c r="G16" s="63">
        <f>Water!G18</f>
        <v>567</v>
      </c>
      <c r="H16" s="63">
        <f>Water!I18</f>
        <v>5.6970000000000001</v>
      </c>
      <c r="I16" s="63">
        <f>ELECT.!F18</f>
        <v>18394</v>
      </c>
      <c r="J16" s="63">
        <f>ELECT.!H18</f>
        <v>64018</v>
      </c>
      <c r="K16" s="63">
        <f>ELECT.!K18</f>
        <v>6320</v>
      </c>
      <c r="L16" s="63">
        <f>ELECT.!M18</f>
        <v>6556</v>
      </c>
      <c r="M16" s="63">
        <f>ELECT.!O18</f>
        <v>11606</v>
      </c>
      <c r="N16" s="63">
        <f>ELECT.!Q18</f>
        <v>13680</v>
      </c>
      <c r="O16" s="63">
        <f>ELECT.!S18</f>
        <v>12504</v>
      </c>
      <c r="P16" s="63">
        <f>ELECT.!W18*2</f>
        <v>28842</v>
      </c>
      <c r="Q16" s="63">
        <f>ELECT.!D18</f>
        <v>1280</v>
      </c>
      <c r="R16" s="64">
        <f>BTU!C17</f>
        <v>12.453000000001339</v>
      </c>
      <c r="S16" s="64">
        <f>BTU!F17</f>
        <v>3.6580000000003565</v>
      </c>
      <c r="T16" s="64">
        <f>BTU!I17</f>
        <v>0</v>
      </c>
      <c r="U16" s="64">
        <f>BTU!O17</f>
        <v>2.9390000000003056</v>
      </c>
      <c r="V16" s="64">
        <f>BTU!L17</f>
        <v>0.64000000000123691</v>
      </c>
      <c r="W16" s="64">
        <f>BTU!R17</f>
        <v>1.9600000000000364</v>
      </c>
      <c r="X16" s="61">
        <f>ELECT.!B18</f>
        <v>352</v>
      </c>
    </row>
    <row r="17" spans="1:24" x14ac:dyDescent="0.2">
      <c r="A17" s="77" t="s">
        <v>59</v>
      </c>
      <c r="B17" s="82">
        <f t="shared" si="0"/>
        <v>16</v>
      </c>
      <c r="C17" s="82">
        <v>9</v>
      </c>
      <c r="D17" s="82">
        <v>2019</v>
      </c>
      <c r="E17" s="63">
        <f>Water!C19</f>
        <v>990</v>
      </c>
      <c r="F17" s="63">
        <f>Water!E19</f>
        <v>521.1</v>
      </c>
      <c r="G17" s="63">
        <f>Water!G19</f>
        <v>529.20000000000005</v>
      </c>
      <c r="H17" s="63">
        <f>Water!I19</f>
        <v>4.9950000000000001</v>
      </c>
      <c r="I17" s="63">
        <f>ELECT.!F19</f>
        <v>12922</v>
      </c>
      <c r="J17" s="63">
        <f>ELECT.!H19</f>
        <v>44853</v>
      </c>
      <c r="K17" s="63">
        <f>ELECT.!K19</f>
        <v>4546</v>
      </c>
      <c r="L17" s="63">
        <f>ELECT.!M19</f>
        <v>4682</v>
      </c>
      <c r="M17" s="63">
        <f>ELECT.!O19</f>
        <v>8132</v>
      </c>
      <c r="N17" s="63">
        <f>ELECT.!Q19</f>
        <v>7767</v>
      </c>
      <c r="O17" s="63">
        <f>ELECT.!S19</f>
        <v>9346</v>
      </c>
      <c r="P17" s="63">
        <f>ELECT.!W19*2</f>
        <v>20580</v>
      </c>
      <c r="Q17" s="63">
        <f>ELECT.!D19</f>
        <v>480</v>
      </c>
      <c r="R17" s="64">
        <f>BTU!C18</f>
        <v>12.78099999999904</v>
      </c>
      <c r="S17" s="64">
        <f>BTU!F18</f>
        <v>3.5909999999998945</v>
      </c>
      <c r="T17" s="64">
        <f>BTU!I18</f>
        <v>0</v>
      </c>
      <c r="U17" s="64">
        <f>BTU!O18</f>
        <v>2.9969999999998436</v>
      </c>
      <c r="V17" s="64">
        <f>BTU!L18</f>
        <v>0.62999999999919964</v>
      </c>
      <c r="W17" s="64">
        <f>BTU!R18</f>
        <v>2.4099999999998545</v>
      </c>
      <c r="X17" s="61">
        <f>ELECT.!B19</f>
        <v>324</v>
      </c>
    </row>
    <row r="18" spans="1:24" x14ac:dyDescent="0.2">
      <c r="A18" s="77" t="s">
        <v>59</v>
      </c>
      <c r="B18" s="82">
        <f t="shared" si="0"/>
        <v>17</v>
      </c>
      <c r="C18" s="82">
        <v>9</v>
      </c>
      <c r="D18" s="82">
        <v>2019</v>
      </c>
      <c r="E18" s="63">
        <f>Water!C20</f>
        <v>1210</v>
      </c>
      <c r="F18" s="63">
        <f>Water!E20</f>
        <v>596.70000000000005</v>
      </c>
      <c r="G18" s="63">
        <f>Water!G20</f>
        <v>548.1</v>
      </c>
      <c r="H18" s="63">
        <f>Water!I20</f>
        <v>4.617</v>
      </c>
      <c r="I18" s="63">
        <f>ELECT.!F20</f>
        <v>22107</v>
      </c>
      <c r="J18" s="63">
        <f>ELECT.!H20</f>
        <v>74921</v>
      </c>
      <c r="K18" s="63">
        <f>ELECT.!K20</f>
        <v>7645</v>
      </c>
      <c r="L18" s="63">
        <f>ELECT.!M20</f>
        <v>8007</v>
      </c>
      <c r="M18" s="63">
        <f>ELECT.!O20</f>
        <v>13856</v>
      </c>
      <c r="N18" s="63">
        <f>ELECT.!Q20</f>
        <v>18529</v>
      </c>
      <c r="O18" s="63">
        <f>ELECT.!S20</f>
        <v>14018</v>
      </c>
      <c r="P18" s="63">
        <f>ELECT.!W20*2</f>
        <v>34440</v>
      </c>
      <c r="Q18" s="63">
        <f>ELECT.!D20</f>
        <v>1920</v>
      </c>
      <c r="R18" s="64">
        <f>BTU!C19</f>
        <v>13.614999999999782</v>
      </c>
      <c r="S18" s="64">
        <f>BTU!F19</f>
        <v>3.3840000000000146</v>
      </c>
      <c r="T18" s="64">
        <f>BTU!I19</f>
        <v>0</v>
      </c>
      <c r="U18" s="64">
        <f>BTU!O19</f>
        <v>2.9780000000000655</v>
      </c>
      <c r="V18" s="64">
        <f>BTU!L19</f>
        <v>0.63000000000101863</v>
      </c>
      <c r="W18" s="64">
        <f>BTU!R19</f>
        <v>2.2899999999999636</v>
      </c>
      <c r="X18" s="61">
        <f>ELECT.!B20</f>
        <v>334</v>
      </c>
    </row>
    <row r="19" spans="1:24" x14ac:dyDescent="0.2">
      <c r="A19" s="77" t="s">
        <v>59</v>
      </c>
      <c r="B19" s="82">
        <f t="shared" si="0"/>
        <v>18</v>
      </c>
      <c r="C19" s="82">
        <v>9</v>
      </c>
      <c r="D19" s="82">
        <v>2019</v>
      </c>
      <c r="E19" s="63">
        <f>Water!C21</f>
        <v>1290</v>
      </c>
      <c r="F19" s="63">
        <f>Water!E21</f>
        <v>661.5</v>
      </c>
      <c r="G19" s="63">
        <f>Water!G21</f>
        <v>583.20000000000005</v>
      </c>
      <c r="H19" s="63">
        <f>Water!I21</f>
        <v>5.6159999999999997</v>
      </c>
      <c r="I19" s="63">
        <f>ELECT.!F21</f>
        <v>19187</v>
      </c>
      <c r="J19" s="63">
        <f>ELECT.!H21</f>
        <v>52821</v>
      </c>
      <c r="K19" s="63">
        <f>ELECT.!K21</f>
        <v>4980</v>
      </c>
      <c r="L19" s="63">
        <f>ELECT.!M21</f>
        <v>6981</v>
      </c>
      <c r="M19" s="63">
        <f>ELECT.!O21</f>
        <v>12044</v>
      </c>
      <c r="N19" s="63">
        <f>ELECT.!Q21</f>
        <v>10077</v>
      </c>
      <c r="O19" s="63">
        <f>ELECT.!S21</f>
        <v>9404</v>
      </c>
      <c r="P19" s="63">
        <f>ELECT.!W21*2</f>
        <v>22048</v>
      </c>
      <c r="Q19" s="63">
        <f>ELECT.!D21</f>
        <v>960</v>
      </c>
      <c r="R19" s="64">
        <f>BTU!C20</f>
        <v>13.23700000000099</v>
      </c>
      <c r="S19" s="64">
        <f>BTU!F20</f>
        <v>3.2469999999998436</v>
      </c>
      <c r="T19" s="64">
        <f>BTU!I20</f>
        <v>0</v>
      </c>
      <c r="U19" s="64">
        <f>BTU!O20</f>
        <v>2.8009999999999309</v>
      </c>
      <c r="V19" s="64">
        <f>BTU!L20</f>
        <v>0.60999999999876309</v>
      </c>
      <c r="W19" s="64">
        <f>BTU!R20</f>
        <v>2.5900000000001455</v>
      </c>
      <c r="X19" s="61">
        <f>ELECT.!B21</f>
        <v>353</v>
      </c>
    </row>
    <row r="20" spans="1:24" x14ac:dyDescent="0.2">
      <c r="A20" s="77" t="s">
        <v>59</v>
      </c>
      <c r="B20" s="82">
        <f t="shared" si="0"/>
        <v>19</v>
      </c>
      <c r="C20" s="82">
        <v>9</v>
      </c>
      <c r="D20" s="82">
        <v>2019</v>
      </c>
      <c r="E20" s="63">
        <f>Water!C22</f>
        <v>1090</v>
      </c>
      <c r="F20" s="63">
        <f>Water!E22</f>
        <v>572.4</v>
      </c>
      <c r="G20" s="63">
        <f>Water!G22</f>
        <v>180.9</v>
      </c>
      <c r="H20" s="63">
        <f>Water!I22</f>
        <v>0.32400000000000001</v>
      </c>
      <c r="I20" s="63">
        <f>ELECT.!F22</f>
        <v>23784</v>
      </c>
      <c r="J20" s="63">
        <f>ELECT.!H22</f>
        <v>76980</v>
      </c>
      <c r="K20" s="63">
        <f>ELECT.!K22</f>
        <v>8184</v>
      </c>
      <c r="L20" s="63">
        <f>ELECT.!M22</f>
        <v>8418</v>
      </c>
      <c r="M20" s="63">
        <f>ELECT.!O22</f>
        <v>15074</v>
      </c>
      <c r="N20" s="63">
        <f>ELECT.!Q22</f>
        <v>18212</v>
      </c>
      <c r="O20" s="63">
        <f>ELECT.!S22</f>
        <v>16287</v>
      </c>
      <c r="P20" s="63">
        <f>ELECT.!W22*2</f>
        <v>37394</v>
      </c>
      <c r="Q20" s="63">
        <f>ELECT.!D22</f>
        <v>1600</v>
      </c>
      <c r="R20" s="64">
        <f>BTU!C21</f>
        <v>13.867999999998574</v>
      </c>
      <c r="S20" s="64">
        <f>BTU!F21</f>
        <v>3.3200000000001637</v>
      </c>
      <c r="T20" s="64">
        <f>BTU!I21</f>
        <v>0</v>
      </c>
      <c r="U20" s="64">
        <f>BTU!O21</f>
        <v>2.918999999999869</v>
      </c>
      <c r="V20" s="64">
        <f>BTU!L21</f>
        <v>0.62000000000080036</v>
      </c>
      <c r="W20" s="64">
        <f>BTU!R21</f>
        <v>5.6099999999996726</v>
      </c>
      <c r="X20" s="61">
        <f>ELECT.!B22</f>
        <v>353</v>
      </c>
    </row>
    <row r="21" spans="1:24" x14ac:dyDescent="0.2">
      <c r="A21" s="77" t="s">
        <v>59</v>
      </c>
      <c r="B21" s="82">
        <f t="shared" si="0"/>
        <v>20</v>
      </c>
      <c r="C21" s="82">
        <v>9</v>
      </c>
      <c r="D21" s="82">
        <v>2019</v>
      </c>
      <c r="E21" s="63">
        <f>Water!C23</f>
        <v>860</v>
      </c>
      <c r="F21" s="63">
        <f>Water!E23</f>
        <v>502.2</v>
      </c>
      <c r="G21" s="63">
        <f>Water!G23</f>
        <v>567</v>
      </c>
      <c r="H21" s="63">
        <f>Water!I23</f>
        <v>5.67</v>
      </c>
      <c r="I21" s="63">
        <f>ELECT.!F23</f>
        <v>15214</v>
      </c>
      <c r="J21" s="63">
        <f>ELECT.!H23</f>
        <v>53463</v>
      </c>
      <c r="K21" s="63">
        <f>ELECT.!K23</f>
        <v>5217</v>
      </c>
      <c r="L21" s="63">
        <f>ELECT.!M23</f>
        <v>5125</v>
      </c>
      <c r="M21" s="63">
        <f>ELECT.!O23</f>
        <v>9962</v>
      </c>
      <c r="N21" s="63">
        <f>ELECT.!Q23</f>
        <v>11647</v>
      </c>
      <c r="O21" s="63">
        <f>ELECT.!S23</f>
        <v>10906</v>
      </c>
      <c r="P21" s="63">
        <f>ELECT.!W23*2</f>
        <v>24300</v>
      </c>
      <c r="Q21" s="63">
        <f>ELECT.!D23</f>
        <v>800</v>
      </c>
      <c r="R21" s="64">
        <f>BTU!C22</f>
        <v>14.46900000000096</v>
      </c>
      <c r="S21" s="64">
        <f>BTU!F22</f>
        <v>2.0019999999999527</v>
      </c>
      <c r="T21" s="64">
        <f>BTU!I22</f>
        <v>0</v>
      </c>
      <c r="U21" s="64">
        <f>BTU!O22</f>
        <v>2.9600000000000364</v>
      </c>
      <c r="V21" s="64">
        <f>BTU!L22</f>
        <v>0.65999999999985448</v>
      </c>
      <c r="W21" s="64">
        <f>BTU!R22</f>
        <v>2.1000000000003638</v>
      </c>
      <c r="X21" s="61">
        <f>ELECT.!B23</f>
        <v>356</v>
      </c>
    </row>
    <row r="22" spans="1:24" x14ac:dyDescent="0.2">
      <c r="A22" s="77" t="s">
        <v>59</v>
      </c>
      <c r="B22" s="82">
        <f t="shared" si="0"/>
        <v>21</v>
      </c>
      <c r="C22" s="82">
        <v>9</v>
      </c>
      <c r="D22" s="82">
        <v>2019</v>
      </c>
      <c r="E22" s="63">
        <f>Water!C24</f>
        <v>1250</v>
      </c>
      <c r="F22" s="63">
        <f>Water!E24</f>
        <v>407.7</v>
      </c>
      <c r="G22" s="63">
        <f>Water!G24</f>
        <v>596.70000000000005</v>
      </c>
      <c r="H22" s="63">
        <f>Water!I24</f>
        <v>2.9699999999999998</v>
      </c>
      <c r="I22" s="63">
        <f>ELECT.!F24</f>
        <v>15957</v>
      </c>
      <c r="J22" s="63">
        <f>ELECT.!H24</f>
        <v>57737</v>
      </c>
      <c r="K22" s="63">
        <f>ELECT.!K24</f>
        <v>6098</v>
      </c>
      <c r="L22" s="63">
        <f>ELECT.!M24</f>
        <v>5240</v>
      </c>
      <c r="M22" s="63">
        <f>ELECT.!O24</f>
        <v>10516</v>
      </c>
      <c r="N22" s="63">
        <f>ELECT.!Q24</f>
        <v>12353</v>
      </c>
      <c r="O22" s="63">
        <f>ELECT.!S24</f>
        <v>11736</v>
      </c>
      <c r="P22" s="63">
        <f>ELECT.!W24*2</f>
        <v>26034</v>
      </c>
      <c r="Q22" s="63">
        <f>ELECT.!D24</f>
        <v>960</v>
      </c>
      <c r="R22" s="64">
        <f>BTU!C23</f>
        <v>12.199000000000524</v>
      </c>
      <c r="S22" s="64">
        <f>BTU!F23</f>
        <v>1.9749999999999091</v>
      </c>
      <c r="T22" s="64">
        <f>BTU!I23</f>
        <v>0</v>
      </c>
      <c r="U22" s="64">
        <f>BTU!O23</f>
        <v>2.6990000000000691</v>
      </c>
      <c r="V22" s="64">
        <f>BTU!L23</f>
        <v>0.48999999999978172</v>
      </c>
      <c r="W22" s="64">
        <f>BTU!R23</f>
        <v>2.1599999999998545</v>
      </c>
      <c r="X22" s="61">
        <f>ELECT.!B24</f>
        <v>331</v>
      </c>
    </row>
    <row r="23" spans="1:24" x14ac:dyDescent="0.2">
      <c r="A23" s="77" t="s">
        <v>59</v>
      </c>
      <c r="B23" s="82">
        <f t="shared" si="0"/>
        <v>22</v>
      </c>
      <c r="C23" s="82">
        <v>9</v>
      </c>
      <c r="D23" s="82">
        <v>2019</v>
      </c>
      <c r="E23" s="63">
        <f>Water!C25</f>
        <v>940</v>
      </c>
      <c r="F23" s="63">
        <f>Water!E25</f>
        <v>531.9</v>
      </c>
      <c r="G23" s="63">
        <f>Water!G25</f>
        <v>677.7</v>
      </c>
      <c r="H23" s="63">
        <f>Water!I25</f>
        <v>10.692</v>
      </c>
      <c r="I23" s="63">
        <f>ELECT.!F25</f>
        <v>17727</v>
      </c>
      <c r="J23" s="63">
        <f>ELECT.!H25</f>
        <v>62547</v>
      </c>
      <c r="K23" s="63">
        <f>ELECT.!K25</f>
        <v>8466</v>
      </c>
      <c r="L23" s="63">
        <f>ELECT.!M25</f>
        <v>6125</v>
      </c>
      <c r="M23" s="63">
        <f>ELECT.!O25</f>
        <v>11366</v>
      </c>
      <c r="N23" s="63">
        <f>ELECT.!Q25</f>
        <v>13455</v>
      </c>
      <c r="O23" s="63">
        <f>ELECT.!S25</f>
        <v>12894</v>
      </c>
      <c r="P23" s="63">
        <f>ELECT.!W25*2</f>
        <v>27784</v>
      </c>
      <c r="Q23" s="63">
        <f>ELECT.!D25</f>
        <v>960</v>
      </c>
      <c r="R23" s="64">
        <f>BTU!C24</f>
        <v>13.242000000000189</v>
      </c>
      <c r="S23" s="64">
        <f>BTU!F24</f>
        <v>3.3940000000002328</v>
      </c>
      <c r="T23" s="64">
        <f>BTU!I24</f>
        <v>0</v>
      </c>
      <c r="U23" s="64">
        <f>BTU!O24</f>
        <v>2.9880000000002838</v>
      </c>
      <c r="V23" s="64">
        <f>BTU!L24</f>
        <v>0.69000000000050932</v>
      </c>
      <c r="W23" s="64">
        <f>BTU!R24</f>
        <v>1.2299999999995634</v>
      </c>
      <c r="X23" s="61">
        <f>ELECT.!B25</f>
        <v>352</v>
      </c>
    </row>
    <row r="24" spans="1:24" x14ac:dyDescent="0.2">
      <c r="A24" s="77" t="s">
        <v>59</v>
      </c>
      <c r="B24" s="82">
        <f t="shared" si="0"/>
        <v>23</v>
      </c>
      <c r="C24" s="82">
        <v>9</v>
      </c>
      <c r="D24" s="82">
        <v>2019</v>
      </c>
      <c r="E24" s="63">
        <f>Water!C26</f>
        <v>1180</v>
      </c>
      <c r="F24" s="63">
        <f>Water!E26</f>
        <v>569.70000000000005</v>
      </c>
      <c r="G24" s="63">
        <f>Water!G26</f>
        <v>588.6</v>
      </c>
      <c r="H24" s="63">
        <f>Water!I26</f>
        <v>6.7229999999999999</v>
      </c>
      <c r="I24" s="63">
        <f>ELECT.!F26</f>
        <v>12847</v>
      </c>
      <c r="J24" s="63">
        <f>ELECT.!H26</f>
        <v>45666</v>
      </c>
      <c r="K24" s="63">
        <f>ELECT.!K26</f>
        <v>2194</v>
      </c>
      <c r="L24" s="63">
        <f>ELECT.!M26</f>
        <v>6539</v>
      </c>
      <c r="M24" s="63">
        <f>ELECT.!O26</f>
        <v>8190</v>
      </c>
      <c r="N24" s="63">
        <f>ELECT.!Q26</f>
        <v>9834</v>
      </c>
      <c r="O24" s="63">
        <f>ELECT.!S26</f>
        <v>13748</v>
      </c>
      <c r="P24" s="63">
        <f>ELECT.!W26*2</f>
        <v>20558</v>
      </c>
      <c r="Q24" s="63">
        <f>ELECT.!D26</f>
        <v>1280</v>
      </c>
      <c r="R24" s="64">
        <f>BTU!C25</f>
        <v>11.475999999998749</v>
      </c>
      <c r="S24" s="64">
        <f>BTU!F25</f>
        <v>3.0099999999997635</v>
      </c>
      <c r="T24" s="64">
        <f>BTU!I25</f>
        <v>1</v>
      </c>
      <c r="U24" s="64">
        <f>BTU!O25</f>
        <v>2.8469999999997526</v>
      </c>
      <c r="V24" s="64">
        <f>BTU!L25</f>
        <v>0.5</v>
      </c>
      <c r="W24" s="64">
        <f>BTU!R25</f>
        <v>3.8400000000001455</v>
      </c>
      <c r="X24" s="61">
        <f>ELECT.!B26</f>
        <v>317</v>
      </c>
    </row>
    <row r="25" spans="1:24" x14ac:dyDescent="0.2">
      <c r="A25" s="77" t="s">
        <v>59</v>
      </c>
      <c r="B25" s="82">
        <f t="shared" si="0"/>
        <v>24</v>
      </c>
      <c r="C25" s="82">
        <v>9</v>
      </c>
      <c r="D25" s="82">
        <v>2019</v>
      </c>
      <c r="E25" s="63">
        <f>Water!C27</f>
        <v>960</v>
      </c>
      <c r="F25" s="63">
        <f>Water!E27</f>
        <v>486</v>
      </c>
      <c r="G25" s="63">
        <f>Water!G27</f>
        <v>16634.7</v>
      </c>
      <c r="H25" s="63">
        <f>Water!I27</f>
        <v>5.8049999999999997</v>
      </c>
      <c r="I25" s="63">
        <f>ELECT.!F27</f>
        <v>21201</v>
      </c>
      <c r="J25" s="63">
        <f>ELECT.!H27</f>
        <v>73463</v>
      </c>
      <c r="K25" s="63">
        <f>ELECT.!K27</f>
        <v>8575</v>
      </c>
      <c r="L25" s="63">
        <f>ELECT.!M27</f>
        <v>5897</v>
      </c>
      <c r="M25" s="63">
        <f>ELECT.!O27</f>
        <v>13090</v>
      </c>
      <c r="N25" s="63">
        <f>ELECT.!Q27</f>
        <v>15548</v>
      </c>
      <c r="O25" s="63">
        <f>ELECT.!S27</f>
        <v>10581</v>
      </c>
      <c r="P25" s="63">
        <f>ELECT.!W27*2</f>
        <v>33756</v>
      </c>
      <c r="Q25" s="63">
        <f>ELECT.!D27</f>
        <v>1120</v>
      </c>
      <c r="R25" s="64">
        <f>BTU!C26</f>
        <v>11.049999999999272</v>
      </c>
      <c r="S25" s="64">
        <f>BTU!F26</f>
        <v>3.1630000000000109</v>
      </c>
      <c r="T25" s="64">
        <f>BTU!I26</f>
        <v>0</v>
      </c>
      <c r="U25" s="64">
        <f>BTU!O26</f>
        <v>2.8290000000001783</v>
      </c>
      <c r="V25" s="64">
        <f>BTU!L26</f>
        <v>0.52999999999883585</v>
      </c>
      <c r="W25" s="64">
        <f>BTU!R26</f>
        <v>2.7200000000002547</v>
      </c>
      <c r="X25" s="61">
        <f>ELECT.!B27</f>
        <v>252</v>
      </c>
    </row>
    <row r="26" spans="1:24" x14ac:dyDescent="0.2">
      <c r="A26" s="77" t="s">
        <v>59</v>
      </c>
      <c r="B26" s="82">
        <f>B25+1</f>
        <v>25</v>
      </c>
      <c r="C26" s="82">
        <v>9</v>
      </c>
      <c r="D26" s="82">
        <v>2019</v>
      </c>
      <c r="E26" s="63">
        <f>Water!C28</f>
        <v>1100</v>
      </c>
      <c r="F26" s="63">
        <f>Water!E28</f>
        <v>585.9</v>
      </c>
      <c r="G26" s="63">
        <f>Water!G28</f>
        <v>0</v>
      </c>
      <c r="H26" s="63">
        <f>Water!I28</f>
        <v>7.4249999999999998</v>
      </c>
      <c r="I26" s="63">
        <f>ELECT.!F28</f>
        <v>15202</v>
      </c>
      <c r="J26" s="63">
        <f>ELECT.!H28</f>
        <v>52955</v>
      </c>
      <c r="K26" s="63">
        <f>ELECT.!K28</f>
        <v>5946</v>
      </c>
      <c r="L26" s="63">
        <f>ELECT.!M28</f>
        <v>5457</v>
      </c>
      <c r="M26" s="63">
        <f>ELECT.!O28</f>
        <v>9552</v>
      </c>
      <c r="N26" s="63">
        <f>ELECT.!Q28</f>
        <v>11042</v>
      </c>
      <c r="O26" s="63">
        <f>ELECT.!S28</f>
        <v>10639</v>
      </c>
      <c r="P26" s="63">
        <f>ELECT.!W28*2</f>
        <v>24322</v>
      </c>
      <c r="Q26" s="63">
        <f>ELECT.!D28</f>
        <v>480</v>
      </c>
      <c r="R26" s="64">
        <f>BTU!C27</f>
        <v>14.263000000002648</v>
      </c>
      <c r="S26" s="64">
        <f>BTU!F27</f>
        <v>3.3440000000000509</v>
      </c>
      <c r="T26" s="64">
        <f>BTU!I27</f>
        <v>0</v>
      </c>
      <c r="U26" s="64">
        <f>BTU!O27</f>
        <v>3.2429999999999382</v>
      </c>
      <c r="V26" s="64">
        <f>BTU!L27</f>
        <v>0.77000000000043656</v>
      </c>
      <c r="W26" s="64">
        <f>BTU!R27</f>
        <v>1</v>
      </c>
      <c r="X26" s="61">
        <f>ELECT.!B28</f>
        <v>278</v>
      </c>
    </row>
    <row r="27" spans="1:24" x14ac:dyDescent="0.2">
      <c r="A27" s="77" t="s">
        <v>59</v>
      </c>
      <c r="B27" s="82">
        <f t="shared" si="0"/>
        <v>26</v>
      </c>
      <c r="C27" s="82">
        <v>9</v>
      </c>
      <c r="D27" s="82">
        <v>2019</v>
      </c>
      <c r="E27" s="63">
        <f>Water!C29</f>
        <v>970</v>
      </c>
      <c r="F27" s="63">
        <f>Water!E29</f>
        <v>477.9</v>
      </c>
      <c r="G27" s="63">
        <f>Water!G29</f>
        <v>477.9</v>
      </c>
      <c r="H27" s="63">
        <f>Water!I29</f>
        <v>6.3449999999999998</v>
      </c>
      <c r="I27" s="63">
        <f>ELECT.!F29</f>
        <v>13173</v>
      </c>
      <c r="J27" s="63">
        <f>ELECT.!H29</f>
        <v>46461</v>
      </c>
      <c r="K27" s="63">
        <f>ELECT.!K29</f>
        <v>5028</v>
      </c>
      <c r="L27" s="63">
        <f>ELECT.!M29</f>
        <v>4596</v>
      </c>
      <c r="M27" s="63">
        <f>ELECT.!O29</f>
        <v>8416</v>
      </c>
      <c r="N27" s="63">
        <f>ELECT.!Q29</f>
        <v>9965</v>
      </c>
      <c r="O27" s="63">
        <f>ELECT.!S29</f>
        <v>9127</v>
      </c>
      <c r="P27" s="63">
        <f>ELECT.!W29*2</f>
        <v>21488</v>
      </c>
      <c r="Q27" s="63">
        <f>ELECT.!D29</f>
        <v>480</v>
      </c>
      <c r="R27" s="64">
        <f>BTU!C28</f>
        <v>4.7999999999992724</v>
      </c>
      <c r="S27" s="64">
        <f>BTU!F28</f>
        <v>1.5799999999999272</v>
      </c>
      <c r="T27" s="64">
        <f>BTU!I28</f>
        <v>0</v>
      </c>
      <c r="U27" s="64">
        <f>BTU!O28</f>
        <v>1.0999999999999091</v>
      </c>
      <c r="V27" s="64">
        <f>BTU!L28</f>
        <v>0.1000000000003638</v>
      </c>
      <c r="W27" s="64">
        <f>BTU!R28</f>
        <v>1.3299999999999272</v>
      </c>
      <c r="X27" s="61">
        <f>ELECT.!B29</f>
        <v>295</v>
      </c>
    </row>
    <row r="28" spans="1:24" x14ac:dyDescent="0.2">
      <c r="A28" s="77" t="s">
        <v>59</v>
      </c>
      <c r="B28" s="82">
        <f t="shared" si="0"/>
        <v>27</v>
      </c>
      <c r="C28" s="82">
        <v>9</v>
      </c>
      <c r="D28" s="82">
        <v>2019</v>
      </c>
      <c r="E28" s="63">
        <f>Water!C30</f>
        <v>1030</v>
      </c>
      <c r="F28" s="63">
        <f>Water!E30</f>
        <v>531.9</v>
      </c>
      <c r="G28" s="63">
        <f>Water!G30</f>
        <v>499.5</v>
      </c>
      <c r="H28" s="63">
        <f>Water!I30</f>
        <v>5.8049999999999997</v>
      </c>
      <c r="I28" s="63">
        <f>ELECT.!F30</f>
        <v>22237</v>
      </c>
      <c r="J28" s="63">
        <f>ELECT.!H30</f>
        <v>77904</v>
      </c>
      <c r="K28" s="63">
        <f>ELECT.!K30</f>
        <v>7642</v>
      </c>
      <c r="L28" s="63">
        <f>ELECT.!M30</f>
        <v>7317</v>
      </c>
      <c r="M28" s="63">
        <f>ELECT.!O30</f>
        <v>14646</v>
      </c>
      <c r="N28" s="63">
        <f>ELECT.!Q30</f>
        <v>17603</v>
      </c>
      <c r="O28" s="63">
        <f>ELECT.!S30</f>
        <v>15458</v>
      </c>
      <c r="P28" s="63">
        <f>ELECT.!W30*2</f>
        <v>35600</v>
      </c>
      <c r="Q28" s="63">
        <f>ELECT.!D30</f>
        <v>640</v>
      </c>
      <c r="R28" s="64">
        <f>BTU!C29</f>
        <v>14.299999999999272</v>
      </c>
      <c r="S28" s="64">
        <f>BTU!F29</f>
        <v>2.4200000000000728</v>
      </c>
      <c r="T28" s="64">
        <f>BTU!I29</f>
        <v>0</v>
      </c>
      <c r="U28" s="64">
        <f>BTU!O29</f>
        <v>3.0999999999999091</v>
      </c>
      <c r="V28" s="64">
        <f>BTU!L29</f>
        <v>0.7000000000007276</v>
      </c>
      <c r="W28" s="64">
        <f>BTU!R29</f>
        <v>2.9600000000000364</v>
      </c>
      <c r="X28" s="61">
        <f>ELECT.!B30</f>
        <v>255</v>
      </c>
    </row>
    <row r="29" spans="1:24" x14ac:dyDescent="0.2">
      <c r="A29" s="77" t="s">
        <v>59</v>
      </c>
      <c r="B29" s="82">
        <f t="shared" si="0"/>
        <v>28</v>
      </c>
      <c r="C29" s="82">
        <v>9</v>
      </c>
      <c r="D29" s="82">
        <v>2019</v>
      </c>
      <c r="E29" s="63">
        <f>Water!C31</f>
        <v>1080</v>
      </c>
      <c r="F29" s="63">
        <f>Water!E31</f>
        <v>534.6</v>
      </c>
      <c r="G29" s="63">
        <f>Water!G31</f>
        <v>483.3</v>
      </c>
      <c r="H29" s="63">
        <f>Water!I31</f>
        <v>6.399</v>
      </c>
      <c r="I29" s="63">
        <f>ELECT.!F31</f>
        <v>15296</v>
      </c>
      <c r="J29" s="63">
        <f>ELECT.!H31</f>
        <v>52240</v>
      </c>
      <c r="K29" s="63">
        <f>ELECT.!K31</f>
        <v>4894</v>
      </c>
      <c r="L29" s="63">
        <f>ELECT.!M31</f>
        <v>5526</v>
      </c>
      <c r="M29" s="63">
        <f>ELECT.!O31</f>
        <v>9638</v>
      </c>
      <c r="N29" s="63">
        <f>ELECT.!Q31</f>
        <v>11420</v>
      </c>
      <c r="O29" s="63">
        <f>ELECT.!S31</f>
        <v>1583</v>
      </c>
      <c r="P29" s="63">
        <f>ELECT.!W31*2</f>
        <v>33230</v>
      </c>
      <c r="Q29" s="63">
        <f>ELECT.!D31</f>
        <v>480</v>
      </c>
      <c r="R29" s="64">
        <f>BTU!C30</f>
        <v>14</v>
      </c>
      <c r="S29" s="64">
        <f>BTU!F30</f>
        <v>2</v>
      </c>
      <c r="T29" s="64">
        <f>BTU!I30</f>
        <v>0</v>
      </c>
      <c r="U29" s="64">
        <f>BTU!O30</f>
        <v>2.4000000000000909</v>
      </c>
      <c r="V29" s="64">
        <f>BTU!L30</f>
        <v>0.2999999999992724</v>
      </c>
      <c r="W29" s="64">
        <f>BTU!R30</f>
        <v>2.1599999999998545</v>
      </c>
      <c r="X29" s="61">
        <f>ELECT.!B31</f>
        <v>248</v>
      </c>
    </row>
    <row r="30" spans="1:24" x14ac:dyDescent="0.2">
      <c r="A30" s="77" t="s">
        <v>59</v>
      </c>
      <c r="B30" s="82">
        <f t="shared" si="0"/>
        <v>29</v>
      </c>
      <c r="C30" s="82">
        <v>9</v>
      </c>
      <c r="D30" s="82">
        <v>2019</v>
      </c>
      <c r="E30" s="63">
        <f>Water!C32</f>
        <v>1060</v>
      </c>
      <c r="F30" s="63">
        <f>Water!E32</f>
        <v>564.29999999999995</v>
      </c>
      <c r="G30" s="63">
        <f>Water!G32</f>
        <v>459</v>
      </c>
      <c r="H30" s="63">
        <f>Water!I32</f>
        <v>6.6420000000000003</v>
      </c>
      <c r="I30" s="63">
        <f>ELECT.!F32</f>
        <v>19799</v>
      </c>
      <c r="J30" s="63">
        <f>ELECT.!H32</f>
        <v>70318</v>
      </c>
      <c r="K30" s="63">
        <f>ELECT.!K32</f>
        <v>7441</v>
      </c>
      <c r="L30" s="63">
        <f>ELECT.!M32</f>
        <v>6889</v>
      </c>
      <c r="M30" s="63">
        <f>ELECT.!O32</f>
        <v>12646</v>
      </c>
      <c r="N30" s="63">
        <f>ELECT.!Q32</f>
        <v>15108</v>
      </c>
      <c r="O30" s="63">
        <f>ELECT.!S32</f>
        <v>11342</v>
      </c>
      <c r="P30" s="63">
        <f>ELECT.!W32*2</f>
        <v>35178</v>
      </c>
      <c r="Q30" s="63">
        <f>ELECT.!D32</f>
        <v>3200</v>
      </c>
      <c r="R30" s="64">
        <f>BTU!C31</f>
        <v>14.246999999999389</v>
      </c>
      <c r="S30" s="64">
        <f>BTU!F31</f>
        <v>3.2289999999998145</v>
      </c>
      <c r="T30" s="64">
        <f>BTU!I31</f>
        <v>0</v>
      </c>
      <c r="U30" s="64">
        <f>BTU!O31</f>
        <v>3.4329999999999927</v>
      </c>
      <c r="V30" s="64">
        <f>BTU!L31</f>
        <v>1.0100000000002183</v>
      </c>
      <c r="W30" s="64">
        <f>BTU!R31</f>
        <v>3.1999999999998181</v>
      </c>
      <c r="X30" s="61">
        <f>ELECT.!B32</f>
        <v>249</v>
      </c>
    </row>
    <row r="31" spans="1:24" x14ac:dyDescent="0.2">
      <c r="A31" s="77" t="s">
        <v>59</v>
      </c>
      <c r="B31" s="82">
        <f t="shared" si="0"/>
        <v>30</v>
      </c>
      <c r="C31" s="82">
        <v>9</v>
      </c>
      <c r="D31" s="82">
        <v>2019</v>
      </c>
      <c r="E31" s="63">
        <f>Water!C33</f>
        <v>980</v>
      </c>
      <c r="F31" s="63">
        <f>Water!E33</f>
        <v>499.5</v>
      </c>
      <c r="G31" s="63">
        <f>Water!G33</f>
        <v>426.6</v>
      </c>
      <c r="H31" s="63">
        <f>Water!I33</f>
        <v>5.8049999999999997</v>
      </c>
      <c r="I31" s="63">
        <f>ELECT.!F33</f>
        <v>17179</v>
      </c>
      <c r="J31" s="63">
        <f>ELECT.!H33</f>
        <v>64613</v>
      </c>
      <c r="K31" s="63">
        <f>ELECT.!K33</f>
        <v>6797</v>
      </c>
      <c r="L31" s="63">
        <f>ELECT.!M33</f>
        <v>6359</v>
      </c>
      <c r="M31" s="63">
        <f>ELECT.!O33</f>
        <v>11648</v>
      </c>
      <c r="N31" s="63">
        <f>ELECT.!Q33</f>
        <v>13666</v>
      </c>
      <c r="O31" s="63">
        <f>ELECT.!S33</f>
        <v>13241</v>
      </c>
      <c r="P31" s="63">
        <f>ELECT.!W33*2</f>
        <v>29810</v>
      </c>
      <c r="Q31" s="63">
        <f>ELECT.!D33</f>
        <v>480</v>
      </c>
      <c r="R31" s="64">
        <f>BTU!C32</f>
        <v>10.775000000001455</v>
      </c>
      <c r="S31" s="64">
        <f>BTU!F32</f>
        <v>2.6890000000003056</v>
      </c>
      <c r="T31" s="64">
        <f>BTU!I32</f>
        <v>0</v>
      </c>
      <c r="U31" s="64">
        <f>BTU!O32</f>
        <v>2.5390000000002146</v>
      </c>
      <c r="V31" s="64">
        <f>BTU!L32</f>
        <v>0.43000000000029104</v>
      </c>
      <c r="W31" s="64">
        <f>BTU!R32</f>
        <v>2.0799999999999272</v>
      </c>
      <c r="X31" s="61">
        <f>ELECT.!B33</f>
        <v>248</v>
      </c>
    </row>
    <row r="32" spans="1:24" x14ac:dyDescent="0.2">
      <c r="A32" s="77" t="s">
        <v>59</v>
      </c>
      <c r="E32" s="63">
        <f>Water!C34</f>
        <v>0</v>
      </c>
      <c r="F32" s="63">
        <f>Water!E34</f>
        <v>0</v>
      </c>
      <c r="G32" s="63">
        <f>Water!G34</f>
        <v>0</v>
      </c>
      <c r="H32" s="63">
        <f>Water!I34</f>
        <v>0</v>
      </c>
      <c r="I32" s="63">
        <f>ELECT.!F34</f>
        <v>0</v>
      </c>
      <c r="J32" s="63">
        <f>ELECT.!H34</f>
        <v>0</v>
      </c>
      <c r="K32" s="63">
        <f>ELECT.!K34</f>
        <v>0</v>
      </c>
      <c r="L32" s="63">
        <f>ELECT.!M34</f>
        <v>0</v>
      </c>
      <c r="M32" s="63">
        <f>ELECT.!O34</f>
        <v>0</v>
      </c>
      <c r="N32" s="63">
        <f>ELECT.!Q34</f>
        <v>0</v>
      </c>
      <c r="O32" s="63">
        <f>ELECT.!S34</f>
        <v>0</v>
      </c>
      <c r="P32" s="63">
        <f>ELECT.!W34*2</f>
        <v>0</v>
      </c>
      <c r="Q32" s="63">
        <f>ELECT.!D34</f>
        <v>0</v>
      </c>
      <c r="R32" s="64">
        <f>BTU!C33</f>
        <v>0</v>
      </c>
      <c r="S32" s="64">
        <f>BTU!F33</f>
        <v>0</v>
      </c>
      <c r="T32" s="64">
        <f>BTU!I33</f>
        <v>0</v>
      </c>
      <c r="U32" s="64">
        <f>BTU!O33</f>
        <v>0</v>
      </c>
      <c r="V32" s="64">
        <f>BTU!L33</f>
        <v>0</v>
      </c>
      <c r="W32" s="64">
        <f>BTU!R33</f>
        <v>0</v>
      </c>
      <c r="X32" s="61">
        <f>ELECT.!B34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9"/>
  <sheetViews>
    <sheetView zoomScaleNormal="100" workbookViewId="0">
      <selection activeCell="B3" sqref="B3:R3"/>
    </sheetView>
  </sheetViews>
  <sheetFormatPr defaultRowHeight="12.75" x14ac:dyDescent="0.2"/>
  <cols>
    <col min="1" max="1" width="16.5703125" style="19" bestFit="1" customWidth="1"/>
    <col min="2" max="2" width="10.5703125" style="22" bestFit="1" customWidth="1"/>
    <col min="3" max="3" width="11.42578125" style="23" bestFit="1" customWidth="1"/>
    <col min="4" max="4" width="10.85546875" style="22" bestFit="1" customWidth="1"/>
    <col min="5" max="5" width="11.42578125" style="23" bestFit="1" customWidth="1"/>
    <col min="6" max="6" width="8.7109375" style="22" customWidth="1"/>
    <col min="7" max="7" width="9.7109375" style="23" bestFit="1" customWidth="1"/>
    <col min="8" max="8" width="10" style="22" bestFit="1" customWidth="1"/>
    <col min="9" max="9" width="9.7109375" style="23" bestFit="1" customWidth="1"/>
    <col min="10" max="10" width="9.28515625" style="22" bestFit="1" customWidth="1"/>
    <col min="11" max="11" width="9.7109375" style="23" bestFit="1" customWidth="1"/>
    <col min="12" max="12" width="8.7109375" style="22" bestFit="1" customWidth="1"/>
    <col min="13" max="13" width="14.140625" style="23" bestFit="1" customWidth="1"/>
    <col min="14" max="14" width="11.42578125" style="57" customWidth="1"/>
    <col min="15" max="15" width="11.42578125" style="23" customWidth="1"/>
    <col min="16" max="16" width="10" style="22" bestFit="1" customWidth="1"/>
    <col min="17" max="17" width="9.7109375" style="23" bestFit="1" customWidth="1"/>
    <col min="18" max="18" width="8.7109375" style="22" customWidth="1"/>
    <col min="19" max="19" width="8.42578125" style="23" bestFit="1" customWidth="1"/>
  </cols>
  <sheetData>
    <row r="1" spans="1:24" ht="13.5" thickBot="1" x14ac:dyDescent="0.25">
      <c r="A1" s="167" t="s">
        <v>142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</row>
    <row r="2" spans="1:24" s="16" customFormat="1" ht="15.75" thickBot="1" x14ac:dyDescent="0.25">
      <c r="A2" s="13" t="s">
        <v>0</v>
      </c>
      <c r="B2" s="1" t="s">
        <v>14</v>
      </c>
      <c r="C2" s="14" t="s">
        <v>15</v>
      </c>
      <c r="D2" s="1" t="s">
        <v>16</v>
      </c>
      <c r="E2" s="14" t="s">
        <v>17</v>
      </c>
      <c r="F2" s="1" t="s">
        <v>18</v>
      </c>
      <c r="G2" s="14" t="s">
        <v>17</v>
      </c>
      <c r="H2" s="1" t="s">
        <v>19</v>
      </c>
      <c r="I2" s="14" t="s">
        <v>17</v>
      </c>
      <c r="J2" s="1" t="s">
        <v>20</v>
      </c>
      <c r="K2" s="14" t="s">
        <v>17</v>
      </c>
      <c r="L2" s="1" t="s">
        <v>21</v>
      </c>
      <c r="M2" s="14" t="s">
        <v>17</v>
      </c>
      <c r="N2" s="58" t="s">
        <v>50</v>
      </c>
      <c r="O2" s="14" t="s">
        <v>17</v>
      </c>
      <c r="P2" s="1" t="s">
        <v>22</v>
      </c>
      <c r="Q2" s="14" t="s">
        <v>17</v>
      </c>
      <c r="R2" s="1" t="s">
        <v>23</v>
      </c>
      <c r="S2" s="15" t="s">
        <v>17</v>
      </c>
    </row>
    <row r="3" spans="1:24" ht="13.5" thickBot="1" x14ac:dyDescent="0.25">
      <c r="A3" s="10" t="s">
        <v>24</v>
      </c>
      <c r="B3" s="1">
        <v>42547</v>
      </c>
      <c r="C3" s="17">
        <v>360</v>
      </c>
      <c r="D3" s="1">
        <v>37843</v>
      </c>
      <c r="E3" s="17">
        <v>320</v>
      </c>
      <c r="F3" s="1">
        <v>18177</v>
      </c>
      <c r="G3" s="17">
        <v>80</v>
      </c>
      <c r="H3" s="1">
        <v>219364</v>
      </c>
      <c r="I3" s="17">
        <v>4</v>
      </c>
      <c r="J3" s="1">
        <v>303517</v>
      </c>
      <c r="K3" s="17">
        <v>0</v>
      </c>
      <c r="L3" s="1">
        <v>22637</v>
      </c>
      <c r="M3" s="17">
        <v>320</v>
      </c>
      <c r="N3" s="58">
        <v>168532</v>
      </c>
      <c r="O3" s="17">
        <v>2</v>
      </c>
      <c r="P3" s="1">
        <v>9997</v>
      </c>
      <c r="Q3" s="17">
        <v>24</v>
      </c>
      <c r="R3" s="1">
        <v>55047</v>
      </c>
      <c r="S3" s="17"/>
    </row>
    <row r="4" spans="1:24" ht="13.5" thickBot="1" x14ac:dyDescent="0.25">
      <c r="A4" s="10">
        <v>43709</v>
      </c>
      <c r="B4" s="1">
        <v>42549</v>
      </c>
      <c r="C4" s="17">
        <f t="shared" ref="C4:C33" si="0">(B4-B3)*600/5</f>
        <v>240</v>
      </c>
      <c r="D4" s="1">
        <v>37845</v>
      </c>
      <c r="E4" s="17">
        <f>(D4-D3)*800/5</f>
        <v>320</v>
      </c>
      <c r="F4" s="1">
        <v>18180</v>
      </c>
      <c r="G4" s="17">
        <f>(F4-F3)*100/5</f>
        <v>60</v>
      </c>
      <c r="H4" s="1">
        <v>219366</v>
      </c>
      <c r="I4" s="17">
        <f>H4-H3</f>
        <v>2</v>
      </c>
      <c r="J4" s="1">
        <v>303517</v>
      </c>
      <c r="K4" s="17">
        <f t="shared" ref="K4:K33" si="1">J4-J3</f>
        <v>0</v>
      </c>
      <c r="L4" s="1">
        <v>22639</v>
      </c>
      <c r="M4" s="17">
        <f>(L4-L3)*800/5</f>
        <v>320</v>
      </c>
      <c r="N4" s="58">
        <v>168534</v>
      </c>
      <c r="O4" s="17">
        <f>N4-N3</f>
        <v>2</v>
      </c>
      <c r="P4" s="1">
        <v>9999</v>
      </c>
      <c r="Q4" s="17">
        <f t="shared" ref="Q4:Q33" si="2">P4-P3</f>
        <v>2</v>
      </c>
      <c r="R4" s="1">
        <v>55047</v>
      </c>
      <c r="S4" s="17">
        <f>R4-R3</f>
        <v>0</v>
      </c>
    </row>
    <row r="5" spans="1:24" ht="13.5" thickBot="1" x14ac:dyDescent="0.25">
      <c r="A5" s="10">
        <v>43710</v>
      </c>
      <c r="B5" s="1">
        <v>42561</v>
      </c>
      <c r="C5" s="17">
        <f t="shared" si="0"/>
        <v>1440</v>
      </c>
      <c r="D5" s="1">
        <v>37850</v>
      </c>
      <c r="E5" s="17">
        <f t="shared" ref="E5:E33" si="3">(D5-D4)*800/5</f>
        <v>800</v>
      </c>
      <c r="F5" s="1">
        <v>18185</v>
      </c>
      <c r="G5" s="17">
        <f t="shared" ref="G5:G33" si="4">(F5-F4)*100/5</f>
        <v>100</v>
      </c>
      <c r="H5" s="1">
        <v>219367</v>
      </c>
      <c r="I5" s="17">
        <f t="shared" ref="I5:I33" si="5">H5-H4</f>
        <v>1</v>
      </c>
      <c r="J5" s="1">
        <v>303517</v>
      </c>
      <c r="K5" s="17">
        <f t="shared" si="1"/>
        <v>0</v>
      </c>
      <c r="L5" s="1">
        <v>22647</v>
      </c>
      <c r="M5" s="17">
        <f t="shared" ref="M5:M33" si="6">(L5-L4)*800/5</f>
        <v>1280</v>
      </c>
      <c r="N5" s="58">
        <v>168540</v>
      </c>
      <c r="O5" s="17">
        <f t="shared" ref="O5:O33" si="7">N5-N4</f>
        <v>6</v>
      </c>
      <c r="P5" s="1">
        <v>10818</v>
      </c>
      <c r="Q5" s="17">
        <f t="shared" si="2"/>
        <v>819</v>
      </c>
      <c r="R5" s="1">
        <v>55047</v>
      </c>
      <c r="S5" s="17">
        <f t="shared" ref="S5:S33" si="8">R5-R4</f>
        <v>0</v>
      </c>
    </row>
    <row r="6" spans="1:24" ht="13.5" thickBot="1" x14ac:dyDescent="0.25">
      <c r="A6" s="10">
        <v>43711</v>
      </c>
      <c r="B6" s="1">
        <v>42567</v>
      </c>
      <c r="C6" s="17">
        <f t="shared" si="0"/>
        <v>720</v>
      </c>
      <c r="D6" s="1">
        <v>37854</v>
      </c>
      <c r="E6" s="17">
        <f t="shared" si="3"/>
        <v>640</v>
      </c>
      <c r="F6" s="1">
        <v>18189</v>
      </c>
      <c r="G6" s="17">
        <f t="shared" si="4"/>
        <v>80</v>
      </c>
      <c r="H6" s="1">
        <v>219401</v>
      </c>
      <c r="I6" s="17">
        <f t="shared" si="5"/>
        <v>34</v>
      </c>
      <c r="J6" s="1">
        <v>303517</v>
      </c>
      <c r="K6" s="17">
        <f t="shared" si="1"/>
        <v>0</v>
      </c>
      <c r="L6" s="1">
        <v>22652</v>
      </c>
      <c r="M6" s="17">
        <f t="shared" si="6"/>
        <v>800</v>
      </c>
      <c r="N6" s="58">
        <v>168543</v>
      </c>
      <c r="O6" s="17">
        <f t="shared" si="7"/>
        <v>3</v>
      </c>
      <c r="P6" s="1">
        <v>11023</v>
      </c>
      <c r="Q6" s="17">
        <f t="shared" si="2"/>
        <v>205</v>
      </c>
      <c r="R6" s="1">
        <v>55047</v>
      </c>
      <c r="S6" s="17">
        <f t="shared" si="8"/>
        <v>0</v>
      </c>
    </row>
    <row r="7" spans="1:24" ht="13.5" thickBot="1" x14ac:dyDescent="0.25">
      <c r="A7" s="10">
        <v>43712</v>
      </c>
      <c r="B7" s="1">
        <v>42572</v>
      </c>
      <c r="C7" s="17">
        <f t="shared" si="0"/>
        <v>600</v>
      </c>
      <c r="D7" s="1">
        <v>37857</v>
      </c>
      <c r="E7" s="17">
        <f t="shared" si="3"/>
        <v>480</v>
      </c>
      <c r="F7" s="1">
        <v>18193</v>
      </c>
      <c r="G7" s="17">
        <f t="shared" si="4"/>
        <v>80</v>
      </c>
      <c r="H7" s="1">
        <v>219429</v>
      </c>
      <c r="I7" s="17">
        <f t="shared" si="5"/>
        <v>28</v>
      </c>
      <c r="J7" s="1">
        <v>303517</v>
      </c>
      <c r="K7" s="17">
        <f t="shared" si="1"/>
        <v>0</v>
      </c>
      <c r="L7" s="1">
        <v>22655</v>
      </c>
      <c r="M7" s="17">
        <f t="shared" si="6"/>
        <v>480</v>
      </c>
      <c r="N7" s="58">
        <v>168546</v>
      </c>
      <c r="O7" s="17">
        <f t="shared" si="7"/>
        <v>3</v>
      </c>
      <c r="P7" s="1">
        <v>11199</v>
      </c>
      <c r="Q7" s="17">
        <f t="shared" si="2"/>
        <v>176</v>
      </c>
      <c r="R7" s="1">
        <v>55047</v>
      </c>
      <c r="S7" s="17">
        <f t="shared" si="8"/>
        <v>0</v>
      </c>
    </row>
    <row r="8" spans="1:24" ht="13.5" thickBot="1" x14ac:dyDescent="0.25">
      <c r="A8" s="10">
        <v>43713</v>
      </c>
      <c r="B8" s="1">
        <v>42578</v>
      </c>
      <c r="C8" s="17">
        <f t="shared" si="0"/>
        <v>720</v>
      </c>
      <c r="D8" s="1">
        <v>37860</v>
      </c>
      <c r="E8" s="17">
        <f t="shared" si="3"/>
        <v>480</v>
      </c>
      <c r="F8" s="1">
        <v>18197</v>
      </c>
      <c r="G8" s="17">
        <f t="shared" si="4"/>
        <v>80</v>
      </c>
      <c r="H8" s="1">
        <v>219461</v>
      </c>
      <c r="I8" s="17">
        <f t="shared" si="5"/>
        <v>32</v>
      </c>
      <c r="J8" s="1">
        <v>303517</v>
      </c>
      <c r="K8" s="17">
        <f t="shared" si="1"/>
        <v>0</v>
      </c>
      <c r="L8" s="1">
        <v>22659</v>
      </c>
      <c r="M8" s="17">
        <f t="shared" si="6"/>
        <v>640</v>
      </c>
      <c r="N8" s="58">
        <v>168549</v>
      </c>
      <c r="O8" s="17">
        <f t="shared" si="7"/>
        <v>3</v>
      </c>
      <c r="P8" s="1">
        <v>11378</v>
      </c>
      <c r="Q8" s="17">
        <f t="shared" si="2"/>
        <v>179</v>
      </c>
      <c r="R8" s="1">
        <v>55047</v>
      </c>
      <c r="S8" s="17">
        <f t="shared" si="8"/>
        <v>0</v>
      </c>
    </row>
    <row r="9" spans="1:24" ht="13.5" thickBot="1" x14ac:dyDescent="0.25">
      <c r="A9" s="10">
        <v>43714</v>
      </c>
      <c r="B9" s="1">
        <v>42583</v>
      </c>
      <c r="C9" s="17">
        <f t="shared" si="0"/>
        <v>600</v>
      </c>
      <c r="D9" s="1">
        <v>37865</v>
      </c>
      <c r="E9" s="17">
        <f t="shared" si="3"/>
        <v>800</v>
      </c>
      <c r="F9" s="1">
        <v>18200</v>
      </c>
      <c r="G9" s="17">
        <f t="shared" si="4"/>
        <v>60</v>
      </c>
      <c r="H9" s="1">
        <v>219489</v>
      </c>
      <c r="I9" s="17">
        <f t="shared" si="5"/>
        <v>28</v>
      </c>
      <c r="J9" s="1">
        <v>303517</v>
      </c>
      <c r="K9" s="17">
        <f t="shared" si="1"/>
        <v>0</v>
      </c>
      <c r="L9" s="1">
        <v>22661</v>
      </c>
      <c r="M9" s="17">
        <f t="shared" si="6"/>
        <v>320</v>
      </c>
      <c r="N9" s="58">
        <v>168552</v>
      </c>
      <c r="O9" s="17">
        <f t="shared" si="7"/>
        <v>3</v>
      </c>
      <c r="P9" s="1">
        <v>11482</v>
      </c>
      <c r="Q9" s="17">
        <f t="shared" si="2"/>
        <v>104</v>
      </c>
      <c r="R9" s="1">
        <v>55047</v>
      </c>
      <c r="S9" s="17">
        <f t="shared" si="8"/>
        <v>0</v>
      </c>
    </row>
    <row r="10" spans="1:24" ht="13.5" thickBot="1" x14ac:dyDescent="0.25">
      <c r="A10" s="10">
        <v>43715</v>
      </c>
      <c r="B10" s="1">
        <v>42589</v>
      </c>
      <c r="C10" s="17">
        <f t="shared" si="0"/>
        <v>720</v>
      </c>
      <c r="D10" s="1">
        <v>37867</v>
      </c>
      <c r="E10" s="17">
        <f t="shared" si="3"/>
        <v>320</v>
      </c>
      <c r="F10" s="1">
        <v>18204</v>
      </c>
      <c r="G10" s="17">
        <f t="shared" si="4"/>
        <v>80</v>
      </c>
      <c r="H10" s="1">
        <v>219523</v>
      </c>
      <c r="I10" s="17">
        <f t="shared" si="5"/>
        <v>34</v>
      </c>
      <c r="J10" s="1">
        <v>303517</v>
      </c>
      <c r="K10" s="17">
        <f t="shared" si="1"/>
        <v>0</v>
      </c>
      <c r="L10" s="1">
        <v>22665</v>
      </c>
      <c r="M10" s="17">
        <f t="shared" si="6"/>
        <v>640</v>
      </c>
      <c r="N10" s="58">
        <v>168555</v>
      </c>
      <c r="O10" s="17">
        <f t="shared" si="7"/>
        <v>3</v>
      </c>
      <c r="P10" s="1">
        <v>11646</v>
      </c>
      <c r="Q10" s="17">
        <f>P10-P9</f>
        <v>164</v>
      </c>
      <c r="R10" s="1">
        <v>55047</v>
      </c>
      <c r="S10" s="17">
        <f>R10-R9</f>
        <v>0</v>
      </c>
    </row>
    <row r="11" spans="1:24" ht="13.5" thickBot="1" x14ac:dyDescent="0.25">
      <c r="A11" s="10">
        <v>43716</v>
      </c>
      <c r="B11" s="1">
        <v>42595</v>
      </c>
      <c r="C11" s="17">
        <f t="shared" si="0"/>
        <v>720</v>
      </c>
      <c r="D11" s="1">
        <v>37870</v>
      </c>
      <c r="E11" s="17">
        <f t="shared" si="3"/>
        <v>480</v>
      </c>
      <c r="F11" s="1">
        <v>18209</v>
      </c>
      <c r="G11" s="17">
        <f t="shared" si="4"/>
        <v>100</v>
      </c>
      <c r="H11" s="1">
        <v>219594</v>
      </c>
      <c r="I11" s="17">
        <f t="shared" si="5"/>
        <v>71</v>
      </c>
      <c r="J11" s="1">
        <v>303517</v>
      </c>
      <c r="K11" s="17">
        <f t="shared" si="1"/>
        <v>0</v>
      </c>
      <c r="L11" s="1">
        <v>22669</v>
      </c>
      <c r="M11" s="17">
        <f t="shared" si="6"/>
        <v>640</v>
      </c>
      <c r="N11" s="58">
        <v>168559</v>
      </c>
      <c r="O11" s="17">
        <f t="shared" si="7"/>
        <v>4</v>
      </c>
      <c r="P11" s="1">
        <v>11684</v>
      </c>
      <c r="Q11" s="17">
        <f>P11-P10</f>
        <v>38</v>
      </c>
      <c r="R11" s="1">
        <v>55047</v>
      </c>
      <c r="S11" s="17">
        <f>R11-R10</f>
        <v>0</v>
      </c>
    </row>
    <row r="12" spans="1:24" ht="13.5" thickBot="1" x14ac:dyDescent="0.25">
      <c r="A12" s="10">
        <v>43717</v>
      </c>
      <c r="B12" s="1">
        <v>42601</v>
      </c>
      <c r="C12" s="17">
        <f t="shared" si="0"/>
        <v>720</v>
      </c>
      <c r="D12" s="1">
        <v>37874</v>
      </c>
      <c r="E12" s="17">
        <f t="shared" si="3"/>
        <v>640</v>
      </c>
      <c r="F12" s="1">
        <v>18213</v>
      </c>
      <c r="G12" s="17">
        <f>(F12-F11)*100/5</f>
        <v>80</v>
      </c>
      <c r="H12" s="1">
        <v>219617</v>
      </c>
      <c r="I12" s="17">
        <f t="shared" si="5"/>
        <v>23</v>
      </c>
      <c r="J12" s="1">
        <v>303517</v>
      </c>
      <c r="K12" s="17">
        <f t="shared" si="1"/>
        <v>0</v>
      </c>
      <c r="L12" s="1">
        <v>22674</v>
      </c>
      <c r="M12" s="17">
        <f t="shared" si="6"/>
        <v>800</v>
      </c>
      <c r="N12" s="58">
        <v>168562</v>
      </c>
      <c r="O12" s="17">
        <f t="shared" si="7"/>
        <v>3</v>
      </c>
      <c r="P12" s="1">
        <v>11692</v>
      </c>
      <c r="Q12" s="17">
        <f t="shared" si="2"/>
        <v>8</v>
      </c>
      <c r="R12" s="1">
        <v>55047</v>
      </c>
      <c r="S12" s="17">
        <f t="shared" si="8"/>
        <v>0</v>
      </c>
    </row>
    <row r="13" spans="1:24" ht="13.5" thickBot="1" x14ac:dyDescent="0.25">
      <c r="A13" s="10">
        <v>43718</v>
      </c>
      <c r="B13" s="1">
        <v>42607</v>
      </c>
      <c r="C13" s="17">
        <f t="shared" si="0"/>
        <v>720</v>
      </c>
      <c r="D13" s="1">
        <v>37877</v>
      </c>
      <c r="E13" s="17">
        <f t="shared" si="3"/>
        <v>480</v>
      </c>
      <c r="F13" s="1">
        <v>18218</v>
      </c>
      <c r="G13" s="17">
        <f t="shared" si="4"/>
        <v>100</v>
      </c>
      <c r="H13" s="1">
        <v>219651</v>
      </c>
      <c r="I13" s="17">
        <f t="shared" si="5"/>
        <v>34</v>
      </c>
      <c r="J13" s="1">
        <v>303517</v>
      </c>
      <c r="K13" s="17">
        <f t="shared" si="1"/>
        <v>0</v>
      </c>
      <c r="L13" s="1">
        <v>22678</v>
      </c>
      <c r="M13" s="17">
        <f t="shared" si="6"/>
        <v>640</v>
      </c>
      <c r="N13" s="58">
        <v>168565</v>
      </c>
      <c r="O13" s="17">
        <f t="shared" si="7"/>
        <v>3</v>
      </c>
      <c r="P13" s="1">
        <v>11720</v>
      </c>
      <c r="Q13" s="17">
        <f t="shared" si="2"/>
        <v>28</v>
      </c>
      <c r="R13" s="1">
        <v>55047</v>
      </c>
      <c r="S13" s="17">
        <f t="shared" si="8"/>
        <v>0</v>
      </c>
    </row>
    <row r="14" spans="1:24" ht="13.5" thickBot="1" x14ac:dyDescent="0.25">
      <c r="A14" s="10">
        <v>43719</v>
      </c>
      <c r="B14" s="1">
        <v>42613</v>
      </c>
      <c r="C14" s="17">
        <f t="shared" si="0"/>
        <v>720</v>
      </c>
      <c r="D14" s="1">
        <v>37881</v>
      </c>
      <c r="E14" s="17">
        <f t="shared" si="3"/>
        <v>640</v>
      </c>
      <c r="F14" s="1">
        <v>18221</v>
      </c>
      <c r="G14" s="17">
        <f t="shared" si="4"/>
        <v>60</v>
      </c>
      <c r="H14" s="1">
        <v>219687</v>
      </c>
      <c r="I14" s="17">
        <f t="shared" si="5"/>
        <v>36</v>
      </c>
      <c r="J14" s="1">
        <v>303517</v>
      </c>
      <c r="K14" s="17">
        <f t="shared" si="1"/>
        <v>0</v>
      </c>
      <c r="L14" s="1">
        <v>22682</v>
      </c>
      <c r="M14" s="17">
        <f t="shared" si="6"/>
        <v>640</v>
      </c>
      <c r="N14" s="58">
        <v>168569</v>
      </c>
      <c r="O14" s="17">
        <f t="shared" si="7"/>
        <v>4</v>
      </c>
      <c r="P14" s="1">
        <v>12349</v>
      </c>
      <c r="Q14" s="17">
        <f t="shared" si="2"/>
        <v>629</v>
      </c>
      <c r="R14" s="1">
        <v>55047</v>
      </c>
      <c r="S14" s="17">
        <f t="shared" si="8"/>
        <v>0</v>
      </c>
    </row>
    <row r="15" spans="1:24" ht="13.5" thickBot="1" x14ac:dyDescent="0.25">
      <c r="A15" s="10">
        <v>43720</v>
      </c>
      <c r="B15" s="1">
        <v>42619</v>
      </c>
      <c r="C15" s="17">
        <f t="shared" si="0"/>
        <v>720</v>
      </c>
      <c r="D15" s="1">
        <v>37884</v>
      </c>
      <c r="E15" s="17">
        <f t="shared" si="3"/>
        <v>480</v>
      </c>
      <c r="F15" s="1">
        <v>18227</v>
      </c>
      <c r="G15" s="17">
        <f t="shared" si="4"/>
        <v>120</v>
      </c>
      <c r="H15" s="1">
        <v>219713</v>
      </c>
      <c r="I15" s="17">
        <f t="shared" si="5"/>
        <v>26</v>
      </c>
      <c r="J15" s="1">
        <v>303517</v>
      </c>
      <c r="K15" s="17">
        <f t="shared" si="1"/>
        <v>0</v>
      </c>
      <c r="L15" s="1">
        <v>22686</v>
      </c>
      <c r="M15" s="17">
        <f t="shared" si="6"/>
        <v>640</v>
      </c>
      <c r="N15" s="58">
        <v>168572</v>
      </c>
      <c r="O15" s="17">
        <f t="shared" si="7"/>
        <v>3</v>
      </c>
      <c r="P15" s="1">
        <v>12444</v>
      </c>
      <c r="Q15" s="17">
        <f t="shared" si="2"/>
        <v>95</v>
      </c>
      <c r="R15" s="1">
        <v>55047</v>
      </c>
      <c r="S15" s="17">
        <f t="shared" si="8"/>
        <v>0</v>
      </c>
    </row>
    <row r="16" spans="1:24" ht="13.5" thickBot="1" x14ac:dyDescent="0.25">
      <c r="A16" s="10">
        <v>43721</v>
      </c>
      <c r="B16" s="1">
        <v>42624</v>
      </c>
      <c r="C16" s="17">
        <f t="shared" si="0"/>
        <v>600</v>
      </c>
      <c r="D16" s="1">
        <v>37887</v>
      </c>
      <c r="E16" s="17">
        <f t="shared" si="3"/>
        <v>480</v>
      </c>
      <c r="F16" s="1">
        <v>18233</v>
      </c>
      <c r="G16" s="17">
        <f t="shared" si="4"/>
        <v>120</v>
      </c>
      <c r="H16" s="1">
        <v>219735</v>
      </c>
      <c r="I16" s="17">
        <f t="shared" si="5"/>
        <v>22</v>
      </c>
      <c r="J16" s="1">
        <v>303517</v>
      </c>
      <c r="K16" s="17">
        <f t="shared" si="1"/>
        <v>0</v>
      </c>
      <c r="L16" s="1">
        <v>22690</v>
      </c>
      <c r="M16" s="17">
        <f t="shared" si="6"/>
        <v>640</v>
      </c>
      <c r="N16" s="58">
        <v>168575</v>
      </c>
      <c r="O16" s="17">
        <f t="shared" si="7"/>
        <v>3</v>
      </c>
      <c r="P16" s="1">
        <v>12637</v>
      </c>
      <c r="Q16" s="17">
        <f t="shared" si="2"/>
        <v>193</v>
      </c>
      <c r="R16" s="1">
        <v>55047</v>
      </c>
      <c r="S16" s="17">
        <f t="shared" si="8"/>
        <v>0</v>
      </c>
      <c r="X16" t="s">
        <v>13</v>
      </c>
    </row>
    <row r="17" spans="1:23" ht="13.5" thickBot="1" x14ac:dyDescent="0.25">
      <c r="A17" s="10">
        <v>43722</v>
      </c>
      <c r="B17" s="1">
        <v>42631</v>
      </c>
      <c r="C17" s="17">
        <f t="shared" si="0"/>
        <v>840</v>
      </c>
      <c r="D17" s="1">
        <v>37891</v>
      </c>
      <c r="E17" s="17">
        <f t="shared" si="3"/>
        <v>640</v>
      </c>
      <c r="F17" s="1">
        <v>18235</v>
      </c>
      <c r="G17" s="17">
        <f t="shared" si="4"/>
        <v>40</v>
      </c>
      <c r="H17" s="1">
        <v>219821</v>
      </c>
      <c r="I17" s="17">
        <f t="shared" si="5"/>
        <v>86</v>
      </c>
      <c r="J17" s="1">
        <v>303517</v>
      </c>
      <c r="K17" s="17">
        <f t="shared" si="1"/>
        <v>0</v>
      </c>
      <c r="L17" s="1">
        <v>22693</v>
      </c>
      <c r="M17" s="17">
        <f t="shared" si="6"/>
        <v>480</v>
      </c>
      <c r="N17" s="58">
        <v>168579</v>
      </c>
      <c r="O17" s="17">
        <f t="shared" si="7"/>
        <v>4</v>
      </c>
      <c r="P17" s="1">
        <v>12827</v>
      </c>
      <c r="Q17" s="17">
        <f t="shared" si="2"/>
        <v>190</v>
      </c>
      <c r="R17" s="1">
        <v>55047</v>
      </c>
      <c r="S17" s="17">
        <f t="shared" si="8"/>
        <v>0</v>
      </c>
      <c r="W17" t="s">
        <v>13</v>
      </c>
    </row>
    <row r="18" spans="1:23" ht="13.5" thickBot="1" x14ac:dyDescent="0.25">
      <c r="A18" s="10">
        <v>43723</v>
      </c>
      <c r="B18" s="1">
        <v>42636</v>
      </c>
      <c r="C18" s="17">
        <f t="shared" si="0"/>
        <v>600</v>
      </c>
      <c r="D18" s="1">
        <v>37895</v>
      </c>
      <c r="E18" s="17">
        <f t="shared" si="3"/>
        <v>640</v>
      </c>
      <c r="F18" s="1">
        <v>18239</v>
      </c>
      <c r="G18" s="17">
        <f t="shared" si="4"/>
        <v>80</v>
      </c>
      <c r="H18" s="1">
        <v>219890</v>
      </c>
      <c r="I18" s="17">
        <f t="shared" si="5"/>
        <v>69</v>
      </c>
      <c r="J18" s="1">
        <v>303517</v>
      </c>
      <c r="K18" s="17">
        <f t="shared" si="1"/>
        <v>0</v>
      </c>
      <c r="L18" s="1">
        <v>22697</v>
      </c>
      <c r="M18" s="17">
        <f t="shared" si="6"/>
        <v>640</v>
      </c>
      <c r="N18" s="58">
        <v>168582</v>
      </c>
      <c r="O18" s="17">
        <f t="shared" si="7"/>
        <v>3</v>
      </c>
      <c r="P18" s="1">
        <v>13013</v>
      </c>
      <c r="Q18" s="17">
        <f t="shared" si="2"/>
        <v>186</v>
      </c>
      <c r="R18" s="1">
        <v>55047</v>
      </c>
      <c r="S18" s="17">
        <f t="shared" si="8"/>
        <v>0</v>
      </c>
    </row>
    <row r="19" spans="1:23" ht="13.5" thickBot="1" x14ac:dyDescent="0.25">
      <c r="A19" s="10">
        <v>43724</v>
      </c>
      <c r="B19" s="1">
        <v>42639</v>
      </c>
      <c r="C19" s="17">
        <f t="shared" si="0"/>
        <v>360</v>
      </c>
      <c r="D19" s="1">
        <v>37898</v>
      </c>
      <c r="E19" s="17">
        <f t="shared" si="3"/>
        <v>480</v>
      </c>
      <c r="F19" s="1">
        <v>18241</v>
      </c>
      <c r="G19" s="17">
        <f t="shared" si="4"/>
        <v>40</v>
      </c>
      <c r="H19" s="1">
        <v>219893</v>
      </c>
      <c r="I19" s="17">
        <f t="shared" si="5"/>
        <v>3</v>
      </c>
      <c r="J19" s="1">
        <v>303517</v>
      </c>
      <c r="K19" s="17">
        <f t="shared" si="1"/>
        <v>0</v>
      </c>
      <c r="L19" s="1">
        <v>22698</v>
      </c>
      <c r="M19" s="17">
        <f t="shared" si="6"/>
        <v>160</v>
      </c>
      <c r="N19" s="58">
        <v>168585</v>
      </c>
      <c r="O19" s="17">
        <f t="shared" si="7"/>
        <v>3</v>
      </c>
      <c r="P19" s="1">
        <v>13154</v>
      </c>
      <c r="Q19" s="17">
        <f t="shared" si="2"/>
        <v>141</v>
      </c>
      <c r="R19" s="1">
        <v>55047</v>
      </c>
      <c r="S19" s="17">
        <f t="shared" si="8"/>
        <v>0</v>
      </c>
      <c r="U19" t="s">
        <v>13</v>
      </c>
    </row>
    <row r="20" spans="1:23" ht="13.5" thickBot="1" x14ac:dyDescent="0.25">
      <c r="A20" s="10">
        <v>43725</v>
      </c>
      <c r="B20" s="1">
        <v>42647</v>
      </c>
      <c r="C20" s="17">
        <f t="shared" si="0"/>
        <v>960</v>
      </c>
      <c r="D20" s="1">
        <v>37901</v>
      </c>
      <c r="E20" s="17">
        <f t="shared" si="3"/>
        <v>480</v>
      </c>
      <c r="F20" s="1">
        <v>18247</v>
      </c>
      <c r="G20" s="17">
        <f t="shared" si="4"/>
        <v>120</v>
      </c>
      <c r="H20" s="1">
        <v>219899</v>
      </c>
      <c r="I20" s="17">
        <f t="shared" si="5"/>
        <v>6</v>
      </c>
      <c r="J20" s="1">
        <v>303517</v>
      </c>
      <c r="K20" s="17">
        <f t="shared" si="1"/>
        <v>0</v>
      </c>
      <c r="L20" s="1">
        <v>22706</v>
      </c>
      <c r="M20" s="17">
        <f t="shared" si="6"/>
        <v>1280</v>
      </c>
      <c r="N20" s="58">
        <v>168588</v>
      </c>
      <c r="O20" s="17">
        <f t="shared" si="7"/>
        <v>3</v>
      </c>
      <c r="P20" s="1">
        <v>13359</v>
      </c>
      <c r="Q20" s="17">
        <f t="shared" si="2"/>
        <v>205</v>
      </c>
      <c r="R20" s="1">
        <v>55047</v>
      </c>
      <c r="S20" s="17">
        <f t="shared" si="8"/>
        <v>0</v>
      </c>
      <c r="T20" t="s">
        <v>26</v>
      </c>
      <c r="W20" t="s">
        <v>13</v>
      </c>
    </row>
    <row r="21" spans="1:23" ht="13.5" thickBot="1" x14ac:dyDescent="0.25">
      <c r="A21" s="10">
        <v>43726</v>
      </c>
      <c r="B21" s="1">
        <v>42653</v>
      </c>
      <c r="C21" s="17">
        <f t="shared" si="0"/>
        <v>720</v>
      </c>
      <c r="D21" s="1">
        <v>37904</v>
      </c>
      <c r="E21" s="17">
        <f t="shared" si="3"/>
        <v>480</v>
      </c>
      <c r="F21" s="1">
        <v>18251</v>
      </c>
      <c r="G21" s="17">
        <f t="shared" si="4"/>
        <v>80</v>
      </c>
      <c r="H21" s="1">
        <v>219933</v>
      </c>
      <c r="I21" s="17">
        <f t="shared" si="5"/>
        <v>34</v>
      </c>
      <c r="J21" s="1">
        <v>303517</v>
      </c>
      <c r="K21" s="17">
        <f t="shared" si="1"/>
        <v>0</v>
      </c>
      <c r="L21" s="1">
        <v>22710</v>
      </c>
      <c r="M21" s="17">
        <f t="shared" si="6"/>
        <v>640</v>
      </c>
      <c r="N21" s="58">
        <v>168591</v>
      </c>
      <c r="O21" s="17">
        <f t="shared" si="7"/>
        <v>3</v>
      </c>
      <c r="P21" s="1">
        <v>13530</v>
      </c>
      <c r="Q21" s="17">
        <f t="shared" si="2"/>
        <v>171</v>
      </c>
      <c r="R21" s="1">
        <v>55047</v>
      </c>
      <c r="S21" s="17">
        <f t="shared" si="8"/>
        <v>0</v>
      </c>
    </row>
    <row r="22" spans="1:23" ht="13.5" thickBot="1" x14ac:dyDescent="0.25">
      <c r="A22" s="10">
        <v>43727</v>
      </c>
      <c r="B22" s="1">
        <v>42659</v>
      </c>
      <c r="C22" s="17">
        <f t="shared" si="0"/>
        <v>720</v>
      </c>
      <c r="D22" s="1">
        <v>37908</v>
      </c>
      <c r="E22" s="17">
        <f t="shared" si="3"/>
        <v>640</v>
      </c>
      <c r="F22" s="1">
        <v>18255</v>
      </c>
      <c r="G22" s="17">
        <f t="shared" si="4"/>
        <v>80</v>
      </c>
      <c r="H22" s="1">
        <v>220000</v>
      </c>
      <c r="I22" s="17">
        <f t="shared" si="5"/>
        <v>67</v>
      </c>
      <c r="J22" s="1">
        <v>303517</v>
      </c>
      <c r="K22" s="17">
        <f t="shared" si="1"/>
        <v>0</v>
      </c>
      <c r="L22" s="1">
        <v>22715</v>
      </c>
      <c r="M22" s="17">
        <f t="shared" si="6"/>
        <v>800</v>
      </c>
      <c r="N22" s="58">
        <v>168595</v>
      </c>
      <c r="O22" s="17">
        <f t="shared" si="7"/>
        <v>4</v>
      </c>
      <c r="P22" s="1">
        <v>13721</v>
      </c>
      <c r="Q22" s="17">
        <f t="shared" si="2"/>
        <v>191</v>
      </c>
      <c r="R22" s="1">
        <v>55047</v>
      </c>
      <c r="S22" s="17">
        <f t="shared" si="8"/>
        <v>0</v>
      </c>
    </row>
    <row r="23" spans="1:23" ht="13.5" thickBot="1" x14ac:dyDescent="0.25">
      <c r="A23" s="10">
        <v>43728</v>
      </c>
      <c r="B23" s="1">
        <v>42664</v>
      </c>
      <c r="C23" s="17">
        <f t="shared" si="0"/>
        <v>600</v>
      </c>
      <c r="D23" s="1">
        <v>37911</v>
      </c>
      <c r="E23" s="17">
        <f t="shared" si="3"/>
        <v>480</v>
      </c>
      <c r="F23" s="1">
        <v>18258</v>
      </c>
      <c r="G23" s="17">
        <f t="shared" si="4"/>
        <v>60</v>
      </c>
      <c r="H23" s="1">
        <v>220056</v>
      </c>
      <c r="I23" s="17">
        <f t="shared" si="5"/>
        <v>56</v>
      </c>
      <c r="J23" s="1">
        <v>303517</v>
      </c>
      <c r="K23" s="17">
        <f t="shared" si="1"/>
        <v>0</v>
      </c>
      <c r="L23" s="1">
        <v>22718</v>
      </c>
      <c r="M23" s="17">
        <f t="shared" si="6"/>
        <v>480</v>
      </c>
      <c r="N23" s="58">
        <v>168598</v>
      </c>
      <c r="O23" s="17">
        <f t="shared" si="7"/>
        <v>3</v>
      </c>
      <c r="P23" s="1">
        <v>13925</v>
      </c>
      <c r="Q23" s="17">
        <f t="shared" si="2"/>
        <v>204</v>
      </c>
      <c r="R23" s="1">
        <v>55047</v>
      </c>
      <c r="S23" s="17">
        <f t="shared" si="8"/>
        <v>0</v>
      </c>
    </row>
    <row r="24" spans="1:23" ht="13.5" thickBot="1" x14ac:dyDescent="0.25">
      <c r="A24" s="10">
        <v>43729</v>
      </c>
      <c r="B24" s="1">
        <v>42669</v>
      </c>
      <c r="C24" s="17">
        <f t="shared" si="0"/>
        <v>600</v>
      </c>
      <c r="D24" s="1">
        <v>37915</v>
      </c>
      <c r="E24" s="17">
        <f t="shared" si="3"/>
        <v>640</v>
      </c>
      <c r="F24" s="1">
        <v>18262</v>
      </c>
      <c r="G24" s="17">
        <f t="shared" si="4"/>
        <v>80</v>
      </c>
      <c r="H24" s="1">
        <v>220095</v>
      </c>
      <c r="I24" s="17">
        <f t="shared" si="5"/>
        <v>39</v>
      </c>
      <c r="J24" s="1">
        <v>303517</v>
      </c>
      <c r="K24" s="17">
        <f t="shared" si="1"/>
        <v>0</v>
      </c>
      <c r="L24" s="1">
        <v>22720</v>
      </c>
      <c r="M24" s="17">
        <f t="shared" si="6"/>
        <v>320</v>
      </c>
      <c r="N24" s="58">
        <v>168600</v>
      </c>
      <c r="O24" s="17">
        <f t="shared" si="7"/>
        <v>2</v>
      </c>
      <c r="P24" s="1">
        <v>14299</v>
      </c>
      <c r="Q24" s="17">
        <f t="shared" si="2"/>
        <v>374</v>
      </c>
      <c r="R24" s="1">
        <v>55047</v>
      </c>
      <c r="S24" s="17">
        <f t="shared" si="8"/>
        <v>0</v>
      </c>
    </row>
    <row r="25" spans="1:23" ht="13.5" thickBot="1" x14ac:dyDescent="0.25">
      <c r="A25" s="10">
        <v>43730</v>
      </c>
      <c r="B25" s="1">
        <v>42674</v>
      </c>
      <c r="C25" s="17">
        <f t="shared" si="0"/>
        <v>600</v>
      </c>
      <c r="D25" s="1">
        <v>37918</v>
      </c>
      <c r="E25" s="17">
        <f t="shared" si="3"/>
        <v>480</v>
      </c>
      <c r="F25" s="1">
        <v>18266</v>
      </c>
      <c r="G25" s="17">
        <f t="shared" si="4"/>
        <v>80</v>
      </c>
      <c r="H25" s="1">
        <v>220109</v>
      </c>
      <c r="I25" s="17">
        <f t="shared" si="5"/>
        <v>14</v>
      </c>
      <c r="J25" s="1">
        <v>303517</v>
      </c>
      <c r="K25" s="17">
        <f t="shared" si="1"/>
        <v>0</v>
      </c>
      <c r="L25" s="1">
        <v>22725</v>
      </c>
      <c r="M25" s="17">
        <f t="shared" si="6"/>
        <v>800</v>
      </c>
      <c r="N25" s="58">
        <v>168604</v>
      </c>
      <c r="O25" s="17">
        <f t="shared" si="7"/>
        <v>4</v>
      </c>
      <c r="P25" s="1">
        <v>14343</v>
      </c>
      <c r="Q25" s="17">
        <f t="shared" si="2"/>
        <v>44</v>
      </c>
      <c r="R25" s="1">
        <v>55047</v>
      </c>
      <c r="S25" s="17">
        <f t="shared" si="8"/>
        <v>0</v>
      </c>
    </row>
    <row r="26" spans="1:23" ht="13.5" thickBot="1" x14ac:dyDescent="0.25">
      <c r="A26" s="10">
        <v>43731</v>
      </c>
      <c r="B26" s="1">
        <v>42680</v>
      </c>
      <c r="C26" s="17">
        <f t="shared" si="0"/>
        <v>720</v>
      </c>
      <c r="D26" s="1">
        <v>37921</v>
      </c>
      <c r="E26" s="17">
        <f t="shared" si="3"/>
        <v>480</v>
      </c>
      <c r="F26" s="1">
        <v>18270</v>
      </c>
      <c r="G26" s="17">
        <f t="shared" si="4"/>
        <v>80</v>
      </c>
      <c r="H26" s="1">
        <v>220133</v>
      </c>
      <c r="I26" s="17">
        <f t="shared" si="5"/>
        <v>24</v>
      </c>
      <c r="J26" s="1">
        <v>303517</v>
      </c>
      <c r="K26" s="17">
        <f t="shared" si="1"/>
        <v>0</v>
      </c>
      <c r="L26" s="1">
        <v>22729</v>
      </c>
      <c r="M26" s="17">
        <f t="shared" si="6"/>
        <v>640</v>
      </c>
      <c r="N26" s="58">
        <v>168607</v>
      </c>
      <c r="O26" s="17">
        <f t="shared" si="7"/>
        <v>3</v>
      </c>
      <c r="P26" s="1">
        <v>14418</v>
      </c>
      <c r="Q26" s="17">
        <f t="shared" si="2"/>
        <v>75</v>
      </c>
      <c r="R26" s="1">
        <v>55047</v>
      </c>
      <c r="S26" s="17">
        <f t="shared" si="8"/>
        <v>0</v>
      </c>
      <c r="U26" t="s">
        <v>13</v>
      </c>
      <c r="V26" t="s">
        <v>13</v>
      </c>
    </row>
    <row r="27" spans="1:23" ht="13.5" thickBot="1" x14ac:dyDescent="0.25">
      <c r="A27" s="10">
        <v>43732</v>
      </c>
      <c r="B27" s="1">
        <v>42686</v>
      </c>
      <c r="C27" s="17">
        <f t="shared" si="0"/>
        <v>720</v>
      </c>
      <c r="D27" s="1">
        <v>37924</v>
      </c>
      <c r="E27" s="17">
        <f t="shared" si="3"/>
        <v>480</v>
      </c>
      <c r="F27" s="1">
        <v>18274</v>
      </c>
      <c r="G27" s="17">
        <f t="shared" si="4"/>
        <v>80</v>
      </c>
      <c r="H27" s="1">
        <v>220197</v>
      </c>
      <c r="I27" s="17">
        <f t="shared" si="5"/>
        <v>64</v>
      </c>
      <c r="J27" s="1">
        <v>303517</v>
      </c>
      <c r="K27" s="17">
        <f t="shared" si="1"/>
        <v>0</v>
      </c>
      <c r="L27" s="1">
        <v>22733</v>
      </c>
      <c r="M27" s="17">
        <f t="shared" si="6"/>
        <v>640</v>
      </c>
      <c r="N27" s="58">
        <v>168607</v>
      </c>
      <c r="O27" s="17">
        <f t="shared" si="7"/>
        <v>0</v>
      </c>
      <c r="P27" s="1">
        <v>14453</v>
      </c>
      <c r="Q27" s="17">
        <f t="shared" si="2"/>
        <v>35</v>
      </c>
      <c r="R27" s="1">
        <v>55047</v>
      </c>
      <c r="S27" s="17">
        <f t="shared" si="8"/>
        <v>0</v>
      </c>
    </row>
    <row r="28" spans="1:23" ht="13.5" thickBot="1" x14ac:dyDescent="0.25">
      <c r="A28" s="10">
        <v>43733</v>
      </c>
      <c r="B28" s="1">
        <v>42689</v>
      </c>
      <c r="C28" s="17">
        <f t="shared" si="0"/>
        <v>360</v>
      </c>
      <c r="D28" s="1">
        <v>37926</v>
      </c>
      <c r="E28" s="17">
        <f t="shared" si="3"/>
        <v>320</v>
      </c>
      <c r="F28" s="1">
        <v>18277</v>
      </c>
      <c r="G28" s="17">
        <f t="shared" si="4"/>
        <v>60</v>
      </c>
      <c r="H28" s="1">
        <v>220199</v>
      </c>
      <c r="I28" s="17">
        <f t="shared" si="5"/>
        <v>2</v>
      </c>
      <c r="J28" s="1">
        <v>303517</v>
      </c>
      <c r="K28" s="17">
        <f t="shared" si="1"/>
        <v>0</v>
      </c>
      <c r="L28" s="1">
        <v>22735</v>
      </c>
      <c r="M28" s="17">
        <f t="shared" si="6"/>
        <v>320</v>
      </c>
      <c r="N28" s="58">
        <v>168609</v>
      </c>
      <c r="O28" s="17">
        <f t="shared" si="7"/>
        <v>2</v>
      </c>
      <c r="P28" s="1">
        <v>14509</v>
      </c>
      <c r="Q28" s="17">
        <f t="shared" si="2"/>
        <v>56</v>
      </c>
      <c r="R28" s="1">
        <v>55047</v>
      </c>
      <c r="S28" s="17">
        <f t="shared" si="8"/>
        <v>0</v>
      </c>
      <c r="T28" t="s">
        <v>25</v>
      </c>
    </row>
    <row r="29" spans="1:23" ht="13.5" thickBot="1" x14ac:dyDescent="0.25">
      <c r="A29" s="10">
        <v>43734</v>
      </c>
      <c r="B29" s="1">
        <v>42691</v>
      </c>
      <c r="C29" s="17">
        <f t="shared" si="0"/>
        <v>240</v>
      </c>
      <c r="D29" s="1">
        <v>37928</v>
      </c>
      <c r="E29" s="17">
        <f t="shared" si="3"/>
        <v>320</v>
      </c>
      <c r="F29" s="1">
        <v>18279</v>
      </c>
      <c r="G29" s="17">
        <f t="shared" si="4"/>
        <v>40</v>
      </c>
      <c r="H29" s="1">
        <v>220204</v>
      </c>
      <c r="I29" s="17">
        <f t="shared" si="5"/>
        <v>5</v>
      </c>
      <c r="J29" s="1">
        <v>303517</v>
      </c>
      <c r="K29" s="17">
        <f t="shared" si="1"/>
        <v>0</v>
      </c>
      <c r="L29" s="1">
        <v>22739</v>
      </c>
      <c r="M29" s="17">
        <f t="shared" si="6"/>
        <v>640</v>
      </c>
      <c r="N29" s="58">
        <v>168612</v>
      </c>
      <c r="O29" s="17">
        <f t="shared" si="7"/>
        <v>3</v>
      </c>
      <c r="P29" s="1">
        <v>14619</v>
      </c>
      <c r="Q29" s="18">
        <f t="shared" si="2"/>
        <v>110</v>
      </c>
      <c r="R29" s="1">
        <v>55047</v>
      </c>
      <c r="S29" s="18">
        <f t="shared" si="8"/>
        <v>0</v>
      </c>
    </row>
    <row r="30" spans="1:23" ht="13.5" thickBot="1" x14ac:dyDescent="0.25">
      <c r="A30" s="10">
        <v>43735</v>
      </c>
      <c r="B30" s="1">
        <v>42697</v>
      </c>
      <c r="C30" s="17">
        <f t="shared" si="0"/>
        <v>720</v>
      </c>
      <c r="D30" s="1">
        <v>37931</v>
      </c>
      <c r="E30" s="17">
        <f t="shared" si="3"/>
        <v>480</v>
      </c>
      <c r="F30" s="1">
        <v>18282</v>
      </c>
      <c r="G30" s="17">
        <f t="shared" si="4"/>
        <v>60</v>
      </c>
      <c r="H30" s="1">
        <v>220208</v>
      </c>
      <c r="I30" s="17">
        <f t="shared" si="5"/>
        <v>4</v>
      </c>
      <c r="J30" s="1">
        <v>303517</v>
      </c>
      <c r="K30" s="17">
        <f t="shared" si="1"/>
        <v>0</v>
      </c>
      <c r="L30" s="1">
        <v>22743</v>
      </c>
      <c r="M30" s="17">
        <f t="shared" si="6"/>
        <v>640</v>
      </c>
      <c r="N30" s="58">
        <v>168615</v>
      </c>
      <c r="O30" s="17">
        <f t="shared" si="7"/>
        <v>3</v>
      </c>
      <c r="P30" s="1">
        <v>14693</v>
      </c>
      <c r="Q30" s="17">
        <f t="shared" si="2"/>
        <v>74</v>
      </c>
      <c r="R30" s="1">
        <v>55047</v>
      </c>
      <c r="S30" s="17">
        <f t="shared" si="8"/>
        <v>0</v>
      </c>
      <c r="T30" t="s">
        <v>27</v>
      </c>
      <c r="U30" t="s">
        <v>13</v>
      </c>
    </row>
    <row r="31" spans="1:23" ht="13.5" thickBot="1" x14ac:dyDescent="0.25">
      <c r="A31" s="10">
        <v>43736</v>
      </c>
      <c r="B31" s="1">
        <v>42699</v>
      </c>
      <c r="C31" s="17">
        <f t="shared" si="0"/>
        <v>240</v>
      </c>
      <c r="D31" s="1">
        <v>37933</v>
      </c>
      <c r="E31" s="17">
        <f t="shared" si="3"/>
        <v>320</v>
      </c>
      <c r="F31" s="1">
        <v>18285</v>
      </c>
      <c r="G31" s="17">
        <f t="shared" si="4"/>
        <v>60</v>
      </c>
      <c r="H31" s="1">
        <v>220211</v>
      </c>
      <c r="I31" s="17">
        <f t="shared" si="5"/>
        <v>3</v>
      </c>
      <c r="J31" s="1">
        <v>303517</v>
      </c>
      <c r="K31" s="17">
        <f t="shared" si="1"/>
        <v>0</v>
      </c>
      <c r="L31" s="1">
        <v>22745</v>
      </c>
      <c r="M31" s="17">
        <f t="shared" si="6"/>
        <v>320</v>
      </c>
      <c r="N31" s="58">
        <v>168618</v>
      </c>
      <c r="O31" s="17">
        <f t="shared" si="7"/>
        <v>3</v>
      </c>
      <c r="P31" s="1">
        <v>14704</v>
      </c>
      <c r="Q31" s="17">
        <f t="shared" si="2"/>
        <v>11</v>
      </c>
      <c r="R31" s="1">
        <v>55047</v>
      </c>
      <c r="S31" s="17">
        <f t="shared" si="8"/>
        <v>0</v>
      </c>
      <c r="T31" t="s">
        <v>13</v>
      </c>
    </row>
    <row r="32" spans="1:23" ht="13.5" thickBot="1" x14ac:dyDescent="0.25">
      <c r="A32" s="10">
        <v>43737</v>
      </c>
      <c r="B32" s="1">
        <v>42709</v>
      </c>
      <c r="C32" s="17">
        <f t="shared" si="0"/>
        <v>1200</v>
      </c>
      <c r="D32" s="1">
        <v>37940</v>
      </c>
      <c r="E32" s="17">
        <f t="shared" si="3"/>
        <v>1120</v>
      </c>
      <c r="F32" s="1">
        <v>18293</v>
      </c>
      <c r="G32" s="17">
        <f t="shared" si="4"/>
        <v>160</v>
      </c>
      <c r="H32" s="1">
        <v>220257</v>
      </c>
      <c r="I32" s="17">
        <f t="shared" si="5"/>
        <v>46</v>
      </c>
      <c r="J32" s="1">
        <v>303517</v>
      </c>
      <c r="K32" s="17">
        <f t="shared" si="1"/>
        <v>0</v>
      </c>
      <c r="L32" s="1">
        <v>22749</v>
      </c>
      <c r="M32" s="17">
        <f t="shared" si="6"/>
        <v>640</v>
      </c>
      <c r="N32" s="58">
        <v>168621</v>
      </c>
      <c r="O32" s="17">
        <f t="shared" si="7"/>
        <v>3</v>
      </c>
      <c r="P32" s="1">
        <v>14894</v>
      </c>
      <c r="Q32" s="17">
        <f t="shared" si="2"/>
        <v>190</v>
      </c>
      <c r="R32" s="1">
        <v>55047</v>
      </c>
      <c r="S32" s="17">
        <f t="shared" si="8"/>
        <v>0</v>
      </c>
    </row>
    <row r="33" spans="1:22" ht="13.5" thickBot="1" x14ac:dyDescent="0.25">
      <c r="A33" s="10">
        <v>43738</v>
      </c>
      <c r="B33" s="1">
        <v>42722</v>
      </c>
      <c r="C33" s="17">
        <f t="shared" si="0"/>
        <v>1560</v>
      </c>
      <c r="D33" s="1">
        <v>37947</v>
      </c>
      <c r="E33" s="17">
        <f t="shared" si="3"/>
        <v>1120</v>
      </c>
      <c r="F33" s="1">
        <v>18295</v>
      </c>
      <c r="G33" s="17">
        <f t="shared" si="4"/>
        <v>40</v>
      </c>
      <c r="H33" s="1">
        <v>220261</v>
      </c>
      <c r="I33" s="17">
        <f t="shared" si="5"/>
        <v>4</v>
      </c>
      <c r="J33" s="1">
        <v>303517</v>
      </c>
      <c r="K33" s="17">
        <f t="shared" si="1"/>
        <v>0</v>
      </c>
      <c r="L33" s="1">
        <v>22756</v>
      </c>
      <c r="M33" s="17">
        <f t="shared" si="6"/>
        <v>1120</v>
      </c>
      <c r="N33" s="58">
        <v>168629</v>
      </c>
      <c r="O33" s="17">
        <f t="shared" si="7"/>
        <v>8</v>
      </c>
      <c r="P33" s="1">
        <v>14998</v>
      </c>
      <c r="Q33" s="17">
        <f t="shared" si="2"/>
        <v>104</v>
      </c>
      <c r="R33" s="1">
        <v>55047</v>
      </c>
      <c r="S33" s="17">
        <f t="shared" si="8"/>
        <v>0</v>
      </c>
      <c r="V33" t="s">
        <v>13</v>
      </c>
    </row>
    <row r="34" spans="1:22" ht="13.5" thickBot="1" x14ac:dyDescent="0.25">
      <c r="A34" s="10"/>
      <c r="B34" s="1">
        <v>42722</v>
      </c>
      <c r="C34" s="17">
        <f>(B34-B32)*600/5</f>
        <v>1560</v>
      </c>
      <c r="D34" s="1">
        <v>37947</v>
      </c>
      <c r="E34" s="17">
        <f>(D34-D32)*800/5</f>
        <v>1120</v>
      </c>
      <c r="F34" s="1">
        <v>18295</v>
      </c>
      <c r="G34" s="17">
        <f>(F34-F32)*100/5</f>
        <v>40</v>
      </c>
      <c r="H34" s="1">
        <v>220261</v>
      </c>
      <c r="I34" s="17">
        <f>H34-H32</f>
        <v>4</v>
      </c>
      <c r="J34" s="1">
        <v>303517</v>
      </c>
      <c r="K34" s="17">
        <f>J34-J32</f>
        <v>0</v>
      </c>
      <c r="L34" s="1">
        <v>22756</v>
      </c>
      <c r="M34" s="17">
        <f>(L34-L32)*800/5</f>
        <v>1120</v>
      </c>
      <c r="N34" s="58">
        <v>168629</v>
      </c>
      <c r="O34" s="17">
        <f>N34-N32</f>
        <v>8</v>
      </c>
      <c r="P34" s="1">
        <v>14998</v>
      </c>
      <c r="Q34" s="17">
        <f>P34-P32</f>
        <v>104</v>
      </c>
      <c r="R34" s="1">
        <v>55047</v>
      </c>
      <c r="S34" s="17">
        <f>R34-R32</f>
        <v>0</v>
      </c>
    </row>
    <row r="35" spans="1:22" ht="16.5" thickBot="1" x14ac:dyDescent="0.3">
      <c r="A35" s="10" t="s">
        <v>28</v>
      </c>
      <c r="B35" s="1"/>
      <c r="C35" s="11">
        <f>SUM(C4:C34)</f>
        <v>22560</v>
      </c>
      <c r="D35" s="14"/>
      <c r="E35" s="11">
        <f>SUM(E4:E34)</f>
        <v>17760</v>
      </c>
      <c r="F35" s="14"/>
      <c r="G35" s="11">
        <f>SUM(G4:G34)</f>
        <v>2400</v>
      </c>
      <c r="H35" s="14"/>
      <c r="I35" s="11">
        <f>SUM(I4:I34)</f>
        <v>901</v>
      </c>
      <c r="J35" s="14"/>
      <c r="K35" s="11">
        <f>SUM(K4:K34)</f>
        <v>0</v>
      </c>
      <c r="L35" s="14"/>
      <c r="M35" s="11">
        <f>SUM(M4:M34)</f>
        <v>20160</v>
      </c>
      <c r="N35" s="59"/>
      <c r="O35" s="11"/>
      <c r="P35" s="14"/>
      <c r="Q35" s="11">
        <f>SUM(Q4:Q34)</f>
        <v>5105</v>
      </c>
      <c r="R35" s="1"/>
      <c r="S35" s="11">
        <f>SUM(S4:S34)</f>
        <v>0</v>
      </c>
      <c r="T35" t="s">
        <v>29</v>
      </c>
    </row>
    <row r="36" spans="1:22" ht="23.25" x14ac:dyDescent="0.35">
      <c r="B36" s="20"/>
      <c r="C36" s="21"/>
      <c r="D36" s="21"/>
      <c r="E36" s="21"/>
    </row>
    <row r="37" spans="1:22" ht="15.75" x14ac:dyDescent="0.25">
      <c r="B37" s="20"/>
      <c r="P37" s="22" t="s">
        <v>13</v>
      </c>
    </row>
    <row r="38" spans="1:22" ht="15.75" x14ac:dyDescent="0.25">
      <c r="B38" s="20"/>
    </row>
    <row r="39" spans="1:22" ht="15.75" x14ac:dyDescent="0.25">
      <c r="B39" s="20"/>
    </row>
  </sheetData>
  <mergeCells count="1">
    <mergeCell ref="A1:S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8"/>
  <sheetViews>
    <sheetView zoomScale="70" zoomScaleNormal="70" workbookViewId="0">
      <selection activeCell="B3" sqref="B3:K3"/>
    </sheetView>
  </sheetViews>
  <sheetFormatPr defaultRowHeight="12.75" x14ac:dyDescent="0.2"/>
  <cols>
    <col min="1" max="1" width="20.85546875" style="19" bestFit="1" customWidth="1"/>
    <col min="2" max="2" width="20.7109375" bestFit="1" customWidth="1"/>
    <col min="3" max="3" width="14.140625" customWidth="1"/>
    <col min="4" max="4" width="1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62" bestFit="1" customWidth="1"/>
    <col min="10" max="10" width="17.5703125" bestFit="1" customWidth="1"/>
    <col min="11" max="11" width="16.140625" bestFit="1" customWidth="1"/>
    <col min="25" max="25" width="18.28515625" bestFit="1" customWidth="1"/>
  </cols>
  <sheetData>
    <row r="1" spans="1:14" ht="28.5" customHeight="1" thickBot="1" x14ac:dyDescent="0.25">
      <c r="A1" s="168" t="s">
        <v>141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</row>
    <row r="2" spans="1:14" ht="16.5" thickBot="1" x14ac:dyDescent="0.3">
      <c r="A2" s="2" t="s">
        <v>0</v>
      </c>
      <c r="B2" s="3" t="s">
        <v>30</v>
      </c>
      <c r="C2" s="4" t="s">
        <v>31</v>
      </c>
      <c r="D2" s="3" t="s">
        <v>32</v>
      </c>
      <c r="E2" s="4" t="s">
        <v>31</v>
      </c>
      <c r="F2" s="3" t="s">
        <v>33</v>
      </c>
      <c r="G2" s="24" t="s">
        <v>31</v>
      </c>
      <c r="H2" s="3" t="s">
        <v>34</v>
      </c>
      <c r="I2" s="69" t="s">
        <v>31</v>
      </c>
      <c r="J2" s="3" t="s">
        <v>28</v>
      </c>
      <c r="K2" s="3" t="s">
        <v>35</v>
      </c>
    </row>
    <row r="3" spans="1:14" ht="21" thickBot="1" x14ac:dyDescent="0.3">
      <c r="A3" s="9" t="s">
        <v>12</v>
      </c>
      <c r="B3" s="3">
        <v>365069</v>
      </c>
      <c r="C3" s="25">
        <v>1120</v>
      </c>
      <c r="D3" s="3">
        <v>96358800</v>
      </c>
      <c r="E3" s="26">
        <v>534.6</v>
      </c>
      <c r="F3" s="3">
        <v>95833300</v>
      </c>
      <c r="G3" s="26">
        <v>475.2</v>
      </c>
      <c r="H3" s="3">
        <v>628900</v>
      </c>
      <c r="I3" s="70">
        <v>5.1029999999999998</v>
      </c>
      <c r="J3" s="27">
        <v>2134.9029999999998</v>
      </c>
      <c r="K3" s="28">
        <v>12510.531579999999</v>
      </c>
    </row>
    <row r="4" spans="1:14" ht="21" thickBot="1" x14ac:dyDescent="0.3">
      <c r="A4" s="9">
        <v>43709</v>
      </c>
      <c r="B4" s="3">
        <v>365172</v>
      </c>
      <c r="C4" s="65">
        <f>(IF((B4-B3)&lt;0,"0",(B4-B3)))*10</f>
        <v>1030</v>
      </c>
      <c r="D4" s="3">
        <v>96379300</v>
      </c>
      <c r="E4" s="65">
        <f>(IF((D4-D3)&lt;0,"0",(D4-D3)))*0.027</f>
        <v>553.5</v>
      </c>
      <c r="F4" s="3">
        <v>95852300</v>
      </c>
      <c r="G4" s="65">
        <f>(IF((F4-F3)&lt;0,"0",(F4-F3)))*0.027</f>
        <v>513</v>
      </c>
      <c r="H4" s="3">
        <v>629110</v>
      </c>
      <c r="I4" s="71">
        <f>(IF((H4-H3)&lt;0,"0",(H4-H3)))*0.027</f>
        <v>5.67</v>
      </c>
      <c r="J4" s="27">
        <f>C4+E4+G4+I4</f>
        <v>2102.17</v>
      </c>
      <c r="K4" s="28">
        <f>J4*5.86</f>
        <v>12318.716200000001</v>
      </c>
    </row>
    <row r="5" spans="1:14" ht="21" thickBot="1" x14ac:dyDescent="0.3">
      <c r="A5" s="9">
        <v>43710</v>
      </c>
      <c r="B5" s="3">
        <v>365278</v>
      </c>
      <c r="C5" s="65">
        <f t="shared" ref="C5:C34" si="0">(IF((B5-B4)&lt;0,"0",(B5-B4)))*10</f>
        <v>1060</v>
      </c>
      <c r="D5" s="3">
        <v>96399100</v>
      </c>
      <c r="E5" s="65">
        <f t="shared" ref="E5:E34" si="1">(IF((D5-D4)&lt;0,"0",(D5-D4)))*0.027</f>
        <v>534.6</v>
      </c>
      <c r="F5" s="3">
        <v>95871200</v>
      </c>
      <c r="G5" s="65">
        <f>(IF((F5-F4)&lt;0,"0",(F5-F4)))*0.027</f>
        <v>510.3</v>
      </c>
      <c r="H5" s="3">
        <v>629320</v>
      </c>
      <c r="I5" s="71">
        <f>(IF((H5-H4)&lt;0,"0",(H5-H4)))*0.027</f>
        <v>5.67</v>
      </c>
      <c r="J5" s="27">
        <f t="shared" ref="J5:J31" si="2">C5+E5+G5+I5</f>
        <v>2110.5700000000002</v>
      </c>
      <c r="K5" s="28">
        <f t="shared" ref="K5:K34" si="3">J5*5.86</f>
        <v>12367.940200000001</v>
      </c>
    </row>
    <row r="6" spans="1:14" ht="21" thickBot="1" x14ac:dyDescent="0.3">
      <c r="A6" s="9">
        <v>43711</v>
      </c>
      <c r="B6" s="3">
        <v>365392</v>
      </c>
      <c r="C6" s="65">
        <f t="shared" si="0"/>
        <v>1140</v>
      </c>
      <c r="D6" s="3">
        <v>96420100</v>
      </c>
      <c r="E6" s="65">
        <f t="shared" si="1"/>
        <v>567</v>
      </c>
      <c r="F6" s="3">
        <v>95891400</v>
      </c>
      <c r="G6" s="65">
        <f t="shared" ref="G6:G34" si="4">(IF((F6-F5)&lt;0,"0",(F6-F5)))*0.027</f>
        <v>545.4</v>
      </c>
      <c r="H6" s="3">
        <v>629528</v>
      </c>
      <c r="I6" s="71">
        <f t="shared" ref="I6:I34" si="5">(IF((H6-H5)&lt;0,"0",(H6-H5)))*0.027</f>
        <v>5.6159999999999997</v>
      </c>
      <c r="J6" s="27">
        <f t="shared" si="2"/>
        <v>2258.0160000000001</v>
      </c>
      <c r="K6" s="28">
        <f t="shared" si="3"/>
        <v>13231.973760000001</v>
      </c>
    </row>
    <row r="7" spans="1:14" ht="21" thickBot="1" x14ac:dyDescent="0.3">
      <c r="A7" s="9">
        <v>43712</v>
      </c>
      <c r="B7" s="3">
        <v>365508</v>
      </c>
      <c r="C7" s="65">
        <f t="shared" si="0"/>
        <v>1160</v>
      </c>
      <c r="D7" s="3">
        <v>96441500</v>
      </c>
      <c r="E7" s="65">
        <f t="shared" si="1"/>
        <v>577.79999999999995</v>
      </c>
      <c r="F7" s="3">
        <v>95912200</v>
      </c>
      <c r="G7" s="65">
        <f t="shared" si="4"/>
        <v>561.6</v>
      </c>
      <c r="H7" s="3">
        <v>629727</v>
      </c>
      <c r="I7" s="71">
        <f t="shared" si="5"/>
        <v>5.3730000000000002</v>
      </c>
      <c r="J7" s="27">
        <f t="shared" si="2"/>
        <v>2304.7730000000001</v>
      </c>
      <c r="K7" s="28">
        <f t="shared" si="3"/>
        <v>13505.969780000001</v>
      </c>
    </row>
    <row r="8" spans="1:14" ht="21" thickBot="1" x14ac:dyDescent="0.3">
      <c r="A8" s="9">
        <v>43713</v>
      </c>
      <c r="B8" s="3">
        <v>365629</v>
      </c>
      <c r="C8" s="65">
        <f t="shared" si="0"/>
        <v>1210</v>
      </c>
      <c r="D8" s="3">
        <v>96463400</v>
      </c>
      <c r="E8" s="65">
        <f t="shared" si="1"/>
        <v>591.29999999999995</v>
      </c>
      <c r="F8" s="3">
        <v>95933800</v>
      </c>
      <c r="G8" s="65">
        <f t="shared" si="4"/>
        <v>583.20000000000005</v>
      </c>
      <c r="H8" s="3">
        <v>629973</v>
      </c>
      <c r="I8" s="71">
        <f t="shared" si="5"/>
        <v>6.6420000000000003</v>
      </c>
      <c r="J8" s="27">
        <f t="shared" si="2"/>
        <v>2391.1419999999998</v>
      </c>
      <c r="K8" s="28">
        <f t="shared" si="3"/>
        <v>14012.092119999999</v>
      </c>
      <c r="L8" t="s">
        <v>13</v>
      </c>
      <c r="N8" t="s">
        <v>13</v>
      </c>
    </row>
    <row r="9" spans="1:14" ht="21" thickBot="1" x14ac:dyDescent="0.3">
      <c r="A9" s="9">
        <v>43714</v>
      </c>
      <c r="B9" s="3">
        <v>365733</v>
      </c>
      <c r="C9" s="65">
        <f t="shared" si="0"/>
        <v>1040</v>
      </c>
      <c r="D9" s="3">
        <v>96481800</v>
      </c>
      <c r="E9" s="65">
        <f t="shared" si="1"/>
        <v>496.8</v>
      </c>
      <c r="F9" s="3">
        <v>95953400</v>
      </c>
      <c r="G9" s="65">
        <f t="shared" si="4"/>
        <v>529.20000000000005</v>
      </c>
      <c r="H9" s="3">
        <v>630191</v>
      </c>
      <c r="I9" s="71">
        <f t="shared" si="5"/>
        <v>5.8860000000000001</v>
      </c>
      <c r="J9" s="27">
        <f t="shared" si="2"/>
        <v>2071.886</v>
      </c>
      <c r="K9" s="28">
        <f t="shared" si="3"/>
        <v>12141.25196</v>
      </c>
    </row>
    <row r="10" spans="1:14" ht="21" thickBot="1" x14ac:dyDescent="0.3">
      <c r="A10" s="9">
        <v>43715</v>
      </c>
      <c r="B10" s="3">
        <v>365848</v>
      </c>
      <c r="C10" s="65">
        <f t="shared" si="0"/>
        <v>1150</v>
      </c>
      <c r="D10" s="3">
        <v>96502800</v>
      </c>
      <c r="E10" s="65">
        <f t="shared" si="1"/>
        <v>567</v>
      </c>
      <c r="F10" s="3">
        <v>95973400</v>
      </c>
      <c r="G10" s="65">
        <f t="shared" si="4"/>
        <v>540</v>
      </c>
      <c r="H10" s="3">
        <v>630476</v>
      </c>
      <c r="I10" s="71">
        <f t="shared" si="5"/>
        <v>7.6950000000000003</v>
      </c>
      <c r="J10" s="27">
        <f t="shared" si="2"/>
        <v>2264.6950000000002</v>
      </c>
      <c r="K10" s="28">
        <f t="shared" si="3"/>
        <v>13271.112700000001</v>
      </c>
    </row>
    <row r="11" spans="1:14" ht="21" thickBot="1" x14ac:dyDescent="0.3">
      <c r="A11" s="9">
        <v>43716</v>
      </c>
      <c r="B11" s="3">
        <v>365964</v>
      </c>
      <c r="C11" s="65">
        <f>(IF((B11-B10)&lt;0,"0",(B11-B10)))*10</f>
        <v>1160</v>
      </c>
      <c r="D11" s="3">
        <v>96525200</v>
      </c>
      <c r="E11" s="65">
        <f t="shared" si="1"/>
        <v>604.79999999999995</v>
      </c>
      <c r="F11" s="3">
        <v>95992000</v>
      </c>
      <c r="G11" s="65">
        <f t="shared" si="4"/>
        <v>502.2</v>
      </c>
      <c r="H11" s="3">
        <v>630742</v>
      </c>
      <c r="I11" s="71">
        <f t="shared" si="5"/>
        <v>7.1819999999999995</v>
      </c>
      <c r="J11" s="27">
        <f t="shared" si="2"/>
        <v>2274.1819999999998</v>
      </c>
      <c r="K11" s="28">
        <f t="shared" si="3"/>
        <v>13326.70652</v>
      </c>
    </row>
    <row r="12" spans="1:14" ht="21" thickBot="1" x14ac:dyDescent="0.3">
      <c r="A12" s="9">
        <v>43717</v>
      </c>
      <c r="B12" s="3">
        <v>366063</v>
      </c>
      <c r="C12" s="65">
        <f t="shared" si="0"/>
        <v>990</v>
      </c>
      <c r="D12" s="3">
        <v>96544000</v>
      </c>
      <c r="E12" s="65">
        <f t="shared" si="1"/>
        <v>507.59999999999997</v>
      </c>
      <c r="F12" s="3">
        <v>96008400</v>
      </c>
      <c r="G12" s="65">
        <f t="shared" si="4"/>
        <v>442.8</v>
      </c>
      <c r="H12" s="3">
        <v>630953</v>
      </c>
      <c r="I12" s="71">
        <f t="shared" si="5"/>
        <v>5.6970000000000001</v>
      </c>
      <c r="J12" s="27">
        <f t="shared" si="2"/>
        <v>1946.0969999999998</v>
      </c>
      <c r="K12" s="28">
        <f t="shared" si="3"/>
        <v>11404.128419999999</v>
      </c>
      <c r="N12" t="s">
        <v>13</v>
      </c>
    </row>
    <row r="13" spans="1:14" ht="21" thickBot="1" x14ac:dyDescent="0.3">
      <c r="A13" s="9">
        <v>43718</v>
      </c>
      <c r="B13" s="3">
        <v>366184</v>
      </c>
      <c r="C13" s="65">
        <f t="shared" si="0"/>
        <v>1210</v>
      </c>
      <c r="D13" s="3">
        <v>96567400</v>
      </c>
      <c r="E13" s="65">
        <f t="shared" si="1"/>
        <v>631.79999999999995</v>
      </c>
      <c r="F13" s="3">
        <v>96028000</v>
      </c>
      <c r="G13" s="65">
        <f t="shared" si="4"/>
        <v>529.20000000000005</v>
      </c>
      <c r="H13" s="3">
        <v>631158</v>
      </c>
      <c r="I13" s="71">
        <f t="shared" si="5"/>
        <v>5.5350000000000001</v>
      </c>
      <c r="J13" s="27">
        <f t="shared" si="2"/>
        <v>2376.5349999999999</v>
      </c>
      <c r="K13" s="28">
        <f t="shared" si="3"/>
        <v>13926.4951</v>
      </c>
    </row>
    <row r="14" spans="1:14" ht="21" thickBot="1" x14ac:dyDescent="0.3">
      <c r="A14" s="9">
        <v>43719</v>
      </c>
      <c r="B14" s="3">
        <v>366275</v>
      </c>
      <c r="C14" s="65">
        <f t="shared" si="0"/>
        <v>910</v>
      </c>
      <c r="D14" s="3">
        <v>96584700</v>
      </c>
      <c r="E14" s="65">
        <f t="shared" si="1"/>
        <v>467.1</v>
      </c>
      <c r="F14" s="3">
        <v>96043400</v>
      </c>
      <c r="G14" s="65">
        <f t="shared" si="4"/>
        <v>415.8</v>
      </c>
      <c r="H14" s="3">
        <v>631322</v>
      </c>
      <c r="I14" s="71">
        <f t="shared" si="5"/>
        <v>4.4279999999999999</v>
      </c>
      <c r="J14" s="27">
        <f t="shared" si="2"/>
        <v>1797.328</v>
      </c>
      <c r="K14" s="28">
        <f t="shared" si="3"/>
        <v>10532.34208</v>
      </c>
    </row>
    <row r="15" spans="1:14" ht="21" thickBot="1" x14ac:dyDescent="0.3">
      <c r="A15" s="9">
        <v>43720</v>
      </c>
      <c r="B15" s="3">
        <v>366394</v>
      </c>
      <c r="C15" s="65">
        <f t="shared" si="0"/>
        <v>1190</v>
      </c>
      <c r="D15" s="3">
        <v>96607400</v>
      </c>
      <c r="E15" s="65">
        <f t="shared" si="1"/>
        <v>612.9</v>
      </c>
      <c r="F15" s="3">
        <v>96064500</v>
      </c>
      <c r="G15" s="65">
        <f t="shared" si="4"/>
        <v>569.70000000000005</v>
      </c>
      <c r="H15" s="3">
        <v>631495</v>
      </c>
      <c r="I15" s="71">
        <f t="shared" si="5"/>
        <v>4.6710000000000003</v>
      </c>
      <c r="J15" s="27">
        <f t="shared" si="2"/>
        <v>2377.2710000000002</v>
      </c>
      <c r="K15" s="28">
        <f t="shared" si="3"/>
        <v>13930.808060000001</v>
      </c>
    </row>
    <row r="16" spans="1:14" ht="21" thickBot="1" x14ac:dyDescent="0.3">
      <c r="A16" s="9">
        <v>43721</v>
      </c>
      <c r="B16" s="3">
        <v>366494</v>
      </c>
      <c r="C16" s="65">
        <f t="shared" si="0"/>
        <v>1000</v>
      </c>
      <c r="D16" s="3">
        <v>96620700</v>
      </c>
      <c r="E16" s="65">
        <f t="shared" si="1"/>
        <v>359.1</v>
      </c>
      <c r="F16" s="3">
        <v>96082000</v>
      </c>
      <c r="G16" s="65">
        <f t="shared" si="4"/>
        <v>472.5</v>
      </c>
      <c r="H16" s="3">
        <v>631633</v>
      </c>
      <c r="I16" s="71">
        <f t="shared" si="5"/>
        <v>3.726</v>
      </c>
      <c r="J16" s="27">
        <f t="shared" si="2"/>
        <v>1835.326</v>
      </c>
      <c r="K16" s="28">
        <f t="shared" si="3"/>
        <v>10755.01036</v>
      </c>
    </row>
    <row r="17" spans="1:25" ht="21" thickBot="1" x14ac:dyDescent="0.3">
      <c r="A17" s="9">
        <v>43722</v>
      </c>
      <c r="B17" s="3">
        <v>366602</v>
      </c>
      <c r="C17" s="65">
        <f t="shared" si="0"/>
        <v>1080</v>
      </c>
      <c r="D17" s="3">
        <v>96647400</v>
      </c>
      <c r="E17" s="65">
        <f t="shared" si="1"/>
        <v>720.9</v>
      </c>
      <c r="F17" s="3">
        <v>96100800</v>
      </c>
      <c r="G17" s="65">
        <f t="shared" si="4"/>
        <v>507.59999999999997</v>
      </c>
      <c r="H17" s="3">
        <v>631825</v>
      </c>
      <c r="I17" s="71">
        <f t="shared" si="5"/>
        <v>5.1840000000000002</v>
      </c>
      <c r="J17" s="27">
        <f t="shared" si="2"/>
        <v>2313.6840000000002</v>
      </c>
      <c r="K17" s="28">
        <f t="shared" si="3"/>
        <v>13558.188240000001</v>
      </c>
    </row>
    <row r="18" spans="1:25" ht="21" thickBot="1" x14ac:dyDescent="0.3">
      <c r="A18" s="9">
        <v>43723</v>
      </c>
      <c r="B18" s="3">
        <v>366711</v>
      </c>
      <c r="C18" s="65">
        <f t="shared" si="0"/>
        <v>1090</v>
      </c>
      <c r="D18" s="3">
        <v>96669800</v>
      </c>
      <c r="E18" s="65">
        <f t="shared" si="1"/>
        <v>604.79999999999995</v>
      </c>
      <c r="F18" s="3">
        <v>96121800</v>
      </c>
      <c r="G18" s="65">
        <f t="shared" si="4"/>
        <v>567</v>
      </c>
      <c r="H18" s="3">
        <v>632036</v>
      </c>
      <c r="I18" s="71">
        <f t="shared" si="5"/>
        <v>5.6970000000000001</v>
      </c>
      <c r="J18" s="27">
        <f t="shared" si="2"/>
        <v>2267.4970000000003</v>
      </c>
      <c r="K18" s="28">
        <f t="shared" si="3"/>
        <v>13287.532420000003</v>
      </c>
      <c r="P18" t="s">
        <v>13</v>
      </c>
      <c r="R18" t="s">
        <v>13</v>
      </c>
    </row>
    <row r="19" spans="1:25" ht="21" thickBot="1" x14ac:dyDescent="0.3">
      <c r="A19" s="9">
        <v>43724</v>
      </c>
      <c r="B19" s="3">
        <v>366810</v>
      </c>
      <c r="C19" s="65">
        <f t="shared" si="0"/>
        <v>990</v>
      </c>
      <c r="D19" s="3">
        <v>96689100</v>
      </c>
      <c r="E19" s="65">
        <f t="shared" si="1"/>
        <v>521.1</v>
      </c>
      <c r="F19" s="3">
        <v>96141400</v>
      </c>
      <c r="G19" s="65">
        <f t="shared" si="4"/>
        <v>529.20000000000005</v>
      </c>
      <c r="H19" s="3">
        <v>632221</v>
      </c>
      <c r="I19" s="71">
        <f t="shared" si="5"/>
        <v>4.9950000000000001</v>
      </c>
      <c r="J19" s="27">
        <f t="shared" si="2"/>
        <v>2045.2949999999998</v>
      </c>
      <c r="K19" s="28">
        <f t="shared" si="3"/>
        <v>11985.4287</v>
      </c>
      <c r="O19" t="s">
        <v>13</v>
      </c>
      <c r="Q19" t="s">
        <v>49</v>
      </c>
    </row>
    <row r="20" spans="1:25" ht="21" thickBot="1" x14ac:dyDescent="0.3">
      <c r="A20" s="9">
        <v>43725</v>
      </c>
      <c r="B20" s="3">
        <v>366931</v>
      </c>
      <c r="C20" s="65">
        <f t="shared" si="0"/>
        <v>1210</v>
      </c>
      <c r="D20" s="3">
        <v>96711200</v>
      </c>
      <c r="E20" s="65">
        <f t="shared" si="1"/>
        <v>596.70000000000005</v>
      </c>
      <c r="F20" s="3">
        <v>96161700</v>
      </c>
      <c r="G20" s="65">
        <f t="shared" si="4"/>
        <v>548.1</v>
      </c>
      <c r="H20" s="3">
        <v>632392</v>
      </c>
      <c r="I20" s="71">
        <f t="shared" si="5"/>
        <v>4.617</v>
      </c>
      <c r="J20" s="27">
        <f t="shared" si="2"/>
        <v>2359.4170000000004</v>
      </c>
      <c r="K20" s="28">
        <f t="shared" si="3"/>
        <v>13826.183620000003</v>
      </c>
      <c r="Q20" t="s">
        <v>13</v>
      </c>
    </row>
    <row r="21" spans="1:25" ht="21" thickBot="1" x14ac:dyDescent="0.3">
      <c r="A21" s="9">
        <v>43726</v>
      </c>
      <c r="B21" s="3">
        <v>367060</v>
      </c>
      <c r="C21" s="65">
        <f t="shared" si="0"/>
        <v>1290</v>
      </c>
      <c r="D21" s="3">
        <v>96735700</v>
      </c>
      <c r="E21" s="65">
        <f t="shared" si="1"/>
        <v>661.5</v>
      </c>
      <c r="F21" s="3">
        <v>96183300</v>
      </c>
      <c r="G21" s="65">
        <f t="shared" si="4"/>
        <v>583.20000000000005</v>
      </c>
      <c r="H21" s="3">
        <v>632600</v>
      </c>
      <c r="I21" s="71">
        <f t="shared" si="5"/>
        <v>5.6159999999999997</v>
      </c>
      <c r="J21" s="27">
        <f t="shared" si="2"/>
        <v>2540.3159999999998</v>
      </c>
      <c r="K21" s="28">
        <f t="shared" si="3"/>
        <v>14886.251759999999</v>
      </c>
    </row>
    <row r="22" spans="1:25" ht="21" thickBot="1" x14ac:dyDescent="0.3">
      <c r="A22" s="9">
        <v>43727</v>
      </c>
      <c r="B22" s="3">
        <v>367169</v>
      </c>
      <c r="C22" s="65">
        <f t="shared" si="0"/>
        <v>1090</v>
      </c>
      <c r="D22" s="3">
        <v>96756900</v>
      </c>
      <c r="E22" s="65">
        <f t="shared" si="1"/>
        <v>572.4</v>
      </c>
      <c r="F22" s="3">
        <v>96190000</v>
      </c>
      <c r="G22" s="65">
        <f t="shared" si="4"/>
        <v>180.9</v>
      </c>
      <c r="H22" s="3">
        <v>632612</v>
      </c>
      <c r="I22" s="71">
        <f t="shared" si="5"/>
        <v>0.32400000000000001</v>
      </c>
      <c r="J22" s="27">
        <f t="shared" si="2"/>
        <v>1843.6240000000003</v>
      </c>
      <c r="K22" s="28">
        <f t="shared" si="3"/>
        <v>10803.636640000002</v>
      </c>
      <c r="N22" t="s">
        <v>13</v>
      </c>
    </row>
    <row r="23" spans="1:25" ht="21" thickBot="1" x14ac:dyDescent="0.3">
      <c r="A23" s="9">
        <v>43728</v>
      </c>
      <c r="B23" s="3">
        <v>367255</v>
      </c>
      <c r="C23" s="65">
        <f t="shared" si="0"/>
        <v>860</v>
      </c>
      <c r="D23" s="3">
        <v>96775500</v>
      </c>
      <c r="E23" s="65">
        <f t="shared" si="1"/>
        <v>502.2</v>
      </c>
      <c r="F23" s="3">
        <v>96211000</v>
      </c>
      <c r="G23" s="65">
        <f t="shared" si="4"/>
        <v>567</v>
      </c>
      <c r="H23" s="3">
        <v>632822</v>
      </c>
      <c r="I23" s="71">
        <f t="shared" si="5"/>
        <v>5.67</v>
      </c>
      <c r="J23" s="27">
        <f t="shared" si="2"/>
        <v>1934.8700000000001</v>
      </c>
      <c r="K23" s="28">
        <f t="shared" si="3"/>
        <v>11338.338200000002</v>
      </c>
      <c r="P23" t="s">
        <v>13</v>
      </c>
      <c r="S23" s="49" t="s">
        <v>13</v>
      </c>
    </row>
    <row r="24" spans="1:25" ht="21" thickBot="1" x14ac:dyDescent="0.3">
      <c r="A24" s="9">
        <v>43729</v>
      </c>
      <c r="B24" s="3">
        <v>367380</v>
      </c>
      <c r="C24" s="65">
        <f t="shared" si="0"/>
        <v>1250</v>
      </c>
      <c r="D24" s="3">
        <v>96790600</v>
      </c>
      <c r="E24" s="65">
        <f t="shared" si="1"/>
        <v>407.7</v>
      </c>
      <c r="F24" s="3">
        <v>96233100</v>
      </c>
      <c r="G24" s="65">
        <f t="shared" si="4"/>
        <v>596.70000000000005</v>
      </c>
      <c r="H24" s="3">
        <v>632932</v>
      </c>
      <c r="I24" s="71">
        <f t="shared" si="5"/>
        <v>2.9699999999999998</v>
      </c>
      <c r="J24" s="27">
        <f t="shared" si="2"/>
        <v>2257.37</v>
      </c>
      <c r="K24" s="28">
        <f t="shared" si="3"/>
        <v>13228.188200000001</v>
      </c>
      <c r="Q24" t="s">
        <v>13</v>
      </c>
    </row>
    <row r="25" spans="1:25" ht="21" thickBot="1" x14ac:dyDescent="0.3">
      <c r="A25" s="9">
        <v>43730</v>
      </c>
      <c r="B25" s="3">
        <v>367474</v>
      </c>
      <c r="C25" s="65">
        <f t="shared" si="0"/>
        <v>940</v>
      </c>
      <c r="D25" s="3">
        <v>96810300</v>
      </c>
      <c r="E25" s="65">
        <f t="shared" si="1"/>
        <v>531.9</v>
      </c>
      <c r="F25" s="3">
        <v>96258200</v>
      </c>
      <c r="G25" s="65">
        <f t="shared" si="4"/>
        <v>677.7</v>
      </c>
      <c r="H25" s="3">
        <v>633328</v>
      </c>
      <c r="I25" s="71">
        <f t="shared" si="5"/>
        <v>10.692</v>
      </c>
      <c r="J25" s="27">
        <f t="shared" si="2"/>
        <v>2160.2920000000004</v>
      </c>
      <c r="K25" s="28">
        <f t="shared" si="3"/>
        <v>12659.311120000002</v>
      </c>
    </row>
    <row r="26" spans="1:25" ht="22.5" customHeight="1" thickBot="1" x14ac:dyDescent="0.4">
      <c r="A26" s="9">
        <v>43731</v>
      </c>
      <c r="B26" s="3">
        <v>367592</v>
      </c>
      <c r="C26" s="65">
        <f t="shared" si="0"/>
        <v>1180</v>
      </c>
      <c r="D26" s="3">
        <v>96831400</v>
      </c>
      <c r="E26" s="65">
        <f t="shared" si="1"/>
        <v>569.70000000000005</v>
      </c>
      <c r="F26" s="3">
        <v>96280000</v>
      </c>
      <c r="G26" s="65">
        <f t="shared" si="4"/>
        <v>588.6</v>
      </c>
      <c r="H26" s="3">
        <v>633577</v>
      </c>
      <c r="I26" s="71">
        <f t="shared" si="5"/>
        <v>6.7229999999999999</v>
      </c>
      <c r="J26" s="27">
        <f t="shared" si="2"/>
        <v>2345.0230000000001</v>
      </c>
      <c r="K26" s="28">
        <f t="shared" si="3"/>
        <v>13741.834780000001</v>
      </c>
      <c r="Y26" s="85"/>
    </row>
    <row r="27" spans="1:25" ht="21" thickBot="1" x14ac:dyDescent="0.3">
      <c r="A27" s="9">
        <v>43732</v>
      </c>
      <c r="B27" s="3">
        <v>367688</v>
      </c>
      <c r="C27" s="65">
        <f t="shared" si="0"/>
        <v>960</v>
      </c>
      <c r="D27" s="3">
        <v>96849400</v>
      </c>
      <c r="E27" s="65">
        <f t="shared" si="1"/>
        <v>486</v>
      </c>
      <c r="F27" s="3">
        <v>96896100</v>
      </c>
      <c r="G27" s="65">
        <f t="shared" si="4"/>
        <v>16634.7</v>
      </c>
      <c r="H27" s="3">
        <v>633792</v>
      </c>
      <c r="I27" s="71">
        <f t="shared" si="5"/>
        <v>5.8049999999999997</v>
      </c>
      <c r="J27" s="27">
        <f t="shared" si="2"/>
        <v>18086.505000000001</v>
      </c>
      <c r="K27" s="28">
        <f t="shared" si="3"/>
        <v>105986.91930000001</v>
      </c>
      <c r="L27" t="s">
        <v>13</v>
      </c>
    </row>
    <row r="28" spans="1:25" ht="21" thickBot="1" x14ac:dyDescent="0.3">
      <c r="A28" s="9">
        <v>43733</v>
      </c>
      <c r="B28" s="3">
        <v>367798</v>
      </c>
      <c r="C28" s="65">
        <f t="shared" si="0"/>
        <v>1100</v>
      </c>
      <c r="D28" s="3">
        <v>96871100</v>
      </c>
      <c r="E28" s="65">
        <f t="shared" si="1"/>
        <v>585.9</v>
      </c>
      <c r="F28" s="3">
        <v>96314100</v>
      </c>
      <c r="G28" s="65">
        <f t="shared" si="4"/>
        <v>0</v>
      </c>
      <c r="H28" s="3">
        <v>634067</v>
      </c>
      <c r="I28" s="71">
        <f t="shared" si="5"/>
        <v>7.4249999999999998</v>
      </c>
      <c r="J28" s="27">
        <f t="shared" si="2"/>
        <v>1693.325</v>
      </c>
      <c r="K28" s="28">
        <f t="shared" si="3"/>
        <v>9922.8845000000001</v>
      </c>
      <c r="O28" t="s">
        <v>13</v>
      </c>
    </row>
    <row r="29" spans="1:25" ht="21" thickBot="1" x14ac:dyDescent="0.3">
      <c r="A29" s="9">
        <v>43734</v>
      </c>
      <c r="B29" s="3">
        <v>367895</v>
      </c>
      <c r="C29" s="65">
        <f t="shared" si="0"/>
        <v>970</v>
      </c>
      <c r="D29" s="3">
        <v>96888800</v>
      </c>
      <c r="E29" s="65">
        <f t="shared" si="1"/>
        <v>477.9</v>
      </c>
      <c r="F29" s="3">
        <v>96331800</v>
      </c>
      <c r="G29" s="65">
        <f t="shared" si="4"/>
        <v>477.9</v>
      </c>
      <c r="H29" s="3">
        <v>634302</v>
      </c>
      <c r="I29" s="71">
        <f t="shared" si="5"/>
        <v>6.3449999999999998</v>
      </c>
      <c r="J29" s="27">
        <f t="shared" si="2"/>
        <v>1932.1450000000002</v>
      </c>
      <c r="K29" s="28">
        <f t="shared" si="3"/>
        <v>11322.369700000001</v>
      </c>
    </row>
    <row r="30" spans="1:25" ht="21" thickBot="1" x14ac:dyDescent="0.3">
      <c r="A30" s="9">
        <v>43735</v>
      </c>
      <c r="B30" s="3">
        <v>367998</v>
      </c>
      <c r="C30" s="65">
        <f t="shared" si="0"/>
        <v>1030</v>
      </c>
      <c r="D30" s="3">
        <v>96908500</v>
      </c>
      <c r="E30" s="65">
        <f t="shared" si="1"/>
        <v>531.9</v>
      </c>
      <c r="F30" s="3">
        <v>96350300</v>
      </c>
      <c r="G30" s="65">
        <f t="shared" si="4"/>
        <v>499.5</v>
      </c>
      <c r="H30" s="3">
        <v>634517</v>
      </c>
      <c r="I30" s="71">
        <f t="shared" si="5"/>
        <v>5.8049999999999997</v>
      </c>
      <c r="J30" s="27">
        <f t="shared" si="2"/>
        <v>2067.2049999999999</v>
      </c>
      <c r="K30" s="28">
        <f t="shared" si="3"/>
        <v>12113.8213</v>
      </c>
    </row>
    <row r="31" spans="1:25" ht="21" thickBot="1" x14ac:dyDescent="0.3">
      <c r="A31" s="9">
        <v>43736</v>
      </c>
      <c r="B31" s="3">
        <v>368106</v>
      </c>
      <c r="C31" s="65">
        <f t="shared" si="0"/>
        <v>1080</v>
      </c>
      <c r="D31" s="3">
        <v>96928300</v>
      </c>
      <c r="E31" s="65">
        <f t="shared" si="1"/>
        <v>534.6</v>
      </c>
      <c r="F31" s="3">
        <v>96368200</v>
      </c>
      <c r="G31" s="65">
        <f t="shared" si="4"/>
        <v>483.3</v>
      </c>
      <c r="H31" s="3">
        <v>634754</v>
      </c>
      <c r="I31" s="71">
        <f t="shared" si="5"/>
        <v>6.399</v>
      </c>
      <c r="J31" s="27">
        <f t="shared" si="2"/>
        <v>2104.299</v>
      </c>
      <c r="K31" s="28">
        <f t="shared" si="3"/>
        <v>12331.192140000001</v>
      </c>
    </row>
    <row r="32" spans="1:25" ht="21" thickBot="1" x14ac:dyDescent="0.3">
      <c r="A32" s="9">
        <v>43737</v>
      </c>
      <c r="B32" s="3">
        <v>368212</v>
      </c>
      <c r="C32" s="65">
        <f t="shared" si="0"/>
        <v>1060</v>
      </c>
      <c r="D32" s="3">
        <v>96949200</v>
      </c>
      <c r="E32" s="65">
        <f t="shared" si="1"/>
        <v>564.29999999999995</v>
      </c>
      <c r="F32" s="3">
        <v>96385200</v>
      </c>
      <c r="G32" s="65">
        <f t="shared" si="4"/>
        <v>459</v>
      </c>
      <c r="H32" s="3">
        <v>635000</v>
      </c>
      <c r="I32" s="71">
        <f t="shared" si="5"/>
        <v>6.6420000000000003</v>
      </c>
      <c r="J32" s="27">
        <f>C32+E32+G32+I32</f>
        <v>2089.942</v>
      </c>
      <c r="K32" s="28">
        <f t="shared" si="3"/>
        <v>12247.06012</v>
      </c>
    </row>
    <row r="33" spans="1:11" ht="21" thickBot="1" x14ac:dyDescent="0.3">
      <c r="A33" s="9">
        <v>43738</v>
      </c>
      <c r="B33" s="3">
        <v>368310</v>
      </c>
      <c r="C33" s="65">
        <f t="shared" si="0"/>
        <v>980</v>
      </c>
      <c r="D33" s="3">
        <v>96967700</v>
      </c>
      <c r="E33" s="65">
        <f t="shared" si="1"/>
        <v>499.5</v>
      </c>
      <c r="F33" s="3">
        <v>96401000</v>
      </c>
      <c r="G33" s="65">
        <f t="shared" si="4"/>
        <v>426.6</v>
      </c>
      <c r="H33" s="3">
        <v>635215</v>
      </c>
      <c r="I33" s="71">
        <f t="shared" si="5"/>
        <v>5.8049999999999997</v>
      </c>
      <c r="J33" s="27">
        <f>C33+E33+G33+I33</f>
        <v>1911.905</v>
      </c>
      <c r="K33" s="28">
        <f t="shared" si="3"/>
        <v>11203.763300000001</v>
      </c>
    </row>
    <row r="34" spans="1:11" ht="21" thickBot="1" x14ac:dyDescent="0.3">
      <c r="A34" s="9"/>
      <c r="B34" s="3">
        <v>368310</v>
      </c>
      <c r="C34" s="65">
        <f t="shared" si="0"/>
        <v>0</v>
      </c>
      <c r="D34" s="3">
        <v>96967700</v>
      </c>
      <c r="E34" s="65">
        <f t="shared" si="1"/>
        <v>0</v>
      </c>
      <c r="F34" s="3">
        <v>96401000</v>
      </c>
      <c r="G34" s="65">
        <f t="shared" si="4"/>
        <v>0</v>
      </c>
      <c r="H34" s="3">
        <v>635215</v>
      </c>
      <c r="I34" s="71">
        <f t="shared" si="5"/>
        <v>0</v>
      </c>
      <c r="J34" s="27">
        <f>C34+E34+G34+I34</f>
        <v>0</v>
      </c>
      <c r="K34" s="28">
        <f t="shared" si="3"/>
        <v>0</v>
      </c>
    </row>
    <row r="35" spans="1:11" ht="21" thickBot="1" x14ac:dyDescent="0.3">
      <c r="A35" s="9" t="s">
        <v>28</v>
      </c>
      <c r="B35" s="3"/>
      <c r="C35" s="86">
        <f>SUM(C4:C34)</f>
        <v>32410</v>
      </c>
      <c r="D35" s="3"/>
      <c r="E35" s="86">
        <f>SUM(E4:E34)</f>
        <v>16440.300000000003</v>
      </c>
      <c r="F35" s="3"/>
      <c r="G35" s="86">
        <f>SUM(G4:G34)</f>
        <v>31041.900000000005</v>
      </c>
      <c r="H35" s="3"/>
      <c r="I35" s="72">
        <f>SUM(I4:I34)</f>
        <v>170.50500000000002</v>
      </c>
      <c r="J35" s="11">
        <f>SUM(J4:J31)</f>
        <v>76060.858000000007</v>
      </c>
      <c r="K35" s="11">
        <f>SUM(K4:K31)</f>
        <v>445716.62787999999</v>
      </c>
    </row>
    <row r="38" spans="1:11" x14ac:dyDescent="0.2">
      <c r="G38" t="s">
        <v>13</v>
      </c>
    </row>
  </sheetData>
  <mergeCells count="1">
    <mergeCell ref="A1:K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52"/>
  <sheetViews>
    <sheetView view="pageBreakPreview" zoomScale="70" zoomScaleNormal="110" zoomScaleSheetLayoutView="70" workbookViewId="0">
      <selection activeCell="B3" sqref="B3:AA3"/>
    </sheetView>
  </sheetViews>
  <sheetFormatPr defaultColWidth="23" defaultRowHeight="15.75" x14ac:dyDescent="0.25"/>
  <cols>
    <col min="1" max="1" width="15.140625" style="39" bestFit="1" customWidth="1"/>
    <col min="2" max="2" width="14.85546875" style="67" bestFit="1" customWidth="1"/>
    <col min="3" max="3" width="15.28515625" style="67" bestFit="1" customWidth="1"/>
    <col min="4" max="4" width="10.28515625" style="67" bestFit="1" customWidth="1"/>
    <col min="5" max="5" width="12.85546875" style="30" bestFit="1" customWidth="1"/>
    <col min="6" max="6" width="9" style="30" bestFit="1" customWidth="1"/>
    <col min="7" max="7" width="11.5703125" style="30" bestFit="1" customWidth="1"/>
    <col min="8" max="10" width="10.28515625" style="30" bestFit="1" customWidth="1"/>
    <col min="11" max="11" width="9" style="30" bestFit="1" customWidth="1"/>
    <col min="12" max="12" width="11.5703125" style="30" bestFit="1" customWidth="1"/>
    <col min="13" max="13" width="9" style="30" bestFit="1" customWidth="1"/>
    <col min="14" max="14" width="11.5703125" style="30" bestFit="1" customWidth="1"/>
    <col min="15" max="15" width="9.85546875" style="30" customWidth="1"/>
    <col min="16" max="16" width="11.5703125" style="30" bestFit="1" customWidth="1"/>
    <col min="17" max="17" width="9" style="30" bestFit="1" customWidth="1"/>
    <col min="18" max="18" width="12.85546875" style="30" bestFit="1" customWidth="1"/>
    <col min="19" max="19" width="9" style="30" bestFit="1" customWidth="1"/>
    <col min="20" max="20" width="4.7109375" style="30" bestFit="1" customWidth="1"/>
    <col min="21" max="21" width="7.7109375" style="30" bestFit="1" customWidth="1"/>
    <col min="22" max="22" width="11.5703125" style="30" bestFit="1" customWidth="1"/>
    <col min="23" max="23" width="9" style="30" bestFit="1" customWidth="1"/>
    <col min="24" max="24" width="10.85546875" style="30" bestFit="1" customWidth="1"/>
    <col min="25" max="25" width="12.140625" style="30" bestFit="1" customWidth="1"/>
    <col min="26" max="26" width="21.7109375" style="40" bestFit="1" customWidth="1"/>
    <col min="27" max="27" width="20.42578125" style="40" bestFit="1" customWidth="1"/>
    <col min="28" max="16384" width="23" style="30"/>
  </cols>
  <sheetData>
    <row r="1" spans="1:27" ht="16.5" thickBot="1" x14ac:dyDescent="0.25">
      <c r="A1" s="169" t="s">
        <v>143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</row>
    <row r="2" spans="1:27" ht="16.5" thickBot="1" x14ac:dyDescent="0.3">
      <c r="A2" s="6" t="s">
        <v>0</v>
      </c>
      <c r="B2" s="65" t="s">
        <v>60</v>
      </c>
      <c r="C2" s="68" t="s">
        <v>69</v>
      </c>
      <c r="D2" s="68" t="s">
        <v>17</v>
      </c>
      <c r="E2" s="3" t="s">
        <v>36</v>
      </c>
      <c r="F2" s="4" t="s">
        <v>31</v>
      </c>
      <c r="G2" s="3" t="s">
        <v>37</v>
      </c>
      <c r="H2" s="4" t="s">
        <v>31</v>
      </c>
      <c r="I2" s="3" t="s">
        <v>28</v>
      </c>
      <c r="J2" s="3" t="s">
        <v>38</v>
      </c>
      <c r="K2" s="4" t="s">
        <v>31</v>
      </c>
      <c r="L2" s="3" t="s">
        <v>39</v>
      </c>
      <c r="M2" s="4" t="s">
        <v>31</v>
      </c>
      <c r="N2" s="3" t="s">
        <v>40</v>
      </c>
      <c r="O2" s="4" t="s">
        <v>31</v>
      </c>
      <c r="P2" s="3" t="s">
        <v>41</v>
      </c>
      <c r="Q2" s="4" t="s">
        <v>31</v>
      </c>
      <c r="R2" s="3" t="s">
        <v>42</v>
      </c>
      <c r="S2" s="4" t="s">
        <v>31</v>
      </c>
      <c r="T2" s="3" t="s">
        <v>43</v>
      </c>
      <c r="U2" s="4" t="s">
        <v>31</v>
      </c>
      <c r="V2" s="3" t="s">
        <v>44</v>
      </c>
      <c r="W2" s="4" t="s">
        <v>31</v>
      </c>
      <c r="X2" s="3" t="s">
        <v>28</v>
      </c>
      <c r="Y2" s="3" t="s">
        <v>45</v>
      </c>
      <c r="Z2" s="29" t="s">
        <v>46</v>
      </c>
      <c r="AA2" s="29" t="s">
        <v>47</v>
      </c>
    </row>
    <row r="3" spans="1:27" ht="16.5" thickBot="1" x14ac:dyDescent="0.25">
      <c r="A3" s="6" t="s">
        <v>12</v>
      </c>
      <c r="B3" s="65">
        <v>245</v>
      </c>
      <c r="C3" s="65">
        <v>16297</v>
      </c>
      <c r="D3" s="65">
        <v>480</v>
      </c>
      <c r="E3" s="31">
        <v>18643308</v>
      </c>
      <c r="F3" s="32" t="s">
        <v>148</v>
      </c>
      <c r="G3" s="31">
        <v>52775188</v>
      </c>
      <c r="H3" s="32">
        <v>60069</v>
      </c>
      <c r="I3" s="33">
        <v>60069</v>
      </c>
      <c r="J3" s="31">
        <v>4613370</v>
      </c>
      <c r="K3" s="32">
        <v>6297</v>
      </c>
      <c r="L3" s="34">
        <v>4926113</v>
      </c>
      <c r="M3" s="32">
        <v>8405</v>
      </c>
      <c r="N3" s="31">
        <v>3095086</v>
      </c>
      <c r="O3" s="32">
        <v>16568</v>
      </c>
      <c r="P3" s="34">
        <v>7372585</v>
      </c>
      <c r="Q3" s="32">
        <v>14280</v>
      </c>
      <c r="R3" s="31">
        <v>11582143</v>
      </c>
      <c r="S3" s="32">
        <v>11726</v>
      </c>
      <c r="T3" s="31">
        <v>0</v>
      </c>
      <c r="U3" s="32"/>
      <c r="V3" s="31">
        <v>8349237</v>
      </c>
      <c r="W3" s="32">
        <v>13364</v>
      </c>
      <c r="X3" s="33">
        <v>70640</v>
      </c>
      <c r="Y3" s="47">
        <v>-10571</v>
      </c>
      <c r="Z3" s="31">
        <v>10555.527631999999</v>
      </c>
      <c r="AA3" s="31">
        <v>43309.5605488</v>
      </c>
    </row>
    <row r="4" spans="1:27" ht="16.5" thickBot="1" x14ac:dyDescent="0.25">
      <c r="A4" s="6">
        <v>43709</v>
      </c>
      <c r="B4" s="65">
        <v>245</v>
      </c>
      <c r="C4" s="65">
        <v>16299</v>
      </c>
      <c r="D4" s="65">
        <f>IF((C4-C3)&lt;0,"0",(C4-C3))*160</f>
        <v>320</v>
      </c>
      <c r="E4" s="31">
        <v>18667512</v>
      </c>
      <c r="F4" s="65">
        <f>IF((E4-E3)&lt;0,"0",(E4-E3))</f>
        <v>24204</v>
      </c>
      <c r="G4" s="31">
        <v>52833980</v>
      </c>
      <c r="H4" s="65">
        <f>IF((G4-G3)&lt;0,"0",(G4-G3))</f>
        <v>58792</v>
      </c>
      <c r="I4" s="33">
        <f t="shared" ref="I4:I35" si="0">F4+H4</f>
        <v>82996</v>
      </c>
      <c r="J4" s="31">
        <v>4619912</v>
      </c>
      <c r="K4" s="65">
        <f>IF((J4-J3)&lt;0,"0",(J4-J3))</f>
        <v>6542</v>
      </c>
      <c r="L4" s="34">
        <v>4934244</v>
      </c>
      <c r="M4" s="65">
        <f>IF((L4-L3)&lt;0,"0",(L4-L3))</f>
        <v>8131</v>
      </c>
      <c r="N4" s="31">
        <v>3108920</v>
      </c>
      <c r="O4" s="65">
        <f>(IF((N4-N3)&lt;0,"0",(N4-N3)))*2</f>
        <v>27668</v>
      </c>
      <c r="P4" s="34">
        <v>7386589</v>
      </c>
      <c r="Q4" s="65">
        <f>IF((P4-P3)&lt;0,"0",(P4-P3))</f>
        <v>14004</v>
      </c>
      <c r="R4" s="31">
        <v>11593632</v>
      </c>
      <c r="S4" s="65">
        <f>IF((R4-R3)&lt;0,"0",(R4-R3))</f>
        <v>11489</v>
      </c>
      <c r="T4" s="31">
        <v>0</v>
      </c>
      <c r="U4" s="32"/>
      <c r="V4" s="31">
        <v>8361940</v>
      </c>
      <c r="W4" s="65">
        <f>IF((V4-V3)&lt;0,"0",(V4-V3))</f>
        <v>12703</v>
      </c>
      <c r="X4" s="33">
        <f t="shared" ref="X4:X31" si="1">K4+M4+O4+Q4+S4+U4+W4</f>
        <v>80537</v>
      </c>
      <c r="Y4" s="47">
        <f t="shared" ref="Y4:Y31" si="2">I4-X4</f>
        <v>2459</v>
      </c>
      <c r="Z4" s="31">
        <f t="shared" ref="Z4:Z34" si="3">(0.93352*(W4+S4)+0.5568*(Q4+O4))*0.26</f>
        <v>11904.538214400001</v>
      </c>
      <c r="AA4" s="31">
        <f>SUM(Z1:Z4)</f>
        <v>22460.065846400001</v>
      </c>
    </row>
    <row r="5" spans="1:27" ht="16.5" thickBot="1" x14ac:dyDescent="0.25">
      <c r="A5" s="6">
        <v>43710</v>
      </c>
      <c r="B5" s="65">
        <v>240</v>
      </c>
      <c r="C5" s="65">
        <v>16313</v>
      </c>
      <c r="D5" s="65">
        <f t="shared" ref="D5:D34" si="4">IF((C5-C4)&lt;0,"0",(C5-C4))*160</f>
        <v>2240</v>
      </c>
      <c r="E5" s="31">
        <v>18691862</v>
      </c>
      <c r="F5" s="65">
        <f t="shared" ref="F5:F34" si="5">IF((E5-E4)&lt;0,"0",(E5-E4))</f>
        <v>24350</v>
      </c>
      <c r="G5" s="31">
        <v>52890882</v>
      </c>
      <c r="H5" s="65">
        <f t="shared" ref="H5:H34" si="6">IF((G5-G4)&lt;0,"0",(G5-G4))</f>
        <v>56902</v>
      </c>
      <c r="I5" s="33">
        <f t="shared" si="0"/>
        <v>81252</v>
      </c>
      <c r="J5" s="31">
        <v>4626122</v>
      </c>
      <c r="K5" s="65">
        <f t="shared" ref="K5:K34" si="7">IF((J5-J4)&lt;0,"0",(J5-J4))</f>
        <v>6210</v>
      </c>
      <c r="L5" s="34">
        <v>4942830</v>
      </c>
      <c r="M5" s="65">
        <f t="shared" ref="M5:M34" si="8">IF((L5-L4)&lt;0,"0",(L5-L4))</f>
        <v>8586</v>
      </c>
      <c r="N5" s="31">
        <v>3110706</v>
      </c>
      <c r="O5" s="65">
        <f>(IF((N5-N4)&lt;P100,"0",(N5-N4)))*2</f>
        <v>3572</v>
      </c>
      <c r="P5" s="34">
        <v>7399971</v>
      </c>
      <c r="Q5" s="65">
        <f t="shared" ref="Q5:Q34" si="9">IF((P5-P4)&lt;0,"0",(P5-P4))</f>
        <v>13382</v>
      </c>
      <c r="R5" s="31">
        <v>11604980</v>
      </c>
      <c r="S5" s="65">
        <f t="shared" ref="S5:S34" si="10">IF((R5-R4)&lt;0,"0",(R5-R4))</f>
        <v>11348</v>
      </c>
      <c r="T5" s="31">
        <v>0</v>
      </c>
      <c r="U5" s="32"/>
      <c r="V5" s="31">
        <v>8374456</v>
      </c>
      <c r="W5" s="65">
        <f t="shared" ref="W5:W34" si="11">IF((V5-V4)&lt;0,"0",(V5-V4))</f>
        <v>12516</v>
      </c>
      <c r="X5" s="33">
        <f t="shared" si="1"/>
        <v>55614</v>
      </c>
      <c r="Y5" s="47">
        <f t="shared" si="2"/>
        <v>25638</v>
      </c>
      <c r="Z5" s="31">
        <f t="shared" si="3"/>
        <v>8246.5522048000003</v>
      </c>
      <c r="AA5" s="31">
        <f t="shared" ref="AA5:AA34" si="12">SUM(Z2:Z5)</f>
        <v>30706.618051199999</v>
      </c>
    </row>
    <row r="6" spans="1:27" ht="16.5" thickBot="1" x14ac:dyDescent="0.25">
      <c r="A6" s="6">
        <v>43711</v>
      </c>
      <c r="B6" s="65">
        <v>248</v>
      </c>
      <c r="C6" s="65">
        <v>16320</v>
      </c>
      <c r="D6" s="65">
        <f t="shared" si="4"/>
        <v>1120</v>
      </c>
      <c r="E6" s="31">
        <v>18708973</v>
      </c>
      <c r="F6" s="65">
        <f t="shared" si="5"/>
        <v>17111</v>
      </c>
      <c r="G6" s="31">
        <v>52940657</v>
      </c>
      <c r="H6" s="65">
        <f t="shared" si="6"/>
        <v>49775</v>
      </c>
      <c r="I6" s="33">
        <f t="shared" si="0"/>
        <v>66886</v>
      </c>
      <c r="J6" s="31">
        <v>4631457</v>
      </c>
      <c r="K6" s="65">
        <f t="shared" si="7"/>
        <v>5335</v>
      </c>
      <c r="L6" s="34">
        <v>4948627</v>
      </c>
      <c r="M6" s="65">
        <f t="shared" si="8"/>
        <v>5797</v>
      </c>
      <c r="N6" s="31">
        <v>3116272</v>
      </c>
      <c r="O6" s="65">
        <f t="shared" ref="O6:O34" si="13">(IF((N6-N5)&lt;0,"0",(N6-N5)))*2</f>
        <v>11132</v>
      </c>
      <c r="P6" s="34">
        <v>7411342</v>
      </c>
      <c r="Q6" s="65">
        <f t="shared" si="9"/>
        <v>11371</v>
      </c>
      <c r="R6" s="31">
        <v>11615010</v>
      </c>
      <c r="S6" s="65">
        <f t="shared" si="10"/>
        <v>10030</v>
      </c>
      <c r="T6" s="31">
        <v>0</v>
      </c>
      <c r="U6" s="32"/>
      <c r="V6" s="31">
        <v>8385494</v>
      </c>
      <c r="W6" s="65">
        <f t="shared" si="11"/>
        <v>11038</v>
      </c>
      <c r="X6" s="33">
        <f t="shared" si="1"/>
        <v>54703</v>
      </c>
      <c r="Y6" s="47">
        <f t="shared" si="2"/>
        <v>12183</v>
      </c>
      <c r="Z6" s="31">
        <f t="shared" si="3"/>
        <v>8371.2381375999994</v>
      </c>
      <c r="AA6" s="31">
        <f t="shared" si="12"/>
        <v>39077.856188799997</v>
      </c>
    </row>
    <row r="7" spans="1:27" ht="16.5" thickBot="1" x14ac:dyDescent="0.25">
      <c r="A7" s="6">
        <v>43712</v>
      </c>
      <c r="B7" s="65">
        <v>242</v>
      </c>
      <c r="C7" s="65">
        <v>16325</v>
      </c>
      <c r="D7" s="65">
        <f t="shared" si="4"/>
        <v>800</v>
      </c>
      <c r="E7" s="31">
        <v>18728369</v>
      </c>
      <c r="F7" s="65">
        <f t="shared" si="5"/>
        <v>19396</v>
      </c>
      <c r="G7" s="31">
        <v>53004293</v>
      </c>
      <c r="H7" s="65">
        <f t="shared" si="6"/>
        <v>63636</v>
      </c>
      <c r="I7" s="33">
        <f t="shared" si="0"/>
        <v>83032</v>
      </c>
      <c r="J7" s="31">
        <v>4638741</v>
      </c>
      <c r="K7" s="65">
        <f t="shared" si="7"/>
        <v>7284</v>
      </c>
      <c r="L7" s="34">
        <v>4955026</v>
      </c>
      <c r="M7" s="65">
        <f t="shared" si="8"/>
        <v>6399</v>
      </c>
      <c r="N7" s="31">
        <v>3122667</v>
      </c>
      <c r="O7" s="65">
        <f t="shared" si="13"/>
        <v>12790</v>
      </c>
      <c r="P7" s="34">
        <v>7425876</v>
      </c>
      <c r="Q7" s="65">
        <f t="shared" si="9"/>
        <v>14534</v>
      </c>
      <c r="R7" s="31">
        <v>11628580</v>
      </c>
      <c r="S7" s="65">
        <f t="shared" si="10"/>
        <v>13570</v>
      </c>
      <c r="T7" s="31">
        <v>0</v>
      </c>
      <c r="U7" s="32"/>
      <c r="V7" s="31">
        <v>8399690</v>
      </c>
      <c r="W7" s="65">
        <f t="shared" si="11"/>
        <v>14196</v>
      </c>
      <c r="X7" s="33">
        <f t="shared" si="1"/>
        <v>68773</v>
      </c>
      <c r="Y7" s="47">
        <f t="shared" si="2"/>
        <v>14259</v>
      </c>
      <c r="Z7" s="31">
        <f t="shared" si="3"/>
        <v>10694.871075200001</v>
      </c>
      <c r="AA7" s="31">
        <f t="shared" si="12"/>
        <v>39217.199632000003</v>
      </c>
    </row>
    <row r="8" spans="1:27" ht="16.5" thickBot="1" x14ac:dyDescent="0.25">
      <c r="A8" s="6">
        <v>43713</v>
      </c>
      <c r="B8" s="65">
        <v>293</v>
      </c>
      <c r="C8" s="65">
        <v>16332</v>
      </c>
      <c r="D8" s="65">
        <f t="shared" si="4"/>
        <v>1120</v>
      </c>
      <c r="E8" s="31">
        <v>18745689</v>
      </c>
      <c r="F8" s="65">
        <f t="shared" si="5"/>
        <v>17320</v>
      </c>
      <c r="G8" s="31">
        <v>53064668</v>
      </c>
      <c r="H8" s="65">
        <f t="shared" si="6"/>
        <v>60375</v>
      </c>
      <c r="I8" s="33">
        <f t="shared" si="0"/>
        <v>77695</v>
      </c>
      <c r="J8" s="31">
        <v>4644638</v>
      </c>
      <c r="K8" s="65">
        <f t="shared" si="7"/>
        <v>5897</v>
      </c>
      <c r="L8" s="34">
        <v>4960630</v>
      </c>
      <c r="M8" s="65">
        <f t="shared" si="8"/>
        <v>5604</v>
      </c>
      <c r="N8" s="31">
        <v>3128430</v>
      </c>
      <c r="O8" s="65">
        <f t="shared" si="13"/>
        <v>11526</v>
      </c>
      <c r="P8" s="34">
        <v>7439644</v>
      </c>
      <c r="Q8" s="65">
        <f t="shared" si="9"/>
        <v>13768</v>
      </c>
      <c r="R8" s="31">
        <v>11640216</v>
      </c>
      <c r="S8" s="65">
        <f t="shared" si="10"/>
        <v>11636</v>
      </c>
      <c r="T8" s="31">
        <v>0</v>
      </c>
      <c r="U8" s="32"/>
      <c r="V8" s="31">
        <v>8412946</v>
      </c>
      <c r="W8" s="65">
        <f t="shared" si="11"/>
        <v>13256</v>
      </c>
      <c r="X8" s="33">
        <f t="shared" si="1"/>
        <v>61687</v>
      </c>
      <c r="Y8" s="47">
        <f t="shared" si="2"/>
        <v>16008</v>
      </c>
      <c r="Z8" s="31">
        <f t="shared" si="3"/>
        <v>9703.4285503999999</v>
      </c>
      <c r="AA8" s="31">
        <f t="shared" si="12"/>
        <v>37016.089968</v>
      </c>
    </row>
    <row r="9" spans="1:27" ht="16.5" thickBot="1" x14ac:dyDescent="0.25">
      <c r="A9" s="6">
        <v>43714</v>
      </c>
      <c r="B9" s="65">
        <v>277</v>
      </c>
      <c r="C9" s="65">
        <v>16337</v>
      </c>
      <c r="D9" s="65">
        <f t="shared" si="4"/>
        <v>800</v>
      </c>
      <c r="E9" s="31">
        <v>18764592</v>
      </c>
      <c r="F9" s="65">
        <f t="shared" si="5"/>
        <v>18903</v>
      </c>
      <c r="G9" s="31">
        <v>53129258</v>
      </c>
      <c r="H9" s="65">
        <f t="shared" si="6"/>
        <v>64590</v>
      </c>
      <c r="I9" s="33">
        <f t="shared" si="0"/>
        <v>83493</v>
      </c>
      <c r="J9" s="31">
        <v>4650891</v>
      </c>
      <c r="K9" s="65">
        <f t="shared" si="7"/>
        <v>6253</v>
      </c>
      <c r="L9" s="34">
        <v>4966514</v>
      </c>
      <c r="M9" s="65">
        <f t="shared" si="8"/>
        <v>5884</v>
      </c>
      <c r="N9" s="31">
        <v>3134807</v>
      </c>
      <c r="O9" s="65">
        <f t="shared" si="13"/>
        <v>12754</v>
      </c>
      <c r="P9" s="34">
        <v>7455113</v>
      </c>
      <c r="Q9" s="65">
        <f t="shared" si="9"/>
        <v>15469</v>
      </c>
      <c r="R9" s="31">
        <v>11653256</v>
      </c>
      <c r="S9" s="65">
        <f t="shared" si="10"/>
        <v>13040</v>
      </c>
      <c r="T9" s="31">
        <v>0</v>
      </c>
      <c r="U9" s="32"/>
      <c r="V9" s="31">
        <v>8427130</v>
      </c>
      <c r="W9" s="65">
        <f t="shared" si="11"/>
        <v>14184</v>
      </c>
      <c r="X9" s="33">
        <f t="shared" si="1"/>
        <v>67584</v>
      </c>
      <c r="Y9" s="47">
        <f t="shared" si="2"/>
        <v>15909</v>
      </c>
      <c r="Z9" s="31">
        <f t="shared" si="3"/>
        <v>10693.4658688</v>
      </c>
      <c r="AA9" s="31">
        <f t="shared" si="12"/>
        <v>39463.003632</v>
      </c>
    </row>
    <row r="10" spans="1:27" ht="16.5" thickBot="1" x14ac:dyDescent="0.25">
      <c r="A10" s="6">
        <v>43715</v>
      </c>
      <c r="B10" s="65">
        <v>292</v>
      </c>
      <c r="C10" s="65">
        <v>16344</v>
      </c>
      <c r="D10" s="65">
        <f t="shared" si="4"/>
        <v>1120</v>
      </c>
      <c r="E10" s="31">
        <v>18780454</v>
      </c>
      <c r="F10" s="65">
        <f t="shared" si="5"/>
        <v>15862</v>
      </c>
      <c r="G10" s="31">
        <v>53172948</v>
      </c>
      <c r="H10" s="65">
        <f t="shared" si="6"/>
        <v>43690</v>
      </c>
      <c r="I10" s="33">
        <f t="shared" si="0"/>
        <v>59552</v>
      </c>
      <c r="J10" s="31">
        <v>4655458</v>
      </c>
      <c r="K10" s="65">
        <f t="shared" si="7"/>
        <v>4567</v>
      </c>
      <c r="L10" s="34">
        <v>4971666</v>
      </c>
      <c r="M10" s="65">
        <f t="shared" si="8"/>
        <v>5152</v>
      </c>
      <c r="N10" s="31">
        <v>3140106</v>
      </c>
      <c r="O10" s="65">
        <f t="shared" si="13"/>
        <v>10598</v>
      </c>
      <c r="P10" s="34">
        <v>7465468</v>
      </c>
      <c r="Q10" s="65">
        <f t="shared" si="9"/>
        <v>10355</v>
      </c>
      <c r="R10" s="31">
        <v>11662073</v>
      </c>
      <c r="S10" s="65">
        <f t="shared" si="10"/>
        <v>8817</v>
      </c>
      <c r="T10" s="31">
        <v>0</v>
      </c>
      <c r="U10" s="32"/>
      <c r="V10" s="31">
        <v>8436753</v>
      </c>
      <c r="W10" s="65">
        <f t="shared" si="11"/>
        <v>9623</v>
      </c>
      <c r="X10" s="33">
        <f t="shared" si="1"/>
        <v>49112</v>
      </c>
      <c r="Y10" s="47">
        <f t="shared" si="2"/>
        <v>10440</v>
      </c>
      <c r="Z10" s="31">
        <f t="shared" si="3"/>
        <v>7508.9921920000015</v>
      </c>
      <c r="AA10" s="31">
        <f t="shared" si="12"/>
        <v>38600.7576864</v>
      </c>
    </row>
    <row r="11" spans="1:27" ht="16.5" thickBot="1" x14ac:dyDescent="0.25">
      <c r="A11" s="6">
        <v>43716</v>
      </c>
      <c r="B11" s="65">
        <v>269</v>
      </c>
      <c r="C11" s="65">
        <v>16352</v>
      </c>
      <c r="D11" s="65">
        <f t="shared" si="4"/>
        <v>1280</v>
      </c>
      <c r="E11" s="31">
        <v>18803451</v>
      </c>
      <c r="F11" s="65">
        <f t="shared" si="5"/>
        <v>22997</v>
      </c>
      <c r="G11" s="31">
        <v>53247342</v>
      </c>
      <c r="H11" s="65">
        <f t="shared" si="6"/>
        <v>74394</v>
      </c>
      <c r="I11" s="33">
        <f t="shared" si="0"/>
        <v>97391</v>
      </c>
      <c r="J11" s="31">
        <v>4663266</v>
      </c>
      <c r="K11" s="65">
        <f t="shared" si="7"/>
        <v>7808</v>
      </c>
      <c r="L11" s="34">
        <v>4979829</v>
      </c>
      <c r="M11" s="65">
        <f t="shared" si="8"/>
        <v>8163</v>
      </c>
      <c r="N11" s="31">
        <v>3147427</v>
      </c>
      <c r="O11" s="65">
        <f t="shared" si="13"/>
        <v>14642</v>
      </c>
      <c r="P11" s="34">
        <v>7482564</v>
      </c>
      <c r="Q11" s="65">
        <f t="shared" si="9"/>
        <v>17096</v>
      </c>
      <c r="R11" s="31">
        <v>11676700</v>
      </c>
      <c r="S11" s="65">
        <f t="shared" si="10"/>
        <v>14627</v>
      </c>
      <c r="T11" s="31">
        <v>0</v>
      </c>
      <c r="U11" s="32"/>
      <c r="V11" s="31">
        <v>8453429</v>
      </c>
      <c r="W11" s="65">
        <f t="shared" si="11"/>
        <v>16676</v>
      </c>
      <c r="X11" s="33">
        <f t="shared" si="1"/>
        <v>79012</v>
      </c>
      <c r="Y11" s="47">
        <f t="shared" si="2"/>
        <v>18379</v>
      </c>
      <c r="Z11" s="31">
        <f t="shared" si="3"/>
        <v>12192.360689599998</v>
      </c>
      <c r="AA11" s="31">
        <f t="shared" si="12"/>
        <v>40098.247300799994</v>
      </c>
    </row>
    <row r="12" spans="1:27" ht="16.5" thickBot="1" x14ac:dyDescent="0.25">
      <c r="A12" s="6">
        <v>43717</v>
      </c>
      <c r="B12" s="65">
        <v>280</v>
      </c>
      <c r="C12" s="65">
        <v>16360</v>
      </c>
      <c r="D12" s="65">
        <f t="shared" si="4"/>
        <v>1280</v>
      </c>
      <c r="E12" s="31">
        <v>18822943</v>
      </c>
      <c r="F12" s="65">
        <f t="shared" si="5"/>
        <v>19492</v>
      </c>
      <c r="G12" s="31">
        <v>53305696</v>
      </c>
      <c r="H12" s="65">
        <f t="shared" si="6"/>
        <v>58354</v>
      </c>
      <c r="I12" s="33">
        <f t="shared" si="0"/>
        <v>77846</v>
      </c>
      <c r="J12" s="31">
        <v>4669295</v>
      </c>
      <c r="K12" s="65">
        <f t="shared" si="7"/>
        <v>6029</v>
      </c>
      <c r="L12" s="34">
        <v>4986616</v>
      </c>
      <c r="M12" s="65">
        <f t="shared" si="8"/>
        <v>6787</v>
      </c>
      <c r="N12" s="31">
        <v>3153659</v>
      </c>
      <c r="O12" s="65">
        <f t="shared" si="13"/>
        <v>12464</v>
      </c>
      <c r="P12" s="34">
        <v>7495523</v>
      </c>
      <c r="Q12" s="65">
        <f t="shared" si="9"/>
        <v>12959</v>
      </c>
      <c r="R12" s="31">
        <v>11687911</v>
      </c>
      <c r="S12" s="65">
        <f t="shared" si="10"/>
        <v>11211</v>
      </c>
      <c r="T12" s="31">
        <v>0</v>
      </c>
      <c r="U12" s="32"/>
      <c r="V12" s="31">
        <v>8466915</v>
      </c>
      <c r="W12" s="65">
        <f t="shared" si="11"/>
        <v>13486</v>
      </c>
      <c r="X12" s="33">
        <f t="shared" si="1"/>
        <v>62936</v>
      </c>
      <c r="Y12" s="47">
        <f t="shared" si="2"/>
        <v>14910</v>
      </c>
      <c r="Z12" s="31">
        <f t="shared" si="3"/>
        <v>9674.7741584000014</v>
      </c>
      <c r="AA12" s="31">
        <f t="shared" si="12"/>
        <v>40069.592908800005</v>
      </c>
    </row>
    <row r="13" spans="1:27" ht="16.5" thickBot="1" x14ac:dyDescent="0.25">
      <c r="A13" s="6">
        <v>43718</v>
      </c>
      <c r="B13" s="65">
        <v>297</v>
      </c>
      <c r="C13" s="65">
        <v>16366</v>
      </c>
      <c r="D13" s="65">
        <f t="shared" si="4"/>
        <v>960</v>
      </c>
      <c r="E13" s="31">
        <v>18841328</v>
      </c>
      <c r="F13" s="65">
        <f t="shared" si="5"/>
        <v>18385</v>
      </c>
      <c r="G13" s="31">
        <v>53370283</v>
      </c>
      <c r="H13" s="65">
        <f t="shared" si="6"/>
        <v>64587</v>
      </c>
      <c r="I13" s="33">
        <f t="shared" si="0"/>
        <v>82972</v>
      </c>
      <c r="J13" s="31">
        <v>4676077</v>
      </c>
      <c r="K13" s="65">
        <f t="shared" si="7"/>
        <v>6782</v>
      </c>
      <c r="L13" s="34">
        <v>4992637</v>
      </c>
      <c r="M13" s="65">
        <f t="shared" si="8"/>
        <v>6021</v>
      </c>
      <c r="N13" s="31">
        <v>3159725</v>
      </c>
      <c r="O13" s="65">
        <f t="shared" si="13"/>
        <v>12132</v>
      </c>
      <c r="P13" s="34">
        <v>7509824</v>
      </c>
      <c r="Q13" s="65">
        <f t="shared" si="9"/>
        <v>14301</v>
      </c>
      <c r="R13" s="31">
        <v>11700449</v>
      </c>
      <c r="S13" s="65">
        <f t="shared" si="10"/>
        <v>12538</v>
      </c>
      <c r="T13" s="31">
        <v>0</v>
      </c>
      <c r="U13" s="32"/>
      <c r="V13" s="31">
        <v>8481664</v>
      </c>
      <c r="W13" s="65">
        <f t="shared" si="11"/>
        <v>14749</v>
      </c>
      <c r="X13" s="33">
        <f t="shared" si="1"/>
        <v>66523</v>
      </c>
      <c r="Y13" s="47">
        <f t="shared" si="2"/>
        <v>16449</v>
      </c>
      <c r="Z13" s="31">
        <f t="shared" si="3"/>
        <v>10449.622206399999</v>
      </c>
      <c r="AA13" s="31">
        <f t="shared" si="12"/>
        <v>39825.749246399995</v>
      </c>
    </row>
    <row r="14" spans="1:27" ht="16.5" thickBot="1" x14ac:dyDescent="0.25">
      <c r="A14" s="6">
        <v>43719</v>
      </c>
      <c r="B14" s="65">
        <v>294</v>
      </c>
      <c r="C14" s="65">
        <v>16374</v>
      </c>
      <c r="D14" s="65">
        <f t="shared" si="4"/>
        <v>1280</v>
      </c>
      <c r="E14" s="31">
        <v>18856715</v>
      </c>
      <c r="F14" s="65">
        <f t="shared" si="5"/>
        <v>15387</v>
      </c>
      <c r="G14" s="31">
        <v>53415421</v>
      </c>
      <c r="H14" s="65">
        <f t="shared" si="6"/>
        <v>45138</v>
      </c>
      <c r="I14" s="33">
        <f t="shared" si="0"/>
        <v>60525</v>
      </c>
      <c r="J14" s="31">
        <v>4680844</v>
      </c>
      <c r="K14" s="65">
        <f t="shared" si="7"/>
        <v>4767</v>
      </c>
      <c r="L14" s="34">
        <v>4997241</v>
      </c>
      <c r="M14" s="65">
        <f t="shared" si="8"/>
        <v>4604</v>
      </c>
      <c r="N14" s="31">
        <v>3163964</v>
      </c>
      <c r="O14" s="65">
        <f t="shared" si="13"/>
        <v>8478</v>
      </c>
      <c r="P14" s="34">
        <v>7519808</v>
      </c>
      <c r="Q14" s="65">
        <f t="shared" si="9"/>
        <v>9984</v>
      </c>
      <c r="R14" s="31">
        <v>11709210</v>
      </c>
      <c r="S14" s="65">
        <f t="shared" si="10"/>
        <v>8761</v>
      </c>
      <c r="T14" s="31">
        <v>0</v>
      </c>
      <c r="U14" s="32"/>
      <c r="V14" s="31">
        <v>8492086</v>
      </c>
      <c r="W14" s="65">
        <f t="shared" si="11"/>
        <v>10422</v>
      </c>
      <c r="X14" s="33">
        <f t="shared" si="1"/>
        <v>47016</v>
      </c>
      <c r="Y14" s="47">
        <f t="shared" si="2"/>
        <v>13509</v>
      </c>
      <c r="Z14" s="31">
        <f t="shared" si="3"/>
        <v>7328.7124975999996</v>
      </c>
      <c r="AA14" s="31">
        <f t="shared" si="12"/>
        <v>39645.469552000002</v>
      </c>
    </row>
    <row r="15" spans="1:27" ht="16.5" thickBot="1" x14ac:dyDescent="0.25">
      <c r="A15" s="6">
        <v>43720</v>
      </c>
      <c r="B15" s="65">
        <v>304</v>
      </c>
      <c r="C15" s="65">
        <v>16382</v>
      </c>
      <c r="D15" s="65">
        <f t="shared" si="4"/>
        <v>1280</v>
      </c>
      <c r="E15" s="31">
        <v>18877785</v>
      </c>
      <c r="F15" s="65">
        <f t="shared" si="5"/>
        <v>21070</v>
      </c>
      <c r="G15" s="31">
        <v>53494406</v>
      </c>
      <c r="H15" s="65">
        <f t="shared" si="6"/>
        <v>78985</v>
      </c>
      <c r="I15" s="33">
        <f t="shared" si="0"/>
        <v>100055</v>
      </c>
      <c r="J15" s="31">
        <v>4688995</v>
      </c>
      <c r="K15" s="65">
        <f t="shared" si="7"/>
        <v>8151</v>
      </c>
      <c r="L15" s="34">
        <v>5005460</v>
      </c>
      <c r="M15" s="65">
        <f t="shared" si="8"/>
        <v>8219</v>
      </c>
      <c r="N15" s="31">
        <v>3171345</v>
      </c>
      <c r="O15" s="65">
        <f t="shared" si="13"/>
        <v>14762</v>
      </c>
      <c r="P15" s="34">
        <v>7537246</v>
      </c>
      <c r="Q15" s="65">
        <f t="shared" si="9"/>
        <v>17438</v>
      </c>
      <c r="R15" s="31">
        <v>11724539</v>
      </c>
      <c r="S15" s="65">
        <f t="shared" si="10"/>
        <v>15329</v>
      </c>
      <c r="T15" s="31">
        <v>0</v>
      </c>
      <c r="U15" s="32"/>
      <c r="V15" s="31">
        <v>8510265</v>
      </c>
      <c r="W15" s="65">
        <f t="shared" si="11"/>
        <v>18179</v>
      </c>
      <c r="X15" s="33">
        <f t="shared" si="1"/>
        <v>82078</v>
      </c>
      <c r="Y15" s="47">
        <f t="shared" si="2"/>
        <v>17977</v>
      </c>
      <c r="Z15" s="31">
        <f t="shared" si="3"/>
        <v>12794.430521600001</v>
      </c>
      <c r="AA15" s="31">
        <f t="shared" si="12"/>
        <v>40247.539383999996</v>
      </c>
    </row>
    <row r="16" spans="1:27" ht="16.5" thickBot="1" x14ac:dyDescent="0.25">
      <c r="A16" s="6">
        <v>43721</v>
      </c>
      <c r="B16" s="65">
        <v>323</v>
      </c>
      <c r="C16" s="65">
        <v>16391</v>
      </c>
      <c r="D16" s="65">
        <f t="shared" si="4"/>
        <v>1440</v>
      </c>
      <c r="E16" s="31">
        <v>18893925</v>
      </c>
      <c r="F16" s="65">
        <f t="shared" si="5"/>
        <v>16140</v>
      </c>
      <c r="G16" s="31">
        <v>53549862</v>
      </c>
      <c r="H16" s="65">
        <f t="shared" si="6"/>
        <v>55456</v>
      </c>
      <c r="I16" s="33">
        <f t="shared" si="0"/>
        <v>71596</v>
      </c>
      <c r="J16" s="31">
        <v>4694487</v>
      </c>
      <c r="K16" s="65">
        <f t="shared" si="7"/>
        <v>5492</v>
      </c>
      <c r="L16" s="34">
        <v>5010869</v>
      </c>
      <c r="M16" s="65">
        <f t="shared" si="8"/>
        <v>5409</v>
      </c>
      <c r="N16" s="31">
        <v>3176642</v>
      </c>
      <c r="O16" s="65">
        <f t="shared" si="13"/>
        <v>10594</v>
      </c>
      <c r="P16" s="34">
        <v>7549542</v>
      </c>
      <c r="Q16" s="65">
        <f t="shared" si="9"/>
        <v>12296</v>
      </c>
      <c r="R16" s="31">
        <v>11735769</v>
      </c>
      <c r="S16" s="65">
        <f t="shared" si="10"/>
        <v>11230</v>
      </c>
      <c r="T16" s="31">
        <v>0</v>
      </c>
      <c r="U16" s="32"/>
      <c r="V16" s="31">
        <v>8522980</v>
      </c>
      <c r="W16" s="65">
        <f t="shared" si="11"/>
        <v>12715</v>
      </c>
      <c r="X16" s="33">
        <f t="shared" si="1"/>
        <v>57736</v>
      </c>
      <c r="Y16" s="47">
        <f t="shared" si="2"/>
        <v>13860</v>
      </c>
      <c r="Z16" s="31">
        <f t="shared" si="3"/>
        <v>9125.5549840000003</v>
      </c>
      <c r="AA16" s="31">
        <f t="shared" si="12"/>
        <v>39698.320209600002</v>
      </c>
    </row>
    <row r="17" spans="1:27" ht="16.5" thickBot="1" x14ac:dyDescent="0.25">
      <c r="A17" s="6">
        <v>43722</v>
      </c>
      <c r="B17" s="65">
        <v>350</v>
      </c>
      <c r="C17" s="65">
        <v>16395</v>
      </c>
      <c r="D17" s="65">
        <f t="shared" si="4"/>
        <v>640</v>
      </c>
      <c r="E17" s="31">
        <v>18911485</v>
      </c>
      <c r="F17" s="65">
        <f t="shared" si="5"/>
        <v>17560</v>
      </c>
      <c r="G17" s="31">
        <v>53611577</v>
      </c>
      <c r="H17" s="65">
        <f t="shared" si="6"/>
        <v>61715</v>
      </c>
      <c r="I17" s="33">
        <f t="shared" si="0"/>
        <v>79275</v>
      </c>
      <c r="J17" s="31">
        <v>4700597</v>
      </c>
      <c r="K17" s="65">
        <f t="shared" si="7"/>
        <v>6110</v>
      </c>
      <c r="L17" s="34">
        <v>5016862</v>
      </c>
      <c r="M17" s="65">
        <f t="shared" si="8"/>
        <v>5993</v>
      </c>
      <c r="N17" s="31">
        <v>3182319</v>
      </c>
      <c r="O17" s="65">
        <f t="shared" si="13"/>
        <v>11354</v>
      </c>
      <c r="P17" s="34">
        <v>7562535</v>
      </c>
      <c r="Q17" s="65">
        <f t="shared" si="9"/>
        <v>12993</v>
      </c>
      <c r="R17" s="31">
        <v>11748149</v>
      </c>
      <c r="S17" s="65">
        <f t="shared" si="10"/>
        <v>12380</v>
      </c>
      <c r="T17" s="31">
        <v>0</v>
      </c>
      <c r="U17" s="32"/>
      <c r="V17" s="31">
        <v>8537713</v>
      </c>
      <c r="W17" s="65">
        <f t="shared" si="11"/>
        <v>14733</v>
      </c>
      <c r="X17" s="33">
        <f t="shared" si="1"/>
        <v>63563</v>
      </c>
      <c r="Y17" s="47">
        <f t="shared" si="2"/>
        <v>15712</v>
      </c>
      <c r="Z17" s="31">
        <f t="shared" si="3"/>
        <v>10105.403713599999</v>
      </c>
      <c r="AA17" s="31">
        <f t="shared" si="12"/>
        <v>39354.101716799996</v>
      </c>
    </row>
    <row r="18" spans="1:27" ht="16.5" thickBot="1" x14ac:dyDescent="0.25">
      <c r="A18" s="6">
        <v>43723</v>
      </c>
      <c r="B18" s="65">
        <v>352</v>
      </c>
      <c r="C18" s="65">
        <v>16403</v>
      </c>
      <c r="D18" s="65">
        <f t="shared" si="4"/>
        <v>1280</v>
      </c>
      <c r="E18" s="31">
        <v>18929879</v>
      </c>
      <c r="F18" s="65">
        <f t="shared" si="5"/>
        <v>18394</v>
      </c>
      <c r="G18" s="31">
        <v>53675595</v>
      </c>
      <c r="H18" s="65">
        <f t="shared" si="6"/>
        <v>64018</v>
      </c>
      <c r="I18" s="33">
        <f t="shared" si="0"/>
        <v>82412</v>
      </c>
      <c r="J18" s="31">
        <v>4706917</v>
      </c>
      <c r="K18" s="65">
        <f t="shared" si="7"/>
        <v>6320</v>
      </c>
      <c r="L18" s="34">
        <v>5023418</v>
      </c>
      <c r="M18" s="65">
        <f t="shared" si="8"/>
        <v>6556</v>
      </c>
      <c r="N18" s="31">
        <v>3188122</v>
      </c>
      <c r="O18" s="65">
        <f t="shared" si="13"/>
        <v>11606</v>
      </c>
      <c r="P18" s="34">
        <v>7576215</v>
      </c>
      <c r="Q18" s="65">
        <f t="shared" si="9"/>
        <v>13680</v>
      </c>
      <c r="R18" s="31">
        <v>11760653</v>
      </c>
      <c r="S18" s="65">
        <f t="shared" si="10"/>
        <v>12504</v>
      </c>
      <c r="T18" s="31">
        <v>0</v>
      </c>
      <c r="U18" s="32"/>
      <c r="V18" s="31">
        <v>8552134</v>
      </c>
      <c r="W18" s="65">
        <f t="shared" si="11"/>
        <v>14421</v>
      </c>
      <c r="X18" s="33">
        <f t="shared" si="1"/>
        <v>65087</v>
      </c>
      <c r="Y18" s="47">
        <f t="shared" si="2"/>
        <v>17325</v>
      </c>
      <c r="Z18" s="31">
        <f t="shared" si="3"/>
        <v>10195.710408000001</v>
      </c>
      <c r="AA18" s="31">
        <f t="shared" si="12"/>
        <v>42221.099627199997</v>
      </c>
    </row>
    <row r="19" spans="1:27" ht="16.5" thickBot="1" x14ac:dyDescent="0.25">
      <c r="A19" s="6">
        <v>43724</v>
      </c>
      <c r="B19" s="65">
        <v>324</v>
      </c>
      <c r="C19" s="65">
        <v>16406</v>
      </c>
      <c r="D19" s="65">
        <f t="shared" si="4"/>
        <v>480</v>
      </c>
      <c r="E19" s="31">
        <v>18942801</v>
      </c>
      <c r="F19" s="65">
        <f t="shared" si="5"/>
        <v>12922</v>
      </c>
      <c r="G19" s="31">
        <v>53720448</v>
      </c>
      <c r="H19" s="65">
        <f t="shared" si="6"/>
        <v>44853</v>
      </c>
      <c r="I19" s="33">
        <f t="shared" si="0"/>
        <v>57775</v>
      </c>
      <c r="J19" s="31">
        <v>4711463</v>
      </c>
      <c r="K19" s="65">
        <f t="shared" si="7"/>
        <v>4546</v>
      </c>
      <c r="L19" s="34">
        <v>5028100</v>
      </c>
      <c r="M19" s="65">
        <f t="shared" si="8"/>
        <v>4682</v>
      </c>
      <c r="N19" s="31">
        <v>3192188</v>
      </c>
      <c r="O19" s="65">
        <f t="shared" si="13"/>
        <v>8132</v>
      </c>
      <c r="P19" s="34">
        <v>7583982</v>
      </c>
      <c r="Q19" s="65">
        <f t="shared" si="9"/>
        <v>7767</v>
      </c>
      <c r="R19" s="31">
        <v>11769999</v>
      </c>
      <c r="S19" s="65">
        <f t="shared" si="10"/>
        <v>9346</v>
      </c>
      <c r="T19" s="31">
        <v>0</v>
      </c>
      <c r="U19" s="32"/>
      <c r="V19" s="31">
        <v>8562424</v>
      </c>
      <c r="W19" s="65">
        <f t="shared" si="11"/>
        <v>10290</v>
      </c>
      <c r="X19" s="33">
        <f t="shared" si="1"/>
        <v>44763</v>
      </c>
      <c r="Y19" s="47">
        <f t="shared" si="2"/>
        <v>13012</v>
      </c>
      <c r="Z19" s="31">
        <f t="shared" si="3"/>
        <v>7067.6220991999999</v>
      </c>
      <c r="AA19" s="31">
        <f t="shared" si="12"/>
        <v>36494.2912048</v>
      </c>
    </row>
    <row r="20" spans="1:27" ht="16.5" thickBot="1" x14ac:dyDescent="0.25">
      <c r="A20" s="6">
        <v>43725</v>
      </c>
      <c r="B20" s="65">
        <v>334</v>
      </c>
      <c r="C20" s="65">
        <v>16418</v>
      </c>
      <c r="D20" s="65">
        <f>IF((C20-C19)&lt;0,"0",(C20-C19))*160</f>
        <v>1920</v>
      </c>
      <c r="E20" s="31">
        <v>18964908</v>
      </c>
      <c r="F20" s="65">
        <f t="shared" si="5"/>
        <v>22107</v>
      </c>
      <c r="G20" s="31">
        <v>53795369</v>
      </c>
      <c r="H20" s="65">
        <f t="shared" si="6"/>
        <v>74921</v>
      </c>
      <c r="I20" s="33">
        <f t="shared" si="0"/>
        <v>97028</v>
      </c>
      <c r="J20" s="31">
        <v>4719108</v>
      </c>
      <c r="K20" s="65">
        <f t="shared" si="7"/>
        <v>7645</v>
      </c>
      <c r="L20" s="34">
        <v>5036107</v>
      </c>
      <c r="M20" s="65">
        <f t="shared" si="8"/>
        <v>8007</v>
      </c>
      <c r="N20" s="31">
        <v>3199116</v>
      </c>
      <c r="O20" s="65">
        <f t="shared" si="13"/>
        <v>13856</v>
      </c>
      <c r="P20" s="34">
        <v>7602511</v>
      </c>
      <c r="Q20" s="65">
        <f t="shared" si="9"/>
        <v>18529</v>
      </c>
      <c r="R20" s="31">
        <v>11784017</v>
      </c>
      <c r="S20" s="65">
        <f t="shared" si="10"/>
        <v>14018</v>
      </c>
      <c r="T20" s="31">
        <v>0</v>
      </c>
      <c r="U20" s="32"/>
      <c r="V20" s="31">
        <v>8579644</v>
      </c>
      <c r="W20" s="65">
        <f t="shared" si="11"/>
        <v>17220</v>
      </c>
      <c r="X20" s="33">
        <f t="shared" si="1"/>
        <v>79275</v>
      </c>
      <c r="Y20" s="47">
        <f t="shared" si="2"/>
        <v>17753</v>
      </c>
      <c r="Z20" s="31">
        <f t="shared" si="3"/>
        <v>12270.249097599999</v>
      </c>
      <c r="AA20" s="31">
        <f t="shared" si="12"/>
        <v>39638.985318399995</v>
      </c>
    </row>
    <row r="21" spans="1:27" ht="16.5" thickBot="1" x14ac:dyDescent="0.25">
      <c r="A21" s="6">
        <v>43726</v>
      </c>
      <c r="B21" s="65">
        <v>353</v>
      </c>
      <c r="C21" s="65">
        <v>16424</v>
      </c>
      <c r="D21" s="65">
        <f>IF((C21-C20)&lt;0,"0",(C21-C20))*160</f>
        <v>960</v>
      </c>
      <c r="E21" s="31">
        <v>18984095</v>
      </c>
      <c r="F21" s="65">
        <f t="shared" si="5"/>
        <v>19187</v>
      </c>
      <c r="G21" s="31">
        <v>53848190</v>
      </c>
      <c r="H21" s="65">
        <f t="shared" si="6"/>
        <v>52821</v>
      </c>
      <c r="I21" s="33">
        <f t="shared" si="0"/>
        <v>72008</v>
      </c>
      <c r="J21" s="31">
        <v>4724088</v>
      </c>
      <c r="K21" s="65">
        <f t="shared" si="7"/>
        <v>4980</v>
      </c>
      <c r="L21" s="34">
        <v>5043088</v>
      </c>
      <c r="M21" s="65">
        <f t="shared" si="8"/>
        <v>6981</v>
      </c>
      <c r="N21" s="31">
        <v>3205138</v>
      </c>
      <c r="O21" s="65">
        <f t="shared" si="13"/>
        <v>12044</v>
      </c>
      <c r="P21" s="34">
        <v>7612588</v>
      </c>
      <c r="Q21" s="65">
        <f t="shared" si="9"/>
        <v>10077</v>
      </c>
      <c r="R21" s="31">
        <v>11793421</v>
      </c>
      <c r="S21" s="65">
        <f t="shared" si="10"/>
        <v>9404</v>
      </c>
      <c r="T21" s="31">
        <v>0</v>
      </c>
      <c r="U21" s="32"/>
      <c r="V21" s="31">
        <v>8590668</v>
      </c>
      <c r="W21" s="65">
        <f t="shared" si="11"/>
        <v>11024</v>
      </c>
      <c r="X21" s="33">
        <f t="shared" si="1"/>
        <v>54510</v>
      </c>
      <c r="Y21" s="47">
        <f t="shared" si="2"/>
        <v>17498</v>
      </c>
      <c r="Z21" s="31">
        <f t="shared" si="3"/>
        <v>8160.5990336000004</v>
      </c>
      <c r="AA21" s="31">
        <f t="shared" si="12"/>
        <v>37694.180638400001</v>
      </c>
    </row>
    <row r="22" spans="1:27" ht="16.5" thickBot="1" x14ac:dyDescent="0.25">
      <c r="A22" s="6">
        <v>43727</v>
      </c>
      <c r="B22" s="65">
        <v>353</v>
      </c>
      <c r="C22" s="65">
        <v>16434</v>
      </c>
      <c r="D22" s="65">
        <f>IF((C22-C21)&lt;0,"0",(C22-C21))*160</f>
        <v>1600</v>
      </c>
      <c r="E22" s="31">
        <v>19007879</v>
      </c>
      <c r="F22" s="65">
        <f t="shared" si="5"/>
        <v>23784</v>
      </c>
      <c r="G22" s="31">
        <v>53925170</v>
      </c>
      <c r="H22" s="65">
        <f t="shared" si="6"/>
        <v>76980</v>
      </c>
      <c r="I22" s="33">
        <f t="shared" si="0"/>
        <v>100764</v>
      </c>
      <c r="J22" s="31">
        <v>4732272</v>
      </c>
      <c r="K22" s="65">
        <f t="shared" si="7"/>
        <v>8184</v>
      </c>
      <c r="L22" s="34">
        <v>5051506</v>
      </c>
      <c r="M22" s="65">
        <f t="shared" si="8"/>
        <v>8418</v>
      </c>
      <c r="N22" s="31">
        <v>3212675</v>
      </c>
      <c r="O22" s="65">
        <f t="shared" si="13"/>
        <v>15074</v>
      </c>
      <c r="P22" s="34">
        <v>7630800</v>
      </c>
      <c r="Q22" s="65">
        <f t="shared" si="9"/>
        <v>18212</v>
      </c>
      <c r="R22" s="31">
        <v>11809708</v>
      </c>
      <c r="S22" s="65">
        <f t="shared" si="10"/>
        <v>16287</v>
      </c>
      <c r="T22" s="31">
        <v>0</v>
      </c>
      <c r="U22" s="32"/>
      <c r="V22" s="31">
        <v>8609365</v>
      </c>
      <c r="W22" s="65">
        <f t="shared" si="11"/>
        <v>18697</v>
      </c>
      <c r="X22" s="33">
        <f t="shared" si="1"/>
        <v>84872</v>
      </c>
      <c r="Y22" s="47">
        <f t="shared" si="2"/>
        <v>15892</v>
      </c>
      <c r="Z22" s="31">
        <f t="shared" si="3"/>
        <v>13309.896204799999</v>
      </c>
      <c r="AA22" s="31">
        <f t="shared" si="12"/>
        <v>40808.366435199998</v>
      </c>
    </row>
    <row r="23" spans="1:27" ht="16.5" thickBot="1" x14ac:dyDescent="0.25">
      <c r="A23" s="6">
        <v>43728</v>
      </c>
      <c r="B23" s="65">
        <v>356</v>
      </c>
      <c r="C23" s="65">
        <v>16439</v>
      </c>
      <c r="D23" s="65">
        <f t="shared" si="4"/>
        <v>800</v>
      </c>
      <c r="E23" s="31">
        <v>19023093</v>
      </c>
      <c r="F23" s="65">
        <f t="shared" si="5"/>
        <v>15214</v>
      </c>
      <c r="G23" s="31">
        <v>53978633</v>
      </c>
      <c r="H23" s="65">
        <f t="shared" si="6"/>
        <v>53463</v>
      </c>
      <c r="I23" s="33">
        <f t="shared" si="0"/>
        <v>68677</v>
      </c>
      <c r="J23" s="31">
        <v>4737489</v>
      </c>
      <c r="K23" s="65">
        <f t="shared" si="7"/>
        <v>5217</v>
      </c>
      <c r="L23" s="34">
        <v>5056631</v>
      </c>
      <c r="M23" s="65">
        <f t="shared" si="8"/>
        <v>5125</v>
      </c>
      <c r="N23" s="31">
        <v>3217656</v>
      </c>
      <c r="O23" s="65">
        <f t="shared" si="13"/>
        <v>9962</v>
      </c>
      <c r="P23" s="34">
        <v>7642447</v>
      </c>
      <c r="Q23" s="65">
        <f t="shared" si="9"/>
        <v>11647</v>
      </c>
      <c r="R23" s="31">
        <v>11820614</v>
      </c>
      <c r="S23" s="65">
        <f t="shared" si="10"/>
        <v>10906</v>
      </c>
      <c r="T23" s="31">
        <v>0</v>
      </c>
      <c r="U23" s="32"/>
      <c r="V23" s="31">
        <v>8621515</v>
      </c>
      <c r="W23" s="65">
        <f t="shared" si="11"/>
        <v>12150</v>
      </c>
      <c r="X23" s="33">
        <f t="shared" si="1"/>
        <v>55007</v>
      </c>
      <c r="Y23" s="47">
        <f t="shared" si="2"/>
        <v>13670</v>
      </c>
      <c r="Z23" s="31">
        <f t="shared" si="3"/>
        <v>8724.3333632000013</v>
      </c>
      <c r="AA23" s="31">
        <f t="shared" si="12"/>
        <v>42465.077699200003</v>
      </c>
    </row>
    <row r="24" spans="1:27" ht="16.5" thickBot="1" x14ac:dyDescent="0.25">
      <c r="A24" s="6">
        <v>43729</v>
      </c>
      <c r="B24" s="65">
        <v>331</v>
      </c>
      <c r="C24" s="65">
        <v>16445</v>
      </c>
      <c r="D24" s="65">
        <f t="shared" si="4"/>
        <v>960</v>
      </c>
      <c r="E24" s="31">
        <v>19039050</v>
      </c>
      <c r="F24" s="65">
        <f t="shared" si="5"/>
        <v>15957</v>
      </c>
      <c r="G24" s="31">
        <v>54036370</v>
      </c>
      <c r="H24" s="65">
        <f t="shared" si="6"/>
        <v>57737</v>
      </c>
      <c r="I24" s="33">
        <f t="shared" si="0"/>
        <v>73694</v>
      </c>
      <c r="J24" s="31">
        <v>4743587</v>
      </c>
      <c r="K24" s="65">
        <f t="shared" si="7"/>
        <v>6098</v>
      </c>
      <c r="L24" s="34">
        <v>5061871</v>
      </c>
      <c r="M24" s="65">
        <f t="shared" si="8"/>
        <v>5240</v>
      </c>
      <c r="N24" s="31">
        <v>3222914</v>
      </c>
      <c r="O24" s="65">
        <f t="shared" si="13"/>
        <v>10516</v>
      </c>
      <c r="P24" s="34">
        <v>7654800</v>
      </c>
      <c r="Q24" s="65">
        <f t="shared" si="9"/>
        <v>12353</v>
      </c>
      <c r="R24" s="31">
        <v>11832350</v>
      </c>
      <c r="S24" s="65">
        <f t="shared" si="10"/>
        <v>11736</v>
      </c>
      <c r="T24" s="31">
        <v>0</v>
      </c>
      <c r="U24" s="32"/>
      <c r="V24" s="31">
        <v>8634532</v>
      </c>
      <c r="W24" s="65">
        <f t="shared" si="11"/>
        <v>13017</v>
      </c>
      <c r="X24" s="33">
        <f t="shared" si="1"/>
        <v>58960</v>
      </c>
      <c r="Y24" s="47">
        <f t="shared" si="2"/>
        <v>14734</v>
      </c>
      <c r="Z24" s="31">
        <f t="shared" si="3"/>
        <v>9318.6287376</v>
      </c>
      <c r="AA24" s="31">
        <f t="shared" si="12"/>
        <v>39513.457339200002</v>
      </c>
    </row>
    <row r="25" spans="1:27" ht="16.5" thickBot="1" x14ac:dyDescent="0.25">
      <c r="A25" s="6">
        <v>43730</v>
      </c>
      <c r="B25" s="65">
        <v>352</v>
      </c>
      <c r="C25" s="65">
        <v>16451</v>
      </c>
      <c r="D25" s="65">
        <f t="shared" si="4"/>
        <v>960</v>
      </c>
      <c r="E25" s="31">
        <v>19056777</v>
      </c>
      <c r="F25" s="65">
        <f t="shared" si="5"/>
        <v>17727</v>
      </c>
      <c r="G25" s="31">
        <v>54098917</v>
      </c>
      <c r="H25" s="65">
        <f t="shared" si="6"/>
        <v>62547</v>
      </c>
      <c r="I25" s="33">
        <f t="shared" si="0"/>
        <v>80274</v>
      </c>
      <c r="J25" s="31">
        <v>4752053</v>
      </c>
      <c r="K25" s="65">
        <f t="shared" si="7"/>
        <v>8466</v>
      </c>
      <c r="L25" s="34">
        <v>5067996</v>
      </c>
      <c r="M25" s="65">
        <f t="shared" si="8"/>
        <v>6125</v>
      </c>
      <c r="N25" s="31">
        <v>3228597</v>
      </c>
      <c r="O25" s="65">
        <f t="shared" si="13"/>
        <v>11366</v>
      </c>
      <c r="P25" s="34">
        <v>7668255</v>
      </c>
      <c r="Q25" s="65">
        <f t="shared" si="9"/>
        <v>13455</v>
      </c>
      <c r="R25" s="31">
        <v>11845244</v>
      </c>
      <c r="S25" s="65">
        <f t="shared" si="10"/>
        <v>12894</v>
      </c>
      <c r="T25" s="31">
        <v>0</v>
      </c>
      <c r="U25" s="32"/>
      <c r="V25" s="31">
        <v>8648424</v>
      </c>
      <c r="W25" s="65">
        <f t="shared" si="11"/>
        <v>13892</v>
      </c>
      <c r="X25" s="33">
        <f t="shared" si="1"/>
        <v>66198</v>
      </c>
      <c r="Y25" s="47">
        <f t="shared" si="2"/>
        <v>14076</v>
      </c>
      <c r="Z25" s="31">
        <f t="shared" si="3"/>
        <v>10094.6558752</v>
      </c>
      <c r="AA25" s="31">
        <f t="shared" si="12"/>
        <v>41447.514180800004</v>
      </c>
    </row>
    <row r="26" spans="1:27" ht="16.5" thickBot="1" x14ac:dyDescent="0.25">
      <c r="A26" s="6">
        <v>43731</v>
      </c>
      <c r="B26" s="65">
        <v>317</v>
      </c>
      <c r="C26" s="65">
        <v>16459</v>
      </c>
      <c r="D26" s="65">
        <f t="shared" si="4"/>
        <v>1280</v>
      </c>
      <c r="E26" s="31">
        <v>19069624</v>
      </c>
      <c r="F26" s="65">
        <f t="shared" si="5"/>
        <v>12847</v>
      </c>
      <c r="G26" s="31">
        <v>54144583</v>
      </c>
      <c r="H26" s="65">
        <f t="shared" si="6"/>
        <v>45666</v>
      </c>
      <c r="I26" s="33">
        <f t="shared" si="0"/>
        <v>58513</v>
      </c>
      <c r="J26" s="31">
        <v>4754247</v>
      </c>
      <c r="K26" s="65">
        <f t="shared" si="7"/>
        <v>2194</v>
      </c>
      <c r="L26" s="34">
        <v>5074535</v>
      </c>
      <c r="M26" s="65">
        <f t="shared" si="8"/>
        <v>6539</v>
      </c>
      <c r="N26" s="31">
        <v>3232692</v>
      </c>
      <c r="O26" s="65">
        <f t="shared" si="13"/>
        <v>8190</v>
      </c>
      <c r="P26" s="34">
        <v>7678089</v>
      </c>
      <c r="Q26" s="65">
        <f t="shared" si="9"/>
        <v>9834</v>
      </c>
      <c r="R26" s="31">
        <v>11858992</v>
      </c>
      <c r="S26" s="65">
        <f t="shared" si="10"/>
        <v>13748</v>
      </c>
      <c r="T26" s="31">
        <v>0</v>
      </c>
      <c r="U26" s="32"/>
      <c r="V26" s="31">
        <v>8658703</v>
      </c>
      <c r="W26" s="65">
        <f t="shared" si="11"/>
        <v>10279</v>
      </c>
      <c r="X26" s="33">
        <f t="shared" si="1"/>
        <v>50784</v>
      </c>
      <c r="Y26" s="47">
        <f t="shared" si="2"/>
        <v>7729</v>
      </c>
      <c r="Z26" s="31">
        <f t="shared" si="3"/>
        <v>8441.0165424000006</v>
      </c>
      <c r="AA26" s="31">
        <f t="shared" si="12"/>
        <v>36578.634518400002</v>
      </c>
    </row>
    <row r="27" spans="1:27" ht="16.5" thickBot="1" x14ac:dyDescent="0.25">
      <c r="A27" s="6">
        <v>43732</v>
      </c>
      <c r="B27" s="65">
        <v>252</v>
      </c>
      <c r="C27" s="65">
        <v>16466</v>
      </c>
      <c r="D27" s="65">
        <f t="shared" si="4"/>
        <v>1120</v>
      </c>
      <c r="E27" s="31">
        <v>19090825</v>
      </c>
      <c r="F27" s="65">
        <f t="shared" si="5"/>
        <v>21201</v>
      </c>
      <c r="G27" s="31">
        <v>54218046</v>
      </c>
      <c r="H27" s="65">
        <f t="shared" si="6"/>
        <v>73463</v>
      </c>
      <c r="I27" s="33">
        <f t="shared" si="0"/>
        <v>94664</v>
      </c>
      <c r="J27" s="31">
        <v>4762822</v>
      </c>
      <c r="K27" s="65">
        <f t="shared" si="7"/>
        <v>8575</v>
      </c>
      <c r="L27" s="34">
        <v>5080432</v>
      </c>
      <c r="M27" s="65">
        <f t="shared" si="8"/>
        <v>5897</v>
      </c>
      <c r="N27" s="31">
        <v>3239237</v>
      </c>
      <c r="O27" s="65">
        <f t="shared" si="13"/>
        <v>13090</v>
      </c>
      <c r="P27" s="34">
        <v>7693637</v>
      </c>
      <c r="Q27" s="65">
        <f t="shared" si="9"/>
        <v>15548</v>
      </c>
      <c r="R27" s="31">
        <v>11869573</v>
      </c>
      <c r="S27" s="65">
        <f t="shared" si="10"/>
        <v>10581</v>
      </c>
      <c r="T27" s="31">
        <v>0</v>
      </c>
      <c r="U27" s="32"/>
      <c r="V27" s="31">
        <v>8675581</v>
      </c>
      <c r="W27" s="65">
        <f t="shared" si="11"/>
        <v>16878</v>
      </c>
      <c r="X27" s="33">
        <f t="shared" si="1"/>
        <v>70569</v>
      </c>
      <c r="Y27" s="47">
        <f t="shared" si="2"/>
        <v>24095</v>
      </c>
      <c r="Z27" s="31">
        <f t="shared" si="3"/>
        <v>10810.582660799999</v>
      </c>
      <c r="AA27" s="31">
        <f t="shared" si="12"/>
        <v>38664.883816000001</v>
      </c>
    </row>
    <row r="28" spans="1:27" ht="16.5" thickBot="1" x14ac:dyDescent="0.25">
      <c r="A28" s="6">
        <v>43733</v>
      </c>
      <c r="B28" s="65">
        <v>278</v>
      </c>
      <c r="C28" s="65">
        <v>16469</v>
      </c>
      <c r="D28" s="65">
        <f t="shared" si="4"/>
        <v>480</v>
      </c>
      <c r="E28" s="31">
        <v>19106027</v>
      </c>
      <c r="F28" s="65">
        <f t="shared" si="5"/>
        <v>15202</v>
      </c>
      <c r="G28" s="31">
        <v>54271001</v>
      </c>
      <c r="H28" s="65">
        <f t="shared" si="6"/>
        <v>52955</v>
      </c>
      <c r="I28" s="33">
        <f t="shared" si="0"/>
        <v>68157</v>
      </c>
      <c r="J28" s="31">
        <v>4768768</v>
      </c>
      <c r="K28" s="65">
        <f t="shared" si="7"/>
        <v>5946</v>
      </c>
      <c r="L28" s="34">
        <v>5085889</v>
      </c>
      <c r="M28" s="65">
        <f t="shared" si="8"/>
        <v>5457</v>
      </c>
      <c r="N28" s="31">
        <v>3244013</v>
      </c>
      <c r="O28" s="65">
        <f t="shared" si="13"/>
        <v>9552</v>
      </c>
      <c r="P28" s="34">
        <v>7704679</v>
      </c>
      <c r="Q28" s="65">
        <f t="shared" si="9"/>
        <v>11042</v>
      </c>
      <c r="R28" s="31">
        <v>11880212</v>
      </c>
      <c r="S28" s="65">
        <f t="shared" si="10"/>
        <v>10639</v>
      </c>
      <c r="T28" s="31">
        <v>0</v>
      </c>
      <c r="U28" s="32"/>
      <c r="V28" s="31">
        <v>8687742</v>
      </c>
      <c r="W28" s="65">
        <f t="shared" si="11"/>
        <v>12161</v>
      </c>
      <c r="X28" s="33">
        <f t="shared" si="1"/>
        <v>54797</v>
      </c>
      <c r="Y28" s="47">
        <f t="shared" si="2"/>
        <v>13360</v>
      </c>
      <c r="Z28" s="31">
        <f t="shared" si="3"/>
        <v>8515.2587519999997</v>
      </c>
      <c r="AA28" s="31">
        <f t="shared" si="12"/>
        <v>37861.513830399999</v>
      </c>
    </row>
    <row r="29" spans="1:27" ht="16.5" thickBot="1" x14ac:dyDescent="0.25">
      <c r="A29" s="6">
        <v>43734</v>
      </c>
      <c r="B29" s="65">
        <v>295</v>
      </c>
      <c r="C29" s="65">
        <v>16472</v>
      </c>
      <c r="D29" s="65">
        <f t="shared" si="4"/>
        <v>480</v>
      </c>
      <c r="E29" s="31">
        <v>19119200</v>
      </c>
      <c r="F29" s="65">
        <f t="shared" si="5"/>
        <v>13173</v>
      </c>
      <c r="G29" s="31">
        <v>54317462</v>
      </c>
      <c r="H29" s="65">
        <f t="shared" si="6"/>
        <v>46461</v>
      </c>
      <c r="I29" s="33">
        <f t="shared" si="0"/>
        <v>59634</v>
      </c>
      <c r="J29" s="31">
        <v>4773796</v>
      </c>
      <c r="K29" s="65">
        <f t="shared" si="7"/>
        <v>5028</v>
      </c>
      <c r="L29" s="34">
        <v>5090485</v>
      </c>
      <c r="M29" s="65">
        <f t="shared" si="8"/>
        <v>4596</v>
      </c>
      <c r="N29" s="31">
        <v>3248221</v>
      </c>
      <c r="O29" s="65">
        <f t="shared" si="13"/>
        <v>8416</v>
      </c>
      <c r="P29" s="34">
        <v>7714644</v>
      </c>
      <c r="Q29" s="65">
        <f t="shared" si="9"/>
        <v>9965</v>
      </c>
      <c r="R29" s="31">
        <v>11889339</v>
      </c>
      <c r="S29" s="65">
        <f t="shared" si="10"/>
        <v>9127</v>
      </c>
      <c r="T29" s="31">
        <v>0</v>
      </c>
      <c r="U29" s="32"/>
      <c r="V29" s="31">
        <v>8698486</v>
      </c>
      <c r="W29" s="65">
        <f t="shared" si="11"/>
        <v>10744</v>
      </c>
      <c r="X29" s="33">
        <f t="shared" si="1"/>
        <v>47876</v>
      </c>
      <c r="Y29" s="47">
        <f t="shared" si="2"/>
        <v>11758</v>
      </c>
      <c r="Z29" s="31">
        <f t="shared" si="3"/>
        <v>7483.9743472</v>
      </c>
      <c r="AA29" s="31">
        <f t="shared" si="12"/>
        <v>35250.832302399998</v>
      </c>
    </row>
    <row r="30" spans="1:27" ht="16.5" thickBot="1" x14ac:dyDescent="0.25">
      <c r="A30" s="6">
        <v>43735</v>
      </c>
      <c r="B30" s="65">
        <v>255</v>
      </c>
      <c r="C30" s="65">
        <v>16476</v>
      </c>
      <c r="D30" s="65">
        <f t="shared" si="4"/>
        <v>640</v>
      </c>
      <c r="E30" s="31">
        <v>19141437</v>
      </c>
      <c r="F30" s="65">
        <f t="shared" si="5"/>
        <v>22237</v>
      </c>
      <c r="G30" s="31">
        <v>54395366</v>
      </c>
      <c r="H30" s="65">
        <f t="shared" si="6"/>
        <v>77904</v>
      </c>
      <c r="I30" s="33">
        <f t="shared" si="0"/>
        <v>100141</v>
      </c>
      <c r="J30" s="31">
        <v>4781438</v>
      </c>
      <c r="K30" s="65">
        <f t="shared" si="7"/>
        <v>7642</v>
      </c>
      <c r="L30" s="34">
        <v>5097802</v>
      </c>
      <c r="M30" s="65">
        <f t="shared" si="8"/>
        <v>7317</v>
      </c>
      <c r="N30" s="31">
        <v>3255544</v>
      </c>
      <c r="O30" s="65">
        <f t="shared" si="13"/>
        <v>14646</v>
      </c>
      <c r="P30" s="34">
        <v>7732247</v>
      </c>
      <c r="Q30" s="65">
        <f t="shared" si="9"/>
        <v>17603</v>
      </c>
      <c r="R30" s="31">
        <v>11904797</v>
      </c>
      <c r="S30" s="65">
        <f t="shared" si="10"/>
        <v>15458</v>
      </c>
      <c r="T30" s="31">
        <v>0</v>
      </c>
      <c r="U30" s="32"/>
      <c r="V30" s="31">
        <v>8716286</v>
      </c>
      <c r="W30" s="65">
        <f t="shared" si="11"/>
        <v>17800</v>
      </c>
      <c r="X30" s="33">
        <f t="shared" si="1"/>
        <v>80466</v>
      </c>
      <c r="Y30" s="47">
        <f t="shared" si="2"/>
        <v>19675</v>
      </c>
      <c r="Z30" s="31">
        <f t="shared" si="3"/>
        <v>12740.8453536</v>
      </c>
      <c r="AA30" s="31">
        <f t="shared" si="12"/>
        <v>39550.661113599999</v>
      </c>
    </row>
    <row r="31" spans="1:27" ht="16.5" thickBot="1" x14ac:dyDescent="0.25">
      <c r="A31" s="6">
        <v>43736</v>
      </c>
      <c r="B31" s="65">
        <v>248</v>
      </c>
      <c r="C31" s="65">
        <v>16479</v>
      </c>
      <c r="D31" s="65">
        <f t="shared" si="4"/>
        <v>480</v>
      </c>
      <c r="E31" s="31">
        <v>19156733</v>
      </c>
      <c r="F31" s="65">
        <f t="shared" si="5"/>
        <v>15296</v>
      </c>
      <c r="G31" s="31">
        <v>54447606</v>
      </c>
      <c r="H31" s="65">
        <f t="shared" si="6"/>
        <v>52240</v>
      </c>
      <c r="I31" s="33">
        <f t="shared" si="0"/>
        <v>67536</v>
      </c>
      <c r="J31" s="31">
        <v>4786332</v>
      </c>
      <c r="K31" s="65">
        <f t="shared" si="7"/>
        <v>4894</v>
      </c>
      <c r="L31" s="34">
        <v>5103328</v>
      </c>
      <c r="M31" s="65">
        <f t="shared" si="8"/>
        <v>5526</v>
      </c>
      <c r="N31" s="31">
        <v>3260363</v>
      </c>
      <c r="O31" s="65">
        <f t="shared" si="13"/>
        <v>9638</v>
      </c>
      <c r="P31" s="34">
        <v>7743667</v>
      </c>
      <c r="Q31" s="65">
        <f t="shared" si="9"/>
        <v>11420</v>
      </c>
      <c r="R31" s="31">
        <v>11906380</v>
      </c>
      <c r="S31" s="65">
        <f t="shared" si="10"/>
        <v>1583</v>
      </c>
      <c r="T31" s="31">
        <v>0</v>
      </c>
      <c r="U31" s="32"/>
      <c r="V31" s="31">
        <v>8732901</v>
      </c>
      <c r="W31" s="65">
        <f t="shared" si="11"/>
        <v>16615</v>
      </c>
      <c r="X31" s="33">
        <f t="shared" si="1"/>
        <v>49676</v>
      </c>
      <c r="Y31" s="47">
        <f t="shared" si="2"/>
        <v>17860</v>
      </c>
      <c r="Z31" s="31">
        <f t="shared" si="3"/>
        <v>7465.4557536000011</v>
      </c>
      <c r="AA31" s="31">
        <f t="shared" si="12"/>
        <v>36205.5342064</v>
      </c>
    </row>
    <row r="32" spans="1:27" ht="16.5" thickBot="1" x14ac:dyDescent="0.25">
      <c r="A32" s="6">
        <v>43737</v>
      </c>
      <c r="B32" s="65">
        <v>249</v>
      </c>
      <c r="C32" s="65">
        <v>16499</v>
      </c>
      <c r="D32" s="65">
        <f t="shared" si="4"/>
        <v>3200</v>
      </c>
      <c r="E32" s="31">
        <v>19176532</v>
      </c>
      <c r="F32" s="65">
        <f t="shared" si="5"/>
        <v>19799</v>
      </c>
      <c r="G32" s="31">
        <v>54517924</v>
      </c>
      <c r="H32" s="65">
        <f t="shared" si="6"/>
        <v>70318</v>
      </c>
      <c r="I32" s="33">
        <f>F32+H32</f>
        <v>90117</v>
      </c>
      <c r="J32" s="31">
        <v>4793773</v>
      </c>
      <c r="K32" s="65">
        <f t="shared" si="7"/>
        <v>7441</v>
      </c>
      <c r="L32" s="34">
        <v>5110217</v>
      </c>
      <c r="M32" s="65">
        <f t="shared" si="8"/>
        <v>6889</v>
      </c>
      <c r="N32" s="31">
        <v>3266686</v>
      </c>
      <c r="O32" s="65">
        <f t="shared" si="13"/>
        <v>12646</v>
      </c>
      <c r="P32" s="34">
        <v>7758775</v>
      </c>
      <c r="Q32" s="65">
        <f t="shared" si="9"/>
        <v>15108</v>
      </c>
      <c r="R32" s="31">
        <v>11917722</v>
      </c>
      <c r="S32" s="65">
        <f t="shared" si="10"/>
        <v>11342</v>
      </c>
      <c r="T32" s="31">
        <v>0</v>
      </c>
      <c r="U32" s="32"/>
      <c r="V32" s="31">
        <v>8750490</v>
      </c>
      <c r="W32" s="65">
        <f t="shared" si="11"/>
        <v>17589</v>
      </c>
      <c r="X32" s="33">
        <f>K32+M32+O32+Q32+S32+U32+W32</f>
        <v>71015</v>
      </c>
      <c r="Y32" s="47">
        <f>I32-X32</f>
        <v>19102</v>
      </c>
      <c r="Z32" s="31">
        <f t="shared" si="3"/>
        <v>11039.884523200002</v>
      </c>
      <c r="AA32" s="31">
        <f t="shared" si="12"/>
        <v>38730.1599776</v>
      </c>
    </row>
    <row r="33" spans="1:27" ht="16.5" thickBot="1" x14ac:dyDescent="0.25">
      <c r="A33" s="6">
        <v>43738</v>
      </c>
      <c r="B33" s="65">
        <v>248</v>
      </c>
      <c r="C33" s="65">
        <v>16502</v>
      </c>
      <c r="D33" s="65">
        <f t="shared" si="4"/>
        <v>480</v>
      </c>
      <c r="E33" s="31">
        <v>19193711</v>
      </c>
      <c r="F33" s="65">
        <f t="shared" si="5"/>
        <v>17179</v>
      </c>
      <c r="G33" s="31">
        <v>54582537</v>
      </c>
      <c r="H33" s="65">
        <f t="shared" si="6"/>
        <v>64613</v>
      </c>
      <c r="I33" s="33">
        <f>F33+H33</f>
        <v>81792</v>
      </c>
      <c r="J33" s="31">
        <v>4800570</v>
      </c>
      <c r="K33" s="65">
        <f t="shared" si="7"/>
        <v>6797</v>
      </c>
      <c r="L33" s="34">
        <v>5116576</v>
      </c>
      <c r="M33" s="65">
        <f t="shared" si="8"/>
        <v>6359</v>
      </c>
      <c r="N33" s="31">
        <v>3272510</v>
      </c>
      <c r="O33" s="65">
        <f t="shared" si="13"/>
        <v>11648</v>
      </c>
      <c r="P33" s="34">
        <v>7772441</v>
      </c>
      <c r="Q33" s="65">
        <f t="shared" si="9"/>
        <v>13666</v>
      </c>
      <c r="R33" s="31">
        <v>11930963</v>
      </c>
      <c r="S33" s="65">
        <f t="shared" si="10"/>
        <v>13241</v>
      </c>
      <c r="T33" s="31">
        <v>0</v>
      </c>
      <c r="U33" s="32"/>
      <c r="V33" s="31">
        <v>8765395</v>
      </c>
      <c r="W33" s="65">
        <f t="shared" si="11"/>
        <v>14905</v>
      </c>
      <c r="X33" s="33">
        <f>K33+M33+O33+Q33+S33+U33+W33</f>
        <v>66616</v>
      </c>
      <c r="Y33" s="47">
        <f>I33-X33</f>
        <v>15176</v>
      </c>
      <c r="Z33" s="31">
        <f t="shared" si="3"/>
        <v>10496.119171200002</v>
      </c>
      <c r="AA33" s="31">
        <f t="shared" si="12"/>
        <v>41742.304801600003</v>
      </c>
    </row>
    <row r="34" spans="1:27" ht="16.5" thickBot="1" x14ac:dyDescent="0.25">
      <c r="A34" s="6"/>
      <c r="B34" s="65"/>
      <c r="C34" s="65">
        <v>16502</v>
      </c>
      <c r="D34" s="65">
        <f t="shared" si="4"/>
        <v>0</v>
      </c>
      <c r="E34" s="31">
        <v>19193711</v>
      </c>
      <c r="F34" s="65">
        <f t="shared" si="5"/>
        <v>0</v>
      </c>
      <c r="G34" s="31">
        <v>54582537</v>
      </c>
      <c r="H34" s="65">
        <f t="shared" si="6"/>
        <v>0</v>
      </c>
      <c r="I34" s="33">
        <f>F34+H34</f>
        <v>0</v>
      </c>
      <c r="J34" s="31">
        <v>4800570</v>
      </c>
      <c r="K34" s="65">
        <f t="shared" si="7"/>
        <v>0</v>
      </c>
      <c r="L34" s="34">
        <v>5116576</v>
      </c>
      <c r="M34" s="65">
        <f t="shared" si="8"/>
        <v>0</v>
      </c>
      <c r="N34" s="31">
        <v>3272510</v>
      </c>
      <c r="O34" s="65">
        <f t="shared" si="13"/>
        <v>0</v>
      </c>
      <c r="P34" s="34">
        <v>7772441</v>
      </c>
      <c r="Q34" s="65">
        <f t="shared" si="9"/>
        <v>0</v>
      </c>
      <c r="R34" s="31">
        <v>11930963</v>
      </c>
      <c r="S34" s="65">
        <f t="shared" si="10"/>
        <v>0</v>
      </c>
      <c r="T34" s="31">
        <v>0</v>
      </c>
      <c r="U34" s="32"/>
      <c r="V34" s="31">
        <v>8765395</v>
      </c>
      <c r="W34" s="65">
        <f t="shared" si="11"/>
        <v>0</v>
      </c>
      <c r="X34" s="33">
        <f>K34+M34+O34+Q34+S34+U34+W34</f>
        <v>0</v>
      </c>
      <c r="Y34" s="47">
        <f>I34-X34</f>
        <v>0</v>
      </c>
      <c r="Z34" s="31">
        <f t="shared" si="3"/>
        <v>0</v>
      </c>
      <c r="AA34" s="31">
        <f t="shared" si="12"/>
        <v>29001.459448000001</v>
      </c>
    </row>
    <row r="35" spans="1:27" ht="16.5" thickBot="1" x14ac:dyDescent="0.25">
      <c r="A35" s="6" t="s">
        <v>28</v>
      </c>
      <c r="B35" s="65"/>
      <c r="C35" s="65"/>
      <c r="D35" s="65"/>
      <c r="E35" s="36"/>
      <c r="F35" s="37">
        <f>SUM(F3:F34)</f>
        <v>550403</v>
      </c>
      <c r="G35" s="38"/>
      <c r="H35" s="37">
        <f>SUM(H3:H34)</f>
        <v>1867418</v>
      </c>
      <c r="I35" s="33">
        <f t="shared" si="0"/>
        <v>2417821</v>
      </c>
      <c r="J35" s="36"/>
      <c r="K35" s="37">
        <f>SUM(K3:K34)</f>
        <v>193497</v>
      </c>
      <c r="L35" s="35"/>
      <c r="M35" s="37">
        <f>SUM(M3:M34)</f>
        <v>198868</v>
      </c>
      <c r="N35" s="35"/>
      <c r="O35" s="37">
        <f>SUM(O3:O34)</f>
        <v>371416</v>
      </c>
      <c r="P35" s="35"/>
      <c r="Q35" s="37">
        <f>SUM(Q3:Q34)</f>
        <v>414136</v>
      </c>
      <c r="R35" s="35"/>
      <c r="S35" s="37">
        <f>SUM(S3:T34)</f>
        <v>360546</v>
      </c>
      <c r="T35" s="35"/>
      <c r="U35" s="37"/>
      <c r="V35" s="35"/>
      <c r="W35" s="37">
        <f>SUM(W3:W34)</f>
        <v>429522</v>
      </c>
      <c r="X35" s="37">
        <f>SUM(X4:X31)</f>
        <v>1759714</v>
      </c>
      <c r="Y35" s="48">
        <f>SUM(Y4:Y31)</f>
        <v>426129</v>
      </c>
      <c r="Z35" s="37">
        <f>SUM(Z5:Z31)</f>
        <v>261488.2350288</v>
      </c>
      <c r="AA35" s="37"/>
    </row>
    <row r="37" spans="1:27" ht="15" x14ac:dyDescent="0.2">
      <c r="A37" s="30"/>
      <c r="B37" s="66"/>
      <c r="C37" s="66"/>
      <c r="D37" s="66"/>
      <c r="G37" s="30" t="s">
        <v>13</v>
      </c>
      <c r="M37" s="30" t="s">
        <v>13</v>
      </c>
      <c r="N37" s="30" t="s">
        <v>13</v>
      </c>
      <c r="P37" s="30" t="s">
        <v>13</v>
      </c>
      <c r="T37" s="30" t="s">
        <v>13</v>
      </c>
      <c r="V37" s="30" t="s">
        <v>13</v>
      </c>
      <c r="Z37" s="30"/>
      <c r="AA37" s="30"/>
    </row>
    <row r="38" spans="1:27" x14ac:dyDescent="0.25">
      <c r="V38" s="30" t="s">
        <v>13</v>
      </c>
      <c r="Y38" s="40"/>
    </row>
    <row r="39" spans="1:27" x14ac:dyDescent="0.25">
      <c r="U39" s="30" t="s">
        <v>13</v>
      </c>
      <c r="Y39" s="40"/>
    </row>
    <row r="40" spans="1:27" x14ac:dyDescent="0.25">
      <c r="Y40" s="40"/>
    </row>
    <row r="41" spans="1:27" x14ac:dyDescent="0.25">
      <c r="Y41" s="40"/>
    </row>
    <row r="52" spans="1:27" ht="15" x14ac:dyDescent="0.2">
      <c r="A52" s="30"/>
      <c r="B52" s="66"/>
      <c r="C52" s="66"/>
      <c r="D52" s="66"/>
      <c r="Z52" s="30"/>
      <c r="AA52" s="30"/>
    </row>
  </sheetData>
  <mergeCells count="1">
    <mergeCell ref="A1:AA1"/>
  </mergeCells>
  <phoneticPr fontId="0" type="noConversion"/>
  <pageMargins left="0.75" right="0.75" top="1" bottom="1" header="0.5" footer="0.5"/>
  <pageSetup paperSize="9" scale="26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view="pageBreakPreview" zoomScale="55" zoomScaleNormal="55" zoomScaleSheetLayoutView="55" workbookViewId="0">
      <selection activeCell="B3" sqref="B3"/>
    </sheetView>
  </sheetViews>
  <sheetFormatPr defaultRowHeight="23.25" x14ac:dyDescent="0.35"/>
  <cols>
    <col min="1" max="1" width="37.140625" style="19" customWidth="1"/>
    <col min="2" max="2" width="37.140625" customWidth="1"/>
    <col min="3" max="3" width="37.140625" style="74" customWidth="1"/>
    <col min="4" max="5" width="8.5703125" bestFit="1" customWidth="1"/>
    <col min="7" max="7" width="8.5703125" bestFit="1" customWidth="1"/>
  </cols>
  <sheetData>
    <row r="1" spans="1:9" ht="33" customHeight="1" thickBot="1" x14ac:dyDescent="0.25">
      <c r="A1" s="170" t="s">
        <v>144</v>
      </c>
      <c r="B1" s="170"/>
      <c r="C1" s="170"/>
    </row>
    <row r="2" spans="1:9" ht="24" thickBot="1" x14ac:dyDescent="0.4">
      <c r="A2" s="41" t="s">
        <v>0</v>
      </c>
      <c r="B2" s="42" t="s">
        <v>48</v>
      </c>
      <c r="C2" s="43" t="s">
        <v>31</v>
      </c>
    </row>
    <row r="3" spans="1:9" ht="24" thickBot="1" x14ac:dyDescent="0.4">
      <c r="A3" s="41" t="s">
        <v>12</v>
      </c>
      <c r="B3" s="44">
        <v>15830854</v>
      </c>
      <c r="C3" s="45"/>
    </row>
    <row r="4" spans="1:9" ht="24" thickBot="1" x14ac:dyDescent="0.4">
      <c r="A4" s="41">
        <v>43709</v>
      </c>
      <c r="B4" s="44">
        <v>15833002</v>
      </c>
      <c r="C4" s="73">
        <f>IF((B4-B3)&lt;0,"0",(B4-B3))</f>
        <v>2148</v>
      </c>
    </row>
    <row r="5" spans="1:9" ht="24" thickBot="1" x14ac:dyDescent="0.4">
      <c r="A5" s="41">
        <v>43710</v>
      </c>
      <c r="B5" s="44">
        <v>15835962</v>
      </c>
      <c r="C5" s="73">
        <f t="shared" ref="C5:C34" si="0">IF((B5-B4)&lt;0,"0",(B5-B4))</f>
        <v>2960</v>
      </c>
    </row>
    <row r="6" spans="1:9" ht="24" thickBot="1" x14ac:dyDescent="0.4">
      <c r="A6" s="41">
        <v>43711</v>
      </c>
      <c r="B6" s="44">
        <v>15838407</v>
      </c>
      <c r="C6" s="73">
        <f t="shared" si="0"/>
        <v>2445</v>
      </c>
    </row>
    <row r="7" spans="1:9" ht="24" thickBot="1" x14ac:dyDescent="0.4">
      <c r="A7" s="41">
        <v>43712</v>
      </c>
      <c r="B7" s="44">
        <v>15840508</v>
      </c>
      <c r="C7" s="73">
        <f t="shared" si="0"/>
        <v>2101</v>
      </c>
    </row>
    <row r="8" spans="1:9" ht="24" thickBot="1" x14ac:dyDescent="0.4">
      <c r="A8" s="41">
        <v>43713</v>
      </c>
      <c r="B8" s="44">
        <v>15844590</v>
      </c>
      <c r="C8" s="73">
        <f t="shared" si="0"/>
        <v>4082</v>
      </c>
    </row>
    <row r="9" spans="1:9" ht="24" thickBot="1" x14ac:dyDescent="0.4">
      <c r="A9" s="41">
        <v>43714</v>
      </c>
      <c r="B9" s="44">
        <v>15848545</v>
      </c>
      <c r="C9" s="73">
        <f t="shared" si="0"/>
        <v>3955</v>
      </c>
    </row>
    <row r="10" spans="1:9" ht="24" thickBot="1" x14ac:dyDescent="0.4">
      <c r="A10" s="41">
        <v>43715</v>
      </c>
      <c r="B10" s="44">
        <v>15850873</v>
      </c>
      <c r="C10" s="73">
        <f t="shared" si="0"/>
        <v>2328</v>
      </c>
    </row>
    <row r="11" spans="1:9" ht="24" thickBot="1" x14ac:dyDescent="0.4">
      <c r="A11" s="41">
        <v>43716</v>
      </c>
      <c r="B11" s="44">
        <v>15854475</v>
      </c>
      <c r="C11" s="73">
        <f t="shared" si="0"/>
        <v>3602</v>
      </c>
    </row>
    <row r="12" spans="1:9" ht="24" thickBot="1" x14ac:dyDescent="0.4">
      <c r="A12" s="41">
        <v>43717</v>
      </c>
      <c r="B12" s="44">
        <v>15858063</v>
      </c>
      <c r="C12" s="73">
        <f t="shared" si="0"/>
        <v>3588</v>
      </c>
    </row>
    <row r="13" spans="1:9" ht="24" thickBot="1" x14ac:dyDescent="0.4">
      <c r="A13" s="41">
        <v>43718</v>
      </c>
      <c r="B13" s="44">
        <v>15861028</v>
      </c>
      <c r="C13" s="73">
        <f t="shared" si="0"/>
        <v>2965</v>
      </c>
    </row>
    <row r="14" spans="1:9" ht="24" thickBot="1" x14ac:dyDescent="0.4">
      <c r="A14" s="41">
        <v>43719</v>
      </c>
      <c r="B14" s="44">
        <v>15863847</v>
      </c>
      <c r="C14" s="73">
        <f t="shared" si="0"/>
        <v>2819</v>
      </c>
    </row>
    <row r="15" spans="1:9" ht="24" thickBot="1" x14ac:dyDescent="0.4">
      <c r="A15" s="41">
        <v>43720</v>
      </c>
      <c r="B15" s="44">
        <v>15867458</v>
      </c>
      <c r="C15" s="73">
        <f t="shared" si="0"/>
        <v>3611</v>
      </c>
    </row>
    <row r="16" spans="1:9" ht="24" thickBot="1" x14ac:dyDescent="0.4">
      <c r="A16" s="41">
        <v>43721</v>
      </c>
      <c r="B16" s="44">
        <v>15870345</v>
      </c>
      <c r="C16" s="73">
        <f t="shared" si="0"/>
        <v>2887</v>
      </c>
      <c r="I16" t="s">
        <v>13</v>
      </c>
    </row>
    <row r="17" spans="1:9" ht="24" thickBot="1" x14ac:dyDescent="0.4">
      <c r="A17" s="41">
        <v>43722</v>
      </c>
      <c r="B17" s="44">
        <v>15873714</v>
      </c>
      <c r="C17" s="73">
        <f t="shared" si="0"/>
        <v>3369</v>
      </c>
    </row>
    <row r="18" spans="1:9" ht="24" thickBot="1" x14ac:dyDescent="0.4">
      <c r="A18" s="41">
        <v>43723</v>
      </c>
      <c r="B18" s="44">
        <v>15876839</v>
      </c>
      <c r="C18" s="73">
        <f>IF((B18-B17)&lt;0,"0",(B18-B17))</f>
        <v>3125</v>
      </c>
    </row>
    <row r="19" spans="1:9" ht="24" thickBot="1" x14ac:dyDescent="0.4">
      <c r="A19" s="41">
        <v>43724</v>
      </c>
      <c r="B19" s="44">
        <v>15879900</v>
      </c>
      <c r="C19" s="73">
        <f>IF((B19-B18)&lt;0,"0",(B19-B18))</f>
        <v>3061</v>
      </c>
    </row>
    <row r="20" spans="1:9" ht="24" thickBot="1" x14ac:dyDescent="0.4">
      <c r="A20" s="41">
        <v>43725</v>
      </c>
      <c r="B20" s="44">
        <v>15882700</v>
      </c>
      <c r="C20" s="73">
        <f>IF((B20-B19)&lt;0,"0",(B20-B19))</f>
        <v>2800</v>
      </c>
    </row>
    <row r="21" spans="1:9" ht="24" thickBot="1" x14ac:dyDescent="0.4">
      <c r="A21" s="41">
        <v>43726</v>
      </c>
      <c r="B21" s="44">
        <v>15885766</v>
      </c>
      <c r="C21" s="73">
        <f>IF((B21-B20)&lt;0,"0",(B21-B20))</f>
        <v>3066</v>
      </c>
    </row>
    <row r="22" spans="1:9" ht="24" thickBot="1" x14ac:dyDescent="0.4">
      <c r="A22" s="41">
        <v>43727</v>
      </c>
      <c r="B22" s="44">
        <v>15887862</v>
      </c>
      <c r="C22" s="73">
        <f t="shared" si="0"/>
        <v>2096</v>
      </c>
    </row>
    <row r="23" spans="1:9" ht="24" thickBot="1" x14ac:dyDescent="0.4">
      <c r="A23" s="41">
        <v>43728</v>
      </c>
      <c r="B23" s="44">
        <v>15889900</v>
      </c>
      <c r="C23" s="73">
        <f t="shared" si="0"/>
        <v>2038</v>
      </c>
    </row>
    <row r="24" spans="1:9" ht="24" thickBot="1" x14ac:dyDescent="0.4">
      <c r="A24" s="41">
        <v>43729</v>
      </c>
      <c r="B24" s="44">
        <v>15894555</v>
      </c>
      <c r="C24" s="73">
        <f t="shared" si="0"/>
        <v>4655</v>
      </c>
      <c r="F24" t="s">
        <v>13</v>
      </c>
    </row>
    <row r="25" spans="1:9" ht="24" thickBot="1" x14ac:dyDescent="0.4">
      <c r="A25" s="41">
        <v>43730</v>
      </c>
      <c r="B25" s="44">
        <v>15898898</v>
      </c>
      <c r="C25" s="73">
        <f t="shared" si="0"/>
        <v>4343</v>
      </c>
      <c r="E25" t="s">
        <v>13</v>
      </c>
    </row>
    <row r="26" spans="1:9" ht="24" thickBot="1" x14ac:dyDescent="0.4">
      <c r="A26" s="41">
        <v>43731</v>
      </c>
      <c r="B26" s="44">
        <v>15902122</v>
      </c>
      <c r="C26" s="73">
        <f t="shared" si="0"/>
        <v>3224</v>
      </c>
    </row>
    <row r="27" spans="1:9" ht="24" thickBot="1" x14ac:dyDescent="0.4">
      <c r="A27" s="41">
        <v>43732</v>
      </c>
      <c r="B27" s="44">
        <v>15905315</v>
      </c>
      <c r="C27" s="73">
        <f t="shared" si="0"/>
        <v>3193</v>
      </c>
    </row>
    <row r="28" spans="1:9" ht="24" thickBot="1" x14ac:dyDescent="0.4">
      <c r="A28" s="41">
        <v>43733</v>
      </c>
      <c r="B28" s="44">
        <v>15909098</v>
      </c>
      <c r="C28" s="73">
        <f t="shared" si="0"/>
        <v>3783</v>
      </c>
    </row>
    <row r="29" spans="1:9" ht="24" thickBot="1" x14ac:dyDescent="0.4">
      <c r="A29" s="41">
        <v>43734</v>
      </c>
      <c r="B29" s="44">
        <v>15912487</v>
      </c>
      <c r="C29" s="73">
        <f t="shared" si="0"/>
        <v>3389</v>
      </c>
      <c r="I29" t="s">
        <v>13</v>
      </c>
    </row>
    <row r="30" spans="1:9" ht="24" thickBot="1" x14ac:dyDescent="0.4">
      <c r="A30" s="41">
        <v>43735</v>
      </c>
      <c r="B30" s="44">
        <v>15915830</v>
      </c>
      <c r="C30" s="73">
        <f t="shared" si="0"/>
        <v>3343</v>
      </c>
    </row>
    <row r="31" spans="1:9" ht="24" thickBot="1" x14ac:dyDescent="0.4">
      <c r="A31" s="41">
        <v>43736</v>
      </c>
      <c r="B31" s="44">
        <v>15919469</v>
      </c>
      <c r="C31" s="73">
        <f t="shared" si="0"/>
        <v>3639</v>
      </c>
    </row>
    <row r="32" spans="1:9" ht="24" thickBot="1" x14ac:dyDescent="0.4">
      <c r="A32" s="41">
        <v>43737</v>
      </c>
      <c r="B32" s="44">
        <v>15922845</v>
      </c>
      <c r="C32" s="73">
        <f t="shared" si="0"/>
        <v>3376</v>
      </c>
    </row>
    <row r="33" spans="1:3" ht="24" thickBot="1" x14ac:dyDescent="0.4">
      <c r="A33" s="41">
        <v>43738</v>
      </c>
      <c r="B33" s="44">
        <v>15925989</v>
      </c>
      <c r="C33" s="73">
        <f t="shared" si="0"/>
        <v>3144</v>
      </c>
    </row>
    <row r="34" spans="1:3" ht="24" thickBot="1" x14ac:dyDescent="0.4">
      <c r="A34" s="41"/>
      <c r="B34" s="44">
        <v>15925989</v>
      </c>
      <c r="C34" s="73">
        <f t="shared" si="0"/>
        <v>0</v>
      </c>
    </row>
    <row r="35" spans="1:3" ht="24" thickBot="1" x14ac:dyDescent="0.4">
      <c r="A35" s="171" t="s">
        <v>28</v>
      </c>
      <c r="B35" s="172"/>
      <c r="C35" s="46">
        <f>SUM(C4:C34)</f>
        <v>95135</v>
      </c>
    </row>
  </sheetData>
  <mergeCells count="2">
    <mergeCell ref="A1:C1"/>
    <mergeCell ref="A35:B35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39"/>
  <sheetViews>
    <sheetView zoomScale="70" zoomScaleNormal="70" workbookViewId="0">
      <selection activeCell="B2" sqref="B2"/>
    </sheetView>
  </sheetViews>
  <sheetFormatPr defaultRowHeight="12.75" x14ac:dyDescent="0.2"/>
  <cols>
    <col min="1" max="1" width="20.85546875" bestFit="1" customWidth="1"/>
    <col min="2" max="2" width="12.5703125" bestFit="1" customWidth="1"/>
    <col min="3" max="3" width="17" style="62" bestFit="1" customWidth="1"/>
    <col min="4" max="4" width="15.140625" bestFit="1" customWidth="1"/>
    <col min="5" max="5" width="12.5703125" bestFit="1" customWidth="1"/>
    <col min="6" max="6" width="17" style="62" bestFit="1" customWidth="1"/>
    <col min="7" max="7" width="15.140625" customWidth="1"/>
    <col min="8" max="8" width="17.7109375" customWidth="1"/>
    <col min="9" max="9" width="12.85546875" style="62" bestFit="1" customWidth="1"/>
    <col min="10" max="10" width="11.42578125" bestFit="1" customWidth="1"/>
    <col min="11" max="11" width="15.7109375" bestFit="1" customWidth="1"/>
    <col min="12" max="12" width="12.85546875" style="62" bestFit="1" customWidth="1"/>
    <col min="13" max="13" width="12.7109375" bestFit="1" customWidth="1"/>
    <col min="14" max="14" width="11.28515625" bestFit="1" customWidth="1"/>
    <col min="15" max="15" width="12.85546875" style="62" bestFit="1" customWidth="1"/>
    <col min="16" max="16" width="15.140625" bestFit="1" customWidth="1"/>
    <col min="17" max="17" width="13.85546875" bestFit="1" customWidth="1"/>
    <col min="18" max="18" width="16.28515625" style="62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69" t="s">
        <v>2</v>
      </c>
      <c r="D1" s="50" t="s">
        <v>3</v>
      </c>
      <c r="E1" s="3" t="s">
        <v>4</v>
      </c>
      <c r="F1" s="69" t="s">
        <v>2</v>
      </c>
      <c r="G1" s="50" t="s">
        <v>3</v>
      </c>
      <c r="H1" s="3" t="s">
        <v>5</v>
      </c>
      <c r="I1" s="69" t="s">
        <v>6</v>
      </c>
      <c r="J1" s="50" t="s">
        <v>83</v>
      </c>
      <c r="K1" s="3" t="s">
        <v>7</v>
      </c>
      <c r="L1" s="69" t="s">
        <v>6</v>
      </c>
      <c r="M1" s="50" t="s">
        <v>3</v>
      </c>
      <c r="N1" s="4" t="s">
        <v>8</v>
      </c>
      <c r="O1" s="69" t="s">
        <v>6</v>
      </c>
      <c r="P1" s="50" t="s">
        <v>3</v>
      </c>
      <c r="Q1" s="4" t="s">
        <v>9</v>
      </c>
      <c r="R1" s="69" t="s">
        <v>6</v>
      </c>
      <c r="S1" s="50" t="s">
        <v>3</v>
      </c>
      <c r="T1" s="5" t="s">
        <v>10</v>
      </c>
      <c r="U1" s="53" t="s">
        <v>11</v>
      </c>
    </row>
    <row r="2" spans="1:25" ht="16.5" thickBot="1" x14ac:dyDescent="0.25">
      <c r="A2" s="6" t="s">
        <v>12</v>
      </c>
      <c r="B2" s="1">
        <v>16049.8824</v>
      </c>
      <c r="C2" s="75">
        <v>0</v>
      </c>
      <c r="D2" s="51">
        <v>0</v>
      </c>
      <c r="E2" s="1">
        <v>2511.5756666666698</v>
      </c>
      <c r="F2" s="75">
        <v>4.0979999999999563</v>
      </c>
      <c r="G2" s="51">
        <v>7786.1999999999161</v>
      </c>
      <c r="H2" s="1">
        <v>1003.33333333332</v>
      </c>
      <c r="I2" s="75">
        <v>1.4999999999899956</v>
      </c>
      <c r="J2" s="51">
        <v>2849.9999999809911</v>
      </c>
      <c r="K2" s="7">
        <v>12839.8</v>
      </c>
      <c r="L2" s="75">
        <v>0.84000000000014552</v>
      </c>
      <c r="M2" s="51">
        <v>1596.0000000002763</v>
      </c>
      <c r="N2" s="7">
        <v>2090.241</v>
      </c>
      <c r="O2" s="75">
        <v>3.2534999999998035</v>
      </c>
      <c r="P2" s="51">
        <v>6181.6499999996267</v>
      </c>
      <c r="Q2" s="7">
        <v>4151.3599999999997</v>
      </c>
      <c r="R2" s="75">
        <v>2.5609999999996944</v>
      </c>
      <c r="S2" s="51">
        <v>4865.8999999994194</v>
      </c>
      <c r="T2" s="8">
        <v>12.252499999989595</v>
      </c>
      <c r="U2" s="54">
        <v>23279.749999980228</v>
      </c>
    </row>
    <row r="3" spans="1:25" ht="21" thickBot="1" x14ac:dyDescent="0.25">
      <c r="A3" s="9">
        <v>43709</v>
      </c>
      <c r="B3" s="1">
        <v>16064.034</v>
      </c>
      <c r="C3" s="71">
        <f>IF((B3-B2)&lt;0,"0",(B3-B2))</f>
        <v>14.151599999999235</v>
      </c>
      <c r="D3" s="51">
        <f>C3*1.9*1000</f>
        <v>26888.039999998542</v>
      </c>
      <c r="E3" s="1">
        <v>2512.473</v>
      </c>
      <c r="F3" s="71">
        <f t="shared" ref="F3:F33" si="0">IF((E3-E2)&lt;0,"0",(E3-E2))</f>
        <v>0.89733333333015253</v>
      </c>
      <c r="G3" s="51">
        <f>F3*1.9*1000</f>
        <v>1704.9333333272898</v>
      </c>
      <c r="H3" s="1">
        <v>58</v>
      </c>
      <c r="I3" s="71" t="str">
        <f>IF((H3-H2)&lt;0,"0",(H3-H2))</f>
        <v>0</v>
      </c>
      <c r="J3" s="51">
        <f>I3*1.9*1000</f>
        <v>0</v>
      </c>
      <c r="K3" s="7">
        <v>12839.9</v>
      </c>
      <c r="L3" s="71">
        <f>IF((K3-K2)&lt;0,"0",(K3-K2))</f>
        <v>0.1000000000003638</v>
      </c>
      <c r="M3" s="51">
        <f>L3*1.9*1000</f>
        <v>190.00000000069119</v>
      </c>
      <c r="N3" s="7">
        <v>2091.3960000000002</v>
      </c>
      <c r="O3" s="71">
        <f>IF((N3-N2)&lt;0,"0",(N3-N2))</f>
        <v>1.1550000000002001</v>
      </c>
      <c r="P3" s="51">
        <f>O3*1.9*1000</f>
        <v>2194.5000000003802</v>
      </c>
      <c r="Q3" s="7">
        <v>4154.2</v>
      </c>
      <c r="R3" s="71">
        <f>IF((Q3-Q2)&lt;0,"0",(Q3-Q2))</f>
        <v>2.8400000000001455</v>
      </c>
      <c r="S3" s="51">
        <f>R3*1.9*1000</f>
        <v>5396.0000000002765</v>
      </c>
      <c r="T3" s="8">
        <f>C3+F3+I3+L3+O3+R3</f>
        <v>19.143933333330097</v>
      </c>
      <c r="U3" s="55">
        <f>T3*1.9*1000</f>
        <v>36373.473333327187</v>
      </c>
    </row>
    <row r="4" spans="1:25" ht="21" thickBot="1" x14ac:dyDescent="0.25">
      <c r="A4" s="9">
        <v>43710</v>
      </c>
      <c r="B4" s="1">
        <v>16078.37</v>
      </c>
      <c r="C4" s="71">
        <f t="shared" ref="C4:C33" si="1">IF((B4-B3)&lt;0,"0",(B4-B3))</f>
        <v>14.33600000000115</v>
      </c>
      <c r="D4" s="51">
        <f t="shared" ref="D4:D31" si="2">C4*1.9*1000</f>
        <v>27238.400000002184</v>
      </c>
      <c r="E4" s="1">
        <v>2512.8679999999999</v>
      </c>
      <c r="F4" s="71">
        <f t="shared" si="0"/>
        <v>0.39499999999998181</v>
      </c>
      <c r="G4" s="51">
        <f t="shared" ref="G4:G31" si="3">F4*1.9*1000</f>
        <v>750.49999999996544</v>
      </c>
      <c r="H4" s="1">
        <v>68</v>
      </c>
      <c r="I4" s="71">
        <f t="shared" ref="I4:I33" si="4">IF((H4-H3)&lt;0,"0",(H4-H3))</f>
        <v>10</v>
      </c>
      <c r="J4" s="51">
        <f t="shared" ref="J4:J31" si="5">I4*1.9*1000</f>
        <v>19000</v>
      </c>
      <c r="K4" s="7">
        <v>12840.44</v>
      </c>
      <c r="L4" s="71">
        <f t="shared" ref="L4:L33" si="6">IF((K4-K3)&lt;0,"0",(K4-K3))</f>
        <v>0.54000000000087311</v>
      </c>
      <c r="M4" s="51">
        <f t="shared" ref="M4:M31" si="7">L4*1.9*1000</f>
        <v>1026.0000000016589</v>
      </c>
      <c r="N4" s="7">
        <v>2094.1410000000001</v>
      </c>
      <c r="O4" s="71">
        <f t="shared" ref="O4:O33" si="8">IF((N4-N3)&lt;0,"0",(N4-N3))</f>
        <v>2.7449999999998909</v>
      </c>
      <c r="P4" s="51">
        <f t="shared" ref="P4:P31" si="9">O4*1.9*1000</f>
        <v>5215.4999999997926</v>
      </c>
      <c r="Q4" s="7">
        <v>4160</v>
      </c>
      <c r="R4" s="71">
        <f t="shared" ref="R4:R33" si="10">IF((Q4-Q3)&lt;0,"0",(Q4-Q3))</f>
        <v>5.8000000000001819</v>
      </c>
      <c r="S4" s="51">
        <f t="shared" ref="S4:S31" si="11">R4*1.9*1000</f>
        <v>11020.000000000346</v>
      </c>
      <c r="T4" s="8">
        <f t="shared" ref="T4:T31" si="12">C4+F4+I4+L4+O4+R4</f>
        <v>33.816000000002077</v>
      </c>
      <c r="U4" s="55">
        <f t="shared" ref="U4:U31" si="13">T4*1.9*1000</f>
        <v>64250.400000003952</v>
      </c>
    </row>
    <row r="5" spans="1:25" ht="21" thickBot="1" x14ac:dyDescent="0.25">
      <c r="A5" s="9">
        <v>43711</v>
      </c>
      <c r="B5" s="1">
        <v>16110.550999999999</v>
      </c>
      <c r="C5" s="71">
        <f t="shared" si="1"/>
        <v>32.180999999998676</v>
      </c>
      <c r="D5" s="51">
        <f t="shared" si="2"/>
        <v>61143.899999997477</v>
      </c>
      <c r="E5" s="1">
        <v>2517.9</v>
      </c>
      <c r="F5" s="71">
        <f t="shared" si="0"/>
        <v>5.0320000000001528</v>
      </c>
      <c r="G5" s="51">
        <f t="shared" si="3"/>
        <v>9560.8000000002903</v>
      </c>
      <c r="H5" s="1">
        <v>73</v>
      </c>
      <c r="I5" s="71">
        <f t="shared" si="4"/>
        <v>5</v>
      </c>
      <c r="J5" s="51">
        <f t="shared" si="5"/>
        <v>9500</v>
      </c>
      <c r="K5" s="7">
        <v>12842.03</v>
      </c>
      <c r="L5" s="71">
        <f t="shared" si="6"/>
        <v>1.5900000000001455</v>
      </c>
      <c r="M5" s="51">
        <f t="shared" si="7"/>
        <v>3021.000000000276</v>
      </c>
      <c r="N5" s="7">
        <v>2100.6970000000001</v>
      </c>
      <c r="O5" s="71">
        <f t="shared" si="8"/>
        <v>6.55600000000004</v>
      </c>
      <c r="P5" s="51">
        <f t="shared" si="9"/>
        <v>12456.400000000074</v>
      </c>
      <c r="Q5" s="7">
        <v>4164</v>
      </c>
      <c r="R5" s="71">
        <f t="shared" si="10"/>
        <v>4</v>
      </c>
      <c r="S5" s="51">
        <f t="shared" si="11"/>
        <v>7600</v>
      </c>
      <c r="T5" s="8">
        <f t="shared" si="12"/>
        <v>54.358999999999014</v>
      </c>
      <c r="U5" s="55">
        <f t="shared" si="13"/>
        <v>103282.09999999813</v>
      </c>
    </row>
    <row r="6" spans="1:25" ht="21" thickBot="1" x14ac:dyDescent="0.25">
      <c r="A6" s="9">
        <v>43712</v>
      </c>
      <c r="B6" s="1">
        <v>16125.531000000001</v>
      </c>
      <c r="C6" s="71">
        <f t="shared" si="1"/>
        <v>14.980000000001382</v>
      </c>
      <c r="D6" s="51">
        <f t="shared" si="2"/>
        <v>28462.000000002627</v>
      </c>
      <c r="E6" s="1">
        <v>2521.2950000000001</v>
      </c>
      <c r="F6" s="71">
        <f t="shared" si="0"/>
        <v>3.3949999999999818</v>
      </c>
      <c r="G6" s="51">
        <f t="shared" si="3"/>
        <v>6450.4999999999654</v>
      </c>
      <c r="H6" s="1">
        <v>73</v>
      </c>
      <c r="I6" s="71">
        <f t="shared" si="4"/>
        <v>0</v>
      </c>
      <c r="J6" s="51">
        <f t="shared" si="5"/>
        <v>0</v>
      </c>
      <c r="K6" s="7">
        <v>12842.79</v>
      </c>
      <c r="L6" s="71">
        <f t="shared" si="6"/>
        <v>0.76000000000021828</v>
      </c>
      <c r="M6" s="51">
        <f t="shared" si="7"/>
        <v>1444.0000000004147</v>
      </c>
      <c r="N6" s="7">
        <v>2104.2249999999999</v>
      </c>
      <c r="O6" s="71">
        <f t="shared" si="8"/>
        <v>3.5279999999997926</v>
      </c>
      <c r="P6" s="51">
        <f t="shared" si="9"/>
        <v>6703.1999999996051</v>
      </c>
      <c r="Q6" s="7">
        <v>4165.03</v>
      </c>
      <c r="R6" s="71">
        <f t="shared" si="10"/>
        <v>1.0299999999997453</v>
      </c>
      <c r="S6" s="51">
        <f t="shared" si="11"/>
        <v>1956.9999999995159</v>
      </c>
      <c r="T6" s="8">
        <f t="shared" si="12"/>
        <v>23.69300000000112</v>
      </c>
      <c r="U6" s="55">
        <f t="shared" si="13"/>
        <v>45016.700000002122</v>
      </c>
    </row>
    <row r="7" spans="1:25" ht="21" thickBot="1" x14ac:dyDescent="0.25">
      <c r="A7" s="9">
        <v>43713</v>
      </c>
      <c r="B7" s="1">
        <v>16141.486999999999</v>
      </c>
      <c r="C7" s="71">
        <f t="shared" si="1"/>
        <v>15.955999999998312</v>
      </c>
      <c r="D7" s="51">
        <f t="shared" si="2"/>
        <v>30316.399999996789</v>
      </c>
      <c r="E7" s="1">
        <v>2524.6039999999998</v>
      </c>
      <c r="F7" s="71">
        <f t="shared" si="0"/>
        <v>3.3089999999997417</v>
      </c>
      <c r="G7" s="51">
        <f t="shared" si="3"/>
        <v>6287.0999999995083</v>
      </c>
      <c r="H7" s="1">
        <v>73</v>
      </c>
      <c r="I7" s="71">
        <f t="shared" si="4"/>
        <v>0</v>
      </c>
      <c r="J7" s="51">
        <f t="shared" si="5"/>
        <v>0</v>
      </c>
      <c r="K7" s="7">
        <v>12843.55</v>
      </c>
      <c r="L7" s="71">
        <f t="shared" si="6"/>
        <v>0.75999999999839929</v>
      </c>
      <c r="M7" s="51">
        <f t="shared" si="7"/>
        <v>1443.9999999969586</v>
      </c>
      <c r="N7" s="7">
        <v>2107.4549999999999</v>
      </c>
      <c r="O7" s="71">
        <f t="shared" si="8"/>
        <v>3.2300000000000182</v>
      </c>
      <c r="P7" s="51">
        <f t="shared" si="9"/>
        <v>6137.0000000000346</v>
      </c>
      <c r="Q7" s="7">
        <v>4166</v>
      </c>
      <c r="R7" s="71">
        <f t="shared" si="10"/>
        <v>0.97000000000025466</v>
      </c>
      <c r="S7" s="51">
        <f t="shared" si="11"/>
        <v>1843.0000000004839</v>
      </c>
      <c r="T7" s="8">
        <f t="shared" si="12"/>
        <v>24.224999999996726</v>
      </c>
      <c r="U7" s="55">
        <f t="shared" si="13"/>
        <v>46027.499999993779</v>
      </c>
    </row>
    <row r="8" spans="1:25" ht="21" thickBot="1" x14ac:dyDescent="0.25">
      <c r="A8" s="9">
        <v>43714</v>
      </c>
      <c r="B8" s="1">
        <v>16160.484</v>
      </c>
      <c r="C8" s="71">
        <f t="shared" si="1"/>
        <v>18.997000000001208</v>
      </c>
      <c r="D8" s="51">
        <f t="shared" si="2"/>
        <v>36094.300000002295</v>
      </c>
      <c r="E8" s="1">
        <v>2526.674</v>
      </c>
      <c r="F8" s="71">
        <f t="shared" si="0"/>
        <v>2.0700000000001637</v>
      </c>
      <c r="G8" s="51">
        <f t="shared" si="3"/>
        <v>3933.0000000003106</v>
      </c>
      <c r="H8" s="1">
        <v>73</v>
      </c>
      <c r="I8" s="71">
        <f t="shared" si="4"/>
        <v>0</v>
      </c>
      <c r="J8" s="51">
        <f t="shared" si="5"/>
        <v>0</v>
      </c>
      <c r="K8" s="7">
        <v>12844.43</v>
      </c>
      <c r="L8" s="71">
        <f t="shared" si="6"/>
        <v>0.88000000000101863</v>
      </c>
      <c r="M8" s="51">
        <f t="shared" si="7"/>
        <v>1672.0000000019352</v>
      </c>
      <c r="N8" s="7">
        <v>2110.9389999999999</v>
      </c>
      <c r="O8" s="71">
        <f t="shared" si="8"/>
        <v>3.4839999999999236</v>
      </c>
      <c r="P8" s="51">
        <f t="shared" si="9"/>
        <v>6619.5999999998548</v>
      </c>
      <c r="Q8" s="7">
        <v>4171.09</v>
      </c>
      <c r="R8" s="71">
        <f t="shared" si="10"/>
        <v>5.0900000000001455</v>
      </c>
      <c r="S8" s="51">
        <f t="shared" si="11"/>
        <v>9671.0000000002765</v>
      </c>
      <c r="T8" s="8">
        <f t="shared" si="12"/>
        <v>30.521000000002459</v>
      </c>
      <c r="U8" s="55">
        <f t="shared" si="13"/>
        <v>57989.900000004665</v>
      </c>
    </row>
    <row r="9" spans="1:25" ht="21" thickBot="1" x14ac:dyDescent="0.25">
      <c r="A9" s="9">
        <v>43715</v>
      </c>
      <c r="B9" s="1">
        <v>16175.536</v>
      </c>
      <c r="C9" s="71">
        <f t="shared" si="1"/>
        <v>15.05199999999968</v>
      </c>
      <c r="D9" s="51">
        <f t="shared" si="2"/>
        <v>28598.799999999388</v>
      </c>
      <c r="E9" s="1">
        <v>2528.5659999999998</v>
      </c>
      <c r="F9" s="71">
        <f t="shared" si="0"/>
        <v>1.8919999999998254</v>
      </c>
      <c r="G9" s="51">
        <f t="shared" si="3"/>
        <v>3594.7999999996682</v>
      </c>
      <c r="H9" s="1">
        <v>73</v>
      </c>
      <c r="I9" s="71">
        <f t="shared" si="4"/>
        <v>0</v>
      </c>
      <c r="J9" s="51">
        <f t="shared" si="5"/>
        <v>0</v>
      </c>
      <c r="K9" s="7">
        <v>12845.14</v>
      </c>
      <c r="L9" s="71">
        <f t="shared" si="6"/>
        <v>0.70999999999912689</v>
      </c>
      <c r="M9" s="51">
        <f t="shared" si="7"/>
        <v>1348.9999999983411</v>
      </c>
      <c r="N9" s="7">
        <v>2114.4090000000001</v>
      </c>
      <c r="O9" s="71">
        <f t="shared" si="8"/>
        <v>3.4700000000002547</v>
      </c>
      <c r="P9" s="51">
        <f t="shared" si="9"/>
        <v>6593.0000000004829</v>
      </c>
      <c r="Q9" s="7">
        <v>4172.2</v>
      </c>
      <c r="R9" s="71">
        <f t="shared" si="10"/>
        <v>1.1099999999996726</v>
      </c>
      <c r="S9" s="51">
        <f t="shared" si="11"/>
        <v>2108.9999999993779</v>
      </c>
      <c r="T9" s="8">
        <f t="shared" si="12"/>
        <v>22.233999999998559</v>
      </c>
      <c r="U9" s="55">
        <f t="shared" si="13"/>
        <v>42244.599999997263</v>
      </c>
    </row>
    <row r="10" spans="1:25" ht="21" thickBot="1" x14ac:dyDescent="0.25">
      <c r="A10" s="9">
        <v>43716</v>
      </c>
      <c r="B10" s="1">
        <v>16190.62</v>
      </c>
      <c r="C10" s="71">
        <f t="shared" si="1"/>
        <v>15.084000000000742</v>
      </c>
      <c r="D10" s="51">
        <f t="shared" si="2"/>
        <v>28659.600000001406</v>
      </c>
      <c r="E10" s="1">
        <v>2532.4520000000002</v>
      </c>
      <c r="F10" s="71">
        <f t="shared" si="0"/>
        <v>3.886000000000422</v>
      </c>
      <c r="G10" s="51">
        <f t="shared" si="3"/>
        <v>7383.4000000008009</v>
      </c>
      <c r="H10" s="1">
        <v>73</v>
      </c>
      <c r="I10" s="71">
        <f t="shared" si="4"/>
        <v>0</v>
      </c>
      <c r="J10" s="51">
        <f t="shared" si="5"/>
        <v>0</v>
      </c>
      <c r="K10" s="7">
        <v>12845.89</v>
      </c>
      <c r="L10" s="71">
        <f t="shared" si="6"/>
        <v>0.75</v>
      </c>
      <c r="M10" s="51">
        <f t="shared" si="7"/>
        <v>1424.9999999999998</v>
      </c>
      <c r="N10" s="7">
        <v>2117.748</v>
      </c>
      <c r="O10" s="71">
        <f t="shared" si="8"/>
        <v>3.3389999999999418</v>
      </c>
      <c r="P10" s="51">
        <f t="shared" si="9"/>
        <v>6344.0999999998894</v>
      </c>
      <c r="Q10" s="7">
        <v>4173</v>
      </c>
      <c r="R10" s="71">
        <f t="shared" si="10"/>
        <v>0.8000000000001819</v>
      </c>
      <c r="S10" s="51">
        <f t="shared" si="11"/>
        <v>1520.0000000003456</v>
      </c>
      <c r="T10" s="8">
        <f t="shared" si="12"/>
        <v>23.859000000001288</v>
      </c>
      <c r="U10" s="55">
        <f t="shared" si="13"/>
        <v>45332.100000002451</v>
      </c>
    </row>
    <row r="11" spans="1:25" ht="21" thickBot="1" x14ac:dyDescent="0.25">
      <c r="A11" s="9">
        <v>43717</v>
      </c>
      <c r="B11" s="1">
        <v>16204.9</v>
      </c>
      <c r="C11" s="71">
        <f t="shared" si="1"/>
        <v>14.279999999998836</v>
      </c>
      <c r="D11" s="51">
        <f t="shared" si="2"/>
        <v>27131.999999997788</v>
      </c>
      <c r="E11" s="1">
        <v>2536.1999999999998</v>
      </c>
      <c r="F11" s="71">
        <f t="shared" si="0"/>
        <v>3.7479999999995925</v>
      </c>
      <c r="G11" s="51">
        <f t="shared" si="3"/>
        <v>7121.1999999992258</v>
      </c>
      <c r="H11" s="1">
        <v>73</v>
      </c>
      <c r="I11" s="71">
        <f t="shared" si="4"/>
        <v>0</v>
      </c>
      <c r="J11" s="51">
        <f t="shared" si="5"/>
        <v>0</v>
      </c>
      <c r="K11" s="7">
        <v>12846.6</v>
      </c>
      <c r="L11" s="71">
        <f t="shared" si="6"/>
        <v>0.71000000000094587</v>
      </c>
      <c r="M11" s="51">
        <f t="shared" si="7"/>
        <v>1349.0000000017972</v>
      </c>
      <c r="N11" s="7">
        <v>2121</v>
      </c>
      <c r="O11" s="71">
        <f t="shared" si="8"/>
        <v>3.2519999999999527</v>
      </c>
      <c r="P11" s="51">
        <f t="shared" si="9"/>
        <v>6178.7999999999101</v>
      </c>
      <c r="Q11" s="7">
        <v>4176</v>
      </c>
      <c r="R11" s="71">
        <f t="shared" si="10"/>
        <v>3</v>
      </c>
      <c r="S11" s="51">
        <f t="shared" si="11"/>
        <v>5699.9999999999991</v>
      </c>
      <c r="T11" s="8">
        <f t="shared" si="12"/>
        <v>24.989999999999327</v>
      </c>
      <c r="U11" s="55">
        <f t="shared" si="13"/>
        <v>47480.999999998712</v>
      </c>
    </row>
    <row r="12" spans="1:25" ht="21" thickBot="1" x14ac:dyDescent="0.25">
      <c r="A12" s="9">
        <v>43718</v>
      </c>
      <c r="B12" s="1">
        <v>16219.3</v>
      </c>
      <c r="C12" s="71">
        <f t="shared" si="1"/>
        <v>14.399999999999636</v>
      </c>
      <c r="D12" s="51">
        <f t="shared" si="2"/>
        <v>27359.999999999305</v>
      </c>
      <c r="E12" s="1">
        <v>2539.8000000000002</v>
      </c>
      <c r="F12" s="71">
        <f t="shared" si="0"/>
        <v>3.6000000000003638</v>
      </c>
      <c r="G12" s="51">
        <f t="shared" si="3"/>
        <v>6840.0000000006912</v>
      </c>
      <c r="H12" s="1">
        <v>73</v>
      </c>
      <c r="I12" s="71">
        <f t="shared" si="4"/>
        <v>0</v>
      </c>
      <c r="J12" s="51">
        <f t="shared" si="5"/>
        <v>0</v>
      </c>
      <c r="K12" s="7">
        <v>12847.4</v>
      </c>
      <c r="L12" s="71">
        <f t="shared" si="6"/>
        <v>0.7999999999992724</v>
      </c>
      <c r="M12" s="51">
        <f t="shared" si="7"/>
        <v>1519.9999999986176</v>
      </c>
      <c r="N12" s="7">
        <v>2124.5</v>
      </c>
      <c r="O12" s="71">
        <f t="shared" si="8"/>
        <v>3.5</v>
      </c>
      <c r="P12" s="51">
        <f t="shared" si="9"/>
        <v>6649.9999999999991</v>
      </c>
      <c r="Q12" s="7">
        <v>4178.7</v>
      </c>
      <c r="R12" s="71">
        <f t="shared" si="10"/>
        <v>2.6999999999998181</v>
      </c>
      <c r="S12" s="51">
        <f t="shared" si="11"/>
        <v>5129.9999999996544</v>
      </c>
      <c r="T12" s="8">
        <f t="shared" si="12"/>
        <v>24.999999999999091</v>
      </c>
      <c r="U12" s="55">
        <f t="shared" si="13"/>
        <v>47499.999999998268</v>
      </c>
    </row>
    <row r="13" spans="1:25" ht="21" thickBot="1" x14ac:dyDescent="0.25">
      <c r="A13" s="9">
        <v>43719</v>
      </c>
      <c r="B13" s="1">
        <v>16233.56</v>
      </c>
      <c r="C13" s="71">
        <f t="shared" si="1"/>
        <v>14.260000000000218</v>
      </c>
      <c r="D13" s="51">
        <f t="shared" si="2"/>
        <v>27094.000000000415</v>
      </c>
      <c r="E13" s="1">
        <v>2543.2370000000001</v>
      </c>
      <c r="F13" s="71">
        <f t="shared" si="0"/>
        <v>3.4369999999998981</v>
      </c>
      <c r="G13" s="51">
        <f t="shared" si="3"/>
        <v>6530.2999999998056</v>
      </c>
      <c r="H13" s="1">
        <v>73</v>
      </c>
      <c r="I13" s="71">
        <f t="shared" si="4"/>
        <v>0</v>
      </c>
      <c r="J13" s="51">
        <f t="shared" si="5"/>
        <v>0</v>
      </c>
      <c r="K13" s="7">
        <v>12848.06</v>
      </c>
      <c r="L13" s="71">
        <f t="shared" si="6"/>
        <v>0.65999999999985448</v>
      </c>
      <c r="M13" s="51">
        <f t="shared" si="7"/>
        <v>1253.9999999997235</v>
      </c>
      <c r="N13" s="7">
        <v>2127.5700000000002</v>
      </c>
      <c r="O13" s="71">
        <f t="shared" si="8"/>
        <v>3.0700000000001637</v>
      </c>
      <c r="P13" s="51">
        <f t="shared" si="9"/>
        <v>5833.000000000311</v>
      </c>
      <c r="Q13" s="7">
        <v>4179.8999999999996</v>
      </c>
      <c r="R13" s="71">
        <f t="shared" si="10"/>
        <v>1.1999999999998181</v>
      </c>
      <c r="S13" s="51">
        <f t="shared" si="11"/>
        <v>2279.9999999996544</v>
      </c>
      <c r="T13" s="8">
        <f t="shared" si="12"/>
        <v>22.626999999999953</v>
      </c>
      <c r="U13" s="55">
        <f t="shared" si="13"/>
        <v>42991.299999999908</v>
      </c>
    </row>
    <row r="14" spans="1:25" ht="21" thickBot="1" x14ac:dyDescent="0.25">
      <c r="A14" s="9">
        <v>43720</v>
      </c>
      <c r="B14" s="1">
        <v>16247.550999999999</v>
      </c>
      <c r="C14" s="71">
        <f t="shared" si="1"/>
        <v>13.990999999999985</v>
      </c>
      <c r="D14" s="51">
        <f t="shared" si="2"/>
        <v>26582.899999999969</v>
      </c>
      <c r="E14" s="1">
        <v>2546.6210000000001</v>
      </c>
      <c r="F14" s="71">
        <f t="shared" si="0"/>
        <v>3.3840000000000146</v>
      </c>
      <c r="G14" s="51">
        <f t="shared" si="3"/>
        <v>6429.6000000000276</v>
      </c>
      <c r="H14" s="1">
        <v>73</v>
      </c>
      <c r="I14" s="71">
        <f t="shared" si="4"/>
        <v>0</v>
      </c>
      <c r="J14" s="51">
        <f t="shared" si="5"/>
        <v>0</v>
      </c>
      <c r="K14" s="7">
        <v>12848.73</v>
      </c>
      <c r="L14" s="71">
        <f t="shared" si="6"/>
        <v>0.67000000000007276</v>
      </c>
      <c r="M14" s="51">
        <f t="shared" si="7"/>
        <v>1273.0000000001382</v>
      </c>
      <c r="N14" s="7">
        <v>2130.2020000000002</v>
      </c>
      <c r="O14" s="71">
        <f t="shared" si="8"/>
        <v>2.6320000000000618</v>
      </c>
      <c r="P14" s="51">
        <f t="shared" si="9"/>
        <v>5000.8000000001175</v>
      </c>
      <c r="Q14" s="7">
        <v>4181.16</v>
      </c>
      <c r="R14" s="71">
        <f t="shared" si="10"/>
        <v>1.2600000000002183</v>
      </c>
      <c r="S14" s="51">
        <f t="shared" si="11"/>
        <v>2394.0000000004143</v>
      </c>
      <c r="T14" s="8">
        <f t="shared" si="12"/>
        <v>21.937000000000353</v>
      </c>
      <c r="U14" s="55">
        <f t="shared" si="13"/>
        <v>41680.300000000672</v>
      </c>
    </row>
    <row r="15" spans="1:25" ht="21" thickBot="1" x14ac:dyDescent="0.25">
      <c r="A15" s="9">
        <v>43721</v>
      </c>
      <c r="B15" s="1">
        <v>16262.766</v>
      </c>
      <c r="C15" s="71">
        <f t="shared" si="1"/>
        <v>15.215000000000146</v>
      </c>
      <c r="D15" s="51">
        <f t="shared" si="2"/>
        <v>28908.500000000273</v>
      </c>
      <c r="E15" s="1">
        <v>2549.0259999999998</v>
      </c>
      <c r="F15" s="71">
        <f t="shared" si="0"/>
        <v>2.4049999999997453</v>
      </c>
      <c r="G15" s="51">
        <f t="shared" si="3"/>
        <v>4569.4999999995152</v>
      </c>
      <c r="H15" s="1">
        <v>73</v>
      </c>
      <c r="I15" s="71">
        <f t="shared" si="4"/>
        <v>0</v>
      </c>
      <c r="J15" s="51">
        <f t="shared" si="5"/>
        <v>0</v>
      </c>
      <c r="K15" s="7">
        <v>12849.5</v>
      </c>
      <c r="L15" s="71">
        <f t="shared" si="6"/>
        <v>0.77000000000043656</v>
      </c>
      <c r="M15" s="51">
        <f t="shared" si="7"/>
        <v>1463.0000000008295</v>
      </c>
      <c r="N15" s="7">
        <v>2133.37</v>
      </c>
      <c r="O15" s="71">
        <f t="shared" si="8"/>
        <v>3.1679999999996653</v>
      </c>
      <c r="P15" s="51">
        <f t="shared" si="9"/>
        <v>6019.1999999993641</v>
      </c>
      <c r="Q15" s="7">
        <v>4186.78</v>
      </c>
      <c r="R15" s="71">
        <f t="shared" si="10"/>
        <v>5.6199999999998909</v>
      </c>
      <c r="S15" s="51">
        <f t="shared" si="11"/>
        <v>10677.999999999793</v>
      </c>
      <c r="T15" s="8">
        <f t="shared" si="12"/>
        <v>27.177999999999884</v>
      </c>
      <c r="U15" s="55">
        <f t="shared" si="13"/>
        <v>51638.199999999779</v>
      </c>
      <c r="W15" t="s">
        <v>13</v>
      </c>
    </row>
    <row r="16" spans="1:25" ht="21" thickBot="1" x14ac:dyDescent="0.25">
      <c r="A16" s="9">
        <v>43722</v>
      </c>
      <c r="B16" s="1">
        <v>16275.246999999999</v>
      </c>
      <c r="C16" s="71">
        <f t="shared" si="1"/>
        <v>12.480999999999767</v>
      </c>
      <c r="D16" s="51">
        <f t="shared" si="2"/>
        <v>23713.899999999554</v>
      </c>
      <c r="E16" s="1">
        <v>2550.9119999999998</v>
      </c>
      <c r="F16" s="71">
        <f t="shared" si="0"/>
        <v>1.8859999999999673</v>
      </c>
      <c r="G16" s="51">
        <f t="shared" si="3"/>
        <v>3583.3999999999373</v>
      </c>
      <c r="H16" s="1">
        <v>73</v>
      </c>
      <c r="I16" s="71">
        <f t="shared" si="4"/>
        <v>0</v>
      </c>
      <c r="J16" s="51">
        <f t="shared" si="5"/>
        <v>0</v>
      </c>
      <c r="K16" s="7">
        <v>12850.13</v>
      </c>
      <c r="L16" s="71">
        <f t="shared" si="6"/>
        <v>0.62999999999919964</v>
      </c>
      <c r="M16" s="51">
        <f t="shared" si="7"/>
        <v>1196.9999999984793</v>
      </c>
      <c r="N16" s="7">
        <v>2136.1999999999998</v>
      </c>
      <c r="O16" s="71">
        <f t="shared" si="8"/>
        <v>2.8299999999999272</v>
      </c>
      <c r="P16" s="51">
        <f t="shared" si="9"/>
        <v>5376.9999999998608</v>
      </c>
      <c r="Q16" s="7">
        <v>4189.6400000000003</v>
      </c>
      <c r="R16" s="71">
        <f t="shared" si="10"/>
        <v>2.8600000000005821</v>
      </c>
      <c r="S16" s="51">
        <f t="shared" si="11"/>
        <v>5434.0000000011059</v>
      </c>
      <c r="T16" s="8">
        <f t="shared" si="12"/>
        <v>20.686999999999443</v>
      </c>
      <c r="U16" s="55">
        <f t="shared" si="13"/>
        <v>39305.299999998941</v>
      </c>
      <c r="Y16" t="s">
        <v>13</v>
      </c>
    </row>
    <row r="17" spans="1:24" ht="21" thickBot="1" x14ac:dyDescent="0.25">
      <c r="A17" s="9">
        <v>43723</v>
      </c>
      <c r="B17" s="1">
        <v>16287.7</v>
      </c>
      <c r="C17" s="71">
        <f t="shared" si="1"/>
        <v>12.453000000001339</v>
      </c>
      <c r="D17" s="51">
        <f t="shared" si="2"/>
        <v>23660.700000002544</v>
      </c>
      <c r="E17" s="1">
        <v>2554.5700000000002</v>
      </c>
      <c r="F17" s="71">
        <f t="shared" si="0"/>
        <v>3.6580000000003565</v>
      </c>
      <c r="G17" s="51">
        <f t="shared" si="3"/>
        <v>6950.2000000006774</v>
      </c>
      <c r="H17" s="1">
        <v>73</v>
      </c>
      <c r="I17" s="71">
        <f t="shared" si="4"/>
        <v>0</v>
      </c>
      <c r="J17" s="51">
        <f t="shared" si="5"/>
        <v>0</v>
      </c>
      <c r="K17" s="7">
        <v>12850.77</v>
      </c>
      <c r="L17" s="71">
        <f t="shared" si="6"/>
        <v>0.64000000000123691</v>
      </c>
      <c r="M17" s="51">
        <f t="shared" si="7"/>
        <v>1216.0000000023501</v>
      </c>
      <c r="N17" s="7">
        <v>2139.1390000000001</v>
      </c>
      <c r="O17" s="71">
        <f t="shared" si="8"/>
        <v>2.9390000000003056</v>
      </c>
      <c r="P17" s="51">
        <f t="shared" si="9"/>
        <v>5584.1000000005806</v>
      </c>
      <c r="Q17" s="7">
        <v>4191.6000000000004</v>
      </c>
      <c r="R17" s="71">
        <f t="shared" si="10"/>
        <v>1.9600000000000364</v>
      </c>
      <c r="S17" s="51">
        <f t="shared" si="11"/>
        <v>3724.0000000000691</v>
      </c>
      <c r="T17" s="8">
        <f t="shared" si="12"/>
        <v>21.650000000003274</v>
      </c>
      <c r="U17" s="55">
        <f t="shared" si="13"/>
        <v>41135.000000006221</v>
      </c>
    </row>
    <row r="18" spans="1:24" ht="21" thickBot="1" x14ac:dyDescent="0.25">
      <c r="A18" s="9">
        <v>43724</v>
      </c>
      <c r="B18" s="1">
        <v>16300.481</v>
      </c>
      <c r="C18" s="71">
        <f t="shared" si="1"/>
        <v>12.78099999999904</v>
      </c>
      <c r="D18" s="51">
        <f t="shared" si="2"/>
        <v>24283.899999998172</v>
      </c>
      <c r="E18" s="1">
        <v>2558.1610000000001</v>
      </c>
      <c r="F18" s="71">
        <f t="shared" si="0"/>
        <v>3.5909999999998945</v>
      </c>
      <c r="G18" s="51">
        <f t="shared" si="3"/>
        <v>6822.8999999997986</v>
      </c>
      <c r="H18" s="1">
        <v>73</v>
      </c>
      <c r="I18" s="71">
        <f t="shared" si="4"/>
        <v>0</v>
      </c>
      <c r="J18" s="51">
        <f t="shared" si="5"/>
        <v>0</v>
      </c>
      <c r="K18" s="7">
        <v>12851.4</v>
      </c>
      <c r="L18" s="71">
        <f t="shared" si="6"/>
        <v>0.62999999999919964</v>
      </c>
      <c r="M18" s="51">
        <f t="shared" si="7"/>
        <v>1196.9999999984793</v>
      </c>
      <c r="N18" s="7">
        <v>2142.136</v>
      </c>
      <c r="O18" s="71">
        <f t="shared" si="8"/>
        <v>2.9969999999998436</v>
      </c>
      <c r="P18" s="51">
        <f t="shared" si="9"/>
        <v>5694.2999999997028</v>
      </c>
      <c r="Q18" s="7">
        <v>4194.01</v>
      </c>
      <c r="R18" s="71">
        <f t="shared" si="10"/>
        <v>2.4099999999998545</v>
      </c>
      <c r="S18" s="51">
        <f t="shared" si="11"/>
        <v>4578.9999999997235</v>
      </c>
      <c r="T18" s="8">
        <f t="shared" si="12"/>
        <v>22.408999999997832</v>
      </c>
      <c r="U18" s="55">
        <f t="shared" si="13"/>
        <v>42577.09999999588</v>
      </c>
    </row>
    <row r="19" spans="1:24" ht="21" thickBot="1" x14ac:dyDescent="0.25">
      <c r="A19" s="9">
        <v>43725</v>
      </c>
      <c r="B19" s="1">
        <v>16314.096</v>
      </c>
      <c r="C19" s="71">
        <f t="shared" si="1"/>
        <v>13.614999999999782</v>
      </c>
      <c r="D19" s="51">
        <f t="shared" si="2"/>
        <v>25868.499999999585</v>
      </c>
      <c r="E19" s="1">
        <v>2561.5450000000001</v>
      </c>
      <c r="F19" s="71">
        <f t="shared" si="0"/>
        <v>3.3840000000000146</v>
      </c>
      <c r="G19" s="51">
        <f t="shared" si="3"/>
        <v>6429.6000000000276</v>
      </c>
      <c r="H19" s="1">
        <v>73</v>
      </c>
      <c r="I19" s="71">
        <f t="shared" si="4"/>
        <v>0</v>
      </c>
      <c r="J19" s="51">
        <f t="shared" si="5"/>
        <v>0</v>
      </c>
      <c r="K19" s="7">
        <v>12852.03</v>
      </c>
      <c r="L19" s="71">
        <f t="shared" si="6"/>
        <v>0.63000000000101863</v>
      </c>
      <c r="M19" s="51">
        <f t="shared" si="7"/>
        <v>1197.0000000019354</v>
      </c>
      <c r="N19" s="7">
        <v>2145.114</v>
      </c>
      <c r="O19" s="71">
        <f t="shared" si="8"/>
        <v>2.9780000000000655</v>
      </c>
      <c r="P19" s="51">
        <f t="shared" si="9"/>
        <v>5658.2000000001244</v>
      </c>
      <c r="Q19" s="7">
        <v>4196.3</v>
      </c>
      <c r="R19" s="71">
        <f t="shared" si="10"/>
        <v>2.2899999999999636</v>
      </c>
      <c r="S19" s="51">
        <f t="shared" si="11"/>
        <v>4350.9999999999309</v>
      </c>
      <c r="T19" s="8">
        <f t="shared" si="12"/>
        <v>22.897000000000844</v>
      </c>
      <c r="U19" s="55">
        <f t="shared" si="13"/>
        <v>43504.300000001596</v>
      </c>
    </row>
    <row r="20" spans="1:24" ht="21" thickBot="1" x14ac:dyDescent="0.25">
      <c r="A20" s="9">
        <v>43726</v>
      </c>
      <c r="B20" s="1">
        <v>16327.333000000001</v>
      </c>
      <c r="C20" s="71">
        <f t="shared" si="1"/>
        <v>13.23700000000099</v>
      </c>
      <c r="D20" s="51">
        <f t="shared" si="2"/>
        <v>25150.300000001876</v>
      </c>
      <c r="E20" s="1">
        <v>2564.7919999999999</v>
      </c>
      <c r="F20" s="71">
        <f t="shared" si="0"/>
        <v>3.2469999999998436</v>
      </c>
      <c r="G20" s="51">
        <f t="shared" si="3"/>
        <v>6169.2999999997019</v>
      </c>
      <c r="H20" s="1">
        <v>73</v>
      </c>
      <c r="I20" s="71">
        <f t="shared" si="4"/>
        <v>0</v>
      </c>
      <c r="J20" s="51">
        <f t="shared" si="5"/>
        <v>0</v>
      </c>
      <c r="K20" s="7">
        <v>12852.64</v>
      </c>
      <c r="L20" s="71">
        <f t="shared" si="6"/>
        <v>0.60999999999876309</v>
      </c>
      <c r="M20" s="51">
        <f t="shared" si="7"/>
        <v>1158.9999999976499</v>
      </c>
      <c r="N20" s="7">
        <v>2147.915</v>
      </c>
      <c r="O20" s="71">
        <f t="shared" si="8"/>
        <v>2.8009999999999309</v>
      </c>
      <c r="P20" s="51">
        <f t="shared" si="9"/>
        <v>5321.8999999998687</v>
      </c>
      <c r="Q20" s="7">
        <v>4198.8900000000003</v>
      </c>
      <c r="R20" s="71">
        <f t="shared" si="10"/>
        <v>2.5900000000001455</v>
      </c>
      <c r="S20" s="51">
        <f t="shared" si="11"/>
        <v>4921.0000000002765</v>
      </c>
      <c r="T20" s="8">
        <f t="shared" si="12"/>
        <v>22.484999999999673</v>
      </c>
      <c r="U20" s="55">
        <f t="shared" si="13"/>
        <v>42721.499999999374</v>
      </c>
      <c r="X20" t="s">
        <v>13</v>
      </c>
    </row>
    <row r="21" spans="1:24" ht="21" thickBot="1" x14ac:dyDescent="0.25">
      <c r="A21" s="9">
        <v>43727</v>
      </c>
      <c r="B21" s="1">
        <v>16341.200999999999</v>
      </c>
      <c r="C21" s="71">
        <f t="shared" si="1"/>
        <v>13.867999999998574</v>
      </c>
      <c r="D21" s="51">
        <f t="shared" si="2"/>
        <v>26349.19999999729</v>
      </c>
      <c r="E21" s="1">
        <v>2568.1120000000001</v>
      </c>
      <c r="F21" s="71">
        <f t="shared" si="0"/>
        <v>3.3200000000001637</v>
      </c>
      <c r="G21" s="51">
        <f t="shared" si="3"/>
        <v>6308.000000000311</v>
      </c>
      <c r="H21" s="1">
        <v>73</v>
      </c>
      <c r="I21" s="71">
        <f t="shared" si="4"/>
        <v>0</v>
      </c>
      <c r="J21" s="51">
        <f t="shared" si="5"/>
        <v>0</v>
      </c>
      <c r="K21" s="7">
        <v>12853.26</v>
      </c>
      <c r="L21" s="71">
        <f t="shared" si="6"/>
        <v>0.62000000000080036</v>
      </c>
      <c r="M21" s="51">
        <f t="shared" si="7"/>
        <v>1178.0000000015207</v>
      </c>
      <c r="N21" s="7">
        <v>2150.8339999999998</v>
      </c>
      <c r="O21" s="71">
        <f t="shared" si="8"/>
        <v>2.918999999999869</v>
      </c>
      <c r="P21" s="51">
        <f t="shared" si="9"/>
        <v>5546.0999999997512</v>
      </c>
      <c r="Q21" s="7">
        <v>4204.5</v>
      </c>
      <c r="R21" s="71">
        <f t="shared" si="10"/>
        <v>5.6099999999996726</v>
      </c>
      <c r="S21" s="51">
        <f t="shared" si="11"/>
        <v>10658.999999999378</v>
      </c>
      <c r="T21" s="8">
        <f t="shared" si="12"/>
        <v>26.33699999999908</v>
      </c>
      <c r="U21" s="55">
        <f t="shared" si="13"/>
        <v>50040.299999998249</v>
      </c>
    </row>
    <row r="22" spans="1:24" ht="21" thickBot="1" x14ac:dyDescent="0.25">
      <c r="A22" s="9">
        <v>43728</v>
      </c>
      <c r="B22" s="1">
        <v>16355.67</v>
      </c>
      <c r="C22" s="71">
        <f t="shared" si="1"/>
        <v>14.46900000000096</v>
      </c>
      <c r="D22" s="51">
        <f t="shared" si="2"/>
        <v>27491.100000001821</v>
      </c>
      <c r="E22" s="1">
        <v>2570.114</v>
      </c>
      <c r="F22" s="71">
        <f t="shared" si="0"/>
        <v>2.0019999999999527</v>
      </c>
      <c r="G22" s="51">
        <f t="shared" si="3"/>
        <v>3803.7999999999101</v>
      </c>
      <c r="H22" s="1">
        <v>73</v>
      </c>
      <c r="I22" s="71">
        <f t="shared" si="4"/>
        <v>0</v>
      </c>
      <c r="J22" s="51">
        <f t="shared" si="5"/>
        <v>0</v>
      </c>
      <c r="K22" s="7">
        <v>12853.92</v>
      </c>
      <c r="L22" s="71">
        <f t="shared" si="6"/>
        <v>0.65999999999985448</v>
      </c>
      <c r="M22" s="51">
        <f t="shared" si="7"/>
        <v>1253.9999999997235</v>
      </c>
      <c r="N22" s="7">
        <v>2153.7939999999999</v>
      </c>
      <c r="O22" s="71">
        <f t="shared" si="8"/>
        <v>2.9600000000000364</v>
      </c>
      <c r="P22" s="51">
        <f t="shared" si="9"/>
        <v>5624.0000000000691</v>
      </c>
      <c r="Q22" s="7">
        <v>4206.6000000000004</v>
      </c>
      <c r="R22" s="71">
        <f t="shared" si="10"/>
        <v>2.1000000000003638</v>
      </c>
      <c r="S22" s="51">
        <f t="shared" si="11"/>
        <v>3990.0000000006912</v>
      </c>
      <c r="T22" s="8">
        <f t="shared" si="12"/>
        <v>22.191000000001168</v>
      </c>
      <c r="U22" s="55">
        <f t="shared" si="13"/>
        <v>42162.900000002221</v>
      </c>
    </row>
    <row r="23" spans="1:24" ht="21" thickBot="1" x14ac:dyDescent="0.25">
      <c r="A23" s="9">
        <v>43729</v>
      </c>
      <c r="B23" s="1">
        <v>16367.869000000001</v>
      </c>
      <c r="C23" s="71">
        <f t="shared" si="1"/>
        <v>12.199000000000524</v>
      </c>
      <c r="D23" s="51">
        <f t="shared" si="2"/>
        <v>23178.100000000995</v>
      </c>
      <c r="E23" s="1">
        <v>2572.0889999999999</v>
      </c>
      <c r="F23" s="71">
        <f t="shared" si="0"/>
        <v>1.9749999999999091</v>
      </c>
      <c r="G23" s="51">
        <f t="shared" si="3"/>
        <v>3752.4999999998272</v>
      </c>
      <c r="H23" s="1">
        <v>73</v>
      </c>
      <c r="I23" s="71">
        <f t="shared" si="4"/>
        <v>0</v>
      </c>
      <c r="J23" s="51">
        <f t="shared" si="5"/>
        <v>0</v>
      </c>
      <c r="K23" s="7">
        <v>12854.41</v>
      </c>
      <c r="L23" s="71">
        <f t="shared" si="6"/>
        <v>0.48999999999978172</v>
      </c>
      <c r="M23" s="51">
        <f t="shared" si="7"/>
        <v>930.99999999958527</v>
      </c>
      <c r="N23" s="7">
        <v>2156.4929999999999</v>
      </c>
      <c r="O23" s="71">
        <f t="shared" si="8"/>
        <v>2.6990000000000691</v>
      </c>
      <c r="P23" s="51">
        <f t="shared" si="9"/>
        <v>5128.1000000001313</v>
      </c>
      <c r="Q23" s="7">
        <v>4208.76</v>
      </c>
      <c r="R23" s="71">
        <f t="shared" si="10"/>
        <v>2.1599999999998545</v>
      </c>
      <c r="S23" s="51">
        <f t="shared" si="11"/>
        <v>4103.9999999997226</v>
      </c>
      <c r="T23" s="8">
        <f t="shared" si="12"/>
        <v>19.523000000000138</v>
      </c>
      <c r="U23" s="55">
        <f t="shared" si="13"/>
        <v>37093.700000000259</v>
      </c>
    </row>
    <row r="24" spans="1:24" ht="21" thickBot="1" x14ac:dyDescent="0.25">
      <c r="A24" s="9">
        <v>43730</v>
      </c>
      <c r="B24" s="1">
        <v>16381.111000000001</v>
      </c>
      <c r="C24" s="71">
        <f t="shared" si="1"/>
        <v>13.242000000000189</v>
      </c>
      <c r="D24" s="51">
        <f t="shared" si="2"/>
        <v>25159.800000000359</v>
      </c>
      <c r="E24" s="1">
        <v>2575.4830000000002</v>
      </c>
      <c r="F24" s="71">
        <f t="shared" si="0"/>
        <v>3.3940000000002328</v>
      </c>
      <c r="G24" s="51">
        <f t="shared" si="3"/>
        <v>6448.6000000004424</v>
      </c>
      <c r="H24" s="1">
        <v>73</v>
      </c>
      <c r="I24" s="71">
        <f t="shared" si="4"/>
        <v>0</v>
      </c>
      <c r="J24" s="51">
        <f t="shared" si="5"/>
        <v>0</v>
      </c>
      <c r="K24" s="7">
        <v>12855.1</v>
      </c>
      <c r="L24" s="71">
        <f t="shared" si="6"/>
        <v>0.69000000000050932</v>
      </c>
      <c r="M24" s="51">
        <f t="shared" si="7"/>
        <v>1311.0000000009677</v>
      </c>
      <c r="N24" s="7">
        <v>2159.4810000000002</v>
      </c>
      <c r="O24" s="71">
        <f t="shared" si="8"/>
        <v>2.9880000000002838</v>
      </c>
      <c r="P24" s="51">
        <f t="shared" si="9"/>
        <v>5677.2000000005391</v>
      </c>
      <c r="Q24" s="7">
        <v>4209.99</v>
      </c>
      <c r="R24" s="71">
        <f t="shared" si="10"/>
        <v>1.2299999999995634</v>
      </c>
      <c r="S24" s="51">
        <f t="shared" si="11"/>
        <v>2336.9999999991705</v>
      </c>
      <c r="T24" s="8">
        <f t="shared" si="12"/>
        <v>21.544000000000779</v>
      </c>
      <c r="U24" s="55">
        <f t="shared" si="13"/>
        <v>40933.600000001476</v>
      </c>
    </row>
    <row r="25" spans="1:24" ht="21" thickBot="1" x14ac:dyDescent="0.25">
      <c r="A25" s="9">
        <v>43731</v>
      </c>
      <c r="B25" s="1">
        <v>16392.587</v>
      </c>
      <c r="C25" s="71">
        <f t="shared" si="1"/>
        <v>11.475999999998749</v>
      </c>
      <c r="D25" s="51">
        <f t="shared" si="2"/>
        <v>21804.399999997622</v>
      </c>
      <c r="E25" s="1">
        <v>2578.4929999999999</v>
      </c>
      <c r="F25" s="71">
        <f t="shared" si="0"/>
        <v>3.0099999999997635</v>
      </c>
      <c r="G25" s="51">
        <f t="shared" si="3"/>
        <v>5718.9999999995498</v>
      </c>
      <c r="H25" s="1">
        <v>74</v>
      </c>
      <c r="I25" s="71">
        <f t="shared" si="4"/>
        <v>1</v>
      </c>
      <c r="J25" s="51">
        <f t="shared" si="5"/>
        <v>1900</v>
      </c>
      <c r="K25" s="7">
        <v>12855.6</v>
      </c>
      <c r="L25" s="71">
        <f t="shared" si="6"/>
        <v>0.5</v>
      </c>
      <c r="M25" s="51">
        <f t="shared" si="7"/>
        <v>950</v>
      </c>
      <c r="N25" s="7">
        <v>2162.328</v>
      </c>
      <c r="O25" s="71">
        <f t="shared" si="8"/>
        <v>2.8469999999997526</v>
      </c>
      <c r="P25" s="51">
        <f t="shared" si="9"/>
        <v>5409.29999999953</v>
      </c>
      <c r="Q25" s="7">
        <v>4213.83</v>
      </c>
      <c r="R25" s="71">
        <f t="shared" si="10"/>
        <v>3.8400000000001455</v>
      </c>
      <c r="S25" s="51">
        <f t="shared" si="11"/>
        <v>7296.0000000002765</v>
      </c>
      <c r="T25" s="8">
        <f t="shared" si="12"/>
        <v>22.67299999999841</v>
      </c>
      <c r="U25" s="55">
        <f t="shared" si="13"/>
        <v>43078.699999996978</v>
      </c>
    </row>
    <row r="26" spans="1:24" ht="21" thickBot="1" x14ac:dyDescent="0.25">
      <c r="A26" s="9">
        <v>43732</v>
      </c>
      <c r="B26" s="1">
        <v>16403.636999999999</v>
      </c>
      <c r="C26" s="71">
        <f t="shared" si="1"/>
        <v>11.049999999999272</v>
      </c>
      <c r="D26" s="51">
        <f t="shared" si="2"/>
        <v>20994.999999998614</v>
      </c>
      <c r="E26" s="1">
        <v>2581.6559999999999</v>
      </c>
      <c r="F26" s="71">
        <f t="shared" si="0"/>
        <v>3.1630000000000109</v>
      </c>
      <c r="G26" s="51">
        <f t="shared" si="3"/>
        <v>6009.7000000000198</v>
      </c>
      <c r="H26" s="1">
        <v>74</v>
      </c>
      <c r="I26" s="71">
        <f t="shared" si="4"/>
        <v>0</v>
      </c>
      <c r="J26" s="51">
        <f t="shared" si="5"/>
        <v>0</v>
      </c>
      <c r="K26" s="7">
        <v>12856.13</v>
      </c>
      <c r="L26" s="71">
        <f t="shared" si="6"/>
        <v>0.52999999999883585</v>
      </c>
      <c r="M26" s="51">
        <f t="shared" si="7"/>
        <v>1006.9999999977881</v>
      </c>
      <c r="N26" s="7">
        <v>2165.1570000000002</v>
      </c>
      <c r="O26" s="71">
        <f t="shared" si="8"/>
        <v>2.8290000000001783</v>
      </c>
      <c r="P26" s="51">
        <f t="shared" si="9"/>
        <v>5375.1000000003378</v>
      </c>
      <c r="Q26" s="7">
        <v>4216.55</v>
      </c>
      <c r="R26" s="71">
        <f t="shared" si="10"/>
        <v>2.7200000000002547</v>
      </c>
      <c r="S26" s="51">
        <f t="shared" si="11"/>
        <v>5168.0000000004829</v>
      </c>
      <c r="T26" s="8">
        <f t="shared" si="12"/>
        <v>20.291999999998552</v>
      </c>
      <c r="U26" s="55">
        <f t="shared" si="13"/>
        <v>38554.799999997253</v>
      </c>
      <c r="V26" t="s">
        <v>13</v>
      </c>
    </row>
    <row r="27" spans="1:24" ht="21" thickBot="1" x14ac:dyDescent="0.25">
      <c r="A27" s="9">
        <v>43733</v>
      </c>
      <c r="B27" s="1">
        <v>16417.900000000001</v>
      </c>
      <c r="C27" s="71">
        <f t="shared" si="1"/>
        <v>14.263000000002648</v>
      </c>
      <c r="D27" s="51">
        <f t="shared" si="2"/>
        <v>27099.700000005028</v>
      </c>
      <c r="E27" s="1">
        <v>2585</v>
      </c>
      <c r="F27" s="71">
        <f t="shared" si="0"/>
        <v>3.3440000000000509</v>
      </c>
      <c r="G27" s="51">
        <f t="shared" si="3"/>
        <v>6353.6000000000959</v>
      </c>
      <c r="H27" s="1">
        <v>74</v>
      </c>
      <c r="I27" s="71">
        <f t="shared" si="4"/>
        <v>0</v>
      </c>
      <c r="J27" s="51">
        <f t="shared" si="5"/>
        <v>0</v>
      </c>
      <c r="K27" s="7">
        <v>12856.9</v>
      </c>
      <c r="L27" s="71">
        <f t="shared" si="6"/>
        <v>0.77000000000043656</v>
      </c>
      <c r="M27" s="51">
        <f t="shared" si="7"/>
        <v>1463.0000000008295</v>
      </c>
      <c r="N27" s="7">
        <v>2168.4</v>
      </c>
      <c r="O27" s="71">
        <f t="shared" si="8"/>
        <v>3.2429999999999382</v>
      </c>
      <c r="P27" s="51">
        <f t="shared" si="9"/>
        <v>6161.6999999998825</v>
      </c>
      <c r="Q27" s="7">
        <v>4217.55</v>
      </c>
      <c r="R27" s="71">
        <f t="shared" si="10"/>
        <v>1</v>
      </c>
      <c r="S27" s="51">
        <f t="shared" si="11"/>
        <v>1900</v>
      </c>
      <c r="T27" s="8">
        <f t="shared" si="12"/>
        <v>22.620000000003074</v>
      </c>
      <c r="U27" s="55">
        <f t="shared" si="13"/>
        <v>42978.000000005843</v>
      </c>
      <c r="V27" t="s">
        <v>13</v>
      </c>
    </row>
    <row r="28" spans="1:24" ht="21" thickBot="1" x14ac:dyDescent="0.25">
      <c r="A28" s="9">
        <v>43734</v>
      </c>
      <c r="B28" s="1">
        <v>16422.7</v>
      </c>
      <c r="C28" s="71">
        <f t="shared" si="1"/>
        <v>4.7999999999992724</v>
      </c>
      <c r="D28" s="51">
        <f t="shared" si="2"/>
        <v>9119.9999999986176</v>
      </c>
      <c r="E28" s="1">
        <v>2586.58</v>
      </c>
      <c r="F28" s="71">
        <f t="shared" si="0"/>
        <v>1.5799999999999272</v>
      </c>
      <c r="G28" s="51">
        <f t="shared" si="3"/>
        <v>3001.9999999998618</v>
      </c>
      <c r="H28" s="1">
        <v>74</v>
      </c>
      <c r="I28" s="71">
        <f t="shared" si="4"/>
        <v>0</v>
      </c>
      <c r="J28" s="51">
        <f t="shared" si="5"/>
        <v>0</v>
      </c>
      <c r="K28" s="7">
        <v>12857</v>
      </c>
      <c r="L28" s="71">
        <f t="shared" si="6"/>
        <v>0.1000000000003638</v>
      </c>
      <c r="M28" s="51">
        <f t="shared" si="7"/>
        <v>190.00000000069119</v>
      </c>
      <c r="N28" s="7">
        <v>2169.5</v>
      </c>
      <c r="O28" s="71">
        <f t="shared" si="8"/>
        <v>1.0999999999999091</v>
      </c>
      <c r="P28" s="51">
        <f t="shared" si="9"/>
        <v>2089.9999999998272</v>
      </c>
      <c r="Q28" s="7">
        <v>4218.88</v>
      </c>
      <c r="R28" s="71">
        <f t="shared" si="10"/>
        <v>1.3299999999999272</v>
      </c>
      <c r="S28" s="51">
        <f t="shared" si="11"/>
        <v>2526.9999999998618</v>
      </c>
      <c r="T28" s="8">
        <f t="shared" si="12"/>
        <v>8.9099999999993997</v>
      </c>
      <c r="U28" s="55">
        <f t="shared" si="13"/>
        <v>16928.999999998858</v>
      </c>
    </row>
    <row r="29" spans="1:24" ht="21" thickBot="1" x14ac:dyDescent="0.25">
      <c r="A29" s="9">
        <v>43735</v>
      </c>
      <c r="B29" s="1">
        <v>16437</v>
      </c>
      <c r="C29" s="71">
        <f t="shared" si="1"/>
        <v>14.299999999999272</v>
      </c>
      <c r="D29" s="51">
        <f t="shared" si="2"/>
        <v>27169.999999998618</v>
      </c>
      <c r="E29" s="1">
        <v>2589</v>
      </c>
      <c r="F29" s="71">
        <f t="shared" si="0"/>
        <v>2.4200000000000728</v>
      </c>
      <c r="G29" s="51">
        <f t="shared" si="3"/>
        <v>4598.0000000001382</v>
      </c>
      <c r="H29" s="1">
        <v>74</v>
      </c>
      <c r="I29" s="71">
        <f t="shared" si="4"/>
        <v>0</v>
      </c>
      <c r="J29" s="51">
        <f t="shared" si="5"/>
        <v>0</v>
      </c>
      <c r="K29" s="7">
        <v>12857.7</v>
      </c>
      <c r="L29" s="71">
        <f t="shared" si="6"/>
        <v>0.7000000000007276</v>
      </c>
      <c r="M29" s="51">
        <f t="shared" si="7"/>
        <v>1330.0000000013822</v>
      </c>
      <c r="N29" s="7">
        <v>2172.6</v>
      </c>
      <c r="O29" s="71">
        <f t="shared" si="8"/>
        <v>3.0999999999999091</v>
      </c>
      <c r="P29" s="51">
        <f t="shared" si="9"/>
        <v>5889.9999999998263</v>
      </c>
      <c r="Q29" s="7">
        <v>4221.84</v>
      </c>
      <c r="R29" s="71">
        <f t="shared" si="10"/>
        <v>2.9600000000000364</v>
      </c>
      <c r="S29" s="51">
        <f t="shared" si="11"/>
        <v>5624.0000000000691</v>
      </c>
      <c r="T29" s="8">
        <f t="shared" si="12"/>
        <v>23.480000000000018</v>
      </c>
      <c r="U29" s="55">
        <f t="shared" si="13"/>
        <v>44612.000000000029</v>
      </c>
    </row>
    <row r="30" spans="1:24" ht="21" thickBot="1" x14ac:dyDescent="0.25">
      <c r="A30" s="9">
        <v>43736</v>
      </c>
      <c r="B30" s="1">
        <v>16451</v>
      </c>
      <c r="C30" s="71">
        <f t="shared" si="1"/>
        <v>14</v>
      </c>
      <c r="D30" s="51">
        <f t="shared" si="2"/>
        <v>26599.999999999996</v>
      </c>
      <c r="E30" s="1">
        <v>2591</v>
      </c>
      <c r="F30" s="71">
        <f t="shared" si="0"/>
        <v>2</v>
      </c>
      <c r="G30" s="51">
        <f t="shared" si="3"/>
        <v>3800</v>
      </c>
      <c r="H30" s="1">
        <v>74</v>
      </c>
      <c r="I30" s="71">
        <f t="shared" si="4"/>
        <v>0</v>
      </c>
      <c r="J30" s="51">
        <f t="shared" si="5"/>
        <v>0</v>
      </c>
      <c r="K30" s="7">
        <v>12858</v>
      </c>
      <c r="L30" s="71">
        <f t="shared" si="6"/>
        <v>0.2999999999992724</v>
      </c>
      <c r="M30" s="51">
        <f t="shared" si="7"/>
        <v>569.99999999861745</v>
      </c>
      <c r="N30" s="7">
        <v>2175</v>
      </c>
      <c r="O30" s="71">
        <f t="shared" si="8"/>
        <v>2.4000000000000909</v>
      </c>
      <c r="P30" s="51">
        <f t="shared" si="9"/>
        <v>4560.0000000001728</v>
      </c>
      <c r="Q30" s="7">
        <v>4224</v>
      </c>
      <c r="R30" s="71">
        <f t="shared" si="10"/>
        <v>2.1599999999998545</v>
      </c>
      <c r="S30" s="51">
        <f t="shared" si="11"/>
        <v>4103.9999999997226</v>
      </c>
      <c r="T30" s="8">
        <f t="shared" si="12"/>
        <v>20.859999999999218</v>
      </c>
      <c r="U30" s="55">
        <f t="shared" si="13"/>
        <v>39633.999999998516</v>
      </c>
    </row>
    <row r="31" spans="1:24" ht="21" thickBot="1" x14ac:dyDescent="0.25">
      <c r="A31" s="9">
        <v>43737</v>
      </c>
      <c r="B31" s="1">
        <v>16465.246999999999</v>
      </c>
      <c r="C31" s="71">
        <f t="shared" si="1"/>
        <v>14.246999999999389</v>
      </c>
      <c r="D31" s="51">
        <f t="shared" si="2"/>
        <v>27069.299999998835</v>
      </c>
      <c r="E31" s="1">
        <v>2594.2289999999998</v>
      </c>
      <c r="F31" s="71">
        <f t="shared" si="0"/>
        <v>3.2289999999998145</v>
      </c>
      <c r="G31" s="51">
        <f t="shared" si="3"/>
        <v>6135.0999999996466</v>
      </c>
      <c r="H31" s="1">
        <v>74</v>
      </c>
      <c r="I31" s="71">
        <f t="shared" si="4"/>
        <v>0</v>
      </c>
      <c r="J31" s="51">
        <f t="shared" si="5"/>
        <v>0</v>
      </c>
      <c r="K31" s="7">
        <v>12859.01</v>
      </c>
      <c r="L31" s="71">
        <f t="shared" si="6"/>
        <v>1.0100000000002183</v>
      </c>
      <c r="M31" s="51">
        <f t="shared" si="7"/>
        <v>1919.0000000004145</v>
      </c>
      <c r="N31" s="7">
        <v>2178.433</v>
      </c>
      <c r="O31" s="71">
        <f t="shared" si="8"/>
        <v>3.4329999999999927</v>
      </c>
      <c r="P31" s="51">
        <f t="shared" si="9"/>
        <v>6522.6999999999862</v>
      </c>
      <c r="Q31" s="7">
        <v>4227.2</v>
      </c>
      <c r="R31" s="71">
        <f t="shared" si="10"/>
        <v>3.1999999999998181</v>
      </c>
      <c r="S31" s="51">
        <f t="shared" si="11"/>
        <v>6079.9999999996535</v>
      </c>
      <c r="T31" s="8">
        <f t="shared" si="12"/>
        <v>25.118999999999232</v>
      </c>
      <c r="U31" s="55">
        <f t="shared" si="13"/>
        <v>47726.099999998536</v>
      </c>
    </row>
    <row r="32" spans="1:24" ht="21" thickBot="1" x14ac:dyDescent="0.25">
      <c r="A32" s="9">
        <v>43738</v>
      </c>
      <c r="B32" s="1">
        <v>16476.022000000001</v>
      </c>
      <c r="C32" s="71">
        <f t="shared" si="1"/>
        <v>10.775000000001455</v>
      </c>
      <c r="D32" s="51">
        <f>C32*1.9*1000</f>
        <v>20472.500000002765</v>
      </c>
      <c r="E32" s="1">
        <v>2596.9180000000001</v>
      </c>
      <c r="F32" s="71">
        <f t="shared" si="0"/>
        <v>2.6890000000003056</v>
      </c>
      <c r="G32" s="51">
        <f>F32*1.9*1000</f>
        <v>5109.1000000005806</v>
      </c>
      <c r="H32" s="1">
        <v>74</v>
      </c>
      <c r="I32" s="71">
        <f t="shared" si="4"/>
        <v>0</v>
      </c>
      <c r="J32" s="51">
        <f>I32*1.9*1000</f>
        <v>0</v>
      </c>
      <c r="K32" s="7">
        <v>12859.44</v>
      </c>
      <c r="L32" s="71">
        <f t="shared" si="6"/>
        <v>0.43000000000029104</v>
      </c>
      <c r="M32" s="51">
        <f>L32*1.9*1000</f>
        <v>817.00000000055297</v>
      </c>
      <c r="N32" s="7">
        <v>2180.9720000000002</v>
      </c>
      <c r="O32" s="71">
        <f t="shared" si="8"/>
        <v>2.5390000000002146</v>
      </c>
      <c r="P32" s="51">
        <f>O32*1.9*1000</f>
        <v>4824.1000000004069</v>
      </c>
      <c r="Q32" s="7">
        <v>4229.28</v>
      </c>
      <c r="R32" s="71">
        <f t="shared" si="10"/>
        <v>2.0799999999999272</v>
      </c>
      <c r="S32" s="51">
        <f>R32*1.9*1000</f>
        <v>3951.9999999998613</v>
      </c>
      <c r="T32" s="8">
        <f>C32+F32+I32+L32+O32+R32</f>
        <v>18.513000000002194</v>
      </c>
      <c r="U32" s="55">
        <f>T32*1.9*1000</f>
        <v>35174.700000004166</v>
      </c>
    </row>
    <row r="33" spans="1:21" ht="21" thickBot="1" x14ac:dyDescent="0.25">
      <c r="A33" s="9"/>
      <c r="B33" s="1">
        <v>16476.022000000001</v>
      </c>
      <c r="C33" s="71">
        <f t="shared" si="1"/>
        <v>0</v>
      </c>
      <c r="D33" s="51">
        <f>C33*1.9*1000</f>
        <v>0</v>
      </c>
      <c r="E33" s="1">
        <v>2596.9180000000001</v>
      </c>
      <c r="F33" s="71">
        <f t="shared" si="0"/>
        <v>0</v>
      </c>
      <c r="G33" s="51">
        <f>F33*1.9*1000</f>
        <v>0</v>
      </c>
      <c r="H33" s="1">
        <v>74</v>
      </c>
      <c r="I33" s="71">
        <f t="shared" si="4"/>
        <v>0</v>
      </c>
      <c r="J33" s="51">
        <f>I33*1.9*1000</f>
        <v>0</v>
      </c>
      <c r="K33" s="7">
        <v>12859.44</v>
      </c>
      <c r="L33" s="71">
        <f t="shared" si="6"/>
        <v>0</v>
      </c>
      <c r="M33" s="51">
        <f>L33*1.9*1000</f>
        <v>0</v>
      </c>
      <c r="N33" s="7">
        <v>2180.9720000000002</v>
      </c>
      <c r="O33" s="71">
        <f t="shared" si="8"/>
        <v>0</v>
      </c>
      <c r="P33" s="51">
        <f>O33*1.9*1000</f>
        <v>0</v>
      </c>
      <c r="Q33" s="7">
        <v>4229.28</v>
      </c>
      <c r="R33" s="71">
        <f t="shared" si="10"/>
        <v>0</v>
      </c>
      <c r="S33" s="51">
        <f>R33*1.9*1000</f>
        <v>0</v>
      </c>
      <c r="T33" s="8">
        <f>C33+F33+I33+L33+O33+R33</f>
        <v>0</v>
      </c>
      <c r="U33" s="55">
        <f>T33*1.9*1000</f>
        <v>0</v>
      </c>
    </row>
    <row r="34" spans="1:21" ht="16.5" thickBot="1" x14ac:dyDescent="0.3">
      <c r="A34" s="10"/>
      <c r="B34" s="1"/>
      <c r="C34" s="72">
        <f>SUM(C3:C33)</f>
        <v>426.13960000000043</v>
      </c>
      <c r="D34" s="52">
        <f>SUM(D3:D33)</f>
        <v>809665.24000000081</v>
      </c>
      <c r="E34" s="1"/>
      <c r="F34" s="72">
        <f>SUM(F3:F33)</f>
        <v>85.342333333330316</v>
      </c>
      <c r="G34" s="52">
        <f>SUM(G2:G33)</f>
        <v>169936.63333332754</v>
      </c>
      <c r="H34" s="1"/>
      <c r="I34" s="72">
        <f>SUM(I3:I33)</f>
        <v>16</v>
      </c>
      <c r="J34" s="52">
        <f>SUM(J2:J33)</f>
        <v>33249.999999980995</v>
      </c>
      <c r="K34" s="7"/>
      <c r="L34" s="72">
        <f>SUM(L3:L33)</f>
        <v>19.640000000001237</v>
      </c>
      <c r="M34" s="52">
        <f>SUM(M2:M33)</f>
        <v>38912.000000002627</v>
      </c>
      <c r="N34" s="7"/>
      <c r="O34" s="72">
        <f>SUM(O3:O33)</f>
        <v>90.731000000000222</v>
      </c>
      <c r="P34" s="52">
        <f>SUM(P2:P33)</f>
        <v>178570.55000000002</v>
      </c>
      <c r="Q34" s="7"/>
      <c r="R34" s="72">
        <f>SUM(R3:R33)</f>
        <v>77.920000000000073</v>
      </c>
      <c r="S34" s="52">
        <f>SUM(S2:S33)</f>
        <v>152913.8999999995</v>
      </c>
      <c r="T34" s="12">
        <f>SUM(T2:T33)</f>
        <v>728.02543333332187</v>
      </c>
      <c r="U34" s="56">
        <f>SUM(U3:U33)</f>
        <v>1359968.5733333309</v>
      </c>
    </row>
    <row r="39" spans="1:21" x14ac:dyDescent="0.2">
      <c r="R39" s="62" t="s">
        <v>13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6"/>
  <sheetViews>
    <sheetView topLeftCell="A11" zoomScale="115" zoomScaleNormal="115" workbookViewId="0">
      <selection activeCell="N48" sqref="N48"/>
    </sheetView>
  </sheetViews>
  <sheetFormatPr defaultRowHeight="12.75" x14ac:dyDescent="0.2"/>
  <cols>
    <col min="7" max="7" width="16.5703125" bestFit="1" customWidth="1"/>
    <col min="14" max="14" width="12.42578125" bestFit="1" customWidth="1"/>
    <col min="15" max="15" width="7.85546875" bestFit="1" customWidth="1"/>
  </cols>
  <sheetData>
    <row r="1" spans="2:15" ht="18" x14ac:dyDescent="0.2">
      <c r="B1" s="87"/>
      <c r="C1" s="190" t="s">
        <v>84</v>
      </c>
      <c r="D1" s="191"/>
      <c r="E1" s="191"/>
      <c r="F1" s="191"/>
      <c r="G1" s="191"/>
      <c r="H1" s="192"/>
      <c r="J1" s="190" t="s">
        <v>84</v>
      </c>
      <c r="K1" s="191"/>
      <c r="L1" s="191"/>
      <c r="M1" s="191"/>
      <c r="N1" s="191"/>
      <c r="O1" s="192"/>
    </row>
    <row r="2" spans="2:15" ht="60" x14ac:dyDescent="0.2">
      <c r="B2" s="87"/>
      <c r="C2" s="88" t="s">
        <v>85</v>
      </c>
      <c r="D2" s="89" t="s">
        <v>86</v>
      </c>
      <c r="E2" s="89" t="s">
        <v>137</v>
      </c>
      <c r="F2" s="89" t="s">
        <v>139</v>
      </c>
      <c r="G2" s="89" t="s">
        <v>99</v>
      </c>
      <c r="H2" s="90" t="s">
        <v>87</v>
      </c>
      <c r="J2" s="88" t="s">
        <v>85</v>
      </c>
      <c r="K2" s="89" t="s">
        <v>86</v>
      </c>
      <c r="L2" s="89" t="s">
        <v>139</v>
      </c>
      <c r="M2" s="89" t="s">
        <v>146</v>
      </c>
      <c r="N2" s="89" t="s">
        <v>99</v>
      </c>
      <c r="O2" s="90" t="s">
        <v>87</v>
      </c>
    </row>
    <row r="3" spans="2:15" ht="15" x14ac:dyDescent="0.2">
      <c r="B3" s="87"/>
      <c r="C3" s="184">
        <v>6</v>
      </c>
      <c r="D3" s="91" t="s">
        <v>88</v>
      </c>
      <c r="E3" s="92">
        <v>254427</v>
      </c>
      <c r="F3" s="92">
        <v>255218</v>
      </c>
      <c r="G3" s="93">
        <f>F3-E3</f>
        <v>791</v>
      </c>
      <c r="H3" s="94"/>
      <c r="J3" s="184">
        <v>6</v>
      </c>
      <c r="K3" s="91" t="s">
        <v>88</v>
      </c>
      <c r="L3" s="92">
        <v>255218</v>
      </c>
      <c r="M3" s="92">
        <v>256068</v>
      </c>
      <c r="N3" s="93">
        <f>M3-L3</f>
        <v>850</v>
      </c>
      <c r="O3" s="94"/>
    </row>
    <row r="4" spans="2:15" ht="15" x14ac:dyDescent="0.2">
      <c r="B4" s="87"/>
      <c r="C4" s="189"/>
      <c r="D4" s="91" t="s">
        <v>89</v>
      </c>
      <c r="E4" s="92">
        <v>216518</v>
      </c>
      <c r="F4" s="92">
        <v>216913</v>
      </c>
      <c r="G4" s="95">
        <f t="shared" ref="G4:G44" si="0">F4-E4</f>
        <v>395</v>
      </c>
      <c r="H4" s="94"/>
      <c r="J4" s="189"/>
      <c r="K4" s="91" t="s">
        <v>89</v>
      </c>
      <c r="L4" s="92">
        <v>216913</v>
      </c>
      <c r="M4" s="92">
        <v>218128</v>
      </c>
      <c r="N4" s="95">
        <f t="shared" ref="N4:N44" si="1">M4-L4</f>
        <v>1215</v>
      </c>
      <c r="O4" s="94"/>
    </row>
    <row r="5" spans="2:15" ht="15" x14ac:dyDescent="0.2">
      <c r="B5" s="87"/>
      <c r="C5" s="185"/>
      <c r="D5" s="91" t="s">
        <v>90</v>
      </c>
      <c r="E5" s="92">
        <v>171971</v>
      </c>
      <c r="F5" s="92">
        <v>172378</v>
      </c>
      <c r="G5" s="96">
        <f t="shared" si="0"/>
        <v>407</v>
      </c>
      <c r="H5" s="94"/>
      <c r="J5" s="185"/>
      <c r="K5" s="91" t="s">
        <v>90</v>
      </c>
      <c r="L5" s="92">
        <v>172378</v>
      </c>
      <c r="M5" s="92">
        <v>173224</v>
      </c>
      <c r="N5" s="96">
        <f t="shared" si="1"/>
        <v>846</v>
      </c>
      <c r="O5" s="94"/>
    </row>
    <row r="6" spans="2:15" ht="15" x14ac:dyDescent="0.2">
      <c r="B6" s="87"/>
      <c r="C6" s="184">
        <v>7</v>
      </c>
      <c r="D6" s="91" t="s">
        <v>88</v>
      </c>
      <c r="E6" s="92">
        <v>210864</v>
      </c>
      <c r="F6" s="92">
        <v>212252</v>
      </c>
      <c r="G6" s="93">
        <f t="shared" si="0"/>
        <v>1388</v>
      </c>
      <c r="H6" s="94"/>
      <c r="J6" s="184">
        <v>7</v>
      </c>
      <c r="K6" s="91" t="s">
        <v>88</v>
      </c>
      <c r="L6" s="92">
        <v>212252</v>
      </c>
      <c r="M6" s="92">
        <v>213444</v>
      </c>
      <c r="N6" s="93">
        <f t="shared" si="1"/>
        <v>1192</v>
      </c>
      <c r="O6" s="94"/>
    </row>
    <row r="7" spans="2:15" ht="15" x14ac:dyDescent="0.2">
      <c r="B7" s="87"/>
      <c r="C7" s="189"/>
      <c r="D7" s="91" t="s">
        <v>89</v>
      </c>
      <c r="E7" s="92">
        <v>147112</v>
      </c>
      <c r="F7" s="92">
        <v>147799</v>
      </c>
      <c r="G7" s="96">
        <f t="shared" si="0"/>
        <v>687</v>
      </c>
      <c r="H7" s="94"/>
      <c r="J7" s="189"/>
      <c r="K7" s="91" t="s">
        <v>89</v>
      </c>
      <c r="L7" s="92">
        <v>147799</v>
      </c>
      <c r="M7" s="92">
        <v>148292</v>
      </c>
      <c r="N7" s="96">
        <f t="shared" si="1"/>
        <v>493</v>
      </c>
      <c r="O7" s="94"/>
    </row>
    <row r="8" spans="2:15" ht="15" x14ac:dyDescent="0.2">
      <c r="B8" s="87"/>
      <c r="C8" s="185"/>
      <c r="D8" s="91" t="s">
        <v>90</v>
      </c>
      <c r="E8" s="92">
        <v>106082</v>
      </c>
      <c r="F8" s="92">
        <v>106289</v>
      </c>
      <c r="G8" s="97">
        <f t="shared" si="0"/>
        <v>207</v>
      </c>
      <c r="H8" s="94"/>
      <c r="J8" s="185"/>
      <c r="K8" s="91" t="s">
        <v>90</v>
      </c>
      <c r="L8" s="92">
        <v>106289</v>
      </c>
      <c r="M8" s="92">
        <v>106817</v>
      </c>
      <c r="N8" s="97">
        <f t="shared" si="1"/>
        <v>528</v>
      </c>
      <c r="O8" s="94"/>
    </row>
    <row r="9" spans="2:15" ht="15" x14ac:dyDescent="0.2">
      <c r="B9" s="87"/>
      <c r="C9" s="184">
        <v>8</v>
      </c>
      <c r="D9" s="91" t="s">
        <v>88</v>
      </c>
      <c r="E9" s="92">
        <v>68958</v>
      </c>
      <c r="F9" s="92">
        <v>69141</v>
      </c>
      <c r="G9" s="93">
        <f t="shared" si="0"/>
        <v>183</v>
      </c>
      <c r="H9" s="94"/>
      <c r="J9" s="184">
        <v>8</v>
      </c>
      <c r="K9" s="91" t="s">
        <v>88</v>
      </c>
      <c r="L9" s="92">
        <v>69141</v>
      </c>
      <c r="M9" s="92">
        <v>69333</v>
      </c>
      <c r="N9" s="93">
        <f t="shared" si="1"/>
        <v>192</v>
      </c>
      <c r="O9" s="94"/>
    </row>
    <row r="10" spans="2:15" ht="15" x14ac:dyDescent="0.2">
      <c r="B10" s="87"/>
      <c r="C10" s="189"/>
      <c r="D10" s="91" t="s">
        <v>89</v>
      </c>
      <c r="E10" s="92">
        <v>158</v>
      </c>
      <c r="F10" s="92">
        <v>158</v>
      </c>
      <c r="G10" s="93">
        <f t="shared" si="0"/>
        <v>0</v>
      </c>
      <c r="H10" s="98" t="s">
        <v>13</v>
      </c>
      <c r="J10" s="189"/>
      <c r="K10" s="91" t="s">
        <v>89</v>
      </c>
      <c r="L10" s="92">
        <v>158</v>
      </c>
      <c r="M10" s="92">
        <v>158</v>
      </c>
      <c r="N10" s="93">
        <f>M10-L10</f>
        <v>0</v>
      </c>
      <c r="O10" s="98" t="s">
        <v>13</v>
      </c>
    </row>
    <row r="11" spans="2:15" ht="15" x14ac:dyDescent="0.2">
      <c r="B11" s="87"/>
      <c r="C11" s="185"/>
      <c r="D11" s="91" t="s">
        <v>90</v>
      </c>
      <c r="E11" s="92">
        <v>80836</v>
      </c>
      <c r="F11" s="92">
        <v>81969</v>
      </c>
      <c r="G11" s="96">
        <f t="shared" si="0"/>
        <v>1133</v>
      </c>
      <c r="H11" s="94"/>
      <c r="J11" s="185"/>
      <c r="K11" s="91" t="s">
        <v>90</v>
      </c>
      <c r="L11" s="92">
        <v>81969</v>
      </c>
      <c r="M11" s="92">
        <v>82891</v>
      </c>
      <c r="N11" s="96">
        <f t="shared" si="1"/>
        <v>922</v>
      </c>
      <c r="O11" s="94"/>
    </row>
    <row r="12" spans="2:15" ht="15" x14ac:dyDescent="0.2">
      <c r="B12" s="87"/>
      <c r="C12" s="184">
        <v>9</v>
      </c>
      <c r="D12" s="91" t="s">
        <v>88</v>
      </c>
      <c r="E12" s="92">
        <v>33656</v>
      </c>
      <c r="F12" s="92">
        <v>33672</v>
      </c>
      <c r="G12" s="96">
        <f t="shared" si="0"/>
        <v>16</v>
      </c>
      <c r="H12" s="94"/>
      <c r="J12" s="184">
        <v>9</v>
      </c>
      <c r="K12" s="91" t="s">
        <v>88</v>
      </c>
      <c r="L12" s="92">
        <v>33672</v>
      </c>
      <c r="M12" s="92">
        <v>33737</v>
      </c>
      <c r="N12" s="96">
        <f t="shared" si="1"/>
        <v>65</v>
      </c>
      <c r="O12" s="94"/>
    </row>
    <row r="13" spans="2:15" ht="15" x14ac:dyDescent="0.2">
      <c r="B13" s="87"/>
      <c r="C13" s="189"/>
      <c r="D13" s="91" t="s">
        <v>89</v>
      </c>
      <c r="E13" s="92">
        <v>0</v>
      </c>
      <c r="F13" s="92">
        <v>0</v>
      </c>
      <c r="G13" s="93">
        <f t="shared" si="0"/>
        <v>0</v>
      </c>
      <c r="H13" s="98" t="s">
        <v>13</v>
      </c>
      <c r="I13" s="99"/>
      <c r="J13" s="189"/>
      <c r="K13" s="91" t="s">
        <v>89</v>
      </c>
      <c r="L13" s="92">
        <v>0</v>
      </c>
      <c r="M13" s="92">
        <v>0</v>
      </c>
      <c r="N13" s="93">
        <f t="shared" si="1"/>
        <v>0</v>
      </c>
      <c r="O13" s="98" t="s">
        <v>13</v>
      </c>
    </row>
    <row r="14" spans="2:15" ht="15" x14ac:dyDescent="0.2">
      <c r="B14" s="87"/>
      <c r="C14" s="185"/>
      <c r="D14" s="91" t="s">
        <v>90</v>
      </c>
      <c r="E14" s="92">
        <v>26903</v>
      </c>
      <c r="F14" s="92">
        <v>36984</v>
      </c>
      <c r="G14" s="96">
        <f t="shared" si="0"/>
        <v>10081</v>
      </c>
      <c r="H14" s="94"/>
      <c r="I14" s="100"/>
      <c r="J14" s="185"/>
      <c r="K14" s="91" t="s">
        <v>90</v>
      </c>
      <c r="L14" s="92">
        <v>36984</v>
      </c>
      <c r="M14" s="92">
        <v>37062</v>
      </c>
      <c r="N14" s="166">
        <f t="shared" si="1"/>
        <v>78</v>
      </c>
      <c r="O14" s="94"/>
    </row>
    <row r="15" spans="2:15" ht="15" x14ac:dyDescent="0.2">
      <c r="B15" s="87"/>
      <c r="C15" s="184">
        <v>10</v>
      </c>
      <c r="D15" s="91" t="s">
        <v>88</v>
      </c>
      <c r="E15" s="92">
        <v>151919</v>
      </c>
      <c r="F15" s="92">
        <v>153526</v>
      </c>
      <c r="G15" s="96">
        <f t="shared" si="0"/>
        <v>1607</v>
      </c>
      <c r="H15" s="94"/>
      <c r="I15" s="100"/>
      <c r="J15" s="184">
        <v>10</v>
      </c>
      <c r="K15" s="91" t="s">
        <v>88</v>
      </c>
      <c r="L15" s="92">
        <v>153526</v>
      </c>
      <c r="M15" s="92">
        <v>155173</v>
      </c>
      <c r="N15" s="96">
        <f>M15-L15</f>
        <v>1647</v>
      </c>
      <c r="O15" s="94"/>
    </row>
    <row r="16" spans="2:15" ht="15" x14ac:dyDescent="0.2">
      <c r="B16" s="87"/>
      <c r="C16" s="189"/>
      <c r="D16" s="91" t="s">
        <v>89</v>
      </c>
      <c r="E16" s="92">
        <v>7603</v>
      </c>
      <c r="F16" s="92">
        <v>7703</v>
      </c>
      <c r="G16" s="96">
        <f t="shared" si="0"/>
        <v>100</v>
      </c>
      <c r="H16" s="94"/>
      <c r="I16" s="100"/>
      <c r="J16" s="189"/>
      <c r="K16" s="91" t="s">
        <v>89</v>
      </c>
      <c r="L16" s="92">
        <v>7703</v>
      </c>
      <c r="M16" s="92">
        <v>7703</v>
      </c>
      <c r="N16" s="96">
        <f t="shared" si="1"/>
        <v>0</v>
      </c>
      <c r="O16" s="94"/>
    </row>
    <row r="17" spans="2:15" ht="15" x14ac:dyDescent="0.2">
      <c r="B17" s="87"/>
      <c r="C17" s="185"/>
      <c r="D17" s="91" t="s">
        <v>90</v>
      </c>
      <c r="E17" s="92">
        <v>144877</v>
      </c>
      <c r="F17" s="92">
        <v>147546</v>
      </c>
      <c r="G17" s="96">
        <f t="shared" si="0"/>
        <v>2669</v>
      </c>
      <c r="H17" s="94"/>
      <c r="I17" s="100"/>
      <c r="J17" s="185"/>
      <c r="K17" s="91" t="s">
        <v>90</v>
      </c>
      <c r="L17" s="92">
        <v>147546</v>
      </c>
      <c r="M17" s="92">
        <v>150171</v>
      </c>
      <c r="N17" s="96">
        <f t="shared" si="1"/>
        <v>2625</v>
      </c>
      <c r="O17" s="94"/>
    </row>
    <row r="18" spans="2:15" ht="15" x14ac:dyDescent="0.2">
      <c r="B18" s="87"/>
      <c r="C18" s="184">
        <v>11</v>
      </c>
      <c r="D18" s="91" t="s">
        <v>88</v>
      </c>
      <c r="E18" s="101">
        <v>61207</v>
      </c>
      <c r="F18" s="101">
        <v>61269</v>
      </c>
      <c r="G18" s="96">
        <f t="shared" si="0"/>
        <v>62</v>
      </c>
      <c r="H18" s="94"/>
      <c r="I18" s="100"/>
      <c r="J18" s="184">
        <v>11</v>
      </c>
      <c r="K18" s="91" t="s">
        <v>88</v>
      </c>
      <c r="L18" s="101">
        <v>61269</v>
      </c>
      <c r="M18" s="101">
        <v>61321</v>
      </c>
      <c r="N18" s="96">
        <f t="shared" si="1"/>
        <v>52</v>
      </c>
      <c r="O18" s="94"/>
    </row>
    <row r="19" spans="2:15" ht="15" x14ac:dyDescent="0.2">
      <c r="B19" s="87"/>
      <c r="C19" s="189"/>
      <c r="D19" s="91" t="s">
        <v>89</v>
      </c>
      <c r="E19" s="101">
        <v>185440</v>
      </c>
      <c r="F19" s="101">
        <v>186134</v>
      </c>
      <c r="G19" s="96">
        <f t="shared" si="0"/>
        <v>694</v>
      </c>
      <c r="H19" s="94"/>
      <c r="I19" s="100"/>
      <c r="J19" s="189"/>
      <c r="K19" s="91" t="s">
        <v>89</v>
      </c>
      <c r="L19" s="101">
        <v>186134</v>
      </c>
      <c r="M19" s="101">
        <v>186812</v>
      </c>
      <c r="N19" s="96">
        <f t="shared" si="1"/>
        <v>678</v>
      </c>
      <c r="O19" s="94"/>
    </row>
    <row r="20" spans="2:15" ht="21" customHeight="1" x14ac:dyDescent="0.2">
      <c r="B20" s="87"/>
      <c r="C20" s="185"/>
      <c r="D20" s="91" t="s">
        <v>90</v>
      </c>
      <c r="E20" s="92">
        <v>26127</v>
      </c>
      <c r="F20" s="92">
        <v>29534</v>
      </c>
      <c r="G20" s="166">
        <f t="shared" si="0"/>
        <v>3407</v>
      </c>
      <c r="H20" s="94" t="s">
        <v>140</v>
      </c>
      <c r="I20" s="100"/>
      <c r="J20" s="185"/>
      <c r="K20" s="91" t="s">
        <v>90</v>
      </c>
      <c r="L20" s="92">
        <v>29534</v>
      </c>
      <c r="M20" s="92">
        <v>29584</v>
      </c>
      <c r="N20" s="166">
        <f t="shared" si="1"/>
        <v>50</v>
      </c>
      <c r="O20" s="94"/>
    </row>
    <row r="21" spans="2:15" ht="15" x14ac:dyDescent="0.2">
      <c r="B21" s="87"/>
      <c r="C21" s="184">
        <v>12</v>
      </c>
      <c r="D21" s="91" t="s">
        <v>88</v>
      </c>
      <c r="E21" s="101">
        <v>143713</v>
      </c>
      <c r="F21" s="101">
        <v>143713</v>
      </c>
      <c r="G21" s="93">
        <f t="shared" si="0"/>
        <v>0</v>
      </c>
      <c r="H21" s="94"/>
      <c r="I21" s="102" t="s">
        <v>13</v>
      </c>
      <c r="J21" s="184">
        <v>12</v>
      </c>
      <c r="K21" s="91" t="s">
        <v>88</v>
      </c>
      <c r="L21" s="101">
        <v>143713</v>
      </c>
      <c r="M21" s="101">
        <v>143806</v>
      </c>
      <c r="N21" s="93">
        <f t="shared" si="1"/>
        <v>93</v>
      </c>
      <c r="O21" s="94"/>
    </row>
    <row r="22" spans="2:15" ht="15" x14ac:dyDescent="0.2">
      <c r="B22" s="87"/>
      <c r="C22" s="189"/>
      <c r="D22" s="91" t="s">
        <v>89</v>
      </c>
      <c r="E22" s="92">
        <v>18385</v>
      </c>
      <c r="F22" s="92">
        <v>18801</v>
      </c>
      <c r="G22" s="93">
        <f t="shared" si="0"/>
        <v>416</v>
      </c>
      <c r="H22" s="94"/>
      <c r="I22" s="100"/>
      <c r="J22" s="189"/>
      <c r="K22" s="91" t="s">
        <v>89</v>
      </c>
      <c r="L22" s="92">
        <v>18801</v>
      </c>
      <c r="M22" s="92">
        <v>19992</v>
      </c>
      <c r="N22" s="93">
        <f t="shared" si="1"/>
        <v>1191</v>
      </c>
      <c r="O22" s="94"/>
    </row>
    <row r="23" spans="2:15" ht="15" x14ac:dyDescent="0.2">
      <c r="B23" s="87"/>
      <c r="C23" s="185"/>
      <c r="D23" s="91" t="s">
        <v>90</v>
      </c>
      <c r="E23" s="92">
        <v>206127</v>
      </c>
      <c r="F23" s="92">
        <v>206891</v>
      </c>
      <c r="G23" s="93">
        <f t="shared" si="0"/>
        <v>764</v>
      </c>
      <c r="H23" s="94"/>
      <c r="I23" s="100"/>
      <c r="J23" s="185"/>
      <c r="K23" s="91" t="s">
        <v>90</v>
      </c>
      <c r="L23" s="92">
        <v>206891</v>
      </c>
      <c r="M23" s="92">
        <v>208088</v>
      </c>
      <c r="N23" s="93">
        <f t="shared" si="1"/>
        <v>1197</v>
      </c>
      <c r="O23" s="94"/>
    </row>
    <row r="24" spans="2:15" ht="15" x14ac:dyDescent="0.2">
      <c r="B24" s="87"/>
      <c r="C24" s="184">
        <v>14</v>
      </c>
      <c r="D24" s="91" t="s">
        <v>88</v>
      </c>
      <c r="E24" s="92">
        <v>110784</v>
      </c>
      <c r="F24" s="92">
        <v>111048</v>
      </c>
      <c r="G24" s="96">
        <f t="shared" si="0"/>
        <v>264</v>
      </c>
      <c r="H24" s="94"/>
      <c r="I24" s="100"/>
      <c r="J24" s="184">
        <v>14</v>
      </c>
      <c r="K24" s="91" t="s">
        <v>88</v>
      </c>
      <c r="L24" s="92">
        <v>111048</v>
      </c>
      <c r="M24" s="92">
        <v>111309</v>
      </c>
      <c r="N24" s="96">
        <f t="shared" si="1"/>
        <v>261</v>
      </c>
      <c r="O24" s="94"/>
    </row>
    <row r="25" spans="2:15" ht="15" x14ac:dyDescent="0.2">
      <c r="B25" s="87"/>
      <c r="C25" s="189"/>
      <c r="D25" s="91" t="s">
        <v>89</v>
      </c>
      <c r="E25" s="103">
        <v>21842</v>
      </c>
      <c r="F25" s="103">
        <v>23136</v>
      </c>
      <c r="G25" s="96">
        <f t="shared" si="0"/>
        <v>1294</v>
      </c>
      <c r="H25" s="94"/>
      <c r="I25" s="100"/>
      <c r="J25" s="189"/>
      <c r="K25" s="91" t="s">
        <v>89</v>
      </c>
      <c r="L25" s="103">
        <v>23136</v>
      </c>
      <c r="M25" s="103">
        <v>23136</v>
      </c>
      <c r="N25" s="96">
        <f t="shared" si="1"/>
        <v>0</v>
      </c>
      <c r="O25" s="94"/>
    </row>
    <row r="26" spans="2:15" ht="15" x14ac:dyDescent="0.2">
      <c r="B26" s="87"/>
      <c r="C26" s="185"/>
      <c r="D26" s="91" t="s">
        <v>90</v>
      </c>
      <c r="E26" s="92">
        <v>1062</v>
      </c>
      <c r="F26" s="92">
        <v>1071</v>
      </c>
      <c r="G26" s="96">
        <f t="shared" si="0"/>
        <v>9</v>
      </c>
      <c r="H26" s="94"/>
      <c r="I26" s="102" t="s">
        <v>13</v>
      </c>
      <c r="J26" s="185"/>
      <c r="K26" s="91" t="s">
        <v>90</v>
      </c>
      <c r="L26" s="92">
        <v>1071</v>
      </c>
      <c r="M26" s="92">
        <v>1098</v>
      </c>
      <c r="N26" s="96">
        <f t="shared" si="1"/>
        <v>27</v>
      </c>
      <c r="O26" s="94"/>
    </row>
    <row r="27" spans="2:15" ht="15" x14ac:dyDescent="0.2">
      <c r="B27" s="87"/>
      <c r="C27" s="184">
        <v>15</v>
      </c>
      <c r="D27" s="91" t="s">
        <v>88</v>
      </c>
      <c r="E27" s="101">
        <v>39008</v>
      </c>
      <c r="F27" s="101">
        <v>39008</v>
      </c>
      <c r="G27" s="96">
        <f t="shared" si="0"/>
        <v>0</v>
      </c>
      <c r="H27" s="94"/>
      <c r="I27" s="102" t="s">
        <v>13</v>
      </c>
      <c r="J27" s="184">
        <v>15</v>
      </c>
      <c r="K27" s="91" t="s">
        <v>88</v>
      </c>
      <c r="L27" s="101">
        <v>39008</v>
      </c>
      <c r="M27" s="101">
        <v>39008</v>
      </c>
      <c r="N27" s="96">
        <f t="shared" si="1"/>
        <v>0</v>
      </c>
      <c r="O27" s="94"/>
    </row>
    <row r="28" spans="2:15" ht="15" x14ac:dyDescent="0.2">
      <c r="B28" s="87"/>
      <c r="C28" s="189"/>
      <c r="D28" s="91" t="s">
        <v>89</v>
      </c>
      <c r="E28" s="92">
        <v>71323</v>
      </c>
      <c r="F28" s="92">
        <v>71843</v>
      </c>
      <c r="G28" s="93">
        <f t="shared" si="0"/>
        <v>520</v>
      </c>
      <c r="H28" s="94"/>
      <c r="I28" s="100"/>
      <c r="J28" s="189"/>
      <c r="K28" s="91" t="s">
        <v>89</v>
      </c>
      <c r="L28" s="92">
        <v>71843</v>
      </c>
      <c r="M28" s="92">
        <v>72273</v>
      </c>
      <c r="N28" s="93">
        <f t="shared" si="1"/>
        <v>430</v>
      </c>
      <c r="O28" s="94"/>
    </row>
    <row r="29" spans="2:15" ht="15" x14ac:dyDescent="0.2">
      <c r="B29" s="87"/>
      <c r="C29" s="185"/>
      <c r="D29" s="91" t="s">
        <v>90</v>
      </c>
      <c r="E29" s="92">
        <v>134465</v>
      </c>
      <c r="F29" s="92">
        <v>135395</v>
      </c>
      <c r="G29" s="93">
        <f t="shared" si="0"/>
        <v>930</v>
      </c>
      <c r="H29" s="94"/>
      <c r="I29" s="100"/>
      <c r="J29" s="185"/>
      <c r="K29" s="91" t="s">
        <v>90</v>
      </c>
      <c r="L29" s="92">
        <v>135395</v>
      </c>
      <c r="M29" s="92">
        <v>136221</v>
      </c>
      <c r="N29" s="93">
        <f t="shared" si="1"/>
        <v>826</v>
      </c>
      <c r="O29" s="94"/>
    </row>
    <row r="30" spans="2:15" ht="15" x14ac:dyDescent="0.2">
      <c r="B30" s="87"/>
      <c r="C30" s="184">
        <v>16</v>
      </c>
      <c r="D30" s="91" t="s">
        <v>88</v>
      </c>
      <c r="E30" s="101">
        <v>94962</v>
      </c>
      <c r="F30" s="101">
        <v>95569</v>
      </c>
      <c r="G30" s="96">
        <f t="shared" si="0"/>
        <v>607</v>
      </c>
      <c r="H30" s="98" t="s">
        <v>13</v>
      </c>
      <c r="I30" s="100"/>
      <c r="J30" s="184">
        <v>16</v>
      </c>
      <c r="K30" s="91" t="s">
        <v>88</v>
      </c>
      <c r="L30" s="101">
        <v>95569</v>
      </c>
      <c r="M30" s="101">
        <v>95569</v>
      </c>
      <c r="N30" s="96">
        <f t="shared" si="1"/>
        <v>0</v>
      </c>
      <c r="O30" s="98" t="s">
        <v>13</v>
      </c>
    </row>
    <row r="31" spans="2:15" ht="15" x14ac:dyDescent="0.2">
      <c r="B31" s="87"/>
      <c r="C31" s="189"/>
      <c r="D31" s="91" t="s">
        <v>89</v>
      </c>
      <c r="E31" s="92">
        <v>52511</v>
      </c>
      <c r="F31" s="92">
        <v>52831</v>
      </c>
      <c r="G31" s="96">
        <f t="shared" si="0"/>
        <v>320</v>
      </c>
      <c r="H31" s="94"/>
      <c r="I31" s="100"/>
      <c r="J31" s="189"/>
      <c r="K31" s="91" t="s">
        <v>89</v>
      </c>
      <c r="L31" s="92">
        <v>52831</v>
      </c>
      <c r="M31" s="92">
        <v>53313</v>
      </c>
      <c r="N31" s="96">
        <f t="shared" si="1"/>
        <v>482</v>
      </c>
      <c r="O31" s="94"/>
    </row>
    <row r="32" spans="2:15" ht="15" x14ac:dyDescent="0.2">
      <c r="B32" s="87"/>
      <c r="C32" s="185"/>
      <c r="D32" s="91" t="s">
        <v>90</v>
      </c>
      <c r="E32" s="92">
        <v>67444</v>
      </c>
      <c r="F32" s="92">
        <v>67444</v>
      </c>
      <c r="G32" s="93">
        <f t="shared" si="0"/>
        <v>0</v>
      </c>
      <c r="H32" s="104"/>
      <c r="I32" s="100"/>
      <c r="J32" s="185"/>
      <c r="K32" s="91" t="s">
        <v>90</v>
      </c>
      <c r="L32" s="92">
        <v>67444</v>
      </c>
      <c r="M32" s="92">
        <v>67672</v>
      </c>
      <c r="N32" s="93">
        <f t="shared" si="1"/>
        <v>228</v>
      </c>
      <c r="O32" s="104"/>
    </row>
    <row r="33" spans="2:15" ht="15" x14ac:dyDescent="0.2">
      <c r="B33" s="87"/>
      <c r="C33" s="184">
        <v>17</v>
      </c>
      <c r="D33" s="91" t="s">
        <v>88</v>
      </c>
      <c r="E33" s="92">
        <v>22368</v>
      </c>
      <c r="F33" s="92">
        <v>23220</v>
      </c>
      <c r="G33" s="96">
        <f t="shared" si="0"/>
        <v>852</v>
      </c>
      <c r="H33" s="94"/>
      <c r="I33" s="100"/>
      <c r="J33" s="184">
        <v>17</v>
      </c>
      <c r="K33" s="91" t="s">
        <v>88</v>
      </c>
      <c r="L33" s="92">
        <v>23220</v>
      </c>
      <c r="M33" s="92">
        <v>23623</v>
      </c>
      <c r="N33" s="96">
        <f t="shared" si="1"/>
        <v>403</v>
      </c>
      <c r="O33" s="94"/>
    </row>
    <row r="34" spans="2:15" ht="15" x14ac:dyDescent="0.2">
      <c r="B34" s="87"/>
      <c r="C34" s="189"/>
      <c r="D34" s="91" t="s">
        <v>89</v>
      </c>
      <c r="E34" s="92">
        <v>63576</v>
      </c>
      <c r="F34" s="92">
        <v>63627</v>
      </c>
      <c r="G34" s="96">
        <f t="shared" si="0"/>
        <v>51</v>
      </c>
      <c r="H34" s="94"/>
      <c r="I34" s="100"/>
      <c r="J34" s="189"/>
      <c r="K34" s="91" t="s">
        <v>89</v>
      </c>
      <c r="L34" s="92">
        <v>63627</v>
      </c>
      <c r="M34" s="92">
        <v>63673</v>
      </c>
      <c r="N34" s="96">
        <f t="shared" si="1"/>
        <v>46</v>
      </c>
      <c r="O34" s="94"/>
    </row>
    <row r="35" spans="2:15" ht="15" x14ac:dyDescent="0.2">
      <c r="B35" s="87"/>
      <c r="C35" s="185"/>
      <c r="D35" s="91" t="s">
        <v>90</v>
      </c>
      <c r="E35" s="92">
        <v>11163</v>
      </c>
      <c r="F35" s="92">
        <v>11163</v>
      </c>
      <c r="G35" s="105">
        <f t="shared" si="0"/>
        <v>0</v>
      </c>
      <c r="H35" s="104"/>
      <c r="I35" s="100"/>
      <c r="J35" s="185"/>
      <c r="K35" s="91" t="s">
        <v>90</v>
      </c>
      <c r="L35" s="92">
        <v>11163</v>
      </c>
      <c r="M35" s="92">
        <v>11164</v>
      </c>
      <c r="N35" s="105">
        <f t="shared" si="1"/>
        <v>1</v>
      </c>
      <c r="O35" s="104"/>
    </row>
    <row r="36" spans="2:15" ht="15" x14ac:dyDescent="0.2">
      <c r="B36" s="87"/>
      <c r="C36" s="184">
        <v>18</v>
      </c>
      <c r="D36" s="91" t="s">
        <v>88</v>
      </c>
      <c r="E36" s="92">
        <v>209368</v>
      </c>
      <c r="F36" s="92">
        <v>210533</v>
      </c>
      <c r="G36" s="96">
        <f t="shared" si="0"/>
        <v>1165</v>
      </c>
      <c r="H36" s="104"/>
      <c r="I36" s="100"/>
      <c r="J36" s="184">
        <v>18</v>
      </c>
      <c r="K36" s="91" t="s">
        <v>88</v>
      </c>
      <c r="L36" s="92">
        <v>210533</v>
      </c>
      <c r="M36" s="92">
        <v>211282</v>
      </c>
      <c r="N36" s="96">
        <f t="shared" si="1"/>
        <v>749</v>
      </c>
      <c r="O36" s="104"/>
    </row>
    <row r="37" spans="2:15" ht="15" x14ac:dyDescent="0.2">
      <c r="B37" s="87"/>
      <c r="C37" s="189"/>
      <c r="D37" s="91" t="s">
        <v>89</v>
      </c>
      <c r="E37" s="103">
        <v>15712</v>
      </c>
      <c r="F37" s="103">
        <v>15712</v>
      </c>
      <c r="G37" s="96">
        <f t="shared" si="0"/>
        <v>0</v>
      </c>
      <c r="H37" s="94"/>
      <c r="I37" s="100"/>
      <c r="J37" s="189"/>
      <c r="K37" s="91" t="s">
        <v>89</v>
      </c>
      <c r="L37" s="103">
        <v>15712</v>
      </c>
      <c r="M37" s="103">
        <v>15712</v>
      </c>
      <c r="N37" s="96">
        <f t="shared" si="1"/>
        <v>0</v>
      </c>
      <c r="O37" s="94"/>
    </row>
    <row r="38" spans="2:15" ht="15" x14ac:dyDescent="0.2">
      <c r="B38" s="87"/>
      <c r="C38" s="185"/>
      <c r="D38" s="91" t="s">
        <v>90</v>
      </c>
      <c r="E38" s="92">
        <v>62066</v>
      </c>
      <c r="F38" s="92">
        <v>62105</v>
      </c>
      <c r="G38" s="96">
        <f t="shared" si="0"/>
        <v>39</v>
      </c>
      <c r="H38" s="94"/>
      <c r="I38" s="100"/>
      <c r="J38" s="185"/>
      <c r="K38" s="91" t="s">
        <v>90</v>
      </c>
      <c r="L38" s="92">
        <v>62105</v>
      </c>
      <c r="M38" s="92">
        <v>62108</v>
      </c>
      <c r="N38" s="96">
        <f t="shared" si="1"/>
        <v>3</v>
      </c>
      <c r="O38" s="94"/>
    </row>
    <row r="39" spans="2:15" ht="15" x14ac:dyDescent="0.2">
      <c r="B39" s="87"/>
      <c r="C39" s="184">
        <v>19</v>
      </c>
      <c r="D39" s="91" t="s">
        <v>88</v>
      </c>
      <c r="E39" s="92">
        <v>16400</v>
      </c>
      <c r="F39" s="92">
        <v>16670</v>
      </c>
      <c r="G39" s="93">
        <f t="shared" si="0"/>
        <v>270</v>
      </c>
      <c r="H39" s="94"/>
      <c r="I39" s="100"/>
      <c r="J39" s="184">
        <v>19</v>
      </c>
      <c r="K39" s="91" t="s">
        <v>88</v>
      </c>
      <c r="L39" s="92">
        <v>16670</v>
      </c>
      <c r="M39" s="92">
        <v>16951</v>
      </c>
      <c r="N39" s="93">
        <f t="shared" si="1"/>
        <v>281</v>
      </c>
      <c r="O39" s="94"/>
    </row>
    <row r="40" spans="2:15" ht="15" x14ac:dyDescent="0.2">
      <c r="B40" s="87"/>
      <c r="C40" s="189"/>
      <c r="D40" s="91" t="s">
        <v>89</v>
      </c>
      <c r="E40" s="101">
        <v>77963</v>
      </c>
      <c r="F40" s="101">
        <v>78218</v>
      </c>
      <c r="G40" s="93">
        <f t="shared" si="0"/>
        <v>255</v>
      </c>
      <c r="H40" s="104"/>
      <c r="I40" s="100"/>
      <c r="J40" s="189"/>
      <c r="K40" s="91" t="s">
        <v>89</v>
      </c>
      <c r="L40" s="101">
        <v>78218</v>
      </c>
      <c r="M40" s="101">
        <v>78415</v>
      </c>
      <c r="N40" s="93">
        <f t="shared" si="1"/>
        <v>197</v>
      </c>
      <c r="O40" s="104"/>
    </row>
    <row r="41" spans="2:15" ht="15" x14ac:dyDescent="0.2">
      <c r="B41" s="87"/>
      <c r="C41" s="185"/>
      <c r="D41" s="91" t="s">
        <v>90</v>
      </c>
      <c r="E41" s="92">
        <v>50793</v>
      </c>
      <c r="F41" s="92">
        <v>50796</v>
      </c>
      <c r="G41" s="93">
        <f t="shared" si="0"/>
        <v>3</v>
      </c>
      <c r="H41" s="94"/>
      <c r="I41" s="100"/>
      <c r="J41" s="185"/>
      <c r="K41" s="91" t="s">
        <v>90</v>
      </c>
      <c r="L41" s="92">
        <v>50796</v>
      </c>
      <c r="M41" s="92">
        <v>50844</v>
      </c>
      <c r="N41" s="93">
        <f t="shared" si="1"/>
        <v>48</v>
      </c>
      <c r="O41" s="94"/>
    </row>
    <row r="42" spans="2:15" ht="15" x14ac:dyDescent="0.2">
      <c r="B42" s="87"/>
      <c r="C42" s="184">
        <v>20</v>
      </c>
      <c r="D42" s="91" t="s">
        <v>88</v>
      </c>
      <c r="E42" s="92">
        <v>106751</v>
      </c>
      <c r="F42" s="92">
        <v>106966</v>
      </c>
      <c r="G42" s="93">
        <f t="shared" si="0"/>
        <v>215</v>
      </c>
      <c r="H42" s="94"/>
      <c r="J42" s="184">
        <v>20</v>
      </c>
      <c r="K42" s="91" t="s">
        <v>88</v>
      </c>
      <c r="L42" s="92">
        <v>106966</v>
      </c>
      <c r="M42" s="92">
        <v>107157</v>
      </c>
      <c r="N42" s="93">
        <f t="shared" si="1"/>
        <v>191</v>
      </c>
      <c r="O42" s="94"/>
    </row>
    <row r="43" spans="2:15" ht="15" x14ac:dyDescent="0.2">
      <c r="B43" s="87"/>
      <c r="C43" s="189"/>
      <c r="D43" s="91" t="s">
        <v>89</v>
      </c>
      <c r="E43" s="101">
        <v>62619</v>
      </c>
      <c r="F43" s="101">
        <v>64806</v>
      </c>
      <c r="G43" s="93">
        <f t="shared" si="0"/>
        <v>2187</v>
      </c>
      <c r="H43" s="94"/>
      <c r="J43" s="189"/>
      <c r="K43" s="91" t="s">
        <v>89</v>
      </c>
      <c r="L43" s="101">
        <v>64806</v>
      </c>
      <c r="M43" s="101">
        <v>65814</v>
      </c>
      <c r="N43" s="93">
        <f t="shared" si="1"/>
        <v>1008</v>
      </c>
      <c r="O43" s="94"/>
    </row>
    <row r="44" spans="2:15" ht="15" x14ac:dyDescent="0.2">
      <c r="B44" s="87"/>
      <c r="C44" s="185"/>
      <c r="D44" s="91" t="s">
        <v>90</v>
      </c>
      <c r="E44" s="92">
        <v>3128</v>
      </c>
      <c r="F44" s="92">
        <v>3128</v>
      </c>
      <c r="G44" s="93">
        <f t="shared" si="0"/>
        <v>0</v>
      </c>
      <c r="H44" s="94"/>
      <c r="J44" s="185"/>
      <c r="K44" s="91" t="s">
        <v>90</v>
      </c>
      <c r="L44" s="92">
        <v>3128</v>
      </c>
      <c r="M44" s="92">
        <v>3128</v>
      </c>
      <c r="N44" s="93">
        <f t="shared" si="1"/>
        <v>0</v>
      </c>
      <c r="O44" s="94"/>
    </row>
    <row r="45" spans="2:15" ht="15" x14ac:dyDescent="0.2">
      <c r="B45" s="87"/>
      <c r="C45" s="106"/>
      <c r="D45" s="107"/>
      <c r="E45" s="107"/>
      <c r="F45" s="107"/>
      <c r="G45" s="108"/>
      <c r="H45" s="109"/>
      <c r="J45" s="106"/>
      <c r="K45" s="107"/>
      <c r="L45" s="107"/>
      <c r="M45" s="107"/>
      <c r="N45" s="108"/>
      <c r="O45" s="109"/>
    </row>
    <row r="46" spans="2:15" ht="15" x14ac:dyDescent="0.2">
      <c r="B46" s="87"/>
      <c r="C46" s="184">
        <v>21</v>
      </c>
      <c r="D46" s="110" t="s">
        <v>91</v>
      </c>
      <c r="E46" s="92">
        <v>2745</v>
      </c>
      <c r="F46" s="92">
        <v>2745</v>
      </c>
      <c r="G46" s="96">
        <f t="shared" ref="G46:G51" si="2">F46-E46</f>
        <v>0</v>
      </c>
      <c r="H46" s="98" t="s">
        <v>13</v>
      </c>
      <c r="J46" s="184">
        <v>21</v>
      </c>
      <c r="K46" s="110" t="s">
        <v>91</v>
      </c>
      <c r="L46" s="92">
        <v>2745</v>
      </c>
      <c r="M46" s="92">
        <v>2747</v>
      </c>
      <c r="N46" s="96">
        <f t="shared" ref="N46:N51" si="3">M46-L46</f>
        <v>2</v>
      </c>
      <c r="O46" s="98" t="s">
        <v>13</v>
      </c>
    </row>
    <row r="47" spans="2:15" ht="15" x14ac:dyDescent="0.2">
      <c r="B47" s="87"/>
      <c r="C47" s="189"/>
      <c r="D47" s="110" t="s">
        <v>90</v>
      </c>
      <c r="E47" s="92">
        <v>37986</v>
      </c>
      <c r="F47" s="92">
        <v>38081</v>
      </c>
      <c r="G47" s="96">
        <f t="shared" si="2"/>
        <v>95</v>
      </c>
      <c r="H47" s="94"/>
      <c r="I47" t="s">
        <v>13</v>
      </c>
      <c r="J47" s="189"/>
      <c r="K47" s="110" t="s">
        <v>90</v>
      </c>
      <c r="L47" s="92">
        <v>38081</v>
      </c>
      <c r="M47" s="92">
        <v>38084</v>
      </c>
      <c r="N47" s="96">
        <f t="shared" si="3"/>
        <v>3</v>
      </c>
      <c r="O47" s="94"/>
    </row>
    <row r="48" spans="2:15" ht="15" x14ac:dyDescent="0.2">
      <c r="B48" s="87"/>
      <c r="C48" s="184">
        <v>22</v>
      </c>
      <c r="D48" s="110" t="s">
        <v>91</v>
      </c>
      <c r="E48" s="111">
        <v>12045</v>
      </c>
      <c r="F48" s="111">
        <v>13166</v>
      </c>
      <c r="G48" s="96">
        <f t="shared" si="2"/>
        <v>1121</v>
      </c>
      <c r="H48" s="94"/>
      <c r="J48" s="184">
        <v>22</v>
      </c>
      <c r="K48" s="110" t="s">
        <v>91</v>
      </c>
      <c r="L48" s="111">
        <v>13166</v>
      </c>
      <c r="M48" s="111">
        <v>13322</v>
      </c>
      <c r="N48" s="166">
        <f t="shared" si="3"/>
        <v>156</v>
      </c>
      <c r="O48" s="94"/>
    </row>
    <row r="49" spans="1:15" ht="15" x14ac:dyDescent="0.2">
      <c r="B49" s="87"/>
      <c r="C49" s="189"/>
      <c r="D49" s="110" t="s">
        <v>90</v>
      </c>
      <c r="E49" s="111">
        <v>16874</v>
      </c>
      <c r="F49" s="111">
        <v>17034</v>
      </c>
      <c r="G49" s="96">
        <f t="shared" si="2"/>
        <v>160</v>
      </c>
      <c r="H49" s="94"/>
      <c r="J49" s="189"/>
      <c r="K49" s="110" t="s">
        <v>90</v>
      </c>
      <c r="L49" s="111">
        <v>17034</v>
      </c>
      <c r="M49" s="111">
        <v>17166</v>
      </c>
      <c r="N49" s="96">
        <f t="shared" si="3"/>
        <v>132</v>
      </c>
      <c r="O49" s="94"/>
    </row>
    <row r="50" spans="1:15" ht="15" x14ac:dyDescent="0.2">
      <c r="B50" s="87"/>
      <c r="C50" s="184">
        <v>23</v>
      </c>
      <c r="D50" s="91" t="s">
        <v>91</v>
      </c>
      <c r="E50" s="111"/>
      <c r="F50" s="111"/>
      <c r="G50" s="93">
        <f t="shared" si="2"/>
        <v>0</v>
      </c>
      <c r="H50" s="94"/>
      <c r="J50" s="184">
        <v>23</v>
      </c>
      <c r="K50" s="91" t="s">
        <v>91</v>
      </c>
      <c r="L50" s="111"/>
      <c r="M50" s="111"/>
      <c r="N50" s="93">
        <f t="shared" si="3"/>
        <v>0</v>
      </c>
      <c r="O50" s="94"/>
    </row>
    <row r="51" spans="1:15" ht="15" x14ac:dyDescent="0.2">
      <c r="B51" s="87"/>
      <c r="C51" s="189"/>
      <c r="D51" s="91" t="s">
        <v>90</v>
      </c>
      <c r="E51" s="111"/>
      <c r="F51" s="111"/>
      <c r="G51" s="93">
        <f t="shared" si="2"/>
        <v>0</v>
      </c>
      <c r="H51" s="94"/>
      <c r="J51" s="189"/>
      <c r="K51" s="91" t="s">
        <v>90</v>
      </c>
      <c r="L51" s="111"/>
      <c r="M51" s="111"/>
      <c r="N51" s="93">
        <f t="shared" si="3"/>
        <v>0</v>
      </c>
      <c r="O51" s="94"/>
    </row>
    <row r="52" spans="1:15" ht="15" x14ac:dyDescent="0.2">
      <c r="B52" s="87"/>
      <c r="C52" s="112"/>
      <c r="D52" s="107"/>
      <c r="E52" s="108"/>
      <c r="F52" s="108"/>
      <c r="G52" s="108"/>
      <c r="H52" s="109"/>
      <c r="J52" s="112"/>
      <c r="K52" s="107"/>
      <c r="L52" s="108"/>
      <c r="M52" s="108"/>
      <c r="N52" s="108"/>
      <c r="O52" s="109"/>
    </row>
    <row r="53" spans="1:15" ht="15" x14ac:dyDescent="0.2">
      <c r="B53" s="87"/>
      <c r="C53" s="186">
        <v>24</v>
      </c>
      <c r="D53" s="91" t="s">
        <v>92</v>
      </c>
      <c r="E53" s="101">
        <v>222232</v>
      </c>
      <c r="F53" s="101">
        <v>222499</v>
      </c>
      <c r="G53" s="96">
        <f>F53-E53</f>
        <v>267</v>
      </c>
      <c r="H53" s="113"/>
      <c r="J53" s="186">
        <v>24</v>
      </c>
      <c r="K53" s="91" t="s">
        <v>92</v>
      </c>
      <c r="L53" s="101">
        <v>222499</v>
      </c>
      <c r="M53" s="101">
        <v>222678</v>
      </c>
      <c r="N53" s="96">
        <f>M53-L53</f>
        <v>179</v>
      </c>
      <c r="O53" s="113"/>
    </row>
    <row r="54" spans="1:15" ht="15" x14ac:dyDescent="0.2">
      <c r="B54" s="87"/>
      <c r="C54" s="187"/>
      <c r="D54" s="91" t="s">
        <v>93</v>
      </c>
      <c r="E54" s="101">
        <v>523783</v>
      </c>
      <c r="F54" s="101">
        <v>524408</v>
      </c>
      <c r="G54" s="96">
        <f t="shared" ref="G54:G61" si="4">F54-E54</f>
        <v>625</v>
      </c>
      <c r="H54" s="104"/>
      <c r="J54" s="187"/>
      <c r="K54" s="91" t="s">
        <v>93</v>
      </c>
      <c r="L54" s="101">
        <v>524408</v>
      </c>
      <c r="M54" s="101">
        <v>524981</v>
      </c>
      <c r="N54" s="96">
        <f t="shared" ref="N54:N61" si="5">M54-L54</f>
        <v>573</v>
      </c>
      <c r="O54" s="104"/>
    </row>
    <row r="55" spans="1:15" ht="15" x14ac:dyDescent="0.2">
      <c r="B55" s="87"/>
      <c r="C55" s="188"/>
      <c r="D55" s="91" t="s">
        <v>92</v>
      </c>
      <c r="E55" s="101">
        <v>34567</v>
      </c>
      <c r="F55" s="101">
        <v>34567</v>
      </c>
      <c r="G55" s="96">
        <f t="shared" si="4"/>
        <v>0</v>
      </c>
      <c r="H55" s="114" t="s">
        <v>13</v>
      </c>
      <c r="J55" s="188"/>
      <c r="K55" s="91" t="s">
        <v>92</v>
      </c>
      <c r="L55" s="101">
        <v>34567</v>
      </c>
      <c r="M55" s="101">
        <v>34567</v>
      </c>
      <c r="N55" s="96">
        <f t="shared" si="5"/>
        <v>0</v>
      </c>
      <c r="O55" s="114" t="s">
        <v>13</v>
      </c>
    </row>
    <row r="56" spans="1:15" ht="15" x14ac:dyDescent="0.2">
      <c r="B56" s="87"/>
      <c r="C56" s="184">
        <v>25</v>
      </c>
      <c r="D56" s="91" t="s">
        <v>92</v>
      </c>
      <c r="E56" s="111">
        <v>318</v>
      </c>
      <c r="F56" s="111">
        <v>318</v>
      </c>
      <c r="G56" s="105">
        <f t="shared" si="4"/>
        <v>0</v>
      </c>
      <c r="H56" s="94"/>
      <c r="J56" s="184">
        <v>25</v>
      </c>
      <c r="K56" s="91" t="s">
        <v>92</v>
      </c>
      <c r="L56" s="111">
        <v>318</v>
      </c>
      <c r="M56" s="111">
        <v>318</v>
      </c>
      <c r="N56" s="105">
        <f t="shared" si="5"/>
        <v>0</v>
      </c>
      <c r="O56" s="94"/>
    </row>
    <row r="57" spans="1:15" ht="15" x14ac:dyDescent="0.2">
      <c r="B57" s="87"/>
      <c r="C57" s="185"/>
      <c r="D57" s="91" t="s">
        <v>93</v>
      </c>
      <c r="E57" s="111">
        <v>3</v>
      </c>
      <c r="F57" s="111">
        <v>3</v>
      </c>
      <c r="G57" s="115">
        <f t="shared" si="4"/>
        <v>0</v>
      </c>
      <c r="H57" s="94"/>
      <c r="J57" s="185"/>
      <c r="K57" s="91" t="s">
        <v>93</v>
      </c>
      <c r="L57" s="111">
        <v>3</v>
      </c>
      <c r="M57" s="111">
        <v>3</v>
      </c>
      <c r="N57" s="115">
        <f t="shared" si="5"/>
        <v>0</v>
      </c>
      <c r="O57" s="94"/>
    </row>
    <row r="58" spans="1:15" ht="15" x14ac:dyDescent="0.2">
      <c r="A58" s="100"/>
      <c r="B58" s="87"/>
      <c r="C58" s="184">
        <v>26</v>
      </c>
      <c r="D58" s="91" t="s">
        <v>92</v>
      </c>
      <c r="E58" s="92">
        <v>616598</v>
      </c>
      <c r="F58" s="92">
        <v>620165</v>
      </c>
      <c r="G58" s="93">
        <f t="shared" si="4"/>
        <v>3567</v>
      </c>
      <c r="H58" s="94"/>
      <c r="I58" s="100"/>
      <c r="J58" s="184">
        <v>26</v>
      </c>
      <c r="K58" s="91" t="s">
        <v>92</v>
      </c>
      <c r="L58" s="92">
        <v>620165</v>
      </c>
      <c r="M58" s="92">
        <v>623877</v>
      </c>
      <c r="N58" s="93">
        <f t="shared" si="5"/>
        <v>3712</v>
      </c>
      <c r="O58" s="94"/>
    </row>
    <row r="59" spans="1:15" ht="15" x14ac:dyDescent="0.2">
      <c r="A59" s="100"/>
      <c r="B59" s="87"/>
      <c r="C59" s="185"/>
      <c r="D59" s="91" t="s">
        <v>93</v>
      </c>
      <c r="E59" s="92">
        <v>677966</v>
      </c>
      <c r="F59" s="92">
        <v>681964</v>
      </c>
      <c r="G59" s="93">
        <f t="shared" si="4"/>
        <v>3998</v>
      </c>
      <c r="H59" s="104"/>
      <c r="I59" s="100"/>
      <c r="J59" s="185"/>
      <c r="K59" s="91" t="s">
        <v>93</v>
      </c>
      <c r="L59" s="92">
        <v>681964</v>
      </c>
      <c r="M59" s="92">
        <v>685967</v>
      </c>
      <c r="N59" s="93">
        <f t="shared" si="5"/>
        <v>4003</v>
      </c>
      <c r="O59" s="104"/>
    </row>
    <row r="60" spans="1:15" ht="15" x14ac:dyDescent="0.2">
      <c r="A60" s="100"/>
      <c r="B60" s="87"/>
      <c r="C60" s="184">
        <v>27</v>
      </c>
      <c r="D60" s="91" t="s">
        <v>92</v>
      </c>
      <c r="E60" s="92">
        <v>211261</v>
      </c>
      <c r="F60" s="92">
        <v>212094</v>
      </c>
      <c r="G60" s="93">
        <f t="shared" si="4"/>
        <v>833</v>
      </c>
      <c r="H60" s="94"/>
      <c r="I60" s="100"/>
      <c r="J60" s="184">
        <v>27</v>
      </c>
      <c r="K60" s="91" t="s">
        <v>92</v>
      </c>
      <c r="L60" s="92">
        <v>212094</v>
      </c>
      <c r="M60" s="92">
        <v>213301</v>
      </c>
      <c r="N60" s="93">
        <f t="shared" si="5"/>
        <v>1207</v>
      </c>
      <c r="O60" s="94"/>
    </row>
    <row r="61" spans="1:15" ht="15" x14ac:dyDescent="0.2">
      <c r="A61" s="100"/>
      <c r="B61" s="87"/>
      <c r="C61" s="185"/>
      <c r="D61" s="91" t="s">
        <v>93</v>
      </c>
      <c r="E61" s="92">
        <v>74003</v>
      </c>
      <c r="F61" s="92">
        <v>74196</v>
      </c>
      <c r="G61" s="96">
        <f t="shared" si="4"/>
        <v>193</v>
      </c>
      <c r="H61" s="94"/>
      <c r="I61" s="100"/>
      <c r="J61" s="185"/>
      <c r="K61" s="91" t="s">
        <v>93</v>
      </c>
      <c r="L61" s="92">
        <v>74196</v>
      </c>
      <c r="M61" s="92">
        <v>74450</v>
      </c>
      <c r="N61" s="96">
        <f t="shared" si="5"/>
        <v>254</v>
      </c>
      <c r="O61" s="94"/>
    </row>
    <row r="62" spans="1:15" ht="15" x14ac:dyDescent="0.2">
      <c r="A62" s="100"/>
      <c r="B62" s="87"/>
      <c r="C62" s="106"/>
      <c r="D62" s="107"/>
      <c r="E62" s="92"/>
      <c r="F62" s="92"/>
      <c r="G62" s="116"/>
      <c r="H62" s="109"/>
      <c r="I62" s="100"/>
      <c r="J62" s="106"/>
      <c r="K62" s="107"/>
      <c r="L62" s="92"/>
      <c r="M62" s="92"/>
      <c r="N62" s="116"/>
      <c r="O62" s="109"/>
    </row>
    <row r="63" spans="1:15" ht="15" x14ac:dyDescent="0.2">
      <c r="A63" s="100"/>
      <c r="B63" s="87"/>
      <c r="C63" s="184">
        <v>28</v>
      </c>
      <c r="D63" s="173" t="s">
        <v>94</v>
      </c>
      <c r="E63" s="92"/>
      <c r="F63" s="92"/>
      <c r="G63" s="93">
        <v>0</v>
      </c>
      <c r="H63" s="175" t="s">
        <v>95</v>
      </c>
      <c r="I63" s="100"/>
      <c r="J63" s="184">
        <v>28</v>
      </c>
      <c r="K63" s="173" t="s">
        <v>94</v>
      </c>
      <c r="L63" s="92"/>
      <c r="M63" s="92"/>
      <c r="N63" s="93">
        <v>0</v>
      </c>
      <c r="O63" s="175" t="s">
        <v>95</v>
      </c>
    </row>
    <row r="64" spans="1:15" ht="15" x14ac:dyDescent="0.2">
      <c r="A64" s="100"/>
      <c r="B64" s="87"/>
      <c r="C64" s="185"/>
      <c r="D64" s="174"/>
      <c r="E64" s="92"/>
      <c r="F64" s="92"/>
      <c r="G64" s="93">
        <v>0</v>
      </c>
      <c r="H64" s="176"/>
      <c r="I64" s="100"/>
      <c r="J64" s="185"/>
      <c r="K64" s="174"/>
      <c r="L64" s="92"/>
      <c r="M64" s="92"/>
      <c r="N64" s="93">
        <v>0</v>
      </c>
      <c r="O64" s="176"/>
    </row>
    <row r="65" spans="1:15" x14ac:dyDescent="0.2">
      <c r="A65" s="100"/>
      <c r="B65" s="87"/>
      <c r="C65" s="177" t="s">
        <v>96</v>
      </c>
      <c r="D65" s="177"/>
      <c r="E65" s="177"/>
      <c r="F65" s="177"/>
      <c r="G65" s="117">
        <f>SUM(G3:G64)</f>
        <v>44847</v>
      </c>
      <c r="H65" s="118"/>
      <c r="I65" s="100"/>
      <c r="J65" s="177" t="s">
        <v>96</v>
      </c>
      <c r="K65" s="177"/>
      <c r="L65" s="177"/>
      <c r="M65" s="177"/>
      <c r="N65" s="117">
        <f>SUM(N3:N64)</f>
        <v>29316</v>
      </c>
      <c r="O65" s="118"/>
    </row>
    <row r="69" spans="1:15" ht="13.5" thickBot="1" x14ac:dyDescent="0.25">
      <c r="A69" s="119"/>
      <c r="B69" s="119"/>
      <c r="C69" s="119"/>
      <c r="D69" s="120" t="s">
        <v>13</v>
      </c>
      <c r="E69" s="119"/>
      <c r="F69" s="119"/>
      <c r="G69" s="119"/>
      <c r="H69" s="119"/>
    </row>
    <row r="70" spans="1:15" ht="13.5" thickBot="1" x14ac:dyDescent="0.25">
      <c r="A70" s="121"/>
      <c r="B70" s="178" t="s">
        <v>138</v>
      </c>
      <c r="C70" s="179"/>
      <c r="D70" s="179"/>
      <c r="E70" s="180"/>
      <c r="F70" s="121"/>
      <c r="G70" s="178" t="s">
        <v>147</v>
      </c>
      <c r="H70" s="179"/>
      <c r="I70" s="179"/>
      <c r="J70" s="180"/>
      <c r="K70" s="121"/>
      <c r="L70" s="181" t="s">
        <v>31</v>
      </c>
      <c r="M70" s="182"/>
      <c r="N70" s="182"/>
      <c r="O70" s="183"/>
    </row>
    <row r="71" spans="1:15" ht="13.5" thickBot="1" x14ac:dyDescent="0.25">
      <c r="A71" s="119"/>
      <c r="B71" s="122" t="s">
        <v>85</v>
      </c>
      <c r="C71" s="122">
        <v>30</v>
      </c>
      <c r="D71" s="122" t="s">
        <v>97</v>
      </c>
      <c r="E71" s="122" t="s">
        <v>98</v>
      </c>
      <c r="F71" s="119"/>
      <c r="G71" s="122" t="s">
        <v>85</v>
      </c>
      <c r="H71" s="122">
        <v>30</v>
      </c>
      <c r="I71" s="122" t="s">
        <v>97</v>
      </c>
      <c r="J71" s="122" t="s">
        <v>98</v>
      </c>
      <c r="K71" s="119"/>
      <c r="L71" s="123" t="s">
        <v>85</v>
      </c>
      <c r="M71" s="123">
        <v>30</v>
      </c>
      <c r="N71" s="123" t="s">
        <v>97</v>
      </c>
      <c r="O71" s="123" t="s">
        <v>98</v>
      </c>
    </row>
    <row r="72" spans="1:15" ht="15.75" thickBot="1" x14ac:dyDescent="0.25">
      <c r="A72" s="119"/>
      <c r="B72" s="124">
        <v>6</v>
      </c>
      <c r="C72" s="125">
        <v>85991</v>
      </c>
      <c r="D72" s="126">
        <v>51247</v>
      </c>
      <c r="E72" s="127">
        <v>78515</v>
      </c>
      <c r="F72" s="119"/>
      <c r="G72" s="124">
        <v>6</v>
      </c>
      <c r="H72" s="125">
        <v>86223</v>
      </c>
      <c r="I72" s="126">
        <v>51427</v>
      </c>
      <c r="J72" s="127">
        <v>78515</v>
      </c>
      <c r="K72" s="119"/>
      <c r="L72" s="123">
        <v>6</v>
      </c>
      <c r="M72" s="128">
        <f>H72-C72</f>
        <v>232</v>
      </c>
      <c r="N72" s="128">
        <f>I72-D72</f>
        <v>180</v>
      </c>
      <c r="O72" s="128">
        <f>J72-E72</f>
        <v>0</v>
      </c>
    </row>
    <row r="73" spans="1:15" ht="15.75" thickBot="1" x14ac:dyDescent="0.25">
      <c r="A73" s="119"/>
      <c r="B73" s="124">
        <v>7</v>
      </c>
      <c r="C73" s="125">
        <v>89014</v>
      </c>
      <c r="D73" s="126">
        <v>99780</v>
      </c>
      <c r="E73" s="127">
        <v>56269</v>
      </c>
      <c r="F73" s="119"/>
      <c r="G73" s="124">
        <v>7</v>
      </c>
      <c r="H73" s="125">
        <v>89382</v>
      </c>
      <c r="I73" s="126">
        <v>99981</v>
      </c>
      <c r="J73" s="127">
        <v>56893</v>
      </c>
      <c r="K73" s="119"/>
      <c r="L73" s="123">
        <v>7</v>
      </c>
      <c r="M73" s="128">
        <f t="shared" ref="M73:O95" si="6">H73-C73</f>
        <v>368</v>
      </c>
      <c r="N73" s="128">
        <f t="shared" si="6"/>
        <v>201</v>
      </c>
      <c r="O73" s="128">
        <f t="shared" si="6"/>
        <v>624</v>
      </c>
    </row>
    <row r="74" spans="1:15" ht="15.75" thickBot="1" x14ac:dyDescent="0.25">
      <c r="A74" s="119"/>
      <c r="B74" s="124">
        <v>8</v>
      </c>
      <c r="C74" s="125">
        <v>99601</v>
      </c>
      <c r="D74" s="126">
        <v>225445</v>
      </c>
      <c r="E74" s="127">
        <v>99473</v>
      </c>
      <c r="F74" s="119"/>
      <c r="G74" s="124">
        <v>8</v>
      </c>
      <c r="H74" s="125">
        <v>100200</v>
      </c>
      <c r="I74" s="126">
        <v>227798</v>
      </c>
      <c r="J74" s="127">
        <v>100498</v>
      </c>
      <c r="K74" s="119"/>
      <c r="L74" s="123">
        <v>8</v>
      </c>
      <c r="M74" s="128">
        <f t="shared" si="6"/>
        <v>599</v>
      </c>
      <c r="N74" s="128">
        <f t="shared" si="6"/>
        <v>2353</v>
      </c>
      <c r="O74" s="128">
        <f t="shared" si="6"/>
        <v>1025</v>
      </c>
    </row>
    <row r="75" spans="1:15" ht="15.75" thickBot="1" x14ac:dyDescent="0.25">
      <c r="A75" s="119"/>
      <c r="B75" s="124">
        <v>9</v>
      </c>
      <c r="C75" s="125">
        <v>64430</v>
      </c>
      <c r="D75" s="126">
        <v>128929</v>
      </c>
      <c r="E75" s="127">
        <v>126662</v>
      </c>
      <c r="F75" s="119"/>
      <c r="G75" s="124">
        <v>9</v>
      </c>
      <c r="H75" s="125">
        <v>64512</v>
      </c>
      <c r="I75" s="126">
        <v>129811</v>
      </c>
      <c r="J75" s="127">
        <v>128608</v>
      </c>
      <c r="K75" s="119"/>
      <c r="L75" s="123">
        <v>9</v>
      </c>
      <c r="M75" s="128">
        <f t="shared" si="6"/>
        <v>82</v>
      </c>
      <c r="N75" s="128">
        <f t="shared" si="6"/>
        <v>882</v>
      </c>
      <c r="O75" s="128">
        <f t="shared" si="6"/>
        <v>1946</v>
      </c>
    </row>
    <row r="76" spans="1:15" ht="15.75" thickBot="1" x14ac:dyDescent="0.25">
      <c r="A76" s="119"/>
      <c r="B76" s="124">
        <v>10</v>
      </c>
      <c r="C76" s="125">
        <v>56219</v>
      </c>
      <c r="D76" s="126">
        <v>89188</v>
      </c>
      <c r="E76" s="127">
        <v>126897</v>
      </c>
      <c r="F76" s="119"/>
      <c r="G76" s="124">
        <v>10</v>
      </c>
      <c r="H76" s="125">
        <v>56723</v>
      </c>
      <c r="I76" s="126">
        <v>92673</v>
      </c>
      <c r="J76" s="127">
        <v>127494</v>
      </c>
      <c r="K76" s="119"/>
      <c r="L76" s="123">
        <v>10</v>
      </c>
      <c r="M76" s="128">
        <f t="shared" si="6"/>
        <v>504</v>
      </c>
      <c r="N76" s="128">
        <f t="shared" si="6"/>
        <v>3485</v>
      </c>
      <c r="O76" s="128">
        <f t="shared" si="6"/>
        <v>597</v>
      </c>
    </row>
    <row r="77" spans="1:15" ht="15.75" thickBot="1" x14ac:dyDescent="0.25">
      <c r="A77" s="119"/>
      <c r="B77" s="124">
        <v>11</v>
      </c>
      <c r="C77" s="125">
        <v>141040</v>
      </c>
      <c r="D77" s="126">
        <v>170520</v>
      </c>
      <c r="E77" s="127">
        <v>193711</v>
      </c>
      <c r="F77" s="119"/>
      <c r="G77" s="124">
        <v>11</v>
      </c>
      <c r="H77" s="125">
        <v>142308</v>
      </c>
      <c r="I77" s="126">
        <v>171184</v>
      </c>
      <c r="J77" s="127">
        <v>195537</v>
      </c>
      <c r="K77" s="119"/>
      <c r="L77" s="123">
        <v>11</v>
      </c>
      <c r="M77" s="128">
        <f t="shared" si="6"/>
        <v>1268</v>
      </c>
      <c r="N77" s="128">
        <f t="shared" si="6"/>
        <v>664</v>
      </c>
      <c r="O77" s="128">
        <f t="shared" si="6"/>
        <v>1826</v>
      </c>
    </row>
    <row r="78" spans="1:15" ht="15.75" thickBot="1" x14ac:dyDescent="0.25">
      <c r="A78" s="119"/>
      <c r="B78" s="124">
        <v>12</v>
      </c>
      <c r="C78" s="125">
        <v>129774</v>
      </c>
      <c r="D78" s="126">
        <v>89188</v>
      </c>
      <c r="E78" s="127">
        <v>95482</v>
      </c>
      <c r="F78" s="119"/>
      <c r="G78" s="124">
        <v>12</v>
      </c>
      <c r="H78" s="125">
        <v>130497</v>
      </c>
      <c r="I78" s="126">
        <v>90243</v>
      </c>
      <c r="J78" s="127">
        <v>95956</v>
      </c>
      <c r="K78" s="119"/>
      <c r="L78" s="123">
        <v>12</v>
      </c>
      <c r="M78" s="128">
        <f t="shared" si="6"/>
        <v>723</v>
      </c>
      <c r="N78" s="128">
        <f t="shared" si="6"/>
        <v>1055</v>
      </c>
      <c r="O78" s="128">
        <f t="shared" si="6"/>
        <v>474</v>
      </c>
    </row>
    <row r="79" spans="1:15" ht="15.75" thickBot="1" x14ac:dyDescent="0.25">
      <c r="A79" s="119"/>
      <c r="B79" s="124">
        <v>14</v>
      </c>
      <c r="C79" s="125">
        <v>117322</v>
      </c>
      <c r="D79" s="126">
        <v>45441</v>
      </c>
      <c r="E79" s="127">
        <v>47518</v>
      </c>
      <c r="F79" s="119"/>
      <c r="G79" s="124">
        <v>14</v>
      </c>
      <c r="H79" s="125">
        <v>117592</v>
      </c>
      <c r="I79" s="126">
        <v>45448</v>
      </c>
      <c r="J79" s="127">
        <v>47635</v>
      </c>
      <c r="K79" s="119"/>
      <c r="L79" s="123">
        <v>14</v>
      </c>
      <c r="M79" s="128">
        <f t="shared" si="6"/>
        <v>270</v>
      </c>
      <c r="N79" s="128">
        <f t="shared" si="6"/>
        <v>7</v>
      </c>
      <c r="O79" s="128">
        <f t="shared" si="6"/>
        <v>117</v>
      </c>
    </row>
    <row r="80" spans="1:15" ht="15.75" thickBot="1" x14ac:dyDescent="0.25">
      <c r="A80" s="119"/>
      <c r="B80" s="124">
        <v>15</v>
      </c>
      <c r="C80" s="125">
        <v>151024</v>
      </c>
      <c r="D80" s="126">
        <v>126080</v>
      </c>
      <c r="E80" s="127">
        <v>146118</v>
      </c>
      <c r="F80" s="119"/>
      <c r="G80" s="124">
        <v>15</v>
      </c>
      <c r="H80" s="125">
        <v>151853</v>
      </c>
      <c r="I80" s="126">
        <v>126888</v>
      </c>
      <c r="J80" s="127">
        <v>146669</v>
      </c>
      <c r="K80" s="119"/>
      <c r="L80" s="123">
        <v>15</v>
      </c>
      <c r="M80" s="128">
        <f t="shared" si="6"/>
        <v>829</v>
      </c>
      <c r="N80" s="128">
        <f t="shared" si="6"/>
        <v>808</v>
      </c>
      <c r="O80" s="128">
        <f t="shared" si="6"/>
        <v>551</v>
      </c>
    </row>
    <row r="81" spans="1:15" ht="15.75" thickBot="1" x14ac:dyDescent="0.25">
      <c r="A81" s="119"/>
      <c r="B81" s="124">
        <v>16</v>
      </c>
      <c r="C81" s="125">
        <v>116939</v>
      </c>
      <c r="D81" s="126">
        <v>130666</v>
      </c>
      <c r="E81" s="127">
        <v>198646</v>
      </c>
      <c r="F81" s="119"/>
      <c r="G81" s="124">
        <v>16</v>
      </c>
      <c r="H81" s="125">
        <v>117691</v>
      </c>
      <c r="I81" s="126">
        <v>131296</v>
      </c>
      <c r="J81" s="127">
        <v>199364</v>
      </c>
      <c r="K81" s="119"/>
      <c r="L81" s="123">
        <v>16</v>
      </c>
      <c r="M81" s="128">
        <f t="shared" si="6"/>
        <v>752</v>
      </c>
      <c r="N81" s="128">
        <f t="shared" si="6"/>
        <v>630</v>
      </c>
      <c r="O81" s="128">
        <f t="shared" si="6"/>
        <v>718</v>
      </c>
    </row>
    <row r="82" spans="1:15" ht="15.75" thickBot="1" x14ac:dyDescent="0.25">
      <c r="A82" s="119"/>
      <c r="B82" s="124">
        <v>17</v>
      </c>
      <c r="C82" s="125">
        <v>38476</v>
      </c>
      <c r="D82" s="126">
        <v>78374</v>
      </c>
      <c r="E82" s="127">
        <v>187366</v>
      </c>
      <c r="F82" s="119"/>
      <c r="G82" s="124">
        <v>17</v>
      </c>
      <c r="H82" s="125">
        <v>38476</v>
      </c>
      <c r="I82" s="126">
        <v>78673</v>
      </c>
      <c r="J82" s="127">
        <v>188698</v>
      </c>
      <c r="K82" s="119"/>
      <c r="L82" s="123">
        <v>17</v>
      </c>
      <c r="M82" s="128">
        <f t="shared" si="6"/>
        <v>0</v>
      </c>
      <c r="N82" s="128">
        <f t="shared" si="6"/>
        <v>299</v>
      </c>
      <c r="O82" s="128">
        <f t="shared" si="6"/>
        <v>1332</v>
      </c>
    </row>
    <row r="83" spans="1:15" ht="15.75" thickBot="1" x14ac:dyDescent="0.25">
      <c r="A83" s="119"/>
      <c r="B83" s="124">
        <v>18</v>
      </c>
      <c r="C83" s="125">
        <v>128395</v>
      </c>
      <c r="D83" s="126">
        <v>65747</v>
      </c>
      <c r="E83" s="127">
        <v>155711</v>
      </c>
      <c r="F83" s="119"/>
      <c r="G83" s="124">
        <v>18</v>
      </c>
      <c r="H83" s="125">
        <v>129696</v>
      </c>
      <c r="I83" s="126">
        <v>65910</v>
      </c>
      <c r="J83" s="127">
        <v>156113</v>
      </c>
      <c r="K83" s="119"/>
      <c r="L83" s="123">
        <v>18</v>
      </c>
      <c r="M83" s="128">
        <f t="shared" si="6"/>
        <v>1301</v>
      </c>
      <c r="N83" s="128">
        <f t="shared" si="6"/>
        <v>163</v>
      </c>
      <c r="O83" s="128">
        <f t="shared" si="6"/>
        <v>402</v>
      </c>
    </row>
    <row r="84" spans="1:15" ht="15.75" thickBot="1" x14ac:dyDescent="0.25">
      <c r="A84" s="119"/>
      <c r="B84" s="124">
        <v>19</v>
      </c>
      <c r="C84" s="125">
        <v>66104</v>
      </c>
      <c r="D84" s="126">
        <v>158339</v>
      </c>
      <c r="E84" s="127">
        <v>107630</v>
      </c>
      <c r="F84" s="119"/>
      <c r="G84" s="124">
        <v>19</v>
      </c>
      <c r="H84" s="125">
        <v>66788</v>
      </c>
      <c r="I84" s="126">
        <v>159192</v>
      </c>
      <c r="J84" s="127">
        <v>108054</v>
      </c>
      <c r="K84" s="119"/>
      <c r="L84" s="123">
        <v>19</v>
      </c>
      <c r="M84" s="128">
        <f t="shared" si="6"/>
        <v>684</v>
      </c>
      <c r="N84" s="128">
        <f t="shared" si="6"/>
        <v>853</v>
      </c>
      <c r="O84" s="128">
        <f t="shared" si="6"/>
        <v>424</v>
      </c>
    </row>
    <row r="85" spans="1:15" ht="15.75" thickBot="1" x14ac:dyDescent="0.25">
      <c r="A85" s="119"/>
      <c r="B85" s="124">
        <v>20</v>
      </c>
      <c r="C85" s="125">
        <v>134511</v>
      </c>
      <c r="D85" s="126">
        <v>160608</v>
      </c>
      <c r="E85" s="127">
        <v>82943</v>
      </c>
      <c r="F85" s="119"/>
      <c r="G85" s="124">
        <v>20</v>
      </c>
      <c r="H85" s="125">
        <v>135165</v>
      </c>
      <c r="I85" s="126">
        <v>161454</v>
      </c>
      <c r="J85" s="127">
        <v>83059</v>
      </c>
      <c r="K85" s="119"/>
      <c r="L85" s="123">
        <v>20</v>
      </c>
      <c r="M85" s="128">
        <f>H85-C85</f>
        <v>654</v>
      </c>
      <c r="N85" s="128">
        <f t="shared" si="6"/>
        <v>846</v>
      </c>
      <c r="O85" s="128">
        <f t="shared" si="6"/>
        <v>116</v>
      </c>
    </row>
    <row r="86" spans="1:15" ht="15.75" thickBot="1" x14ac:dyDescent="0.25">
      <c r="A86" s="119"/>
      <c r="B86" s="124">
        <v>21</v>
      </c>
      <c r="C86" s="125">
        <v>183474</v>
      </c>
      <c r="D86" s="126">
        <v>83210</v>
      </c>
      <c r="E86" s="127">
        <v>92072</v>
      </c>
      <c r="F86" s="119"/>
      <c r="G86" s="124">
        <v>21</v>
      </c>
      <c r="H86" s="125">
        <v>183851</v>
      </c>
      <c r="I86" s="126">
        <v>83478</v>
      </c>
      <c r="J86" s="127">
        <v>93268</v>
      </c>
      <c r="K86" s="119"/>
      <c r="L86" s="123">
        <v>21</v>
      </c>
      <c r="M86" s="128">
        <f t="shared" si="6"/>
        <v>377</v>
      </c>
      <c r="N86" s="128">
        <f t="shared" si="6"/>
        <v>268</v>
      </c>
      <c r="O86" s="128">
        <f t="shared" si="6"/>
        <v>1196</v>
      </c>
    </row>
    <row r="87" spans="1:15" ht="15.75" thickBot="1" x14ac:dyDescent="0.25">
      <c r="A87" s="119"/>
      <c r="B87" s="124">
        <v>22</v>
      </c>
      <c r="C87" s="125">
        <v>109089</v>
      </c>
      <c r="D87" s="126">
        <v>80429</v>
      </c>
      <c r="E87" s="127">
        <v>99667</v>
      </c>
      <c r="F87" s="119"/>
      <c r="G87" s="124">
        <v>22</v>
      </c>
      <c r="H87" s="125">
        <v>109879</v>
      </c>
      <c r="I87" s="126">
        <v>80704</v>
      </c>
      <c r="J87" s="127">
        <v>99957</v>
      </c>
      <c r="K87" s="119"/>
      <c r="L87" s="123">
        <v>22</v>
      </c>
      <c r="M87" s="128">
        <f t="shared" si="6"/>
        <v>790</v>
      </c>
      <c r="N87" s="128">
        <f t="shared" si="6"/>
        <v>275</v>
      </c>
      <c r="O87" s="128">
        <f t="shared" si="6"/>
        <v>290</v>
      </c>
    </row>
    <row r="88" spans="1:15" ht="15.75" thickBot="1" x14ac:dyDescent="0.25">
      <c r="A88" s="119"/>
      <c r="B88" s="124">
        <v>23</v>
      </c>
      <c r="C88" s="125">
        <v>118394</v>
      </c>
      <c r="D88" s="126">
        <v>141107</v>
      </c>
      <c r="E88" s="127">
        <v>273895</v>
      </c>
      <c r="F88" s="119"/>
      <c r="G88" s="124">
        <v>23</v>
      </c>
      <c r="H88" s="125">
        <v>118767</v>
      </c>
      <c r="I88" s="126">
        <v>141472</v>
      </c>
      <c r="J88" s="127">
        <v>275251</v>
      </c>
      <c r="K88" s="119"/>
      <c r="L88" s="123">
        <v>23</v>
      </c>
      <c r="M88" s="128">
        <f t="shared" si="6"/>
        <v>373</v>
      </c>
      <c r="N88" s="128">
        <f t="shared" si="6"/>
        <v>365</v>
      </c>
      <c r="O88" s="128">
        <f t="shared" si="6"/>
        <v>1356</v>
      </c>
    </row>
    <row r="89" spans="1:15" ht="15.75" thickBot="1" x14ac:dyDescent="0.25">
      <c r="A89" s="119"/>
      <c r="B89" s="124">
        <v>24</v>
      </c>
      <c r="C89" s="125">
        <v>75361</v>
      </c>
      <c r="D89" s="126">
        <v>139834</v>
      </c>
      <c r="E89" s="127">
        <v>95898</v>
      </c>
      <c r="F89" s="119"/>
      <c r="G89" s="124">
        <v>24</v>
      </c>
      <c r="H89" s="125">
        <v>75537</v>
      </c>
      <c r="I89" s="126">
        <v>140244</v>
      </c>
      <c r="J89" s="127">
        <v>96039</v>
      </c>
      <c r="K89" s="119"/>
      <c r="L89" s="123">
        <v>24</v>
      </c>
      <c r="M89" s="128">
        <f t="shared" si="6"/>
        <v>176</v>
      </c>
      <c r="N89" s="128">
        <f t="shared" si="6"/>
        <v>410</v>
      </c>
      <c r="O89" s="128">
        <f>J89-E89</f>
        <v>141</v>
      </c>
    </row>
    <row r="90" spans="1:15" ht="15.75" thickBot="1" x14ac:dyDescent="0.25">
      <c r="A90" s="119"/>
      <c r="B90" s="124">
        <v>25</v>
      </c>
      <c r="C90" s="125">
        <v>113791</v>
      </c>
      <c r="D90" s="126">
        <v>170216</v>
      </c>
      <c r="E90" s="127">
        <v>141338</v>
      </c>
      <c r="F90" s="119"/>
      <c r="G90" s="124">
        <v>25</v>
      </c>
      <c r="H90" s="125">
        <v>114037</v>
      </c>
      <c r="I90" s="126">
        <v>170690</v>
      </c>
      <c r="J90" s="127">
        <v>142863</v>
      </c>
      <c r="K90" s="119"/>
      <c r="L90" s="123">
        <v>25</v>
      </c>
      <c r="M90" s="128">
        <f t="shared" si="6"/>
        <v>246</v>
      </c>
      <c r="N90" s="128">
        <f t="shared" si="6"/>
        <v>474</v>
      </c>
      <c r="O90" s="128">
        <f>J90-E90</f>
        <v>1525</v>
      </c>
    </row>
    <row r="91" spans="1:15" ht="15.75" thickBot="1" x14ac:dyDescent="0.25">
      <c r="A91" s="119"/>
      <c r="B91" s="124">
        <v>26</v>
      </c>
      <c r="C91" s="125">
        <v>107789</v>
      </c>
      <c r="D91" s="126">
        <v>47261</v>
      </c>
      <c r="E91" s="126">
        <v>47668</v>
      </c>
      <c r="F91" s="119"/>
      <c r="G91" s="124">
        <v>26</v>
      </c>
      <c r="H91" s="125">
        <v>108033</v>
      </c>
      <c r="I91" s="126">
        <v>47385</v>
      </c>
      <c r="J91" s="126">
        <v>48333</v>
      </c>
      <c r="K91" s="119"/>
      <c r="L91" s="123">
        <v>26</v>
      </c>
      <c r="M91" s="128">
        <f t="shared" si="6"/>
        <v>244</v>
      </c>
      <c r="N91" s="128">
        <f t="shared" si="6"/>
        <v>124</v>
      </c>
      <c r="O91" s="128">
        <f t="shared" si="6"/>
        <v>665</v>
      </c>
    </row>
    <row r="92" spans="1:15" ht="15.75" thickBot="1" x14ac:dyDescent="0.25">
      <c r="A92" s="119"/>
      <c r="B92" s="124">
        <v>27</v>
      </c>
      <c r="C92" s="125">
        <v>96339</v>
      </c>
      <c r="D92" s="126">
        <v>104854</v>
      </c>
      <c r="E92" s="127">
        <v>114702</v>
      </c>
      <c r="F92" s="119"/>
      <c r="G92" s="124">
        <v>27</v>
      </c>
      <c r="H92" s="125">
        <v>96543</v>
      </c>
      <c r="I92" s="126">
        <v>104866</v>
      </c>
      <c r="J92" s="127">
        <v>115543</v>
      </c>
      <c r="K92" s="119"/>
      <c r="L92" s="123">
        <v>27</v>
      </c>
      <c r="M92" s="128">
        <f t="shared" si="6"/>
        <v>204</v>
      </c>
      <c r="N92" s="128">
        <f t="shared" si="6"/>
        <v>12</v>
      </c>
      <c r="O92" s="128">
        <f t="shared" si="6"/>
        <v>841</v>
      </c>
    </row>
    <row r="93" spans="1:15" ht="15.75" thickBot="1" x14ac:dyDescent="0.25">
      <c r="A93" s="119"/>
      <c r="B93" s="124">
        <v>28</v>
      </c>
      <c r="C93" s="125">
        <v>175136</v>
      </c>
      <c r="D93" s="126">
        <v>100047</v>
      </c>
      <c r="E93" s="127">
        <v>99666</v>
      </c>
      <c r="F93" s="119"/>
      <c r="G93" s="124">
        <v>28</v>
      </c>
      <c r="H93" s="125">
        <v>175602</v>
      </c>
      <c r="I93" s="126">
        <v>100159</v>
      </c>
      <c r="J93" s="127">
        <v>99751</v>
      </c>
      <c r="K93" s="119"/>
      <c r="L93" s="123">
        <v>28</v>
      </c>
      <c r="M93" s="128">
        <f t="shared" si="6"/>
        <v>466</v>
      </c>
      <c r="N93" s="128">
        <f t="shared" si="6"/>
        <v>112</v>
      </c>
      <c r="O93" s="128">
        <f t="shared" si="6"/>
        <v>85</v>
      </c>
    </row>
    <row r="94" spans="1:15" ht="15.75" thickBot="1" x14ac:dyDescent="0.25">
      <c r="A94" s="119"/>
      <c r="B94" s="124">
        <v>29</v>
      </c>
      <c r="C94" s="125"/>
      <c r="D94" s="126">
        <v>73349</v>
      </c>
      <c r="E94" s="127"/>
      <c r="F94" s="119"/>
      <c r="G94" s="124">
        <v>29</v>
      </c>
      <c r="H94" s="125"/>
      <c r="I94" s="126">
        <v>73688</v>
      </c>
      <c r="J94" s="127"/>
      <c r="K94" s="119"/>
      <c r="L94" s="123">
        <v>29</v>
      </c>
      <c r="M94" s="128"/>
      <c r="N94" s="128">
        <f t="shared" si="6"/>
        <v>339</v>
      </c>
      <c r="O94" s="128"/>
    </row>
    <row r="95" spans="1:15" ht="15.75" thickBot="1" x14ac:dyDescent="0.25">
      <c r="A95" s="119"/>
      <c r="B95" s="124">
        <v>30</v>
      </c>
      <c r="C95" s="125"/>
      <c r="D95" s="126">
        <v>14818</v>
      </c>
      <c r="E95" s="127"/>
      <c r="F95" s="119"/>
      <c r="G95" s="124">
        <v>30</v>
      </c>
      <c r="H95" s="125"/>
      <c r="I95" s="126">
        <v>14818</v>
      </c>
      <c r="J95" s="127"/>
      <c r="K95" s="119"/>
      <c r="L95" s="123">
        <v>30</v>
      </c>
      <c r="M95" s="128"/>
      <c r="N95" s="128">
        <f t="shared" si="6"/>
        <v>0</v>
      </c>
      <c r="O95" s="119"/>
    </row>
    <row r="96" spans="1:15" ht="15.75" thickBot="1" x14ac:dyDescent="0.25">
      <c r="B96" s="124"/>
      <c r="C96" s="125"/>
      <c r="D96" s="126"/>
      <c r="E96" s="127"/>
      <c r="F96" s="129"/>
      <c r="H96" s="129"/>
      <c r="I96" s="129"/>
      <c r="J96" s="129"/>
      <c r="K96" s="129"/>
      <c r="L96" s="119"/>
      <c r="M96" s="119"/>
      <c r="N96" s="119"/>
      <c r="O96" s="119"/>
    </row>
  </sheetData>
  <mergeCells count="55">
    <mergeCell ref="C1:H1"/>
    <mergeCell ref="J1:O1"/>
    <mergeCell ref="C3:C5"/>
    <mergeCell ref="J3:J5"/>
    <mergeCell ref="C6:C8"/>
    <mergeCell ref="J6:J8"/>
    <mergeCell ref="C9:C11"/>
    <mergeCell ref="J9:J11"/>
    <mergeCell ref="C12:C14"/>
    <mergeCell ref="J12:J14"/>
    <mergeCell ref="C15:C17"/>
    <mergeCell ref="J15:J17"/>
    <mergeCell ref="C18:C20"/>
    <mergeCell ref="J18:J20"/>
    <mergeCell ref="C21:C23"/>
    <mergeCell ref="J21:J23"/>
    <mergeCell ref="C24:C26"/>
    <mergeCell ref="J24:J26"/>
    <mergeCell ref="C27:C29"/>
    <mergeCell ref="J27:J29"/>
    <mergeCell ref="C30:C32"/>
    <mergeCell ref="J30:J32"/>
    <mergeCell ref="C33:C35"/>
    <mergeCell ref="J33:J35"/>
    <mergeCell ref="C36:C38"/>
    <mergeCell ref="J36:J38"/>
    <mergeCell ref="C39:C41"/>
    <mergeCell ref="J39:J41"/>
    <mergeCell ref="C42:C44"/>
    <mergeCell ref="J42:J44"/>
    <mergeCell ref="C46:C47"/>
    <mergeCell ref="J46:J47"/>
    <mergeCell ref="C48:C49"/>
    <mergeCell ref="J48:J49"/>
    <mergeCell ref="C50:C51"/>
    <mergeCell ref="J50:J51"/>
    <mergeCell ref="C53:C55"/>
    <mergeCell ref="J53:J55"/>
    <mergeCell ref="C56:C57"/>
    <mergeCell ref="J56:J57"/>
    <mergeCell ref="C58:C59"/>
    <mergeCell ref="J58:J59"/>
    <mergeCell ref="C60:C61"/>
    <mergeCell ref="J60:J61"/>
    <mergeCell ref="C63:C64"/>
    <mergeCell ref="D63:D64"/>
    <mergeCell ref="H63:H64"/>
    <mergeCell ref="J63:J64"/>
    <mergeCell ref="K63:K64"/>
    <mergeCell ref="O63:O64"/>
    <mergeCell ref="C65:F65"/>
    <mergeCell ref="J65:M65"/>
    <mergeCell ref="B70:E70"/>
    <mergeCell ref="G70:J70"/>
    <mergeCell ref="L70:O70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Normal="100" workbookViewId="0">
      <selection activeCell="I8" sqref="I8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8" max="8" width="13.7109375" bestFit="1" customWidth="1"/>
    <col min="9" max="10" width="9.5703125" bestFit="1" customWidth="1"/>
    <col min="11" max="11" width="14.5703125" bestFit="1" customWidth="1"/>
  </cols>
  <sheetData>
    <row r="1" spans="1:11" ht="24" thickBot="1" x14ac:dyDescent="0.25">
      <c r="A1" s="193" t="s">
        <v>145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</row>
    <row r="2" spans="1:11" ht="13.5" thickBot="1" x14ac:dyDescent="0.25">
      <c r="A2" s="133"/>
      <c r="B2" s="134" t="s">
        <v>100</v>
      </c>
      <c r="C2" s="135">
        <f>K8+K9+K14</f>
        <v>798953</v>
      </c>
      <c r="D2" s="135">
        <f>C2*1.15</f>
        <v>918795.95</v>
      </c>
      <c r="E2" s="136"/>
      <c r="F2" s="133"/>
      <c r="G2" s="133"/>
      <c r="H2" s="137" t="s">
        <v>101</v>
      </c>
      <c r="I2" s="138"/>
      <c r="J2" s="138"/>
      <c r="K2" s="138"/>
    </row>
    <row r="3" spans="1:11" ht="13.5" thickBot="1" x14ac:dyDescent="0.25">
      <c r="A3" s="133"/>
      <c r="B3" s="133"/>
      <c r="C3" s="133"/>
      <c r="D3" s="133"/>
      <c r="E3" s="133"/>
      <c r="F3" s="133"/>
      <c r="G3" s="133"/>
      <c r="H3" s="139" t="s">
        <v>102</v>
      </c>
      <c r="I3" s="140">
        <f>ELECT.!E3</f>
        <v>18643308</v>
      </c>
      <c r="J3" s="140">
        <f>ELECT.!E34</f>
        <v>19193711</v>
      </c>
      <c r="K3" s="130">
        <f>J3-I3</f>
        <v>550403</v>
      </c>
    </row>
    <row r="4" spans="1:11" ht="13.5" thickBot="1" x14ac:dyDescent="0.25">
      <c r="A4" s="133"/>
      <c r="B4" s="141" t="s">
        <v>103</v>
      </c>
      <c r="C4" s="142" t="s">
        <v>104</v>
      </c>
      <c r="D4" s="142" t="s">
        <v>105</v>
      </c>
      <c r="E4" s="142"/>
      <c r="F4" s="133"/>
      <c r="G4" s="133"/>
      <c r="H4" s="139" t="s">
        <v>106</v>
      </c>
      <c r="I4" s="140">
        <f>ELECT.!G3</f>
        <v>52775188</v>
      </c>
      <c r="J4" s="140">
        <f>ELECT.!G34</f>
        <v>54582537</v>
      </c>
      <c r="K4" s="130">
        <f>J4-I4</f>
        <v>1807349</v>
      </c>
    </row>
    <row r="5" spans="1:11" ht="13.5" thickBot="1" x14ac:dyDescent="0.25">
      <c r="A5" s="133"/>
      <c r="B5" s="139" t="s">
        <v>33</v>
      </c>
      <c r="C5" s="143">
        <f>(K10+K12)*0.842284+K26</f>
        <v>1027651.954624</v>
      </c>
      <c r="D5" s="143">
        <f t="shared" ref="D5:D11" si="0">C5*1.27</f>
        <v>1305117.98237248</v>
      </c>
      <c r="E5" s="144"/>
      <c r="F5" s="133"/>
      <c r="G5" s="133"/>
      <c r="H5" s="139" t="s">
        <v>28</v>
      </c>
      <c r="I5" s="145"/>
      <c r="J5" s="145"/>
      <c r="K5" s="146">
        <f>K3+K4</f>
        <v>2357752</v>
      </c>
    </row>
    <row r="6" spans="1:11" ht="13.5" thickBot="1" x14ac:dyDescent="0.25">
      <c r="A6" s="133"/>
      <c r="B6" s="139" t="s">
        <v>107</v>
      </c>
      <c r="C6" s="143">
        <f>(K10+K12+K26)*0.1488</f>
        <v>180633.67679999999</v>
      </c>
      <c r="D6" s="143">
        <f t="shared" si="0"/>
        <v>229404.76953599998</v>
      </c>
      <c r="E6" s="144"/>
      <c r="F6" s="133"/>
      <c r="G6" s="133"/>
      <c r="H6" s="139" t="s">
        <v>108</v>
      </c>
      <c r="I6" s="147">
        <f>ELECT.!J3</f>
        <v>4613370</v>
      </c>
      <c r="J6" s="145">
        <f>ELECT.!J34</f>
        <v>4800570</v>
      </c>
      <c r="K6" s="130">
        <f>J6-I6</f>
        <v>187200</v>
      </c>
    </row>
    <row r="7" spans="1:11" ht="13.5" thickBot="1" x14ac:dyDescent="0.25">
      <c r="A7" s="133"/>
      <c r="B7" s="139" t="s">
        <v>109</v>
      </c>
      <c r="C7" s="143">
        <f>(K6+K7)-(C8+C9+C10+C11+K26)</f>
        <v>302909</v>
      </c>
      <c r="D7" s="143">
        <f t="shared" si="0"/>
        <v>384694.43</v>
      </c>
      <c r="E7" s="144"/>
      <c r="F7" s="133"/>
      <c r="G7" s="133"/>
      <c r="H7" s="139" t="s">
        <v>110</v>
      </c>
      <c r="I7" s="147">
        <f>ELECT.!L3</f>
        <v>4926113</v>
      </c>
      <c r="J7" s="145">
        <f>ELECT.!L34</f>
        <v>5116576</v>
      </c>
      <c r="K7" s="130">
        <f>J7-I7</f>
        <v>190463</v>
      </c>
    </row>
    <row r="8" spans="1:11" ht="13.5" thickBot="1" x14ac:dyDescent="0.25">
      <c r="A8" s="133"/>
      <c r="B8" s="139" t="s">
        <v>111</v>
      </c>
      <c r="C8" s="143">
        <f>K21+K22+K23+K24</f>
        <v>36737</v>
      </c>
      <c r="D8" s="143">
        <f t="shared" si="0"/>
        <v>46655.99</v>
      </c>
      <c r="E8" s="144"/>
      <c r="F8" s="133"/>
      <c r="G8" s="133"/>
      <c r="H8" s="139" t="s">
        <v>112</v>
      </c>
      <c r="I8" s="147">
        <f>ELECT.!N3</f>
        <v>3095086</v>
      </c>
      <c r="J8" s="145">
        <f>ELECT.!N34</f>
        <v>3272510</v>
      </c>
      <c r="K8" s="130">
        <f>(J8-I8)*2</f>
        <v>354848</v>
      </c>
    </row>
    <row r="9" spans="1:11" ht="13.5" thickBot="1" x14ac:dyDescent="0.25">
      <c r="A9" s="133"/>
      <c r="B9" s="139" t="s">
        <v>113</v>
      </c>
      <c r="C9" s="143">
        <f>K25</f>
        <v>97</v>
      </c>
      <c r="D9" s="143">
        <f t="shared" si="0"/>
        <v>123.19</v>
      </c>
      <c r="E9" s="144"/>
      <c r="F9" s="133"/>
      <c r="G9" s="133"/>
      <c r="H9" s="139" t="s">
        <v>114</v>
      </c>
      <c r="I9" s="147">
        <f>ELECT.!P3</f>
        <v>7372585</v>
      </c>
      <c r="J9" s="145">
        <f>ELECT.!P34</f>
        <v>7772441</v>
      </c>
      <c r="K9" s="130">
        <f>J9-I9</f>
        <v>399856</v>
      </c>
    </row>
    <row r="10" spans="1:11" ht="13.5" thickBot="1" x14ac:dyDescent="0.25">
      <c r="A10" s="133"/>
      <c r="B10" s="139" t="s">
        <v>115</v>
      </c>
      <c r="C10" s="143">
        <f>K17+K18</f>
        <v>119</v>
      </c>
      <c r="D10" s="143">
        <f t="shared" si="0"/>
        <v>151.13</v>
      </c>
      <c r="E10" s="144"/>
      <c r="F10" s="133"/>
      <c r="G10" s="133"/>
      <c r="H10" s="139" t="s">
        <v>116</v>
      </c>
      <c r="I10" s="147">
        <f>ELECT.!R3</f>
        <v>11582143</v>
      </c>
      <c r="J10" s="145">
        <f>ELECT.!R34</f>
        <v>11930963</v>
      </c>
      <c r="K10" s="130">
        <f>J10-I10</f>
        <v>348820</v>
      </c>
    </row>
    <row r="11" spans="1:11" ht="13.5" thickBot="1" x14ac:dyDescent="0.25">
      <c r="A11" s="133"/>
      <c r="B11" s="139" t="s">
        <v>117</v>
      </c>
      <c r="C11" s="143">
        <f>K19+K20</f>
        <v>5001</v>
      </c>
      <c r="D11" s="143">
        <f t="shared" si="0"/>
        <v>6351.27</v>
      </c>
      <c r="E11" s="144"/>
      <c r="F11" s="133"/>
      <c r="G11" s="133"/>
      <c r="H11" s="139" t="s">
        <v>118</v>
      </c>
      <c r="I11" s="147">
        <v>0</v>
      </c>
      <c r="J11" s="145">
        <v>0</v>
      </c>
      <c r="K11" s="130">
        <f>J11-I11</f>
        <v>0</v>
      </c>
    </row>
    <row r="12" spans="1:11" ht="13.5" thickBot="1" x14ac:dyDescent="0.25">
      <c r="A12" s="133"/>
      <c r="B12" s="133"/>
      <c r="C12" s="148"/>
      <c r="D12" s="148"/>
      <c r="E12" s="148"/>
      <c r="F12" s="133"/>
      <c r="G12" s="133"/>
      <c r="H12" s="139" t="s">
        <v>119</v>
      </c>
      <c r="I12" s="147">
        <f>ELECT.!V3</f>
        <v>8349237</v>
      </c>
      <c r="J12" s="145">
        <f>ELECT.!V34</f>
        <v>8765395</v>
      </c>
      <c r="K12" s="130">
        <f>(J12-I12)*2</f>
        <v>832316</v>
      </c>
    </row>
    <row r="13" spans="1:11" ht="13.5" thickBot="1" x14ac:dyDescent="0.25">
      <c r="A13" s="133"/>
      <c r="B13" s="137" t="s">
        <v>120</v>
      </c>
      <c r="C13" s="144" t="s">
        <v>121</v>
      </c>
      <c r="D13" s="144" t="s">
        <v>105</v>
      </c>
      <c r="E13" s="144"/>
      <c r="F13" s="133"/>
      <c r="G13" s="133"/>
      <c r="H13" s="139" t="s">
        <v>122</v>
      </c>
      <c r="I13" s="149"/>
      <c r="J13" s="150"/>
      <c r="K13" s="151">
        <f>SUM(K6:K12)</f>
        <v>2313503</v>
      </c>
    </row>
    <row r="14" spans="1:11" ht="13.5" thickBot="1" x14ac:dyDescent="0.25">
      <c r="A14" s="133"/>
      <c r="B14" s="139" t="s">
        <v>48</v>
      </c>
      <c r="C14" s="143">
        <f>K29</f>
        <v>32410</v>
      </c>
      <c r="D14" s="152">
        <f t="shared" ref="D14:D22" si="1">C14*10.03</f>
        <v>325072.3</v>
      </c>
      <c r="E14" s="153"/>
      <c r="F14" s="133"/>
      <c r="G14" s="133"/>
      <c r="H14" s="139" t="s">
        <v>123</v>
      </c>
      <c r="I14" s="149"/>
      <c r="J14" s="150"/>
      <c r="K14" s="131">
        <f>K5-K13</f>
        <v>44249</v>
      </c>
    </row>
    <row r="15" spans="1:11" ht="13.5" thickBot="1" x14ac:dyDescent="0.25">
      <c r="A15" s="133"/>
      <c r="B15" s="139" t="s">
        <v>124</v>
      </c>
      <c r="C15" s="154">
        <f>K30</f>
        <v>170.505</v>
      </c>
      <c r="D15" s="152">
        <f t="shared" si="1"/>
        <v>1710.1651499999998</v>
      </c>
      <c r="E15" s="153"/>
      <c r="F15" s="133"/>
      <c r="G15" s="133"/>
      <c r="H15" s="133"/>
      <c r="I15" s="133"/>
      <c r="J15" s="133"/>
      <c r="K15" s="133"/>
    </row>
    <row r="16" spans="1:11" ht="13.5" thickBot="1" x14ac:dyDescent="0.25">
      <c r="A16" s="133"/>
      <c r="B16" s="139" t="s">
        <v>107</v>
      </c>
      <c r="C16" s="154">
        <f>(C14-C15-C18-C19-C20-C21)*0.1318</f>
        <v>3669.245441</v>
      </c>
      <c r="D16" s="152">
        <f t="shared" si="1"/>
        <v>36802.531773229995</v>
      </c>
      <c r="E16" s="153"/>
      <c r="F16" s="133"/>
      <c r="G16" s="133"/>
      <c r="H16" s="133"/>
      <c r="I16" s="133"/>
      <c r="J16" s="133"/>
      <c r="K16" s="133"/>
    </row>
    <row r="17" spans="1:11" ht="13.5" thickBot="1" x14ac:dyDescent="0.25">
      <c r="A17" s="133"/>
      <c r="B17" s="139" t="s">
        <v>111</v>
      </c>
      <c r="C17" s="154">
        <v>1420</v>
      </c>
      <c r="D17" s="152">
        <f t="shared" si="1"/>
        <v>14242.599999999999</v>
      </c>
      <c r="E17" s="153"/>
      <c r="F17" s="133"/>
      <c r="G17" s="133"/>
      <c r="H17" s="155" t="s">
        <v>20</v>
      </c>
      <c r="I17" s="156">
        <f>'Mall, Citadel, Rotana'!J3</f>
        <v>303517</v>
      </c>
      <c r="J17" s="156">
        <f>'Mall, Citadel, Rotana'!J34</f>
        <v>303517</v>
      </c>
      <c r="K17" s="132">
        <f>J17-I17</f>
        <v>0</v>
      </c>
    </row>
    <row r="18" spans="1:11" ht="13.5" thickBot="1" x14ac:dyDescent="0.25">
      <c r="A18" s="133"/>
      <c r="B18" s="139" t="s">
        <v>117</v>
      </c>
      <c r="C18" s="154">
        <v>200</v>
      </c>
      <c r="D18" s="152">
        <f t="shared" si="1"/>
        <v>2005.9999999999998</v>
      </c>
      <c r="E18" s="153"/>
      <c r="F18" s="133"/>
      <c r="G18" s="133"/>
      <c r="H18" s="155" t="s">
        <v>21</v>
      </c>
      <c r="I18" s="156">
        <f>'Mall, Citadel, Rotana'!L3</f>
        <v>22637</v>
      </c>
      <c r="J18" s="156">
        <f>'Mall, Citadel, Rotana'!L34</f>
        <v>22756</v>
      </c>
      <c r="K18" s="132">
        <f>J18-I18</f>
        <v>119</v>
      </c>
    </row>
    <row r="19" spans="1:11" ht="15.75" thickBot="1" x14ac:dyDescent="0.25">
      <c r="A19" s="133"/>
      <c r="B19" s="139" t="s">
        <v>113</v>
      </c>
      <c r="C19" s="154">
        <v>600</v>
      </c>
      <c r="D19" s="152">
        <f t="shared" si="1"/>
        <v>6018</v>
      </c>
      <c r="E19" s="194" t="s">
        <v>125</v>
      </c>
      <c r="F19" s="195"/>
      <c r="G19" s="133"/>
      <c r="H19" s="155" t="s">
        <v>126</v>
      </c>
      <c r="I19" s="156">
        <f>'Mall, Citadel, Rotana'!P3</f>
        <v>9997</v>
      </c>
      <c r="J19" s="156">
        <f>'Mall, Citadel, Rotana'!P34</f>
        <v>14998</v>
      </c>
      <c r="K19" s="132">
        <f>J19-I19</f>
        <v>5001</v>
      </c>
    </row>
    <row r="20" spans="1:11" ht="13.5" thickBot="1" x14ac:dyDescent="0.25">
      <c r="A20" s="133"/>
      <c r="B20" s="139" t="s">
        <v>115</v>
      </c>
      <c r="C20" s="154">
        <v>600</v>
      </c>
      <c r="D20" s="152">
        <f t="shared" si="1"/>
        <v>6018</v>
      </c>
      <c r="E20" s="153"/>
      <c r="F20" s="133"/>
      <c r="G20" s="133"/>
      <c r="H20" s="155" t="s">
        <v>127</v>
      </c>
      <c r="I20" s="156">
        <f>'Mall, Citadel, Rotana'!R3</f>
        <v>55047</v>
      </c>
      <c r="J20" s="156">
        <f>'Mall, Citadel, Rotana'!R34</f>
        <v>55047</v>
      </c>
      <c r="K20" s="132">
        <f>J20-I20</f>
        <v>0</v>
      </c>
    </row>
    <row r="21" spans="1:11" ht="13.5" thickBot="1" x14ac:dyDescent="0.25">
      <c r="A21" s="133"/>
      <c r="B21" s="139" t="s">
        <v>100</v>
      </c>
      <c r="C21" s="154">
        <v>3000</v>
      </c>
      <c r="D21" s="152">
        <f t="shared" si="1"/>
        <v>30089.999999999996</v>
      </c>
      <c r="E21" s="153"/>
      <c r="F21" s="133"/>
      <c r="G21" s="133"/>
      <c r="H21" s="155" t="s">
        <v>14</v>
      </c>
      <c r="I21" s="156">
        <f>'Mall, Citadel, Rotana'!B3</f>
        <v>42547</v>
      </c>
      <c r="J21" s="156">
        <f>'Mall, Citadel, Rotana'!B34</f>
        <v>42722</v>
      </c>
      <c r="K21" s="132">
        <f>(J21-I21)*120</f>
        <v>21000</v>
      </c>
    </row>
    <row r="22" spans="1:11" ht="13.5" thickBot="1" x14ac:dyDescent="0.25">
      <c r="A22" s="133"/>
      <c r="B22" s="139" t="s">
        <v>128</v>
      </c>
      <c r="C22" s="152">
        <f>C14-(C15+C16+C17+C18+C19+C20+C21)</f>
        <v>22750.249559</v>
      </c>
      <c r="D22" s="152">
        <f t="shared" si="1"/>
        <v>228185.00307676999</v>
      </c>
      <c r="E22" s="153"/>
      <c r="F22" s="133"/>
      <c r="G22" s="133"/>
      <c r="H22" s="155" t="s">
        <v>16</v>
      </c>
      <c r="I22" s="156">
        <f>'Mall, Citadel, Rotana'!D3</f>
        <v>37843</v>
      </c>
      <c r="J22" s="156">
        <f>'Mall, Citadel, Rotana'!D34</f>
        <v>37947</v>
      </c>
      <c r="K22" s="132">
        <f>(J22-I22)*120</f>
        <v>12480</v>
      </c>
    </row>
    <row r="23" spans="1:11" x14ac:dyDescent="0.2">
      <c r="A23" s="133"/>
      <c r="B23" s="133"/>
      <c r="C23" s="148"/>
      <c r="D23" s="157"/>
      <c r="E23" s="153"/>
      <c r="F23" s="133"/>
      <c r="G23" s="133"/>
      <c r="H23" s="155" t="s">
        <v>18</v>
      </c>
      <c r="I23" s="156">
        <f>'Mall, Citadel, Rotana'!F3</f>
        <v>18177</v>
      </c>
      <c r="J23" s="156">
        <f>'Mall, Citadel, Rotana'!F34</f>
        <v>18295</v>
      </c>
      <c r="K23" s="132">
        <f>(J23-I23)*20</f>
        <v>2360</v>
      </c>
    </row>
    <row r="24" spans="1:11" x14ac:dyDescent="0.2">
      <c r="A24" s="133"/>
      <c r="B24" s="137" t="s">
        <v>129</v>
      </c>
      <c r="C24" s="148"/>
      <c r="D24" s="148"/>
      <c r="E24" s="148"/>
      <c r="F24" s="133"/>
      <c r="G24" s="133"/>
      <c r="H24" s="155" t="s">
        <v>19</v>
      </c>
      <c r="I24" s="156">
        <f>'Mall, Citadel, Rotana'!H3</f>
        <v>219364</v>
      </c>
      <c r="J24" s="156">
        <f>'Mall, Citadel, Rotana'!H34</f>
        <v>220261</v>
      </c>
      <c r="K24" s="132">
        <f>J24-I24</f>
        <v>897</v>
      </c>
    </row>
    <row r="25" spans="1:11" ht="13.5" thickBot="1" x14ac:dyDescent="0.25">
      <c r="A25" s="133"/>
      <c r="B25" s="133"/>
      <c r="C25" s="144" t="s">
        <v>121</v>
      </c>
      <c r="D25" s="144" t="s">
        <v>130</v>
      </c>
      <c r="E25" s="144"/>
      <c r="F25" s="133"/>
      <c r="G25" s="133"/>
      <c r="H25" s="155" t="s">
        <v>131</v>
      </c>
      <c r="I25" s="156">
        <f>'Mall, Citadel, Rotana'!N3</f>
        <v>168532</v>
      </c>
      <c r="J25" s="156">
        <f>'Mall, Citadel, Rotana'!N34</f>
        <v>168629</v>
      </c>
      <c r="K25" s="132">
        <f>J25-I25</f>
        <v>97</v>
      </c>
    </row>
    <row r="26" spans="1:11" ht="13.5" thickBot="1" x14ac:dyDescent="0.25">
      <c r="A26" s="133"/>
      <c r="B26" s="139" t="s">
        <v>48</v>
      </c>
      <c r="C26" s="158">
        <f>K35</f>
        <v>95135</v>
      </c>
      <c r="D26" s="143">
        <f>C26*3.65</f>
        <v>347242.75</v>
      </c>
      <c r="E26" s="144"/>
      <c r="F26" s="133"/>
      <c r="G26" s="133"/>
      <c r="H26" s="155" t="s">
        <v>132</v>
      </c>
      <c r="I26" s="165">
        <f>ELECT.!C3</f>
        <v>16297</v>
      </c>
      <c r="J26" s="165">
        <f>ELECT.!C34</f>
        <v>16502</v>
      </c>
      <c r="K26" s="132">
        <f>(J26-I26)*160</f>
        <v>32800</v>
      </c>
    </row>
    <row r="27" spans="1:11" ht="13.5" thickBot="1" x14ac:dyDescent="0.25">
      <c r="A27" s="133"/>
      <c r="B27" s="134" t="s">
        <v>133</v>
      </c>
      <c r="C27" s="158">
        <f>C26</f>
        <v>95135</v>
      </c>
      <c r="D27" s="143">
        <f>C27*3.65</f>
        <v>347242.75</v>
      </c>
      <c r="E27" s="144"/>
      <c r="F27" s="133"/>
      <c r="G27" s="133"/>
      <c r="H27" s="137"/>
      <c r="I27" s="159"/>
      <c r="J27" s="133"/>
      <c r="K27" s="133"/>
    </row>
    <row r="28" spans="1:11" x14ac:dyDescent="0.2">
      <c r="A28" s="133"/>
      <c r="B28" s="133"/>
      <c r="C28" s="133"/>
      <c r="D28" s="133"/>
      <c r="E28" s="133"/>
      <c r="F28" s="133"/>
      <c r="G28" s="133"/>
      <c r="H28" s="137" t="s">
        <v>120</v>
      </c>
      <c r="I28" s="159"/>
      <c r="J28" s="133"/>
      <c r="K28" s="133"/>
    </row>
    <row r="29" spans="1:11" x14ac:dyDescent="0.2">
      <c r="A29" s="133"/>
      <c r="B29" s="133"/>
      <c r="C29" s="133"/>
      <c r="D29" s="133"/>
      <c r="E29" s="133"/>
      <c r="F29" s="133"/>
      <c r="G29" s="133" t="s">
        <v>13</v>
      </c>
      <c r="H29" s="155" t="s">
        <v>30</v>
      </c>
      <c r="I29" s="156">
        <f>Water!B3</f>
        <v>365069</v>
      </c>
      <c r="J29" s="156">
        <f>Water!B34</f>
        <v>368310</v>
      </c>
      <c r="K29" s="132">
        <f>(J29-I29)*10</f>
        <v>32410</v>
      </c>
    </row>
    <row r="30" spans="1:11" x14ac:dyDescent="0.2">
      <c r="A30" s="133"/>
      <c r="B30" s="133"/>
      <c r="C30" s="133"/>
      <c r="D30" s="133"/>
      <c r="E30" s="133"/>
      <c r="F30" s="133"/>
      <c r="G30" s="133"/>
      <c r="H30" s="155" t="s">
        <v>134</v>
      </c>
      <c r="I30" s="156">
        <f>Water!H3</f>
        <v>628900</v>
      </c>
      <c r="J30" s="156">
        <f>Water!H34</f>
        <v>635215</v>
      </c>
      <c r="K30" s="132">
        <f>(J30-I30)*0.027</f>
        <v>170.505</v>
      </c>
    </row>
    <row r="31" spans="1:11" x14ac:dyDescent="0.2">
      <c r="A31" s="133"/>
      <c r="B31" s="133"/>
      <c r="C31" s="133"/>
      <c r="D31" s="133"/>
      <c r="E31" s="133"/>
      <c r="F31" s="133"/>
      <c r="G31" s="133"/>
      <c r="H31" s="155" t="s">
        <v>135</v>
      </c>
      <c r="I31" s="156">
        <f>Water!D3</f>
        <v>96358800</v>
      </c>
      <c r="J31" s="156">
        <f>Water!D34</f>
        <v>96967700</v>
      </c>
      <c r="K31" s="132">
        <f>(J31-I31)*0.027</f>
        <v>16440.3</v>
      </c>
    </row>
    <row r="32" spans="1:11" x14ac:dyDescent="0.2">
      <c r="A32" s="133"/>
      <c r="B32" s="133"/>
      <c r="C32" s="133"/>
      <c r="D32" s="133"/>
      <c r="E32" s="133"/>
      <c r="F32" s="133"/>
      <c r="G32" s="133"/>
      <c r="H32" s="155" t="s">
        <v>136</v>
      </c>
      <c r="I32" s="156">
        <f>Water!F3</f>
        <v>95833300</v>
      </c>
      <c r="J32" s="156">
        <f>Water!F34</f>
        <v>96401000</v>
      </c>
      <c r="K32" s="132">
        <f>(J32-I32)*0.027</f>
        <v>15327.9</v>
      </c>
    </row>
    <row r="33" spans="1:11" x14ac:dyDescent="0.2">
      <c r="A33" s="160"/>
      <c r="B33" s="160"/>
      <c r="C33" s="160"/>
      <c r="D33" s="160"/>
      <c r="E33" s="160"/>
      <c r="F33" s="160"/>
      <c r="G33" s="160"/>
      <c r="H33" s="160"/>
      <c r="I33" s="160"/>
      <c r="J33" s="160"/>
      <c r="K33" s="160"/>
    </row>
    <row r="34" spans="1:11" x14ac:dyDescent="0.2">
      <c r="A34" s="160"/>
      <c r="B34" s="160"/>
      <c r="C34" s="160"/>
      <c r="D34" s="160"/>
      <c r="E34" s="160"/>
      <c r="F34" s="160"/>
      <c r="G34" s="160"/>
      <c r="H34" s="160" t="s">
        <v>129</v>
      </c>
      <c r="I34" s="160"/>
      <c r="J34" s="160"/>
      <c r="K34" s="160"/>
    </row>
    <row r="35" spans="1:11" x14ac:dyDescent="0.2">
      <c r="A35" s="160"/>
      <c r="B35" s="160"/>
      <c r="C35" s="160"/>
      <c r="D35" s="160"/>
      <c r="E35" s="160"/>
      <c r="F35" s="160"/>
      <c r="G35" s="161"/>
      <c r="H35" s="162" t="s">
        <v>48</v>
      </c>
      <c r="I35" s="163">
        <f>Gas!B3</f>
        <v>15830854</v>
      </c>
      <c r="J35" s="163">
        <f>Gas!B34</f>
        <v>15925989</v>
      </c>
      <c r="K35" s="164">
        <f>J35-I35</f>
        <v>95135</v>
      </c>
    </row>
  </sheetData>
  <mergeCells count="2">
    <mergeCell ref="A1:K1"/>
    <mergeCell ref="E19:F19"/>
  </mergeCells>
  <pageMargins left="0.7" right="0.7" top="0.75" bottom="0.75" header="0.3" footer="0.3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Water</vt:lpstr>
      <vt:lpstr>ELECT.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Joe El Khoury</cp:lastModifiedBy>
  <cp:lastPrinted>2019-10-01T08:27:56Z</cp:lastPrinted>
  <dcterms:created xsi:type="dcterms:W3CDTF">2017-07-31T14:40:49Z</dcterms:created>
  <dcterms:modified xsi:type="dcterms:W3CDTF">2019-10-04T09:45:17Z</dcterms:modified>
</cp:coreProperties>
</file>