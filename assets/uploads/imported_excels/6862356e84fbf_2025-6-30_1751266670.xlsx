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625" documentId="13_ncr:1_{A150F12E-A5F3-4ABD-A7D4-FF6BD82385D6}" xr6:coauthVersionLast="47" xr6:coauthVersionMax="47" xr10:uidLastSave="{C2103A8B-2A70-43A8-ABBF-3CD16F070C8F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4" i="1" l="1"/>
  <c r="AD25" i="1"/>
  <c r="AD26" i="1"/>
  <c r="AD27" i="1"/>
  <c r="AD28" i="1"/>
  <c r="AD29" i="1"/>
  <c r="AD30" i="1"/>
  <c r="AB24" i="1"/>
  <c r="AB25" i="1"/>
  <c r="AB26" i="1"/>
  <c r="AB27" i="1"/>
  <c r="AB28" i="1"/>
  <c r="AB29" i="1"/>
  <c r="AB30" i="1"/>
  <c r="U24" i="1"/>
  <c r="U25" i="1"/>
  <c r="U26" i="1"/>
  <c r="U27" i="1"/>
  <c r="U28" i="1"/>
  <c r="U29" i="1"/>
  <c r="U30" i="1"/>
  <c r="Q24" i="1"/>
  <c r="Q25" i="1"/>
  <c r="Q26" i="1"/>
  <c r="Q27" i="1"/>
  <c r="Q28" i="1"/>
  <c r="Q29" i="1"/>
  <c r="Q30" i="1"/>
  <c r="O24" i="1"/>
  <c r="O25" i="1"/>
  <c r="O26" i="1"/>
  <c r="O27" i="1"/>
  <c r="O28" i="1"/>
  <c r="O29" i="1"/>
  <c r="O30" i="1"/>
  <c r="M24" i="1"/>
  <c r="M25" i="1"/>
  <c r="M26" i="1"/>
  <c r="M27" i="1"/>
  <c r="M28" i="1"/>
  <c r="M29" i="1"/>
  <c r="M30" i="1"/>
  <c r="K24" i="1"/>
  <c r="K25" i="1"/>
  <c r="K26" i="1"/>
  <c r="K27" i="1"/>
  <c r="K28" i="1"/>
  <c r="K29" i="1"/>
  <c r="K30" i="1"/>
  <c r="G24" i="1"/>
  <c r="G25" i="1"/>
  <c r="G26" i="1"/>
  <c r="G27" i="1"/>
  <c r="G28" i="1"/>
  <c r="G29" i="1"/>
  <c r="G30" i="1"/>
  <c r="E26" i="1"/>
  <c r="E27" i="1"/>
  <c r="E28" i="1"/>
  <c r="E29" i="1"/>
  <c r="E30" i="1"/>
  <c r="C24" i="1"/>
  <c r="C25" i="1"/>
  <c r="C26" i="1"/>
  <c r="C27" i="1"/>
  <c r="C28" i="1"/>
  <c r="C29" i="1"/>
  <c r="C30" i="1"/>
  <c r="E24" i="1"/>
  <c r="E25" i="1"/>
  <c r="AD17" i="1"/>
  <c r="AD18" i="1"/>
  <c r="AD19" i="1"/>
  <c r="AD20" i="1"/>
  <c r="AD21" i="1"/>
  <c r="AD22" i="1"/>
  <c r="AD23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AD12" i="1"/>
  <c r="AD13" i="1"/>
  <c r="AD14" i="1"/>
  <c r="AD15" i="1"/>
  <c r="AD16" i="1"/>
  <c r="AB12" i="1"/>
  <c r="AB13" i="1"/>
  <c r="AB14" i="1"/>
  <c r="AB15" i="1"/>
  <c r="AB16" i="1"/>
  <c r="U12" i="1"/>
  <c r="U13" i="1"/>
  <c r="U14" i="1"/>
  <c r="U15" i="1"/>
  <c r="U16" i="1"/>
  <c r="Q12" i="1"/>
  <c r="Q13" i="1"/>
  <c r="Q14" i="1"/>
  <c r="Q15" i="1"/>
  <c r="Q16" i="1"/>
  <c r="O12" i="1"/>
  <c r="O13" i="1"/>
  <c r="O14" i="1"/>
  <c r="O15" i="1"/>
  <c r="O16" i="1"/>
  <c r="M12" i="1"/>
  <c r="M13" i="1"/>
  <c r="M14" i="1"/>
  <c r="M15" i="1"/>
  <c r="M16" i="1"/>
  <c r="K12" i="1"/>
  <c r="K13" i="1"/>
  <c r="K14" i="1"/>
  <c r="K15" i="1"/>
  <c r="K16" i="1"/>
  <c r="G12" i="1"/>
  <c r="G13" i="1"/>
  <c r="G14" i="1"/>
  <c r="G15" i="1"/>
  <c r="G16" i="1"/>
  <c r="E12" i="1"/>
  <c r="E13" i="1"/>
  <c r="E14" i="1"/>
  <c r="E15" i="1"/>
  <c r="E16" i="1"/>
  <c r="C12" i="1"/>
  <c r="C13" i="1"/>
  <c r="C14" i="1"/>
  <c r="C15" i="1"/>
  <c r="C16" i="1"/>
  <c r="AD11" i="1"/>
  <c r="AB11" i="1"/>
  <c r="U11" i="1"/>
  <c r="Q11" i="1"/>
  <c r="O11" i="1"/>
  <c r="M11" i="1"/>
  <c r="K11" i="1"/>
  <c r="G11" i="1"/>
  <c r="E11" i="1"/>
  <c r="C11" i="1"/>
  <c r="AD10" i="1"/>
  <c r="AB10" i="1"/>
  <c r="U10" i="1"/>
  <c r="Q10" i="1"/>
  <c r="O10" i="1"/>
  <c r="M10" i="1"/>
  <c r="K10" i="1"/>
  <c r="G10" i="1"/>
  <c r="E10" i="1"/>
  <c r="C10" i="1"/>
  <c r="AD6" i="1"/>
  <c r="AD7" i="1"/>
  <c r="AD8" i="1"/>
  <c r="AD9" i="1"/>
  <c r="AB6" i="1"/>
  <c r="AB7" i="1"/>
  <c r="AB8" i="1"/>
  <c r="AB9" i="1"/>
  <c r="U6" i="1"/>
  <c r="U7" i="1"/>
  <c r="U8" i="1"/>
  <c r="U9" i="1"/>
  <c r="Q6" i="1"/>
  <c r="Q7" i="1"/>
  <c r="Q8" i="1"/>
  <c r="Q9" i="1"/>
  <c r="O6" i="1"/>
  <c r="O7" i="1"/>
  <c r="O8" i="1"/>
  <c r="O9" i="1"/>
  <c r="M6" i="1"/>
  <c r="M7" i="1"/>
  <c r="M8" i="1"/>
  <c r="M9" i="1"/>
  <c r="K6" i="1"/>
  <c r="K7" i="1"/>
  <c r="K8" i="1"/>
  <c r="K9" i="1"/>
  <c r="G6" i="1"/>
  <c r="G7" i="1"/>
  <c r="G8" i="1"/>
  <c r="G9" i="1"/>
  <c r="E6" i="1"/>
  <c r="E7" i="1"/>
  <c r="E8" i="1"/>
  <c r="E9" i="1"/>
  <c r="C6" i="1"/>
  <c r="C7" i="1"/>
  <c r="C8" i="1"/>
  <c r="C9" i="1"/>
  <c r="X5" i="1"/>
  <c r="X6" i="1"/>
  <c r="X7" i="1"/>
  <c r="X8" i="1"/>
  <c r="X9" i="1"/>
  <c r="X10" i="1"/>
  <c r="X11" i="1"/>
  <c r="X12" i="1"/>
  <c r="Z11" i="1" s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30" i="1" l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0" i="1"/>
  <c r="Z9" i="1"/>
  <c r="Z8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<sst xmlns="http://schemas.openxmlformats.org/spreadsheetml/2006/main" count="81" uniqueCount="41">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</sst>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5493</v>
      </c>
      <c r="F2" s="50">
        <f>(ALMYRA!C2*0.24)/E2</f>
        <v>0.13457127252867285</v>
      </c>
      <c r="G2" s="54">
        <f>ALMYRA!Z2</f>
        <v>50</v>
      </c>
      <c r="H2" s="55">
        <v>0.65800000000000003</v>
      </c>
      <c r="I2" s="58">
        <f>IF(ALMYRA!AB2&lt;0,"0",ALMYRA!AB2)</f>
        <v>79</v>
      </c>
      <c r="J2" s="59">
        <v>2.4</v>
      </c>
      <c r="K2" s="62">
        <f>ALMYRA!U2</f>
        <v>197</v>
      </c>
      <c r="L2" s="63">
        <v>0.88</v>
      </c>
      <c r="M2" s="66">
        <f>ALMYRA!AJ2</f>
        <v>139</v>
      </c>
      <c r="N2" s="66">
        <f>ALMYRA!AK2</f>
        <v>278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5917</v>
      </c>
      <c r="F3" s="50">
        <f>(ALMYRA!C3*0.24)/E3</f>
        <v>0.14188271083319248</v>
      </c>
      <c r="G3" s="54">
        <f>ALMYRA!Z3</f>
        <v>230</v>
      </c>
      <c r="H3" s="55">
        <v>0.65800000000000003</v>
      </c>
      <c r="I3" s="58">
        <f>IF(ALMYRA!AB3&lt;0,"0",ALMYRA!AB3)</f>
        <v>99</v>
      </c>
      <c r="J3" s="59">
        <v>2.4</v>
      </c>
      <c r="K3" s="62">
        <f>ALMYRA!U3</f>
        <v>98</v>
      </c>
      <c r="L3" s="63">
        <v>0.88</v>
      </c>
      <c r="M3" s="66">
        <f>ALMYRA!AJ3</f>
        <v>112</v>
      </c>
      <c r="N3" s="66">
        <f>ALMYRA!AK3</f>
        <v>210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5726</v>
      </c>
      <c r="F4" s="50">
        <f>(ALMYRA!C4*0.24)/E4</f>
        <v>0.13622074746769122</v>
      </c>
      <c r="G4" s="54">
        <f>ALMYRA!Z4</f>
        <v>200</v>
      </c>
      <c r="H4" s="55">
        <v>0.65800000000000003</v>
      </c>
      <c r="I4" s="58">
        <f>IF(ALMYRA!AB4&lt;0,"0",ALMYRA!AB4)</f>
        <v>98</v>
      </c>
      <c r="J4" s="59">
        <v>2.4</v>
      </c>
      <c r="K4" s="62">
        <f>ALMYRA!U4</f>
        <v>99</v>
      </c>
      <c r="L4" s="63">
        <v>0.88</v>
      </c>
      <c r="M4" s="66">
        <f>ALMYRA!AJ4</f>
        <v>105</v>
      </c>
      <c r="N4" s="66">
        <f>ALMYRA!AK4</f>
        <v>185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6242</v>
      </c>
      <c r="F5" s="50">
        <f>(ALMYRA!C5*0.24)/E5</f>
        <v>0.13845562319769306</v>
      </c>
      <c r="G5" s="54">
        <f>ALMYRA!Z5</f>
        <v>225</v>
      </c>
      <c r="H5" s="55">
        <v>0.65800000000000003</v>
      </c>
      <c r="I5" s="58">
        <f>IF(ALMYRA!AB5&lt;0,"0",ALMYRA!AB5)</f>
        <v>77</v>
      </c>
      <c r="J5" s="59">
        <v>2.4</v>
      </c>
      <c r="K5" s="62">
        <f>ALMYRA!U5</f>
        <v>199</v>
      </c>
      <c r="L5" s="63">
        <v>0.88</v>
      </c>
      <c r="M5" s="66">
        <f>ALMYRA!AJ5</f>
        <v>114</v>
      </c>
      <c r="N5" s="66">
        <f>ALMYRA!AK5</f>
        <v>216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6035</v>
      </c>
      <c r="F6" s="50">
        <f>(ALMYRA!C6*0.24)/E6</f>
        <v>0.13898922949461473</v>
      </c>
      <c r="G6" s="54">
        <f>ALMYRA!Z6</f>
        <v>50</v>
      </c>
      <c r="H6" s="55">
        <v>0.65800000000000003</v>
      </c>
      <c r="I6" s="58">
        <f>IF(ALMYRA!AB6&lt;0,"0",ALMYRA!AB6)</f>
        <v>107</v>
      </c>
      <c r="J6" s="59">
        <v>2.4</v>
      </c>
      <c r="K6" s="62">
        <f>ALMYRA!U6</f>
        <v>99</v>
      </c>
      <c r="L6" s="63">
        <v>0.88</v>
      </c>
      <c r="M6" s="66">
        <f>ALMYRA!AJ6</f>
        <v>124</v>
      </c>
      <c r="N6" s="66">
        <f>ALMYRA!AK6</f>
        <v>239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6539</v>
      </c>
      <c r="F7" s="50">
        <f>(ALMYRA!C7*0.24)/E7</f>
        <v>0.14255390732527909</v>
      </c>
      <c r="G7" s="54">
        <f>ALMYRA!Z7</f>
        <v>200</v>
      </c>
      <c r="H7" s="55">
        <v>0.65800000000000003</v>
      </c>
      <c r="I7" s="58">
        <f>IF(ALMYRA!AB7&lt;0,"0",ALMYRA!AB7)</f>
        <v>119</v>
      </c>
      <c r="J7" s="59">
        <v>2.4</v>
      </c>
      <c r="K7" s="62">
        <f>ALMYRA!U7</f>
        <v>200</v>
      </c>
      <c r="L7" s="63">
        <v>0.88</v>
      </c>
      <c r="M7" s="66">
        <f>ALMYRA!AJ7</f>
        <v>132</v>
      </c>
      <c r="N7" s="66">
        <f>ALMYRA!AK7</f>
        <v>256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7176</v>
      </c>
      <c r="F8" s="50">
        <f>(ALMYRA!C8*0.24)/E8</f>
        <v>0.15160535117056856</v>
      </c>
      <c r="G8" s="54">
        <f>ALMYRA!Z8</f>
        <v>100</v>
      </c>
      <c r="H8" s="55">
        <v>0.65800000000000003</v>
      </c>
      <c r="I8" s="58">
        <f>IF(ALMYRA!AB8&lt;0,"0",ALMYRA!AB8)</f>
        <v>84</v>
      </c>
      <c r="J8" s="59">
        <v>2.4</v>
      </c>
      <c r="K8" s="62">
        <f>ALMYRA!U8</f>
        <v>100</v>
      </c>
      <c r="L8" s="63">
        <v>0.88</v>
      </c>
      <c r="M8" s="66">
        <f>ALMYRA!AJ8</f>
        <v>166</v>
      </c>
      <c r="N8" s="66">
        <f>ALMYRA!AK8</f>
        <v>338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7572</v>
      </c>
      <c r="F9" s="50">
        <f>(ALMYRA!C9*0.24)/E9</f>
        <v>0.1558161648177496</v>
      </c>
      <c r="G9" s="54">
        <f>ALMYRA!Z9</f>
        <v>150</v>
      </c>
      <c r="H9" s="55">
        <v>0.65800000000000003</v>
      </c>
      <c r="I9" s="58">
        <f>IF(ALMYRA!AB9&lt;0,"0",ALMYRA!AB9)</f>
        <v>86</v>
      </c>
      <c r="J9" s="59">
        <v>2.4</v>
      </c>
      <c r="K9" s="62">
        <f>ALMYRA!U9</f>
        <v>100</v>
      </c>
      <c r="L9" s="63">
        <v>0.88</v>
      </c>
      <c r="M9" s="66">
        <f>ALMYRA!AJ9</f>
        <v>180</v>
      </c>
      <c r="N9" s="66">
        <f>ALMYRA!AK9</f>
        <v>357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6673</v>
      </c>
      <c r="F10" s="50">
        <f>(ALMYRA!C10*0.24)/E10</f>
        <v>0.2015525251011539</v>
      </c>
      <c r="G10" s="54">
        <f>ALMYRA!Z10</f>
        <v>175</v>
      </c>
      <c r="H10" s="55">
        <v>0.65800000000000003</v>
      </c>
      <c r="I10" s="58">
        <f>IF(ALMYRA!AB10&lt;0,"0",ALMYRA!AB10)</f>
        <v>131</v>
      </c>
      <c r="J10" s="59">
        <v>2.4</v>
      </c>
      <c r="K10" s="62">
        <f>ALMYRA!U10</f>
        <v>150</v>
      </c>
      <c r="L10" s="63">
        <v>0.88</v>
      </c>
      <c r="M10" s="66">
        <f>ALMYRA!AJ10</f>
        <v>141</v>
      </c>
      <c r="N10" s="66">
        <f>ALMYRA!AK10</f>
        <v>264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7991</v>
      </c>
      <c r="F11" s="50">
        <f>(ALMYRA!C11*0.24)/E11</f>
        <v>0.15482417719934927</v>
      </c>
      <c r="G11" s="54">
        <f>ALMYRA!Z11</f>
        <v>236</v>
      </c>
      <c r="H11" s="55">
        <v>0.65800000000000003</v>
      </c>
      <c r="I11" s="58">
        <f>IF(ALMYRA!AB11&lt;0,"0",ALMYRA!AB11)</f>
        <v>131</v>
      </c>
      <c r="J11" s="59">
        <v>2.4</v>
      </c>
      <c r="K11" s="62">
        <f>ALMYRA!U11</f>
        <v>151</v>
      </c>
      <c r="L11" s="63">
        <v>0.88</v>
      </c>
      <c r="M11" s="66">
        <f>ALMYRA!AJ11</f>
        <v>106</v>
      </c>
      <c r="N11" s="66">
        <f>ALMYRA!AK11</f>
        <v>193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5746</v>
      </c>
      <c r="F12" s="50">
        <f>(ALMYRA!C12*0.24)/E12</f>
        <v>0.13624782457361642</v>
      </c>
      <c r="G12" s="54">
        <f>ALMYRA!Z12</f>
        <v>250</v>
      </c>
      <c r="H12" s="55">
        <v>0.65800000000000003</v>
      </c>
      <c r="I12" s="58">
        <f>IF(ALMYRA!AB12&lt;0,"0",ALMYRA!AB12)</f>
        <v>113</v>
      </c>
      <c r="J12" s="59">
        <v>2.4</v>
      </c>
      <c r="K12" s="62">
        <f>ALMYRA!U12</f>
        <v>100</v>
      </c>
      <c r="L12" s="63">
        <v>0.88</v>
      </c>
      <c r="M12" s="66">
        <f>ALMYRA!AJ12</f>
        <v>116</v>
      </c>
      <c r="N12" s="66">
        <f>ALMYRA!AK12</f>
        <v>208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7092</v>
      </c>
      <c r="F13" s="50">
        <f>(ALMYRA!C13*0.24)/E13</f>
        <v>0.15150592216582065</v>
      </c>
      <c r="G13" s="54">
        <f>ALMYRA!Z13</f>
        <v>100</v>
      </c>
      <c r="H13" s="55">
        <v>0.65800000000000003</v>
      </c>
      <c r="I13" s="58">
        <f>IF(ALMYRA!AB13&lt;0,"0",ALMYRA!AB13)</f>
        <v>111</v>
      </c>
      <c r="J13" s="59">
        <v>2.4</v>
      </c>
      <c r="K13" s="62">
        <f>ALMYRA!U13</f>
        <v>0</v>
      </c>
      <c r="L13" s="63">
        <v>0.88</v>
      </c>
      <c r="M13" s="66">
        <f>ALMYRA!AJ13</f>
        <v>112</v>
      </c>
      <c r="N13" s="66">
        <f>ALMYRA!AK13</f>
        <v>201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8499</v>
      </c>
      <c r="F14" s="50">
        <f>(ALMYRA!C14*0.24)/E14</f>
        <v>0.16443346276032475</v>
      </c>
      <c r="G14" s="54">
        <f>ALMYRA!Z14</f>
        <v>150</v>
      </c>
      <c r="H14" s="55">
        <v>0.65800000000000003</v>
      </c>
      <c r="I14" s="58">
        <f>IF(ALMYRA!AB14&lt;0,"0",ALMYRA!AB14)</f>
        <v>122</v>
      </c>
      <c r="J14" s="59">
        <v>2.4</v>
      </c>
      <c r="K14" s="62">
        <f>ALMYRA!U14</f>
        <v>101</v>
      </c>
      <c r="L14" s="63">
        <v>0.88</v>
      </c>
      <c r="M14" s="66">
        <f>ALMYRA!AJ14</f>
        <v>168</v>
      </c>
      <c r="N14" s="66">
        <f>ALMYRA!AK14</f>
        <v>298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7982</v>
      </c>
      <c r="F15" s="50">
        <f>(ALMYRA!C15*0.24)/E15</f>
        <v>0.15950889501378102</v>
      </c>
      <c r="G15" s="54">
        <f>ALMYRA!Z15</f>
        <v>100</v>
      </c>
      <c r="H15" s="55">
        <v>0.65800000000000003</v>
      </c>
      <c r="I15" s="58">
        <f>IF(ALMYRA!AB15&lt;0,"0",ALMYRA!AB15)</f>
        <v>82</v>
      </c>
      <c r="J15" s="59">
        <v>2.4</v>
      </c>
      <c r="K15" s="62">
        <f>ALMYRA!U15</f>
        <v>101</v>
      </c>
      <c r="L15" s="63">
        <v>0.88</v>
      </c>
      <c r="M15" s="66">
        <f>ALMYRA!AJ15</f>
        <v>168</v>
      </c>
      <c r="N15" s="66">
        <f>ALMYRA!AK15</f>
        <v>307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7452</v>
      </c>
      <c r="F16" s="50">
        <f>(ALMYRA!C16*0.24)/E16</f>
        <v>0.15391304347826087</v>
      </c>
      <c r="G16" s="54">
        <f>ALMYRA!Z16</f>
        <v>175</v>
      </c>
      <c r="H16" s="55">
        <v>0.65800000000000003</v>
      </c>
      <c r="I16" s="58">
        <f>IF(ALMYRA!AB16&lt;0,"0",ALMYRA!AB16)</f>
        <v>85</v>
      </c>
      <c r="J16" s="59">
        <v>2.4</v>
      </c>
      <c r="K16" s="62">
        <f>ALMYRA!U16</f>
        <v>100</v>
      </c>
      <c r="L16" s="63">
        <v>0.88</v>
      </c>
      <c r="M16" s="66">
        <f>ALMYRA!AJ16</f>
        <v>134</v>
      </c>
      <c r="N16" s="66">
        <f>ALMYRA!AK16</f>
        <v>222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7507</v>
      </c>
      <c r="F17" s="50">
        <f>(ALMYRA!C17*0.24)/E17</f>
        <v>0.15457572931930197</v>
      </c>
      <c r="G17" s="54">
        <f>ALMYRA!Z17</f>
        <v>165.42000000000007</v>
      </c>
      <c r="H17" s="55">
        <v>0.65800000000000003</v>
      </c>
      <c r="I17" s="58">
        <f>IF(ALMYRA!AB17&lt;0,"0",ALMYRA!AB17)</f>
        <v>118</v>
      </c>
      <c r="J17" s="59">
        <v>2.4</v>
      </c>
      <c r="K17" s="62">
        <f>ALMYRA!U17</f>
        <v>0</v>
      </c>
      <c r="L17" s="63">
        <v>0.88</v>
      </c>
      <c r="M17" s="66">
        <f>ALMYRA!AJ17</f>
        <v>142</v>
      </c>
      <c r="N17" s="66">
        <f>ALMYRA!AK17</f>
        <v>244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7409</v>
      </c>
      <c r="F18" s="50">
        <f>(ALMYRA!C18*0.24)/E18</f>
        <v>0.1522472668376299</v>
      </c>
      <c r="G18" s="54">
        <f>ALMYRA!Z18</f>
        <v>200</v>
      </c>
      <c r="H18" s="55">
        <v>0.65800000000000003</v>
      </c>
      <c r="I18" s="58">
        <f>IF(ALMYRA!AB18&lt;0,"0",ALMYRA!AB18)</f>
        <v>107</v>
      </c>
      <c r="J18" s="59">
        <v>2.4</v>
      </c>
      <c r="K18" s="62">
        <f>ALMYRA!U18</f>
        <v>101</v>
      </c>
      <c r="L18" s="63">
        <v>0.88</v>
      </c>
      <c r="M18" s="66">
        <f>ALMYRA!AJ18</f>
        <v>114</v>
      </c>
      <c r="N18" s="66">
        <f>ALMYRA!AK18</f>
        <v>206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7413</v>
      </c>
      <c r="F19" s="50">
        <f>(ALMYRA!C19*0.24)/E19</f>
        <v>0.15232699312019427</v>
      </c>
      <c r="G19" s="54">
        <f>ALMYRA!Z19</f>
        <v>150</v>
      </c>
      <c r="H19" s="55">
        <v>0.65800000000000003</v>
      </c>
      <c r="I19" s="58">
        <f>IF(ALMYRA!AB19&lt;0,"0",ALMYRA!AB19)</f>
        <v>92</v>
      </c>
      <c r="J19" s="59">
        <v>2.4</v>
      </c>
      <c r="K19" s="62">
        <f>ALMYRA!U19</f>
        <v>101</v>
      </c>
      <c r="L19" s="63">
        <v>0.88</v>
      </c>
      <c r="M19" s="66">
        <f>ALMYRA!AJ19</f>
        <v>129</v>
      </c>
      <c r="N19" s="66">
        <f>ALMYRA!AK19</f>
        <v>238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7930</v>
      </c>
      <c r="F20" s="50">
        <f>(ALMYRA!C20*0.24)/E20</f>
        <v>0.15652963430012609</v>
      </c>
      <c r="G20" s="54">
        <f>ALMYRA!Z20</f>
        <v>175</v>
      </c>
      <c r="H20" s="55">
        <v>0.65800000000000003</v>
      </c>
      <c r="I20" s="58">
        <f>IF(ALMYRA!AB20&lt;0,"0",ALMYRA!AB20)</f>
        <v>109</v>
      </c>
      <c r="J20" s="59">
        <v>2.4</v>
      </c>
      <c r="K20" s="62">
        <f>ALMYRA!U20</f>
        <v>0</v>
      </c>
      <c r="L20" s="63">
        <v>0.88</v>
      </c>
      <c r="M20" s="66">
        <f>ALMYRA!AJ20</f>
        <v>143</v>
      </c>
      <c r="N20" s="66">
        <f>ALMYRA!AK20</f>
        <v>265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8008</v>
      </c>
      <c r="F21" s="50">
        <f>(ALMYRA!C21*0.24)/E21</f>
        <v>0.15761238761238761</v>
      </c>
      <c r="G21" s="54">
        <f>ALMYRA!Z21</f>
        <v>150</v>
      </c>
      <c r="H21" s="55">
        <v>0.65800000000000003</v>
      </c>
      <c r="I21" s="58">
        <f>IF(ALMYRA!AB21&lt;0,"0",ALMYRA!AB21)</f>
        <v>135</v>
      </c>
      <c r="J21" s="59">
        <v>2.4</v>
      </c>
      <c r="K21" s="62">
        <f>ALMYRA!U21</f>
        <v>101</v>
      </c>
      <c r="L21" s="63">
        <v>0.88</v>
      </c>
      <c r="M21" s="66">
        <f>ALMYRA!AJ21</f>
        <v>142</v>
      </c>
      <c r="N21" s="66">
        <f>ALMYRA!AK21</f>
        <v>265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8358</v>
      </c>
      <c r="F22" s="50">
        <f>(ALMYRA!C22*0.24)/E22</f>
        <v>0.1614070351758794</v>
      </c>
      <c r="G22" s="54">
        <f>ALMYRA!Z22</f>
        <v>50</v>
      </c>
      <c r="H22" s="55">
        <v>0.65800000000000003</v>
      </c>
      <c r="I22" s="58">
        <f>IF(ALMYRA!AB22&lt;0,"0",ALMYRA!AB22)</f>
        <v>79</v>
      </c>
      <c r="J22" s="59">
        <v>2.4</v>
      </c>
      <c r="K22" s="62">
        <f>ALMYRA!U22</f>
        <v>101</v>
      </c>
      <c r="L22" s="63">
        <v>0.88</v>
      </c>
      <c r="M22" s="66">
        <f>ALMYRA!AJ22</f>
        <v>139</v>
      </c>
      <c r="N22" s="66">
        <f>ALMYRA!AK22</f>
        <v>261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7215</v>
      </c>
      <c r="F23" s="50">
        <f>(ALMYRA!C23*0.24)/E23</f>
        <v>0.15118503118503118</v>
      </c>
      <c r="G23" s="54">
        <f>ALMYRA!Z23</f>
        <v>175</v>
      </c>
      <c r="H23" s="55">
        <v>0.65800000000000003</v>
      </c>
      <c r="I23" s="58">
        <f>IF(ALMYRA!AB23&lt;0,"0",ALMYRA!AB23)</f>
        <v>64</v>
      </c>
      <c r="J23" s="59">
        <v>2.4</v>
      </c>
      <c r="K23" s="62">
        <f>ALMYRA!U23</f>
        <v>0</v>
      </c>
      <c r="L23" s="63">
        <v>0.88</v>
      </c>
      <c r="M23" s="66">
        <f>ALMYRA!AJ23</f>
        <v>125</v>
      </c>
      <c r="N23" s="66">
        <f>ALMYRA!AK23</f>
        <v>229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7807</v>
      </c>
      <c r="F24" s="50">
        <f>(ALMYRA!C24*0.24)/E24</f>
        <v>0.15791981555014728</v>
      </c>
      <c r="G24" s="54">
        <f>ALMYRA!Z24</f>
        <v>313.44000000000051</v>
      </c>
      <c r="H24" s="55">
        <v>0.65800000000000003</v>
      </c>
      <c r="I24" s="58">
        <f>IF(ALMYRA!AB24&lt;0,"0",ALMYRA!AB24)</f>
        <v>121</v>
      </c>
      <c r="J24" s="59">
        <v>2.4</v>
      </c>
      <c r="K24" s="62">
        <f>ALMYRA!U24</f>
        <v>100</v>
      </c>
      <c r="L24" s="63">
        <v>0.88</v>
      </c>
      <c r="M24" s="66">
        <f>ALMYRA!AJ24</f>
        <v>92</v>
      </c>
      <c r="N24" s="66">
        <f>ALMYRA!AK24</f>
        <v>168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7465</v>
      </c>
      <c r="F25" s="50">
        <f>(ALMYRA!C25*0.24)/E25</f>
        <v>0.15374146014735432</v>
      </c>
      <c r="G25" s="54">
        <f>ALMYRA!Z25</f>
        <v>25</v>
      </c>
      <c r="H25" s="55">
        <v>0.65800000000000003</v>
      </c>
      <c r="I25" s="58">
        <f>IF(ALMYRA!AB25&lt;0,"0",ALMYRA!AB25)</f>
        <v>101</v>
      </c>
      <c r="J25" s="59">
        <v>2.4</v>
      </c>
      <c r="K25" s="62">
        <f>ALMYRA!U25</f>
        <v>101</v>
      </c>
      <c r="L25" s="63">
        <v>0.88</v>
      </c>
      <c r="M25" s="66">
        <f>ALMYRA!AJ25</f>
        <v>92</v>
      </c>
      <c r="N25" s="66">
        <f>ALMYRA!AK25</f>
        <v>166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7149</v>
      </c>
      <c r="F26" s="50">
        <f>(ALMYRA!C26*0.24)/E26</f>
        <v>0.14845153168275282</v>
      </c>
      <c r="G26" s="54">
        <f>ALMYRA!Z26</f>
        <v>150</v>
      </c>
      <c r="H26" s="55">
        <v>0.65800000000000003</v>
      </c>
      <c r="I26" s="58">
        <f>IF(ALMYRA!AB26&lt;0,"0",ALMYRA!AB26)</f>
        <v>83</v>
      </c>
      <c r="J26" s="59">
        <v>2.4</v>
      </c>
      <c r="K26" s="62">
        <f>ALMYRA!U26</f>
        <v>101</v>
      </c>
      <c r="L26" s="63">
        <v>0.88</v>
      </c>
      <c r="M26" s="66">
        <f>ALMYRA!AJ26</f>
        <v>94</v>
      </c>
      <c r="N26" s="66">
        <f>ALMYRA!AK26</f>
        <v>178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7586</v>
      </c>
      <c r="F27" s="50">
        <f>(ALMYRA!C27*0.24)/E27</f>
        <v>0.15407329290798841</v>
      </c>
      <c r="G27" s="54">
        <f>ALMYRA!Z27</f>
        <v>275</v>
      </c>
      <c r="H27" s="55">
        <v>0.65800000000000003</v>
      </c>
      <c r="I27" s="58">
        <f>IF(ALMYRA!AB27&lt;0,"0",ALMYRA!AB27)</f>
        <v>104</v>
      </c>
      <c r="J27" s="59">
        <v>2.4</v>
      </c>
      <c r="K27" s="62">
        <f>ALMYRA!U27</f>
        <v>0</v>
      </c>
      <c r="L27" s="63">
        <v>0.88</v>
      </c>
      <c r="M27" s="66">
        <f>ALMYRA!AJ27</f>
        <v>119</v>
      </c>
      <c r="N27" s="66">
        <f>ALMYRA!AK27</f>
        <v>218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7842</v>
      </c>
      <c r="F28" s="50">
        <f>(ALMYRA!C28*0.24)/E28</f>
        <v>0.15654169854628919</v>
      </c>
      <c r="G28" s="54">
        <f>ALMYRA!Z28</f>
        <v>125</v>
      </c>
      <c r="H28" s="55">
        <v>0.65800000000000003</v>
      </c>
      <c r="I28" s="58">
        <f>IF(ALMYRA!AB28&lt;0,"0",ALMYRA!AB28)</f>
        <v>166</v>
      </c>
      <c r="J28" s="59">
        <v>2.4</v>
      </c>
      <c r="K28" s="62">
        <f>ALMYRA!U28</f>
        <v>101</v>
      </c>
      <c r="L28" s="63">
        <v>0.88</v>
      </c>
      <c r="M28" s="66">
        <f>ALMYRA!AJ28</f>
        <v>114</v>
      </c>
      <c r="N28" s="66">
        <f>ALMYRA!AK28</f>
        <v>226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7804</v>
      </c>
      <c r="F29" s="50">
        <f>(ALMYRA!C29*0.24)/E29</f>
        <v>0.15871860584315733</v>
      </c>
      <c r="G29" s="54">
        <f>ALMYRA!Z29</f>
        <v>100</v>
      </c>
      <c r="H29" s="55">
        <v>0.65800000000000003</v>
      </c>
      <c r="I29" s="58">
        <f>IF(ALMYRA!AB29&lt;0,"0",ALMYRA!AB29)</f>
        <v>69</v>
      </c>
      <c r="J29" s="59">
        <v>2.4</v>
      </c>
      <c r="K29" s="62">
        <f>ALMYRA!U29</f>
        <v>100</v>
      </c>
      <c r="L29" s="63">
        <v>0.88</v>
      </c>
      <c r="M29" s="66">
        <f>ALMYRA!AJ29</f>
        <v>138</v>
      </c>
      <c r="N29" s="66">
        <f>ALMYRA!AK29</f>
        <v>270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7702</v>
      </c>
      <c r="F30" s="50">
        <f>(ALMYRA!C30*0.24)/E30</f>
        <v>0.15857699298883404</v>
      </c>
      <c r="G30" s="54">
        <f>ALMYRA!Z30</f>
        <v>125</v>
      </c>
      <c r="H30" s="55">
        <v>0.65800000000000003</v>
      </c>
      <c r="I30" s="58">
        <f>IF(ALMYRA!AB30&lt;0,"0",ALMYRA!AB30)</f>
        <v>73</v>
      </c>
      <c r="J30" s="59">
        <v>2.4</v>
      </c>
      <c r="K30" s="62">
        <f>ALMYRA!U30</f>
        <v>101</v>
      </c>
      <c r="L30" s="63">
        <v>0.88</v>
      </c>
      <c r="M30" s="66">
        <f>ALMYRA!AJ30</f>
        <v>105</v>
      </c>
      <c r="N30" s="66">
        <f>ALMYRA!AK30</f>
        <v>199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7702</v>
      </c>
      <c r="F31" s="50">
        <f>(ALMYRA!C30*0.24)/E31</f>
        <v>0.15857699298883404</v>
      </c>
      <c r="G31" s="54">
        <f>ALMYRA!Z30</f>
        <v>125</v>
      </c>
      <c r="H31" s="55">
        <v>0.65800000000000003</v>
      </c>
      <c r="I31" s="58">
        <f>IF(ALMYRA!AB30&lt;0,"0",ALMYRA!AB30)</f>
        <v>73</v>
      </c>
      <c r="J31" s="59">
        <v>2.4</v>
      </c>
      <c r="K31" s="62">
        <f>ALMYRA!U30</f>
        <v>101</v>
      </c>
      <c r="L31" s="63">
        <v>0.88</v>
      </c>
      <c r="M31" s="66">
        <f>ALMYRA!AJ30</f>
        <v>105</v>
      </c>
      <c r="N31" s="66">
        <f>ALMYRA!AK30</f>
        <v>199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E31" sqref="E3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45809</v>
      </c>
      <c r="B2" s="8">
        <v>32765707</v>
      </c>
      <c r="C2" s="84">
        <f>B3-B2</f>
        <v>3080</v>
      </c>
      <c r="D2" s="24">
        <v>1299804</v>
      </c>
      <c r="E2" s="84">
        <f>D3-D2</f>
        <v>2723</v>
      </c>
      <c r="F2" s="102">
        <v>192719</v>
      </c>
      <c r="G2" s="86">
        <f>F3-F2</f>
        <v>310</v>
      </c>
      <c r="H2" s="93">
        <f>C2+E2-G2</f>
        <v>5493</v>
      </c>
      <c r="I2" s="95">
        <f>H2-K2-M2-O2-Q2</f>
        <v>4412</v>
      </c>
      <c r="J2" s="103">
        <v>4838476.4000000004</v>
      </c>
      <c r="K2" s="89">
        <f>J3-J2</f>
        <v>884</v>
      </c>
      <c r="L2" s="11">
        <v>471214</v>
      </c>
      <c r="M2" s="89">
        <f>L3-L2</f>
        <v>16</v>
      </c>
      <c r="N2" s="11">
        <v>140579.1</v>
      </c>
      <c r="O2" s="89">
        <f>N3-N2</f>
        <v>70</v>
      </c>
      <c r="P2" s="40">
        <v>12689.5</v>
      </c>
      <c r="Q2" s="90">
        <f>P3-P2</f>
        <v>111</v>
      </c>
      <c r="R2" s="16">
        <f>A2</f>
        <v>45809</v>
      </c>
      <c r="S2" s="111">
        <v>9473</v>
      </c>
      <c r="T2" s="105"/>
      <c r="U2" s="88">
        <f>S2+T2-S3</f>
        <v>197</v>
      </c>
      <c r="V2" s="73">
        <v>0.59</v>
      </c>
      <c r="W2" s="30">
        <v>0.55000000000000004</v>
      </c>
      <c r="X2" s="29">
        <f t="shared" ref="X2:X33" si="0">(V2*2500)+(W2*2500)</f>
        <v>2850</v>
      </c>
      <c r="Y2" s="101"/>
      <c r="Z2" s="88">
        <f>X2+Y2-X3</f>
        <v>50</v>
      </c>
      <c r="AA2" s="74">
        <v>118464</v>
      </c>
      <c r="AB2" s="88">
        <f>AA3-AA2</f>
        <v>79</v>
      </c>
      <c r="AC2" s="74">
        <v>2236.3000000000002</v>
      </c>
      <c r="AD2" s="88">
        <f>AC3-AC2</f>
        <v>5.0999999999999091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139</v>
      </c>
      <c r="AK2" s="14">
        <v>278</v>
      </c>
    </row>
    <row r="3" spans="1:37" x14ac:dyDescent="0.2">
      <c r="A3" s="17">
        <f t="shared" ref="A3:A33" si="1">A2+1</f>
        <v>45810</v>
      </c>
      <c r="B3" s="8">
        <v>32768787</v>
      </c>
      <c r="C3" s="85">
        <f>B4-B3</f>
        <v>3498</v>
      </c>
      <c r="D3" s="24">
        <v>1302527</v>
      </c>
      <c r="E3" s="85">
        <f>D4-D3</f>
        <v>2593</v>
      </c>
      <c r="F3" s="24">
        <v>193029</v>
      </c>
      <c r="G3" s="106">
        <f>F4-F3</f>
        <v>174</v>
      </c>
      <c r="H3" s="94">
        <f t="shared" ref="H3:H32" si="2">C3+E3-G3</f>
        <v>5917</v>
      </c>
      <c r="I3" s="96">
        <f t="shared" ref="I3:I32" si="3">H3-K3-M3-O3-Q3</f>
        <v>4760</v>
      </c>
      <c r="J3" s="40">
        <v>4839360.4000000004</v>
      </c>
      <c r="K3" s="107">
        <f>J4-J3</f>
        <v>960</v>
      </c>
      <c r="L3" s="11">
        <v>471230</v>
      </c>
      <c r="M3" s="107">
        <f>L4-L3</f>
        <v>16</v>
      </c>
      <c r="N3" s="11">
        <v>140649.1</v>
      </c>
      <c r="O3" s="107">
        <f>N4-N3</f>
        <v>70</v>
      </c>
      <c r="P3" s="40">
        <v>12800.5</v>
      </c>
      <c r="Q3" s="108">
        <f>P4-P3</f>
        <v>111</v>
      </c>
      <c r="R3" s="17">
        <f>A3</f>
        <v>45810</v>
      </c>
      <c r="S3" s="104">
        <v>9276</v>
      </c>
      <c r="T3" s="109"/>
      <c r="U3" s="110">
        <f>S3+T3-S4</f>
        <v>98</v>
      </c>
      <c r="V3" s="13">
        <v>0.57999999999999996</v>
      </c>
      <c r="W3" s="30">
        <v>0.54</v>
      </c>
      <c r="X3" s="128">
        <f t="shared" si="0"/>
        <v>2800</v>
      </c>
      <c r="Y3" s="101">
        <v>1405</v>
      </c>
      <c r="Z3" s="100">
        <f t="shared" ref="Z3:Z30" si="4">X3+Y3-X4</f>
        <v>230</v>
      </c>
      <c r="AA3" s="32">
        <v>118543</v>
      </c>
      <c r="AB3" s="110">
        <f>AA4-AA3</f>
        <v>99</v>
      </c>
      <c r="AC3" s="32">
        <v>2241.4</v>
      </c>
      <c r="AD3" s="110">
        <f>AC4-AC3</f>
        <v>17.599999999999909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112</v>
      </c>
      <c r="AK3" s="15">
        <v>210</v>
      </c>
    </row>
    <row r="4" spans="1:37" x14ac:dyDescent="0.2">
      <c r="A4" s="17">
        <f t="shared" si="1"/>
        <v>45811</v>
      </c>
      <c r="B4" s="8">
        <v>32772285</v>
      </c>
      <c r="C4" s="85">
        <f t="shared" ref="C4:C30" si="6">B5-B4</f>
        <v>3250</v>
      </c>
      <c r="D4" s="24">
        <v>1305120</v>
      </c>
      <c r="E4" s="85">
        <f t="shared" ref="E4" si="7">D5-D4</f>
        <v>2690</v>
      </c>
      <c r="F4" s="24">
        <v>193203</v>
      </c>
      <c r="G4" s="106">
        <f t="shared" ref="G4:G30" si="8">F5-F4</f>
        <v>214</v>
      </c>
      <c r="H4" s="94">
        <f t="shared" si="2"/>
        <v>5726</v>
      </c>
      <c r="I4" s="96">
        <f t="shared" si="3"/>
        <v>4745.8000000007451</v>
      </c>
      <c r="J4" s="40">
        <v>4840320.4000000004</v>
      </c>
      <c r="K4" s="107">
        <f t="shared" ref="K4:K30" si="9">J5-J4</f>
        <v>783.19999999925494</v>
      </c>
      <c r="L4" s="11">
        <v>471246</v>
      </c>
      <c r="M4" s="107">
        <f t="shared" ref="M4:M30" si="10">L5-L4</f>
        <v>16</v>
      </c>
      <c r="N4" s="11">
        <v>140719.1</v>
      </c>
      <c r="O4" s="107">
        <f t="shared" ref="O4:O30" si="11">N5-N4</f>
        <v>70</v>
      </c>
      <c r="P4" s="40">
        <v>12911.5</v>
      </c>
      <c r="Q4" s="108">
        <f t="shared" ref="Q4:Q30" si="12">P5-P4</f>
        <v>111</v>
      </c>
      <c r="R4" s="17">
        <f t="shared" ref="R4:R32" si="13">A4</f>
        <v>45811</v>
      </c>
      <c r="S4" s="104">
        <v>9178</v>
      </c>
      <c r="T4" s="109"/>
      <c r="U4" s="110">
        <f t="shared" ref="U4:U30" si="14">S4+T4-S5</f>
        <v>99</v>
      </c>
      <c r="V4" s="13">
        <v>0.8</v>
      </c>
      <c r="W4" s="30">
        <v>0.79</v>
      </c>
      <c r="X4" s="128">
        <f t="shared" si="0"/>
        <v>3975</v>
      </c>
      <c r="Y4" s="101"/>
      <c r="Z4" s="100">
        <f t="shared" si="4"/>
        <v>200</v>
      </c>
      <c r="AA4" s="32">
        <v>118642</v>
      </c>
      <c r="AB4" s="110">
        <f t="shared" ref="AB4:AB30" si="15">AA5-AA4</f>
        <v>98</v>
      </c>
      <c r="AC4" s="32">
        <v>2259</v>
      </c>
      <c r="AD4" s="110">
        <f t="shared" ref="AD4:AD30" si="16">AC5-AC4</f>
        <v>6.8000000000001819</v>
      </c>
      <c r="AE4" s="34">
        <v>73027</v>
      </c>
      <c r="AF4" s="110">
        <f t="shared" ref="AF4:AF32" si="17">AE5-AE4</f>
        <v>0</v>
      </c>
      <c r="AG4" s="37">
        <v>3100</v>
      </c>
      <c r="AH4" s="80">
        <v>0</v>
      </c>
      <c r="AI4" s="100">
        <f t="shared" si="5"/>
        <v>0</v>
      </c>
      <c r="AJ4" s="10">
        <v>105</v>
      </c>
      <c r="AK4" s="15">
        <v>185</v>
      </c>
    </row>
    <row r="5" spans="1:37" x14ac:dyDescent="0.2">
      <c r="A5" s="17">
        <f t="shared" si="1"/>
        <v>45812</v>
      </c>
      <c r="B5" s="8">
        <v>32775535</v>
      </c>
      <c r="C5" s="85">
        <f t="shared" si="6"/>
        <v>3601</v>
      </c>
      <c r="D5" s="24">
        <v>1307810</v>
      </c>
      <c r="E5" s="85">
        <f>D6-D5</f>
        <v>2740</v>
      </c>
      <c r="F5" s="24">
        <v>193417</v>
      </c>
      <c r="G5" s="106">
        <f t="shared" si="8"/>
        <v>99</v>
      </c>
      <c r="H5" s="94">
        <f>C5+E5-G5</f>
        <v>6242</v>
      </c>
      <c r="I5" s="96">
        <f t="shared" si="3"/>
        <v>5124.1999999992549</v>
      </c>
      <c r="J5" s="40">
        <v>4841103.5999999996</v>
      </c>
      <c r="K5" s="107">
        <f t="shared" si="9"/>
        <v>920.80000000074506</v>
      </c>
      <c r="L5" s="11">
        <v>471262</v>
      </c>
      <c r="M5" s="107">
        <f t="shared" si="10"/>
        <v>16</v>
      </c>
      <c r="N5" s="11">
        <v>140789.1</v>
      </c>
      <c r="O5" s="107">
        <f t="shared" si="11"/>
        <v>70</v>
      </c>
      <c r="P5" s="40">
        <v>13022.5</v>
      </c>
      <c r="Q5" s="108">
        <f t="shared" si="12"/>
        <v>111</v>
      </c>
      <c r="R5" s="17">
        <f t="shared" si="13"/>
        <v>45812</v>
      </c>
      <c r="S5" s="104">
        <v>9079</v>
      </c>
      <c r="T5" s="109"/>
      <c r="U5" s="110">
        <f t="shared" si="14"/>
        <v>199</v>
      </c>
      <c r="V5" s="13">
        <v>0.76</v>
      </c>
      <c r="W5" s="30">
        <v>0.75</v>
      </c>
      <c r="X5" s="128">
        <f t="shared" si="0"/>
        <v>3775</v>
      </c>
      <c r="Y5" s="101"/>
      <c r="Z5" s="100">
        <f t="shared" si="4"/>
        <v>225</v>
      </c>
      <c r="AA5" s="32">
        <v>118740</v>
      </c>
      <c r="AB5" s="110">
        <f t="shared" si="15"/>
        <v>77</v>
      </c>
      <c r="AC5" s="32">
        <v>2265.8000000000002</v>
      </c>
      <c r="AD5" s="110">
        <f t="shared" si="16"/>
        <v>9</v>
      </c>
      <c r="AE5" s="34">
        <v>73027</v>
      </c>
      <c r="AF5" s="110">
        <f t="shared" si="17"/>
        <v>0</v>
      </c>
      <c r="AG5" s="37">
        <v>3100</v>
      </c>
      <c r="AH5" s="80">
        <v>0</v>
      </c>
      <c r="AI5" s="100">
        <f t="shared" si="5"/>
        <v>0</v>
      </c>
      <c r="AJ5" s="10">
        <v>114</v>
      </c>
      <c r="AK5" s="15">
        <v>216</v>
      </c>
    </row>
    <row r="6" spans="1:37" x14ac:dyDescent="0.2">
      <c r="A6" s="17">
        <f t="shared" si="1"/>
        <v>45813</v>
      </c>
      <c r="B6" s="8">
        <v>32779136</v>
      </c>
      <c r="C6" s="85">
        <f t="shared" si="6"/>
        <v>3495</v>
      </c>
      <c r="D6" s="24">
        <v>1310550</v>
      </c>
      <c r="E6" s="85">
        <f t="shared" ref="E6:E30" si="18">D7-D6</f>
        <v>2633</v>
      </c>
      <c r="F6" s="24">
        <v>193516</v>
      </c>
      <c r="G6" s="106">
        <f t="shared" si="8"/>
        <v>93</v>
      </c>
      <c r="H6" s="94">
        <f t="shared" si="2"/>
        <v>6035</v>
      </c>
      <c r="I6" s="96">
        <f t="shared" si="3"/>
        <v>5128</v>
      </c>
      <c r="J6" s="40">
        <v>4842024.4000000004</v>
      </c>
      <c r="K6" s="107">
        <f t="shared" si="9"/>
        <v>710</v>
      </c>
      <c r="L6" s="11">
        <v>471278</v>
      </c>
      <c r="M6" s="107">
        <f t="shared" si="10"/>
        <v>16</v>
      </c>
      <c r="N6" s="11">
        <v>140859.1</v>
      </c>
      <c r="O6" s="107">
        <f t="shared" si="11"/>
        <v>70</v>
      </c>
      <c r="P6" s="40">
        <v>13133.5</v>
      </c>
      <c r="Q6" s="108">
        <f t="shared" si="12"/>
        <v>111</v>
      </c>
      <c r="R6" s="17">
        <f t="shared" si="13"/>
        <v>45813</v>
      </c>
      <c r="S6" s="104">
        <v>8880</v>
      </c>
      <c r="T6" s="109"/>
      <c r="U6" s="110">
        <f t="shared" si="14"/>
        <v>99</v>
      </c>
      <c r="V6" s="13">
        <v>0.72</v>
      </c>
      <c r="W6" s="30">
        <v>0.7</v>
      </c>
      <c r="X6" s="128">
        <f t="shared" si="0"/>
        <v>3550</v>
      </c>
      <c r="Y6" s="101"/>
      <c r="Z6" s="100">
        <f t="shared" si="4"/>
        <v>50</v>
      </c>
      <c r="AA6" s="32">
        <v>118817</v>
      </c>
      <c r="AB6" s="110">
        <f t="shared" si="15"/>
        <v>107</v>
      </c>
      <c r="AC6" s="32">
        <v>2274.8000000000002</v>
      </c>
      <c r="AD6" s="110">
        <f t="shared" si="16"/>
        <v>15.5</v>
      </c>
      <c r="AE6" s="34">
        <v>73027</v>
      </c>
      <c r="AF6" s="110">
        <f t="shared" si="17"/>
        <v>0</v>
      </c>
      <c r="AG6" s="37">
        <v>3100</v>
      </c>
      <c r="AH6" s="80">
        <v>0</v>
      </c>
      <c r="AI6" s="100">
        <f t="shared" si="5"/>
        <v>0</v>
      </c>
      <c r="AJ6" s="10">
        <v>124</v>
      </c>
      <c r="AK6" s="15">
        <v>239</v>
      </c>
    </row>
    <row r="7" spans="1:37" x14ac:dyDescent="0.2">
      <c r="A7" s="17">
        <f t="shared" si="1"/>
        <v>45814</v>
      </c>
      <c r="B7" s="8">
        <v>32782631</v>
      </c>
      <c r="C7" s="85">
        <f t="shared" si="6"/>
        <v>3884</v>
      </c>
      <c r="D7" s="24">
        <v>1313183</v>
      </c>
      <c r="E7" s="85">
        <f t="shared" si="18"/>
        <v>2693</v>
      </c>
      <c r="F7" s="24">
        <v>193609</v>
      </c>
      <c r="G7" s="106">
        <f t="shared" si="8"/>
        <v>38</v>
      </c>
      <c r="H7" s="94">
        <f t="shared" si="2"/>
        <v>6539</v>
      </c>
      <c r="I7" s="96">
        <f t="shared" si="3"/>
        <v>5588.8000000007451</v>
      </c>
      <c r="J7" s="40">
        <v>4842734.4000000004</v>
      </c>
      <c r="K7" s="107">
        <f t="shared" si="9"/>
        <v>753.19999999925494</v>
      </c>
      <c r="L7" s="11">
        <v>471294</v>
      </c>
      <c r="M7" s="107">
        <f t="shared" si="10"/>
        <v>16</v>
      </c>
      <c r="N7" s="11">
        <v>140929.1</v>
      </c>
      <c r="O7" s="107">
        <f t="shared" si="11"/>
        <v>70</v>
      </c>
      <c r="P7" s="40">
        <v>13244.5</v>
      </c>
      <c r="Q7" s="108">
        <f t="shared" si="12"/>
        <v>111</v>
      </c>
      <c r="R7" s="17">
        <f t="shared" si="13"/>
        <v>45814</v>
      </c>
      <c r="S7" s="104">
        <v>8781</v>
      </c>
      <c r="T7" s="109"/>
      <c r="U7" s="110">
        <f t="shared" si="14"/>
        <v>200</v>
      </c>
      <c r="V7" s="13">
        <v>0.7</v>
      </c>
      <c r="W7" s="30">
        <v>0.7</v>
      </c>
      <c r="X7" s="128">
        <f t="shared" si="0"/>
        <v>3500</v>
      </c>
      <c r="Y7" s="101"/>
      <c r="Z7" s="100">
        <f t="shared" si="4"/>
        <v>200</v>
      </c>
      <c r="AA7" s="32">
        <v>118924</v>
      </c>
      <c r="AB7" s="110">
        <f t="shared" si="15"/>
        <v>119</v>
      </c>
      <c r="AC7" s="32">
        <v>2290.3000000000002</v>
      </c>
      <c r="AD7" s="110">
        <f t="shared" si="16"/>
        <v>24</v>
      </c>
      <c r="AE7" s="34">
        <v>73027</v>
      </c>
      <c r="AF7" s="110">
        <f t="shared" si="17"/>
        <v>0</v>
      </c>
      <c r="AG7" s="37">
        <v>3100</v>
      </c>
      <c r="AH7" s="80">
        <v>0</v>
      </c>
      <c r="AI7" s="100">
        <f t="shared" si="5"/>
        <v>0</v>
      </c>
      <c r="AJ7" s="10">
        <v>132</v>
      </c>
      <c r="AK7" s="15">
        <v>256</v>
      </c>
    </row>
    <row r="8" spans="1:37" x14ac:dyDescent="0.2">
      <c r="A8" s="17">
        <f t="shared" si="1"/>
        <v>45815</v>
      </c>
      <c r="B8" s="8">
        <v>32786515</v>
      </c>
      <c r="C8" s="85">
        <f t="shared" si="6"/>
        <v>4533</v>
      </c>
      <c r="D8" s="24">
        <v>1315876</v>
      </c>
      <c r="E8" s="85">
        <f t="shared" si="18"/>
        <v>2651</v>
      </c>
      <c r="F8" s="24">
        <v>193647</v>
      </c>
      <c r="G8" s="106">
        <f t="shared" si="8"/>
        <v>8</v>
      </c>
      <c r="H8" s="94">
        <f t="shared" si="2"/>
        <v>7176</v>
      </c>
      <c r="I8" s="96">
        <f t="shared" si="3"/>
        <v>6120.1999999992549</v>
      </c>
      <c r="J8" s="40">
        <v>4843487.5999999996</v>
      </c>
      <c r="K8" s="107">
        <f t="shared" si="9"/>
        <v>858.80000000074506</v>
      </c>
      <c r="L8" s="11">
        <v>471310</v>
      </c>
      <c r="M8" s="107">
        <f t="shared" si="10"/>
        <v>16</v>
      </c>
      <c r="N8" s="11">
        <v>140999.1</v>
      </c>
      <c r="O8" s="107">
        <f t="shared" si="11"/>
        <v>70</v>
      </c>
      <c r="P8" s="40">
        <v>13355.5</v>
      </c>
      <c r="Q8" s="108">
        <f t="shared" si="12"/>
        <v>111</v>
      </c>
      <c r="R8" s="17">
        <f t="shared" si="13"/>
        <v>45815</v>
      </c>
      <c r="S8" s="104">
        <v>8581</v>
      </c>
      <c r="T8" s="109"/>
      <c r="U8" s="110">
        <f t="shared" si="14"/>
        <v>100</v>
      </c>
      <c r="V8" s="13">
        <v>0.67</v>
      </c>
      <c r="W8" s="30">
        <v>0.65</v>
      </c>
      <c r="X8" s="128">
        <f t="shared" si="0"/>
        <v>3300</v>
      </c>
      <c r="Y8" s="101"/>
      <c r="Z8" s="100">
        <f t="shared" si="4"/>
        <v>100</v>
      </c>
      <c r="AA8" s="32">
        <v>119043</v>
      </c>
      <c r="AB8" s="110">
        <f t="shared" si="15"/>
        <v>84</v>
      </c>
      <c r="AC8" s="32">
        <v>2314.3000000000002</v>
      </c>
      <c r="AD8" s="110">
        <f t="shared" si="16"/>
        <v>6.3999999999996362</v>
      </c>
      <c r="AE8" s="34">
        <v>73027</v>
      </c>
      <c r="AF8" s="110">
        <f t="shared" si="17"/>
        <v>0</v>
      </c>
      <c r="AG8" s="37">
        <v>3100</v>
      </c>
      <c r="AH8" s="80">
        <v>0</v>
      </c>
      <c r="AI8" s="100">
        <f t="shared" si="5"/>
        <v>0</v>
      </c>
      <c r="AJ8" s="10">
        <v>166</v>
      </c>
      <c r="AK8" s="15">
        <v>338</v>
      </c>
    </row>
    <row r="9" spans="1:37" x14ac:dyDescent="0.2">
      <c r="A9" s="17">
        <f t="shared" si="1"/>
        <v>45816</v>
      </c>
      <c r="B9" s="8">
        <v>32791048</v>
      </c>
      <c r="C9" s="85">
        <f t="shared" si="6"/>
        <v>4916</v>
      </c>
      <c r="D9" s="24">
        <v>1318527</v>
      </c>
      <c r="E9" s="85">
        <f t="shared" si="18"/>
        <v>2658</v>
      </c>
      <c r="F9" s="24">
        <v>193655</v>
      </c>
      <c r="G9" s="106">
        <f t="shared" si="8"/>
        <v>2</v>
      </c>
      <c r="H9" s="94">
        <f t="shared" si="2"/>
        <v>7572</v>
      </c>
      <c r="I9" s="96">
        <f t="shared" si="3"/>
        <v>6543</v>
      </c>
      <c r="J9" s="40">
        <v>4844346.4000000004</v>
      </c>
      <c r="K9" s="107">
        <f t="shared" si="9"/>
        <v>832</v>
      </c>
      <c r="L9" s="11">
        <v>471326</v>
      </c>
      <c r="M9" s="107">
        <f t="shared" si="10"/>
        <v>16</v>
      </c>
      <c r="N9" s="11">
        <v>141069.1</v>
      </c>
      <c r="O9" s="107">
        <f t="shared" si="11"/>
        <v>70</v>
      </c>
      <c r="P9" s="40">
        <v>13466.5</v>
      </c>
      <c r="Q9" s="108">
        <f t="shared" si="12"/>
        <v>111</v>
      </c>
      <c r="R9" s="17">
        <f t="shared" si="13"/>
        <v>45816</v>
      </c>
      <c r="S9" s="104">
        <v>8481</v>
      </c>
      <c r="T9" s="109"/>
      <c r="U9" s="110">
        <f t="shared" si="14"/>
        <v>100</v>
      </c>
      <c r="V9" s="13">
        <v>0.64</v>
      </c>
      <c r="W9" s="30">
        <v>0.64</v>
      </c>
      <c r="X9" s="128">
        <f t="shared" si="0"/>
        <v>3200</v>
      </c>
      <c r="Y9" s="101"/>
      <c r="Z9" s="100">
        <f t="shared" si="4"/>
        <v>150</v>
      </c>
      <c r="AA9" s="32">
        <v>119127</v>
      </c>
      <c r="AB9" s="110">
        <f t="shared" si="15"/>
        <v>86</v>
      </c>
      <c r="AC9" s="32">
        <v>2320.6999999999998</v>
      </c>
      <c r="AD9" s="110">
        <f t="shared" si="16"/>
        <v>9.3000000000001819</v>
      </c>
      <c r="AE9" s="34">
        <v>73027</v>
      </c>
      <c r="AF9" s="110">
        <f t="shared" si="17"/>
        <v>0</v>
      </c>
      <c r="AG9" s="37">
        <v>3100</v>
      </c>
      <c r="AH9" s="80">
        <v>0</v>
      </c>
      <c r="AI9" s="100">
        <f t="shared" si="5"/>
        <v>0</v>
      </c>
      <c r="AJ9" s="10">
        <v>180</v>
      </c>
      <c r="AK9" s="15">
        <v>357</v>
      </c>
    </row>
    <row r="10" spans="1:37" x14ac:dyDescent="0.2">
      <c r="A10" s="17">
        <f t="shared" si="1"/>
        <v>45817</v>
      </c>
      <c r="B10" s="8">
        <v>32795964</v>
      </c>
      <c r="C10" s="85">
        <f t="shared" si="6"/>
        <v>5604</v>
      </c>
      <c r="D10" s="24">
        <v>1321185</v>
      </c>
      <c r="E10" s="85">
        <f t="shared" si="18"/>
        <v>1069</v>
      </c>
      <c r="F10" s="24">
        <v>193657</v>
      </c>
      <c r="G10" s="106">
        <f t="shared" si="8"/>
        <v>0</v>
      </c>
      <c r="H10" s="94">
        <f t="shared" si="2"/>
        <v>6673</v>
      </c>
      <c r="I10" s="96">
        <f t="shared" si="3"/>
        <v>5766</v>
      </c>
      <c r="J10" s="40">
        <v>4845178.4000000004</v>
      </c>
      <c r="K10" s="107">
        <f t="shared" si="9"/>
        <v>710</v>
      </c>
      <c r="L10" s="11">
        <v>471342</v>
      </c>
      <c r="M10" s="107">
        <f t="shared" si="10"/>
        <v>16</v>
      </c>
      <c r="N10" s="11">
        <v>141139.1</v>
      </c>
      <c r="O10" s="107">
        <f t="shared" si="11"/>
        <v>70</v>
      </c>
      <c r="P10" s="40">
        <v>13577.5</v>
      </c>
      <c r="Q10" s="108">
        <f t="shared" si="12"/>
        <v>111</v>
      </c>
      <c r="R10" s="17">
        <f t="shared" si="13"/>
        <v>45817</v>
      </c>
      <c r="S10" s="104">
        <v>8381</v>
      </c>
      <c r="T10" s="109"/>
      <c r="U10" s="110">
        <f t="shared" si="14"/>
        <v>150</v>
      </c>
      <c r="V10" s="13">
        <v>0.6</v>
      </c>
      <c r="W10" s="30">
        <v>0.62</v>
      </c>
      <c r="X10" s="128">
        <f t="shared" si="0"/>
        <v>3050</v>
      </c>
      <c r="Y10" s="101"/>
      <c r="Z10" s="100">
        <f t="shared" si="4"/>
        <v>175</v>
      </c>
      <c r="AA10" s="32">
        <v>119213</v>
      </c>
      <c r="AB10" s="110">
        <f t="shared" si="15"/>
        <v>131</v>
      </c>
      <c r="AC10" s="32">
        <v>2330</v>
      </c>
      <c r="AD10" s="110">
        <f t="shared" si="16"/>
        <v>10.300000000000182</v>
      </c>
      <c r="AE10" s="34">
        <v>73027</v>
      </c>
      <c r="AF10" s="110">
        <f t="shared" si="17"/>
        <v>0</v>
      </c>
      <c r="AG10" s="37">
        <v>3100</v>
      </c>
      <c r="AH10" s="80">
        <v>0</v>
      </c>
      <c r="AI10" s="100">
        <f t="shared" si="5"/>
        <v>0</v>
      </c>
      <c r="AJ10" s="10">
        <v>141</v>
      </c>
      <c r="AK10" s="15">
        <v>264</v>
      </c>
    </row>
    <row r="11" spans="1:37" x14ac:dyDescent="0.2">
      <c r="A11" s="17">
        <f t="shared" si="1"/>
        <v>45818</v>
      </c>
      <c r="B11" s="8">
        <v>32801568</v>
      </c>
      <c r="C11" s="85">
        <f t="shared" si="6"/>
        <v>5155</v>
      </c>
      <c r="D11" s="24">
        <v>1322254</v>
      </c>
      <c r="E11" s="85">
        <f t="shared" si="18"/>
        <v>2838</v>
      </c>
      <c r="F11" s="24">
        <v>193657</v>
      </c>
      <c r="G11" s="106">
        <f t="shared" si="8"/>
        <v>2</v>
      </c>
      <c r="H11" s="94">
        <f t="shared" si="2"/>
        <v>7991</v>
      </c>
      <c r="I11" s="96">
        <f t="shared" si="3"/>
        <v>6986</v>
      </c>
      <c r="J11" s="40">
        <v>4845888.4000000004</v>
      </c>
      <c r="K11" s="107">
        <f t="shared" si="9"/>
        <v>808</v>
      </c>
      <c r="L11" s="11">
        <v>471358</v>
      </c>
      <c r="M11" s="107">
        <f t="shared" si="10"/>
        <v>16</v>
      </c>
      <c r="N11" s="11">
        <v>141209.1</v>
      </c>
      <c r="O11" s="107">
        <f t="shared" si="11"/>
        <v>70</v>
      </c>
      <c r="P11" s="40">
        <v>13688.5</v>
      </c>
      <c r="Q11" s="108">
        <f t="shared" si="12"/>
        <v>111</v>
      </c>
      <c r="R11" s="17">
        <f t="shared" si="13"/>
        <v>45818</v>
      </c>
      <c r="S11" s="104">
        <v>8231</v>
      </c>
      <c r="T11" s="109"/>
      <c r="U11" s="110">
        <f t="shared" si="14"/>
        <v>151</v>
      </c>
      <c r="V11" s="13">
        <v>0.57999999999999996</v>
      </c>
      <c r="W11" s="30">
        <v>0.56999999999999995</v>
      </c>
      <c r="X11" s="128">
        <f t="shared" si="0"/>
        <v>2875</v>
      </c>
      <c r="Y11" s="101">
        <v>1336</v>
      </c>
      <c r="Z11" s="100">
        <f t="shared" si="4"/>
        <v>236</v>
      </c>
      <c r="AA11" s="32">
        <v>119344</v>
      </c>
      <c r="AB11" s="110">
        <f t="shared" si="15"/>
        <v>131</v>
      </c>
      <c r="AC11" s="32">
        <v>2340.3000000000002</v>
      </c>
      <c r="AD11" s="110">
        <f t="shared" si="16"/>
        <v>26.899999999999636</v>
      </c>
      <c r="AE11" s="34">
        <v>73027</v>
      </c>
      <c r="AF11" s="110">
        <f t="shared" si="17"/>
        <v>0</v>
      </c>
      <c r="AG11" s="37">
        <v>3100</v>
      </c>
      <c r="AH11" s="80">
        <v>0</v>
      </c>
      <c r="AI11" s="100">
        <f t="shared" si="5"/>
        <v>0</v>
      </c>
      <c r="AJ11" s="10">
        <v>106</v>
      </c>
      <c r="AK11" s="15">
        <v>193</v>
      </c>
    </row>
    <row r="12" spans="1:37" x14ac:dyDescent="0.2">
      <c r="A12" s="17">
        <f t="shared" si="1"/>
        <v>45819</v>
      </c>
      <c r="B12" s="8">
        <v>32806723</v>
      </c>
      <c r="C12" s="85">
        <f t="shared" si="6"/>
        <v>3262</v>
      </c>
      <c r="D12" s="24">
        <v>1325092</v>
      </c>
      <c r="E12" s="85">
        <f t="shared" si="18"/>
        <v>2492</v>
      </c>
      <c r="F12" s="24">
        <v>193659</v>
      </c>
      <c r="G12" s="106">
        <f t="shared" si="8"/>
        <v>8</v>
      </c>
      <c r="H12" s="94">
        <f t="shared" si="2"/>
        <v>5746</v>
      </c>
      <c r="I12" s="96">
        <f t="shared" si="3"/>
        <v>4691</v>
      </c>
      <c r="J12" s="40">
        <v>4846696.4000000004</v>
      </c>
      <c r="K12" s="107">
        <f t="shared" si="9"/>
        <v>858</v>
      </c>
      <c r="L12" s="11">
        <v>471374</v>
      </c>
      <c r="M12" s="107">
        <f t="shared" si="10"/>
        <v>16</v>
      </c>
      <c r="N12" s="11">
        <v>141279.1</v>
      </c>
      <c r="O12" s="107">
        <f t="shared" si="11"/>
        <v>70</v>
      </c>
      <c r="P12" s="40">
        <v>13799.5</v>
      </c>
      <c r="Q12" s="108">
        <f t="shared" si="12"/>
        <v>111</v>
      </c>
      <c r="R12" s="17">
        <f t="shared" si="13"/>
        <v>45819</v>
      </c>
      <c r="S12" s="104">
        <v>8080</v>
      </c>
      <c r="T12" s="109"/>
      <c r="U12" s="110">
        <f t="shared" si="14"/>
        <v>100</v>
      </c>
      <c r="V12" s="13">
        <v>0.8</v>
      </c>
      <c r="W12" s="30">
        <v>0.79</v>
      </c>
      <c r="X12" s="128">
        <f t="shared" si="0"/>
        <v>3975</v>
      </c>
      <c r="Y12" s="101"/>
      <c r="Z12" s="100">
        <f t="shared" si="4"/>
        <v>250</v>
      </c>
      <c r="AA12" s="32">
        <v>119475</v>
      </c>
      <c r="AB12" s="110">
        <f t="shared" si="15"/>
        <v>113</v>
      </c>
      <c r="AC12" s="32">
        <v>2367.1999999999998</v>
      </c>
      <c r="AD12" s="110">
        <f t="shared" si="16"/>
        <v>16.100000000000364</v>
      </c>
      <c r="AE12" s="34">
        <v>73027</v>
      </c>
      <c r="AF12" s="110">
        <f t="shared" si="17"/>
        <v>0</v>
      </c>
      <c r="AG12" s="37">
        <v>3100</v>
      </c>
      <c r="AH12" s="80">
        <v>0</v>
      </c>
      <c r="AI12" s="100">
        <f t="shared" si="5"/>
        <v>0</v>
      </c>
      <c r="AJ12" s="10">
        <v>116</v>
      </c>
      <c r="AK12" s="15">
        <v>208</v>
      </c>
    </row>
    <row r="13" spans="1:37" x14ac:dyDescent="0.2">
      <c r="A13" s="17">
        <f t="shared" si="1"/>
        <v>45820</v>
      </c>
      <c r="B13" s="8">
        <v>32809985</v>
      </c>
      <c r="C13" s="85">
        <f t="shared" si="6"/>
        <v>4477</v>
      </c>
      <c r="D13" s="24">
        <v>1327584</v>
      </c>
      <c r="E13" s="85">
        <f t="shared" si="18"/>
        <v>2615</v>
      </c>
      <c r="F13" s="24">
        <v>193667</v>
      </c>
      <c r="G13" s="106">
        <f t="shared" si="8"/>
        <v>0</v>
      </c>
      <c r="H13" s="94">
        <f t="shared" si="2"/>
        <v>7092</v>
      </c>
      <c r="I13" s="96">
        <f t="shared" si="3"/>
        <v>5965.4000000003725</v>
      </c>
      <c r="J13" s="40">
        <v>4847554.4000000004</v>
      </c>
      <c r="K13" s="107">
        <f t="shared" si="9"/>
        <v>929.59999999962747</v>
      </c>
      <c r="L13" s="11">
        <v>471390</v>
      </c>
      <c r="M13" s="107">
        <f t="shared" si="10"/>
        <v>16</v>
      </c>
      <c r="N13" s="11">
        <v>141349.1</v>
      </c>
      <c r="O13" s="107">
        <f t="shared" si="11"/>
        <v>70</v>
      </c>
      <c r="P13" s="40">
        <v>13910.5</v>
      </c>
      <c r="Q13" s="108">
        <f t="shared" si="12"/>
        <v>111</v>
      </c>
      <c r="R13" s="17">
        <f t="shared" si="13"/>
        <v>45820</v>
      </c>
      <c r="S13" s="104">
        <v>7980</v>
      </c>
      <c r="T13" s="109"/>
      <c r="U13" s="110">
        <f t="shared" si="14"/>
        <v>0</v>
      </c>
      <c r="V13" s="13">
        <v>0.75</v>
      </c>
      <c r="W13" s="30">
        <v>0.74</v>
      </c>
      <c r="X13" s="128">
        <f t="shared" si="0"/>
        <v>3725</v>
      </c>
      <c r="Y13" s="101"/>
      <c r="Z13" s="100">
        <f t="shared" si="4"/>
        <v>100</v>
      </c>
      <c r="AA13" s="32">
        <v>119588</v>
      </c>
      <c r="AB13" s="110">
        <f t="shared" si="15"/>
        <v>111</v>
      </c>
      <c r="AC13" s="32">
        <v>2383.3000000000002</v>
      </c>
      <c r="AD13" s="110">
        <f t="shared" si="16"/>
        <v>14</v>
      </c>
      <c r="AE13" s="34">
        <v>73027</v>
      </c>
      <c r="AF13" s="110">
        <f t="shared" si="17"/>
        <v>0</v>
      </c>
      <c r="AG13" s="37">
        <v>3100</v>
      </c>
      <c r="AH13" s="80">
        <v>0</v>
      </c>
      <c r="AI13" s="100">
        <f t="shared" si="5"/>
        <v>0</v>
      </c>
      <c r="AJ13" s="10">
        <v>112</v>
      </c>
      <c r="AK13" s="15">
        <v>201</v>
      </c>
    </row>
    <row r="14" spans="1:37" x14ac:dyDescent="0.2">
      <c r="A14" s="17">
        <f t="shared" si="1"/>
        <v>45821</v>
      </c>
      <c r="B14" s="8">
        <v>32814462</v>
      </c>
      <c r="C14" s="85">
        <f t="shared" si="6"/>
        <v>5823</v>
      </c>
      <c r="D14" s="24">
        <v>1330199</v>
      </c>
      <c r="E14" s="85">
        <f t="shared" si="18"/>
        <v>2676</v>
      </c>
      <c r="F14" s="24">
        <v>193667</v>
      </c>
      <c r="G14" s="106">
        <f t="shared" si="8"/>
        <v>0</v>
      </c>
      <c r="H14" s="94">
        <f t="shared" si="2"/>
        <v>8499</v>
      </c>
      <c r="I14" s="96">
        <f t="shared" si="3"/>
        <v>7318.4000000003725</v>
      </c>
      <c r="J14" s="40">
        <v>4848484</v>
      </c>
      <c r="K14" s="107">
        <f t="shared" si="9"/>
        <v>983.59999999962747</v>
      </c>
      <c r="L14" s="11">
        <v>471406</v>
      </c>
      <c r="M14" s="107">
        <f t="shared" si="10"/>
        <v>16</v>
      </c>
      <c r="N14" s="11">
        <v>141419.1</v>
      </c>
      <c r="O14" s="107">
        <f t="shared" si="11"/>
        <v>70</v>
      </c>
      <c r="P14" s="40">
        <v>14021.5</v>
      </c>
      <c r="Q14" s="108">
        <f t="shared" si="12"/>
        <v>111</v>
      </c>
      <c r="R14" s="17">
        <f t="shared" si="13"/>
        <v>45821</v>
      </c>
      <c r="S14" s="104">
        <v>7980</v>
      </c>
      <c r="T14" s="109"/>
      <c r="U14" s="110">
        <f t="shared" si="14"/>
        <v>101</v>
      </c>
      <c r="V14" s="13">
        <v>0.72</v>
      </c>
      <c r="W14" s="30">
        <v>0.73</v>
      </c>
      <c r="X14" s="128">
        <f t="shared" si="0"/>
        <v>3625</v>
      </c>
      <c r="Y14" s="101"/>
      <c r="Z14" s="100">
        <f t="shared" si="4"/>
        <v>150</v>
      </c>
      <c r="AA14" s="32">
        <v>119699</v>
      </c>
      <c r="AB14" s="110">
        <f t="shared" si="15"/>
        <v>122</v>
      </c>
      <c r="AC14" s="32">
        <v>2397.3000000000002</v>
      </c>
      <c r="AD14" s="110">
        <f t="shared" si="16"/>
        <v>14.599999999999909</v>
      </c>
      <c r="AE14" s="34">
        <v>73027</v>
      </c>
      <c r="AF14" s="110">
        <f t="shared" si="17"/>
        <v>0</v>
      </c>
      <c r="AG14" s="37">
        <v>3100</v>
      </c>
      <c r="AH14" s="80">
        <v>0</v>
      </c>
      <c r="AI14" s="100">
        <f t="shared" si="5"/>
        <v>0</v>
      </c>
      <c r="AJ14" s="10">
        <v>168</v>
      </c>
      <c r="AK14" s="15">
        <v>298</v>
      </c>
    </row>
    <row r="15" spans="1:37" x14ac:dyDescent="0.2">
      <c r="A15" s="17">
        <f t="shared" si="1"/>
        <v>45822</v>
      </c>
      <c r="B15" s="8">
        <v>32820285</v>
      </c>
      <c r="C15" s="85">
        <f t="shared" si="6"/>
        <v>5305</v>
      </c>
      <c r="D15" s="24">
        <v>1332875</v>
      </c>
      <c r="E15" s="85">
        <f t="shared" si="18"/>
        <v>2677</v>
      </c>
      <c r="F15" s="24">
        <v>193667</v>
      </c>
      <c r="G15" s="106">
        <f t="shared" si="8"/>
        <v>0</v>
      </c>
      <c r="H15" s="94">
        <f t="shared" si="2"/>
        <v>7982</v>
      </c>
      <c r="I15" s="96">
        <f t="shared" si="3"/>
        <v>6862.1999999992549</v>
      </c>
      <c r="J15" s="40">
        <v>4849467.5999999996</v>
      </c>
      <c r="K15" s="107">
        <f t="shared" si="9"/>
        <v>922.80000000074506</v>
      </c>
      <c r="L15" s="11">
        <v>471422</v>
      </c>
      <c r="M15" s="107">
        <f t="shared" si="10"/>
        <v>16</v>
      </c>
      <c r="N15" s="11">
        <v>141489.1</v>
      </c>
      <c r="O15" s="107">
        <f t="shared" si="11"/>
        <v>70</v>
      </c>
      <c r="P15" s="40">
        <v>14132.5</v>
      </c>
      <c r="Q15" s="108">
        <f t="shared" si="12"/>
        <v>111</v>
      </c>
      <c r="R15" s="17">
        <f t="shared" si="13"/>
        <v>45822</v>
      </c>
      <c r="S15" s="104">
        <v>7879</v>
      </c>
      <c r="T15" s="109"/>
      <c r="U15" s="110">
        <f t="shared" si="14"/>
        <v>101</v>
      </c>
      <c r="V15" s="13">
        <v>0.7</v>
      </c>
      <c r="W15" s="30">
        <v>0.69</v>
      </c>
      <c r="X15" s="128">
        <f t="shared" si="0"/>
        <v>3475</v>
      </c>
      <c r="Y15" s="101"/>
      <c r="Z15" s="100">
        <f t="shared" si="4"/>
        <v>100</v>
      </c>
      <c r="AA15" s="32">
        <v>119821</v>
      </c>
      <c r="AB15" s="110">
        <f t="shared" si="15"/>
        <v>82</v>
      </c>
      <c r="AC15" s="32">
        <v>2411.9</v>
      </c>
      <c r="AD15" s="110">
        <f t="shared" si="16"/>
        <v>6.7999999999997272</v>
      </c>
      <c r="AE15" s="34">
        <v>73027</v>
      </c>
      <c r="AF15" s="110">
        <f t="shared" si="17"/>
        <v>0</v>
      </c>
      <c r="AG15" s="37">
        <v>3100</v>
      </c>
      <c r="AH15" s="80">
        <v>0</v>
      </c>
      <c r="AI15" s="100">
        <f t="shared" si="5"/>
        <v>0</v>
      </c>
      <c r="AJ15" s="10">
        <v>168</v>
      </c>
      <c r="AK15" s="15">
        <v>307</v>
      </c>
    </row>
    <row r="16" spans="1:37" x14ac:dyDescent="0.2">
      <c r="A16" s="17">
        <f t="shared" si="1"/>
        <v>45823</v>
      </c>
      <c r="B16" s="8">
        <v>32825590</v>
      </c>
      <c r="C16" s="85">
        <f t="shared" si="6"/>
        <v>4779</v>
      </c>
      <c r="D16" s="24">
        <v>1335552</v>
      </c>
      <c r="E16" s="85">
        <f t="shared" si="18"/>
        <v>2676</v>
      </c>
      <c r="F16" s="24">
        <v>193667</v>
      </c>
      <c r="G16" s="106">
        <f t="shared" si="8"/>
        <v>3</v>
      </c>
      <c r="H16" s="94">
        <f t="shared" si="2"/>
        <v>7452</v>
      </c>
      <c r="I16" s="96">
        <f t="shared" si="3"/>
        <v>6356.2000000001863</v>
      </c>
      <c r="J16" s="40">
        <v>4850390.4000000004</v>
      </c>
      <c r="K16" s="107">
        <f t="shared" si="9"/>
        <v>898.79999999981374</v>
      </c>
      <c r="L16" s="11">
        <v>471438</v>
      </c>
      <c r="M16" s="107">
        <f t="shared" si="10"/>
        <v>16</v>
      </c>
      <c r="N16" s="11">
        <v>141559.1</v>
      </c>
      <c r="O16" s="107">
        <f t="shared" si="11"/>
        <v>70</v>
      </c>
      <c r="P16" s="40">
        <v>14243.5</v>
      </c>
      <c r="Q16" s="108">
        <f t="shared" si="12"/>
        <v>111</v>
      </c>
      <c r="R16" s="17">
        <f t="shared" si="13"/>
        <v>45823</v>
      </c>
      <c r="S16" s="104">
        <v>7778</v>
      </c>
      <c r="T16" s="109"/>
      <c r="U16" s="110">
        <f t="shared" si="14"/>
        <v>100</v>
      </c>
      <c r="V16" s="13">
        <v>0.68</v>
      </c>
      <c r="W16" s="30">
        <v>0.67</v>
      </c>
      <c r="X16" s="128">
        <f t="shared" si="0"/>
        <v>3375</v>
      </c>
      <c r="Y16" s="101"/>
      <c r="Z16" s="100">
        <f t="shared" si="4"/>
        <v>175</v>
      </c>
      <c r="AA16" s="32">
        <v>119903</v>
      </c>
      <c r="AB16" s="110">
        <f t="shared" si="15"/>
        <v>85</v>
      </c>
      <c r="AC16" s="32">
        <v>2418.6999999999998</v>
      </c>
      <c r="AD16" s="110">
        <f t="shared" si="16"/>
        <v>6.6000000000003638</v>
      </c>
      <c r="AE16" s="34">
        <v>73027</v>
      </c>
      <c r="AF16" s="110">
        <f t="shared" si="17"/>
        <v>0</v>
      </c>
      <c r="AG16" s="37">
        <v>3100</v>
      </c>
      <c r="AH16" s="80">
        <v>0</v>
      </c>
      <c r="AI16" s="100">
        <f t="shared" si="5"/>
        <v>0</v>
      </c>
      <c r="AJ16" s="10">
        <v>134</v>
      </c>
      <c r="AK16" s="15">
        <v>222</v>
      </c>
    </row>
    <row r="17" spans="1:37" x14ac:dyDescent="0.2">
      <c r="A17" s="17">
        <f t="shared" si="1"/>
        <v>45824</v>
      </c>
      <c r="B17" s="8">
        <v>32830369</v>
      </c>
      <c r="C17" s="85">
        <f t="shared" si="6"/>
        <v>4835</v>
      </c>
      <c r="D17" s="24">
        <v>1338228</v>
      </c>
      <c r="E17" s="85">
        <f t="shared" si="18"/>
        <v>2672</v>
      </c>
      <c r="F17" s="24">
        <v>193670</v>
      </c>
      <c r="G17" s="106">
        <f t="shared" si="8"/>
        <v>0</v>
      </c>
      <c r="H17" s="94">
        <f t="shared" si="2"/>
        <v>7507</v>
      </c>
      <c r="I17" s="96">
        <f t="shared" si="3"/>
        <v>6390</v>
      </c>
      <c r="J17" s="40">
        <v>4851289.2</v>
      </c>
      <c r="K17" s="107">
        <f t="shared" si="9"/>
        <v>920</v>
      </c>
      <c r="L17" s="11">
        <v>471454</v>
      </c>
      <c r="M17" s="107">
        <f t="shared" si="10"/>
        <v>16</v>
      </c>
      <c r="N17" s="11">
        <v>141629.1</v>
      </c>
      <c r="O17" s="107">
        <f t="shared" si="11"/>
        <v>70</v>
      </c>
      <c r="P17" s="40">
        <v>14354.5</v>
      </c>
      <c r="Q17" s="108">
        <f t="shared" si="12"/>
        <v>111</v>
      </c>
      <c r="R17" s="17">
        <f t="shared" si="13"/>
        <v>45824</v>
      </c>
      <c r="S17" s="104">
        <v>7678</v>
      </c>
      <c r="T17" s="109"/>
      <c r="U17" s="110">
        <f t="shared" si="14"/>
        <v>0</v>
      </c>
      <c r="V17" s="13">
        <v>0.64</v>
      </c>
      <c r="W17" s="30">
        <v>0.64</v>
      </c>
      <c r="X17" s="128">
        <f t="shared" si="0"/>
        <v>3200</v>
      </c>
      <c r="Y17" s="101">
        <v>915.42</v>
      </c>
      <c r="Z17" s="100">
        <f t="shared" si="4"/>
        <v>165.42000000000007</v>
      </c>
      <c r="AA17" s="32">
        <v>119988</v>
      </c>
      <c r="AB17" s="110">
        <f t="shared" si="15"/>
        <v>118</v>
      </c>
      <c r="AC17" s="32">
        <v>2425.3000000000002</v>
      </c>
      <c r="AD17" s="110">
        <f t="shared" si="16"/>
        <v>19.099999999999909</v>
      </c>
      <c r="AE17" s="34">
        <v>73027</v>
      </c>
      <c r="AF17" s="110">
        <f t="shared" si="17"/>
        <v>0</v>
      </c>
      <c r="AG17" s="37">
        <v>3100</v>
      </c>
      <c r="AH17" s="80">
        <v>0</v>
      </c>
      <c r="AI17" s="100">
        <f t="shared" si="5"/>
        <v>0</v>
      </c>
      <c r="AJ17" s="10">
        <v>142</v>
      </c>
      <c r="AK17" s="15">
        <v>244</v>
      </c>
    </row>
    <row r="18" spans="1:37" x14ac:dyDescent="0.2">
      <c r="A18" s="17">
        <f t="shared" si="1"/>
        <v>45825</v>
      </c>
      <c r="B18" s="8">
        <v>32835204</v>
      </c>
      <c r="C18" s="85">
        <f t="shared" si="6"/>
        <v>4700</v>
      </c>
      <c r="D18" s="24">
        <v>1340900</v>
      </c>
      <c r="E18" s="85">
        <f t="shared" si="18"/>
        <v>2709</v>
      </c>
      <c r="F18" s="24">
        <v>193670</v>
      </c>
      <c r="G18" s="106">
        <f t="shared" si="8"/>
        <v>0</v>
      </c>
      <c r="H18" s="94">
        <f t="shared" si="2"/>
        <v>7409</v>
      </c>
      <c r="I18" s="96">
        <f t="shared" si="3"/>
        <v>6297.2000000001863</v>
      </c>
      <c r="J18" s="40">
        <v>4852209.2</v>
      </c>
      <c r="K18" s="107">
        <f t="shared" si="9"/>
        <v>914.79999999981374</v>
      </c>
      <c r="L18" s="11">
        <v>471470</v>
      </c>
      <c r="M18" s="107">
        <f t="shared" si="10"/>
        <v>16</v>
      </c>
      <c r="N18" s="11">
        <v>141699.1</v>
      </c>
      <c r="O18" s="107">
        <f t="shared" si="11"/>
        <v>70</v>
      </c>
      <c r="P18" s="40">
        <v>14465.5</v>
      </c>
      <c r="Q18" s="108">
        <f t="shared" si="12"/>
        <v>111</v>
      </c>
      <c r="R18" s="17">
        <f t="shared" si="13"/>
        <v>45825</v>
      </c>
      <c r="S18" s="104">
        <v>7678</v>
      </c>
      <c r="T18" s="109"/>
      <c r="U18" s="110">
        <f t="shared" si="14"/>
        <v>101</v>
      </c>
      <c r="V18" s="13">
        <v>0.8</v>
      </c>
      <c r="W18" s="30">
        <v>0.78</v>
      </c>
      <c r="X18" s="128">
        <f t="shared" si="0"/>
        <v>3950</v>
      </c>
      <c r="Y18" s="101"/>
      <c r="Z18" s="100">
        <f t="shared" si="4"/>
        <v>200</v>
      </c>
      <c r="AA18" s="32">
        <v>120106</v>
      </c>
      <c r="AB18" s="110">
        <f t="shared" si="15"/>
        <v>107</v>
      </c>
      <c r="AC18" s="32">
        <v>2444.4</v>
      </c>
      <c r="AD18" s="110">
        <f t="shared" si="16"/>
        <v>10.5</v>
      </c>
      <c r="AE18" s="34">
        <v>73027</v>
      </c>
      <c r="AF18" s="110">
        <f t="shared" si="17"/>
        <v>0</v>
      </c>
      <c r="AG18" s="37">
        <v>3100</v>
      </c>
      <c r="AH18" s="80">
        <v>0</v>
      </c>
      <c r="AI18" s="100">
        <f t="shared" si="5"/>
        <v>0</v>
      </c>
      <c r="AJ18" s="10">
        <v>114</v>
      </c>
      <c r="AK18" s="15">
        <v>206</v>
      </c>
    </row>
    <row r="19" spans="1:37" x14ac:dyDescent="0.2">
      <c r="A19" s="17">
        <f t="shared" si="1"/>
        <v>45826</v>
      </c>
      <c r="B19" s="8">
        <v>32839904</v>
      </c>
      <c r="C19" s="85">
        <f t="shared" si="6"/>
        <v>4705</v>
      </c>
      <c r="D19" s="24">
        <v>1343609</v>
      </c>
      <c r="E19" s="85">
        <f t="shared" si="18"/>
        <v>2708</v>
      </c>
      <c r="F19" s="24">
        <v>193670</v>
      </c>
      <c r="G19" s="106">
        <f t="shared" si="8"/>
        <v>0</v>
      </c>
      <c r="H19" s="94">
        <f t="shared" si="2"/>
        <v>7413</v>
      </c>
      <c r="I19" s="96">
        <f t="shared" si="3"/>
        <v>6299.5999999996275</v>
      </c>
      <c r="J19" s="40">
        <v>4853124</v>
      </c>
      <c r="K19" s="107">
        <f t="shared" si="9"/>
        <v>916.40000000037253</v>
      </c>
      <c r="L19" s="11">
        <v>471486</v>
      </c>
      <c r="M19" s="107">
        <f t="shared" si="10"/>
        <v>16</v>
      </c>
      <c r="N19" s="11">
        <v>141769.1</v>
      </c>
      <c r="O19" s="107">
        <f t="shared" si="11"/>
        <v>70</v>
      </c>
      <c r="P19" s="40">
        <v>14576.5</v>
      </c>
      <c r="Q19" s="108">
        <f t="shared" si="12"/>
        <v>111</v>
      </c>
      <c r="R19" s="17">
        <f t="shared" si="13"/>
        <v>45826</v>
      </c>
      <c r="S19" s="104">
        <v>7577</v>
      </c>
      <c r="T19" s="109"/>
      <c r="U19" s="110">
        <f t="shared" si="14"/>
        <v>101</v>
      </c>
      <c r="V19" s="13">
        <v>0.75</v>
      </c>
      <c r="W19" s="30">
        <v>0.75</v>
      </c>
      <c r="X19" s="128">
        <f t="shared" si="0"/>
        <v>3750</v>
      </c>
      <c r="Y19" s="101"/>
      <c r="Z19" s="100">
        <f t="shared" si="4"/>
        <v>150</v>
      </c>
      <c r="AA19" s="32">
        <v>120213</v>
      </c>
      <c r="AB19" s="110">
        <f t="shared" si="15"/>
        <v>92</v>
      </c>
      <c r="AC19" s="32">
        <v>2454.9</v>
      </c>
      <c r="AD19" s="110">
        <f t="shared" si="16"/>
        <v>27.5</v>
      </c>
      <c r="AE19" s="34">
        <v>73027</v>
      </c>
      <c r="AF19" s="110">
        <f t="shared" si="17"/>
        <v>0</v>
      </c>
      <c r="AG19" s="37">
        <v>3100</v>
      </c>
      <c r="AH19" s="80">
        <v>0</v>
      </c>
      <c r="AI19" s="100">
        <f t="shared" si="5"/>
        <v>0</v>
      </c>
      <c r="AJ19" s="10">
        <v>129</v>
      </c>
      <c r="AK19" s="15">
        <v>238</v>
      </c>
    </row>
    <row r="20" spans="1:37" x14ac:dyDescent="0.2">
      <c r="A20" s="17">
        <f t="shared" si="1"/>
        <v>45827</v>
      </c>
      <c r="B20" s="8">
        <v>32844609</v>
      </c>
      <c r="C20" s="85">
        <f t="shared" si="6"/>
        <v>5172</v>
      </c>
      <c r="D20" s="24">
        <v>1346317</v>
      </c>
      <c r="E20" s="85">
        <f t="shared" si="18"/>
        <v>2758</v>
      </c>
      <c r="F20" s="24">
        <v>193670</v>
      </c>
      <c r="G20" s="106">
        <f t="shared" si="8"/>
        <v>0</v>
      </c>
      <c r="H20" s="94">
        <f t="shared" si="2"/>
        <v>7930</v>
      </c>
      <c r="I20" s="96">
        <f t="shared" si="3"/>
        <v>6828.2000000001863</v>
      </c>
      <c r="J20" s="40">
        <v>4854040.4000000004</v>
      </c>
      <c r="K20" s="107">
        <f t="shared" si="9"/>
        <v>904.79999999981374</v>
      </c>
      <c r="L20" s="11">
        <v>471502</v>
      </c>
      <c r="M20" s="107">
        <f t="shared" si="10"/>
        <v>16</v>
      </c>
      <c r="N20" s="11">
        <v>141839.1</v>
      </c>
      <c r="O20" s="107">
        <f t="shared" si="11"/>
        <v>70</v>
      </c>
      <c r="P20" s="40">
        <v>14687.5</v>
      </c>
      <c r="Q20" s="108">
        <f t="shared" si="12"/>
        <v>111</v>
      </c>
      <c r="R20" s="17">
        <f t="shared" si="13"/>
        <v>45827</v>
      </c>
      <c r="S20" s="104">
        <v>7476</v>
      </c>
      <c r="T20" s="109"/>
      <c r="U20" s="110">
        <f t="shared" si="14"/>
        <v>0</v>
      </c>
      <c r="V20" s="13">
        <v>0.72</v>
      </c>
      <c r="W20" s="30">
        <v>0.72</v>
      </c>
      <c r="X20" s="128">
        <f t="shared" si="0"/>
        <v>3600</v>
      </c>
      <c r="Y20" s="101"/>
      <c r="Z20" s="100">
        <f t="shared" si="4"/>
        <v>175</v>
      </c>
      <c r="AA20" s="32">
        <v>120305</v>
      </c>
      <c r="AB20" s="110">
        <f t="shared" si="15"/>
        <v>109</v>
      </c>
      <c r="AC20" s="32">
        <v>2482.4</v>
      </c>
      <c r="AD20" s="110">
        <f t="shared" si="16"/>
        <v>7.2999999999997272</v>
      </c>
      <c r="AE20" s="34">
        <v>73027</v>
      </c>
      <c r="AF20" s="110">
        <f t="shared" si="17"/>
        <v>0</v>
      </c>
      <c r="AG20" s="37">
        <v>3100</v>
      </c>
      <c r="AH20" s="80">
        <v>0</v>
      </c>
      <c r="AI20" s="100">
        <f t="shared" si="5"/>
        <v>0</v>
      </c>
      <c r="AJ20" s="10">
        <v>143</v>
      </c>
      <c r="AK20" s="15">
        <v>265</v>
      </c>
    </row>
    <row r="21" spans="1:37" x14ac:dyDescent="0.2">
      <c r="A21" s="17">
        <f t="shared" si="1"/>
        <v>45828</v>
      </c>
      <c r="B21" s="8">
        <v>32849781</v>
      </c>
      <c r="C21" s="85">
        <f t="shared" si="6"/>
        <v>5259</v>
      </c>
      <c r="D21" s="24">
        <v>1349075</v>
      </c>
      <c r="E21" s="85">
        <f t="shared" si="18"/>
        <v>2749</v>
      </c>
      <c r="F21" s="24">
        <v>193670</v>
      </c>
      <c r="G21" s="106">
        <f t="shared" si="8"/>
        <v>0</v>
      </c>
      <c r="H21" s="94">
        <f t="shared" si="2"/>
        <v>8008</v>
      </c>
      <c r="I21" s="96">
        <f t="shared" si="3"/>
        <v>6908.2000000001863</v>
      </c>
      <c r="J21" s="40">
        <v>4854945.2</v>
      </c>
      <c r="K21" s="107">
        <f t="shared" si="9"/>
        <v>902.79999999981374</v>
      </c>
      <c r="L21" s="11">
        <v>471518</v>
      </c>
      <c r="M21" s="107">
        <f t="shared" si="10"/>
        <v>16</v>
      </c>
      <c r="N21" s="11">
        <v>141909.1</v>
      </c>
      <c r="O21" s="107">
        <f t="shared" si="11"/>
        <v>70</v>
      </c>
      <c r="P21" s="40">
        <v>14798.5</v>
      </c>
      <c r="Q21" s="108">
        <f t="shared" si="12"/>
        <v>111</v>
      </c>
      <c r="R21" s="17">
        <f t="shared" si="13"/>
        <v>45828</v>
      </c>
      <c r="S21" s="104">
        <v>7476</v>
      </c>
      <c r="T21" s="109"/>
      <c r="U21" s="110">
        <f t="shared" si="14"/>
        <v>101</v>
      </c>
      <c r="V21" s="13">
        <v>0.69</v>
      </c>
      <c r="W21" s="30">
        <v>0.68</v>
      </c>
      <c r="X21" s="128">
        <f t="shared" si="0"/>
        <v>3425</v>
      </c>
      <c r="Y21" s="101"/>
      <c r="Z21" s="100">
        <f t="shared" si="4"/>
        <v>150</v>
      </c>
      <c r="AA21" s="32">
        <v>120414</v>
      </c>
      <c r="AB21" s="110">
        <f t="shared" si="15"/>
        <v>135</v>
      </c>
      <c r="AC21" s="32">
        <v>2489.6999999999998</v>
      </c>
      <c r="AD21" s="110">
        <f t="shared" si="16"/>
        <v>20.900000000000091</v>
      </c>
      <c r="AE21" s="34">
        <v>73027</v>
      </c>
      <c r="AF21" s="110">
        <f t="shared" si="17"/>
        <v>0</v>
      </c>
      <c r="AG21" s="37">
        <v>3100</v>
      </c>
      <c r="AH21" s="80">
        <v>0</v>
      </c>
      <c r="AI21" s="100">
        <f t="shared" si="5"/>
        <v>0</v>
      </c>
      <c r="AJ21" s="10">
        <v>142</v>
      </c>
      <c r="AK21" s="15">
        <v>265</v>
      </c>
    </row>
    <row r="22" spans="1:37" x14ac:dyDescent="0.2">
      <c r="A22" s="17">
        <f t="shared" si="1"/>
        <v>45829</v>
      </c>
      <c r="B22" s="8">
        <v>32855040</v>
      </c>
      <c r="C22" s="85">
        <f t="shared" si="6"/>
        <v>5621</v>
      </c>
      <c r="D22" s="24">
        <v>1351824</v>
      </c>
      <c r="E22" s="85">
        <f t="shared" si="18"/>
        <v>2737</v>
      </c>
      <c r="F22" s="24">
        <v>193670</v>
      </c>
      <c r="G22" s="106">
        <f t="shared" si="8"/>
        <v>0</v>
      </c>
      <c r="H22" s="94">
        <f t="shared" si="2"/>
        <v>8358</v>
      </c>
      <c r="I22" s="96">
        <f t="shared" si="3"/>
        <v>7106.5999999996275</v>
      </c>
      <c r="J22" s="40">
        <v>4855848</v>
      </c>
      <c r="K22" s="107">
        <f t="shared" si="9"/>
        <v>1054.4000000003725</v>
      </c>
      <c r="L22" s="11">
        <v>471534</v>
      </c>
      <c r="M22" s="107">
        <f t="shared" si="10"/>
        <v>16</v>
      </c>
      <c r="N22" s="11">
        <v>141979.1</v>
      </c>
      <c r="O22" s="107">
        <f t="shared" si="11"/>
        <v>70</v>
      </c>
      <c r="P22" s="40">
        <v>14909.5</v>
      </c>
      <c r="Q22" s="108">
        <f t="shared" si="12"/>
        <v>111</v>
      </c>
      <c r="R22" s="17">
        <f t="shared" si="13"/>
        <v>45829</v>
      </c>
      <c r="S22" s="104">
        <v>7375</v>
      </c>
      <c r="T22" s="109"/>
      <c r="U22" s="110">
        <f t="shared" si="14"/>
        <v>101</v>
      </c>
      <c r="V22" s="13">
        <v>0.66</v>
      </c>
      <c r="W22" s="30">
        <v>0.65</v>
      </c>
      <c r="X22" s="128">
        <f t="shared" si="0"/>
        <v>3275</v>
      </c>
      <c r="Y22" s="101"/>
      <c r="Z22" s="100">
        <f t="shared" si="4"/>
        <v>50</v>
      </c>
      <c r="AA22" s="32">
        <v>120549</v>
      </c>
      <c r="AB22" s="110">
        <f t="shared" si="15"/>
        <v>79</v>
      </c>
      <c r="AC22" s="32">
        <v>2510.6</v>
      </c>
      <c r="AD22" s="110">
        <f t="shared" si="16"/>
        <v>10.200000000000273</v>
      </c>
      <c r="AE22" s="34">
        <v>73027</v>
      </c>
      <c r="AF22" s="110">
        <f t="shared" si="17"/>
        <v>0</v>
      </c>
      <c r="AG22" s="37">
        <v>3100</v>
      </c>
      <c r="AH22" s="80">
        <v>0</v>
      </c>
      <c r="AI22" s="100">
        <f t="shared" si="5"/>
        <v>0</v>
      </c>
      <c r="AJ22" s="10">
        <v>139</v>
      </c>
      <c r="AK22" s="15">
        <v>261</v>
      </c>
    </row>
    <row r="23" spans="1:37" x14ac:dyDescent="0.2">
      <c r="A23" s="17">
        <f t="shared" si="1"/>
        <v>45830</v>
      </c>
      <c r="B23" s="8">
        <v>32860661</v>
      </c>
      <c r="C23" s="85">
        <f t="shared" si="6"/>
        <v>4545</v>
      </c>
      <c r="D23" s="24">
        <v>1354561</v>
      </c>
      <c r="E23" s="85">
        <f t="shared" si="18"/>
        <v>2670</v>
      </c>
      <c r="F23" s="24">
        <v>193670</v>
      </c>
      <c r="G23" s="106">
        <f t="shared" si="8"/>
        <v>0</v>
      </c>
      <c r="H23" s="94">
        <f t="shared" si="2"/>
        <v>7215</v>
      </c>
      <c r="I23" s="96">
        <f t="shared" si="3"/>
        <v>6109.6000000005588</v>
      </c>
      <c r="J23" s="40">
        <v>4856902.4000000004</v>
      </c>
      <c r="K23" s="107">
        <f t="shared" si="9"/>
        <v>908.39999999944121</v>
      </c>
      <c r="L23" s="11">
        <v>471550</v>
      </c>
      <c r="M23" s="107">
        <f t="shared" si="10"/>
        <v>16</v>
      </c>
      <c r="N23" s="11">
        <v>142049.1</v>
      </c>
      <c r="O23" s="107">
        <f t="shared" si="11"/>
        <v>70</v>
      </c>
      <c r="P23" s="40">
        <v>15020.5</v>
      </c>
      <c r="Q23" s="108">
        <f t="shared" si="12"/>
        <v>111</v>
      </c>
      <c r="R23" s="17">
        <f t="shared" si="13"/>
        <v>45830</v>
      </c>
      <c r="S23" s="104">
        <v>7274</v>
      </c>
      <c r="T23" s="109"/>
      <c r="U23" s="110">
        <f t="shared" si="14"/>
        <v>0</v>
      </c>
      <c r="V23" s="13">
        <v>0.64</v>
      </c>
      <c r="W23" s="30">
        <v>0.65</v>
      </c>
      <c r="X23" s="128">
        <f t="shared" si="0"/>
        <v>3225</v>
      </c>
      <c r="Y23" s="101"/>
      <c r="Z23" s="100">
        <f t="shared" si="4"/>
        <v>175</v>
      </c>
      <c r="AA23" s="32">
        <v>120628</v>
      </c>
      <c r="AB23" s="110">
        <f t="shared" si="15"/>
        <v>64</v>
      </c>
      <c r="AC23" s="32">
        <v>2520.8000000000002</v>
      </c>
      <c r="AD23" s="110">
        <f t="shared" si="16"/>
        <v>6.5999999999999091</v>
      </c>
      <c r="AE23" s="34">
        <v>73027</v>
      </c>
      <c r="AF23" s="110">
        <f t="shared" si="17"/>
        <v>0</v>
      </c>
      <c r="AG23" s="37">
        <v>3100</v>
      </c>
      <c r="AH23" s="80">
        <v>0</v>
      </c>
      <c r="AI23" s="100">
        <f t="shared" si="5"/>
        <v>0</v>
      </c>
      <c r="AJ23" s="10">
        <v>125</v>
      </c>
      <c r="AK23" s="15">
        <v>229</v>
      </c>
    </row>
    <row r="24" spans="1:37" x14ac:dyDescent="0.2">
      <c r="A24" s="17">
        <f t="shared" si="1"/>
        <v>45831</v>
      </c>
      <c r="B24" s="8">
        <v>32865206</v>
      </c>
      <c r="C24" s="85">
        <f t="shared" si="6"/>
        <v>5137</v>
      </c>
      <c r="D24" s="24">
        <v>1357231</v>
      </c>
      <c r="E24" s="85">
        <f t="shared" si="18"/>
        <v>2670</v>
      </c>
      <c r="F24" s="24">
        <v>193670</v>
      </c>
      <c r="G24" s="106">
        <f t="shared" si="8"/>
        <v>0</v>
      </c>
      <c r="H24" s="94">
        <f t="shared" si="2"/>
        <v>7807</v>
      </c>
      <c r="I24" s="96">
        <f t="shared" si="3"/>
        <v>6669.7999999998137</v>
      </c>
      <c r="J24" s="40">
        <v>4857810.8</v>
      </c>
      <c r="K24" s="107">
        <f t="shared" si="9"/>
        <v>940.20000000018626</v>
      </c>
      <c r="L24" s="11">
        <v>471566</v>
      </c>
      <c r="M24" s="107">
        <f t="shared" si="10"/>
        <v>16</v>
      </c>
      <c r="N24" s="11">
        <v>142119.1</v>
      </c>
      <c r="O24" s="107">
        <f t="shared" si="11"/>
        <v>70</v>
      </c>
      <c r="P24" s="40">
        <v>15131.5</v>
      </c>
      <c r="Q24" s="108">
        <f t="shared" si="12"/>
        <v>111</v>
      </c>
      <c r="R24" s="17">
        <f t="shared" si="13"/>
        <v>45831</v>
      </c>
      <c r="S24" s="104">
        <v>7274</v>
      </c>
      <c r="T24" s="109"/>
      <c r="U24" s="110">
        <f t="shared" si="14"/>
        <v>100</v>
      </c>
      <c r="V24" s="13">
        <v>0.62</v>
      </c>
      <c r="W24" s="30">
        <v>0.6</v>
      </c>
      <c r="X24" s="128">
        <f t="shared" si="0"/>
        <v>3050</v>
      </c>
      <c r="Y24" s="101">
        <v>1188.44</v>
      </c>
      <c r="Z24" s="100">
        <f t="shared" si="4"/>
        <v>313.44000000000051</v>
      </c>
      <c r="AA24" s="32">
        <v>120692</v>
      </c>
      <c r="AB24" s="110">
        <f t="shared" si="15"/>
        <v>121</v>
      </c>
      <c r="AC24" s="32">
        <v>2527.4</v>
      </c>
      <c r="AD24" s="110">
        <f t="shared" si="16"/>
        <v>34.900000000000091</v>
      </c>
      <c r="AE24" s="34">
        <v>73027</v>
      </c>
      <c r="AF24" s="110">
        <f t="shared" si="17"/>
        <v>0</v>
      </c>
      <c r="AG24" s="37">
        <v>3100</v>
      </c>
      <c r="AH24" s="80">
        <v>0</v>
      </c>
      <c r="AI24" s="100">
        <f t="shared" si="5"/>
        <v>0</v>
      </c>
      <c r="AJ24" s="10">
        <v>92</v>
      </c>
      <c r="AK24" s="15">
        <v>168</v>
      </c>
    </row>
    <row r="25" spans="1:37" x14ac:dyDescent="0.2">
      <c r="A25" s="17">
        <f t="shared" si="1"/>
        <v>45832</v>
      </c>
      <c r="B25" s="8">
        <v>32870343</v>
      </c>
      <c r="C25" s="85">
        <f t="shared" si="6"/>
        <v>4782</v>
      </c>
      <c r="D25" s="24">
        <v>1359901</v>
      </c>
      <c r="E25" s="85">
        <f t="shared" si="18"/>
        <v>2683</v>
      </c>
      <c r="F25" s="24">
        <v>193670</v>
      </c>
      <c r="G25" s="106">
        <f t="shared" si="8"/>
        <v>0</v>
      </c>
      <c r="H25" s="94">
        <f t="shared" si="2"/>
        <v>7465</v>
      </c>
      <c r="I25" s="96">
        <f t="shared" si="3"/>
        <v>6343.4000000003725</v>
      </c>
      <c r="J25" s="40">
        <v>4858751</v>
      </c>
      <c r="K25" s="107">
        <f t="shared" si="9"/>
        <v>924.59999999962747</v>
      </c>
      <c r="L25" s="11">
        <v>471582</v>
      </c>
      <c r="M25" s="107">
        <f t="shared" si="10"/>
        <v>16</v>
      </c>
      <c r="N25" s="11">
        <v>142189.1</v>
      </c>
      <c r="O25" s="107">
        <f t="shared" si="11"/>
        <v>70</v>
      </c>
      <c r="P25" s="40">
        <v>15242.5</v>
      </c>
      <c r="Q25" s="108">
        <f t="shared" si="12"/>
        <v>111</v>
      </c>
      <c r="R25" s="17">
        <f t="shared" si="13"/>
        <v>45832</v>
      </c>
      <c r="S25" s="104">
        <v>7174</v>
      </c>
      <c r="T25" s="109"/>
      <c r="U25" s="110">
        <f t="shared" si="14"/>
        <v>101</v>
      </c>
      <c r="V25" s="13">
        <v>0.77</v>
      </c>
      <c r="W25" s="30">
        <v>0.8</v>
      </c>
      <c r="X25" s="128">
        <f t="shared" si="0"/>
        <v>3925</v>
      </c>
      <c r="Y25" s="101"/>
      <c r="Z25" s="100">
        <f t="shared" si="4"/>
        <v>25</v>
      </c>
      <c r="AA25" s="32">
        <v>120813</v>
      </c>
      <c r="AB25" s="110">
        <f t="shared" si="15"/>
        <v>101</v>
      </c>
      <c r="AC25" s="32">
        <v>2562.3000000000002</v>
      </c>
      <c r="AD25" s="110">
        <f t="shared" si="16"/>
        <v>13.5</v>
      </c>
      <c r="AE25" s="34">
        <v>73027</v>
      </c>
      <c r="AF25" s="110">
        <f t="shared" si="17"/>
        <v>0</v>
      </c>
      <c r="AG25" s="37">
        <v>3100</v>
      </c>
      <c r="AH25" s="80">
        <v>0</v>
      </c>
      <c r="AI25" s="100">
        <f t="shared" si="5"/>
        <v>0</v>
      </c>
      <c r="AJ25" s="10">
        <v>92</v>
      </c>
      <c r="AK25" s="15">
        <v>166</v>
      </c>
    </row>
    <row r="26" spans="1:37" x14ac:dyDescent="0.2">
      <c r="A26" s="17">
        <f t="shared" si="1"/>
        <v>45833</v>
      </c>
      <c r="B26" s="8">
        <v>32875125</v>
      </c>
      <c r="C26" s="85">
        <f t="shared" si="6"/>
        <v>4422</v>
      </c>
      <c r="D26" s="24">
        <v>1362584</v>
      </c>
      <c r="E26" s="85">
        <f t="shared" si="18"/>
        <v>2728</v>
      </c>
      <c r="F26" s="24">
        <v>193670</v>
      </c>
      <c r="G26" s="106">
        <f t="shared" si="8"/>
        <v>1</v>
      </c>
      <c r="H26" s="94">
        <f t="shared" si="2"/>
        <v>7149</v>
      </c>
      <c r="I26" s="96">
        <f t="shared" si="3"/>
        <v>6059.1999999992549</v>
      </c>
      <c r="J26" s="40">
        <v>4859675.5999999996</v>
      </c>
      <c r="K26" s="107">
        <f t="shared" si="9"/>
        <v>892.80000000074506</v>
      </c>
      <c r="L26" s="11">
        <v>471598</v>
      </c>
      <c r="M26" s="107">
        <f t="shared" si="10"/>
        <v>16</v>
      </c>
      <c r="N26" s="11">
        <v>142259.1</v>
      </c>
      <c r="O26" s="107">
        <f t="shared" si="11"/>
        <v>70</v>
      </c>
      <c r="P26" s="40">
        <v>15353.5</v>
      </c>
      <c r="Q26" s="108">
        <f t="shared" si="12"/>
        <v>111</v>
      </c>
      <c r="R26" s="17">
        <f t="shared" si="13"/>
        <v>45833</v>
      </c>
      <c r="S26" s="104">
        <v>7073</v>
      </c>
      <c r="T26" s="109"/>
      <c r="U26" s="110">
        <f t="shared" si="14"/>
        <v>101</v>
      </c>
      <c r="V26" s="13">
        <v>0.78</v>
      </c>
      <c r="W26" s="30">
        <v>0.78</v>
      </c>
      <c r="X26" s="128">
        <f t="shared" si="0"/>
        <v>3900</v>
      </c>
      <c r="Y26" s="101"/>
      <c r="Z26" s="100">
        <f t="shared" si="4"/>
        <v>150</v>
      </c>
      <c r="AA26" s="32">
        <v>120914</v>
      </c>
      <c r="AB26" s="110">
        <f t="shared" si="15"/>
        <v>83</v>
      </c>
      <c r="AC26" s="32">
        <v>2575.8000000000002</v>
      </c>
      <c r="AD26" s="110">
        <f t="shared" si="16"/>
        <v>12.599999999999909</v>
      </c>
      <c r="AE26" s="34">
        <v>73027</v>
      </c>
      <c r="AF26" s="110">
        <f t="shared" si="17"/>
        <v>0</v>
      </c>
      <c r="AG26" s="37">
        <v>3100</v>
      </c>
      <c r="AH26" s="80">
        <v>0</v>
      </c>
      <c r="AI26" s="100">
        <f t="shared" si="5"/>
        <v>0</v>
      </c>
      <c r="AJ26" s="10">
        <v>94</v>
      </c>
      <c r="AK26" s="15">
        <v>178</v>
      </c>
    </row>
    <row r="27" spans="1:37" x14ac:dyDescent="0.2">
      <c r="A27" s="17">
        <f t="shared" si="1"/>
        <v>45834</v>
      </c>
      <c r="B27" s="8">
        <v>32879547</v>
      </c>
      <c r="C27" s="85">
        <f t="shared" si="6"/>
        <v>4870</v>
      </c>
      <c r="D27" s="24">
        <v>1365312</v>
      </c>
      <c r="E27" s="85">
        <f t="shared" si="18"/>
        <v>2716</v>
      </c>
      <c r="F27" s="24">
        <v>193671</v>
      </c>
      <c r="G27" s="106">
        <f t="shared" si="8"/>
        <v>0</v>
      </c>
      <c r="H27" s="94">
        <f t="shared" si="2"/>
        <v>7586</v>
      </c>
      <c r="I27" s="96">
        <f t="shared" si="3"/>
        <v>6535</v>
      </c>
      <c r="J27" s="40">
        <v>4860568.4000000004</v>
      </c>
      <c r="K27" s="107">
        <f t="shared" si="9"/>
        <v>854</v>
      </c>
      <c r="L27" s="11">
        <v>471614</v>
      </c>
      <c r="M27" s="107">
        <f t="shared" si="10"/>
        <v>16</v>
      </c>
      <c r="N27" s="11">
        <v>142329.1</v>
      </c>
      <c r="O27" s="107">
        <f t="shared" si="11"/>
        <v>70</v>
      </c>
      <c r="P27" s="40">
        <v>15464.5</v>
      </c>
      <c r="Q27" s="108">
        <f t="shared" si="12"/>
        <v>111</v>
      </c>
      <c r="R27" s="17">
        <f t="shared" si="13"/>
        <v>45834</v>
      </c>
      <c r="S27" s="104">
        <v>6972</v>
      </c>
      <c r="T27" s="109"/>
      <c r="U27" s="110">
        <f t="shared" si="14"/>
        <v>0</v>
      </c>
      <c r="V27" s="13">
        <v>0.76</v>
      </c>
      <c r="W27" s="30">
        <v>0.74</v>
      </c>
      <c r="X27" s="128">
        <f t="shared" si="0"/>
        <v>3750</v>
      </c>
      <c r="Y27" s="101"/>
      <c r="Z27" s="100">
        <f t="shared" si="4"/>
        <v>275</v>
      </c>
      <c r="AA27" s="32">
        <v>120997</v>
      </c>
      <c r="AB27" s="110">
        <f t="shared" si="15"/>
        <v>104</v>
      </c>
      <c r="AC27" s="32">
        <v>2588.4</v>
      </c>
      <c r="AD27" s="110">
        <f t="shared" si="16"/>
        <v>14</v>
      </c>
      <c r="AE27" s="34">
        <v>73027</v>
      </c>
      <c r="AF27" s="110">
        <f t="shared" si="17"/>
        <v>0</v>
      </c>
      <c r="AG27" s="37">
        <v>3100</v>
      </c>
      <c r="AH27" s="80">
        <v>0</v>
      </c>
      <c r="AI27" s="100">
        <f t="shared" si="5"/>
        <v>0</v>
      </c>
      <c r="AJ27" s="10">
        <v>119</v>
      </c>
      <c r="AK27" s="15">
        <v>218</v>
      </c>
    </row>
    <row r="28" spans="1:37" x14ac:dyDescent="0.2">
      <c r="A28" s="17">
        <f t="shared" si="1"/>
        <v>45835</v>
      </c>
      <c r="B28" s="8">
        <v>32884417</v>
      </c>
      <c r="C28" s="85">
        <f t="shared" si="6"/>
        <v>5115</v>
      </c>
      <c r="D28" s="24">
        <v>1368028</v>
      </c>
      <c r="E28" s="85">
        <f t="shared" si="18"/>
        <v>2727</v>
      </c>
      <c r="F28" s="24">
        <v>193671</v>
      </c>
      <c r="G28" s="106">
        <f t="shared" si="8"/>
        <v>0</v>
      </c>
      <c r="H28" s="94">
        <f t="shared" si="2"/>
        <v>7842</v>
      </c>
      <c r="I28" s="96">
        <f t="shared" si="3"/>
        <v>6678.2000000001863</v>
      </c>
      <c r="J28" s="40">
        <v>4861422.4000000004</v>
      </c>
      <c r="K28" s="107">
        <f t="shared" si="9"/>
        <v>966.79999999981374</v>
      </c>
      <c r="L28" s="11">
        <v>471630</v>
      </c>
      <c r="M28" s="107">
        <f t="shared" si="10"/>
        <v>16</v>
      </c>
      <c r="N28" s="11">
        <v>142399.1</v>
      </c>
      <c r="O28" s="107">
        <f t="shared" si="11"/>
        <v>70</v>
      </c>
      <c r="P28" s="40">
        <v>15575.5</v>
      </c>
      <c r="Q28" s="108">
        <f t="shared" si="12"/>
        <v>111</v>
      </c>
      <c r="R28" s="17">
        <f t="shared" si="13"/>
        <v>45835</v>
      </c>
      <c r="S28" s="104">
        <v>6972</v>
      </c>
      <c r="T28" s="109"/>
      <c r="U28" s="110">
        <f t="shared" si="14"/>
        <v>101</v>
      </c>
      <c r="V28" s="13">
        <v>0.7</v>
      </c>
      <c r="W28" s="30">
        <v>0.69</v>
      </c>
      <c r="X28" s="128">
        <f t="shared" si="0"/>
        <v>3475</v>
      </c>
      <c r="Y28" s="101"/>
      <c r="Z28" s="100">
        <f t="shared" si="4"/>
        <v>125</v>
      </c>
      <c r="AA28" s="32">
        <v>121101</v>
      </c>
      <c r="AB28" s="110">
        <f t="shared" si="15"/>
        <v>166</v>
      </c>
      <c r="AC28" s="32">
        <v>2602.4</v>
      </c>
      <c r="AD28" s="110">
        <f t="shared" si="16"/>
        <v>6.0999999999999091</v>
      </c>
      <c r="AE28" s="34">
        <v>73027</v>
      </c>
      <c r="AF28" s="110">
        <f t="shared" si="17"/>
        <v>0</v>
      </c>
      <c r="AG28" s="37">
        <v>3100</v>
      </c>
      <c r="AH28" s="80">
        <v>0</v>
      </c>
      <c r="AI28" s="100">
        <f t="shared" si="5"/>
        <v>0</v>
      </c>
      <c r="AJ28" s="10">
        <v>114</v>
      </c>
      <c r="AK28" s="15">
        <v>226</v>
      </c>
    </row>
    <row r="29" spans="1:37" x14ac:dyDescent="0.2">
      <c r="A29" s="17">
        <f t="shared" si="1"/>
        <v>45836</v>
      </c>
      <c r="B29" s="8">
        <v>32889532</v>
      </c>
      <c r="C29" s="85">
        <f t="shared" si="6"/>
        <v>5161</v>
      </c>
      <c r="D29" s="24">
        <v>1370755</v>
      </c>
      <c r="E29" s="85">
        <f t="shared" si="18"/>
        <v>2643</v>
      </c>
      <c r="F29" s="24">
        <v>193671</v>
      </c>
      <c r="G29" s="106">
        <f t="shared" si="8"/>
        <v>0</v>
      </c>
      <c r="H29" s="94">
        <f t="shared" si="2"/>
        <v>7804</v>
      </c>
      <c r="I29" s="96">
        <f t="shared" si="3"/>
        <v>6563.7999999998137</v>
      </c>
      <c r="J29" s="40">
        <v>4862389.2</v>
      </c>
      <c r="K29" s="107">
        <f t="shared" si="9"/>
        <v>1043.2000000001863</v>
      </c>
      <c r="L29" s="11">
        <v>471646</v>
      </c>
      <c r="M29" s="107">
        <f t="shared" si="10"/>
        <v>16</v>
      </c>
      <c r="N29" s="11">
        <v>142469.1</v>
      </c>
      <c r="O29" s="107">
        <f t="shared" si="11"/>
        <v>70</v>
      </c>
      <c r="P29" s="40">
        <v>15686.5</v>
      </c>
      <c r="Q29" s="108">
        <f t="shared" si="12"/>
        <v>111</v>
      </c>
      <c r="R29" s="17">
        <f t="shared" si="13"/>
        <v>45836</v>
      </c>
      <c r="S29" s="104">
        <v>6871</v>
      </c>
      <c r="T29" s="109"/>
      <c r="U29" s="110">
        <f t="shared" si="14"/>
        <v>100</v>
      </c>
      <c r="V29" s="13">
        <v>0.66</v>
      </c>
      <c r="W29" s="30">
        <v>0.68</v>
      </c>
      <c r="X29" s="128">
        <f t="shared" si="0"/>
        <v>3350</v>
      </c>
      <c r="Y29" s="101"/>
      <c r="Z29" s="100">
        <f t="shared" si="4"/>
        <v>100</v>
      </c>
      <c r="AA29" s="32">
        <v>121267</v>
      </c>
      <c r="AB29" s="110">
        <f t="shared" si="15"/>
        <v>69</v>
      </c>
      <c r="AC29" s="32">
        <v>2608.5</v>
      </c>
      <c r="AD29" s="110">
        <f t="shared" si="16"/>
        <v>5.8000000000001819</v>
      </c>
      <c r="AE29" s="34">
        <v>73027</v>
      </c>
      <c r="AF29" s="110">
        <f t="shared" si="17"/>
        <v>0</v>
      </c>
      <c r="AG29" s="37">
        <v>3100</v>
      </c>
      <c r="AH29" s="80">
        <v>0</v>
      </c>
      <c r="AI29" s="100">
        <f t="shared" si="5"/>
        <v>0</v>
      </c>
      <c r="AJ29" s="10">
        <v>138</v>
      </c>
      <c r="AK29" s="15">
        <v>270</v>
      </c>
    </row>
    <row r="30" spans="1:37" x14ac:dyDescent="0.2">
      <c r="A30" s="17">
        <f t="shared" si="1"/>
        <v>45837</v>
      </c>
      <c r="B30" s="8">
        <v>32894693</v>
      </c>
      <c r="C30" s="85">
        <f t="shared" si="6"/>
        <v>5089</v>
      </c>
      <c r="D30" s="24">
        <v>1373398</v>
      </c>
      <c r="E30" s="85">
        <f t="shared" si="18"/>
        <v>2613</v>
      </c>
      <c r="F30" s="24">
        <v>193671</v>
      </c>
      <c r="G30" s="106">
        <f t="shared" si="8"/>
        <v>0</v>
      </c>
      <c r="H30" s="94">
        <f t="shared" si="2"/>
        <v>7702</v>
      </c>
      <c r="I30" s="96">
        <f t="shared" si="3"/>
        <v>6519</v>
      </c>
      <c r="J30" s="40">
        <v>4863432.4000000004</v>
      </c>
      <c r="K30" s="107">
        <f t="shared" si="9"/>
        <v>986</v>
      </c>
      <c r="L30" s="11">
        <v>471662</v>
      </c>
      <c r="M30" s="107">
        <f t="shared" si="10"/>
        <v>16</v>
      </c>
      <c r="N30" s="11">
        <v>142539.1</v>
      </c>
      <c r="O30" s="107">
        <f t="shared" si="11"/>
        <v>70</v>
      </c>
      <c r="P30" s="40">
        <v>15797.5</v>
      </c>
      <c r="Q30" s="108">
        <f t="shared" si="12"/>
        <v>111</v>
      </c>
      <c r="R30" s="17">
        <f t="shared" si="13"/>
        <v>45837</v>
      </c>
      <c r="S30" s="104">
        <v>6771</v>
      </c>
      <c r="T30" s="109"/>
      <c r="U30" s="110">
        <f t="shared" si="14"/>
        <v>101</v>
      </c>
      <c r="V30" s="13">
        <v>0.66</v>
      </c>
      <c r="W30" s="30">
        <v>0.64</v>
      </c>
      <c r="X30" s="128">
        <f t="shared" si="0"/>
        <v>3250</v>
      </c>
      <c r="Y30" s="101"/>
      <c r="Z30" s="100">
        <f t="shared" si="4"/>
        <v>125</v>
      </c>
      <c r="AA30" s="32">
        <v>121336</v>
      </c>
      <c r="AB30" s="110">
        <f t="shared" si="15"/>
        <v>73</v>
      </c>
      <c r="AC30" s="32">
        <v>2614.3000000000002</v>
      </c>
      <c r="AD30" s="110">
        <f t="shared" si="16"/>
        <v>10.299999999999727</v>
      </c>
      <c r="AE30" s="34">
        <v>73027</v>
      </c>
      <c r="AF30" s="110">
        <f t="shared" si="17"/>
        <v>0</v>
      </c>
      <c r="AG30" s="37">
        <v>3100</v>
      </c>
      <c r="AH30" s="80">
        <v>0</v>
      </c>
      <c r="AI30" s="100">
        <f t="shared" si="5"/>
        <v>0</v>
      </c>
      <c r="AJ30" s="10">
        <v>105</v>
      </c>
      <c r="AK30" s="15">
        <v>199</v>
      </c>
    </row>
    <row r="31" spans="1:37" x14ac:dyDescent="0.2">
      <c r="A31" s="17">
        <f t="shared" si="1"/>
        <v>45838</v>
      </c>
      <c r="B31" s="8">
        <v>32899782</v>
      </c>
      <c r="C31" s="85"/>
      <c r="D31" s="24">
        <v>1376011</v>
      </c>
      <c r="E31" s="85"/>
      <c r="F31" s="102">
        <v>193671</v>
      </c>
      <c r="G31" s="106"/>
      <c r="H31" s="94">
        <f t="shared" si="2"/>
        <v>0</v>
      </c>
      <c r="I31" s="96">
        <f t="shared" si="3"/>
        <v>0</v>
      </c>
      <c r="J31" s="103">
        <v>4864418.4000000004</v>
      </c>
      <c r="K31" s="107"/>
      <c r="L31" s="11">
        <v>471678</v>
      </c>
      <c r="M31" s="107"/>
      <c r="N31" s="11">
        <v>142609.1</v>
      </c>
      <c r="O31" s="107"/>
      <c r="P31" s="40">
        <v>15908.5</v>
      </c>
      <c r="Q31" s="108"/>
      <c r="R31" s="17">
        <f t="shared" si="13"/>
        <v>45838</v>
      </c>
      <c r="S31" s="104">
        <v>6670</v>
      </c>
      <c r="T31" s="109"/>
      <c r="U31" s="110"/>
      <c r="V31" s="13">
        <v>0.63</v>
      </c>
      <c r="W31" s="30">
        <v>0.62</v>
      </c>
      <c r="X31" s="128">
        <f t="shared" si="0"/>
        <v>3125</v>
      </c>
      <c r="Y31" s="101"/>
      <c r="Z31" s="100"/>
      <c r="AA31" s="32">
        <v>121409</v>
      </c>
      <c r="AB31" s="110"/>
      <c r="AC31" s="32">
        <v>2624.6</v>
      </c>
      <c r="AD31" s="110"/>
      <c r="AE31" s="34">
        <v>73027</v>
      </c>
      <c r="AF31" s="110">
        <f t="shared" si="17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45839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3"/>
        <v>45839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7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45840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45840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134075</v>
      </c>
      <c r="D34" s="77"/>
      <c r="E34" s="112">
        <f>SUM(E2:E33)</f>
        <v>76207</v>
      </c>
      <c r="F34" s="113"/>
      <c r="G34" s="114">
        <f>SUM(G2:G33)</f>
        <v>952</v>
      </c>
      <c r="H34" s="115">
        <f>SUM(H2:H33)</f>
        <v>209330</v>
      </c>
      <c r="I34" s="116">
        <f>SUM(I2:I32)</f>
        <v>177675</v>
      </c>
      <c r="J34" s="113"/>
      <c r="K34" s="117">
        <f>SUM(K2:K33)</f>
        <v>25942</v>
      </c>
      <c r="L34" s="113"/>
      <c r="M34" s="117">
        <f>SUM(M2:M33)</f>
        <v>464</v>
      </c>
      <c r="N34" s="113"/>
      <c r="O34" s="117">
        <f>SUM(O2:O33)</f>
        <v>2030</v>
      </c>
      <c r="P34" s="113"/>
      <c r="Q34" s="118">
        <f>SUM(Q2:Q33)</f>
        <v>3219</v>
      </c>
      <c r="R34" s="77"/>
      <c r="S34" s="77"/>
      <c r="T34" s="77"/>
      <c r="U34" s="119">
        <f>SUM(U2:U33)</f>
        <v>2803</v>
      </c>
      <c r="V34" s="77"/>
      <c r="W34" s="77"/>
      <c r="X34" s="77"/>
      <c r="Y34" s="120">
        <f>SUM(Y2:Y33)</f>
        <v>4844.8600000000006</v>
      </c>
      <c r="Z34" s="121">
        <f>SUM(Z2:Z33)</f>
        <v>4569.8600000000006</v>
      </c>
      <c r="AA34" s="77"/>
      <c r="AB34" s="122">
        <f>SUM(AB2:AB33)</f>
        <v>2945</v>
      </c>
      <c r="AC34" s="113"/>
      <c r="AD34" s="122">
        <f>SUM(AD2:AD33)</f>
        <v>388.29999999999973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3705</v>
      </c>
      <c r="AK34" s="127">
        <f>SUM(AK2:AK32)</f>
        <v>6905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2025-06-30T06:56:20Z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