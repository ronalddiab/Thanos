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" sheetId="5" r:id="rId1"/>
    <sheet name="Submetering" sheetId="9" r:id="rId2"/>
    <sheet name=" ELEC MAY 2021" sheetId="6" r:id="rId3"/>
    <sheet name=" WATER MAY 2021" sheetId="7" r:id="rId4"/>
    <sheet name="GAS MAY 2021" sheetId="8" r:id="rId5"/>
  </sheets>
  <calcPr calcId="152511"/>
  <fileRecoveryPr autoRecover="0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6" i="8"/>
  <c r="L3" i="9"/>
  <c r="K7" i="8"/>
  <c r="K8" i="8"/>
  <c r="K9" i="8"/>
  <c r="L6" i="9"/>
  <c r="K10" i="8"/>
  <c r="L7" i="9"/>
  <c r="K11" i="8"/>
  <c r="K12" i="8"/>
  <c r="K13" i="8"/>
  <c r="L10" i="9"/>
  <c r="K14" i="8"/>
  <c r="L11" i="9"/>
  <c r="K15" i="8"/>
  <c r="K16" i="8"/>
  <c r="L13" i="9"/>
  <c r="K17" i="8"/>
  <c r="L14" i="9"/>
  <c r="K18" i="8"/>
  <c r="L15" i="9"/>
  <c r="K19" i="8"/>
  <c r="L16" i="9"/>
  <c r="K20" i="8"/>
  <c r="L17" i="9"/>
  <c r="K21" i="8"/>
  <c r="L18" i="9"/>
  <c r="K22" i="8"/>
  <c r="K23" i="8"/>
  <c r="K24" i="8"/>
  <c r="K25" i="8"/>
  <c r="L22" i="9"/>
  <c r="K26" i="8"/>
  <c r="L23" i="9"/>
  <c r="K27" i="8"/>
  <c r="K28" i="8"/>
  <c r="L25" i="9"/>
  <c r="K29" i="8"/>
  <c r="L26" i="9"/>
  <c r="K30" i="8"/>
  <c r="L27" i="9"/>
  <c r="K31" i="8"/>
  <c r="K32" i="8"/>
  <c r="K33" i="8"/>
  <c r="L30" i="9"/>
  <c r="K34" i="8"/>
  <c r="L31" i="9"/>
  <c r="K35" i="8"/>
  <c r="K5" i="8"/>
  <c r="I6" i="8"/>
  <c r="K3" i="9"/>
  <c r="I7" i="8"/>
  <c r="K4" i="9"/>
  <c r="I8" i="8"/>
  <c r="I9" i="8"/>
  <c r="K6" i="9"/>
  <c r="I10" i="8"/>
  <c r="K7" i="9"/>
  <c r="I11" i="8"/>
  <c r="K8" i="9"/>
  <c r="I12" i="8"/>
  <c r="I13" i="8"/>
  <c r="K10" i="9"/>
  <c r="I14" i="8"/>
  <c r="K11" i="9"/>
  <c r="I15" i="8"/>
  <c r="I16" i="8"/>
  <c r="I17" i="8"/>
  <c r="K14" i="9"/>
  <c r="I18" i="8"/>
  <c r="K15" i="9"/>
  <c r="I19" i="8"/>
  <c r="I20" i="8"/>
  <c r="I21" i="8"/>
  <c r="K18" i="9"/>
  <c r="I22" i="8"/>
  <c r="K19" i="9"/>
  <c r="I23" i="8"/>
  <c r="I24" i="8"/>
  <c r="I25" i="8"/>
  <c r="I26" i="8"/>
  <c r="K23" i="9"/>
  <c r="I27" i="8"/>
  <c r="I28" i="8"/>
  <c r="I29" i="8"/>
  <c r="K26" i="9"/>
  <c r="I30" i="8"/>
  <c r="K27" i="9"/>
  <c r="I31" i="8"/>
  <c r="K28" i="9"/>
  <c r="I32" i="8"/>
  <c r="I33" i="8"/>
  <c r="K30" i="9"/>
  <c r="I34" i="8"/>
  <c r="K31" i="9"/>
  <c r="I35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5" i="8"/>
  <c r="E26" i="7"/>
  <c r="E27" i="7"/>
  <c r="E28" i="7"/>
  <c r="E29" i="7"/>
  <c r="J26" i="9"/>
  <c r="I26" i="5"/>
  <c r="E30" i="7"/>
  <c r="E31" i="7"/>
  <c r="E32" i="7"/>
  <c r="J29" i="9" s="1"/>
  <c r="I29" i="5" s="1"/>
  <c r="E33" i="7"/>
  <c r="J30" i="9" s="1"/>
  <c r="I30" i="5" s="1"/>
  <c r="E34" i="7"/>
  <c r="E35" i="7"/>
  <c r="C26" i="7"/>
  <c r="C27" i="7"/>
  <c r="C28" i="7"/>
  <c r="C29" i="7"/>
  <c r="C30" i="7"/>
  <c r="C31" i="7"/>
  <c r="C32" i="7"/>
  <c r="C33" i="7"/>
  <c r="C34" i="7"/>
  <c r="C35" i="7"/>
  <c r="L8" i="6"/>
  <c r="L9" i="6"/>
  <c r="L10" i="6"/>
  <c r="I5" i="9" s="1"/>
  <c r="E5" i="5" s="1"/>
  <c r="L11" i="6"/>
  <c r="I6" i="9" s="1"/>
  <c r="E6" i="5" s="1"/>
  <c r="L12" i="6"/>
  <c r="L13" i="6"/>
  <c r="L14" i="6"/>
  <c r="L15" i="6"/>
  <c r="L16" i="6"/>
  <c r="L17" i="6"/>
  <c r="L18" i="6"/>
  <c r="I13" i="9"/>
  <c r="E13" i="5"/>
  <c r="L19" i="6"/>
  <c r="I14" i="9"/>
  <c r="E14" i="5"/>
  <c r="L20" i="6"/>
  <c r="L21" i="6"/>
  <c r="L22" i="6"/>
  <c r="I17" i="9"/>
  <c r="E17" i="5"/>
  <c r="L23" i="6"/>
  <c r="I18" i="9"/>
  <c r="E18" i="5"/>
  <c r="L24" i="6"/>
  <c r="L25" i="6"/>
  <c r="L26" i="6"/>
  <c r="L27" i="6"/>
  <c r="I22" i="9"/>
  <c r="E22" i="5"/>
  <c r="L28" i="6"/>
  <c r="L29" i="6"/>
  <c r="L30" i="6"/>
  <c r="L31" i="6"/>
  <c r="L32" i="6"/>
  <c r="L33" i="6"/>
  <c r="L34" i="6"/>
  <c r="L35" i="6"/>
  <c r="I30" i="9"/>
  <c r="E30" i="5"/>
  <c r="L36" i="6"/>
  <c r="L37" i="6"/>
  <c r="L7" i="6"/>
  <c r="J8" i="6"/>
  <c r="J9" i="6"/>
  <c r="J10" i="6"/>
  <c r="J11" i="6"/>
  <c r="J12" i="6"/>
  <c r="J13" i="6"/>
  <c r="J14" i="6"/>
  <c r="J15" i="6"/>
  <c r="H10" i="9"/>
  <c r="J16" i="6"/>
  <c r="J17" i="6"/>
  <c r="J18" i="6"/>
  <c r="J19" i="6"/>
  <c r="J20" i="6"/>
  <c r="J21" i="6"/>
  <c r="J22" i="6"/>
  <c r="J23" i="6"/>
  <c r="H18" i="9"/>
  <c r="J24" i="6"/>
  <c r="J25" i="6"/>
  <c r="J26" i="6"/>
  <c r="J27" i="6"/>
  <c r="H22" i="9"/>
  <c r="J28" i="6"/>
  <c r="J29" i="6"/>
  <c r="J30" i="6"/>
  <c r="J31" i="6"/>
  <c r="J32" i="6"/>
  <c r="J33" i="6"/>
  <c r="J34" i="6"/>
  <c r="J35" i="6"/>
  <c r="H30" i="9"/>
  <c r="J36" i="6"/>
  <c r="J37" i="6"/>
  <c r="J7" i="6"/>
  <c r="H8" i="6"/>
  <c r="H9" i="6"/>
  <c r="H10" i="6"/>
  <c r="H11" i="6"/>
  <c r="G6" i="9"/>
  <c r="H12" i="6"/>
  <c r="H13" i="6"/>
  <c r="H14" i="6"/>
  <c r="H15" i="6"/>
  <c r="H16" i="6"/>
  <c r="H17" i="6"/>
  <c r="H18" i="6"/>
  <c r="H19" i="6"/>
  <c r="G14" i="9"/>
  <c r="H20" i="6"/>
  <c r="H21" i="6"/>
  <c r="H22" i="6"/>
  <c r="G17" i="9"/>
  <c r="H23" i="6"/>
  <c r="G18" i="9"/>
  <c r="H24" i="6"/>
  <c r="H25" i="6"/>
  <c r="H26" i="6"/>
  <c r="H27" i="6"/>
  <c r="G22" i="9"/>
  <c r="H28" i="6"/>
  <c r="H29" i="6"/>
  <c r="H30" i="6"/>
  <c r="G25" i="9"/>
  <c r="H31" i="6"/>
  <c r="G26" i="9"/>
  <c r="H32" i="6"/>
  <c r="H33" i="6"/>
  <c r="H34" i="6"/>
  <c r="H35" i="6"/>
  <c r="G30" i="9"/>
  <c r="H36" i="6"/>
  <c r="H37" i="6"/>
  <c r="H7" i="6"/>
  <c r="F8" i="6"/>
  <c r="F9" i="6"/>
  <c r="F10" i="6"/>
  <c r="F11" i="6"/>
  <c r="F6" i="9"/>
  <c r="F12" i="6"/>
  <c r="F13" i="6"/>
  <c r="F14" i="6"/>
  <c r="F15" i="6"/>
  <c r="F10" i="9"/>
  <c r="F16" i="6"/>
  <c r="F17" i="6"/>
  <c r="F18" i="6"/>
  <c r="F19" i="6"/>
  <c r="F14" i="9"/>
  <c r="F20" i="6"/>
  <c r="F21" i="6"/>
  <c r="F22" i="6"/>
  <c r="F23" i="6"/>
  <c r="F18" i="9"/>
  <c r="F24" i="6"/>
  <c r="F25" i="6"/>
  <c r="F26" i="6"/>
  <c r="F27" i="6"/>
  <c r="F22" i="9"/>
  <c r="F28" i="6"/>
  <c r="F29" i="6"/>
  <c r="F30" i="6"/>
  <c r="F31" i="6"/>
  <c r="F26" i="9"/>
  <c r="F32" i="6"/>
  <c r="F33" i="6"/>
  <c r="F34" i="6"/>
  <c r="F35" i="6"/>
  <c r="F30" i="9"/>
  <c r="F36" i="6"/>
  <c r="F37" i="6"/>
  <c r="F7" i="6"/>
  <c r="D8" i="6"/>
  <c r="D9" i="6"/>
  <c r="D10" i="6"/>
  <c r="D11" i="6"/>
  <c r="E6" i="9"/>
  <c r="D12" i="6"/>
  <c r="D13" i="6"/>
  <c r="D14" i="6"/>
  <c r="D15" i="6"/>
  <c r="E10" i="9"/>
  <c r="D16" i="6"/>
  <c r="D17" i="6"/>
  <c r="D18" i="6"/>
  <c r="E13" i="9"/>
  <c r="D19" i="6"/>
  <c r="E14" i="9"/>
  <c r="D20" i="6"/>
  <c r="D21" i="6"/>
  <c r="D22" i="6"/>
  <c r="D23" i="6"/>
  <c r="E18" i="9"/>
  <c r="D24" i="6"/>
  <c r="D25" i="6"/>
  <c r="D26" i="6"/>
  <c r="D27" i="6"/>
  <c r="D28" i="6"/>
  <c r="D29" i="6"/>
  <c r="D30" i="6"/>
  <c r="D31" i="6"/>
  <c r="E26" i="9"/>
  <c r="D32" i="6"/>
  <c r="D33" i="6"/>
  <c r="D34" i="6"/>
  <c r="E29" i="9"/>
  <c r="D35" i="6"/>
  <c r="E30" i="9"/>
  <c r="D36" i="6"/>
  <c r="D37" i="6"/>
  <c r="D7" i="6"/>
  <c r="I9" i="9"/>
  <c r="E9" i="5"/>
  <c r="I12" i="9"/>
  <c r="E12" i="5"/>
  <c r="I16" i="9"/>
  <c r="E16" i="5"/>
  <c r="I21" i="9"/>
  <c r="E21" i="5"/>
  <c r="I28" i="9"/>
  <c r="E28" i="5"/>
  <c r="I32" i="9"/>
  <c r="E32" i="5"/>
  <c r="L6" i="6"/>
  <c r="H3" i="9"/>
  <c r="H8" i="9"/>
  <c r="H12" i="9"/>
  <c r="H13" i="9"/>
  <c r="H16" i="9"/>
  <c r="H17" i="9"/>
  <c r="H24" i="9"/>
  <c r="H25" i="9"/>
  <c r="H28" i="9"/>
  <c r="H29" i="9"/>
  <c r="H32" i="9"/>
  <c r="J6" i="6"/>
  <c r="G4" i="9"/>
  <c r="G5" i="9"/>
  <c r="G9" i="9"/>
  <c r="G16" i="9"/>
  <c r="G20" i="9"/>
  <c r="G21" i="9"/>
  <c r="G24" i="9"/>
  <c r="G28" i="9"/>
  <c r="G29" i="9"/>
  <c r="G32" i="9"/>
  <c r="H6" i="6"/>
  <c r="F4" i="9"/>
  <c r="F5" i="9"/>
  <c r="F8" i="9"/>
  <c r="F9" i="9"/>
  <c r="F13" i="9"/>
  <c r="F16" i="9"/>
  <c r="F17" i="9"/>
  <c r="F21" i="9"/>
  <c r="F25" i="9"/>
  <c r="F28" i="9"/>
  <c r="F29" i="9"/>
  <c r="F6" i="6"/>
  <c r="E25" i="9"/>
  <c r="D6" i="6"/>
  <c r="E6" i="7"/>
  <c r="E7" i="7"/>
  <c r="J4" i="9"/>
  <c r="I4" i="5"/>
  <c r="E8" i="7"/>
  <c r="E9" i="7"/>
  <c r="E10" i="7"/>
  <c r="E11" i="7"/>
  <c r="E12" i="7"/>
  <c r="J9" i="9"/>
  <c r="I9" i="5" s="1"/>
  <c r="E13" i="7"/>
  <c r="E14" i="7"/>
  <c r="E15" i="7"/>
  <c r="E16" i="7"/>
  <c r="J13" i="9"/>
  <c r="I13" i="5"/>
  <c r="E17" i="7"/>
  <c r="E18" i="7"/>
  <c r="E19" i="7"/>
  <c r="J16" i="9"/>
  <c r="I16" i="5"/>
  <c r="E20" i="7"/>
  <c r="E21" i="7"/>
  <c r="E22" i="7"/>
  <c r="E23" i="7"/>
  <c r="E24" i="7"/>
  <c r="E25" i="7"/>
  <c r="E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5" i="7"/>
  <c r="E32" i="9"/>
  <c r="F32" i="9"/>
  <c r="J32" i="9"/>
  <c r="I32" i="5"/>
  <c r="K32" i="9"/>
  <c r="L32" i="9"/>
  <c r="J21" i="9"/>
  <c r="I21" i="5"/>
  <c r="J22" i="9"/>
  <c r="I22" i="5"/>
  <c r="J23" i="9"/>
  <c r="I23" i="5"/>
  <c r="J24" i="9"/>
  <c r="I24" i="5"/>
  <c r="J25" i="9"/>
  <c r="I25" i="5"/>
  <c r="H31" i="9"/>
  <c r="K5" i="9"/>
  <c r="L5" i="9"/>
  <c r="K9" i="9"/>
  <c r="L9" i="9"/>
  <c r="K12" i="9"/>
  <c r="L12" i="9"/>
  <c r="K13" i="9"/>
  <c r="K16" i="9"/>
  <c r="K17" i="9"/>
  <c r="L19" i="9"/>
  <c r="K20" i="9"/>
  <c r="L21" i="9"/>
  <c r="K22" i="9"/>
  <c r="K24" i="9"/>
  <c r="L24" i="9"/>
  <c r="K25" i="9"/>
  <c r="L28" i="9"/>
  <c r="K29" i="9"/>
  <c r="L29" i="9"/>
  <c r="J2" i="9"/>
  <c r="I2" i="5"/>
  <c r="J5" i="9"/>
  <c r="I5" i="5"/>
  <c r="J7" i="9"/>
  <c r="I7" i="5"/>
  <c r="J10" i="9"/>
  <c r="I10" i="5"/>
  <c r="J12" i="9"/>
  <c r="I12" i="5"/>
  <c r="J14" i="9"/>
  <c r="I14" i="5"/>
  <c r="J15" i="9"/>
  <c r="I15" i="5"/>
  <c r="J17" i="9"/>
  <c r="I17" i="5"/>
  <c r="J18" i="9"/>
  <c r="I18" i="5"/>
  <c r="J19" i="9"/>
  <c r="I19" i="5"/>
  <c r="J20" i="9"/>
  <c r="I20" i="5"/>
  <c r="J27" i="9"/>
  <c r="I27" i="5"/>
  <c r="J28" i="9"/>
  <c r="I28" i="5"/>
  <c r="J31" i="9"/>
  <c r="I31" i="5"/>
  <c r="E2" i="9"/>
  <c r="G2" i="9"/>
  <c r="H2" i="9"/>
  <c r="E3" i="9"/>
  <c r="F3" i="9"/>
  <c r="G3" i="9"/>
  <c r="I3" i="9"/>
  <c r="E3" i="5"/>
  <c r="H4" i="9"/>
  <c r="I4" i="9"/>
  <c r="E4" i="5"/>
  <c r="E5" i="9"/>
  <c r="H5" i="9"/>
  <c r="E7" i="9"/>
  <c r="F7" i="9"/>
  <c r="G7" i="9"/>
  <c r="I7" i="9"/>
  <c r="E7" i="5"/>
  <c r="E8" i="9"/>
  <c r="G8" i="9"/>
  <c r="I8" i="9"/>
  <c r="E8" i="5"/>
  <c r="H9" i="9"/>
  <c r="G10" i="9"/>
  <c r="I10" i="9"/>
  <c r="E10" i="5"/>
  <c r="E11" i="9"/>
  <c r="F11" i="9"/>
  <c r="H11" i="9"/>
  <c r="I11" i="9"/>
  <c r="E11" i="5"/>
  <c r="E12" i="9"/>
  <c r="G13" i="9"/>
  <c r="E15" i="9"/>
  <c r="F15" i="9"/>
  <c r="G15" i="9"/>
  <c r="I15" i="9"/>
  <c r="E15" i="5"/>
  <c r="E16" i="9"/>
  <c r="E17" i="9"/>
  <c r="E19" i="9"/>
  <c r="F19" i="9"/>
  <c r="G19" i="9"/>
  <c r="H19" i="9"/>
  <c r="I19" i="9"/>
  <c r="E19" i="5"/>
  <c r="E20" i="9"/>
  <c r="F20" i="9"/>
  <c r="H20" i="9"/>
  <c r="I20" i="9"/>
  <c r="E20" i="5"/>
  <c r="E21" i="9"/>
  <c r="H21" i="9"/>
  <c r="E22" i="9"/>
  <c r="E23" i="9"/>
  <c r="G23" i="9"/>
  <c r="I23" i="9"/>
  <c r="E23" i="5"/>
  <c r="E24" i="9"/>
  <c r="F24" i="9"/>
  <c r="I24" i="9"/>
  <c r="E24" i="5"/>
  <c r="I25" i="9"/>
  <c r="E25" i="5"/>
  <c r="H26" i="9"/>
  <c r="I26" i="9"/>
  <c r="E26" i="5"/>
  <c r="E27" i="9"/>
  <c r="F27" i="9"/>
  <c r="G27" i="9"/>
  <c r="H27" i="9"/>
  <c r="I27" i="9"/>
  <c r="E27" i="5"/>
  <c r="E28" i="9"/>
  <c r="I29" i="9"/>
  <c r="E29" i="5"/>
  <c r="E31" i="9"/>
  <c r="F31" i="9"/>
  <c r="G31" i="9"/>
  <c r="I31" i="9"/>
  <c r="E31" i="5"/>
  <c r="F2" i="9"/>
  <c r="I2" i="9"/>
  <c r="E2" i="5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J3" i="9"/>
  <c r="I3" i="5"/>
  <c r="E4" i="9"/>
  <c r="L4" i="9"/>
  <c r="H6" i="9"/>
  <c r="J6" i="9"/>
  <c r="I6" i="5"/>
  <c r="H7" i="9"/>
  <c r="J8" i="9"/>
  <c r="I8" i="5"/>
  <c r="L8" i="9"/>
  <c r="E9" i="9"/>
  <c r="G11" i="9"/>
  <c r="J11" i="9"/>
  <c r="I11" i="5"/>
  <c r="F12" i="9"/>
  <c r="G12" i="9"/>
  <c r="H14" i="9"/>
  <c r="H15" i="9"/>
  <c r="L20" i="9"/>
  <c r="K21" i="9"/>
  <c r="F23" i="9"/>
  <c r="H23" i="9"/>
  <c r="B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<sst xmlns="http://schemas.openxmlformats.org/spreadsheetml/2006/main" count="291" uniqueCount="143">
  <si>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</si>
  <si>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</si>
  <si>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</si>
  <si>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</si>
  <si>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</si>
  <si>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</si>
  <si>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</si>
  <si>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</si>
  <si>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</si>
  <si>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</si>
  <si>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</si>
  <si>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Johannesburg</t>
  </si>
  <si>
    <t>DELI Sub</t>
  </si>
  <si>
    <t>SUB 9</t>
  </si>
  <si>
    <t>SUB 5</t>
  </si>
  <si>
    <t>SUB3</t>
  </si>
  <si>
    <t>MAIN SUB</t>
  </si>
  <si>
    <t>DATE</t>
  </si>
  <si>
    <t>Reading</t>
  </si>
  <si>
    <t>Consumption</t>
  </si>
  <si>
    <t xml:space="preserve">Reading </t>
  </si>
  <si>
    <t>COUNCIL METER</t>
  </si>
  <si>
    <t>CONSUMPTION</t>
  </si>
  <si>
    <t>LOCAL METER</t>
  </si>
  <si>
    <t>JACARANDA</t>
  </si>
  <si>
    <t>DELI</t>
  </si>
  <si>
    <t>FLAMES</t>
  </si>
  <si>
    <t>MAIN JACARANDA/FLAMES</t>
  </si>
  <si>
    <t>MAIN SPA/DELI</t>
  </si>
  <si>
    <t>READING</t>
  </si>
  <si>
    <t xml:space="preserve"> </t>
  </si>
  <si>
    <t>DELI Sub -KWh</t>
  </si>
  <si>
    <t>SUB 9 -KWh</t>
  </si>
  <si>
    <t>SUB 5 -KWh</t>
  </si>
  <si>
    <t>SUB3 -KWh</t>
  </si>
  <si>
    <t>MAIN SUB -KWh</t>
  </si>
  <si>
    <t>Local Meter -m3</t>
  </si>
  <si>
    <t>Main Jacaranda/Flames -m3</t>
  </si>
  <si>
    <t>Main SPA/Deli-m3</t>
  </si>
  <si>
    <t>Room Night</t>
  </si>
  <si>
    <t>1.66</t>
  </si>
  <si>
    <t>69.1</t>
  </si>
  <si>
    <t>56</t>
  </si>
  <si>
    <t>513214</t>
  </si>
  <si>
    <t>ELECTRICAL METER READINGS MAY 2021</t>
  </si>
  <si>
    <t>Gas Readings MAY 2021</t>
  </si>
  <si>
    <t>WATER METER READINGS MAY 2021</t>
  </si>
  <si>
    <t>0</t>
  </si>
  <si>
    <t>58912</t>
  </si>
  <si>
    <t>908854,1</t>
  </si>
  <si>
    <t>912612,3</t>
  </si>
  <si>
    <t>916153,4</t>
  </si>
  <si>
    <t>919784,5</t>
  </si>
  <si>
    <t>921343,0</t>
  </si>
  <si>
    <t>923561,1</t>
  </si>
  <si>
    <t>926680,0</t>
  </si>
  <si>
    <t>930216,1</t>
  </si>
  <si>
    <t>932130,0</t>
  </si>
  <si>
    <t>935600,1</t>
  </si>
  <si>
    <t>941629,2</t>
  </si>
  <si>
    <t>941640,2</t>
  </si>
  <si>
    <t>943853,3</t>
  </si>
  <si>
    <t>946572,8</t>
  </si>
  <si>
    <t>948125,8</t>
  </si>
  <si>
    <t>951359,7</t>
  </si>
  <si>
    <t>954716,4</t>
  </si>
  <si>
    <t>958069,3</t>
  </si>
  <si>
    <t>974853,7</t>
  </si>
  <si>
    <t>977294,6</t>
  </si>
  <si>
    <t>980282,5</t>
  </si>
  <si>
    <t>982935,4</t>
  </si>
  <si>
    <t>985332,6</t>
  </si>
  <si>
    <t>988323,9</t>
  </si>
  <si>
    <t>991248,4</t>
  </si>
  <si>
    <t>994420,4</t>
  </si>
  <si>
    <t>997786,2</t>
  </si>
  <si>
    <t>959983,1</t>
  </si>
  <si>
    <t>962723,1</t>
  </si>
  <si>
    <t>965503,8</t>
  </si>
  <si>
    <t>967893,6</t>
  </si>
  <si>
    <t>37650,5</t>
  </si>
  <si>
    <t>37706,9</t>
  </si>
  <si>
    <t>37753,4</t>
  </si>
  <si>
    <t>37799,8</t>
  </si>
  <si>
    <t>37829,7</t>
  </si>
  <si>
    <t>37866,0</t>
  </si>
  <si>
    <t>37908,0</t>
  </si>
  <si>
    <t>37955,3</t>
  </si>
  <si>
    <t>37993,6</t>
  </si>
  <si>
    <t>38030,3</t>
  </si>
  <si>
    <t>38135,0</t>
  </si>
  <si>
    <t>38138,0</t>
  </si>
  <si>
    <t>38167,5</t>
  </si>
  <si>
    <t>38212,0</t>
  </si>
  <si>
    <t>38242,1</t>
  </si>
  <si>
    <t>38288,7</t>
  </si>
  <si>
    <t>38344,8</t>
  </si>
  <si>
    <t>38392,7</t>
  </si>
  <si>
    <t>38424,4</t>
  </si>
  <si>
    <t>38464,3</t>
  </si>
  <si>
    <t>38508,9</t>
  </si>
  <si>
    <t>38547,7</t>
  </si>
  <si>
    <t>38678,2</t>
  </si>
  <si>
    <t>38768,4</t>
  </si>
  <si>
    <t>38810,5</t>
  </si>
  <si>
    <t>38826,4</t>
  </si>
  <si>
    <t>38863,8</t>
  </si>
  <si>
    <t>38915,6</t>
  </si>
  <si>
    <t>38958,0</t>
  </si>
  <si>
    <t>38741,3</t>
  </si>
  <si>
    <t>38745,4</t>
  </si>
  <si>
    <t>38756,4</t>
  </si>
  <si>
    <t>53450,2</t>
  </si>
  <si>
    <t>53896,1</t>
  </si>
  <si>
    <t>54250,3</t>
  </si>
  <si>
    <t>54471,2</t>
  </si>
  <si>
    <t>54768,2</t>
  </si>
  <si>
    <t>55061,9</t>
  </si>
  <si>
    <t>55360,7</t>
  </si>
  <si>
    <t>55708,5</t>
  </si>
  <si>
    <t>55983,9</t>
  </si>
  <si>
    <t>56329,7</t>
  </si>
  <si>
    <t>56961,9</t>
  </si>
  <si>
    <t>56968,0</t>
  </si>
  <si>
    <t>57169,4</t>
  </si>
  <si>
    <t>57676,8</t>
  </si>
  <si>
    <t>57477,8</t>
  </si>
  <si>
    <t>58111,7</t>
  </si>
  <si>
    <t>58422,4</t>
  </si>
  <si>
    <t>58743,1</t>
  </si>
  <si>
    <t>59219,7</t>
  </si>
  <si>
    <t>59516,4</t>
  </si>
  <si>
    <t>59783,4</t>
  </si>
  <si>
    <t>60207,1</t>
  </si>
  <si>
    <t>60479,7</t>
  </si>
  <si>
    <t>60761,7</t>
  </si>
  <si>
    <t>61073,9</t>
  </si>
  <si>
    <t>61366,3</t>
  </si>
  <si>
    <t>61654,3</t>
  </si>
  <si>
    <t>61998,3</t>
  </si>
  <si>
    <t>62304,5</t>
  </si>
  <si>
    <t>62675,6</t>
  </si>
  <si>
    <t>62990,6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</si>
</sst>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_ * #,##0.00_ ;_ * \-#,##0.00_ ;_ * &quot;-&quot;??_ ;_ @_ "/>
    <numFmt numFmtId="205" formatCode="dd/mm/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5" applyNumberFormat="0" applyAlignment="0" applyProtection="0"/>
    <xf numFmtId="179" fontId="1" fillId="0" borderId="0" applyFont="0" applyFill="0" applyBorder="0" applyAlignment="0" applyProtection="0"/>
  </cellStyleXfs>
  <cellXfs count="107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2" applyNumberFormat="1" applyFont="1" applyAlignment="1" applyProtection="1">
      <alignment horizontal="center" vertical="center"/>
      <protection locked="0"/>
    </xf>
    <xf numFmtId="0" fontId="5" fillId="3" borderId="0" xfId="0" applyFont="1" applyFill="1"/>
    <xf numFmtId="0" fontId="0" fillId="3" borderId="0" xfId="0" applyFill="1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5" fillId="3" borderId="3" xfId="0" applyFont="1" applyFill="1" applyBorder="1"/>
    <xf numFmtId="0" fontId="0" fillId="0" borderId="4" xfId="0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5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205" fontId="0" fillId="3" borderId="8" xfId="0" applyNumberFormat="1" applyFill="1" applyBorder="1" applyAlignment="1">
      <alignment horizontal="center"/>
    </xf>
    <xf numFmtId="205" fontId="0" fillId="0" borderId="8" xfId="0" applyNumberFormat="1" applyBorder="1" applyAlignment="1">
      <alignment horizontal="center"/>
    </xf>
    <xf numFmtId="205" fontId="5" fillId="0" borderId="4" xfId="0" applyNumberFormat="1" applyFont="1" applyBorder="1" applyAlignment="1">
      <alignment horizontal="center"/>
    </xf>
    <xf numFmtId="205" fontId="5" fillId="0" borderId="2" xfId="0" applyNumberFormat="1" applyFont="1" applyBorder="1" applyAlignment="1">
      <alignment horizontal="center"/>
    </xf>
    <xf numFmtId="205" fontId="0" fillId="0" borderId="2" xfId="0" applyNumberFormat="1" applyBorder="1" applyAlignment="1">
      <alignment horizontal="center"/>
    </xf>
    <xf numFmtId="205" fontId="0" fillId="0" borderId="0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05" fontId="6" fillId="3" borderId="0" xfId="0" applyNumberFormat="1" applyFont="1" applyFill="1" applyBorder="1" applyAlignment="1">
      <alignment horizontal="center"/>
    </xf>
    <xf numFmtId="205" fontId="6" fillId="0" borderId="0" xfId="0" applyNumberFormat="1" applyFont="1" applyBorder="1" applyAlignment="1">
      <alignment horizontal="center"/>
    </xf>
    <xf numFmtId="205" fontId="10" fillId="0" borderId="4" xfId="0" applyNumberFormat="1" applyFont="1" applyBorder="1" applyAlignment="1">
      <alignment horizontal="center"/>
    </xf>
    <xf numFmtId="205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05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8" xfId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</cellXfs>
  <cellStyles count="3">
    <cellStyle name="Check Cell" xfId="1" builtinId="23"/>
    <cellStyle name="Milliers_Classeur1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20" zoomScaleNormal="120" workbookViewId="0">
      <selection activeCell="G13" sqref="G13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10" customWidth="1"/>
    <col min="7" max="7" width="13" style="4" customWidth="1"/>
    <col min="8" max="8" width="11.5703125" style="10"/>
    <col min="9" max="9" width="11.5703125" style="2"/>
    <col min="10" max="10" width="11.5703125" style="10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16" t="s">
        <v>3</v>
      </c>
      <c r="E1" s="7" t="s">
        <v>4</v>
      </c>
      <c r="F1" s="54" t="s">
        <v>8</v>
      </c>
      <c r="G1" s="7" t="s">
        <v>5</v>
      </c>
      <c r="H1" s="54" t="s">
        <v>9</v>
      </c>
      <c r="I1" s="6" t="s">
        <v>6</v>
      </c>
      <c r="J1" s="54" t="s">
        <v>10</v>
      </c>
      <c r="K1" s="6" t="s">
        <v>7</v>
      </c>
    </row>
    <row r="2" spans="1:11" s="13" customFormat="1" x14ac:dyDescent="0.25">
      <c r="A2" s="17" t="s">
        <v>11</v>
      </c>
      <c r="B2" s="11">
        <v>1</v>
      </c>
      <c r="C2" s="3">
        <v>5</v>
      </c>
      <c r="D2" s="2">
        <v>2021</v>
      </c>
      <c r="E2" s="12">
        <f>Submetering!I2</f>
        <v>11796</v>
      </c>
      <c r="F2" s="3" t="s">
        <v>40</v>
      </c>
      <c r="G2" s="12">
        <f>Submetering!K2+Submetering!L2</f>
        <v>112.40000000000146</v>
      </c>
      <c r="H2" s="3">
        <v>11.09</v>
      </c>
      <c r="I2" s="12">
        <f>Submetering!J2</f>
        <v>156</v>
      </c>
      <c r="J2" s="3" t="s">
        <v>41</v>
      </c>
      <c r="K2" s="18">
        <v>20</v>
      </c>
    </row>
    <row r="3" spans="1:11" s="15" customFormat="1" x14ac:dyDescent="0.25">
      <c r="A3" s="17" t="s">
        <v>11</v>
      </c>
      <c r="B3" s="14">
        <f>B2+1</f>
        <v>2</v>
      </c>
      <c r="C3" s="75">
        <v>5</v>
      </c>
      <c r="D3" s="2">
        <v>2021</v>
      </c>
      <c r="E3" s="12">
        <f>Submetering!I3</f>
        <v>10387</v>
      </c>
      <c r="F3" s="3" t="str">
        <f>F2</f>
        <v>1.66</v>
      </c>
      <c r="G3" s="12">
        <f>Submetering!K3+Submetering!L3</f>
        <v>400.70000000000437</v>
      </c>
      <c r="H3" s="3">
        <f>H2</f>
        <v>11.09</v>
      </c>
      <c r="I3" s="12">
        <f>Submetering!J3</f>
        <v>165</v>
      </c>
      <c r="J3" s="3" t="str">
        <f>J2</f>
        <v>69.1</v>
      </c>
      <c r="K3" s="18">
        <v>20</v>
      </c>
    </row>
    <row r="4" spans="1:11" s="15" customFormat="1" x14ac:dyDescent="0.25">
      <c r="A4" s="17" t="s">
        <v>11</v>
      </c>
      <c r="B4" s="14">
        <f t="shared" ref="B4:B32" si="0">B3+1</f>
        <v>3</v>
      </c>
      <c r="C4" s="75">
        <v>5</v>
      </c>
      <c r="D4" s="2">
        <v>2021</v>
      </c>
      <c r="E4" s="12">
        <f>Submetering!I4</f>
        <v>9311</v>
      </c>
      <c r="F4" s="3" t="str">
        <f t="shared" ref="F4:F32" si="1">F3</f>
        <v>1.66</v>
      </c>
      <c r="G4" s="12">
        <f>Submetering!K4+Submetering!L4</f>
        <v>267.29999999999563</v>
      </c>
      <c r="H4" s="3">
        <f t="shared" ref="H4:H32" si="2">H3</f>
        <v>11.09</v>
      </c>
      <c r="I4" s="12">
        <f>Submetering!J4</f>
        <v>143</v>
      </c>
      <c r="J4" s="3" t="str">
        <f t="shared" ref="J4:J32" si="3">J3</f>
        <v>69.1</v>
      </c>
      <c r="K4" s="18">
        <v>20</v>
      </c>
    </row>
    <row r="5" spans="1:11" s="15" customFormat="1" x14ac:dyDescent="0.25">
      <c r="A5" s="17" t="s">
        <v>11</v>
      </c>
      <c r="B5" s="14">
        <f t="shared" si="0"/>
        <v>4</v>
      </c>
      <c r="C5" s="75">
        <v>5</v>
      </c>
      <c r="D5" s="2">
        <v>2021</v>
      </c>
      <c r="E5" s="12">
        <f>Submetering!I5</f>
        <v>4422</v>
      </c>
      <c r="F5" s="3" t="str">
        <f t="shared" si="1"/>
        <v>1.66</v>
      </c>
      <c r="G5" s="12">
        <f>Submetering!K5+Submetering!L5</f>
        <v>326.89999999999418</v>
      </c>
      <c r="H5" s="3">
        <f t="shared" si="2"/>
        <v>11.09</v>
      </c>
      <c r="I5" s="12">
        <f>Submetering!J5</f>
        <v>130</v>
      </c>
      <c r="J5" s="3" t="str">
        <f t="shared" si="3"/>
        <v>69.1</v>
      </c>
      <c r="K5" s="18">
        <v>20</v>
      </c>
    </row>
    <row r="6" spans="1:11" s="15" customFormat="1" x14ac:dyDescent="0.25">
      <c r="A6" s="17" t="s">
        <v>11</v>
      </c>
      <c r="B6" s="14">
        <f t="shared" si="0"/>
        <v>5</v>
      </c>
      <c r="C6" s="75">
        <v>5</v>
      </c>
      <c r="D6" s="2">
        <v>2021</v>
      </c>
      <c r="E6" s="12">
        <f>Submetering!I6</f>
        <v>10050</v>
      </c>
      <c r="F6" s="3" t="str">
        <f t="shared" si="1"/>
        <v>1.66</v>
      </c>
      <c r="G6" s="12">
        <f>Submetering!K6+Submetering!L6</f>
        <v>330.00000000000728</v>
      </c>
      <c r="H6" s="3">
        <f t="shared" si="2"/>
        <v>11.09</v>
      </c>
      <c r="I6" s="12">
        <f>Submetering!J6</f>
        <v>101</v>
      </c>
      <c r="J6" s="3" t="str">
        <f t="shared" si="3"/>
        <v>69.1</v>
      </c>
      <c r="K6" s="18">
        <v>20</v>
      </c>
    </row>
    <row r="7" spans="1:11" s="15" customFormat="1" x14ac:dyDescent="0.25">
      <c r="A7" s="17" t="s">
        <v>11</v>
      </c>
      <c r="B7" s="14">
        <f t="shared" si="0"/>
        <v>6</v>
      </c>
      <c r="C7" s="75">
        <v>5</v>
      </c>
      <c r="D7" s="2">
        <v>2021</v>
      </c>
      <c r="E7" s="12">
        <f>Submetering!I7</f>
        <v>8684</v>
      </c>
      <c r="F7" s="3" t="str">
        <f t="shared" si="1"/>
        <v>1.66</v>
      </c>
      <c r="G7" s="12">
        <f>Submetering!K7+Submetering!L7</f>
        <v>340.79999999999563</v>
      </c>
      <c r="H7" s="3">
        <f t="shared" si="2"/>
        <v>11.09</v>
      </c>
      <c r="I7" s="12">
        <f>Submetering!J7</f>
        <v>155</v>
      </c>
      <c r="J7" s="3" t="str">
        <f t="shared" si="3"/>
        <v>69.1</v>
      </c>
      <c r="K7" s="18">
        <v>20</v>
      </c>
    </row>
    <row r="8" spans="1:11" s="15" customFormat="1" x14ac:dyDescent="0.25">
      <c r="A8" s="17" t="s">
        <v>11</v>
      </c>
      <c r="B8" s="14">
        <f t="shared" si="0"/>
        <v>7</v>
      </c>
      <c r="C8" s="75">
        <v>5</v>
      </c>
      <c r="D8" s="2">
        <v>2021</v>
      </c>
      <c r="E8" s="12">
        <f>Submetering!I8</f>
        <v>9281</v>
      </c>
      <c r="F8" s="3" t="str">
        <f t="shared" si="1"/>
        <v>1.66</v>
      </c>
      <c r="G8" s="12">
        <f>Submetering!K8+Submetering!L8</f>
        <v>395.10000000000582</v>
      </c>
      <c r="H8" s="3">
        <f t="shared" si="2"/>
        <v>11.09</v>
      </c>
      <c r="I8" s="12">
        <f>Submetering!J8</f>
        <v>114</v>
      </c>
      <c r="J8" s="3" t="str">
        <f t="shared" si="3"/>
        <v>69.1</v>
      </c>
      <c r="K8" s="18">
        <v>20</v>
      </c>
    </row>
    <row r="9" spans="1:11" s="15" customFormat="1" x14ac:dyDescent="0.25">
      <c r="A9" s="17" t="s">
        <v>11</v>
      </c>
      <c r="B9" s="14">
        <f t="shared" si="0"/>
        <v>8</v>
      </c>
      <c r="C9" s="75">
        <v>5</v>
      </c>
      <c r="D9" s="2">
        <v>2021</v>
      </c>
      <c r="E9" s="12">
        <f>Submetering!I9</f>
        <v>7734</v>
      </c>
      <c r="F9" s="3" t="str">
        <f t="shared" si="1"/>
        <v>1.66</v>
      </c>
      <c r="G9" s="12">
        <f>Submetering!K9+Submetering!L9</f>
        <v>313.69999999999709</v>
      </c>
      <c r="H9" s="3">
        <f t="shared" si="2"/>
        <v>11.09</v>
      </c>
      <c r="I9" s="12">
        <f>Submetering!J9</f>
        <v>161</v>
      </c>
      <c r="J9" s="3" t="str">
        <f t="shared" si="3"/>
        <v>69.1</v>
      </c>
      <c r="K9" s="18">
        <v>48</v>
      </c>
    </row>
    <row r="10" spans="1:11" s="15" customFormat="1" x14ac:dyDescent="0.25">
      <c r="A10" s="17" t="s">
        <v>11</v>
      </c>
      <c r="B10" s="14">
        <f t="shared" si="0"/>
        <v>9</v>
      </c>
      <c r="C10" s="75">
        <v>5</v>
      </c>
      <c r="D10" s="2">
        <v>2021</v>
      </c>
      <c r="E10" s="12">
        <f>Submetering!I10</f>
        <v>9778</v>
      </c>
      <c r="F10" s="3" t="str">
        <f t="shared" si="1"/>
        <v>1.66</v>
      </c>
      <c r="G10" s="12">
        <f>Submetering!K10+Submetering!L10</f>
        <v>382.5</v>
      </c>
      <c r="H10" s="3">
        <f t="shared" si="2"/>
        <v>11.09</v>
      </c>
      <c r="I10" s="12">
        <f>Submetering!J10</f>
        <v>130</v>
      </c>
      <c r="J10" s="3" t="str">
        <f t="shared" si="3"/>
        <v>69.1</v>
      </c>
      <c r="K10" s="18">
        <v>20</v>
      </c>
    </row>
    <row r="11" spans="1:11" s="15" customFormat="1" x14ac:dyDescent="0.25">
      <c r="A11" s="17" t="s">
        <v>11</v>
      </c>
      <c r="B11" s="14">
        <f t="shared" si="0"/>
        <v>10</v>
      </c>
      <c r="C11" s="75">
        <v>5</v>
      </c>
      <c r="D11" s="2">
        <v>2021</v>
      </c>
      <c r="E11" s="12">
        <f>Submetering!I11</f>
        <v>13209</v>
      </c>
      <c r="F11" s="3" t="str">
        <f t="shared" si="1"/>
        <v>1.66</v>
      </c>
      <c r="G11" s="12">
        <f>Submetering!K11+Submetering!L11</f>
        <v>736.90000000000146</v>
      </c>
      <c r="H11" s="3">
        <f t="shared" si="2"/>
        <v>11.09</v>
      </c>
      <c r="I11" s="12">
        <f>Submetering!J11</f>
        <v>88</v>
      </c>
      <c r="J11" s="3" t="str">
        <f t="shared" si="3"/>
        <v>69.1</v>
      </c>
      <c r="K11" s="18">
        <v>13</v>
      </c>
    </row>
    <row r="12" spans="1:11" s="15" customFormat="1" x14ac:dyDescent="0.25">
      <c r="A12" s="17" t="s">
        <v>11</v>
      </c>
      <c r="B12" s="14">
        <f t="shared" si="0"/>
        <v>11</v>
      </c>
      <c r="C12" s="75">
        <v>5</v>
      </c>
      <c r="D12" s="2">
        <v>2021</v>
      </c>
      <c r="E12" s="12">
        <f>Submetering!I12</f>
        <v>3941</v>
      </c>
      <c r="F12" s="3" t="str">
        <f t="shared" si="1"/>
        <v>1.66</v>
      </c>
      <c r="G12" s="12">
        <f>Submetering!K12+Submetering!L12</f>
        <v>9.0999999999985448</v>
      </c>
      <c r="H12" s="3">
        <f t="shared" si="2"/>
        <v>11.09</v>
      </c>
      <c r="I12" s="12">
        <f>Submetering!J12</f>
        <v>116</v>
      </c>
      <c r="J12" s="3" t="str">
        <f t="shared" si="3"/>
        <v>69.1</v>
      </c>
      <c r="K12" s="18">
        <v>16</v>
      </c>
    </row>
    <row r="13" spans="1:11" s="15" customFormat="1" x14ac:dyDescent="0.25">
      <c r="A13" s="17" t="s">
        <v>11</v>
      </c>
      <c r="B13" s="14">
        <f t="shared" si="0"/>
        <v>12</v>
      </c>
      <c r="C13" s="75">
        <v>5</v>
      </c>
      <c r="D13" s="2">
        <v>2021</v>
      </c>
      <c r="E13" s="12">
        <f>Submetering!I13</f>
        <v>8758</v>
      </c>
      <c r="F13" s="3" t="str">
        <f t="shared" si="1"/>
        <v>1.66</v>
      </c>
      <c r="G13" s="12">
        <f>Submetering!K13+Submetering!L13</f>
        <v>230.90000000000146</v>
      </c>
      <c r="H13" s="3">
        <f t="shared" si="2"/>
        <v>11.09</v>
      </c>
      <c r="I13" s="12">
        <f>Submetering!J13</f>
        <v>193</v>
      </c>
      <c r="J13" s="3" t="str">
        <f t="shared" si="3"/>
        <v>69.1</v>
      </c>
      <c r="K13" s="18">
        <v>15</v>
      </c>
    </row>
    <row r="14" spans="1:11" s="15" customFormat="1" x14ac:dyDescent="0.25">
      <c r="A14" s="17" t="s">
        <v>11</v>
      </c>
      <c r="B14" s="14">
        <f t="shared" si="0"/>
        <v>13</v>
      </c>
      <c r="C14" s="75">
        <v>5</v>
      </c>
      <c r="D14" s="2">
        <v>2021</v>
      </c>
      <c r="E14" s="12">
        <f>Submetering!I14</f>
        <v>9266</v>
      </c>
      <c r="F14" s="3" t="str">
        <f t="shared" si="1"/>
        <v>1.66</v>
      </c>
      <c r="G14" s="12">
        <f>Submetering!K14+Submetering!L14</f>
        <v>352.90000000000146</v>
      </c>
      <c r="H14" s="3">
        <f t="shared" si="2"/>
        <v>11.09</v>
      </c>
      <c r="I14" s="12">
        <f>Submetering!J14</f>
        <v>126</v>
      </c>
      <c r="J14" s="3" t="str">
        <f t="shared" si="3"/>
        <v>69.1</v>
      </c>
      <c r="K14" s="18">
        <v>15</v>
      </c>
    </row>
    <row r="15" spans="1:11" s="15" customFormat="1" x14ac:dyDescent="0.25">
      <c r="A15" s="17" t="s">
        <v>11</v>
      </c>
      <c r="B15" s="14">
        <f t="shared" si="0"/>
        <v>14</v>
      </c>
      <c r="C15" s="75">
        <v>5</v>
      </c>
      <c r="D15" s="2">
        <v>2021</v>
      </c>
      <c r="E15" s="12">
        <f>Submetering!I15</f>
        <v>6317</v>
      </c>
      <c r="F15" s="3" t="str">
        <f t="shared" si="1"/>
        <v>1.66</v>
      </c>
      <c r="G15" s="12">
        <f>Submetering!K15+Submetering!L15</f>
        <v>229.09999999999854</v>
      </c>
      <c r="H15" s="3">
        <f t="shared" si="2"/>
        <v>11.09</v>
      </c>
      <c r="I15" s="12">
        <f>Submetering!J15</f>
        <v>84</v>
      </c>
      <c r="J15" s="3" t="str">
        <f t="shared" si="3"/>
        <v>69.1</v>
      </c>
      <c r="K15" s="18">
        <v>25</v>
      </c>
    </row>
    <row r="16" spans="1:11" s="15" customFormat="1" x14ac:dyDescent="0.25">
      <c r="A16" s="17" t="s">
        <v>11</v>
      </c>
      <c r="B16" s="14">
        <f t="shared" si="0"/>
        <v>15</v>
      </c>
      <c r="C16" s="75">
        <v>5</v>
      </c>
      <c r="D16" s="2">
        <v>2021</v>
      </c>
      <c r="E16" s="12">
        <f>Submetering!I16</f>
        <v>10435</v>
      </c>
      <c r="F16" s="3" t="str">
        <f t="shared" si="1"/>
        <v>1.66</v>
      </c>
      <c r="G16" s="12">
        <f>Submetering!K16+Submetering!L16</f>
        <v>481.49999999999272</v>
      </c>
      <c r="H16" s="3">
        <f t="shared" si="2"/>
        <v>11.09</v>
      </c>
      <c r="I16" s="12">
        <f>Submetering!J16</f>
        <v>187</v>
      </c>
      <c r="J16" s="3" t="str">
        <f t="shared" si="3"/>
        <v>69.1</v>
      </c>
      <c r="K16" s="18">
        <v>37</v>
      </c>
    </row>
    <row r="17" spans="1:11" s="15" customFormat="1" x14ac:dyDescent="0.25">
      <c r="A17" s="17" t="s">
        <v>11</v>
      </c>
      <c r="B17" s="14">
        <f t="shared" si="0"/>
        <v>16</v>
      </c>
      <c r="C17" s="75">
        <v>5</v>
      </c>
      <c r="D17" s="2">
        <v>2021</v>
      </c>
      <c r="E17" s="12">
        <f>Submetering!I17</f>
        <v>10477</v>
      </c>
      <c r="F17" s="3" t="str">
        <f t="shared" si="1"/>
        <v>1.66</v>
      </c>
      <c r="G17" s="12">
        <f>Submetering!K17+Submetering!L17</f>
        <v>366.80000000001019</v>
      </c>
      <c r="H17" s="3">
        <f t="shared" si="2"/>
        <v>11.09</v>
      </c>
      <c r="I17" s="12">
        <f>Submetering!J17</f>
        <v>173</v>
      </c>
      <c r="J17" s="3" t="str">
        <f t="shared" si="3"/>
        <v>69.1</v>
      </c>
      <c r="K17" s="18">
        <v>17</v>
      </c>
    </row>
    <row r="18" spans="1:11" s="15" customFormat="1" x14ac:dyDescent="0.25">
      <c r="A18" s="17" t="s">
        <v>11</v>
      </c>
      <c r="B18" s="14">
        <f t="shared" si="0"/>
        <v>17</v>
      </c>
      <c r="C18" s="75">
        <v>5</v>
      </c>
      <c r="D18" s="2">
        <v>2021</v>
      </c>
      <c r="E18" s="12">
        <f>Submetering!I18</f>
        <v>9288</v>
      </c>
      <c r="F18" s="3" t="str">
        <f t="shared" si="1"/>
        <v>1.66</v>
      </c>
      <c r="G18" s="12">
        <f>Submetering!K18+Submetering!L18</f>
        <v>368.59999999999127</v>
      </c>
      <c r="H18" s="3">
        <f t="shared" si="2"/>
        <v>11.09</v>
      </c>
      <c r="I18" s="12">
        <f>Submetering!J18</f>
        <v>129</v>
      </c>
      <c r="J18" s="3" t="str">
        <f t="shared" si="3"/>
        <v>69.1</v>
      </c>
      <c r="K18" s="18">
        <v>11</v>
      </c>
    </row>
    <row r="19" spans="1:11" s="15" customFormat="1" x14ac:dyDescent="0.25">
      <c r="A19" s="17" t="s">
        <v>11</v>
      </c>
      <c r="B19" s="14">
        <f t="shared" si="0"/>
        <v>18</v>
      </c>
      <c r="C19" s="75">
        <v>5</v>
      </c>
      <c r="D19" s="2">
        <v>2021</v>
      </c>
      <c r="E19" s="12">
        <f>Submetering!I19</f>
        <v>5246</v>
      </c>
      <c r="F19" s="3" t="str">
        <f t="shared" si="1"/>
        <v>1.66</v>
      </c>
      <c r="G19" s="12">
        <f>Submetering!K19+Submetering!L19</f>
        <v>200.60000000000582</v>
      </c>
      <c r="H19" s="3">
        <f t="shared" si="2"/>
        <v>11.09</v>
      </c>
      <c r="I19" s="12">
        <f>Submetering!J19</f>
        <v>147</v>
      </c>
      <c r="J19" s="3" t="str">
        <f t="shared" si="3"/>
        <v>69.1</v>
      </c>
      <c r="K19" s="18">
        <v>29</v>
      </c>
    </row>
    <row r="20" spans="1:11" s="15" customFormat="1" x14ac:dyDescent="0.25">
      <c r="A20" s="17" t="s">
        <v>11</v>
      </c>
      <c r="B20" s="14">
        <f t="shared" si="0"/>
        <v>19</v>
      </c>
      <c r="C20" s="75">
        <v>5</v>
      </c>
      <c r="D20" s="2">
        <v>2021</v>
      </c>
      <c r="E20" s="12">
        <f>Submetering!I20</f>
        <v>7546</v>
      </c>
      <c r="F20" s="3" t="str">
        <f t="shared" si="1"/>
        <v>1.66</v>
      </c>
      <c r="G20" s="12">
        <f>Submetering!K20+Submetering!L20</f>
        <v>347.59999999999854</v>
      </c>
      <c r="H20" s="3">
        <f t="shared" si="2"/>
        <v>11.09</v>
      </c>
      <c r="I20" s="12">
        <f>Submetering!J20</f>
        <v>158</v>
      </c>
      <c r="J20" s="3" t="str">
        <f t="shared" si="3"/>
        <v>69.1</v>
      </c>
      <c r="K20" s="18">
        <v>7</v>
      </c>
    </row>
    <row r="21" spans="1:11" s="15" customFormat="1" x14ac:dyDescent="0.25">
      <c r="A21" s="17" t="s">
        <v>11</v>
      </c>
      <c r="B21" s="14">
        <f t="shared" si="0"/>
        <v>20</v>
      </c>
      <c r="C21" s="75">
        <v>5</v>
      </c>
      <c r="D21" s="2">
        <v>2021</v>
      </c>
      <c r="E21" s="12">
        <f>Submetering!I21</f>
        <v>8788</v>
      </c>
      <c r="F21" s="3" t="str">
        <f t="shared" si="1"/>
        <v>1.66</v>
      </c>
      <c r="G21" s="12">
        <f>Submetering!K21+Submetering!L21</f>
        <v>341.30000000000291</v>
      </c>
      <c r="H21" s="3">
        <f t="shared" si="2"/>
        <v>11.09</v>
      </c>
      <c r="I21" s="12">
        <f>Submetering!J21</f>
        <v>148</v>
      </c>
      <c r="J21" s="3" t="str">
        <f t="shared" si="3"/>
        <v>69.1</v>
      </c>
      <c r="K21" s="18">
        <v>6</v>
      </c>
    </row>
    <row r="22" spans="1:11" s="15" customFormat="1" x14ac:dyDescent="0.25">
      <c r="A22" s="17" t="s">
        <v>11</v>
      </c>
      <c r="B22" s="14">
        <f t="shared" si="0"/>
        <v>21</v>
      </c>
      <c r="C22" s="75">
        <v>5</v>
      </c>
      <c r="D22" s="2">
        <v>2021</v>
      </c>
      <c r="E22" s="12">
        <f>Submetering!I22</f>
        <v>8069</v>
      </c>
      <c r="F22" s="3" t="str">
        <f t="shared" si="1"/>
        <v>1.66</v>
      </c>
      <c r="G22" s="12">
        <f>Submetering!K22+Submetering!L22</f>
        <v>305.79999999999563</v>
      </c>
      <c r="H22" s="3">
        <f t="shared" si="2"/>
        <v>11.09</v>
      </c>
      <c r="I22" s="12">
        <f>Submetering!J22</f>
        <v>211</v>
      </c>
      <c r="J22" s="3" t="str">
        <f t="shared" si="3"/>
        <v>69.1</v>
      </c>
      <c r="K22" s="18">
        <v>22</v>
      </c>
    </row>
    <row r="23" spans="1:11" s="15" customFormat="1" x14ac:dyDescent="0.25">
      <c r="A23" s="17" t="s">
        <v>11</v>
      </c>
      <c r="B23" s="14">
        <f t="shared" si="0"/>
        <v>22</v>
      </c>
      <c r="C23" s="75">
        <v>5</v>
      </c>
      <c r="D23" s="2">
        <v>2021</v>
      </c>
      <c r="E23" s="12">
        <f>Submetering!I23</f>
        <v>8918</v>
      </c>
      <c r="F23" s="3" t="str">
        <f t="shared" si="1"/>
        <v>1.66</v>
      </c>
      <c r="G23" s="12">
        <f>Submetering!K23+Submetering!L23</f>
        <v>554.19999999999709</v>
      </c>
      <c r="H23" s="3">
        <f t="shared" si="2"/>
        <v>11.09</v>
      </c>
      <c r="I23" s="12">
        <f>Submetering!J23</f>
        <v>219</v>
      </c>
      <c r="J23" s="3" t="str">
        <f t="shared" si="3"/>
        <v>69.1</v>
      </c>
      <c r="K23" s="18">
        <v>41</v>
      </c>
    </row>
    <row r="24" spans="1:11" s="15" customFormat="1" x14ac:dyDescent="0.25">
      <c r="A24" s="17" t="s">
        <v>11</v>
      </c>
      <c r="B24" s="14">
        <f t="shared" si="0"/>
        <v>23</v>
      </c>
      <c r="C24" s="75">
        <v>5</v>
      </c>
      <c r="D24" s="2">
        <v>2021</v>
      </c>
      <c r="E24" s="12">
        <f>Submetering!I24</f>
        <v>10720</v>
      </c>
      <c r="F24" s="3" t="str">
        <f t="shared" si="1"/>
        <v>1.66</v>
      </c>
      <c r="G24" s="12">
        <f>Submetering!K24+Submetering!L24</f>
        <v>335.70000000000437</v>
      </c>
      <c r="H24" s="3">
        <f t="shared" si="2"/>
        <v>11.09</v>
      </c>
      <c r="I24" s="12">
        <f>Submetering!J24</f>
        <v>165</v>
      </c>
      <c r="J24" s="3" t="str">
        <f t="shared" si="3"/>
        <v>69.1</v>
      </c>
      <c r="K24" s="18">
        <v>40</v>
      </c>
    </row>
    <row r="25" spans="1:11" s="15" customFormat="1" x14ac:dyDescent="0.25">
      <c r="A25" s="17" t="s">
        <v>11</v>
      </c>
      <c r="B25" s="14">
        <f t="shared" si="0"/>
        <v>24</v>
      </c>
      <c r="C25" s="75">
        <v>5</v>
      </c>
      <c r="D25" s="2">
        <v>2021</v>
      </c>
      <c r="E25" s="12">
        <f>Submetering!I25</f>
        <v>8937</v>
      </c>
      <c r="F25" s="3" t="str">
        <f t="shared" si="1"/>
        <v>1.66</v>
      </c>
      <c r="G25" s="12">
        <f>Submetering!K25+Submetering!L25</f>
        <v>286.09999999999854</v>
      </c>
      <c r="H25" s="3">
        <f t="shared" si="2"/>
        <v>11.09</v>
      </c>
      <c r="I25" s="12">
        <f>Submetering!J25</f>
        <v>110</v>
      </c>
      <c r="J25" s="3" t="str">
        <f t="shared" si="3"/>
        <v>69.1</v>
      </c>
      <c r="K25" s="18">
        <v>35</v>
      </c>
    </row>
    <row r="26" spans="1:11" s="15" customFormat="1" x14ac:dyDescent="0.25">
      <c r="A26" s="17" t="s">
        <v>11</v>
      </c>
      <c r="B26" s="14">
        <f>B25+1</f>
        <v>25</v>
      </c>
      <c r="C26" s="75">
        <v>5</v>
      </c>
      <c r="D26" s="2">
        <v>2021</v>
      </c>
      <c r="E26" s="12">
        <f>Submetering!I26</f>
        <v>7563</v>
      </c>
      <c r="F26" s="3" t="str">
        <f t="shared" si="1"/>
        <v>1.66</v>
      </c>
      <c r="G26" s="12">
        <f>Submetering!K26+Submetering!L26</f>
        <v>323.20000000000437</v>
      </c>
      <c r="H26" s="3">
        <f t="shared" si="2"/>
        <v>11.09</v>
      </c>
      <c r="I26" s="12">
        <f>Submetering!J26</f>
        <v>162</v>
      </c>
      <c r="J26" s="3" t="str">
        <f t="shared" si="3"/>
        <v>69.1</v>
      </c>
      <c r="K26" s="18">
        <v>11</v>
      </c>
    </row>
    <row r="27" spans="1:11" s="15" customFormat="1" x14ac:dyDescent="0.25">
      <c r="A27" s="17" t="s">
        <v>11</v>
      </c>
      <c r="B27" s="14">
        <f t="shared" si="0"/>
        <v>26</v>
      </c>
      <c r="C27" s="75">
        <v>5</v>
      </c>
      <c r="D27" s="2">
        <v>2021</v>
      </c>
      <c r="E27" s="12">
        <f>Submetering!I27</f>
        <v>11079</v>
      </c>
      <c r="F27" s="3" t="str">
        <f t="shared" si="1"/>
        <v>1.66</v>
      </c>
      <c r="G27" s="12">
        <f>Submetering!K27+Submetering!L27</f>
        <v>304.40000000000146</v>
      </c>
      <c r="H27" s="3">
        <f t="shared" si="2"/>
        <v>11.09</v>
      </c>
      <c r="I27" s="12">
        <f>Submetering!J27</f>
        <v>124</v>
      </c>
      <c r="J27" s="3" t="str">
        <f t="shared" si="3"/>
        <v>69.1</v>
      </c>
      <c r="K27" s="18">
        <v>6</v>
      </c>
    </row>
    <row r="28" spans="1:11" s="15" customFormat="1" x14ac:dyDescent="0.25">
      <c r="A28" s="17" t="s">
        <v>11</v>
      </c>
      <c r="B28" s="14">
        <f t="shared" si="0"/>
        <v>27</v>
      </c>
      <c r="C28" s="75">
        <v>5</v>
      </c>
      <c r="D28" s="2">
        <v>2021</v>
      </c>
      <c r="E28" s="12">
        <f>Submetering!I28</f>
        <v>8795</v>
      </c>
      <c r="F28" s="3" t="str">
        <f t="shared" si="1"/>
        <v>1.66</v>
      </c>
      <c r="G28" s="12">
        <f>Submetering!K28+Submetering!L28</f>
        <v>330.09999999999854</v>
      </c>
      <c r="H28" s="3">
        <f t="shared" si="2"/>
        <v>11.09</v>
      </c>
      <c r="I28" s="12">
        <f>Submetering!J28</f>
        <v>135</v>
      </c>
      <c r="J28" s="3" t="str">
        <f t="shared" si="3"/>
        <v>69.1</v>
      </c>
      <c r="K28" s="18">
        <v>9</v>
      </c>
    </row>
    <row r="29" spans="1:11" s="15" customFormat="1" x14ac:dyDescent="0.25">
      <c r="A29" s="17" t="s">
        <v>11</v>
      </c>
      <c r="B29" s="14">
        <f t="shared" si="0"/>
        <v>28</v>
      </c>
      <c r="C29" s="75">
        <v>5</v>
      </c>
      <c r="D29" s="2">
        <v>2021</v>
      </c>
      <c r="E29" s="12">
        <f>Submetering!I29</f>
        <v>9110</v>
      </c>
      <c r="F29" s="3" t="str">
        <f t="shared" si="1"/>
        <v>1.66</v>
      </c>
      <c r="G29" s="12">
        <f>Submetering!K29+Submetering!L29</f>
        <v>359.90000000000146</v>
      </c>
      <c r="H29" s="3">
        <f t="shared" si="2"/>
        <v>11.09</v>
      </c>
      <c r="I29" s="12">
        <f>Submetering!J29</f>
        <v>137</v>
      </c>
      <c r="J29" s="3" t="str">
        <f t="shared" si="3"/>
        <v>69.1</v>
      </c>
      <c r="K29" s="18">
        <v>12</v>
      </c>
    </row>
    <row r="30" spans="1:11" s="15" customFormat="1" x14ac:dyDescent="0.25">
      <c r="A30" s="17" t="s">
        <v>11</v>
      </c>
      <c r="B30" s="14">
        <f t="shared" si="0"/>
        <v>29</v>
      </c>
      <c r="C30" s="75">
        <v>5</v>
      </c>
      <c r="D30" s="2">
        <v>2021</v>
      </c>
      <c r="E30" s="12">
        <f>Submetering!I30</f>
        <v>8567</v>
      </c>
      <c r="F30" s="3" t="str">
        <f t="shared" si="1"/>
        <v>1.66</v>
      </c>
      <c r="G30" s="12">
        <f>Submetering!K30+Submetering!L30</f>
        <v>343.59999999999854</v>
      </c>
      <c r="H30" s="3">
        <f t="shared" si="2"/>
        <v>11.09</v>
      </c>
      <c r="I30" s="12">
        <f>Submetering!J30</f>
        <v>148</v>
      </c>
      <c r="J30" s="3" t="str">
        <f t="shared" si="3"/>
        <v>69.1</v>
      </c>
      <c r="K30" s="18">
        <v>24</v>
      </c>
    </row>
    <row r="31" spans="1:11" s="13" customFormat="1" x14ac:dyDescent="0.25">
      <c r="A31" s="17" t="s">
        <v>11</v>
      </c>
      <c r="B31" s="14">
        <f t="shared" si="0"/>
        <v>30</v>
      </c>
      <c r="C31" s="75">
        <v>5</v>
      </c>
      <c r="D31" s="2">
        <v>2021</v>
      </c>
      <c r="E31" s="12">
        <f>Submetering!I31</f>
        <v>10170</v>
      </c>
      <c r="F31" s="3" t="str">
        <f t="shared" si="1"/>
        <v>1.66</v>
      </c>
      <c r="G31" s="12">
        <f>Submetering!K31+Submetering!L31</f>
        <v>422.89999999999418</v>
      </c>
      <c r="H31" s="3">
        <f t="shared" si="2"/>
        <v>11.09</v>
      </c>
      <c r="I31" s="12">
        <f>Submetering!J31</f>
        <v>154</v>
      </c>
      <c r="J31" s="3" t="str">
        <f t="shared" si="3"/>
        <v>69.1</v>
      </c>
      <c r="K31" s="18">
        <v>11</v>
      </c>
    </row>
    <row r="32" spans="1:11" x14ac:dyDescent="0.25">
      <c r="A32" s="17" t="s">
        <v>11</v>
      </c>
      <c r="B32" s="14">
        <f t="shared" si="0"/>
        <v>31</v>
      </c>
      <c r="C32" s="75">
        <v>5</v>
      </c>
      <c r="D32" s="2">
        <v>2021</v>
      </c>
      <c r="E32" s="12">
        <f>Submetering!I32</f>
        <v>9318</v>
      </c>
      <c r="F32" s="75" t="str">
        <f t="shared" si="1"/>
        <v>1.66</v>
      </c>
      <c r="G32" s="12">
        <f>Submetering!K32+Submetering!L32</f>
        <v>357.40000000000146</v>
      </c>
      <c r="H32" s="75">
        <f t="shared" si="2"/>
        <v>11.09</v>
      </c>
      <c r="I32" s="12">
        <f>Submetering!J32</f>
        <v>150</v>
      </c>
      <c r="J32" s="75" t="str">
        <f t="shared" si="3"/>
        <v>69.1</v>
      </c>
      <c r="K32" s="1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2"/>
  <sheetViews>
    <sheetView tabSelected="1" workbookViewId="0">
      <selection activeCell="H8" sqref="H8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7" width="13" style="4" customWidth="1"/>
    <col min="8" max="13" width="11.5703125" style="2"/>
  </cols>
  <sheetData>
    <row r="1" spans="1:13" s="1" customFormat="1" ht="60" customHeight="1" x14ac:dyDescent="0.25">
      <c r="A1" s="46" t="s">
        <v>0</v>
      </c>
      <c r="B1" s="46" t="s">
        <v>1</v>
      </c>
      <c r="C1" s="47" t="s">
        <v>2</v>
      </c>
      <c r="D1" s="46" t="s">
        <v>3</v>
      </c>
      <c r="E1" s="48" t="s">
        <v>31</v>
      </c>
      <c r="F1" s="46" t="s">
        <v>32</v>
      </c>
      <c r="G1" s="49" t="s">
        <v>33</v>
      </c>
      <c r="H1" s="46" t="s">
        <v>34</v>
      </c>
      <c r="I1" s="46" t="s">
        <v>35</v>
      </c>
      <c r="J1" s="46" t="s">
        <v>36</v>
      </c>
      <c r="K1" s="46" t="s">
        <v>37</v>
      </c>
      <c r="L1" s="46" t="s">
        <v>38</v>
      </c>
      <c r="M1" s="46" t="s">
        <v>7</v>
      </c>
    </row>
    <row r="2" spans="1:13" s="13" customFormat="1" x14ac:dyDescent="0.25">
      <c r="A2" s="17" t="s">
        <v>11</v>
      </c>
      <c r="B2" s="11">
        <v>1</v>
      </c>
      <c r="C2" s="3">
        <v>5</v>
      </c>
      <c r="D2" s="2">
        <v>2021</v>
      </c>
      <c r="E2" s="12">
        <f>' ELEC MAY 2021'!D7*100</f>
        <v>5100</v>
      </c>
      <c r="F2" s="11">
        <f>' ELEC MAY 2021'!F7*100</f>
        <v>2700</v>
      </c>
      <c r="G2" s="12">
        <f>' ELEC MAY 2021'!H7*100</f>
        <v>1900</v>
      </c>
      <c r="H2" s="11">
        <f>' ELEC MAY 2021'!J7*100</f>
        <v>1000</v>
      </c>
      <c r="I2" s="12">
        <f>' ELEC MAY 2021'!L7</f>
        <v>11796</v>
      </c>
      <c r="J2" s="12">
        <f>' WATER MAY 2021'!E5</f>
        <v>156</v>
      </c>
      <c r="K2" s="12">
        <f>'GAS MAY 2021'!I5</f>
        <v>56.400000000001455</v>
      </c>
      <c r="L2" s="12" t="s">
        <v>42</v>
      </c>
      <c r="M2" s="18">
        <v>20</v>
      </c>
    </row>
    <row r="3" spans="1:13" s="15" customFormat="1" x14ac:dyDescent="0.25">
      <c r="A3" s="17" t="s">
        <v>11</v>
      </c>
      <c r="B3" s="14">
        <f>B2+1</f>
        <v>2</v>
      </c>
      <c r="C3" s="75">
        <v>5</v>
      </c>
      <c r="D3" s="2">
        <v>2021</v>
      </c>
      <c r="E3" s="12">
        <f>' ELEC MAY 2021'!D8*100</f>
        <v>3900</v>
      </c>
      <c r="F3" s="11">
        <f>' ELEC MAY 2021'!F8*100</f>
        <v>2400</v>
      </c>
      <c r="G3" s="12">
        <f>' ELEC MAY 2021'!H8*100</f>
        <v>1800</v>
      </c>
      <c r="H3" s="11">
        <f>' ELEC MAY 2021'!J8*100</f>
        <v>1900</v>
      </c>
      <c r="I3" s="12">
        <f>' ELEC MAY 2021'!L8</f>
        <v>10387</v>
      </c>
      <c r="J3" s="12">
        <f>' WATER MAY 2021'!E6</f>
        <v>165</v>
      </c>
      <c r="K3" s="12">
        <f>'GAS MAY 2021'!I6</f>
        <v>46.5</v>
      </c>
      <c r="L3" s="12">
        <f>'GAS MAY 2021'!K6</f>
        <v>354.20000000000437</v>
      </c>
      <c r="M3" s="18">
        <v>20</v>
      </c>
    </row>
    <row r="4" spans="1:13" s="15" customFormat="1" x14ac:dyDescent="0.25">
      <c r="A4" s="17" t="s">
        <v>11</v>
      </c>
      <c r="B4" s="14">
        <f t="shared" ref="B4:B32" si="0">B3+1</f>
        <v>3</v>
      </c>
      <c r="C4" s="75">
        <v>5</v>
      </c>
      <c r="D4" s="2">
        <v>2021</v>
      </c>
      <c r="E4" s="12">
        <f>' ELEC MAY 2021'!D9*100</f>
        <v>2700</v>
      </c>
      <c r="F4" s="11">
        <f>' ELEC MAY 2021'!F9*100</f>
        <v>2100</v>
      </c>
      <c r="G4" s="12">
        <f>' ELEC MAY 2021'!H9*100</f>
        <v>1500</v>
      </c>
      <c r="H4" s="11">
        <f>' ELEC MAY 2021'!J9*100</f>
        <v>1000</v>
      </c>
      <c r="I4" s="12">
        <f>' ELEC MAY 2021'!L9</f>
        <v>9311</v>
      </c>
      <c r="J4" s="12">
        <f>' WATER MAY 2021'!E7</f>
        <v>143</v>
      </c>
      <c r="K4" s="12">
        <f>'GAS MAY 2021'!I7</f>
        <v>46.400000000001455</v>
      </c>
      <c r="L4" s="12">
        <f>'GAS MAY 2021'!K7</f>
        <v>220.89999999999418</v>
      </c>
      <c r="M4" s="18">
        <v>20</v>
      </c>
    </row>
    <row r="5" spans="1:13" s="15" customFormat="1" x14ac:dyDescent="0.25">
      <c r="A5" s="17" t="s">
        <v>11</v>
      </c>
      <c r="B5" s="14">
        <f t="shared" si="0"/>
        <v>4</v>
      </c>
      <c r="C5" s="75">
        <v>5</v>
      </c>
      <c r="D5" s="2">
        <v>2021</v>
      </c>
      <c r="E5" s="12">
        <f>' ELEC MAY 2021'!D10*100</f>
        <v>1900</v>
      </c>
      <c r="F5" s="11">
        <f>' ELEC MAY 2021'!F10*100</f>
        <v>1600</v>
      </c>
      <c r="G5" s="12">
        <f>' ELEC MAY 2021'!H10*100</f>
        <v>1200</v>
      </c>
      <c r="H5" s="11">
        <f>' ELEC MAY 2021'!J10*100</f>
        <v>1200</v>
      </c>
      <c r="I5" s="12">
        <f>' ELEC MAY 2021'!L10</f>
        <v>4422</v>
      </c>
      <c r="J5" s="12">
        <f>' WATER MAY 2021'!E8</f>
        <v>130</v>
      </c>
      <c r="K5" s="12">
        <f>'GAS MAY 2021'!I8</f>
        <v>29.899999999994179</v>
      </c>
      <c r="L5" s="12">
        <f>'GAS MAY 2021'!K8</f>
        <v>297</v>
      </c>
      <c r="M5" s="18">
        <v>20</v>
      </c>
    </row>
    <row r="6" spans="1:13" s="15" customFormat="1" x14ac:dyDescent="0.25">
      <c r="A6" s="17" t="s">
        <v>11</v>
      </c>
      <c r="B6" s="14">
        <f t="shared" si="0"/>
        <v>5</v>
      </c>
      <c r="C6" s="75">
        <v>5</v>
      </c>
      <c r="D6" s="2">
        <v>2021</v>
      </c>
      <c r="E6" s="12">
        <f>' ELEC MAY 2021'!D11*100</f>
        <v>2200</v>
      </c>
      <c r="F6" s="11">
        <f>' ELEC MAY 2021'!F11*100</f>
        <v>1600</v>
      </c>
      <c r="G6" s="12">
        <f>' ELEC MAY 2021'!H11*100</f>
        <v>1400</v>
      </c>
      <c r="H6" s="11">
        <f>' ELEC MAY 2021'!J11*100</f>
        <v>1400</v>
      </c>
      <c r="I6" s="12">
        <f>' ELEC MAY 2021'!L11</f>
        <v>10050</v>
      </c>
      <c r="J6" s="12">
        <f>' WATER MAY 2021'!E9</f>
        <v>101</v>
      </c>
      <c r="K6" s="12">
        <f>'GAS MAY 2021'!I9</f>
        <v>36.30000000000291</v>
      </c>
      <c r="L6" s="12">
        <f>'GAS MAY 2021'!K9</f>
        <v>293.70000000000437</v>
      </c>
      <c r="M6" s="18">
        <v>20</v>
      </c>
    </row>
    <row r="7" spans="1:13" s="15" customFormat="1" x14ac:dyDescent="0.25">
      <c r="A7" s="17" t="s">
        <v>11</v>
      </c>
      <c r="B7" s="14">
        <f t="shared" si="0"/>
        <v>6</v>
      </c>
      <c r="C7" s="75">
        <v>5</v>
      </c>
      <c r="D7" s="2">
        <v>2021</v>
      </c>
      <c r="E7" s="12">
        <f>' ELEC MAY 2021'!D12*100</f>
        <v>6300</v>
      </c>
      <c r="F7" s="11">
        <f>' ELEC MAY 2021'!F12*100</f>
        <v>1800</v>
      </c>
      <c r="G7" s="12">
        <f>' ELEC MAY 2021'!H12*100</f>
        <v>1400</v>
      </c>
      <c r="H7" s="11">
        <f>' ELEC MAY 2021'!J12*100</f>
        <v>1400</v>
      </c>
      <c r="I7" s="12">
        <f>' ELEC MAY 2021'!L12</f>
        <v>8684</v>
      </c>
      <c r="J7" s="12">
        <f>' WATER MAY 2021'!E10</f>
        <v>155</v>
      </c>
      <c r="K7" s="12">
        <f>'GAS MAY 2021'!I10</f>
        <v>42</v>
      </c>
      <c r="L7" s="12">
        <f>'GAS MAY 2021'!K10</f>
        <v>298.79999999999563</v>
      </c>
      <c r="M7" s="18">
        <v>20</v>
      </c>
    </row>
    <row r="8" spans="1:13" s="15" customFormat="1" x14ac:dyDescent="0.25">
      <c r="A8" s="17" t="s">
        <v>11</v>
      </c>
      <c r="B8" s="14">
        <f t="shared" si="0"/>
        <v>7</v>
      </c>
      <c r="C8" s="75">
        <v>5</v>
      </c>
      <c r="D8" s="2">
        <v>2021</v>
      </c>
      <c r="E8" s="12">
        <f>' ELEC MAY 2021'!D13*100</f>
        <v>1100</v>
      </c>
      <c r="F8" s="11">
        <f>' ELEC MAY 2021'!F13*100</f>
        <v>2100</v>
      </c>
      <c r="G8" s="12">
        <f>' ELEC MAY 2021'!H13*100</f>
        <v>1600</v>
      </c>
      <c r="H8" s="11">
        <f>' ELEC MAY 2021'!J13*100</f>
        <v>1200</v>
      </c>
      <c r="I8" s="12">
        <f>' ELEC MAY 2021'!L13</f>
        <v>9281</v>
      </c>
      <c r="J8" s="12">
        <f>' WATER MAY 2021'!E11</f>
        <v>114</v>
      </c>
      <c r="K8" s="12">
        <f>'GAS MAY 2021'!I11</f>
        <v>47.30000000000291</v>
      </c>
      <c r="L8" s="12">
        <f>'GAS MAY 2021'!K11</f>
        <v>347.80000000000291</v>
      </c>
      <c r="M8" s="18">
        <v>20</v>
      </c>
    </row>
    <row r="9" spans="1:13" s="15" customFormat="1" x14ac:dyDescent="0.25">
      <c r="A9" s="17" t="s">
        <v>11</v>
      </c>
      <c r="B9" s="14">
        <f t="shared" si="0"/>
        <v>8</v>
      </c>
      <c r="C9" s="75">
        <v>5</v>
      </c>
      <c r="D9" s="2">
        <v>2021</v>
      </c>
      <c r="E9" s="12">
        <f>' ELEC MAY 2021'!D14*100</f>
        <v>3300</v>
      </c>
      <c r="F9" s="11">
        <f>' ELEC MAY 2021'!F14*100</f>
        <v>1600</v>
      </c>
      <c r="G9" s="12">
        <f>' ELEC MAY 2021'!H14*100</f>
        <v>1200</v>
      </c>
      <c r="H9" s="11">
        <f>' ELEC MAY 2021'!J14*100</f>
        <v>1400</v>
      </c>
      <c r="I9" s="12">
        <f>' ELEC MAY 2021'!L14</f>
        <v>7734</v>
      </c>
      <c r="J9" s="12">
        <f>' WATER MAY 2021'!E12</f>
        <v>161</v>
      </c>
      <c r="K9" s="12">
        <f>'GAS MAY 2021'!I12</f>
        <v>38.299999999995634</v>
      </c>
      <c r="L9" s="12">
        <f>'GAS MAY 2021'!K12</f>
        <v>275.40000000000146</v>
      </c>
      <c r="M9" s="18">
        <v>48</v>
      </c>
    </row>
    <row r="10" spans="1:13" s="15" customFormat="1" x14ac:dyDescent="0.25">
      <c r="A10" s="17" t="s">
        <v>11</v>
      </c>
      <c r="B10" s="14">
        <f t="shared" si="0"/>
        <v>9</v>
      </c>
      <c r="C10" s="75">
        <v>5</v>
      </c>
      <c r="D10" s="2">
        <v>2021</v>
      </c>
      <c r="E10" s="12">
        <f>' ELEC MAY 2021'!D15*100</f>
        <v>3900</v>
      </c>
      <c r="F10" s="11">
        <f>' ELEC MAY 2021'!F15*100</f>
        <v>2100</v>
      </c>
      <c r="G10" s="12">
        <f>' ELEC MAY 2021'!H15*100</f>
        <v>1300</v>
      </c>
      <c r="H10" s="11">
        <f>' ELEC MAY 2021'!J15*100</f>
        <v>1400</v>
      </c>
      <c r="I10" s="12">
        <f>' ELEC MAY 2021'!L15</f>
        <v>9778</v>
      </c>
      <c r="J10" s="12">
        <f>' WATER MAY 2021'!E13</f>
        <v>130</v>
      </c>
      <c r="K10" s="12">
        <f>'GAS MAY 2021'!I13</f>
        <v>36.700000000004366</v>
      </c>
      <c r="L10" s="12">
        <f>'GAS MAY 2021'!K13</f>
        <v>345.79999999999563</v>
      </c>
      <c r="M10" s="18">
        <v>20</v>
      </c>
    </row>
    <row r="11" spans="1:13" s="15" customFormat="1" x14ac:dyDescent="0.25">
      <c r="A11" s="17" t="s">
        <v>11</v>
      </c>
      <c r="B11" s="14">
        <f t="shared" si="0"/>
        <v>10</v>
      </c>
      <c r="C11" s="75">
        <v>5</v>
      </c>
      <c r="D11" s="2">
        <v>2021</v>
      </c>
      <c r="E11" s="12">
        <f>' ELEC MAY 2021'!D16*100</f>
        <v>5400</v>
      </c>
      <c r="F11" s="11">
        <f>' ELEC MAY 2021'!F16*100</f>
        <v>3000</v>
      </c>
      <c r="G11" s="12">
        <f>' ELEC MAY 2021'!H16*100</f>
        <v>2300</v>
      </c>
      <c r="H11" s="11">
        <f>' ELEC MAY 2021'!J16*100</f>
        <v>1800</v>
      </c>
      <c r="I11" s="12">
        <f>' ELEC MAY 2021'!L16</f>
        <v>13209</v>
      </c>
      <c r="J11" s="12">
        <f>' WATER MAY 2021'!E14</f>
        <v>88</v>
      </c>
      <c r="K11" s="12">
        <f>'GAS MAY 2021'!I14</f>
        <v>104.69999999999709</v>
      </c>
      <c r="L11" s="12">
        <f>'GAS MAY 2021'!K14</f>
        <v>632.20000000000437</v>
      </c>
      <c r="M11" s="18">
        <v>13</v>
      </c>
    </row>
    <row r="12" spans="1:13" s="15" customFormat="1" x14ac:dyDescent="0.25">
      <c r="A12" s="17" t="s">
        <v>11</v>
      </c>
      <c r="B12" s="14">
        <f t="shared" si="0"/>
        <v>11</v>
      </c>
      <c r="C12" s="75">
        <v>5</v>
      </c>
      <c r="D12" s="2">
        <v>2021</v>
      </c>
      <c r="E12" s="12">
        <f>' ELEC MAY 2021'!D17*100</f>
        <v>3300</v>
      </c>
      <c r="F12" s="11">
        <f>' ELEC MAY 2021'!F17*100</f>
        <v>1600</v>
      </c>
      <c r="G12" s="12">
        <f>' ELEC MAY 2021'!H17*100</f>
        <v>1000</v>
      </c>
      <c r="H12" s="11">
        <f>' ELEC MAY 2021'!J17*100</f>
        <v>1100</v>
      </c>
      <c r="I12" s="12">
        <f>' ELEC MAY 2021'!L17</f>
        <v>3941</v>
      </c>
      <c r="J12" s="12">
        <f>' WATER MAY 2021'!E15</f>
        <v>116</v>
      </c>
      <c r="K12" s="12">
        <f>'GAS MAY 2021'!I15</f>
        <v>3</v>
      </c>
      <c r="L12" s="12">
        <f>'GAS MAY 2021'!K15</f>
        <v>6.0999999999985448</v>
      </c>
      <c r="M12" s="18">
        <v>16</v>
      </c>
    </row>
    <row r="13" spans="1:13" s="15" customFormat="1" x14ac:dyDescent="0.25">
      <c r="A13" s="17" t="s">
        <v>11</v>
      </c>
      <c r="B13" s="14">
        <f t="shared" si="0"/>
        <v>12</v>
      </c>
      <c r="C13" s="75">
        <v>5</v>
      </c>
      <c r="D13" s="2">
        <v>2021</v>
      </c>
      <c r="E13" s="12">
        <f>' ELEC MAY 2021'!D18*100</f>
        <v>2200</v>
      </c>
      <c r="F13" s="11">
        <f>' ELEC MAY 2021'!F18*100</f>
        <v>1100</v>
      </c>
      <c r="G13" s="12">
        <f>' ELEC MAY 2021'!H18*100</f>
        <v>1200</v>
      </c>
      <c r="H13" s="11">
        <f>' ELEC MAY 2021'!J18*100</f>
        <v>700</v>
      </c>
      <c r="I13" s="12">
        <f>' ELEC MAY 2021'!L18</f>
        <v>8758</v>
      </c>
      <c r="J13" s="12">
        <f>' WATER MAY 2021'!E16</f>
        <v>193</v>
      </c>
      <c r="K13" s="12">
        <f>'GAS MAY 2021'!I16</f>
        <v>29.5</v>
      </c>
      <c r="L13" s="12">
        <f>'GAS MAY 2021'!K16</f>
        <v>201.40000000000146</v>
      </c>
      <c r="M13" s="18">
        <v>15</v>
      </c>
    </row>
    <row r="14" spans="1:13" s="15" customFormat="1" x14ac:dyDescent="0.25">
      <c r="A14" s="17" t="s">
        <v>11</v>
      </c>
      <c r="B14" s="14">
        <f t="shared" si="0"/>
        <v>13</v>
      </c>
      <c r="C14" s="75">
        <v>5</v>
      </c>
      <c r="D14" s="2">
        <v>2021</v>
      </c>
      <c r="E14" s="12">
        <f>' ELEC MAY 2021'!D19*100</f>
        <v>3400</v>
      </c>
      <c r="F14" s="11">
        <f>' ELEC MAY 2021'!F19*100</f>
        <v>2100</v>
      </c>
      <c r="G14" s="12">
        <f>' ELEC MAY 2021'!H19*100</f>
        <v>1400</v>
      </c>
      <c r="H14" s="11">
        <f>' ELEC MAY 2021'!J19*100</f>
        <v>1200</v>
      </c>
      <c r="I14" s="12">
        <f>' ELEC MAY 2021'!L19</f>
        <v>9266</v>
      </c>
      <c r="J14" s="12">
        <f>' WATER MAY 2021'!E17</f>
        <v>126</v>
      </c>
      <c r="K14" s="12">
        <f>'GAS MAY 2021'!I17</f>
        <v>44.5</v>
      </c>
      <c r="L14" s="12">
        <f>'GAS MAY 2021'!K17</f>
        <v>308.40000000000146</v>
      </c>
      <c r="M14" s="18">
        <v>15</v>
      </c>
    </row>
    <row r="15" spans="1:13" s="15" customFormat="1" x14ac:dyDescent="0.25">
      <c r="A15" s="17" t="s">
        <v>11</v>
      </c>
      <c r="B15" s="14">
        <f t="shared" si="0"/>
        <v>14</v>
      </c>
      <c r="C15" s="75">
        <v>5</v>
      </c>
      <c r="D15" s="2">
        <v>2021</v>
      </c>
      <c r="E15" s="12">
        <f>' ELEC MAY 2021'!D20*100</f>
        <v>-17500</v>
      </c>
      <c r="F15" s="11">
        <f>' ELEC MAY 2021'!F20*100</f>
        <v>1300</v>
      </c>
      <c r="G15" s="12">
        <f>' ELEC MAY 2021'!H20*100</f>
        <v>1000</v>
      </c>
      <c r="H15" s="11">
        <f>' ELEC MAY 2021'!J20*100</f>
        <v>1200</v>
      </c>
      <c r="I15" s="12">
        <f>' ELEC MAY 2021'!L20</f>
        <v>6317</v>
      </c>
      <c r="J15" s="12">
        <f>' WATER MAY 2021'!E18</f>
        <v>84</v>
      </c>
      <c r="K15" s="12">
        <f>'GAS MAY 2021'!I18</f>
        <v>30.099999999998545</v>
      </c>
      <c r="L15" s="12">
        <f>'GAS MAY 2021'!K18</f>
        <v>199</v>
      </c>
      <c r="M15" s="18">
        <v>25</v>
      </c>
    </row>
    <row r="16" spans="1:13" s="15" customFormat="1" x14ac:dyDescent="0.25">
      <c r="A16" s="17" t="s">
        <v>11</v>
      </c>
      <c r="B16" s="14">
        <f t="shared" si="0"/>
        <v>15</v>
      </c>
      <c r="C16" s="75">
        <v>5</v>
      </c>
      <c r="D16" s="2">
        <v>2021</v>
      </c>
      <c r="E16" s="12">
        <f>' ELEC MAY 2021'!D21*100</f>
        <v>24000</v>
      </c>
      <c r="F16" s="11">
        <f>' ELEC MAY 2021'!F21*100</f>
        <v>2200</v>
      </c>
      <c r="G16" s="12">
        <f>' ELEC MAY 2021'!H21*100</f>
        <v>1600</v>
      </c>
      <c r="H16" s="11">
        <f>' ELEC MAY 2021'!J21*100</f>
        <v>-8100</v>
      </c>
      <c r="I16" s="12">
        <f>' ELEC MAY 2021'!L21</f>
        <v>10435</v>
      </c>
      <c r="J16" s="12">
        <f>' WATER MAY 2021'!E19</f>
        <v>187</v>
      </c>
      <c r="K16" s="12">
        <f>'GAS MAY 2021'!I19</f>
        <v>46.599999999998545</v>
      </c>
      <c r="L16" s="12">
        <f>'GAS MAY 2021'!K19</f>
        <v>434.89999999999418</v>
      </c>
      <c r="M16" s="18">
        <v>37</v>
      </c>
    </row>
    <row r="17" spans="1:13" s="15" customFormat="1" x14ac:dyDescent="0.25">
      <c r="A17" s="17" t="s">
        <v>11</v>
      </c>
      <c r="B17" s="14">
        <f t="shared" si="0"/>
        <v>16</v>
      </c>
      <c r="C17" s="75">
        <v>5</v>
      </c>
      <c r="D17" s="2">
        <v>2021</v>
      </c>
      <c r="E17" s="12">
        <f>' ELEC MAY 2021'!D22*100</f>
        <v>4500</v>
      </c>
      <c r="F17" s="11">
        <f>' ELEC MAY 2021'!F22*100</f>
        <v>2200</v>
      </c>
      <c r="G17" s="12">
        <f>' ELEC MAY 2021'!H22*100</f>
        <v>1400</v>
      </c>
      <c r="H17" s="11">
        <f>' ELEC MAY 2021'!J22*100</f>
        <v>5900</v>
      </c>
      <c r="I17" s="12">
        <f>' ELEC MAY 2021'!L22</f>
        <v>10477</v>
      </c>
      <c r="J17" s="12">
        <f>' WATER MAY 2021'!E20</f>
        <v>173</v>
      </c>
      <c r="K17" s="12">
        <f>'GAS MAY 2021'!I20</f>
        <v>56.100000000005821</v>
      </c>
      <c r="L17" s="12">
        <f>'GAS MAY 2021'!K20</f>
        <v>310.70000000000437</v>
      </c>
      <c r="M17" s="18">
        <v>17</v>
      </c>
    </row>
    <row r="18" spans="1:13" s="15" customFormat="1" x14ac:dyDescent="0.25">
      <c r="A18" s="17" t="s">
        <v>11</v>
      </c>
      <c r="B18" s="14">
        <f t="shared" si="0"/>
        <v>17</v>
      </c>
      <c r="C18" s="75">
        <v>5</v>
      </c>
      <c r="D18" s="2">
        <v>2021</v>
      </c>
      <c r="E18" s="12">
        <f>' ELEC MAY 2021'!D23*100</f>
        <v>3400</v>
      </c>
      <c r="F18" s="11">
        <f>' ELEC MAY 2021'!F23*100</f>
        <v>2100</v>
      </c>
      <c r="G18" s="12">
        <f>' ELEC MAY 2021'!H23*100</f>
        <v>1800</v>
      </c>
      <c r="H18" s="11">
        <f>' ELEC MAY 2021'!J23*100</f>
        <v>7200</v>
      </c>
      <c r="I18" s="12">
        <f>' ELEC MAY 2021'!L23</f>
        <v>9288</v>
      </c>
      <c r="J18" s="12">
        <f>' WATER MAY 2021'!E21</f>
        <v>129</v>
      </c>
      <c r="K18" s="12">
        <f>'GAS MAY 2021'!I21</f>
        <v>47.899999999994179</v>
      </c>
      <c r="L18" s="12">
        <f>'GAS MAY 2021'!K21</f>
        <v>320.69999999999709</v>
      </c>
      <c r="M18" s="18">
        <v>11</v>
      </c>
    </row>
    <row r="19" spans="1:13" s="15" customFormat="1" x14ac:dyDescent="0.25">
      <c r="A19" s="17" t="s">
        <v>11</v>
      </c>
      <c r="B19" s="14">
        <f t="shared" si="0"/>
        <v>18</v>
      </c>
      <c r="C19" s="75">
        <v>5</v>
      </c>
      <c r="D19" s="2">
        <v>2021</v>
      </c>
      <c r="E19" s="12">
        <f>' ELEC MAY 2021'!D24*100</f>
        <v>2600</v>
      </c>
      <c r="F19" s="11">
        <f>' ELEC MAY 2021'!F24*100</f>
        <v>1200</v>
      </c>
      <c r="G19" s="12">
        <f>' ELEC MAY 2021'!H24*100</f>
        <v>1000</v>
      </c>
      <c r="H19" s="11">
        <f>' ELEC MAY 2021'!J24*100</f>
        <v>800</v>
      </c>
      <c r="I19" s="12">
        <f>' ELEC MAY 2021'!L24</f>
        <v>5246</v>
      </c>
      <c r="J19" s="12">
        <f>' WATER MAY 2021'!E22</f>
        <v>147</v>
      </c>
      <c r="K19" s="12">
        <f>'GAS MAY 2021'!I22</f>
        <v>31.700000000004366</v>
      </c>
      <c r="L19" s="12">
        <f>'GAS MAY 2021'!K22</f>
        <v>168.90000000000146</v>
      </c>
      <c r="M19" s="18">
        <v>29</v>
      </c>
    </row>
    <row r="20" spans="1:13" s="15" customFormat="1" x14ac:dyDescent="0.25">
      <c r="A20" s="17" t="s">
        <v>11</v>
      </c>
      <c r="B20" s="14">
        <f t="shared" si="0"/>
        <v>19</v>
      </c>
      <c r="C20" s="75">
        <v>5</v>
      </c>
      <c r="D20" s="2">
        <v>2021</v>
      </c>
      <c r="E20" s="12">
        <f>' ELEC MAY 2021'!D25*100</f>
        <v>3100</v>
      </c>
      <c r="F20" s="11">
        <f>' ELEC MAY 2021'!F25*100</f>
        <v>1700</v>
      </c>
      <c r="G20" s="12">
        <f>' ELEC MAY 2021'!H25*100</f>
        <v>1000</v>
      </c>
      <c r="H20" s="11">
        <f>' ELEC MAY 2021'!J25*100</f>
        <v>1200</v>
      </c>
      <c r="I20" s="12">
        <f>' ELEC MAY 2021'!L25</f>
        <v>7546</v>
      </c>
      <c r="J20" s="12">
        <f>' WATER MAY 2021'!E23</f>
        <v>158</v>
      </c>
      <c r="K20" s="12">
        <f>'GAS MAY 2021'!I23</f>
        <v>39.900000000001455</v>
      </c>
      <c r="L20" s="12">
        <f>'GAS MAY 2021'!K23</f>
        <v>307.69999999999709</v>
      </c>
      <c r="M20" s="18">
        <v>7</v>
      </c>
    </row>
    <row r="21" spans="1:13" s="15" customFormat="1" x14ac:dyDescent="0.25">
      <c r="A21" s="17" t="s">
        <v>11</v>
      </c>
      <c r="B21" s="14">
        <f t="shared" si="0"/>
        <v>20</v>
      </c>
      <c r="C21" s="75">
        <v>5</v>
      </c>
      <c r="D21" s="2">
        <v>2021</v>
      </c>
      <c r="E21" s="12">
        <f>' ELEC MAY 2021'!D26*100</f>
        <v>4500</v>
      </c>
      <c r="F21" s="11">
        <f>' ELEC MAY 2021'!F26*100</f>
        <v>1600</v>
      </c>
      <c r="G21" s="12">
        <f>' ELEC MAY 2021'!H26*100</f>
        <v>1400</v>
      </c>
      <c r="H21" s="11">
        <f>' ELEC MAY 2021'!J26*100</f>
        <v>1100</v>
      </c>
      <c r="I21" s="12">
        <f>' ELEC MAY 2021'!L26</f>
        <v>8788</v>
      </c>
      <c r="J21" s="12">
        <f>' WATER MAY 2021'!E24</f>
        <v>148</v>
      </c>
      <c r="K21" s="12">
        <f>'GAS MAY 2021'!I24</f>
        <v>44.599999999998545</v>
      </c>
      <c r="L21" s="12">
        <f>'GAS MAY 2021'!K24</f>
        <v>296.70000000000437</v>
      </c>
      <c r="M21" s="18">
        <v>6</v>
      </c>
    </row>
    <row r="22" spans="1:13" s="15" customFormat="1" x14ac:dyDescent="0.25">
      <c r="A22" s="17" t="s">
        <v>11</v>
      </c>
      <c r="B22" s="14">
        <f t="shared" si="0"/>
        <v>21</v>
      </c>
      <c r="C22" s="75">
        <v>5</v>
      </c>
      <c r="D22" s="2">
        <v>2021</v>
      </c>
      <c r="E22" s="12">
        <f>' ELEC MAY 2021'!D27*100</f>
        <v>3600</v>
      </c>
      <c r="F22" s="11">
        <f>' ELEC MAY 2021'!F27*100</f>
        <v>1800</v>
      </c>
      <c r="G22" s="12">
        <f>' ELEC MAY 2021'!H27*100</f>
        <v>1300</v>
      </c>
      <c r="H22" s="11">
        <f>' ELEC MAY 2021'!J27*100</f>
        <v>1400</v>
      </c>
      <c r="I22" s="12">
        <f>' ELEC MAY 2021'!L27</f>
        <v>8069</v>
      </c>
      <c r="J22" s="12">
        <f>' WATER MAY 2021'!E25</f>
        <v>211</v>
      </c>
      <c r="K22" s="12">
        <f>'GAS MAY 2021'!I25</f>
        <v>38.799999999995634</v>
      </c>
      <c r="L22" s="12">
        <f>'GAS MAY 2021'!K25</f>
        <v>267</v>
      </c>
      <c r="M22" s="18">
        <v>22</v>
      </c>
    </row>
    <row r="23" spans="1:13" s="15" customFormat="1" x14ac:dyDescent="0.25">
      <c r="A23" s="17" t="s">
        <v>11</v>
      </c>
      <c r="B23" s="14">
        <f t="shared" si="0"/>
        <v>22</v>
      </c>
      <c r="C23" s="75">
        <v>5</v>
      </c>
      <c r="D23" s="2">
        <v>2021</v>
      </c>
      <c r="E23" s="12">
        <f>' ELEC MAY 2021'!D28*100</f>
        <v>4300</v>
      </c>
      <c r="F23" s="11">
        <f>' ELEC MAY 2021'!F28*100</f>
        <v>1900</v>
      </c>
      <c r="G23" s="12">
        <f>' ELEC MAY 2021'!H28*100</f>
        <v>1400</v>
      </c>
      <c r="H23" s="11">
        <f>' ELEC MAY 2021'!J28*100</f>
        <v>1300</v>
      </c>
      <c r="I23" s="12">
        <f>' ELEC MAY 2021'!L28</f>
        <v>8918</v>
      </c>
      <c r="J23" s="12">
        <f>' WATER MAY 2021'!E26</f>
        <v>219</v>
      </c>
      <c r="K23" s="12">
        <f>'GAS MAY 2021'!I26</f>
        <v>130.5</v>
      </c>
      <c r="L23" s="12">
        <f>'GAS MAY 2021'!K26</f>
        <v>423.69999999999709</v>
      </c>
      <c r="M23" s="18">
        <v>41</v>
      </c>
    </row>
    <row r="24" spans="1:13" s="15" customFormat="1" x14ac:dyDescent="0.25">
      <c r="A24" s="17" t="s">
        <v>11</v>
      </c>
      <c r="B24" s="14">
        <f t="shared" si="0"/>
        <v>23</v>
      </c>
      <c r="C24" s="75">
        <v>5</v>
      </c>
      <c r="D24" s="2">
        <v>2021</v>
      </c>
      <c r="E24" s="12">
        <f>' ELEC MAY 2021'!D29*100</f>
        <v>4900</v>
      </c>
      <c r="F24" s="11">
        <f>' ELEC MAY 2021'!F29*100</f>
        <v>2200</v>
      </c>
      <c r="G24" s="12">
        <f>' ELEC MAY 2021'!H29*100</f>
        <v>2100</v>
      </c>
      <c r="H24" s="11">
        <f>' ELEC MAY 2021'!J29*100</f>
        <v>1600</v>
      </c>
      <c r="I24" s="12">
        <f>' ELEC MAY 2021'!L29</f>
        <v>10720</v>
      </c>
      <c r="J24" s="12">
        <f>' WATER MAY 2021'!E27</f>
        <v>165</v>
      </c>
      <c r="K24" s="12">
        <f>'GAS MAY 2021'!I27</f>
        <v>63.100000000005821</v>
      </c>
      <c r="L24" s="12">
        <f>'GAS MAY 2021'!K27</f>
        <v>272.59999999999854</v>
      </c>
      <c r="M24" s="18">
        <v>40</v>
      </c>
    </row>
    <row r="25" spans="1:13" s="15" customFormat="1" x14ac:dyDescent="0.25">
      <c r="A25" s="17" t="s">
        <v>11</v>
      </c>
      <c r="B25" s="14">
        <f t="shared" si="0"/>
        <v>24</v>
      </c>
      <c r="C25" s="75">
        <v>5</v>
      </c>
      <c r="D25" s="2">
        <v>2021</v>
      </c>
      <c r="E25" s="12">
        <f>' ELEC MAY 2021'!D30*100</f>
        <v>3400</v>
      </c>
      <c r="F25" s="11">
        <f>' ELEC MAY 2021'!F30*100</f>
        <v>1800</v>
      </c>
      <c r="G25" s="12">
        <f>' ELEC MAY 2021'!H30*100</f>
        <v>1500</v>
      </c>
      <c r="H25" s="11">
        <f>' ELEC MAY 2021'!J30*100</f>
        <v>1100</v>
      </c>
      <c r="I25" s="12">
        <f>' ELEC MAY 2021'!L30</f>
        <v>8937</v>
      </c>
      <c r="J25" s="12">
        <f>' WATER MAY 2021'!E28</f>
        <v>110</v>
      </c>
      <c r="K25" s="12">
        <f>'GAS MAY 2021'!I28</f>
        <v>4.0999999999985448</v>
      </c>
      <c r="L25" s="12">
        <f>'GAS MAY 2021'!K28</f>
        <v>282</v>
      </c>
      <c r="M25" s="18">
        <v>35</v>
      </c>
    </row>
    <row r="26" spans="1:13" s="15" customFormat="1" x14ac:dyDescent="0.25">
      <c r="A26" s="17" t="s">
        <v>11</v>
      </c>
      <c r="B26" s="14">
        <f>B25+1</f>
        <v>25</v>
      </c>
      <c r="C26" s="75">
        <v>5</v>
      </c>
      <c r="D26" s="2">
        <v>2021</v>
      </c>
      <c r="E26" s="12">
        <f>' ELEC MAY 2021'!D31*100</f>
        <v>3200</v>
      </c>
      <c r="F26" s="11">
        <f>' ELEC MAY 2021'!F31*100</f>
        <v>1900</v>
      </c>
      <c r="G26" s="12">
        <f>' ELEC MAY 2021'!H31*100</f>
        <v>1800</v>
      </c>
      <c r="H26" s="11">
        <f>' ELEC MAY 2021'!J31*100</f>
        <v>1300</v>
      </c>
      <c r="I26" s="12">
        <f>' ELEC MAY 2021'!L31</f>
        <v>7563</v>
      </c>
      <c r="J26" s="12">
        <f>' WATER MAY 2021'!E29</f>
        <v>162</v>
      </c>
      <c r="K26" s="12">
        <f>'GAS MAY 2021'!I29</f>
        <v>11</v>
      </c>
      <c r="L26" s="12">
        <f>'GAS MAY 2021'!K29</f>
        <v>312.20000000000437</v>
      </c>
      <c r="M26" s="18">
        <v>11</v>
      </c>
    </row>
    <row r="27" spans="1:13" s="15" customFormat="1" x14ac:dyDescent="0.25">
      <c r="A27" s="17" t="s">
        <v>11</v>
      </c>
      <c r="B27" s="14">
        <f t="shared" si="0"/>
        <v>26</v>
      </c>
      <c r="C27" s="75">
        <v>5</v>
      </c>
      <c r="D27" s="2">
        <v>2021</v>
      </c>
      <c r="E27" s="12">
        <f>' ELEC MAY 2021'!D32*100</f>
        <v>3900</v>
      </c>
      <c r="F27" s="11">
        <f>' ELEC MAY 2021'!F32*100</f>
        <v>1800</v>
      </c>
      <c r="G27" s="12">
        <f>' ELEC MAY 2021'!H32*100</f>
        <v>1600</v>
      </c>
      <c r="H27" s="11">
        <f>' ELEC MAY 2021'!J32*100</f>
        <v>1400</v>
      </c>
      <c r="I27" s="12">
        <f>' ELEC MAY 2021'!L32</f>
        <v>11079</v>
      </c>
      <c r="J27" s="12">
        <f>' WATER MAY 2021'!E30</f>
        <v>124</v>
      </c>
      <c r="K27" s="12">
        <f>'GAS MAY 2021'!I30</f>
        <v>12</v>
      </c>
      <c r="L27" s="12">
        <f>'GAS MAY 2021'!K30</f>
        <v>292.40000000000146</v>
      </c>
      <c r="M27" s="18">
        <v>6</v>
      </c>
    </row>
    <row r="28" spans="1:13" s="15" customFormat="1" x14ac:dyDescent="0.25">
      <c r="A28" s="17" t="s">
        <v>11</v>
      </c>
      <c r="B28" s="14">
        <f t="shared" si="0"/>
        <v>27</v>
      </c>
      <c r="C28" s="75">
        <v>5</v>
      </c>
      <c r="D28" s="2">
        <v>2021</v>
      </c>
      <c r="E28" s="12">
        <f>' ELEC MAY 2021'!D33*100</f>
        <v>4000</v>
      </c>
      <c r="F28" s="11">
        <f>' ELEC MAY 2021'!F33*100</f>
        <v>1600</v>
      </c>
      <c r="G28" s="12">
        <f>' ELEC MAY 2021'!H33*100</f>
        <v>1500</v>
      </c>
      <c r="H28" s="11">
        <f>' ELEC MAY 2021'!J33*100</f>
        <v>1400</v>
      </c>
      <c r="I28" s="12">
        <f>' ELEC MAY 2021'!L33</f>
        <v>8795</v>
      </c>
      <c r="J28" s="12">
        <f>' WATER MAY 2021'!E31</f>
        <v>135</v>
      </c>
      <c r="K28" s="12">
        <f>'GAS MAY 2021'!I31</f>
        <v>42.099999999998545</v>
      </c>
      <c r="L28" s="12">
        <f>'GAS MAY 2021'!K31</f>
        <v>288</v>
      </c>
      <c r="M28" s="18">
        <v>9</v>
      </c>
    </row>
    <row r="29" spans="1:13" s="15" customFormat="1" x14ac:dyDescent="0.25">
      <c r="A29" s="17" t="s">
        <v>11</v>
      </c>
      <c r="B29" s="14">
        <f t="shared" si="0"/>
        <v>28</v>
      </c>
      <c r="C29" s="75">
        <v>5</v>
      </c>
      <c r="D29" s="2">
        <v>2021</v>
      </c>
      <c r="E29" s="12">
        <f>' ELEC MAY 2021'!D34*100</f>
        <v>4300</v>
      </c>
      <c r="F29" s="11">
        <f>' ELEC MAY 2021'!F34*100</f>
        <v>1900</v>
      </c>
      <c r="G29" s="12">
        <f>' ELEC MAY 2021'!H34*100</f>
        <v>1400</v>
      </c>
      <c r="H29" s="11">
        <f>' ELEC MAY 2021'!J34*100</f>
        <v>2200</v>
      </c>
      <c r="I29" s="12">
        <f>' ELEC MAY 2021'!L34</f>
        <v>9110</v>
      </c>
      <c r="J29" s="12">
        <f>' WATER MAY 2021'!E32</f>
        <v>137</v>
      </c>
      <c r="K29" s="12">
        <f>'GAS MAY 2021'!I32</f>
        <v>15.900000000001455</v>
      </c>
      <c r="L29" s="12">
        <f>'GAS MAY 2021'!K32</f>
        <v>344</v>
      </c>
      <c r="M29" s="18">
        <v>12</v>
      </c>
    </row>
    <row r="30" spans="1:13" s="15" customFormat="1" x14ac:dyDescent="0.25">
      <c r="A30" s="17" t="s">
        <v>11</v>
      </c>
      <c r="B30" s="14">
        <f t="shared" si="0"/>
        <v>29</v>
      </c>
      <c r="C30" s="75">
        <v>5</v>
      </c>
      <c r="D30" s="2">
        <v>2021</v>
      </c>
      <c r="E30" s="12">
        <f>' ELEC MAY 2021'!D35*100</f>
        <v>3700</v>
      </c>
      <c r="F30" s="11">
        <f>' ELEC MAY 2021'!F35*100</f>
        <v>700</v>
      </c>
      <c r="G30" s="12">
        <f>' ELEC MAY 2021'!H35*100</f>
        <v>1400</v>
      </c>
      <c r="H30" s="11">
        <f>' ELEC MAY 2021'!J35*100</f>
        <v>800</v>
      </c>
      <c r="I30" s="12">
        <f>' ELEC MAY 2021'!L35</f>
        <v>8567</v>
      </c>
      <c r="J30" s="12">
        <f>' WATER MAY 2021'!E33</f>
        <v>148</v>
      </c>
      <c r="K30" s="12">
        <f>'GAS MAY 2021'!I33</f>
        <v>37.400000000001455</v>
      </c>
      <c r="L30" s="12">
        <f>'GAS MAY 2021'!K33</f>
        <v>306.19999999999709</v>
      </c>
      <c r="M30" s="18">
        <v>24</v>
      </c>
    </row>
    <row r="31" spans="1:13" s="13" customFormat="1" x14ac:dyDescent="0.25">
      <c r="A31" s="17" t="s">
        <v>11</v>
      </c>
      <c r="B31" s="14">
        <f t="shared" si="0"/>
        <v>30</v>
      </c>
      <c r="C31" s="75">
        <v>5</v>
      </c>
      <c r="D31" s="2">
        <v>2021</v>
      </c>
      <c r="E31" s="12">
        <f>' ELEC MAY 2021'!D36*100</f>
        <v>5100</v>
      </c>
      <c r="F31" s="11">
        <f>' ELEC MAY 2021'!F36*100</f>
        <v>2900</v>
      </c>
      <c r="G31" s="12">
        <f>' ELEC MAY 2021'!H36*100</f>
        <v>1700</v>
      </c>
      <c r="H31" s="11">
        <f>' ELEC MAY 2021'!J36*100</f>
        <v>1600</v>
      </c>
      <c r="I31" s="12">
        <f>' ELEC MAY 2021'!L36</f>
        <v>10170</v>
      </c>
      <c r="J31" s="12">
        <f>' WATER MAY 2021'!E34</f>
        <v>154</v>
      </c>
      <c r="K31" s="12">
        <f>'GAS MAY 2021'!I34</f>
        <v>51.799999999995634</v>
      </c>
      <c r="L31" s="12">
        <f>'GAS MAY 2021'!K34</f>
        <v>371.09999999999854</v>
      </c>
      <c r="M31" s="18">
        <v>11</v>
      </c>
    </row>
    <row r="32" spans="1:13" x14ac:dyDescent="0.25">
      <c r="A32" s="17" t="s">
        <v>11</v>
      </c>
      <c r="B32" s="14">
        <f t="shared" si="0"/>
        <v>31</v>
      </c>
      <c r="C32" s="75">
        <v>5</v>
      </c>
      <c r="D32" s="2">
        <v>2021</v>
      </c>
      <c r="E32" s="12">
        <f>' ELEC MAY 2021'!D37*100</f>
        <v>4100</v>
      </c>
      <c r="F32" s="11">
        <f>' ELEC MAY 2021'!F37*100</f>
        <v>1900</v>
      </c>
      <c r="G32" s="12">
        <f>' ELEC MAY 2021'!H37*100</f>
        <v>1700</v>
      </c>
      <c r="H32" s="11">
        <f>' ELEC MAY 2021'!J37*100</f>
        <v>1300</v>
      </c>
      <c r="I32" s="12">
        <f>' ELEC MAY 2021'!L37</f>
        <v>9318</v>
      </c>
      <c r="J32" s="12">
        <f>' WATER MAY 2021'!E35</f>
        <v>150</v>
      </c>
      <c r="K32" s="12">
        <f>'GAS MAY 2021'!I35</f>
        <v>42.400000000001455</v>
      </c>
      <c r="L32" s="12">
        <f>'GAS MAY 2021'!K35</f>
        <v>315</v>
      </c>
      <c r="M32" s="1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5" topLeftCell="A6" activePane="bottomLeft" state="frozen"/>
      <selection pane="bottomLeft" activeCell="K11" sqref="K11"/>
    </sheetView>
  </sheetViews>
  <sheetFormatPr defaultRowHeight="15" x14ac:dyDescent="0.25"/>
  <cols>
    <col min="1" max="1" width="10.5703125" style="43" bestFit="1" customWidth="1"/>
    <col min="2" max="2" width="10.5703125" style="51" customWidth="1"/>
    <col min="3" max="3" width="17.7109375" style="2" customWidth="1"/>
    <col min="4" max="4" width="14.85546875" style="2" customWidth="1"/>
    <col min="5" max="5" width="18" style="2" customWidth="1"/>
    <col min="6" max="6" width="17.5703125" style="2" customWidth="1"/>
    <col min="7" max="7" width="18" style="2" customWidth="1"/>
    <col min="8" max="8" width="17.7109375" style="2" customWidth="1"/>
    <col min="9" max="9" width="17.85546875" style="2" customWidth="1"/>
    <col min="10" max="10" width="18" style="2" customWidth="1"/>
    <col min="11" max="11" width="17.7109375" style="2" customWidth="1"/>
    <col min="12" max="12" width="17.42578125" style="2" customWidth="1"/>
    <col min="13" max="13" width="8.85546875" style="2" customWidth="1"/>
  </cols>
  <sheetData>
    <row r="1" spans="1:13" s="19" customFormat="1" ht="16.5" thickTop="1" x14ac:dyDescent="0.25">
      <c r="A1" s="97" t="s">
        <v>44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  <c r="M1" s="28"/>
    </row>
    <row r="2" spans="1:13" s="20" customFormat="1" x14ac:dyDescent="0.25">
      <c r="A2" s="38"/>
      <c r="B2" s="50"/>
      <c r="C2" s="29"/>
      <c r="D2" s="29"/>
      <c r="E2" s="29"/>
      <c r="F2" s="29"/>
      <c r="G2" s="29"/>
      <c r="H2" s="29"/>
      <c r="I2" s="29"/>
      <c r="J2" s="29"/>
      <c r="K2" s="29"/>
      <c r="L2" s="30"/>
      <c r="M2" s="29"/>
    </row>
    <row r="3" spans="1:13" x14ac:dyDescent="0.25">
      <c r="A3" s="39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3" s="1" customFormat="1" ht="15.75" thickBot="1" x14ac:dyDescent="0.3">
      <c r="A4" s="40"/>
      <c r="B4" s="52"/>
      <c r="C4" s="33" t="s">
        <v>12</v>
      </c>
      <c r="D4" s="33"/>
      <c r="E4" s="33" t="s">
        <v>13</v>
      </c>
      <c r="F4" s="33"/>
      <c r="G4" s="33" t="s">
        <v>14</v>
      </c>
      <c r="H4" s="33"/>
      <c r="I4" s="33" t="s">
        <v>15</v>
      </c>
      <c r="J4" s="33"/>
      <c r="K4" s="33" t="s">
        <v>16</v>
      </c>
      <c r="L4" s="33"/>
      <c r="M4" s="34"/>
    </row>
    <row r="5" spans="1:13" s="1" customFormat="1" ht="16.5" thickTop="1" thickBot="1" x14ac:dyDescent="0.3">
      <c r="A5" s="41" t="s">
        <v>17</v>
      </c>
      <c r="B5" s="53" t="s">
        <v>39</v>
      </c>
      <c r="C5" s="35" t="s">
        <v>18</v>
      </c>
      <c r="D5" s="35" t="s">
        <v>19</v>
      </c>
      <c r="E5" s="35" t="s">
        <v>18</v>
      </c>
      <c r="F5" s="35" t="s">
        <v>19</v>
      </c>
      <c r="G5" s="35" t="s">
        <v>20</v>
      </c>
      <c r="H5" s="35" t="s">
        <v>19</v>
      </c>
      <c r="I5" s="35" t="s">
        <v>18</v>
      </c>
      <c r="J5" s="35" t="s">
        <v>19</v>
      </c>
      <c r="K5" s="90" t="s">
        <v>18</v>
      </c>
      <c r="L5" s="35" t="s">
        <v>19</v>
      </c>
      <c r="M5" s="34"/>
    </row>
    <row r="6" spans="1:13" s="45" customFormat="1" ht="16.5" thickTop="1" thickBot="1" x14ac:dyDescent="0.3">
      <c r="A6" s="77">
        <v>44316</v>
      </c>
      <c r="B6" s="18">
        <v>20</v>
      </c>
      <c r="C6" s="85">
        <v>134060</v>
      </c>
      <c r="D6" s="74">
        <f>C7-C6</f>
        <v>51</v>
      </c>
      <c r="E6" s="86">
        <v>54966</v>
      </c>
      <c r="F6" s="74">
        <f>E7-E6</f>
        <v>27</v>
      </c>
      <c r="G6" s="87">
        <v>52170</v>
      </c>
      <c r="H6" s="74">
        <f>G7-G6</f>
        <v>19</v>
      </c>
      <c r="I6" s="88">
        <v>61315</v>
      </c>
      <c r="J6" s="74">
        <f>I7-I6</f>
        <v>10</v>
      </c>
      <c r="K6" s="89">
        <v>2684554</v>
      </c>
      <c r="L6" s="76">
        <f>K7-K6</f>
        <v>11796</v>
      </c>
      <c r="M6" s="44"/>
    </row>
    <row r="7" spans="1:13" ht="16.5" thickTop="1" thickBot="1" x14ac:dyDescent="0.3">
      <c r="A7" s="42">
        <v>44317</v>
      </c>
      <c r="B7" s="18">
        <v>20</v>
      </c>
      <c r="C7" s="67">
        <v>134111</v>
      </c>
      <c r="D7" s="89">
        <f>C7-C6</f>
        <v>51</v>
      </c>
      <c r="E7" s="65">
        <v>54993</v>
      </c>
      <c r="F7" s="89">
        <f>E7-E6</f>
        <v>27</v>
      </c>
      <c r="G7" s="65">
        <v>52189</v>
      </c>
      <c r="H7" s="89">
        <f>G7-G6</f>
        <v>19</v>
      </c>
      <c r="I7" s="65">
        <v>61325</v>
      </c>
      <c r="J7" s="89">
        <f>I7-I6</f>
        <v>10</v>
      </c>
      <c r="K7" s="65">
        <v>2696350</v>
      </c>
      <c r="L7" s="89">
        <f>K7-K6</f>
        <v>11796</v>
      </c>
    </row>
    <row r="8" spans="1:13" ht="16.5" thickTop="1" thickBot="1" x14ac:dyDescent="0.3">
      <c r="A8" s="77">
        <v>44318</v>
      </c>
      <c r="B8" s="18">
        <v>20</v>
      </c>
      <c r="C8" s="21">
        <v>134150</v>
      </c>
      <c r="D8" s="89">
        <f t="shared" ref="D8:D37" si="0">C8-C7</f>
        <v>39</v>
      </c>
      <c r="E8" s="65">
        <v>55017</v>
      </c>
      <c r="F8" s="89">
        <f t="shared" ref="F8:F37" si="1">E8-E7</f>
        <v>24</v>
      </c>
      <c r="G8" s="65">
        <v>52207</v>
      </c>
      <c r="H8" s="89">
        <f t="shared" ref="H8:H37" si="2">G8-G7</f>
        <v>18</v>
      </c>
      <c r="I8" s="65">
        <v>61344</v>
      </c>
      <c r="J8" s="89">
        <f t="shared" ref="J8:J37" si="3">I8-I7</f>
        <v>19</v>
      </c>
      <c r="K8" s="65">
        <v>2706737</v>
      </c>
      <c r="L8" s="89">
        <f t="shared" ref="L8:L37" si="4">K8-K7</f>
        <v>10387</v>
      </c>
    </row>
    <row r="9" spans="1:13" ht="16.5" thickTop="1" thickBot="1" x14ac:dyDescent="0.3">
      <c r="A9" s="77">
        <v>44319</v>
      </c>
      <c r="B9" s="18">
        <v>20</v>
      </c>
      <c r="C9" s="79">
        <v>134177</v>
      </c>
      <c r="D9" s="89">
        <f t="shared" si="0"/>
        <v>27</v>
      </c>
      <c r="E9" s="83">
        <v>55038</v>
      </c>
      <c r="F9" s="89">
        <f t="shared" si="1"/>
        <v>21</v>
      </c>
      <c r="G9" s="84">
        <v>52222</v>
      </c>
      <c r="H9" s="89">
        <f t="shared" si="2"/>
        <v>15</v>
      </c>
      <c r="I9" s="65">
        <v>61354</v>
      </c>
      <c r="J9" s="89">
        <f t="shared" si="3"/>
        <v>10</v>
      </c>
      <c r="K9" s="65">
        <v>2716048</v>
      </c>
      <c r="L9" s="89">
        <f t="shared" si="4"/>
        <v>9311</v>
      </c>
      <c r="M9" s="2" t="s">
        <v>30</v>
      </c>
    </row>
    <row r="10" spans="1:13" ht="16.5" thickTop="1" thickBot="1" x14ac:dyDescent="0.3">
      <c r="A10" s="77">
        <v>44320</v>
      </c>
      <c r="B10" s="18">
        <v>20</v>
      </c>
      <c r="C10" s="67">
        <v>134196</v>
      </c>
      <c r="D10" s="89">
        <f t="shared" si="0"/>
        <v>19</v>
      </c>
      <c r="E10" s="62">
        <v>55054</v>
      </c>
      <c r="F10" s="89">
        <f t="shared" si="1"/>
        <v>16</v>
      </c>
      <c r="G10" s="63">
        <v>52234</v>
      </c>
      <c r="H10" s="89">
        <f t="shared" si="2"/>
        <v>12</v>
      </c>
      <c r="I10" s="64">
        <v>61366</v>
      </c>
      <c r="J10" s="89">
        <f t="shared" si="3"/>
        <v>12</v>
      </c>
      <c r="K10" s="65">
        <v>2720470</v>
      </c>
      <c r="L10" s="89">
        <f t="shared" si="4"/>
        <v>4422</v>
      </c>
    </row>
    <row r="11" spans="1:13" ht="16.5" thickTop="1" thickBot="1" x14ac:dyDescent="0.3">
      <c r="A11" s="77">
        <v>44321</v>
      </c>
      <c r="B11" s="18">
        <v>20</v>
      </c>
      <c r="C11" s="67">
        <v>134218</v>
      </c>
      <c r="D11" s="89">
        <f t="shared" si="0"/>
        <v>22</v>
      </c>
      <c r="E11" s="67">
        <v>55070</v>
      </c>
      <c r="F11" s="89">
        <f t="shared" si="1"/>
        <v>16</v>
      </c>
      <c r="G11" s="67">
        <v>52248</v>
      </c>
      <c r="H11" s="89">
        <f t="shared" si="2"/>
        <v>14</v>
      </c>
      <c r="I11" s="67">
        <v>61380</v>
      </c>
      <c r="J11" s="89">
        <f t="shared" si="3"/>
        <v>14</v>
      </c>
      <c r="K11" s="21">
        <v>2730520</v>
      </c>
      <c r="L11" s="89">
        <f t="shared" si="4"/>
        <v>10050</v>
      </c>
    </row>
    <row r="12" spans="1:13" ht="16.5" thickTop="1" thickBot="1" x14ac:dyDescent="0.3">
      <c r="A12" s="77">
        <v>44322</v>
      </c>
      <c r="B12" s="18">
        <v>20</v>
      </c>
      <c r="C12" s="21">
        <v>134281</v>
      </c>
      <c r="D12" s="89">
        <f t="shared" si="0"/>
        <v>63</v>
      </c>
      <c r="E12" s="21">
        <v>55088</v>
      </c>
      <c r="F12" s="89">
        <f t="shared" si="1"/>
        <v>18</v>
      </c>
      <c r="G12" s="21">
        <v>52262</v>
      </c>
      <c r="H12" s="89">
        <f t="shared" si="2"/>
        <v>14</v>
      </c>
      <c r="I12" s="21">
        <v>61394</v>
      </c>
      <c r="J12" s="89">
        <f t="shared" si="3"/>
        <v>14</v>
      </c>
      <c r="K12" s="21">
        <v>2739204</v>
      </c>
      <c r="L12" s="89">
        <f t="shared" si="4"/>
        <v>8684</v>
      </c>
    </row>
    <row r="13" spans="1:13" ht="16.5" thickTop="1" thickBot="1" x14ac:dyDescent="0.3">
      <c r="A13" s="77">
        <v>44323</v>
      </c>
      <c r="B13" s="18">
        <v>48</v>
      </c>
      <c r="C13" s="21">
        <v>134292</v>
      </c>
      <c r="D13" s="89">
        <f t="shared" si="0"/>
        <v>11</v>
      </c>
      <c r="E13" s="21">
        <v>55109</v>
      </c>
      <c r="F13" s="89">
        <f t="shared" si="1"/>
        <v>21</v>
      </c>
      <c r="G13" s="21">
        <v>52278</v>
      </c>
      <c r="H13" s="89">
        <f t="shared" si="2"/>
        <v>16</v>
      </c>
      <c r="I13" s="21">
        <v>61406</v>
      </c>
      <c r="J13" s="89">
        <f t="shared" si="3"/>
        <v>12</v>
      </c>
      <c r="K13" s="21">
        <v>2748485</v>
      </c>
      <c r="L13" s="89">
        <f t="shared" si="4"/>
        <v>9281</v>
      </c>
      <c r="M13" s="80"/>
    </row>
    <row r="14" spans="1:13" ht="16.5" thickTop="1" thickBot="1" x14ac:dyDescent="0.3">
      <c r="A14" s="77">
        <v>44324</v>
      </c>
      <c r="B14" s="18">
        <v>20</v>
      </c>
      <c r="C14" s="21">
        <v>134325</v>
      </c>
      <c r="D14" s="89">
        <f t="shared" si="0"/>
        <v>33</v>
      </c>
      <c r="E14" s="21">
        <v>55125</v>
      </c>
      <c r="F14" s="89">
        <f t="shared" si="1"/>
        <v>16</v>
      </c>
      <c r="G14" s="21">
        <v>52290</v>
      </c>
      <c r="H14" s="89">
        <f t="shared" si="2"/>
        <v>12</v>
      </c>
      <c r="I14" s="21">
        <v>61420</v>
      </c>
      <c r="J14" s="89">
        <f t="shared" si="3"/>
        <v>14</v>
      </c>
      <c r="K14" s="21">
        <v>2756219</v>
      </c>
      <c r="L14" s="89">
        <f t="shared" si="4"/>
        <v>7734</v>
      </c>
    </row>
    <row r="15" spans="1:13" ht="16.5" thickTop="1" thickBot="1" x14ac:dyDescent="0.3">
      <c r="A15" s="77">
        <v>44325</v>
      </c>
      <c r="B15" s="18">
        <v>13</v>
      </c>
      <c r="C15" s="21">
        <v>134364</v>
      </c>
      <c r="D15" s="89">
        <f t="shared" si="0"/>
        <v>39</v>
      </c>
      <c r="E15" s="21">
        <v>55146</v>
      </c>
      <c r="F15" s="89">
        <f t="shared" si="1"/>
        <v>21</v>
      </c>
      <c r="G15" s="21">
        <v>52303</v>
      </c>
      <c r="H15" s="89">
        <f t="shared" si="2"/>
        <v>13</v>
      </c>
      <c r="I15" s="21">
        <v>61434</v>
      </c>
      <c r="J15" s="89">
        <f t="shared" si="3"/>
        <v>14</v>
      </c>
      <c r="K15" s="21">
        <v>2765997</v>
      </c>
      <c r="L15" s="89">
        <f t="shared" si="4"/>
        <v>9778</v>
      </c>
    </row>
    <row r="16" spans="1:13" ht="16.5" thickTop="1" thickBot="1" x14ac:dyDescent="0.3">
      <c r="A16" s="77">
        <v>44326</v>
      </c>
      <c r="B16" s="18">
        <v>16</v>
      </c>
      <c r="C16" s="21">
        <v>134418</v>
      </c>
      <c r="D16" s="89">
        <f t="shared" si="0"/>
        <v>54</v>
      </c>
      <c r="E16" s="21">
        <v>55176</v>
      </c>
      <c r="F16" s="89">
        <f t="shared" si="1"/>
        <v>30</v>
      </c>
      <c r="G16" s="21">
        <v>52326</v>
      </c>
      <c r="H16" s="89">
        <f t="shared" si="2"/>
        <v>23</v>
      </c>
      <c r="I16" s="21">
        <v>61452</v>
      </c>
      <c r="J16" s="89">
        <f t="shared" si="3"/>
        <v>18</v>
      </c>
      <c r="K16" s="21">
        <v>2779206</v>
      </c>
      <c r="L16" s="89">
        <f t="shared" si="4"/>
        <v>13209</v>
      </c>
    </row>
    <row r="17" spans="1:12" ht="16.5" thickTop="1" thickBot="1" x14ac:dyDescent="0.3">
      <c r="A17" s="77">
        <v>44327</v>
      </c>
      <c r="B17" s="18">
        <v>15</v>
      </c>
      <c r="C17" s="21">
        <v>134451</v>
      </c>
      <c r="D17" s="89">
        <f t="shared" si="0"/>
        <v>33</v>
      </c>
      <c r="E17" s="21">
        <v>55192</v>
      </c>
      <c r="F17" s="89">
        <f t="shared" si="1"/>
        <v>16</v>
      </c>
      <c r="G17" s="21">
        <v>52336</v>
      </c>
      <c r="H17" s="89">
        <f t="shared" si="2"/>
        <v>10</v>
      </c>
      <c r="I17" s="21">
        <v>61463</v>
      </c>
      <c r="J17" s="89">
        <f t="shared" si="3"/>
        <v>11</v>
      </c>
      <c r="K17" s="21">
        <v>2783147</v>
      </c>
      <c r="L17" s="89">
        <f t="shared" si="4"/>
        <v>3941</v>
      </c>
    </row>
    <row r="18" spans="1:12" ht="16.5" thickTop="1" thickBot="1" x14ac:dyDescent="0.3">
      <c r="A18" s="77">
        <v>44328</v>
      </c>
      <c r="B18" s="18">
        <v>15</v>
      </c>
      <c r="C18" s="21">
        <v>134473</v>
      </c>
      <c r="D18" s="89">
        <f t="shared" si="0"/>
        <v>22</v>
      </c>
      <c r="E18" s="21">
        <v>55203</v>
      </c>
      <c r="F18" s="89">
        <f t="shared" si="1"/>
        <v>11</v>
      </c>
      <c r="G18" s="21">
        <v>52348</v>
      </c>
      <c r="H18" s="89">
        <f t="shared" si="2"/>
        <v>12</v>
      </c>
      <c r="I18" s="21">
        <v>61470</v>
      </c>
      <c r="J18" s="89">
        <f t="shared" si="3"/>
        <v>7</v>
      </c>
      <c r="K18" s="21">
        <v>2791905</v>
      </c>
      <c r="L18" s="89">
        <f t="shared" si="4"/>
        <v>8758</v>
      </c>
    </row>
    <row r="19" spans="1:12" ht="16.5" thickTop="1" thickBot="1" x14ac:dyDescent="0.3">
      <c r="A19" s="77">
        <v>44329</v>
      </c>
      <c r="B19" s="18">
        <v>25</v>
      </c>
      <c r="C19" s="21">
        <v>134507</v>
      </c>
      <c r="D19" s="89">
        <f t="shared" si="0"/>
        <v>34</v>
      </c>
      <c r="E19" s="21">
        <v>55224</v>
      </c>
      <c r="F19" s="89">
        <f t="shared" si="1"/>
        <v>21</v>
      </c>
      <c r="G19" s="21">
        <v>52362</v>
      </c>
      <c r="H19" s="89">
        <f t="shared" si="2"/>
        <v>14</v>
      </c>
      <c r="I19" s="21">
        <v>61482</v>
      </c>
      <c r="J19" s="89">
        <f t="shared" si="3"/>
        <v>12</v>
      </c>
      <c r="K19" s="21">
        <v>2801171</v>
      </c>
      <c r="L19" s="89">
        <f t="shared" si="4"/>
        <v>9266</v>
      </c>
    </row>
    <row r="20" spans="1:12" ht="16.5" thickTop="1" thickBot="1" x14ac:dyDescent="0.3">
      <c r="A20" s="77">
        <v>44330</v>
      </c>
      <c r="B20" s="18">
        <v>37</v>
      </c>
      <c r="C20" s="21">
        <v>134332</v>
      </c>
      <c r="D20" s="89">
        <f t="shared" si="0"/>
        <v>-175</v>
      </c>
      <c r="E20" s="21">
        <v>55237</v>
      </c>
      <c r="F20" s="89">
        <f t="shared" si="1"/>
        <v>13</v>
      </c>
      <c r="G20" s="21">
        <v>52372</v>
      </c>
      <c r="H20" s="89">
        <f t="shared" si="2"/>
        <v>10</v>
      </c>
      <c r="I20" s="21">
        <v>61494</v>
      </c>
      <c r="J20" s="89">
        <f t="shared" si="3"/>
        <v>12</v>
      </c>
      <c r="K20" s="21">
        <v>2807488</v>
      </c>
      <c r="L20" s="89">
        <f t="shared" si="4"/>
        <v>6317</v>
      </c>
    </row>
    <row r="21" spans="1:12" ht="16.5" thickTop="1" thickBot="1" x14ac:dyDescent="0.3">
      <c r="A21" s="77">
        <v>44331</v>
      </c>
      <c r="B21" s="18">
        <v>17</v>
      </c>
      <c r="C21" s="21">
        <v>134572</v>
      </c>
      <c r="D21" s="89">
        <f t="shared" si="0"/>
        <v>240</v>
      </c>
      <c r="E21" s="21">
        <v>55259</v>
      </c>
      <c r="F21" s="89">
        <f t="shared" si="1"/>
        <v>22</v>
      </c>
      <c r="G21" s="21">
        <v>52388</v>
      </c>
      <c r="H21" s="89">
        <f t="shared" si="2"/>
        <v>16</v>
      </c>
      <c r="I21" s="66">
        <v>61413</v>
      </c>
      <c r="J21" s="89">
        <f t="shared" si="3"/>
        <v>-81</v>
      </c>
      <c r="K21" s="21">
        <v>2817923</v>
      </c>
      <c r="L21" s="89">
        <f t="shared" si="4"/>
        <v>10435</v>
      </c>
    </row>
    <row r="22" spans="1:12" ht="16.5" thickTop="1" thickBot="1" x14ac:dyDescent="0.3">
      <c r="A22" s="77">
        <v>44332</v>
      </c>
      <c r="B22" s="18">
        <v>11</v>
      </c>
      <c r="C22" s="21">
        <v>134617</v>
      </c>
      <c r="D22" s="89">
        <f t="shared" si="0"/>
        <v>45</v>
      </c>
      <c r="E22" s="21">
        <v>55281</v>
      </c>
      <c r="F22" s="89">
        <f t="shared" si="1"/>
        <v>22</v>
      </c>
      <c r="G22" s="21">
        <v>52402</v>
      </c>
      <c r="H22" s="89">
        <f t="shared" si="2"/>
        <v>14</v>
      </c>
      <c r="I22" s="66">
        <v>61472</v>
      </c>
      <c r="J22" s="89">
        <f t="shared" si="3"/>
        <v>59</v>
      </c>
      <c r="K22" s="21">
        <v>2828400</v>
      </c>
      <c r="L22" s="89">
        <f t="shared" si="4"/>
        <v>10477</v>
      </c>
    </row>
    <row r="23" spans="1:12" ht="16.5" thickTop="1" thickBot="1" x14ac:dyDescent="0.3">
      <c r="A23" s="77">
        <v>44333</v>
      </c>
      <c r="B23" s="18">
        <v>29</v>
      </c>
      <c r="C23" s="21">
        <v>134651</v>
      </c>
      <c r="D23" s="89">
        <f t="shared" si="0"/>
        <v>34</v>
      </c>
      <c r="E23" s="21">
        <v>55302</v>
      </c>
      <c r="F23" s="89">
        <f t="shared" si="1"/>
        <v>21</v>
      </c>
      <c r="G23" s="21">
        <v>52420</v>
      </c>
      <c r="H23" s="89">
        <f t="shared" si="2"/>
        <v>18</v>
      </c>
      <c r="I23" s="66">
        <v>61544</v>
      </c>
      <c r="J23" s="89">
        <f t="shared" si="3"/>
        <v>72</v>
      </c>
      <c r="K23" s="21">
        <v>2837688</v>
      </c>
      <c r="L23" s="89">
        <f t="shared" si="4"/>
        <v>9288</v>
      </c>
    </row>
    <row r="24" spans="1:12" ht="16.5" thickTop="1" thickBot="1" x14ac:dyDescent="0.3">
      <c r="A24" s="77">
        <v>44334</v>
      </c>
      <c r="B24" s="18">
        <v>7</v>
      </c>
      <c r="C24" s="21">
        <v>134677</v>
      </c>
      <c r="D24" s="89">
        <f t="shared" si="0"/>
        <v>26</v>
      </c>
      <c r="E24" s="21">
        <v>55314</v>
      </c>
      <c r="F24" s="89">
        <f t="shared" si="1"/>
        <v>12</v>
      </c>
      <c r="G24" s="21">
        <v>52430</v>
      </c>
      <c r="H24" s="89">
        <f t="shared" si="2"/>
        <v>10</v>
      </c>
      <c r="I24" s="66">
        <v>61552</v>
      </c>
      <c r="J24" s="89">
        <f t="shared" si="3"/>
        <v>8</v>
      </c>
      <c r="K24" s="21">
        <v>2842934</v>
      </c>
      <c r="L24" s="89">
        <f t="shared" si="4"/>
        <v>5246</v>
      </c>
    </row>
    <row r="25" spans="1:12" ht="16.5" thickTop="1" thickBot="1" x14ac:dyDescent="0.3">
      <c r="A25" s="77">
        <v>44335</v>
      </c>
      <c r="B25" s="18">
        <v>6</v>
      </c>
      <c r="C25" s="21">
        <v>134708</v>
      </c>
      <c r="D25" s="89">
        <f t="shared" si="0"/>
        <v>31</v>
      </c>
      <c r="E25" s="21">
        <v>55331</v>
      </c>
      <c r="F25" s="89">
        <f t="shared" si="1"/>
        <v>17</v>
      </c>
      <c r="G25" s="21">
        <v>52440</v>
      </c>
      <c r="H25" s="89">
        <f t="shared" si="2"/>
        <v>10</v>
      </c>
      <c r="I25" s="66">
        <v>61564</v>
      </c>
      <c r="J25" s="89">
        <f t="shared" si="3"/>
        <v>12</v>
      </c>
      <c r="K25" s="21">
        <v>2850480</v>
      </c>
      <c r="L25" s="89">
        <f t="shared" si="4"/>
        <v>7546</v>
      </c>
    </row>
    <row r="26" spans="1:12" ht="16.5" thickTop="1" thickBot="1" x14ac:dyDescent="0.3">
      <c r="A26" s="77">
        <v>44336</v>
      </c>
      <c r="B26" s="18">
        <v>22</v>
      </c>
      <c r="C26" s="21">
        <v>134753</v>
      </c>
      <c r="D26" s="89">
        <f t="shared" si="0"/>
        <v>45</v>
      </c>
      <c r="E26" s="21">
        <v>55347</v>
      </c>
      <c r="F26" s="89">
        <f t="shared" si="1"/>
        <v>16</v>
      </c>
      <c r="G26" s="21">
        <v>52454</v>
      </c>
      <c r="H26" s="89">
        <f t="shared" si="2"/>
        <v>14</v>
      </c>
      <c r="I26" s="66">
        <v>61575</v>
      </c>
      <c r="J26" s="89">
        <f t="shared" si="3"/>
        <v>11</v>
      </c>
      <c r="K26" s="21">
        <v>2859268</v>
      </c>
      <c r="L26" s="89">
        <f t="shared" si="4"/>
        <v>8788</v>
      </c>
    </row>
    <row r="27" spans="1:12" ht="16.5" thickTop="1" thickBot="1" x14ac:dyDescent="0.3">
      <c r="A27" s="77">
        <v>44337</v>
      </c>
      <c r="B27" s="18">
        <v>41</v>
      </c>
      <c r="C27" s="21">
        <v>134789</v>
      </c>
      <c r="D27" s="89">
        <f t="shared" si="0"/>
        <v>36</v>
      </c>
      <c r="E27" s="21">
        <v>55365</v>
      </c>
      <c r="F27" s="89">
        <f t="shared" si="1"/>
        <v>18</v>
      </c>
      <c r="G27" s="21">
        <v>52467</v>
      </c>
      <c r="H27" s="89">
        <f t="shared" si="2"/>
        <v>13</v>
      </c>
      <c r="I27" s="66">
        <v>61589</v>
      </c>
      <c r="J27" s="89">
        <f t="shared" si="3"/>
        <v>14</v>
      </c>
      <c r="K27" s="21">
        <v>2867337</v>
      </c>
      <c r="L27" s="89">
        <f t="shared" si="4"/>
        <v>8069</v>
      </c>
    </row>
    <row r="28" spans="1:12" ht="16.5" thickTop="1" thickBot="1" x14ac:dyDescent="0.3">
      <c r="A28" s="77">
        <v>44338</v>
      </c>
      <c r="B28" s="18">
        <v>40</v>
      </c>
      <c r="C28" s="21">
        <v>134832</v>
      </c>
      <c r="D28" s="89">
        <f t="shared" si="0"/>
        <v>43</v>
      </c>
      <c r="E28" s="21">
        <v>55384</v>
      </c>
      <c r="F28" s="89">
        <f t="shared" si="1"/>
        <v>19</v>
      </c>
      <c r="G28" s="21">
        <v>52481</v>
      </c>
      <c r="H28" s="89">
        <f t="shared" si="2"/>
        <v>14</v>
      </c>
      <c r="I28" s="21">
        <v>61602</v>
      </c>
      <c r="J28" s="89">
        <f t="shared" si="3"/>
        <v>13</v>
      </c>
      <c r="K28" s="21">
        <v>2876255</v>
      </c>
      <c r="L28" s="89">
        <f t="shared" si="4"/>
        <v>8918</v>
      </c>
    </row>
    <row r="29" spans="1:12" ht="16.5" thickTop="1" thickBot="1" x14ac:dyDescent="0.3">
      <c r="A29" s="77">
        <v>44339</v>
      </c>
      <c r="B29" s="18">
        <v>35</v>
      </c>
      <c r="C29" s="21">
        <v>134881</v>
      </c>
      <c r="D29" s="89">
        <f t="shared" si="0"/>
        <v>49</v>
      </c>
      <c r="E29" s="21">
        <v>55406</v>
      </c>
      <c r="F29" s="89">
        <f t="shared" si="1"/>
        <v>22</v>
      </c>
      <c r="G29" s="21">
        <v>52502</v>
      </c>
      <c r="H29" s="89">
        <f t="shared" si="2"/>
        <v>21</v>
      </c>
      <c r="I29" s="21">
        <v>61618</v>
      </c>
      <c r="J29" s="89">
        <f t="shared" si="3"/>
        <v>16</v>
      </c>
      <c r="K29" s="21">
        <v>2886975</v>
      </c>
      <c r="L29" s="89">
        <f t="shared" si="4"/>
        <v>10720</v>
      </c>
    </row>
    <row r="30" spans="1:12" ht="16.5" thickTop="1" thickBot="1" x14ac:dyDescent="0.3">
      <c r="A30" s="77">
        <v>44340</v>
      </c>
      <c r="B30" s="18">
        <v>11</v>
      </c>
      <c r="C30" s="60">
        <v>134915</v>
      </c>
      <c r="D30" s="89">
        <f t="shared" si="0"/>
        <v>34</v>
      </c>
      <c r="E30" s="59">
        <v>55424</v>
      </c>
      <c r="F30" s="89">
        <f t="shared" si="1"/>
        <v>18</v>
      </c>
      <c r="G30" s="58">
        <v>52517</v>
      </c>
      <c r="H30" s="89">
        <f t="shared" si="2"/>
        <v>15</v>
      </c>
      <c r="I30" s="57">
        <v>61629</v>
      </c>
      <c r="J30" s="89">
        <f t="shared" si="3"/>
        <v>11</v>
      </c>
      <c r="K30" s="56">
        <v>2895912</v>
      </c>
      <c r="L30" s="89">
        <f t="shared" si="4"/>
        <v>8937</v>
      </c>
    </row>
    <row r="31" spans="1:12" ht="16.5" thickTop="1" thickBot="1" x14ac:dyDescent="0.3">
      <c r="A31" s="77">
        <v>44341</v>
      </c>
      <c r="B31" s="18">
        <v>6</v>
      </c>
      <c r="C31" s="60">
        <v>134947</v>
      </c>
      <c r="D31" s="89">
        <f t="shared" si="0"/>
        <v>32</v>
      </c>
      <c r="E31" s="59">
        <v>55443</v>
      </c>
      <c r="F31" s="89">
        <f t="shared" si="1"/>
        <v>19</v>
      </c>
      <c r="G31" s="58">
        <v>52535</v>
      </c>
      <c r="H31" s="89">
        <f t="shared" si="2"/>
        <v>18</v>
      </c>
      <c r="I31" s="57">
        <v>61642</v>
      </c>
      <c r="J31" s="89">
        <f t="shared" si="3"/>
        <v>13</v>
      </c>
      <c r="K31" s="56">
        <v>2903475</v>
      </c>
      <c r="L31" s="89">
        <f t="shared" si="4"/>
        <v>7563</v>
      </c>
    </row>
    <row r="32" spans="1:12" ht="16.5" thickTop="1" thickBot="1" x14ac:dyDescent="0.3">
      <c r="A32" s="77">
        <v>44342</v>
      </c>
      <c r="B32" s="18">
        <v>9</v>
      </c>
      <c r="C32" s="60">
        <v>134986</v>
      </c>
      <c r="D32" s="89">
        <f t="shared" si="0"/>
        <v>39</v>
      </c>
      <c r="E32" s="59">
        <v>55461</v>
      </c>
      <c r="F32" s="89">
        <f t="shared" si="1"/>
        <v>18</v>
      </c>
      <c r="G32" s="58">
        <v>52551</v>
      </c>
      <c r="H32" s="89">
        <f t="shared" si="2"/>
        <v>16</v>
      </c>
      <c r="I32" s="57">
        <v>61656</v>
      </c>
      <c r="J32" s="89">
        <f t="shared" si="3"/>
        <v>14</v>
      </c>
      <c r="K32" s="56">
        <v>2914554</v>
      </c>
      <c r="L32" s="89">
        <f t="shared" si="4"/>
        <v>11079</v>
      </c>
    </row>
    <row r="33" spans="1:12" ht="16.5" thickTop="1" thickBot="1" x14ac:dyDescent="0.3">
      <c r="A33" s="77">
        <v>44343</v>
      </c>
      <c r="B33" s="18">
        <v>12</v>
      </c>
      <c r="C33" s="60">
        <v>135026</v>
      </c>
      <c r="D33" s="89">
        <f t="shared" si="0"/>
        <v>40</v>
      </c>
      <c r="E33" s="59">
        <v>55477</v>
      </c>
      <c r="F33" s="89">
        <f t="shared" si="1"/>
        <v>16</v>
      </c>
      <c r="G33" s="58">
        <v>52566</v>
      </c>
      <c r="H33" s="89">
        <f t="shared" si="2"/>
        <v>15</v>
      </c>
      <c r="I33" s="57">
        <v>61670</v>
      </c>
      <c r="J33" s="89">
        <f t="shared" si="3"/>
        <v>14</v>
      </c>
      <c r="K33" s="56">
        <v>2923349</v>
      </c>
      <c r="L33" s="89">
        <f t="shared" si="4"/>
        <v>8795</v>
      </c>
    </row>
    <row r="34" spans="1:12" ht="16.5" thickTop="1" thickBot="1" x14ac:dyDescent="0.3">
      <c r="A34" s="77">
        <v>44344</v>
      </c>
      <c r="B34" s="18">
        <v>24</v>
      </c>
      <c r="C34" s="21">
        <v>135069</v>
      </c>
      <c r="D34" s="89">
        <f t="shared" si="0"/>
        <v>43</v>
      </c>
      <c r="E34" s="21">
        <v>55496</v>
      </c>
      <c r="F34" s="89">
        <f t="shared" si="1"/>
        <v>19</v>
      </c>
      <c r="G34" s="21">
        <v>52580</v>
      </c>
      <c r="H34" s="89">
        <f t="shared" si="2"/>
        <v>14</v>
      </c>
      <c r="I34" s="21">
        <v>61692</v>
      </c>
      <c r="J34" s="89">
        <f t="shared" si="3"/>
        <v>22</v>
      </c>
      <c r="K34" s="21">
        <v>2932459</v>
      </c>
      <c r="L34" s="89">
        <f t="shared" si="4"/>
        <v>9110</v>
      </c>
    </row>
    <row r="35" spans="1:12" ht="16.5" thickTop="1" thickBot="1" x14ac:dyDescent="0.3">
      <c r="A35" s="77">
        <v>44345</v>
      </c>
      <c r="B35" s="18">
        <v>11</v>
      </c>
      <c r="C35" s="21">
        <v>135106</v>
      </c>
      <c r="D35" s="89">
        <f t="shared" si="0"/>
        <v>37</v>
      </c>
      <c r="E35" s="21">
        <v>55503</v>
      </c>
      <c r="F35" s="89">
        <f t="shared" si="1"/>
        <v>7</v>
      </c>
      <c r="G35" s="21">
        <v>52594</v>
      </c>
      <c r="H35" s="89">
        <f t="shared" si="2"/>
        <v>14</v>
      </c>
      <c r="I35" s="21">
        <v>61700</v>
      </c>
      <c r="J35" s="89">
        <f t="shared" si="3"/>
        <v>8</v>
      </c>
      <c r="K35" s="21">
        <v>2941026</v>
      </c>
      <c r="L35" s="89">
        <f t="shared" si="4"/>
        <v>8567</v>
      </c>
    </row>
    <row r="36" spans="1:12" ht="16.5" thickTop="1" thickBot="1" x14ac:dyDescent="0.3">
      <c r="A36" s="77">
        <v>44346</v>
      </c>
      <c r="B36" s="18">
        <v>11</v>
      </c>
      <c r="C36" s="69">
        <v>135157</v>
      </c>
      <c r="D36" s="89">
        <f t="shared" si="0"/>
        <v>51</v>
      </c>
      <c r="E36" s="70">
        <v>55532</v>
      </c>
      <c r="F36" s="89">
        <f t="shared" si="1"/>
        <v>29</v>
      </c>
      <c r="G36" s="71">
        <v>52611</v>
      </c>
      <c r="H36" s="89">
        <f t="shared" si="2"/>
        <v>17</v>
      </c>
      <c r="I36" s="72">
        <v>61716</v>
      </c>
      <c r="J36" s="89">
        <f t="shared" si="3"/>
        <v>16</v>
      </c>
      <c r="K36" s="73">
        <v>2951196</v>
      </c>
      <c r="L36" s="89">
        <f t="shared" si="4"/>
        <v>10170</v>
      </c>
    </row>
    <row r="37" spans="1:12" ht="16.5" thickTop="1" thickBot="1" x14ac:dyDescent="0.3">
      <c r="A37" s="77">
        <v>44347</v>
      </c>
      <c r="B37" s="18"/>
      <c r="C37" s="79">
        <v>135198</v>
      </c>
      <c r="D37" s="89">
        <f t="shared" si="0"/>
        <v>41</v>
      </c>
      <c r="E37" s="79">
        <v>55551</v>
      </c>
      <c r="F37" s="89">
        <f t="shared" si="1"/>
        <v>19</v>
      </c>
      <c r="G37" s="79">
        <v>52628</v>
      </c>
      <c r="H37" s="89">
        <f t="shared" si="2"/>
        <v>17</v>
      </c>
      <c r="I37" s="79">
        <v>61729</v>
      </c>
      <c r="J37" s="89">
        <f t="shared" si="3"/>
        <v>13</v>
      </c>
      <c r="K37" s="79">
        <v>2960514</v>
      </c>
      <c r="L37" s="89">
        <f t="shared" si="4"/>
        <v>9318</v>
      </c>
    </row>
    <row r="38" spans="1:12" ht="15.75" thickTop="1" x14ac:dyDescent="0.25"/>
  </sheetData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="80" zoomScaleNormal="80" workbookViewId="0">
      <selection activeCell="D33" sqref="D33"/>
    </sheetView>
  </sheetViews>
  <sheetFormatPr defaultRowHeight="15" x14ac:dyDescent="0.25"/>
  <cols>
    <col min="1" max="1" width="10.5703125" style="43" bestFit="1" customWidth="1"/>
    <col min="2" max="3" width="17.7109375" customWidth="1"/>
    <col min="4" max="4" width="18.28515625" customWidth="1"/>
    <col min="5" max="5" width="17.7109375" customWidth="1"/>
  </cols>
  <sheetData>
    <row r="1" spans="1:5" s="28" customFormat="1" ht="16.5" thickTop="1" thickBot="1" x14ac:dyDescent="0.3">
      <c r="A1" s="100" t="s">
        <v>46</v>
      </c>
      <c r="B1" s="101"/>
      <c r="C1" s="101"/>
      <c r="D1" s="101"/>
      <c r="E1" s="102"/>
    </row>
    <row r="2" spans="1:5" s="2" customFormat="1" ht="16.5" thickTop="1" thickBot="1" x14ac:dyDescent="0.3">
      <c r="B2" s="21"/>
      <c r="C2" s="21"/>
      <c r="D2" s="21"/>
      <c r="E2" s="21"/>
    </row>
    <row r="3" spans="1:5" s="2" customFormat="1" ht="16.5" thickTop="1" thickBot="1" x14ac:dyDescent="0.3">
      <c r="A3" s="41" t="s">
        <v>17</v>
      </c>
      <c r="B3" s="21" t="s">
        <v>21</v>
      </c>
      <c r="C3" s="21" t="s">
        <v>22</v>
      </c>
      <c r="D3" s="21" t="s">
        <v>23</v>
      </c>
      <c r="E3" s="21" t="s">
        <v>22</v>
      </c>
    </row>
    <row r="4" spans="1:5" s="2" customFormat="1" ht="16.5" thickTop="1" thickBot="1" x14ac:dyDescent="0.3">
      <c r="A4" s="77">
        <v>44316</v>
      </c>
      <c r="B4" s="79">
        <v>92593</v>
      </c>
      <c r="C4" s="79">
        <v>87</v>
      </c>
      <c r="D4" s="79">
        <v>241819</v>
      </c>
      <c r="E4" s="21">
        <v>91</v>
      </c>
    </row>
    <row r="5" spans="1:5" s="2" customFormat="1" ht="16.5" thickTop="1" thickBot="1" x14ac:dyDescent="0.3">
      <c r="A5" s="77">
        <v>44317</v>
      </c>
      <c r="B5" s="79">
        <v>92750</v>
      </c>
      <c r="C5" s="79">
        <f>B5-B4</f>
        <v>157</v>
      </c>
      <c r="D5" s="79">
        <v>241975</v>
      </c>
      <c r="E5" s="79">
        <f>D5-D4</f>
        <v>156</v>
      </c>
    </row>
    <row r="6" spans="1:5" s="2" customFormat="1" ht="16.5" thickTop="1" thickBot="1" x14ac:dyDescent="0.3">
      <c r="A6" s="77">
        <v>44318</v>
      </c>
      <c r="B6" s="21">
        <v>92914</v>
      </c>
      <c r="C6" s="89">
        <f t="shared" ref="C6:C35" si="0">B6-B5</f>
        <v>164</v>
      </c>
      <c r="D6" s="66">
        <v>242140</v>
      </c>
      <c r="E6" s="89">
        <f t="shared" ref="E6:E35" si="1">D6-D5</f>
        <v>165</v>
      </c>
    </row>
    <row r="7" spans="1:5" s="2" customFormat="1" ht="16.5" thickTop="1" thickBot="1" x14ac:dyDescent="0.3">
      <c r="A7" s="77">
        <v>44319</v>
      </c>
      <c r="B7" s="21">
        <v>93055</v>
      </c>
      <c r="C7" s="89">
        <f t="shared" si="0"/>
        <v>141</v>
      </c>
      <c r="D7" s="66">
        <v>242283</v>
      </c>
      <c r="E7" s="89">
        <f t="shared" si="1"/>
        <v>143</v>
      </c>
    </row>
    <row r="8" spans="1:5" s="2" customFormat="1" ht="16.5" thickTop="1" thickBot="1" x14ac:dyDescent="0.3">
      <c r="A8" s="77">
        <v>44320</v>
      </c>
      <c r="B8" s="21">
        <v>93183</v>
      </c>
      <c r="C8" s="89">
        <f t="shared" si="0"/>
        <v>128</v>
      </c>
      <c r="D8" s="21">
        <v>242413</v>
      </c>
      <c r="E8" s="89">
        <f t="shared" si="1"/>
        <v>130</v>
      </c>
    </row>
    <row r="9" spans="1:5" s="2" customFormat="1" ht="16.5" thickTop="1" thickBot="1" x14ac:dyDescent="0.3">
      <c r="A9" s="77">
        <v>44321</v>
      </c>
      <c r="B9" s="21">
        <v>93283</v>
      </c>
      <c r="C9" s="89">
        <f t="shared" si="0"/>
        <v>100</v>
      </c>
      <c r="D9" s="21">
        <v>242514</v>
      </c>
      <c r="E9" s="89">
        <f t="shared" si="1"/>
        <v>101</v>
      </c>
    </row>
    <row r="10" spans="1:5" s="2" customFormat="1" ht="16.5" thickTop="1" thickBot="1" x14ac:dyDescent="0.3">
      <c r="A10" s="77">
        <v>44322</v>
      </c>
      <c r="B10" s="21">
        <v>93436</v>
      </c>
      <c r="C10" s="89">
        <f t="shared" si="0"/>
        <v>153</v>
      </c>
      <c r="D10" s="21">
        <v>242669</v>
      </c>
      <c r="E10" s="89">
        <f t="shared" si="1"/>
        <v>155</v>
      </c>
    </row>
    <row r="11" spans="1:5" s="2" customFormat="1" ht="16.5" thickTop="1" thickBot="1" x14ac:dyDescent="0.3">
      <c r="A11" s="77">
        <v>44323</v>
      </c>
      <c r="B11" s="21">
        <v>93559</v>
      </c>
      <c r="C11" s="89">
        <f t="shared" si="0"/>
        <v>123</v>
      </c>
      <c r="D11" s="21">
        <v>242783</v>
      </c>
      <c r="E11" s="89">
        <f t="shared" si="1"/>
        <v>114</v>
      </c>
    </row>
    <row r="12" spans="1:5" s="2" customFormat="1" ht="16.5" thickTop="1" thickBot="1" x14ac:dyDescent="0.3">
      <c r="A12" s="77">
        <v>44324</v>
      </c>
      <c r="B12" s="21">
        <v>93703</v>
      </c>
      <c r="C12" s="89">
        <f t="shared" si="0"/>
        <v>144</v>
      </c>
      <c r="D12" s="21">
        <v>242944</v>
      </c>
      <c r="E12" s="89">
        <f t="shared" si="1"/>
        <v>161</v>
      </c>
    </row>
    <row r="13" spans="1:5" s="2" customFormat="1" ht="16.5" thickTop="1" thickBot="1" x14ac:dyDescent="0.3">
      <c r="A13" s="77">
        <v>44325</v>
      </c>
      <c r="B13" s="21">
        <v>93838</v>
      </c>
      <c r="C13" s="89">
        <f t="shared" si="0"/>
        <v>135</v>
      </c>
      <c r="D13" s="21">
        <v>243074</v>
      </c>
      <c r="E13" s="89">
        <f t="shared" si="1"/>
        <v>130</v>
      </c>
    </row>
    <row r="14" spans="1:5" s="2" customFormat="1" ht="16.5" thickTop="1" thickBot="1" x14ac:dyDescent="0.3">
      <c r="A14" s="77">
        <v>44326</v>
      </c>
      <c r="B14" s="21">
        <v>93922</v>
      </c>
      <c r="C14" s="89">
        <f t="shared" si="0"/>
        <v>84</v>
      </c>
      <c r="D14" s="21">
        <v>243162</v>
      </c>
      <c r="E14" s="89">
        <f t="shared" si="1"/>
        <v>88</v>
      </c>
    </row>
    <row r="15" spans="1:5" s="2" customFormat="1" ht="16.5" thickTop="1" thickBot="1" x14ac:dyDescent="0.3">
      <c r="A15" s="77">
        <v>44327</v>
      </c>
      <c r="B15" s="21">
        <v>94040</v>
      </c>
      <c r="C15" s="89">
        <f t="shared" si="0"/>
        <v>118</v>
      </c>
      <c r="D15" s="21">
        <v>243278</v>
      </c>
      <c r="E15" s="89">
        <f t="shared" si="1"/>
        <v>116</v>
      </c>
    </row>
    <row r="16" spans="1:5" s="2" customFormat="1" ht="16.5" thickTop="1" thickBot="1" x14ac:dyDescent="0.3">
      <c r="A16" s="77">
        <v>44328</v>
      </c>
      <c r="B16" s="21">
        <v>94234</v>
      </c>
      <c r="C16" s="89">
        <f t="shared" si="0"/>
        <v>194</v>
      </c>
      <c r="D16" s="21">
        <v>243471</v>
      </c>
      <c r="E16" s="89">
        <f t="shared" si="1"/>
        <v>193</v>
      </c>
    </row>
    <row r="17" spans="1:5" s="2" customFormat="1" ht="16.5" thickTop="1" thickBot="1" x14ac:dyDescent="0.3">
      <c r="A17" s="77">
        <v>44329</v>
      </c>
      <c r="B17" s="21">
        <v>94356</v>
      </c>
      <c r="C17" s="89">
        <f t="shared" si="0"/>
        <v>122</v>
      </c>
      <c r="D17" s="21">
        <v>243597</v>
      </c>
      <c r="E17" s="89">
        <f t="shared" si="1"/>
        <v>126</v>
      </c>
    </row>
    <row r="18" spans="1:5" s="2" customFormat="1" ht="16.5" thickTop="1" thickBot="1" x14ac:dyDescent="0.3">
      <c r="A18" s="77">
        <v>44330</v>
      </c>
      <c r="B18" s="21">
        <v>94438</v>
      </c>
      <c r="C18" s="89">
        <f t="shared" si="0"/>
        <v>82</v>
      </c>
      <c r="D18" s="21">
        <v>243681</v>
      </c>
      <c r="E18" s="89">
        <f t="shared" si="1"/>
        <v>84</v>
      </c>
    </row>
    <row r="19" spans="1:5" s="2" customFormat="1" ht="16.5" thickTop="1" thickBot="1" x14ac:dyDescent="0.3">
      <c r="A19" s="77">
        <v>44331</v>
      </c>
      <c r="B19" s="21">
        <v>94622</v>
      </c>
      <c r="C19" s="89">
        <f t="shared" si="0"/>
        <v>184</v>
      </c>
      <c r="D19" s="21">
        <v>243868</v>
      </c>
      <c r="E19" s="89">
        <f t="shared" si="1"/>
        <v>187</v>
      </c>
    </row>
    <row r="20" spans="1:5" s="2" customFormat="1" ht="16.5" thickTop="1" thickBot="1" x14ac:dyDescent="0.3">
      <c r="A20" s="77">
        <v>44332</v>
      </c>
      <c r="B20" s="21">
        <v>94793</v>
      </c>
      <c r="C20" s="89">
        <f t="shared" si="0"/>
        <v>171</v>
      </c>
      <c r="D20" s="21">
        <v>244041</v>
      </c>
      <c r="E20" s="89">
        <f t="shared" si="1"/>
        <v>173</v>
      </c>
    </row>
    <row r="21" spans="1:5" s="2" customFormat="1" ht="16.5" thickTop="1" thickBot="1" x14ac:dyDescent="0.3">
      <c r="A21" s="77">
        <v>44333</v>
      </c>
      <c r="B21" s="21">
        <v>94921</v>
      </c>
      <c r="C21" s="89">
        <f t="shared" si="0"/>
        <v>128</v>
      </c>
      <c r="D21" s="21">
        <v>244170</v>
      </c>
      <c r="E21" s="89">
        <f t="shared" si="1"/>
        <v>129</v>
      </c>
    </row>
    <row r="22" spans="1:5" s="2" customFormat="1" ht="16.5" thickTop="1" thickBot="1" x14ac:dyDescent="0.3">
      <c r="A22" s="77">
        <v>44334</v>
      </c>
      <c r="B22" s="21">
        <v>95065</v>
      </c>
      <c r="C22" s="89">
        <f t="shared" si="0"/>
        <v>144</v>
      </c>
      <c r="D22" s="21">
        <v>244317</v>
      </c>
      <c r="E22" s="89">
        <f t="shared" si="1"/>
        <v>147</v>
      </c>
    </row>
    <row r="23" spans="1:5" s="2" customFormat="1" ht="16.5" thickTop="1" thickBot="1" x14ac:dyDescent="0.3">
      <c r="A23" s="77">
        <v>44335</v>
      </c>
      <c r="B23" s="21">
        <v>95221</v>
      </c>
      <c r="C23" s="89">
        <f t="shared" si="0"/>
        <v>156</v>
      </c>
      <c r="D23" s="21">
        <v>244475</v>
      </c>
      <c r="E23" s="89">
        <f t="shared" si="1"/>
        <v>158</v>
      </c>
    </row>
    <row r="24" spans="1:5" s="2" customFormat="1" ht="16.5" thickTop="1" thickBot="1" x14ac:dyDescent="0.3">
      <c r="A24" s="77">
        <v>44336</v>
      </c>
      <c r="B24" s="21">
        <v>95368</v>
      </c>
      <c r="C24" s="89">
        <f t="shared" si="0"/>
        <v>147</v>
      </c>
      <c r="D24" s="61">
        <v>244623</v>
      </c>
      <c r="E24" s="89">
        <f t="shared" si="1"/>
        <v>148</v>
      </c>
    </row>
    <row r="25" spans="1:5" s="2" customFormat="1" ht="16.5" thickTop="1" thickBot="1" x14ac:dyDescent="0.3">
      <c r="A25" s="77">
        <v>44337</v>
      </c>
      <c r="B25" s="21">
        <v>95528</v>
      </c>
      <c r="C25" s="89">
        <f t="shared" si="0"/>
        <v>160</v>
      </c>
      <c r="D25" s="61">
        <v>244834</v>
      </c>
      <c r="E25" s="89">
        <f t="shared" si="1"/>
        <v>211</v>
      </c>
    </row>
    <row r="26" spans="1:5" s="2" customFormat="1" ht="16.5" thickTop="1" thickBot="1" x14ac:dyDescent="0.3">
      <c r="A26" s="77">
        <v>44338</v>
      </c>
      <c r="B26" s="21">
        <v>95796</v>
      </c>
      <c r="C26" s="89">
        <f t="shared" si="0"/>
        <v>268</v>
      </c>
      <c r="D26" s="61">
        <v>245053</v>
      </c>
      <c r="E26" s="89">
        <f t="shared" si="1"/>
        <v>219</v>
      </c>
    </row>
    <row r="27" spans="1:5" s="2" customFormat="1" ht="16.5" thickTop="1" thickBot="1" x14ac:dyDescent="0.3">
      <c r="A27" s="77">
        <v>44339</v>
      </c>
      <c r="B27" s="21">
        <v>95964</v>
      </c>
      <c r="C27" s="89">
        <f t="shared" si="0"/>
        <v>168</v>
      </c>
      <c r="D27" s="61">
        <v>245218</v>
      </c>
      <c r="E27" s="89">
        <f t="shared" si="1"/>
        <v>165</v>
      </c>
    </row>
    <row r="28" spans="1:5" s="2" customFormat="1" ht="16.5" thickTop="1" thickBot="1" x14ac:dyDescent="0.3">
      <c r="A28" s="77">
        <v>44340</v>
      </c>
      <c r="B28" s="21">
        <v>96071</v>
      </c>
      <c r="C28" s="89">
        <f t="shared" si="0"/>
        <v>107</v>
      </c>
      <c r="D28" s="61">
        <v>245328</v>
      </c>
      <c r="E28" s="89">
        <f t="shared" si="1"/>
        <v>110</v>
      </c>
    </row>
    <row r="29" spans="1:5" s="2" customFormat="1" ht="16.5" thickTop="1" thickBot="1" x14ac:dyDescent="0.3">
      <c r="A29" s="77">
        <v>44341</v>
      </c>
      <c r="B29" s="21">
        <v>96232</v>
      </c>
      <c r="C29" s="89">
        <f t="shared" si="0"/>
        <v>161</v>
      </c>
      <c r="D29" s="61">
        <v>245490</v>
      </c>
      <c r="E29" s="89">
        <f t="shared" si="1"/>
        <v>162</v>
      </c>
    </row>
    <row r="30" spans="1:5" s="2" customFormat="1" ht="16.5" thickTop="1" thickBot="1" x14ac:dyDescent="0.3">
      <c r="A30" s="77">
        <v>44342</v>
      </c>
      <c r="B30" s="21">
        <v>96356</v>
      </c>
      <c r="C30" s="89">
        <f t="shared" si="0"/>
        <v>124</v>
      </c>
      <c r="D30" s="61">
        <v>245614</v>
      </c>
      <c r="E30" s="89">
        <f t="shared" si="1"/>
        <v>124</v>
      </c>
    </row>
    <row r="31" spans="1:5" s="2" customFormat="1" ht="16.5" thickTop="1" thickBot="1" x14ac:dyDescent="0.3">
      <c r="A31" s="77">
        <v>44343</v>
      </c>
      <c r="B31" s="21">
        <v>96491</v>
      </c>
      <c r="C31" s="89">
        <f t="shared" si="0"/>
        <v>135</v>
      </c>
      <c r="D31" s="21">
        <v>245749</v>
      </c>
      <c r="E31" s="89">
        <f t="shared" si="1"/>
        <v>135</v>
      </c>
    </row>
    <row r="32" spans="1:5" s="2" customFormat="1" ht="16.5" thickTop="1" thickBot="1" x14ac:dyDescent="0.3">
      <c r="A32" s="77">
        <v>44344</v>
      </c>
      <c r="B32" s="21">
        <v>96627</v>
      </c>
      <c r="C32" s="89">
        <f t="shared" si="0"/>
        <v>136</v>
      </c>
      <c r="D32" s="21">
        <v>245886</v>
      </c>
      <c r="E32" s="89">
        <f t="shared" si="1"/>
        <v>137</v>
      </c>
    </row>
    <row r="33" spans="1:5" s="2" customFormat="1" ht="16.5" thickTop="1" thickBot="1" x14ac:dyDescent="0.3">
      <c r="A33" s="77">
        <v>44345</v>
      </c>
      <c r="B33" s="21">
        <v>96775</v>
      </c>
      <c r="C33" s="89">
        <f t="shared" si="0"/>
        <v>148</v>
      </c>
      <c r="D33" s="21">
        <v>246034</v>
      </c>
      <c r="E33" s="89">
        <f t="shared" si="1"/>
        <v>148</v>
      </c>
    </row>
    <row r="34" spans="1:5" s="2" customFormat="1" ht="16.5" thickTop="1" thickBot="1" x14ac:dyDescent="0.3">
      <c r="A34" s="77">
        <v>44346</v>
      </c>
      <c r="B34" s="79">
        <v>96929</v>
      </c>
      <c r="C34" s="89">
        <f t="shared" si="0"/>
        <v>154</v>
      </c>
      <c r="D34" s="79">
        <v>246188</v>
      </c>
      <c r="E34" s="89">
        <f t="shared" si="1"/>
        <v>154</v>
      </c>
    </row>
    <row r="35" spans="1:5" ht="16.5" thickTop="1" thickBot="1" x14ac:dyDescent="0.3">
      <c r="A35" s="77">
        <v>44347</v>
      </c>
      <c r="B35" s="79">
        <v>97099</v>
      </c>
      <c r="C35" s="89">
        <f t="shared" si="0"/>
        <v>170</v>
      </c>
      <c r="D35" s="79">
        <v>246338</v>
      </c>
      <c r="E35" s="89">
        <f t="shared" si="1"/>
        <v>150</v>
      </c>
    </row>
    <row r="36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="90" zoomScaleNormal="90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10.5703125" style="43" bestFit="1" customWidth="1"/>
    <col min="2" max="2" width="14.85546875" customWidth="1"/>
    <col min="3" max="3" width="17.7109375" customWidth="1"/>
    <col min="4" max="4" width="17.85546875" customWidth="1"/>
    <col min="5" max="5" width="17.5703125" customWidth="1"/>
    <col min="6" max="6" width="15.7109375" customWidth="1"/>
    <col min="7" max="7" width="17.7109375" customWidth="1"/>
    <col min="8" max="8" width="23" customWidth="1"/>
    <col min="9" max="9" width="17.5703125" customWidth="1"/>
    <col min="10" max="10" width="15.28515625" customWidth="1"/>
    <col min="11" max="11" width="16.85546875" customWidth="1"/>
  </cols>
  <sheetData>
    <row r="1" spans="1:13" s="22" customFormat="1" ht="15.75" thickTop="1" x14ac:dyDescent="0.25">
      <c r="A1" s="103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3" s="23" customFormat="1" ht="15.75" thickBot="1" x14ac:dyDescent="0.3">
      <c r="A2" s="2"/>
      <c r="B2" s="106" t="s">
        <v>24</v>
      </c>
      <c r="C2" s="106"/>
      <c r="D2" s="106" t="s">
        <v>25</v>
      </c>
      <c r="E2" s="106"/>
      <c r="F2" s="106" t="s">
        <v>26</v>
      </c>
      <c r="G2" s="106"/>
      <c r="H2" s="106" t="s">
        <v>27</v>
      </c>
      <c r="I2" s="106"/>
      <c r="J2" s="106" t="s">
        <v>28</v>
      </c>
      <c r="K2" s="106"/>
    </row>
    <row r="3" spans="1:13" s="27" customFormat="1" ht="16.5" thickTop="1" thickBot="1" x14ac:dyDescent="0.3">
      <c r="A3" s="41" t="s">
        <v>17</v>
      </c>
      <c r="B3" s="24" t="s">
        <v>29</v>
      </c>
      <c r="C3" s="25" t="s">
        <v>22</v>
      </c>
      <c r="D3" s="24" t="s">
        <v>29</v>
      </c>
      <c r="E3" s="25" t="s">
        <v>22</v>
      </c>
      <c r="F3" s="24" t="s">
        <v>29</v>
      </c>
      <c r="G3" s="25" t="s">
        <v>22</v>
      </c>
      <c r="H3" s="24" t="s">
        <v>29</v>
      </c>
      <c r="I3" s="25" t="s">
        <v>22</v>
      </c>
      <c r="J3" s="24" t="s">
        <v>29</v>
      </c>
      <c r="K3" s="26" t="s">
        <v>22</v>
      </c>
    </row>
    <row r="4" spans="1:13" s="20" customFormat="1" ht="14.45" customHeight="1" thickTop="1" thickBot="1" x14ac:dyDescent="0.3">
      <c r="A4" s="77">
        <v>44316</v>
      </c>
      <c r="B4" s="91">
        <v>81322.100000000006</v>
      </c>
      <c r="C4" s="81">
        <v>12.200000000011642</v>
      </c>
      <c r="D4" s="92" t="s">
        <v>43</v>
      </c>
      <c r="E4" s="81">
        <v>0</v>
      </c>
      <c r="F4" s="93" t="s">
        <v>49</v>
      </c>
      <c r="G4" s="79">
        <v>3473.9000000000233</v>
      </c>
      <c r="H4" s="94" t="s">
        <v>80</v>
      </c>
      <c r="I4" s="79">
        <v>32.80000000000291</v>
      </c>
      <c r="J4" s="95" t="s">
        <v>112</v>
      </c>
      <c r="K4" s="79">
        <v>208.69999999999709</v>
      </c>
    </row>
    <row r="5" spans="1:13" ht="15" customHeight="1" thickTop="1" thickBot="1" x14ac:dyDescent="0.3">
      <c r="A5" s="77">
        <v>44317</v>
      </c>
      <c r="B5" s="82">
        <v>81344</v>
      </c>
      <c r="C5" s="96">
        <f>B5-B4</f>
        <v>21.899999999994179</v>
      </c>
      <c r="D5" s="95" t="s">
        <v>43</v>
      </c>
      <c r="E5" s="78" t="s">
        <v>47</v>
      </c>
      <c r="F5" s="78" t="s">
        <v>50</v>
      </c>
      <c r="G5" s="95">
        <f>F5-F4</f>
        <v>3758.2000000000698</v>
      </c>
      <c r="H5" s="95" t="s">
        <v>81</v>
      </c>
      <c r="I5" s="95">
        <f>H5-H4</f>
        <v>56.400000000001455</v>
      </c>
      <c r="J5" s="78" t="s">
        <v>113</v>
      </c>
      <c r="K5" s="95">
        <f>J5-J4</f>
        <v>445.90000000000146</v>
      </c>
      <c r="L5" s="36"/>
    </row>
    <row r="6" spans="1:13" ht="16.5" thickTop="1" thickBot="1" x14ac:dyDescent="0.3">
      <c r="A6" s="77">
        <v>44318</v>
      </c>
      <c r="B6" s="82">
        <v>81353.2</v>
      </c>
      <c r="C6" s="96">
        <f t="shared" ref="C6:C35" si="0">B6-B5</f>
        <v>9.1999999999970896</v>
      </c>
      <c r="D6" s="95" t="s">
        <v>43</v>
      </c>
      <c r="E6" s="78" t="s">
        <v>47</v>
      </c>
      <c r="F6" s="78" t="s">
        <v>51</v>
      </c>
      <c r="G6" s="95">
        <f t="shared" ref="G6:G35" si="1">F6-F5</f>
        <v>3541.0999999999767</v>
      </c>
      <c r="H6" s="95" t="s">
        <v>82</v>
      </c>
      <c r="I6" s="95">
        <f t="shared" ref="I6:I35" si="2">H6-H5</f>
        <v>46.5</v>
      </c>
      <c r="J6" s="78" t="s">
        <v>114</v>
      </c>
      <c r="K6" s="95">
        <f t="shared" ref="K6:K35" si="3">J6-J5</f>
        <v>354.20000000000437</v>
      </c>
      <c r="L6" s="36"/>
    </row>
    <row r="7" spans="1:13" ht="16.5" thickTop="1" thickBot="1" x14ac:dyDescent="0.3">
      <c r="A7" s="77">
        <v>44319</v>
      </c>
      <c r="B7" s="96">
        <v>81364</v>
      </c>
      <c r="C7" s="96">
        <f t="shared" si="0"/>
        <v>10.80000000000291</v>
      </c>
      <c r="D7" s="95" t="s">
        <v>43</v>
      </c>
      <c r="E7" s="78" t="s">
        <v>47</v>
      </c>
      <c r="F7" s="78" t="s">
        <v>52</v>
      </c>
      <c r="G7" s="95">
        <f t="shared" si="1"/>
        <v>3631.0999999999767</v>
      </c>
      <c r="H7" s="95" t="s">
        <v>83</v>
      </c>
      <c r="I7" s="95">
        <f t="shared" si="2"/>
        <v>46.400000000001455</v>
      </c>
      <c r="J7" s="78" t="s">
        <v>115</v>
      </c>
      <c r="K7" s="95">
        <f t="shared" si="3"/>
        <v>220.89999999999418</v>
      </c>
      <c r="L7" s="36"/>
    </row>
    <row r="8" spans="1:13" ht="16.5" thickTop="1" thickBot="1" x14ac:dyDescent="0.3">
      <c r="A8" s="77">
        <v>44320</v>
      </c>
      <c r="B8" s="82">
        <v>81379.8</v>
      </c>
      <c r="C8" s="96">
        <f t="shared" si="0"/>
        <v>15.80000000000291</v>
      </c>
      <c r="D8" s="78" t="s">
        <v>43</v>
      </c>
      <c r="E8" s="78" t="s">
        <v>47</v>
      </c>
      <c r="F8" s="78" t="s">
        <v>53</v>
      </c>
      <c r="G8" s="95">
        <f t="shared" si="1"/>
        <v>1558.5</v>
      </c>
      <c r="H8" s="95" t="s">
        <v>84</v>
      </c>
      <c r="I8" s="95">
        <f t="shared" si="2"/>
        <v>29.899999999994179</v>
      </c>
      <c r="J8" s="78" t="s">
        <v>116</v>
      </c>
      <c r="K8" s="95">
        <f t="shared" si="3"/>
        <v>297</v>
      </c>
      <c r="L8" s="36"/>
    </row>
    <row r="9" spans="1:13" ht="16.5" thickTop="1" thickBot="1" x14ac:dyDescent="0.3">
      <c r="A9" s="77">
        <v>44321</v>
      </c>
      <c r="B9" s="82">
        <v>81413.7</v>
      </c>
      <c r="C9" s="96">
        <f t="shared" si="0"/>
        <v>33.899999999994179</v>
      </c>
      <c r="D9" s="78" t="s">
        <v>43</v>
      </c>
      <c r="E9" s="78" t="s">
        <v>47</v>
      </c>
      <c r="F9" s="78" t="s">
        <v>54</v>
      </c>
      <c r="G9" s="95">
        <f t="shared" si="1"/>
        <v>2218.0999999999767</v>
      </c>
      <c r="H9" s="95" t="s">
        <v>85</v>
      </c>
      <c r="I9" s="95">
        <f t="shared" si="2"/>
        <v>36.30000000000291</v>
      </c>
      <c r="J9" s="78" t="s">
        <v>117</v>
      </c>
      <c r="K9" s="95">
        <f t="shared" si="3"/>
        <v>293.70000000000437</v>
      </c>
      <c r="L9" s="36"/>
    </row>
    <row r="10" spans="1:13" ht="16.5" thickTop="1" thickBot="1" x14ac:dyDescent="0.3">
      <c r="A10" s="77">
        <v>44322</v>
      </c>
      <c r="B10" s="82">
        <v>81444.3</v>
      </c>
      <c r="C10" s="96">
        <f t="shared" si="0"/>
        <v>30.600000000005821</v>
      </c>
      <c r="D10" s="78" t="s">
        <v>43</v>
      </c>
      <c r="E10" s="78" t="s">
        <v>47</v>
      </c>
      <c r="F10" s="78" t="s">
        <v>55</v>
      </c>
      <c r="G10" s="95">
        <f t="shared" si="1"/>
        <v>3118.9000000000233</v>
      </c>
      <c r="H10" s="95" t="s">
        <v>86</v>
      </c>
      <c r="I10" s="95">
        <f t="shared" si="2"/>
        <v>42</v>
      </c>
      <c r="J10" s="78" t="s">
        <v>118</v>
      </c>
      <c r="K10" s="95">
        <f t="shared" si="3"/>
        <v>298.79999999999563</v>
      </c>
      <c r="L10" s="36"/>
    </row>
    <row r="11" spans="1:13" ht="16.5" thickTop="1" thickBot="1" x14ac:dyDescent="0.3">
      <c r="A11" s="77">
        <v>44323</v>
      </c>
      <c r="B11" s="82">
        <v>81461.899999999994</v>
      </c>
      <c r="C11" s="96">
        <f t="shared" si="0"/>
        <v>17.599999999991269</v>
      </c>
      <c r="D11" s="78" t="s">
        <v>43</v>
      </c>
      <c r="E11" s="78" t="s">
        <v>47</v>
      </c>
      <c r="F11" s="78" t="s">
        <v>56</v>
      </c>
      <c r="G11" s="95">
        <f t="shared" si="1"/>
        <v>3536.0999999999767</v>
      </c>
      <c r="H11" s="95" t="s">
        <v>87</v>
      </c>
      <c r="I11" s="95">
        <f t="shared" si="2"/>
        <v>47.30000000000291</v>
      </c>
      <c r="J11" s="78" t="s">
        <v>119</v>
      </c>
      <c r="K11" s="95">
        <f t="shared" si="3"/>
        <v>347.80000000000291</v>
      </c>
      <c r="L11" s="36"/>
    </row>
    <row r="12" spans="1:13" ht="16.5" thickTop="1" thickBot="1" x14ac:dyDescent="0.3">
      <c r="A12" s="77">
        <v>44324</v>
      </c>
      <c r="B12" s="82">
        <v>81489</v>
      </c>
      <c r="C12" s="96">
        <f t="shared" si="0"/>
        <v>27.100000000005821</v>
      </c>
      <c r="D12" s="78" t="s">
        <v>43</v>
      </c>
      <c r="E12" s="78" t="s">
        <v>47</v>
      </c>
      <c r="F12" s="78" t="s">
        <v>57</v>
      </c>
      <c r="G12" s="95">
        <f t="shared" si="1"/>
        <v>1913.9000000000233</v>
      </c>
      <c r="H12" s="78" t="s">
        <v>88</v>
      </c>
      <c r="I12" s="95">
        <f t="shared" si="2"/>
        <v>38.299999999995634</v>
      </c>
      <c r="J12" s="78" t="s">
        <v>120</v>
      </c>
      <c r="K12" s="95">
        <f t="shared" si="3"/>
        <v>275.40000000000146</v>
      </c>
      <c r="L12" s="36"/>
    </row>
    <row r="13" spans="1:13" ht="16.5" thickTop="1" thickBot="1" x14ac:dyDescent="0.3">
      <c r="A13" s="77">
        <v>44325</v>
      </c>
      <c r="B13" s="82">
        <v>81525.8</v>
      </c>
      <c r="C13" s="96">
        <f t="shared" si="0"/>
        <v>36.80000000000291</v>
      </c>
      <c r="D13" s="78" t="s">
        <v>43</v>
      </c>
      <c r="E13" s="78" t="s">
        <v>47</v>
      </c>
      <c r="F13" s="78" t="s">
        <v>58</v>
      </c>
      <c r="G13" s="95">
        <f t="shared" si="1"/>
        <v>3470.0999999999767</v>
      </c>
      <c r="H13" s="78" t="s">
        <v>89</v>
      </c>
      <c r="I13" s="95">
        <f t="shared" si="2"/>
        <v>36.700000000004366</v>
      </c>
      <c r="J13" s="78" t="s">
        <v>121</v>
      </c>
      <c r="K13" s="95">
        <f t="shared" si="3"/>
        <v>345.79999999999563</v>
      </c>
      <c r="L13" s="36"/>
      <c r="M13" t="s">
        <v>30</v>
      </c>
    </row>
    <row r="14" spans="1:13" ht="16.5" thickTop="1" thickBot="1" x14ac:dyDescent="0.3">
      <c r="A14" s="77">
        <v>44326</v>
      </c>
      <c r="B14" s="82">
        <v>81532.100000000006</v>
      </c>
      <c r="C14" s="96">
        <f t="shared" si="0"/>
        <v>6.3000000000029104</v>
      </c>
      <c r="D14" s="78" t="s">
        <v>43</v>
      </c>
      <c r="E14" s="78" t="s">
        <v>47</v>
      </c>
      <c r="F14" s="78" t="s">
        <v>59</v>
      </c>
      <c r="G14" s="95">
        <f t="shared" si="1"/>
        <v>6029.0999999999767</v>
      </c>
      <c r="H14" s="78" t="s">
        <v>90</v>
      </c>
      <c r="I14" s="95">
        <f t="shared" si="2"/>
        <v>104.69999999999709</v>
      </c>
      <c r="J14" s="78" t="s">
        <v>122</v>
      </c>
      <c r="K14" s="95">
        <f t="shared" si="3"/>
        <v>632.20000000000437</v>
      </c>
      <c r="L14" s="36"/>
    </row>
    <row r="15" spans="1:13" ht="16.5" thickTop="1" thickBot="1" x14ac:dyDescent="0.3">
      <c r="A15" s="77">
        <v>44327</v>
      </c>
      <c r="B15" s="82">
        <v>81582.100000000006</v>
      </c>
      <c r="C15" s="96">
        <f t="shared" si="0"/>
        <v>50</v>
      </c>
      <c r="D15" s="78" t="s">
        <v>43</v>
      </c>
      <c r="E15" s="78" t="s">
        <v>47</v>
      </c>
      <c r="F15" s="78" t="s">
        <v>60</v>
      </c>
      <c r="G15" s="95">
        <f t="shared" si="1"/>
        <v>11</v>
      </c>
      <c r="H15" s="78" t="s">
        <v>91</v>
      </c>
      <c r="I15" s="95">
        <f t="shared" si="2"/>
        <v>3</v>
      </c>
      <c r="J15" s="78" t="s">
        <v>123</v>
      </c>
      <c r="K15" s="95">
        <f t="shared" si="3"/>
        <v>6.0999999999985448</v>
      </c>
      <c r="L15" s="36"/>
    </row>
    <row r="16" spans="1:13" ht="16.5" thickTop="1" thickBot="1" x14ac:dyDescent="0.3">
      <c r="A16" s="77">
        <v>44328</v>
      </c>
      <c r="B16" s="82">
        <v>81585.399999999994</v>
      </c>
      <c r="C16" s="96">
        <f t="shared" si="0"/>
        <v>3.2999999999883585</v>
      </c>
      <c r="D16" s="78" t="s">
        <v>43</v>
      </c>
      <c r="E16" s="78" t="s">
        <v>47</v>
      </c>
      <c r="F16" s="78" t="s">
        <v>61</v>
      </c>
      <c r="G16" s="95">
        <f t="shared" si="1"/>
        <v>2213.1000000000931</v>
      </c>
      <c r="H16" s="78" t="s">
        <v>92</v>
      </c>
      <c r="I16" s="95">
        <f t="shared" si="2"/>
        <v>29.5</v>
      </c>
      <c r="J16" s="78" t="s">
        <v>124</v>
      </c>
      <c r="K16" s="95">
        <f t="shared" si="3"/>
        <v>201.40000000000146</v>
      </c>
      <c r="L16" s="36"/>
    </row>
    <row r="17" spans="1:12" ht="16.5" thickTop="1" thickBot="1" x14ac:dyDescent="0.3">
      <c r="A17" s="77">
        <v>44329</v>
      </c>
      <c r="B17" s="82">
        <v>81589.600000000006</v>
      </c>
      <c r="C17" s="96">
        <f t="shared" si="0"/>
        <v>4.2000000000116415</v>
      </c>
      <c r="D17" s="78" t="s">
        <v>43</v>
      </c>
      <c r="E17" s="78" t="s">
        <v>47</v>
      </c>
      <c r="F17" s="78" t="s">
        <v>62</v>
      </c>
      <c r="G17" s="95">
        <f t="shared" si="1"/>
        <v>2719.5</v>
      </c>
      <c r="H17" s="78" t="s">
        <v>93</v>
      </c>
      <c r="I17" s="95">
        <f t="shared" si="2"/>
        <v>44.5</v>
      </c>
      <c r="J17" s="78" t="s">
        <v>126</v>
      </c>
      <c r="K17" s="95">
        <f t="shared" si="3"/>
        <v>308.40000000000146</v>
      </c>
      <c r="L17" s="36"/>
    </row>
    <row r="18" spans="1:12" ht="16.5" thickTop="1" thickBot="1" x14ac:dyDescent="0.3">
      <c r="A18" s="77">
        <v>44330</v>
      </c>
      <c r="B18" s="82">
        <v>81599.100000000006</v>
      </c>
      <c r="C18" s="96">
        <f t="shared" si="0"/>
        <v>9.5</v>
      </c>
      <c r="D18" s="78" t="s">
        <v>43</v>
      </c>
      <c r="E18" s="78" t="s">
        <v>47</v>
      </c>
      <c r="F18" s="78" t="s">
        <v>63</v>
      </c>
      <c r="G18" s="95">
        <f t="shared" si="1"/>
        <v>1553</v>
      </c>
      <c r="H18" s="78" t="s">
        <v>94</v>
      </c>
      <c r="I18" s="95">
        <f t="shared" si="2"/>
        <v>30.099999999998545</v>
      </c>
      <c r="J18" s="78" t="s">
        <v>125</v>
      </c>
      <c r="K18" s="95">
        <f t="shared" si="3"/>
        <v>199</v>
      </c>
      <c r="L18" s="36"/>
    </row>
    <row r="19" spans="1:12" ht="16.5" thickTop="1" thickBot="1" x14ac:dyDescent="0.3">
      <c r="A19" s="77">
        <v>44331</v>
      </c>
      <c r="B19" s="82">
        <v>81640.3</v>
      </c>
      <c r="C19" s="96">
        <f t="shared" si="0"/>
        <v>41.19999999999709</v>
      </c>
      <c r="D19" s="78" t="s">
        <v>43</v>
      </c>
      <c r="E19" s="78" t="s">
        <v>47</v>
      </c>
      <c r="F19" s="78" t="s">
        <v>64</v>
      </c>
      <c r="G19" s="95">
        <f t="shared" si="1"/>
        <v>3233.8999999999069</v>
      </c>
      <c r="H19" s="78" t="s">
        <v>95</v>
      </c>
      <c r="I19" s="95">
        <f t="shared" si="2"/>
        <v>46.599999999998545</v>
      </c>
      <c r="J19" s="78" t="s">
        <v>127</v>
      </c>
      <c r="K19" s="95">
        <f t="shared" si="3"/>
        <v>434.89999999999418</v>
      </c>
      <c r="L19" s="36"/>
    </row>
    <row r="20" spans="1:12" ht="16.5" thickTop="1" thickBot="1" x14ac:dyDescent="0.3">
      <c r="A20" s="77">
        <v>44332</v>
      </c>
      <c r="B20" s="82">
        <v>81669.7</v>
      </c>
      <c r="C20" s="96">
        <f t="shared" si="0"/>
        <v>29.399999999994179</v>
      </c>
      <c r="D20" s="78" t="s">
        <v>43</v>
      </c>
      <c r="E20" s="78" t="s">
        <v>47</v>
      </c>
      <c r="F20" s="78" t="s">
        <v>65</v>
      </c>
      <c r="G20" s="95">
        <f t="shared" si="1"/>
        <v>3356.7000000000698</v>
      </c>
      <c r="H20" s="78" t="s">
        <v>96</v>
      </c>
      <c r="I20" s="95">
        <f t="shared" si="2"/>
        <v>56.100000000005821</v>
      </c>
      <c r="J20" s="78" t="s">
        <v>128</v>
      </c>
      <c r="K20" s="95">
        <f t="shared" si="3"/>
        <v>310.70000000000437</v>
      </c>
      <c r="L20" s="36"/>
    </row>
    <row r="21" spans="1:12" ht="16.5" thickTop="1" thickBot="1" x14ac:dyDescent="0.3">
      <c r="A21" s="77">
        <v>44333</v>
      </c>
      <c r="B21" s="82">
        <v>81684.800000000003</v>
      </c>
      <c r="C21" s="96">
        <f t="shared" si="0"/>
        <v>15.100000000005821</v>
      </c>
      <c r="D21" s="78" t="s">
        <v>43</v>
      </c>
      <c r="E21" s="78" t="s">
        <v>47</v>
      </c>
      <c r="F21" s="78" t="s">
        <v>66</v>
      </c>
      <c r="G21" s="95">
        <f t="shared" si="1"/>
        <v>3352.9000000000233</v>
      </c>
      <c r="H21" s="78" t="s">
        <v>97</v>
      </c>
      <c r="I21" s="95">
        <f t="shared" si="2"/>
        <v>47.899999999994179</v>
      </c>
      <c r="J21" s="78" t="s">
        <v>129</v>
      </c>
      <c r="K21" s="95">
        <f t="shared" si="3"/>
        <v>320.69999999999709</v>
      </c>
      <c r="L21" s="36"/>
    </row>
    <row r="22" spans="1:12" ht="16.5" thickTop="1" thickBot="1" x14ac:dyDescent="0.3">
      <c r="A22" s="77">
        <v>44334</v>
      </c>
      <c r="B22" s="82">
        <v>81690.8</v>
      </c>
      <c r="C22" s="96">
        <f t="shared" si="0"/>
        <v>6</v>
      </c>
      <c r="D22" s="78" t="s">
        <v>43</v>
      </c>
      <c r="E22" s="78" t="s">
        <v>47</v>
      </c>
      <c r="F22" s="78" t="s">
        <v>76</v>
      </c>
      <c r="G22" s="95">
        <f t="shared" si="1"/>
        <v>1913.7999999999302</v>
      </c>
      <c r="H22" s="78" t="s">
        <v>98</v>
      </c>
      <c r="I22" s="95">
        <f t="shared" si="2"/>
        <v>31.700000000004366</v>
      </c>
      <c r="J22" s="78" t="s">
        <v>48</v>
      </c>
      <c r="K22" s="95">
        <f t="shared" si="3"/>
        <v>168.90000000000146</v>
      </c>
      <c r="L22" s="36"/>
    </row>
    <row r="23" spans="1:12" ht="16.5" thickTop="1" thickBot="1" x14ac:dyDescent="0.3">
      <c r="A23" s="77">
        <v>44335</v>
      </c>
      <c r="B23" s="82">
        <v>81714.399999999994</v>
      </c>
      <c r="C23" s="96">
        <f t="shared" si="0"/>
        <v>23.599999999991269</v>
      </c>
      <c r="D23" s="78" t="s">
        <v>43</v>
      </c>
      <c r="E23" s="78" t="s">
        <v>47</v>
      </c>
      <c r="F23" s="78" t="s">
        <v>77</v>
      </c>
      <c r="G23" s="95">
        <f t="shared" si="1"/>
        <v>2740</v>
      </c>
      <c r="H23" s="78" t="s">
        <v>99</v>
      </c>
      <c r="I23" s="95">
        <f t="shared" si="2"/>
        <v>39.900000000001455</v>
      </c>
      <c r="J23" s="78" t="s">
        <v>130</v>
      </c>
      <c r="K23" s="95">
        <f t="shared" si="3"/>
        <v>307.69999999999709</v>
      </c>
      <c r="L23" s="36"/>
    </row>
    <row r="24" spans="1:12" ht="16.5" thickTop="1" thickBot="1" x14ac:dyDescent="0.3">
      <c r="A24" s="77">
        <v>44336</v>
      </c>
      <c r="B24" s="82">
        <v>81723</v>
      </c>
      <c r="C24" s="96">
        <f t="shared" si="0"/>
        <v>8.6000000000058208</v>
      </c>
      <c r="D24" s="78" t="s">
        <v>43</v>
      </c>
      <c r="E24" s="78" t="s">
        <v>47</v>
      </c>
      <c r="F24" s="37" t="s">
        <v>78</v>
      </c>
      <c r="G24" s="95">
        <f t="shared" si="1"/>
        <v>2780.7000000000698</v>
      </c>
      <c r="H24" s="78" t="s">
        <v>100</v>
      </c>
      <c r="I24" s="95">
        <f t="shared" si="2"/>
        <v>44.599999999998545</v>
      </c>
      <c r="J24" s="37" t="s">
        <v>131</v>
      </c>
      <c r="K24" s="95">
        <f t="shared" si="3"/>
        <v>296.70000000000437</v>
      </c>
      <c r="L24" s="36"/>
    </row>
    <row r="25" spans="1:12" ht="16.5" thickTop="1" thickBot="1" x14ac:dyDescent="0.3">
      <c r="A25" s="77">
        <v>44337</v>
      </c>
      <c r="B25" s="82">
        <v>81732.899999999994</v>
      </c>
      <c r="C25" s="96">
        <f t="shared" si="0"/>
        <v>9.8999999999941792</v>
      </c>
      <c r="D25" s="78" t="s">
        <v>43</v>
      </c>
      <c r="E25" s="78" t="s">
        <v>47</v>
      </c>
      <c r="F25" s="37" t="s">
        <v>79</v>
      </c>
      <c r="G25" s="95">
        <f t="shared" si="1"/>
        <v>2389.7999999999302</v>
      </c>
      <c r="H25" s="78" t="s">
        <v>101</v>
      </c>
      <c r="I25" s="95">
        <f t="shared" si="2"/>
        <v>38.799999999995634</v>
      </c>
      <c r="J25" s="37" t="s">
        <v>132</v>
      </c>
      <c r="K25" s="95">
        <f t="shared" si="3"/>
        <v>267</v>
      </c>
      <c r="L25" s="36"/>
    </row>
    <row r="26" spans="1:12" ht="16.5" thickTop="1" thickBot="1" x14ac:dyDescent="0.3">
      <c r="A26" s="77">
        <v>44338</v>
      </c>
      <c r="B26" s="82">
        <v>81765</v>
      </c>
      <c r="C26" s="96">
        <f t="shared" si="0"/>
        <v>32.100000000005821</v>
      </c>
      <c r="D26" s="78" t="s">
        <v>43</v>
      </c>
      <c r="E26" s="78" t="s">
        <v>47</v>
      </c>
      <c r="F26" s="37" t="s">
        <v>67</v>
      </c>
      <c r="G26" s="95">
        <f t="shared" si="1"/>
        <v>6960.0999999999767</v>
      </c>
      <c r="H26" s="78" t="s">
        <v>102</v>
      </c>
      <c r="I26" s="95">
        <f t="shared" si="2"/>
        <v>130.5</v>
      </c>
      <c r="J26" s="37" t="s">
        <v>133</v>
      </c>
      <c r="K26" s="95">
        <f t="shared" si="3"/>
        <v>423.69999999999709</v>
      </c>
      <c r="L26" s="36"/>
    </row>
    <row r="27" spans="1:12" ht="16.5" thickTop="1" thickBot="1" x14ac:dyDescent="0.3">
      <c r="A27" s="77">
        <v>44339</v>
      </c>
      <c r="B27" s="82">
        <v>81806</v>
      </c>
      <c r="C27" s="96">
        <f t="shared" si="0"/>
        <v>41</v>
      </c>
      <c r="D27" s="78" t="s">
        <v>43</v>
      </c>
      <c r="E27" s="78" t="s">
        <v>47</v>
      </c>
      <c r="F27" s="37" t="s">
        <v>67</v>
      </c>
      <c r="G27" s="95">
        <f t="shared" si="1"/>
        <v>0</v>
      </c>
      <c r="H27" s="78" t="s">
        <v>109</v>
      </c>
      <c r="I27" s="95">
        <f t="shared" si="2"/>
        <v>63.100000000005821</v>
      </c>
      <c r="J27" s="55" t="s">
        <v>134</v>
      </c>
      <c r="K27" s="95">
        <f t="shared" si="3"/>
        <v>272.59999999999854</v>
      </c>
      <c r="L27" s="36"/>
    </row>
    <row r="28" spans="1:12" ht="16.5" thickTop="1" thickBot="1" x14ac:dyDescent="0.3">
      <c r="A28" s="77">
        <v>44340</v>
      </c>
      <c r="B28" s="82">
        <v>81815</v>
      </c>
      <c r="C28" s="96">
        <f t="shared" si="0"/>
        <v>9</v>
      </c>
      <c r="D28" s="78" t="s">
        <v>43</v>
      </c>
      <c r="E28" s="78" t="s">
        <v>47</v>
      </c>
      <c r="F28" s="37" t="s">
        <v>68</v>
      </c>
      <c r="G28" s="95">
        <f t="shared" si="1"/>
        <v>2440.9000000000233</v>
      </c>
      <c r="H28" s="78" t="s">
        <v>110</v>
      </c>
      <c r="I28" s="95">
        <f t="shared" si="2"/>
        <v>4.0999999999985448</v>
      </c>
      <c r="J28" s="55" t="s">
        <v>135</v>
      </c>
      <c r="K28" s="95">
        <f t="shared" si="3"/>
        <v>282</v>
      </c>
      <c r="L28" s="36"/>
    </row>
    <row r="29" spans="1:12" ht="16.5" thickTop="1" thickBot="1" x14ac:dyDescent="0.3">
      <c r="A29" s="77">
        <v>44341</v>
      </c>
      <c r="B29" s="82">
        <v>81827</v>
      </c>
      <c r="C29" s="96">
        <f t="shared" si="0"/>
        <v>12</v>
      </c>
      <c r="D29" s="78" t="s">
        <v>43</v>
      </c>
      <c r="E29" s="78" t="s">
        <v>47</v>
      </c>
      <c r="F29" s="37" t="s">
        <v>69</v>
      </c>
      <c r="G29" s="95">
        <f t="shared" si="1"/>
        <v>2987.9000000000233</v>
      </c>
      <c r="H29" s="78" t="s">
        <v>111</v>
      </c>
      <c r="I29" s="95">
        <f t="shared" si="2"/>
        <v>11</v>
      </c>
      <c r="J29" s="55" t="s">
        <v>136</v>
      </c>
      <c r="K29" s="95">
        <f t="shared" si="3"/>
        <v>312.20000000000437</v>
      </c>
      <c r="L29" s="36"/>
    </row>
    <row r="30" spans="1:12" ht="16.5" thickTop="1" thickBot="1" x14ac:dyDescent="0.3">
      <c r="A30" s="77">
        <v>44342</v>
      </c>
      <c r="B30" s="82">
        <v>81851</v>
      </c>
      <c r="C30" s="96">
        <f t="shared" si="0"/>
        <v>24</v>
      </c>
      <c r="D30" s="78" t="s">
        <v>43</v>
      </c>
      <c r="E30" s="78" t="s">
        <v>47</v>
      </c>
      <c r="F30" s="37" t="s">
        <v>70</v>
      </c>
      <c r="G30" s="95">
        <f t="shared" si="1"/>
        <v>2652.9000000000233</v>
      </c>
      <c r="H30" s="78" t="s">
        <v>103</v>
      </c>
      <c r="I30" s="95">
        <f t="shared" si="2"/>
        <v>12</v>
      </c>
      <c r="J30" s="55" t="s">
        <v>137</v>
      </c>
      <c r="K30" s="95">
        <f t="shared" si="3"/>
        <v>292.40000000000146</v>
      </c>
      <c r="L30" s="36"/>
    </row>
    <row r="31" spans="1:12" ht="16.5" thickTop="1" thickBot="1" x14ac:dyDescent="0.3">
      <c r="A31" s="77">
        <v>44343</v>
      </c>
      <c r="B31" s="82">
        <v>81884.100000000006</v>
      </c>
      <c r="C31" s="96">
        <f t="shared" si="0"/>
        <v>33.100000000005821</v>
      </c>
      <c r="D31" s="78" t="s">
        <v>43</v>
      </c>
      <c r="E31" s="78" t="s">
        <v>47</v>
      </c>
      <c r="F31" s="37" t="s">
        <v>71</v>
      </c>
      <c r="G31" s="95">
        <f t="shared" si="1"/>
        <v>2397.1999999999534</v>
      </c>
      <c r="H31" s="78" t="s">
        <v>104</v>
      </c>
      <c r="I31" s="95">
        <f t="shared" si="2"/>
        <v>42.099999999998545</v>
      </c>
      <c r="J31" s="37" t="s">
        <v>138</v>
      </c>
      <c r="K31" s="95">
        <f t="shared" si="3"/>
        <v>288</v>
      </c>
      <c r="L31" s="36"/>
    </row>
    <row r="32" spans="1:12" ht="16.5" thickTop="1" thickBot="1" x14ac:dyDescent="0.3">
      <c r="A32" s="77">
        <v>44344</v>
      </c>
      <c r="B32" s="82">
        <v>81918.7</v>
      </c>
      <c r="C32" s="96">
        <f t="shared" si="0"/>
        <v>34.599999999991269</v>
      </c>
      <c r="D32" s="78" t="s">
        <v>43</v>
      </c>
      <c r="E32" s="78" t="s">
        <v>47</v>
      </c>
      <c r="F32" s="37" t="s">
        <v>72</v>
      </c>
      <c r="G32" s="95">
        <f t="shared" si="1"/>
        <v>2991.3000000000466</v>
      </c>
      <c r="H32" s="78" t="s">
        <v>105</v>
      </c>
      <c r="I32" s="95">
        <f t="shared" si="2"/>
        <v>15.900000000001455</v>
      </c>
      <c r="J32" s="37" t="s">
        <v>139</v>
      </c>
      <c r="K32" s="95">
        <f t="shared" si="3"/>
        <v>344</v>
      </c>
      <c r="L32" s="36"/>
    </row>
    <row r="33" spans="1:12" ht="16.5" thickTop="1" thickBot="1" x14ac:dyDescent="0.3">
      <c r="A33" s="77">
        <v>44345</v>
      </c>
      <c r="B33" s="82">
        <v>81959.8</v>
      </c>
      <c r="C33" s="96">
        <f t="shared" si="0"/>
        <v>41.100000000005821</v>
      </c>
      <c r="D33" s="78" t="s">
        <v>43</v>
      </c>
      <c r="E33" s="78" t="s">
        <v>47</v>
      </c>
      <c r="F33" s="37" t="s">
        <v>73</v>
      </c>
      <c r="G33" s="95">
        <f t="shared" si="1"/>
        <v>2924.5</v>
      </c>
      <c r="H33" s="78" t="s">
        <v>106</v>
      </c>
      <c r="I33" s="95">
        <f t="shared" si="2"/>
        <v>37.400000000001455</v>
      </c>
      <c r="J33" s="37" t="s">
        <v>140</v>
      </c>
      <c r="K33" s="95">
        <f t="shared" si="3"/>
        <v>306.19999999999709</v>
      </c>
      <c r="L33" s="36"/>
    </row>
    <row r="34" spans="1:12" ht="16.5" thickTop="1" thickBot="1" x14ac:dyDescent="0.3">
      <c r="A34" s="77">
        <v>44346</v>
      </c>
      <c r="B34" s="82">
        <v>81996.7</v>
      </c>
      <c r="C34" s="96">
        <f t="shared" si="0"/>
        <v>36.899999999994179</v>
      </c>
      <c r="D34" s="78" t="s">
        <v>43</v>
      </c>
      <c r="E34" s="78" t="s">
        <v>47</v>
      </c>
      <c r="F34" s="37" t="s">
        <v>74</v>
      </c>
      <c r="G34" s="95">
        <f t="shared" si="1"/>
        <v>3172</v>
      </c>
      <c r="H34" s="78" t="s">
        <v>107</v>
      </c>
      <c r="I34" s="95">
        <f t="shared" si="2"/>
        <v>51.799999999995634</v>
      </c>
      <c r="J34" s="68" t="s">
        <v>141</v>
      </c>
      <c r="K34" s="95">
        <f t="shared" si="3"/>
        <v>371.09999999999854</v>
      </c>
      <c r="L34" s="36"/>
    </row>
    <row r="35" spans="1:12" ht="16.5" thickTop="1" thickBot="1" x14ac:dyDescent="0.3">
      <c r="A35" s="77">
        <v>44347</v>
      </c>
      <c r="B35" s="82">
        <v>82007</v>
      </c>
      <c r="C35" s="96">
        <f t="shared" si="0"/>
        <v>10.30000000000291</v>
      </c>
      <c r="D35" s="78" t="s">
        <v>43</v>
      </c>
      <c r="E35" s="78" t="s">
        <v>47</v>
      </c>
      <c r="F35" s="78" t="s">
        <v>75</v>
      </c>
      <c r="G35" s="95">
        <f t="shared" si="1"/>
        <v>3365.7999999999302</v>
      </c>
      <c r="H35" s="78" t="s">
        <v>108</v>
      </c>
      <c r="I35" s="95">
        <f t="shared" si="2"/>
        <v>42.400000000001455</v>
      </c>
      <c r="J35" s="78" t="s">
        <v>142</v>
      </c>
      <c r="K35" s="95">
        <f t="shared" si="3"/>
        <v>315</v>
      </c>
    </row>
    <row r="36" spans="1:12" ht="15.75" thickTop="1" x14ac:dyDescent="0.25"/>
  </sheetData>
  <mergeCells count="6">
    <mergeCell ref="A1:K1"/>
    <mergeCell ref="B2:C2"/>
    <mergeCell ref="D2:E2"/>
    <mergeCell ref="F2:G2"/>
    <mergeCell ref="H2:I2"/>
    <mergeCell ref="J2:K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 ELEC MAY 2021</vt:lpstr>
      <vt:lpstr> WATER MAY 2021</vt:lpstr>
      <vt:lpstr>GAS MAY 2021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2021-06-08T11:15:52Z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