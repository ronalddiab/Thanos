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77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76"/>
  <c r="E177"/>
  <c r="G177" s="1"/>
  <c r="E175"/>
  <c r="G175" s="1"/>
  <c r="E107"/>
  <c r="E175" i="18"/>
  <c r="G175" s="1"/>
  <c r="E176"/>
  <c r="G176" s="1"/>
  <c r="E174"/>
  <c r="G174" s="1"/>
  <c r="G180" i="17"/>
  <c r="E180"/>
  <c r="E179"/>
  <c r="G179" s="1"/>
  <c r="E178"/>
  <c r="G178" s="1"/>
  <c r="E93"/>
  <c r="E96"/>
  <c r="E97"/>
  <c r="G180" i="16"/>
  <c r="E179"/>
  <c r="G179" s="1"/>
  <c r="E180"/>
  <c r="E178"/>
  <c r="G178" s="1"/>
  <c r="E106" i="15"/>
  <c r="G176" i="19"/>
  <c r="E180" i="22"/>
  <c r="G180" s="1"/>
  <c r="G179"/>
  <c r="E179"/>
  <c r="G178"/>
  <c r="E178"/>
  <c r="E180" i="23"/>
  <c r="G180" s="1"/>
  <c r="E179"/>
  <c r="G179" s="1"/>
  <c r="G178"/>
  <c r="E178"/>
  <c r="G180" i="24"/>
  <c r="E180"/>
  <c r="E179"/>
  <c r="G179" s="1"/>
  <c r="E178"/>
  <c r="G178" s="1"/>
  <c r="G180" i="25"/>
  <c r="E180"/>
  <c r="G179"/>
  <c r="E179"/>
  <c r="E178"/>
  <c r="G178" s="1"/>
  <c r="E180" i="40"/>
  <c r="G180" s="1"/>
  <c r="G179"/>
  <c r="E179"/>
  <c r="G178"/>
  <c r="E178"/>
  <c r="E180" i="27"/>
  <c r="G180" s="1"/>
  <c r="E179"/>
  <c r="G179" s="1"/>
  <c r="G178"/>
  <c r="E178"/>
  <c r="G180" i="28"/>
  <c r="E180"/>
  <c r="E179"/>
  <c r="G179" s="1"/>
  <c r="E178"/>
  <c r="G178" s="1"/>
  <c r="G180" i="29"/>
  <c r="E180"/>
  <c r="G179"/>
  <c r="E179"/>
  <c r="E178"/>
  <c r="G178" s="1"/>
  <c r="E180" i="30"/>
  <c r="G180" s="1"/>
  <c r="G179"/>
  <c r="E179"/>
  <c r="G178"/>
  <c r="E178"/>
  <c r="E180" i="43"/>
  <c r="G180" s="1"/>
  <c r="E179"/>
  <c r="G179" s="1"/>
  <c r="G178"/>
  <c r="E178"/>
  <c r="G180" i="31"/>
  <c r="E180"/>
  <c r="E179"/>
  <c r="G179" s="1"/>
  <c r="E178"/>
  <c r="G178" s="1"/>
  <c r="E175" i="15"/>
  <c r="G175" s="1"/>
  <c r="E174"/>
  <c r="G174" s="1"/>
  <c r="E173"/>
  <c r="G173" s="1"/>
  <c r="E41"/>
  <c r="G177" i="14"/>
  <c r="G176"/>
  <c r="G175"/>
  <c r="E79" i="13"/>
  <c r="E76"/>
  <c r="E75"/>
  <c r="E73"/>
  <c r="E84"/>
  <c r="E84" i="12"/>
  <c r="E78"/>
  <c r="E75"/>
  <c r="E72"/>
  <c r="G174" i="13"/>
  <c r="E174"/>
  <c r="E175"/>
  <c r="G175" s="1"/>
  <c r="E173"/>
  <c r="G173" s="1"/>
  <c r="E175" i="12"/>
  <c r="E174"/>
  <c r="G174" s="1"/>
  <c r="E105"/>
  <c r="G175" i="11"/>
  <c r="G174"/>
  <c r="G173"/>
  <c r="G175" i="10"/>
  <c r="G174"/>
  <c r="G173"/>
  <c r="F15" i="31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G175"/>
  <c r="E174"/>
  <c r="G174" s="1"/>
  <c r="E175"/>
  <c r="E173"/>
  <c r="G173" s="1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B33" l="1"/>
  <c r="G177" i="40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G174" i="16"/>
  <c r="G173"/>
  <c r="G174" i="14" l="1"/>
  <c r="G173"/>
  <c r="E50" i="13"/>
  <c r="E51"/>
  <c r="E52"/>
  <c r="E53"/>
  <c r="E54"/>
  <c r="E55"/>
  <c r="E56"/>
  <c r="E57"/>
  <c r="E58"/>
  <c r="G58" s="1"/>
  <c r="G162" i="12" l="1"/>
  <c r="E162"/>
  <c r="E163"/>
  <c r="G163" s="1"/>
  <c r="E164"/>
  <c r="G164" s="1"/>
  <c r="E165"/>
  <c r="G165" s="1"/>
  <c r="E166"/>
  <c r="G166" s="1"/>
  <c r="E171"/>
  <c r="G171" s="1"/>
  <c r="E173"/>
  <c r="G173" s="1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19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G105" s="1"/>
  <c r="E93" i="9"/>
  <c r="E83"/>
  <c r="H114" i="3"/>
  <c r="H114" i="4" s="1"/>
  <c r="H114" i="5" s="1"/>
  <c r="H109" i="3"/>
  <c r="H109" i="4" s="1"/>
  <c r="H109" i="5" s="1"/>
  <c r="H91" i="23" l="1"/>
  <c r="H91" i="24" s="1"/>
  <c r="J91" s="1"/>
  <c r="H91" i="3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J91" i="23" l="1"/>
  <c r="E12" i="1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J137" i="3" l="1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40" i="4" l="1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H60" i="4" l="1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J115" i="3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O8" i="14" l="1"/>
  <c r="E8" i="15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G8" i="19"/>
  <c r="N8" s="1"/>
  <c r="I20" i="1"/>
  <c r="K20" s="1"/>
  <c r="C21" i="44"/>
  <c r="N11" i="18"/>
  <c r="E27"/>
  <c r="G27" s="1"/>
  <c r="G20" i="1"/>
  <c r="E8" i="21" l="1"/>
  <c r="G8" i="20"/>
  <c r="I21" i="1"/>
  <c r="K21" s="1"/>
  <c r="E27" i="19"/>
  <c r="G27" s="1"/>
  <c r="C22" i="44"/>
  <c r="G21" i="1"/>
  <c r="E49" i="8"/>
  <c r="E8" i="22" l="1"/>
  <c r="G8" i="21"/>
  <c r="I22" i="1"/>
  <c r="K22" s="1"/>
  <c r="G27" i="20"/>
  <c r="C23" i="44"/>
  <c r="G22" i="1"/>
  <c r="E72" i="8"/>
  <c r="E8" i="23" l="1"/>
  <c r="F8" s="1"/>
  <c r="G8" i="22"/>
  <c r="E27" i="21"/>
  <c r="G27" s="1"/>
  <c r="I23" i="1"/>
  <c r="K23" s="1"/>
  <c r="C24" i="44"/>
  <c r="G23" i="1"/>
  <c r="E94" i="7"/>
  <c r="G8" i="23" l="1"/>
  <c r="E8" i="24"/>
  <c r="F8" s="1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I25" i="1" l="1"/>
  <c r="K25" s="1"/>
  <c r="C26" i="44"/>
  <c r="E27" i="23"/>
  <c r="G27" s="1"/>
  <c r="G25" i="1"/>
  <c r="G8" i="24"/>
  <c r="E8" i="25"/>
  <c r="F8" s="1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F8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E27" l="1"/>
  <c r="G27" s="1"/>
  <c r="I27" i="1"/>
  <c r="K27" s="1"/>
  <c r="C28" i="44"/>
  <c r="G27" i="1"/>
  <c r="G8" i="40"/>
  <c r="E8" i="27"/>
  <c r="F8" s="1"/>
  <c r="G20" i="25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F8" s="1"/>
  <c r="AA31" i="45"/>
  <c r="AA24"/>
  <c r="BD25" i="49" s="1"/>
  <c r="G60" i="25"/>
  <c r="E124" i="30"/>
  <c r="E35" i="28"/>
  <c r="G35" s="1"/>
  <c r="E27" i="27" l="1"/>
  <c r="G27" s="1"/>
  <c r="C30" i="44"/>
  <c r="I29" i="1"/>
  <c r="K29" s="1"/>
  <c r="G29"/>
  <c r="E8" i="29"/>
  <c r="F8" s="1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F8" s="1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F8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G54"/>
  <c r="N54" s="1"/>
  <c r="G53"/>
  <c r="G52"/>
  <c r="N52" s="1"/>
  <c r="G51"/>
  <c r="G50"/>
  <c r="E49"/>
  <c r="G46"/>
  <c r="G45"/>
  <c r="G44"/>
  <c r="G43"/>
  <c r="G42"/>
  <c r="G41"/>
  <c r="N41" s="1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U21" i="1" l="1"/>
  <c r="N40" i="19"/>
  <c r="BB21" i="1"/>
  <c r="N51" i="19"/>
  <c r="N38"/>
  <c r="N50"/>
  <c r="BH21" i="1"/>
  <c r="N36" i="19"/>
  <c r="N35"/>
  <c r="BG21" i="1"/>
  <c r="Y22" i="44"/>
  <c r="X19" i="49" s="1"/>
  <c r="N58" i="19"/>
  <c r="N10"/>
  <c r="N46"/>
  <c r="AP18" i="44"/>
  <c r="BI15" i="49" s="1"/>
  <c r="G125" i="15"/>
  <c r="N45" i="19"/>
  <c r="N55"/>
  <c r="BA17" i="1"/>
  <c r="G59" i="15"/>
  <c r="N44" i="19"/>
  <c r="AW21" i="1"/>
  <c r="N42" i="19"/>
  <c r="BD21" i="1"/>
  <c r="N53" i="19"/>
  <c r="N43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N39" s="1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60" s="1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A21" i="1" l="1"/>
  <c r="N49" i="19"/>
  <c r="N12"/>
  <c r="N11"/>
  <c r="N57"/>
  <c r="N8" i="31"/>
  <c r="G8"/>
  <c r="G60" i="33"/>
  <c r="I33" i="1"/>
  <c r="K33" s="1"/>
  <c r="G33"/>
  <c r="E27" i="43"/>
  <c r="G27" s="1"/>
  <c r="C34" i="44"/>
  <c r="AZ5"/>
  <c r="BH6" i="49"/>
  <c r="AZ9" i="44"/>
  <c r="L24" i="45"/>
  <c r="BD10" i="49" s="1"/>
  <c r="BH3"/>
  <c r="AZ6" i="44"/>
  <c r="BH5" i="49"/>
  <c r="AZ8" i="44"/>
  <c r="BH4" i="49"/>
  <c r="AZ7" i="44"/>
  <c r="T24" i="45"/>
  <c r="BD18" i="49" s="1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H120" i="13"/>
  <c r="J120" s="1"/>
  <c r="Z5" i="1"/>
  <c r="K11" i="35"/>
  <c r="AN6" i="44"/>
  <c r="BG3" i="49" s="1"/>
  <c r="AY5" i="44"/>
  <c r="AK18" i="1"/>
  <c r="Z17"/>
  <c r="AY18" i="44"/>
  <c r="AY17"/>
  <c r="AK11" i="1"/>
  <c r="G60" i="12"/>
  <c r="H119"/>
  <c r="J119" s="1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6"/>
  <c r="AR36" i="1"/>
  <c r="BG36"/>
  <c r="P19"/>
  <c r="I17" i="47" s="1"/>
  <c r="G60" i="40"/>
  <c r="AK28" i="1"/>
  <c r="V36"/>
  <c r="AF17"/>
  <c r="AG17" s="1"/>
  <c r="G60" i="14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N59" i="19" l="1"/>
  <c r="N47"/>
  <c r="BA35" i="1"/>
  <c r="G60" i="18"/>
  <c r="BQ4" i="1"/>
  <c r="E27" i="31"/>
  <c r="G27" s="1"/>
  <c r="G32" s="1"/>
  <c r="I34" i="1"/>
  <c r="G34"/>
  <c r="G35" s="1"/>
  <c r="C35" i="44"/>
  <c r="C36" s="1"/>
  <c r="G144" i="7"/>
  <c r="H9" i="1"/>
  <c r="S10"/>
  <c r="R10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E7" i="10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N60" s="1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K34" l="1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D10" i="44"/>
  <c r="E28" i="7"/>
  <c r="G28" s="1"/>
  <c r="G32" s="1"/>
  <c r="AN10" i="44"/>
  <c r="M9" i="1"/>
  <c r="G129" i="7"/>
  <c r="E9" i="19"/>
  <c r="E7" i="11"/>
  <c r="E7" i="12" s="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E7" i="13"/>
  <c r="G7" i="12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M7" s="1"/>
  <c r="O9" i="1"/>
  <c r="G8" i="47"/>
  <c r="O10" i="1"/>
  <c r="BO10" s="1"/>
  <c r="G9" i="18"/>
  <c r="G13" s="1"/>
  <c r="E9" i="20"/>
  <c r="G9" i="19"/>
  <c r="E9" i="47"/>
  <c r="L11" i="1"/>
  <c r="BL11"/>
  <c r="BN11"/>
  <c r="BM11"/>
  <c r="G7" i="1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G13" i="19" l="1"/>
  <c r="N13" s="1"/>
  <c r="N9"/>
  <c r="H13" i="1"/>
  <c r="I59" i="11"/>
  <c r="G7" i="13"/>
  <c r="E7" i="14"/>
  <c r="F7" s="1"/>
  <c r="G7" s="1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12"/>
  <c r="BM7" i="49"/>
  <c r="BO9" i="1"/>
  <c r="B14" i="44"/>
  <c r="G146" i="11"/>
  <c r="G148"/>
  <c r="G152"/>
  <c r="G154"/>
  <c r="G150"/>
  <c r="G144"/>
  <c r="I13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I60" i="19" l="1"/>
  <c r="H15" i="1"/>
  <c r="B16" i="44"/>
  <c r="G150" i="13"/>
  <c r="G154"/>
  <c r="G144"/>
  <c r="G152"/>
  <c r="G148"/>
  <c r="G146"/>
  <c r="I59"/>
  <c r="I13"/>
  <c r="E7" i="15"/>
  <c r="O7" i="14"/>
  <c r="M12" i="1"/>
  <c r="O12" s="1"/>
  <c r="BO11"/>
  <c r="D13" i="44"/>
  <c r="E28" i="10"/>
  <c r="G28" s="1"/>
  <c r="G32" s="1"/>
  <c r="G129"/>
  <c r="G9" i="47"/>
  <c r="M9" s="1"/>
  <c r="G15" i="11"/>
  <c r="E28" s="1"/>
  <c r="G28" s="1"/>
  <c r="G32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H16" i="1" l="1"/>
  <c r="G146" i="14"/>
  <c r="G152"/>
  <c r="G144"/>
  <c r="N7"/>
  <c r="G150"/>
  <c r="B17" i="44"/>
  <c r="G148" i="14"/>
  <c r="G154"/>
  <c r="I13"/>
  <c r="I59"/>
  <c r="E7" i="16"/>
  <c r="G7" i="15"/>
  <c r="E15" i="14"/>
  <c r="H28" i="10"/>
  <c r="J28" s="1"/>
  <c r="G10" i="47"/>
  <c r="M10" s="1"/>
  <c r="D14" i="44"/>
  <c r="AN14"/>
  <c r="BG11" i="49" s="1"/>
  <c r="G129" i="11"/>
  <c r="M13" i="1"/>
  <c r="O13" s="1"/>
  <c r="BO13" s="1"/>
  <c r="G9" i="21"/>
  <c r="G13" s="1"/>
  <c r="I60" s="1"/>
  <c r="G15" i="12"/>
  <c r="D15" i="44" s="1"/>
  <c r="BO12" i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5" i="13" l="1"/>
  <c r="D16" i="44" s="1"/>
  <c r="E7" i="17"/>
  <c r="G7" i="16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M11" s="1"/>
  <c r="E28" i="12"/>
  <c r="G28" s="1"/>
  <c r="G32" s="1"/>
  <c r="AN15" i="44"/>
  <c r="AT15" s="1"/>
  <c r="BM12" i="49" s="1"/>
  <c r="G129" i="12"/>
  <c r="M14" i="1"/>
  <c r="G12" i="47" s="1"/>
  <c r="M12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M15" i="1" l="1"/>
  <c r="E28" i="13"/>
  <c r="G28" s="1"/>
  <c r="G32" s="1"/>
  <c r="AN16" i="44"/>
  <c r="G129" i="13"/>
  <c r="E7" i="18"/>
  <c r="K7" i="17"/>
  <c r="G7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G32" s="1"/>
  <c r="AN17" i="44"/>
  <c r="G129" i="14"/>
  <c r="E15" i="16"/>
  <c r="G15" s="1"/>
  <c r="G15" i="15"/>
  <c r="O14" i="1"/>
  <c r="BO14" s="1"/>
  <c r="H28" i="12"/>
  <c r="H28" i="13" s="1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O15" i="1" l="1"/>
  <c r="BO15" s="1"/>
  <c r="G13" i="47"/>
  <c r="M13" s="1"/>
  <c r="BG13" i="49"/>
  <c r="AT16" i="44"/>
  <c r="BM13" i="49" s="1"/>
  <c r="G7" i="18"/>
  <c r="E7" i="19"/>
  <c r="H19" i="1"/>
  <c r="G146" i="17"/>
  <c r="B20" i="44"/>
  <c r="I13" i="17"/>
  <c r="G150"/>
  <c r="I59"/>
  <c r="G154"/>
  <c r="G148"/>
  <c r="G152"/>
  <c r="G144"/>
  <c r="G14" i="47"/>
  <c r="M14" s="1"/>
  <c r="O16" i="1"/>
  <c r="BO16" s="1"/>
  <c r="BG14" i="49"/>
  <c r="AT17" i="44"/>
  <c r="E15" i="17"/>
  <c r="AN18" i="44"/>
  <c r="M17" i="1"/>
  <c r="G129" i="15"/>
  <c r="D18" i="44"/>
  <c r="E28" i="15"/>
  <c r="G28" s="1"/>
  <c r="G32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I13" i="18" l="1"/>
  <c r="G148"/>
  <c r="G152"/>
  <c r="G154"/>
  <c r="G150"/>
  <c r="G144"/>
  <c r="H20" i="1"/>
  <c r="G146" i="18"/>
  <c r="B21" i="44"/>
  <c r="I59" i="18"/>
  <c r="G129" i="16"/>
  <c r="G7" i="19"/>
  <c r="N7" s="1"/>
  <c r="E7" i="20"/>
  <c r="BM14" i="49"/>
  <c r="BA17" i="44"/>
  <c r="G15" i="17"/>
  <c r="AT18" i="44"/>
  <c r="BG15" i="49"/>
  <c r="O17" i="1"/>
  <c r="BO17" s="1"/>
  <c r="G15" i="47"/>
  <c r="M15" s="1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E28" i="16" l="1"/>
  <c r="G28" s="1"/>
  <c r="G32" s="1"/>
  <c r="D19" i="44"/>
  <c r="AN19"/>
  <c r="AT19" s="1"/>
  <c r="G7" i="20"/>
  <c r="E7" i="21"/>
  <c r="H21" i="1"/>
  <c r="I59" i="19"/>
  <c r="G144"/>
  <c r="G154"/>
  <c r="G148"/>
  <c r="G150"/>
  <c r="B22" i="44"/>
  <c r="G146" i="19"/>
  <c r="I13"/>
  <c r="G152"/>
  <c r="M18" i="1"/>
  <c r="G16" i="47" s="1"/>
  <c r="M16" s="1"/>
  <c r="BM15" i="49"/>
  <c r="BA18" i="44"/>
  <c r="BG16" i="49"/>
  <c r="AN20" i="44"/>
  <c r="M19" i="1"/>
  <c r="E28" i="17"/>
  <c r="G28" s="1"/>
  <c r="G32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28" i="16" l="1"/>
  <c r="J28" s="1"/>
  <c r="H22" i="1"/>
  <c r="G152" i="20"/>
  <c r="G148"/>
  <c r="B23" i="44"/>
  <c r="G146" i="20"/>
  <c r="G150"/>
  <c r="G144"/>
  <c r="G154"/>
  <c r="I13"/>
  <c r="I59"/>
  <c r="E7" i="22"/>
  <c r="G7" i="21"/>
  <c r="O18" i="1"/>
  <c r="BO18" s="1"/>
  <c r="BO36" s="1"/>
  <c r="M36"/>
  <c r="AT20" i="44"/>
  <c r="BG17" i="49"/>
  <c r="O19" i="1"/>
  <c r="BO19" s="1"/>
  <c r="G17" i="47"/>
  <c r="M17" s="1"/>
  <c r="BA19" i="44"/>
  <c r="BM16" i="49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2" i="16" l="1"/>
  <c r="J32" s="1"/>
  <c r="J32" i="15"/>
  <c r="H28" i="17"/>
  <c r="J28" s="1"/>
  <c r="O36" i="1"/>
  <c r="E7" i="23"/>
  <c r="F7" s="1"/>
  <c r="G7" i="22"/>
  <c r="H23" i="1"/>
  <c r="L7" i="21"/>
  <c r="I13"/>
  <c r="B24" i="44"/>
  <c r="I59" i="21"/>
  <c r="G148"/>
  <c r="G152"/>
  <c r="G150"/>
  <c r="G144"/>
  <c r="G154"/>
  <c r="G146"/>
  <c r="E15" i="20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7" i="23" l="1"/>
  <c r="E7" i="24"/>
  <c r="F7" s="1"/>
  <c r="H28" i="18"/>
  <c r="G146" i="22"/>
  <c r="I13"/>
  <c r="G152"/>
  <c r="I59"/>
  <c r="G150"/>
  <c r="H24" i="1"/>
  <c r="B25" i="44"/>
  <c r="G144" i="22"/>
  <c r="L7"/>
  <c r="G154"/>
  <c r="G148"/>
  <c r="G15" i="20"/>
  <c r="E15" i="21"/>
  <c r="E28" i="19"/>
  <c r="G28" s="1"/>
  <c r="G32" s="1"/>
  <c r="D22" i="44"/>
  <c r="G129" i="19"/>
  <c r="H129" s="1"/>
  <c r="J129" s="1"/>
  <c r="M21" i="1"/>
  <c r="AN22" i="44"/>
  <c r="BG18" i="49"/>
  <c r="AT21" i="44"/>
  <c r="O20" i="1"/>
  <c r="BO20" s="1"/>
  <c r="G18" i="47"/>
  <c r="M18" s="1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8" i="18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25" i="1" l="1"/>
  <c r="G150" i="23"/>
  <c r="G146"/>
  <c r="G148"/>
  <c r="I59"/>
  <c r="G154"/>
  <c r="G152"/>
  <c r="G144"/>
  <c r="I13"/>
  <c r="B26" i="44"/>
  <c r="G7" i="24"/>
  <c r="E7" i="25"/>
  <c r="F7" s="1"/>
  <c r="E28" i="20"/>
  <c r="G28" s="1"/>
  <c r="G32" s="1"/>
  <c r="M22" i="1"/>
  <c r="G129" i="20"/>
  <c r="H129" s="1"/>
  <c r="J129" s="1"/>
  <c r="AN23" i="44"/>
  <c r="D23"/>
  <c r="BA21"/>
  <c r="BM18" i="49"/>
  <c r="E15" i="22"/>
  <c r="G15" i="21"/>
  <c r="O21" i="1"/>
  <c r="BO21" s="1"/>
  <c r="G19" i="47"/>
  <c r="M19" s="1"/>
  <c r="H28" i="19"/>
  <c r="J28" s="1"/>
  <c r="BG19" i="49"/>
  <c r="AT22" i="44"/>
  <c r="H31" i="22"/>
  <c r="J31" i="21"/>
  <c r="I60" i="30"/>
  <c r="E27" i="47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26" i="1" l="1"/>
  <c r="B27" i="44"/>
  <c r="I13" i="24"/>
  <c r="G148"/>
  <c r="I59"/>
  <c r="G152"/>
  <c r="G154"/>
  <c r="G150"/>
  <c r="G144"/>
  <c r="G146"/>
  <c r="E7" i="40"/>
  <c r="F7" s="1"/>
  <c r="G7" i="25"/>
  <c r="O22" i="1"/>
  <c r="BO22" s="1"/>
  <c r="G20" i="47"/>
  <c r="M20" s="1"/>
  <c r="AN24" i="44"/>
  <c r="G129" i="21"/>
  <c r="H129" s="1"/>
  <c r="J129" s="1"/>
  <c r="D24" i="44"/>
  <c r="M23" i="1"/>
  <c r="E28" i="21"/>
  <c r="G28" s="1"/>
  <c r="G32" s="1"/>
  <c r="AT23" i="44"/>
  <c r="BG20" i="49"/>
  <c r="BM19"/>
  <c r="BA22" i="44"/>
  <c r="H28" i="20"/>
  <c r="E15" i="23"/>
  <c r="F15" s="1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28" i="21" l="1"/>
  <c r="J28" s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F15" s="1"/>
  <c r="G15" i="23"/>
  <c r="O23" i="1"/>
  <c r="BO23" s="1"/>
  <c r="G21" i="47"/>
  <c r="M21" s="1"/>
  <c r="M24" i="1"/>
  <c r="D25" i="44"/>
  <c r="G129" i="22"/>
  <c r="H129" s="1"/>
  <c r="J129" s="1"/>
  <c r="E28"/>
  <c r="G28" s="1"/>
  <c r="G32" s="1"/>
  <c r="AN25" i="44"/>
  <c r="H31" i="24"/>
  <c r="H31" i="25" s="1"/>
  <c r="H31" i="40" s="1"/>
  <c r="H31" i="27" s="1"/>
  <c r="H31" i="28" s="1"/>
  <c r="H31" i="29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28" i="1" l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BO24" s="1"/>
  <c r="G22" i="47"/>
  <c r="M22" s="1"/>
  <c r="BA24" i="44"/>
  <c r="BM21" i="49"/>
  <c r="BG22"/>
  <c r="AT25" i="44"/>
  <c r="E15" i="25"/>
  <c r="F15" s="1"/>
  <c r="G15" i="24"/>
  <c r="H28" i="22"/>
  <c r="J28" s="1"/>
  <c r="M25" i="1"/>
  <c r="D26" i="44"/>
  <c r="G129" i="23"/>
  <c r="H129" s="1"/>
  <c r="J129" s="1"/>
  <c r="AN26" i="44"/>
  <c r="E28" i="23"/>
  <c r="G28" s="1"/>
  <c r="G32" s="1"/>
  <c r="H31" i="30"/>
  <c r="H31" i="43" s="1"/>
  <c r="J31" s="1"/>
  <c r="J31" i="29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28" i="23" l="1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H31" i="31"/>
  <c r="J31" s="1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31" i="44" l="1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BO26" s="1"/>
  <c r="G24" i="47"/>
  <c r="M24" s="1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BO34" i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E7" i="43" l="1"/>
  <c r="F7" s="1"/>
  <c r="E7" i="42"/>
  <c r="G7" s="1"/>
  <c r="G7" i="30"/>
  <c r="I59" i="29"/>
  <c r="B32" i="44"/>
  <c r="G150" i="29"/>
  <c r="H31" i="1"/>
  <c r="G152" i="29"/>
  <c r="G154"/>
  <c r="G146"/>
  <c r="G148"/>
  <c r="I13"/>
  <c r="G144"/>
  <c r="E28" i="40"/>
  <c r="G28" s="1"/>
  <c r="G32" s="1"/>
  <c r="G129"/>
  <c r="H129" s="1"/>
  <c r="J129" s="1"/>
  <c r="AN29" i="44"/>
  <c r="M28" i="1"/>
  <c r="D29" i="44"/>
  <c r="O27" i="1"/>
  <c r="G25" i="47"/>
  <c r="M25" s="1"/>
  <c r="BA27" i="44"/>
  <c r="BM24" i="49"/>
  <c r="H28" i="25"/>
  <c r="J28" s="1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106" i="42" l="1"/>
  <c r="G108"/>
  <c r="I58"/>
  <c r="G114"/>
  <c r="I13"/>
  <c r="G104"/>
  <c r="E27"/>
  <c r="G27" s="1"/>
  <c r="G112"/>
  <c r="G110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M26" s="1"/>
  <c r="O28" i="1"/>
  <c r="BO28" s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G32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7" i="31" l="1"/>
  <c r="N7"/>
  <c r="E28" i="28"/>
  <c r="G28" s="1"/>
  <c r="G32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M27" s="1"/>
  <c r="BA29" i="44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H34" i="1" l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BO30" s="1"/>
  <c r="G28" i="47"/>
  <c r="M28" s="1"/>
  <c r="G15" i="30"/>
  <c r="E15" i="42"/>
  <c r="G15" s="1"/>
  <c r="E28" s="1"/>
  <c r="G28" s="1"/>
  <c r="G31" s="1"/>
  <c r="E15" i="43"/>
  <c r="F15" s="1"/>
  <c r="H28" i="28"/>
  <c r="J28" s="1"/>
  <c r="D32" i="44"/>
  <c r="E28" i="29"/>
  <c r="G28" s="1"/>
  <c r="G32" s="1"/>
  <c r="M31" i="1"/>
  <c r="G129" i="29"/>
  <c r="AN32" i="44"/>
  <c r="J153" i="40"/>
  <c r="H153" i="27"/>
  <c r="J29" i="40"/>
  <c r="H29" i="27"/>
  <c r="H32" i="40"/>
  <c r="J32" i="25"/>
  <c r="J27" i="27"/>
  <c r="H27" i="28"/>
  <c r="J30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8" i="29" l="1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M29" s="1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8" i="30" l="1"/>
  <c r="J28" s="1"/>
  <c r="BA32" i="44"/>
  <c r="BM29" i="49"/>
  <c r="D34" i="44"/>
  <c r="D36" s="1"/>
  <c r="M33" i="1"/>
  <c r="AN34" i="44"/>
  <c r="E28" i="43"/>
  <c r="G28" s="1"/>
  <c r="G32" s="1"/>
  <c r="G129"/>
  <c r="O32" i="1"/>
  <c r="BO32" s="1"/>
  <c r="G30" i="47"/>
  <c r="M30" s="1"/>
  <c r="BO31" i="1"/>
  <c r="BG30" i="49"/>
  <c r="AT33" i="44"/>
  <c r="J153" i="28"/>
  <c r="H153" i="29"/>
  <c r="J29" i="28"/>
  <c r="H29" i="29"/>
  <c r="H32" i="28"/>
  <c r="J32" i="27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28" i="43" l="1"/>
  <c r="J28" s="1"/>
  <c r="O33" i="1"/>
  <c r="O35" s="1"/>
  <c r="G31" i="47"/>
  <c r="M35" i="1"/>
  <c r="BA33" i="44"/>
  <c r="BM30" i="49"/>
  <c r="AT34" i="44"/>
  <c r="AT36" s="1"/>
  <c r="BG31" i="49"/>
  <c r="AN36" i="44"/>
  <c r="H12" i="31"/>
  <c r="J12" s="1"/>
  <c r="H132"/>
  <c r="J132" s="1"/>
  <c r="H11"/>
  <c r="J11" s="1"/>
  <c r="H139"/>
  <c r="J139" s="1"/>
  <c r="H141"/>
  <c r="J141" s="1"/>
  <c r="H19"/>
  <c r="J19" s="1"/>
  <c r="H30"/>
  <c r="J30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28" i="31" l="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<sst xmlns="http://schemas.openxmlformats.org/spreadsheetml/2006/main" count="10584" uniqueCount="377">
  <si>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</si>
  <si>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</si>
  <si>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</si>
  <si>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</si>
  <si>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</si>
  <si>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</si>
  <si>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</si>
  <si>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</si>
  <si>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</si>
  <si>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</si>
  <si>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</si>
  <si>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</si>
  <si>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</si>
  <si>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</si>
  <si>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</si>
  <si>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</si>
  <si>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</si>
  <si>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</si>
  <si>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</si>
  <si>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</si>
  <si>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</si>
  <si>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</si>
  <si>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</si>
  <si>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</si>
  <si>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</si>
  <si>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</si>
  <si>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</si>
  <si>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</si>
  <si>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</si>
  <si>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</si>
  <si>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</si>
  <si>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</si>
  <si>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</si>
  <si>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</si>
  <si>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</si>
  <si>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</si>
  <si>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</si>
  <si>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</si>
  <si>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</si>
  <si>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</si>
  <si>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</si>
  <si>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</si>
  <si>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</si>
  <si>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</si>
  <si>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</si>
  <si>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</si>
  <si>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</si>
  <si>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</si>
  <si>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</si>
  <si>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</si>
  <si>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</si>
  <si>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</si>
  <si>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</si>
  <si>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</si>
  <si>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</si>
  <si>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</si>
  <si>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</si>
  <si>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</si>
  <si>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</si>
  <si>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</si>
  <si>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</si>
  <si>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</si>
  <si>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</si>
  <si>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</si>
  <si>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</si>
  <si>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</si>
  <si>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</si>
  <si>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</si>
  <si>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</si>
  <si>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</si>
  <si>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</si>
  <si>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</si>
  <si>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</si>
  <si>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</si>
  <si>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</si>
  <si>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</si>
  <si>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</si>
  <si>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</si>
  <si>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</si>
  <si>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</si>
  <si>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</si>
  <si>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</si>
  <si>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</si>
  <si>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</si>
  <si>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</si>
  <si>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</si>
  <si>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</si>
  <si>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</si>
  <si>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</si>
  <si>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</si>
  <si>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</si>
  <si>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</si>
  <si>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</si>
  <si>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</si>
  <si>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</si>
  <si>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</si>
  <si>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</si>
  <si>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</si>
  <si>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</si>
  <si>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</si>
  <si>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</si>
  <si>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</si>
  <si>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</si>
  <si>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</si>
  <si>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</si>
  <si>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</si>
  <si>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</si>
  <si>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</si>
  <si>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</si>
  <si>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</si>
  <si>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</si>
  <si>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</si>
  <si>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</si>
  <si>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</si>
  <si>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</si>
  <si>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</si>
  <si>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</si>
  <si>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</si>
  <si>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</si>
  <si>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</si>
  <si>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</si>
  <si>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</si>
  <si>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</si>
  <si>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</si>
  <si>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</si>
  <si>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</si>
  <si>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</si>
  <si>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</si>
  <si>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</si>
  <si>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</si>
  <si>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</si>
  <si>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</si>
  <si>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</si>
  <si>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</si>
  <si>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</si>
  <si>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</si>
  <si>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</si>
  <si>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</si>
  <si>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</si>
  <si>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</si>
  <si>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</si>
  <si>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</si>
  <si>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</si>
  <si>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</si>
  <si>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</si>
  <si>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</si>
  <si>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</si>
  <si>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</si>
  <si>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</si>
  <si>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</si>
  <si>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</si>
  <si>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</si>
  <si>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</si>
  <si>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</si>
  <si>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</si>
  <si>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</si>
  <si>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</si>
  <si>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</si>
  <si>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</si>
  <si>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</si>
  <si>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</si>
  <si>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</si>
  <si>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</si>
  <si>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</si>
  <si>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</si>
  <si>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</si>
  <si>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</si>
  <si>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</si>
  <si>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</si>
  <si>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</si>
  <si>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</si>
  <si>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</si>
  <si>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</si>
  <si>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</si>
  <si>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</si>
  <si>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</si>
  <si>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</si>
  <si>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</si>
  <si>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</si>
  <si>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</si>
  <si>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</si>
  <si>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</si>
  <si>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</si>
  <si>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</si>
  <si>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</si>
  <si>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</si>
  <si>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</si>
  <si>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</si>
  <si>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</si>
  <si>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</si>
  <si>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</si>
  <si>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</si>
  <si>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</si>
  <si>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</si>
  <si>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</si>
  <si>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</si>
  <si>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</si>
  <si>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</si>
  <si>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</si>
  <si>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</si>
  <si>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</si>
  <si>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</si>
  <si>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</si>
  <si>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</si>
  <si>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</si>
  <si>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</si>
  <si>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</si>
  <si>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</si>
  <si>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</si>
  <si>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</si>
  <si>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</si>
  <si>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</si>
  <si>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</si>
  <si>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</si>
  <si>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</si>
  <si>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</si>
  <si>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</si>
  <si>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</si>
  <si>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</si>
  <si>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</si>
  <si>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</si>
  <si>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</si>
  <si>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</si>
  <si>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</si>
  <si>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</si>
  <si>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</si>
  <si>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</si>
  <si>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</si>
  <si>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</si>
  <si>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</si>
  <si>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</si>
  <si>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</si>
  <si>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</si>
  <si>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</si>
  <si>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</si>
  <si>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</si>
  <si>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</si>
  <si>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</si>
  <si>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</si>
  <si>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</si>
  <si>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</si>
  <si>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</si>
  <si>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</si>
  <si>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</si>
  <si>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</si>
  <si>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</si>
  <si>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</si>
  <si>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</si>
  <si>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</si>
  <si>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</si>
  <si>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</si>
  <si>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</si>
  <si>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</si>
  <si>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</si>
  <si>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</si>
  <si>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</si>
  <si>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</si>
  <si>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</si>
  <si>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</si>
  <si>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</si>
  <si>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</si>
  <si>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</si>
  <si>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</si>
  <si>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</si>
  <si>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</si>
  <si>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</si>
  <si>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</si>
  <si>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</si>
  <si>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</si>
  <si>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</si>
  <si>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</si>
  <si>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</si>
  <si>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</si>
  <si>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</si>
  <si>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</si>
  <si>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</si>
  <si>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</si>
  <si>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</si>
  <si>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</si>
  <si>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</si>
  <si>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</si>
  <si>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</si>
  <si>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</si>
  <si>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</si>
  <si>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</si>
  <si>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</si>
  <si>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</si>
  <si>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</si>
  <si>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</si>
  <si>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</si>
  <si>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</si>
  <si>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</si>
  <si>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</si>
  <si>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</si>
  <si>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</si>
  <si>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</si>
  <si>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</si>
  <si>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</si>
  <si>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</si>
  <si>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</si>
  <si>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</si>
  <si>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</si>
  <si>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</si>
  <si>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</si>
  <si>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</si>
  <si>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</si>
  <si>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</si>
  <si>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</si>
  <si>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</si>
  <si>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</si>
  <si>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</si>
  <si>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</si>
  <si>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</si>
  <si>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</si>
  <si>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</si>
  <si>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</si>
  <si>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</si>
  <si>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</si>
  <si>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</si>
  <si>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</si>
  <si>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</si>
  <si>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</si>
  <si>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</si>
  <si>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</si>
  <si>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</si>
  <si>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</si>
  <si>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</si>
  <si>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</si>
  <si>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</si>
  <si>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</si>
  <si>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</si>
  <si>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</si>
  <si>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</si>
  <si>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</si>
  <si>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</si>
  <si>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</si>
  <si>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</si>
  <si>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</si>
  <si>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</si>
  <si>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</si>
  <si>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</si>
  <si>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</si>
  <si>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</si>
  <si>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</si>
  <si>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</si>
  <si>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</si>
  <si>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</si>
  <si>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</si>
  <si>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</si>
  <si>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</si>
  <si>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</si>
  <si>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</si>
  <si>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</si>
  <si>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</si>
  <si>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</si>
  <si>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</si>
  <si>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</si>
  <si>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</si>
  <si>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</si>
  <si>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</si>
  <si>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</si>
  <si>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</si>
  <si>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</si>
  <si>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</si>
  <si>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</si>
  <si>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</si>
  <si>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</si>
  <si>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</si>
  <si>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</si>
  <si>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</si>
  <si>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</si>
  <si>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</si>
  <si>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</si>
  <si>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</si>
  <si>
    <t xml:space="preserve">Prepaired by ---Devendra </t>
  </si>
  <si>
    <t>Prepaired by-- Prakash</t>
  </si>
  <si>
    <t>Prepaired by------- Nilesh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</si>
</sst>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4" fontId="83" fillId="12" borderId="0" xfId="0" applyNumberFormat="1" applyFont="1" applyFill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34.280000000001166</c:v>
                </c:pt>
                <c:pt idx="9">
                  <c:v>27</c:v>
                </c:pt>
                <c:pt idx="10">
                  <c:v>32.970000000001164</c:v>
                </c:pt>
                <c:pt idx="11">
                  <c:v>28.45000000000465</c:v>
                </c:pt>
                <c:pt idx="12">
                  <c:v>29.079999999994186</c:v>
                </c:pt>
                <c:pt idx="13">
                  <c:v>31.749999999999147</c:v>
                </c:pt>
                <c:pt idx="14">
                  <c:v>30.499999999995623</c:v>
                </c:pt>
                <c:pt idx="15">
                  <c:v>28.780000000000882</c:v>
                </c:pt>
                <c:pt idx="16">
                  <c:v>36.739999999996485</c:v>
                </c:pt>
                <c:pt idx="17">
                  <c:v>36.960000000003504</c:v>
                </c:pt>
                <c:pt idx="18">
                  <c:v>28.140000000001464</c:v>
                </c:pt>
                <c:pt idx="19">
                  <c:v>35.829999999997938</c:v>
                </c:pt>
                <c:pt idx="20">
                  <c:v>27.569999999999425</c:v>
                </c:pt>
                <c:pt idx="21">
                  <c:v>-879.3299999999922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0">
                  <c:v>2.0700000000033469</c:v>
                </c:pt>
                <c:pt idx="31">
                  <c:v>2.0700000000033469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5359360"/>
        <c:axId val="95360896"/>
      </c:lineChart>
      <c:catAx>
        <c:axId val="953593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0896"/>
        <c:crosses val="autoZero"/>
        <c:auto val="1"/>
        <c:lblAlgn val="ctr"/>
        <c:lblOffset val="100"/>
      </c:catAx>
      <c:valAx>
        <c:axId val="9536089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535936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8.25</c:v>
                </c:pt>
                <c:pt idx="9">
                  <c:v>6.5100000000020373</c:v>
                </c:pt>
                <c:pt idx="10">
                  <c:v>10.94999999999709</c:v>
                </c:pt>
                <c:pt idx="11">
                  <c:v>8.4800000000032014</c:v>
                </c:pt>
                <c:pt idx="12">
                  <c:v>10.44999999999709</c:v>
                </c:pt>
                <c:pt idx="13">
                  <c:v>7.7100000000136788</c:v>
                </c:pt>
                <c:pt idx="14">
                  <c:v>9.5900000000001455</c:v>
                </c:pt>
                <c:pt idx="15">
                  <c:v>8.0200000000004366</c:v>
                </c:pt>
                <c:pt idx="16">
                  <c:v>9.1100000000005821</c:v>
                </c:pt>
                <c:pt idx="17">
                  <c:v>8.5399999999972351</c:v>
                </c:pt>
                <c:pt idx="18">
                  <c:v>9.4000000000014552</c:v>
                </c:pt>
                <c:pt idx="19">
                  <c:v>0.43999999999869033</c:v>
                </c:pt>
                <c:pt idx="20">
                  <c:v>10.069999999999709</c:v>
                </c:pt>
                <c:pt idx="21">
                  <c:v>-221.39000000001033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0">
                  <c:v>9.8399999999996908</c:v>
                </c:pt>
                <c:pt idx="31">
                  <c:v>10.060000000000855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4537984"/>
        <c:axId val="95399936"/>
      </c:lineChart>
      <c:catAx>
        <c:axId val="9453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9936"/>
        <c:crosses val="autoZero"/>
        <c:auto val="1"/>
        <c:lblAlgn val="ctr"/>
        <c:lblOffset val="100"/>
      </c:catAx>
      <c:valAx>
        <c:axId val="9539993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3798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26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191</c:v>
                </c:pt>
                <c:pt idx="9">
                  <c:v>218</c:v>
                </c:pt>
                <c:pt idx="10">
                  <c:v>240</c:v>
                </c:pt>
                <c:pt idx="11">
                  <c:v>186</c:v>
                </c:pt>
                <c:pt idx="12">
                  <c:v>202</c:v>
                </c:pt>
                <c:pt idx="13">
                  <c:v>205</c:v>
                </c:pt>
                <c:pt idx="14">
                  <c:v>184</c:v>
                </c:pt>
                <c:pt idx="15">
                  <c:v>170</c:v>
                </c:pt>
                <c:pt idx="16">
                  <c:v>201</c:v>
                </c:pt>
                <c:pt idx="17">
                  <c:v>179</c:v>
                </c:pt>
                <c:pt idx="18">
                  <c:v>257</c:v>
                </c:pt>
                <c:pt idx="19">
                  <c:v>143</c:v>
                </c:pt>
                <c:pt idx="20">
                  <c:v>175</c:v>
                </c:pt>
                <c:pt idx="21">
                  <c:v>-1659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0">
                  <c:v>-1823</c:v>
                </c:pt>
                <c:pt idx="31">
                  <c:v>1967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94708480"/>
        <c:axId val="94710016"/>
      </c:lineChart>
      <c:catAx>
        <c:axId val="9470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0016"/>
        <c:crosses val="autoZero"/>
        <c:auto val="1"/>
        <c:lblAlgn val="ctr"/>
        <c:lblOffset val="100"/>
      </c:catAx>
      <c:valAx>
        <c:axId val="9471001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848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37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830.84000000008382</c:v>
                </c:pt>
                <c:pt idx="9">
                  <c:v>829</c:v>
                </c:pt>
                <c:pt idx="10">
                  <c:v>986.40999999991618</c:v>
                </c:pt>
                <c:pt idx="11">
                  <c:v>914.79000000003725</c:v>
                </c:pt>
                <c:pt idx="12">
                  <c:v>943.80000000004657</c:v>
                </c:pt>
                <c:pt idx="13">
                  <c:v>797.81000000005588</c:v>
                </c:pt>
                <c:pt idx="14">
                  <c:v>947.81299999984913</c:v>
                </c:pt>
                <c:pt idx="15">
                  <c:v>837.25699999998324</c:v>
                </c:pt>
                <c:pt idx="16">
                  <c:v>981.66100000008009</c:v>
                </c:pt>
                <c:pt idx="17">
                  <c:v>908.87899999995716</c:v>
                </c:pt>
                <c:pt idx="18">
                  <c:v>880.58000000007451</c:v>
                </c:pt>
                <c:pt idx="19">
                  <c:v>465</c:v>
                </c:pt>
                <c:pt idx="20">
                  <c:v>926.71999999997206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24434.719999999972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5885568"/>
        <c:axId val="95895552"/>
      </c:lineChart>
      <c:catAx>
        <c:axId val="9588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5552"/>
        <c:crosses val="autoZero"/>
        <c:auto val="1"/>
        <c:lblAlgn val="ctr"/>
        <c:lblOffset val="100"/>
      </c:catAx>
      <c:valAx>
        <c:axId val="9589555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556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12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3607.8099999999977</c:v>
                </c:pt>
                <c:pt idx="9">
                  <c:v>3580</c:v>
                </c:pt>
                <c:pt idx="10">
                  <c:v>3609.6699999999837</c:v>
                </c:pt>
                <c:pt idx="11">
                  <c:v>3711.3300000000163</c:v>
                </c:pt>
                <c:pt idx="12">
                  <c:v>3726</c:v>
                </c:pt>
                <c:pt idx="13">
                  <c:v>3716.8699999999953</c:v>
                </c:pt>
                <c:pt idx="14">
                  <c:v>3733.4000000000233</c:v>
                </c:pt>
                <c:pt idx="15">
                  <c:v>3776.6300000000047</c:v>
                </c:pt>
                <c:pt idx="16">
                  <c:v>3718.5299999999697</c:v>
                </c:pt>
                <c:pt idx="17">
                  <c:v>3751.2399999999907</c:v>
                </c:pt>
                <c:pt idx="18">
                  <c:v>3770.3300000000163</c:v>
                </c:pt>
                <c:pt idx="19">
                  <c:v>3767.429999999993</c:v>
                </c:pt>
                <c:pt idx="20">
                  <c:v>3741.5200000000186</c:v>
                </c:pt>
                <c:pt idx="21">
                  <c:v>-106711.96000000002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0">
                  <c:v>-96691</c:v>
                </c:pt>
                <c:pt idx="31">
                  <c:v>-96691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6015488"/>
        <c:axId val="96017024"/>
      </c:lineChart>
      <c:catAx>
        <c:axId val="960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7024"/>
        <c:crosses val="autoZero"/>
        <c:auto val="1"/>
        <c:lblAlgn val="ctr"/>
        <c:lblOffset val="100"/>
      </c:catAx>
      <c:valAx>
        <c:axId val="9601702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548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3259.3999999999069</c:v>
                </c:pt>
                <c:pt idx="9">
                  <c:v>3106</c:v>
                </c:pt>
                <c:pt idx="10">
                  <c:v>0.30000000004656613</c:v>
                </c:pt>
                <c:pt idx="11">
                  <c:v>0</c:v>
                </c:pt>
                <c:pt idx="12">
                  <c:v>-0.30000000004656613</c:v>
                </c:pt>
                <c:pt idx="13">
                  <c:v>0.30000000004656613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-52517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0">
                  <c:v>-78226</c:v>
                </c:pt>
                <c:pt idx="31">
                  <c:v>-78226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6046080"/>
        <c:axId val="96056064"/>
      </c:lineChart>
      <c:catAx>
        <c:axId val="960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6064"/>
        <c:crosses val="autoZero"/>
        <c:auto val="1"/>
        <c:lblAlgn val="ctr"/>
        <c:lblOffset val="100"/>
      </c:catAx>
      <c:valAx>
        <c:axId val="9605606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460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0.47</c:v>
                </c:pt>
                <c:pt idx="12">
                  <c:v>0.32</c:v>
                </c:pt>
                <c:pt idx="13">
                  <c:v>0.25</c:v>
                </c:pt>
                <c:pt idx="14">
                  <c:v>0.47020000000000001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0.67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0">
                  <c:v>29</c:v>
                </c:pt>
                <c:pt idx="31">
                  <c:v>1.4865870967741934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6084736"/>
        <c:axId val="96086272"/>
      </c:lineChart>
      <c:catAx>
        <c:axId val="9608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86272"/>
        <c:crosses val="autoZero"/>
        <c:auto val="1"/>
        <c:lblAlgn val="ctr"/>
        <c:lblOffset val="100"/>
      </c:catAx>
      <c:valAx>
        <c:axId val="96086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60847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577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577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577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22673.210000000006</c:v>
                </c:pt>
                <c:pt idx="9">
                  <c:v>21102</c:v>
                </c:pt>
                <c:pt idx="10">
                  <c:v>22829.97</c:v>
                </c:pt>
                <c:pt idx="11">
                  <c:v>21239.899999999994</c:v>
                </c:pt>
                <c:pt idx="12">
                  <c:v>21611.399999999994</c:v>
                </c:pt>
                <c:pt idx="13">
                  <c:v>22172.24000000002</c:v>
                </c:pt>
                <c:pt idx="14">
                  <c:v>22546.299999999988</c:v>
                </c:pt>
                <c:pt idx="15">
                  <c:v>22174.580000000016</c:v>
                </c:pt>
                <c:pt idx="16">
                  <c:v>24914.739999999991</c:v>
                </c:pt>
                <c:pt idx="17">
                  <c:v>25951.080000000016</c:v>
                </c:pt>
                <c:pt idx="18">
                  <c:v>21717.789999999979</c:v>
                </c:pt>
                <c:pt idx="19">
                  <c:v>22217.270000000019</c:v>
                </c:pt>
                <c:pt idx="20">
                  <c:v>21222.559999999998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21500.000000000058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680104.83000000007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6135808"/>
        <c:axId val="95949184"/>
      </c:lineChart>
      <c:catAx>
        <c:axId val="9613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9184"/>
        <c:crosses val="autoZero"/>
        <c:auto val="1"/>
        <c:lblAlgn val="ctr"/>
        <c:lblOffset val="100"/>
      </c:catAx>
      <c:valAx>
        <c:axId val="9594918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3580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9.6700000000000728</c:v>
                </c:pt>
                <c:pt idx="9">
                  <c:v>10.150000000000091</c:v>
                </c:pt>
                <c:pt idx="10">
                  <c:v>10.840000000000146</c:v>
                </c:pt>
                <c:pt idx="11">
                  <c:v>9.7099999999995816</c:v>
                </c:pt>
                <c:pt idx="12">
                  <c:v>8.8400000000001455</c:v>
                </c:pt>
                <c:pt idx="13">
                  <c:v>8.7600000000002183</c:v>
                </c:pt>
                <c:pt idx="14">
                  <c:v>9</c:v>
                </c:pt>
                <c:pt idx="15">
                  <c:v>9.0500000000001819</c:v>
                </c:pt>
                <c:pt idx="16">
                  <c:v>10.059999999999491</c:v>
                </c:pt>
                <c:pt idx="17">
                  <c:v>10.289999999999964</c:v>
                </c:pt>
                <c:pt idx="18">
                  <c:v>9.4000000000005457</c:v>
                </c:pt>
                <c:pt idx="19">
                  <c:v>9.1499999999996362</c:v>
                </c:pt>
                <c:pt idx="20">
                  <c:v>9.4600000000000364</c:v>
                </c:pt>
                <c:pt idx="21">
                  <c:v>-288.92000000000007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6141312"/>
        <c:axId val="96142848"/>
      </c:lineChart>
      <c:catAx>
        <c:axId val="9614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2848"/>
        <c:crosses val="autoZero"/>
        <c:auto val="1"/>
        <c:lblAlgn val="ctr"/>
        <c:lblOffset val="100"/>
      </c:catAx>
      <c:valAx>
        <c:axId val="9614284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13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3436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315.86999999999534</c:v>
                </c:pt>
                <c:pt idx="6">
                  <c:v>223</c:v>
                </c:pt>
                <c:pt idx="7">
                  <c:v>295.88000000000466</c:v>
                </c:pt>
                <c:pt idx="8">
                  <c:v>267.13000000000466</c:v>
                </c:pt>
                <c:pt idx="9">
                  <c:v>254.98999999999069</c:v>
                </c:pt>
                <c:pt idx="10">
                  <c:v>251.73999999999069</c:v>
                </c:pt>
                <c:pt idx="11">
                  <c:v>253.43000000005122</c:v>
                </c:pt>
                <c:pt idx="12">
                  <c:v>265.3399999999674</c:v>
                </c:pt>
                <c:pt idx="13">
                  <c:v>289.02000000001863</c:v>
                </c:pt>
                <c:pt idx="14">
                  <c:v>295.73999999999069</c:v>
                </c:pt>
                <c:pt idx="15">
                  <c:v>267.72999999998137</c:v>
                </c:pt>
                <c:pt idx="16">
                  <c:v>260.44999999995343</c:v>
                </c:pt>
                <c:pt idx="17">
                  <c:v>269.23000000009779</c:v>
                </c:pt>
                <c:pt idx="18">
                  <c:v>-7951.9100000000326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376.28000000009342</c:v>
                </c:pt>
                <c:pt idx="6">
                  <c:v>452</c:v>
                </c:pt>
                <c:pt idx="7">
                  <c:v>549.11999999990803</c:v>
                </c:pt>
                <c:pt idx="8">
                  <c:v>504.14000000001943</c:v>
                </c:pt>
                <c:pt idx="9">
                  <c:v>546.14000000006672</c:v>
                </c:pt>
                <c:pt idx="10">
                  <c:v>377.48000000006869</c:v>
                </c:pt>
                <c:pt idx="11">
                  <c:v>528.62299999979405</c:v>
                </c:pt>
                <c:pt idx="12">
                  <c:v>424.73700000002282</c:v>
                </c:pt>
                <c:pt idx="13">
                  <c:v>530.7410000000491</c:v>
                </c:pt>
                <c:pt idx="14">
                  <c:v>455.33899999997629</c:v>
                </c:pt>
                <c:pt idx="15">
                  <c:v>512.68000000009488</c:v>
                </c:pt>
                <c:pt idx="16">
                  <c:v>84.620000000035361</c:v>
                </c:pt>
                <c:pt idx="17">
                  <c:v>531.51999999989857</c:v>
                </c:pt>
                <c:pt idx="18">
                  <c:v>12406.700000000021</c:v>
                </c:pt>
                <c:pt idx="19">
                  <c:v>289.00999999998021</c:v>
                </c:pt>
                <c:pt idx="20">
                  <c:v>300.27000000003136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98.089999999996508</c:v>
                </c:pt>
                <c:pt idx="6">
                  <c:v>102</c:v>
                </c:pt>
                <c:pt idx="7">
                  <c:v>89.910000000003492</c:v>
                </c:pt>
                <c:pt idx="8">
                  <c:v>104.32000000000698</c:v>
                </c:pt>
                <c:pt idx="9">
                  <c:v>94.769999999989523</c:v>
                </c:pt>
                <c:pt idx="10">
                  <c:v>119.19000000000233</c:v>
                </c:pt>
                <c:pt idx="11">
                  <c:v>122.16000000000349</c:v>
                </c:pt>
                <c:pt idx="12">
                  <c:v>99.179999999993015</c:v>
                </c:pt>
                <c:pt idx="13">
                  <c:v>114.20000000001164</c:v>
                </c:pt>
                <c:pt idx="14">
                  <c:v>107.79999999998836</c:v>
                </c:pt>
                <c:pt idx="15">
                  <c:v>68.470000000001164</c:v>
                </c:pt>
                <c:pt idx="16">
                  <c:v>81.230000000010477</c:v>
                </c:pt>
                <c:pt idx="17">
                  <c:v>85.069999999977881</c:v>
                </c:pt>
                <c:pt idx="18">
                  <c:v>-2564.4899999999907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96480256"/>
        <c:axId val="96498432"/>
      </c:lineChart>
      <c:catAx>
        <c:axId val="964802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6498432"/>
        <c:crosses val="autoZero"/>
        <c:auto val="1"/>
        <c:lblAlgn val="ctr"/>
        <c:lblOffset val="100"/>
      </c:catAx>
      <c:valAx>
        <c:axId val="9649843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64802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39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93</c:v>
                </c:pt>
                <c:pt idx="9">
                  <c:v>76</c:v>
                </c:pt>
                <c:pt idx="10">
                  <c:v>77</c:v>
                </c:pt>
                <c:pt idx="11">
                  <c:v>91</c:v>
                </c:pt>
                <c:pt idx="12">
                  <c:v>101</c:v>
                </c:pt>
                <c:pt idx="13">
                  <c:v>74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27863424"/>
        <c:axId val="12786931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27870848"/>
        <c:axId val="127872384"/>
      </c:lineChart>
      <c:catAx>
        <c:axId val="1278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69312"/>
        <c:crosses val="autoZero"/>
        <c:auto val="1"/>
        <c:lblAlgn val="ctr"/>
        <c:lblOffset val="100"/>
      </c:catAx>
      <c:valAx>
        <c:axId val="12786931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63424"/>
        <c:crosses val="autoZero"/>
        <c:crossBetween val="between"/>
        <c:minorUnit val="50"/>
      </c:valAx>
      <c:catAx>
        <c:axId val="127870848"/>
        <c:scaling>
          <c:orientation val="minMax"/>
        </c:scaling>
        <c:delete val="1"/>
        <c:axPos val="b"/>
        <c:tickLblPos val="none"/>
        <c:crossAx val="127872384"/>
        <c:crosses val="autoZero"/>
        <c:auto val="1"/>
        <c:lblAlgn val="ctr"/>
        <c:lblOffset val="100"/>
      </c:catAx>
      <c:valAx>
        <c:axId val="12787238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7084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27913344"/>
        <c:axId val="127915136"/>
      </c:lineChart>
      <c:catAx>
        <c:axId val="1279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5136"/>
        <c:crosses val="autoZero"/>
        <c:auto val="1"/>
        <c:lblAlgn val="ctr"/>
        <c:lblOffset val="100"/>
      </c:catAx>
      <c:valAx>
        <c:axId val="12791513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33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27944192"/>
        <c:axId val="127945728"/>
      </c:lineChart>
      <c:catAx>
        <c:axId val="12794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45728"/>
        <c:crosses val="autoZero"/>
        <c:auto val="1"/>
        <c:lblAlgn val="ctr"/>
        <c:lblOffset val="100"/>
      </c:catAx>
      <c:valAx>
        <c:axId val="12794572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441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492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27984384"/>
        <c:axId val="12798592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27991808"/>
        <c:axId val="127993344"/>
      </c:lineChart>
      <c:catAx>
        <c:axId val="1279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85920"/>
        <c:crosses val="autoZero"/>
        <c:auto val="1"/>
        <c:lblAlgn val="ctr"/>
        <c:lblOffset val="100"/>
      </c:catAx>
      <c:valAx>
        <c:axId val="12798592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84384"/>
        <c:crosses val="autoZero"/>
        <c:crossBetween val="between"/>
      </c:valAx>
      <c:catAx>
        <c:axId val="127991808"/>
        <c:scaling>
          <c:orientation val="minMax"/>
        </c:scaling>
        <c:delete val="1"/>
        <c:axPos val="b"/>
        <c:tickLblPos val="none"/>
        <c:crossAx val="127993344"/>
        <c:crosses val="autoZero"/>
        <c:auto val="1"/>
        <c:lblAlgn val="ctr"/>
        <c:lblOffset val="100"/>
      </c:catAx>
      <c:valAx>
        <c:axId val="1279933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91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285.94000000000233</c:v>
                </c:pt>
                <c:pt idx="9">
                  <c:v>257</c:v>
                </c:pt>
                <c:pt idx="10">
                  <c:v>281</c:v>
                </c:pt>
                <c:pt idx="11">
                  <c:v>282.99000000000524</c:v>
                </c:pt>
                <c:pt idx="12">
                  <c:v>281.00999999999476</c:v>
                </c:pt>
                <c:pt idx="13">
                  <c:v>275.39999999999418</c:v>
                </c:pt>
                <c:pt idx="14">
                  <c:v>299.85000000000582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28065536"/>
        <c:axId val="12806707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28068608"/>
        <c:axId val="128070400"/>
      </c:lineChart>
      <c:catAx>
        <c:axId val="12806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7072"/>
        <c:crosses val="autoZero"/>
        <c:auto val="1"/>
        <c:lblAlgn val="ctr"/>
        <c:lblOffset val="100"/>
      </c:catAx>
      <c:valAx>
        <c:axId val="12806707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5536"/>
        <c:crosses val="autoZero"/>
        <c:crossBetween val="between"/>
        <c:majorUnit val="2"/>
      </c:valAx>
      <c:catAx>
        <c:axId val="128068608"/>
        <c:scaling>
          <c:orientation val="minMax"/>
        </c:scaling>
        <c:delete val="1"/>
        <c:axPos val="b"/>
        <c:tickLblPos val="none"/>
        <c:crossAx val="128070400"/>
        <c:crosses val="autoZero"/>
        <c:auto val="1"/>
        <c:lblAlgn val="ctr"/>
        <c:lblOffset val="100"/>
      </c:catAx>
      <c:valAx>
        <c:axId val="12807040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860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108057</xdr:rowOff>
    </xdr:from>
    <xdr:to>
      <xdr:col>42</xdr:col>
      <xdr:colOff>313765</xdr:colOff>
      <xdr:row>59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E17" sqref="E17"/>
    </sheetView>
  </sheetViews>
  <sheetFormatPr defaultColWidth="9" defaultRowHeight="15"/>
  <cols>
    <col min="1" max="1" width="9.6640625" style="1163" customWidth="1"/>
    <col min="2" max="3" width="9" style="1157"/>
    <col min="4" max="4" width="10.44140625" style="1158" customWidth="1"/>
    <col min="5" max="5" width="9.77734375" style="1159" customWidth="1"/>
    <col min="6" max="6" width="9.77734375" style="1163" customWidth="1"/>
    <col min="7" max="10" width="9" style="1163"/>
    <col min="11" max="12" width="9" style="1159"/>
    <col min="13" max="13" width="0" style="1162" hidden="1" customWidth="1"/>
    <col min="14" max="256" width="9" style="1162"/>
    <col min="257" max="257" width="9.6640625" style="1162" customWidth="1"/>
    <col min="258" max="259" width="9" style="1162"/>
    <col min="260" max="260" width="10.44140625" style="1162" customWidth="1"/>
    <col min="261" max="262" width="9.77734375" style="1162" customWidth="1"/>
    <col min="263" max="268" width="9" style="1162"/>
    <col min="269" max="269" width="0" style="1162" hidden="1" customWidth="1"/>
    <col min="270" max="512" width="9" style="1162"/>
    <col min="513" max="513" width="9.6640625" style="1162" customWidth="1"/>
    <col min="514" max="515" width="9" style="1162"/>
    <col min="516" max="516" width="10.44140625" style="1162" customWidth="1"/>
    <col min="517" max="518" width="9.77734375" style="1162" customWidth="1"/>
    <col min="519" max="524" width="9" style="1162"/>
    <col min="525" max="525" width="0" style="1162" hidden="1" customWidth="1"/>
    <col min="526" max="768" width="9" style="1162"/>
    <col min="769" max="769" width="9.6640625" style="1162" customWidth="1"/>
    <col min="770" max="771" width="9" style="1162"/>
    <col min="772" max="772" width="10.44140625" style="1162" customWidth="1"/>
    <col min="773" max="774" width="9.77734375" style="1162" customWidth="1"/>
    <col min="775" max="780" width="9" style="1162"/>
    <col min="781" max="781" width="0" style="1162" hidden="1" customWidth="1"/>
    <col min="782" max="1024" width="9" style="1162"/>
    <col min="1025" max="1025" width="9.6640625" style="1162" customWidth="1"/>
    <col min="1026" max="1027" width="9" style="1162"/>
    <col min="1028" max="1028" width="10.44140625" style="1162" customWidth="1"/>
    <col min="1029" max="1030" width="9.77734375" style="1162" customWidth="1"/>
    <col min="1031" max="1036" width="9" style="1162"/>
    <col min="1037" max="1037" width="0" style="1162" hidden="1" customWidth="1"/>
    <col min="1038" max="1280" width="9" style="1162"/>
    <col min="1281" max="1281" width="9.6640625" style="1162" customWidth="1"/>
    <col min="1282" max="1283" width="9" style="1162"/>
    <col min="1284" max="1284" width="10.44140625" style="1162" customWidth="1"/>
    <col min="1285" max="1286" width="9.77734375" style="1162" customWidth="1"/>
    <col min="1287" max="1292" width="9" style="1162"/>
    <col min="1293" max="1293" width="0" style="1162" hidden="1" customWidth="1"/>
    <col min="1294" max="1536" width="9" style="1162"/>
    <col min="1537" max="1537" width="9.6640625" style="1162" customWidth="1"/>
    <col min="1538" max="1539" width="9" style="1162"/>
    <col min="1540" max="1540" width="10.44140625" style="1162" customWidth="1"/>
    <col min="1541" max="1542" width="9.77734375" style="1162" customWidth="1"/>
    <col min="1543" max="1548" width="9" style="1162"/>
    <col min="1549" max="1549" width="0" style="1162" hidden="1" customWidth="1"/>
    <col min="1550" max="1792" width="9" style="1162"/>
    <col min="1793" max="1793" width="9.6640625" style="1162" customWidth="1"/>
    <col min="1794" max="1795" width="9" style="1162"/>
    <col min="1796" max="1796" width="10.44140625" style="1162" customWidth="1"/>
    <col min="1797" max="1798" width="9.77734375" style="1162" customWidth="1"/>
    <col min="1799" max="1804" width="9" style="1162"/>
    <col min="1805" max="1805" width="0" style="1162" hidden="1" customWidth="1"/>
    <col min="1806" max="2048" width="9" style="1162"/>
    <col min="2049" max="2049" width="9.6640625" style="1162" customWidth="1"/>
    <col min="2050" max="2051" width="9" style="1162"/>
    <col min="2052" max="2052" width="10.44140625" style="1162" customWidth="1"/>
    <col min="2053" max="2054" width="9.77734375" style="1162" customWidth="1"/>
    <col min="2055" max="2060" width="9" style="1162"/>
    <col min="2061" max="2061" width="0" style="1162" hidden="1" customWidth="1"/>
    <col min="2062" max="2304" width="9" style="1162"/>
    <col min="2305" max="2305" width="9.6640625" style="1162" customWidth="1"/>
    <col min="2306" max="2307" width="9" style="1162"/>
    <col min="2308" max="2308" width="10.44140625" style="1162" customWidth="1"/>
    <col min="2309" max="2310" width="9.77734375" style="1162" customWidth="1"/>
    <col min="2311" max="2316" width="9" style="1162"/>
    <col min="2317" max="2317" width="0" style="1162" hidden="1" customWidth="1"/>
    <col min="2318" max="2560" width="9" style="1162"/>
    <col min="2561" max="2561" width="9.6640625" style="1162" customWidth="1"/>
    <col min="2562" max="2563" width="9" style="1162"/>
    <col min="2564" max="2564" width="10.44140625" style="1162" customWidth="1"/>
    <col min="2565" max="2566" width="9.77734375" style="1162" customWidth="1"/>
    <col min="2567" max="2572" width="9" style="1162"/>
    <col min="2573" max="2573" width="0" style="1162" hidden="1" customWidth="1"/>
    <col min="2574" max="2816" width="9" style="1162"/>
    <col min="2817" max="2817" width="9.6640625" style="1162" customWidth="1"/>
    <col min="2818" max="2819" width="9" style="1162"/>
    <col min="2820" max="2820" width="10.44140625" style="1162" customWidth="1"/>
    <col min="2821" max="2822" width="9.77734375" style="1162" customWidth="1"/>
    <col min="2823" max="2828" width="9" style="1162"/>
    <col min="2829" max="2829" width="0" style="1162" hidden="1" customWidth="1"/>
    <col min="2830" max="3072" width="9" style="1162"/>
    <col min="3073" max="3073" width="9.6640625" style="1162" customWidth="1"/>
    <col min="3074" max="3075" width="9" style="1162"/>
    <col min="3076" max="3076" width="10.44140625" style="1162" customWidth="1"/>
    <col min="3077" max="3078" width="9.77734375" style="1162" customWidth="1"/>
    <col min="3079" max="3084" width="9" style="1162"/>
    <col min="3085" max="3085" width="0" style="1162" hidden="1" customWidth="1"/>
    <col min="3086" max="3328" width="9" style="1162"/>
    <col min="3329" max="3329" width="9.6640625" style="1162" customWidth="1"/>
    <col min="3330" max="3331" width="9" style="1162"/>
    <col min="3332" max="3332" width="10.44140625" style="1162" customWidth="1"/>
    <col min="3333" max="3334" width="9.77734375" style="1162" customWidth="1"/>
    <col min="3335" max="3340" width="9" style="1162"/>
    <col min="3341" max="3341" width="0" style="1162" hidden="1" customWidth="1"/>
    <col min="3342" max="3584" width="9" style="1162"/>
    <col min="3585" max="3585" width="9.6640625" style="1162" customWidth="1"/>
    <col min="3586" max="3587" width="9" style="1162"/>
    <col min="3588" max="3588" width="10.44140625" style="1162" customWidth="1"/>
    <col min="3589" max="3590" width="9.77734375" style="1162" customWidth="1"/>
    <col min="3591" max="3596" width="9" style="1162"/>
    <col min="3597" max="3597" width="0" style="1162" hidden="1" customWidth="1"/>
    <col min="3598" max="3840" width="9" style="1162"/>
    <col min="3841" max="3841" width="9.6640625" style="1162" customWidth="1"/>
    <col min="3842" max="3843" width="9" style="1162"/>
    <col min="3844" max="3844" width="10.44140625" style="1162" customWidth="1"/>
    <col min="3845" max="3846" width="9.77734375" style="1162" customWidth="1"/>
    <col min="3847" max="3852" width="9" style="1162"/>
    <col min="3853" max="3853" width="0" style="1162" hidden="1" customWidth="1"/>
    <col min="3854" max="4096" width="9" style="1162"/>
    <col min="4097" max="4097" width="9.6640625" style="1162" customWidth="1"/>
    <col min="4098" max="4099" width="9" style="1162"/>
    <col min="4100" max="4100" width="10.44140625" style="1162" customWidth="1"/>
    <col min="4101" max="4102" width="9.77734375" style="1162" customWidth="1"/>
    <col min="4103" max="4108" width="9" style="1162"/>
    <col min="4109" max="4109" width="0" style="1162" hidden="1" customWidth="1"/>
    <col min="4110" max="4352" width="9" style="1162"/>
    <col min="4353" max="4353" width="9.6640625" style="1162" customWidth="1"/>
    <col min="4354" max="4355" width="9" style="1162"/>
    <col min="4356" max="4356" width="10.44140625" style="1162" customWidth="1"/>
    <col min="4357" max="4358" width="9.77734375" style="1162" customWidth="1"/>
    <col min="4359" max="4364" width="9" style="1162"/>
    <col min="4365" max="4365" width="0" style="1162" hidden="1" customWidth="1"/>
    <col min="4366" max="4608" width="9" style="1162"/>
    <col min="4609" max="4609" width="9.6640625" style="1162" customWidth="1"/>
    <col min="4610" max="4611" width="9" style="1162"/>
    <col min="4612" max="4612" width="10.44140625" style="1162" customWidth="1"/>
    <col min="4613" max="4614" width="9.77734375" style="1162" customWidth="1"/>
    <col min="4615" max="4620" width="9" style="1162"/>
    <col min="4621" max="4621" width="0" style="1162" hidden="1" customWidth="1"/>
    <col min="4622" max="4864" width="9" style="1162"/>
    <col min="4865" max="4865" width="9.6640625" style="1162" customWidth="1"/>
    <col min="4866" max="4867" width="9" style="1162"/>
    <col min="4868" max="4868" width="10.44140625" style="1162" customWidth="1"/>
    <col min="4869" max="4870" width="9.77734375" style="1162" customWidth="1"/>
    <col min="4871" max="4876" width="9" style="1162"/>
    <col min="4877" max="4877" width="0" style="1162" hidden="1" customWidth="1"/>
    <col min="4878" max="5120" width="9" style="1162"/>
    <col min="5121" max="5121" width="9.6640625" style="1162" customWidth="1"/>
    <col min="5122" max="5123" width="9" style="1162"/>
    <col min="5124" max="5124" width="10.44140625" style="1162" customWidth="1"/>
    <col min="5125" max="5126" width="9.77734375" style="1162" customWidth="1"/>
    <col min="5127" max="5132" width="9" style="1162"/>
    <col min="5133" max="5133" width="0" style="1162" hidden="1" customWidth="1"/>
    <col min="5134" max="5376" width="9" style="1162"/>
    <col min="5377" max="5377" width="9.6640625" style="1162" customWidth="1"/>
    <col min="5378" max="5379" width="9" style="1162"/>
    <col min="5380" max="5380" width="10.44140625" style="1162" customWidth="1"/>
    <col min="5381" max="5382" width="9.77734375" style="1162" customWidth="1"/>
    <col min="5383" max="5388" width="9" style="1162"/>
    <col min="5389" max="5389" width="0" style="1162" hidden="1" customWidth="1"/>
    <col min="5390" max="5632" width="9" style="1162"/>
    <col min="5633" max="5633" width="9.6640625" style="1162" customWidth="1"/>
    <col min="5634" max="5635" width="9" style="1162"/>
    <col min="5636" max="5636" width="10.44140625" style="1162" customWidth="1"/>
    <col min="5637" max="5638" width="9.77734375" style="1162" customWidth="1"/>
    <col min="5639" max="5644" width="9" style="1162"/>
    <col min="5645" max="5645" width="0" style="1162" hidden="1" customWidth="1"/>
    <col min="5646" max="5888" width="9" style="1162"/>
    <col min="5889" max="5889" width="9.6640625" style="1162" customWidth="1"/>
    <col min="5890" max="5891" width="9" style="1162"/>
    <col min="5892" max="5892" width="10.44140625" style="1162" customWidth="1"/>
    <col min="5893" max="5894" width="9.77734375" style="1162" customWidth="1"/>
    <col min="5895" max="5900" width="9" style="1162"/>
    <col min="5901" max="5901" width="0" style="1162" hidden="1" customWidth="1"/>
    <col min="5902" max="6144" width="9" style="1162"/>
    <col min="6145" max="6145" width="9.6640625" style="1162" customWidth="1"/>
    <col min="6146" max="6147" width="9" style="1162"/>
    <col min="6148" max="6148" width="10.44140625" style="1162" customWidth="1"/>
    <col min="6149" max="6150" width="9.77734375" style="1162" customWidth="1"/>
    <col min="6151" max="6156" width="9" style="1162"/>
    <col min="6157" max="6157" width="0" style="1162" hidden="1" customWidth="1"/>
    <col min="6158" max="6400" width="9" style="1162"/>
    <col min="6401" max="6401" width="9.6640625" style="1162" customWidth="1"/>
    <col min="6402" max="6403" width="9" style="1162"/>
    <col min="6404" max="6404" width="10.44140625" style="1162" customWidth="1"/>
    <col min="6405" max="6406" width="9.77734375" style="1162" customWidth="1"/>
    <col min="6407" max="6412" width="9" style="1162"/>
    <col min="6413" max="6413" width="0" style="1162" hidden="1" customWidth="1"/>
    <col min="6414" max="6656" width="9" style="1162"/>
    <col min="6657" max="6657" width="9.6640625" style="1162" customWidth="1"/>
    <col min="6658" max="6659" width="9" style="1162"/>
    <col min="6660" max="6660" width="10.44140625" style="1162" customWidth="1"/>
    <col min="6661" max="6662" width="9.77734375" style="1162" customWidth="1"/>
    <col min="6663" max="6668" width="9" style="1162"/>
    <col min="6669" max="6669" width="0" style="1162" hidden="1" customWidth="1"/>
    <col min="6670" max="6912" width="9" style="1162"/>
    <col min="6913" max="6913" width="9.6640625" style="1162" customWidth="1"/>
    <col min="6914" max="6915" width="9" style="1162"/>
    <col min="6916" max="6916" width="10.44140625" style="1162" customWidth="1"/>
    <col min="6917" max="6918" width="9.77734375" style="1162" customWidth="1"/>
    <col min="6919" max="6924" width="9" style="1162"/>
    <col min="6925" max="6925" width="0" style="1162" hidden="1" customWidth="1"/>
    <col min="6926" max="7168" width="9" style="1162"/>
    <col min="7169" max="7169" width="9.6640625" style="1162" customWidth="1"/>
    <col min="7170" max="7171" width="9" style="1162"/>
    <col min="7172" max="7172" width="10.44140625" style="1162" customWidth="1"/>
    <col min="7173" max="7174" width="9.77734375" style="1162" customWidth="1"/>
    <col min="7175" max="7180" width="9" style="1162"/>
    <col min="7181" max="7181" width="0" style="1162" hidden="1" customWidth="1"/>
    <col min="7182" max="7424" width="9" style="1162"/>
    <col min="7425" max="7425" width="9.6640625" style="1162" customWidth="1"/>
    <col min="7426" max="7427" width="9" style="1162"/>
    <col min="7428" max="7428" width="10.44140625" style="1162" customWidth="1"/>
    <col min="7429" max="7430" width="9.77734375" style="1162" customWidth="1"/>
    <col min="7431" max="7436" width="9" style="1162"/>
    <col min="7437" max="7437" width="0" style="1162" hidden="1" customWidth="1"/>
    <col min="7438" max="7680" width="9" style="1162"/>
    <col min="7681" max="7681" width="9.6640625" style="1162" customWidth="1"/>
    <col min="7682" max="7683" width="9" style="1162"/>
    <col min="7684" max="7684" width="10.44140625" style="1162" customWidth="1"/>
    <col min="7685" max="7686" width="9.77734375" style="1162" customWidth="1"/>
    <col min="7687" max="7692" width="9" style="1162"/>
    <col min="7693" max="7693" width="0" style="1162" hidden="1" customWidth="1"/>
    <col min="7694" max="7936" width="9" style="1162"/>
    <col min="7937" max="7937" width="9.6640625" style="1162" customWidth="1"/>
    <col min="7938" max="7939" width="9" style="1162"/>
    <col min="7940" max="7940" width="10.44140625" style="1162" customWidth="1"/>
    <col min="7941" max="7942" width="9.77734375" style="1162" customWidth="1"/>
    <col min="7943" max="7948" width="9" style="1162"/>
    <col min="7949" max="7949" width="0" style="1162" hidden="1" customWidth="1"/>
    <col min="7950" max="8192" width="9" style="1162"/>
    <col min="8193" max="8193" width="9.6640625" style="1162" customWidth="1"/>
    <col min="8194" max="8195" width="9" style="1162"/>
    <col min="8196" max="8196" width="10.44140625" style="1162" customWidth="1"/>
    <col min="8197" max="8198" width="9.77734375" style="1162" customWidth="1"/>
    <col min="8199" max="8204" width="9" style="1162"/>
    <col min="8205" max="8205" width="0" style="1162" hidden="1" customWidth="1"/>
    <col min="8206" max="8448" width="9" style="1162"/>
    <col min="8449" max="8449" width="9.6640625" style="1162" customWidth="1"/>
    <col min="8450" max="8451" width="9" style="1162"/>
    <col min="8452" max="8452" width="10.44140625" style="1162" customWidth="1"/>
    <col min="8453" max="8454" width="9.77734375" style="1162" customWidth="1"/>
    <col min="8455" max="8460" width="9" style="1162"/>
    <col min="8461" max="8461" width="0" style="1162" hidden="1" customWidth="1"/>
    <col min="8462" max="8704" width="9" style="1162"/>
    <col min="8705" max="8705" width="9.6640625" style="1162" customWidth="1"/>
    <col min="8706" max="8707" width="9" style="1162"/>
    <col min="8708" max="8708" width="10.44140625" style="1162" customWidth="1"/>
    <col min="8709" max="8710" width="9.77734375" style="1162" customWidth="1"/>
    <col min="8711" max="8716" width="9" style="1162"/>
    <col min="8717" max="8717" width="0" style="1162" hidden="1" customWidth="1"/>
    <col min="8718" max="8960" width="9" style="1162"/>
    <col min="8961" max="8961" width="9.6640625" style="1162" customWidth="1"/>
    <col min="8962" max="8963" width="9" style="1162"/>
    <col min="8964" max="8964" width="10.44140625" style="1162" customWidth="1"/>
    <col min="8965" max="8966" width="9.77734375" style="1162" customWidth="1"/>
    <col min="8967" max="8972" width="9" style="1162"/>
    <col min="8973" max="8973" width="0" style="1162" hidden="1" customWidth="1"/>
    <col min="8974" max="9216" width="9" style="1162"/>
    <col min="9217" max="9217" width="9.6640625" style="1162" customWidth="1"/>
    <col min="9218" max="9219" width="9" style="1162"/>
    <col min="9220" max="9220" width="10.44140625" style="1162" customWidth="1"/>
    <col min="9221" max="9222" width="9.77734375" style="1162" customWidth="1"/>
    <col min="9223" max="9228" width="9" style="1162"/>
    <col min="9229" max="9229" width="0" style="1162" hidden="1" customWidth="1"/>
    <col min="9230" max="9472" width="9" style="1162"/>
    <col min="9473" max="9473" width="9.6640625" style="1162" customWidth="1"/>
    <col min="9474" max="9475" width="9" style="1162"/>
    <col min="9476" max="9476" width="10.44140625" style="1162" customWidth="1"/>
    <col min="9477" max="9478" width="9.77734375" style="1162" customWidth="1"/>
    <col min="9479" max="9484" width="9" style="1162"/>
    <col min="9485" max="9485" width="0" style="1162" hidden="1" customWidth="1"/>
    <col min="9486" max="9728" width="9" style="1162"/>
    <col min="9729" max="9729" width="9.6640625" style="1162" customWidth="1"/>
    <col min="9730" max="9731" width="9" style="1162"/>
    <col min="9732" max="9732" width="10.44140625" style="1162" customWidth="1"/>
    <col min="9733" max="9734" width="9.77734375" style="1162" customWidth="1"/>
    <col min="9735" max="9740" width="9" style="1162"/>
    <col min="9741" max="9741" width="0" style="1162" hidden="1" customWidth="1"/>
    <col min="9742" max="9984" width="9" style="1162"/>
    <col min="9985" max="9985" width="9.6640625" style="1162" customWidth="1"/>
    <col min="9986" max="9987" width="9" style="1162"/>
    <col min="9988" max="9988" width="10.44140625" style="1162" customWidth="1"/>
    <col min="9989" max="9990" width="9.77734375" style="1162" customWidth="1"/>
    <col min="9991" max="9996" width="9" style="1162"/>
    <col min="9997" max="9997" width="0" style="1162" hidden="1" customWidth="1"/>
    <col min="9998" max="10240" width="9" style="1162"/>
    <col min="10241" max="10241" width="9.6640625" style="1162" customWidth="1"/>
    <col min="10242" max="10243" width="9" style="1162"/>
    <col min="10244" max="10244" width="10.44140625" style="1162" customWidth="1"/>
    <col min="10245" max="10246" width="9.77734375" style="1162" customWidth="1"/>
    <col min="10247" max="10252" width="9" style="1162"/>
    <col min="10253" max="10253" width="0" style="1162" hidden="1" customWidth="1"/>
    <col min="10254" max="10496" width="9" style="1162"/>
    <col min="10497" max="10497" width="9.6640625" style="1162" customWidth="1"/>
    <col min="10498" max="10499" width="9" style="1162"/>
    <col min="10500" max="10500" width="10.44140625" style="1162" customWidth="1"/>
    <col min="10501" max="10502" width="9.77734375" style="1162" customWidth="1"/>
    <col min="10503" max="10508" width="9" style="1162"/>
    <col min="10509" max="10509" width="0" style="1162" hidden="1" customWidth="1"/>
    <col min="10510" max="10752" width="9" style="1162"/>
    <col min="10753" max="10753" width="9.6640625" style="1162" customWidth="1"/>
    <col min="10754" max="10755" width="9" style="1162"/>
    <col min="10756" max="10756" width="10.44140625" style="1162" customWidth="1"/>
    <col min="10757" max="10758" width="9.77734375" style="1162" customWidth="1"/>
    <col min="10759" max="10764" width="9" style="1162"/>
    <col min="10765" max="10765" width="0" style="1162" hidden="1" customWidth="1"/>
    <col min="10766" max="11008" width="9" style="1162"/>
    <col min="11009" max="11009" width="9.6640625" style="1162" customWidth="1"/>
    <col min="11010" max="11011" width="9" style="1162"/>
    <col min="11012" max="11012" width="10.44140625" style="1162" customWidth="1"/>
    <col min="11013" max="11014" width="9.77734375" style="1162" customWidth="1"/>
    <col min="11015" max="11020" width="9" style="1162"/>
    <col min="11021" max="11021" width="0" style="1162" hidden="1" customWidth="1"/>
    <col min="11022" max="11264" width="9" style="1162"/>
    <col min="11265" max="11265" width="9.6640625" style="1162" customWidth="1"/>
    <col min="11266" max="11267" width="9" style="1162"/>
    <col min="11268" max="11268" width="10.44140625" style="1162" customWidth="1"/>
    <col min="11269" max="11270" width="9.77734375" style="1162" customWidth="1"/>
    <col min="11271" max="11276" width="9" style="1162"/>
    <col min="11277" max="11277" width="0" style="1162" hidden="1" customWidth="1"/>
    <col min="11278" max="11520" width="9" style="1162"/>
    <col min="11521" max="11521" width="9.6640625" style="1162" customWidth="1"/>
    <col min="11522" max="11523" width="9" style="1162"/>
    <col min="11524" max="11524" width="10.44140625" style="1162" customWidth="1"/>
    <col min="11525" max="11526" width="9.77734375" style="1162" customWidth="1"/>
    <col min="11527" max="11532" width="9" style="1162"/>
    <col min="11533" max="11533" width="0" style="1162" hidden="1" customWidth="1"/>
    <col min="11534" max="11776" width="9" style="1162"/>
    <col min="11777" max="11777" width="9.6640625" style="1162" customWidth="1"/>
    <col min="11778" max="11779" width="9" style="1162"/>
    <col min="11780" max="11780" width="10.44140625" style="1162" customWidth="1"/>
    <col min="11781" max="11782" width="9.77734375" style="1162" customWidth="1"/>
    <col min="11783" max="11788" width="9" style="1162"/>
    <col min="11789" max="11789" width="0" style="1162" hidden="1" customWidth="1"/>
    <col min="11790" max="12032" width="9" style="1162"/>
    <col min="12033" max="12033" width="9.6640625" style="1162" customWidth="1"/>
    <col min="12034" max="12035" width="9" style="1162"/>
    <col min="12036" max="12036" width="10.44140625" style="1162" customWidth="1"/>
    <col min="12037" max="12038" width="9.77734375" style="1162" customWidth="1"/>
    <col min="12039" max="12044" width="9" style="1162"/>
    <col min="12045" max="12045" width="0" style="1162" hidden="1" customWidth="1"/>
    <col min="12046" max="12288" width="9" style="1162"/>
    <col min="12289" max="12289" width="9.6640625" style="1162" customWidth="1"/>
    <col min="12290" max="12291" width="9" style="1162"/>
    <col min="12292" max="12292" width="10.44140625" style="1162" customWidth="1"/>
    <col min="12293" max="12294" width="9.77734375" style="1162" customWidth="1"/>
    <col min="12295" max="12300" width="9" style="1162"/>
    <col min="12301" max="12301" width="0" style="1162" hidden="1" customWidth="1"/>
    <col min="12302" max="12544" width="9" style="1162"/>
    <col min="12545" max="12545" width="9.6640625" style="1162" customWidth="1"/>
    <col min="12546" max="12547" width="9" style="1162"/>
    <col min="12548" max="12548" width="10.44140625" style="1162" customWidth="1"/>
    <col min="12549" max="12550" width="9.77734375" style="1162" customWidth="1"/>
    <col min="12551" max="12556" width="9" style="1162"/>
    <col min="12557" max="12557" width="0" style="1162" hidden="1" customWidth="1"/>
    <col min="12558" max="12800" width="9" style="1162"/>
    <col min="12801" max="12801" width="9.6640625" style="1162" customWidth="1"/>
    <col min="12802" max="12803" width="9" style="1162"/>
    <col min="12804" max="12804" width="10.44140625" style="1162" customWidth="1"/>
    <col min="12805" max="12806" width="9.77734375" style="1162" customWidth="1"/>
    <col min="12807" max="12812" width="9" style="1162"/>
    <col min="12813" max="12813" width="0" style="1162" hidden="1" customWidth="1"/>
    <col min="12814" max="13056" width="9" style="1162"/>
    <col min="13057" max="13057" width="9.6640625" style="1162" customWidth="1"/>
    <col min="13058" max="13059" width="9" style="1162"/>
    <col min="13060" max="13060" width="10.44140625" style="1162" customWidth="1"/>
    <col min="13061" max="13062" width="9.77734375" style="1162" customWidth="1"/>
    <col min="13063" max="13068" width="9" style="1162"/>
    <col min="13069" max="13069" width="0" style="1162" hidden="1" customWidth="1"/>
    <col min="13070" max="13312" width="9" style="1162"/>
    <col min="13313" max="13313" width="9.6640625" style="1162" customWidth="1"/>
    <col min="13314" max="13315" width="9" style="1162"/>
    <col min="13316" max="13316" width="10.44140625" style="1162" customWidth="1"/>
    <col min="13317" max="13318" width="9.77734375" style="1162" customWidth="1"/>
    <col min="13319" max="13324" width="9" style="1162"/>
    <col min="13325" max="13325" width="0" style="1162" hidden="1" customWidth="1"/>
    <col min="13326" max="13568" width="9" style="1162"/>
    <col min="13569" max="13569" width="9.6640625" style="1162" customWidth="1"/>
    <col min="13570" max="13571" width="9" style="1162"/>
    <col min="13572" max="13572" width="10.44140625" style="1162" customWidth="1"/>
    <col min="13573" max="13574" width="9.77734375" style="1162" customWidth="1"/>
    <col min="13575" max="13580" width="9" style="1162"/>
    <col min="13581" max="13581" width="0" style="1162" hidden="1" customWidth="1"/>
    <col min="13582" max="13824" width="9" style="1162"/>
    <col min="13825" max="13825" width="9.6640625" style="1162" customWidth="1"/>
    <col min="13826" max="13827" width="9" style="1162"/>
    <col min="13828" max="13828" width="10.44140625" style="1162" customWidth="1"/>
    <col min="13829" max="13830" width="9.77734375" style="1162" customWidth="1"/>
    <col min="13831" max="13836" width="9" style="1162"/>
    <col min="13837" max="13837" width="0" style="1162" hidden="1" customWidth="1"/>
    <col min="13838" max="14080" width="9" style="1162"/>
    <col min="14081" max="14081" width="9.6640625" style="1162" customWidth="1"/>
    <col min="14082" max="14083" width="9" style="1162"/>
    <col min="14084" max="14084" width="10.44140625" style="1162" customWidth="1"/>
    <col min="14085" max="14086" width="9.77734375" style="1162" customWidth="1"/>
    <col min="14087" max="14092" width="9" style="1162"/>
    <col min="14093" max="14093" width="0" style="1162" hidden="1" customWidth="1"/>
    <col min="14094" max="14336" width="9" style="1162"/>
    <col min="14337" max="14337" width="9.6640625" style="1162" customWidth="1"/>
    <col min="14338" max="14339" width="9" style="1162"/>
    <col min="14340" max="14340" width="10.44140625" style="1162" customWidth="1"/>
    <col min="14341" max="14342" width="9.77734375" style="1162" customWidth="1"/>
    <col min="14343" max="14348" width="9" style="1162"/>
    <col min="14349" max="14349" width="0" style="1162" hidden="1" customWidth="1"/>
    <col min="14350" max="14592" width="9" style="1162"/>
    <col min="14593" max="14593" width="9.6640625" style="1162" customWidth="1"/>
    <col min="14594" max="14595" width="9" style="1162"/>
    <col min="14596" max="14596" width="10.44140625" style="1162" customWidth="1"/>
    <col min="14597" max="14598" width="9.77734375" style="1162" customWidth="1"/>
    <col min="14599" max="14604" width="9" style="1162"/>
    <col min="14605" max="14605" width="0" style="1162" hidden="1" customWidth="1"/>
    <col min="14606" max="14848" width="9" style="1162"/>
    <col min="14849" max="14849" width="9.6640625" style="1162" customWidth="1"/>
    <col min="14850" max="14851" width="9" style="1162"/>
    <col min="14852" max="14852" width="10.44140625" style="1162" customWidth="1"/>
    <col min="14853" max="14854" width="9.77734375" style="1162" customWidth="1"/>
    <col min="14855" max="14860" width="9" style="1162"/>
    <col min="14861" max="14861" width="0" style="1162" hidden="1" customWidth="1"/>
    <col min="14862" max="15104" width="9" style="1162"/>
    <col min="15105" max="15105" width="9.6640625" style="1162" customWidth="1"/>
    <col min="15106" max="15107" width="9" style="1162"/>
    <col min="15108" max="15108" width="10.44140625" style="1162" customWidth="1"/>
    <col min="15109" max="15110" width="9.77734375" style="1162" customWidth="1"/>
    <col min="15111" max="15116" width="9" style="1162"/>
    <col min="15117" max="15117" width="0" style="1162" hidden="1" customWidth="1"/>
    <col min="15118" max="15360" width="9" style="1162"/>
    <col min="15361" max="15361" width="9.6640625" style="1162" customWidth="1"/>
    <col min="15362" max="15363" width="9" style="1162"/>
    <col min="15364" max="15364" width="10.44140625" style="1162" customWidth="1"/>
    <col min="15365" max="15366" width="9.77734375" style="1162" customWidth="1"/>
    <col min="15367" max="15372" width="9" style="1162"/>
    <col min="15373" max="15373" width="0" style="1162" hidden="1" customWidth="1"/>
    <col min="15374" max="15616" width="9" style="1162"/>
    <col min="15617" max="15617" width="9.6640625" style="1162" customWidth="1"/>
    <col min="15618" max="15619" width="9" style="1162"/>
    <col min="15620" max="15620" width="10.44140625" style="1162" customWidth="1"/>
    <col min="15621" max="15622" width="9.77734375" style="1162" customWidth="1"/>
    <col min="15623" max="15628" width="9" style="1162"/>
    <col min="15629" max="15629" width="0" style="1162" hidden="1" customWidth="1"/>
    <col min="15630" max="15872" width="9" style="1162"/>
    <col min="15873" max="15873" width="9.6640625" style="1162" customWidth="1"/>
    <col min="15874" max="15875" width="9" style="1162"/>
    <col min="15876" max="15876" width="10.44140625" style="1162" customWidth="1"/>
    <col min="15877" max="15878" width="9.77734375" style="1162" customWidth="1"/>
    <col min="15879" max="15884" width="9" style="1162"/>
    <col min="15885" max="15885" width="0" style="1162" hidden="1" customWidth="1"/>
    <col min="15886" max="16128" width="9" style="1162"/>
    <col min="16129" max="16129" width="9.6640625" style="1162" customWidth="1"/>
    <col min="16130" max="16131" width="9" style="1162"/>
    <col min="16132" max="16132" width="10.44140625" style="1162" customWidth="1"/>
    <col min="16133" max="16134" width="9.77734375" style="1162" customWidth="1"/>
    <col min="16135" max="16140" width="9" style="1162"/>
    <col min="16141" max="16141" width="0" style="1162" hidden="1" customWidth="1"/>
    <col min="16142" max="16384" width="9" style="1162"/>
  </cols>
  <sheetData>
    <row r="1" spans="1:13" s="1155" customFormat="1" ht="60.75" thickBot="1">
      <c r="A1" s="1149" t="s">
        <v>289</v>
      </c>
      <c r="B1" s="1150" t="s">
        <v>290</v>
      </c>
      <c r="C1" s="1150" t="s">
        <v>291</v>
      </c>
      <c r="D1" s="1151" t="s">
        <v>292</v>
      </c>
      <c r="E1" s="1152" t="s">
        <v>293</v>
      </c>
      <c r="F1" s="1153" t="s">
        <v>294</v>
      </c>
      <c r="G1" s="1152" t="s">
        <v>301</v>
      </c>
      <c r="H1" s="1153" t="s">
        <v>302</v>
      </c>
      <c r="I1" s="1153" t="s">
        <v>295</v>
      </c>
      <c r="J1" s="1153" t="s">
        <v>296</v>
      </c>
      <c r="K1" s="1152" t="s">
        <v>297</v>
      </c>
      <c r="L1" s="1152" t="s">
        <v>298</v>
      </c>
      <c r="M1" s="1154" t="s">
        <v>299</v>
      </c>
    </row>
    <row r="2" spans="1:13">
      <c r="A2" s="1156" t="s">
        <v>300</v>
      </c>
      <c r="B2" s="1157">
        <v>1</v>
      </c>
      <c r="C2" s="1157">
        <v>7</v>
      </c>
      <c r="D2" s="1158">
        <v>2021</v>
      </c>
      <c r="E2" s="1159">
        <f>(IF('Daily HLP'!I4&gt;0,'Daily HLP'!I4,0))</f>
        <v>23260.790000000037</v>
      </c>
      <c r="F2" s="1160">
        <v>9</v>
      </c>
      <c r="G2" s="1160">
        <f>(IF('Daily HLP'!M4&gt;0,'Daily HLP'!M4,0))</f>
        <v>918.37800000002608</v>
      </c>
      <c r="H2" s="1160">
        <v>52</v>
      </c>
      <c r="I2" s="1160">
        <f>(IF('Daily HLP'!P4&gt;0,'Daily HLP'!P4,0))</f>
        <v>154</v>
      </c>
      <c r="J2" s="1160">
        <v>118</v>
      </c>
      <c r="K2" s="1234">
        <f>Occupancy!G2</f>
        <v>93</v>
      </c>
      <c r="L2" s="1159">
        <f>Occupancy!F2</f>
        <v>467</v>
      </c>
      <c r="M2" s="1161" t="e">
        <f>E2*F2+G2*H2+#REF!*#REF!+I2*J2</f>
        <v>#REF!</v>
      </c>
    </row>
    <row r="3" spans="1:13">
      <c r="A3" s="1156" t="s">
        <v>300</v>
      </c>
      <c r="B3" s="1157">
        <f>B2+1</f>
        <v>2</v>
      </c>
      <c r="C3" s="1157">
        <v>7</v>
      </c>
      <c r="D3" s="1158">
        <v>2021</v>
      </c>
      <c r="E3" s="1159">
        <f>(IF('Daily HLP'!I5&gt;0,'Daily HLP'!I5,0))</f>
        <v>21035.119999999995</v>
      </c>
      <c r="F3" s="1160">
        <v>9</v>
      </c>
      <c r="G3" s="1160">
        <f>(IF('Daily HLP'!M5&gt;0,'Daily HLP'!M5,0))</f>
        <v>510.87400000006892</v>
      </c>
      <c r="H3" s="1160">
        <v>52</v>
      </c>
      <c r="I3" s="1160">
        <f>(IF('Daily HLP'!P5&gt;0,'Daily HLP'!P5,0))</f>
        <v>162</v>
      </c>
      <c r="J3" s="1160">
        <v>118</v>
      </c>
      <c r="K3" s="1234">
        <f>Occupancy!G3</f>
        <v>144</v>
      </c>
      <c r="L3" s="1159">
        <f>Occupancy!F3</f>
        <v>417</v>
      </c>
      <c r="M3" s="1161" t="e">
        <f>E3*F3+G3*H3+#REF!*#REF!+I3*J3</f>
        <v>#REF!</v>
      </c>
    </row>
    <row r="4" spans="1:13">
      <c r="A4" s="1156" t="s">
        <v>300</v>
      </c>
      <c r="B4" s="1157">
        <f t="shared" ref="B4:B32" si="0">B3+1</f>
        <v>3</v>
      </c>
      <c r="C4" s="1157">
        <v>7</v>
      </c>
      <c r="D4" s="1158">
        <v>2021</v>
      </c>
      <c r="E4" s="1159">
        <f>(IF('Daily HLP'!I6&gt;0,'Daily HLP'!I6,0))</f>
        <v>22104.089999999967</v>
      </c>
      <c r="F4" s="1160">
        <v>9</v>
      </c>
      <c r="G4" s="1160">
        <f>(IF('Daily HLP'!M6&gt;0,'Daily HLP'!M6,0))</f>
        <v>940.26799999992363</v>
      </c>
      <c r="H4" s="1160">
        <v>52</v>
      </c>
      <c r="I4" s="1160">
        <f>(IF('Daily HLP'!P6&gt;0,'Daily HLP'!P6,0))</f>
        <v>210</v>
      </c>
      <c r="J4" s="1160">
        <v>118</v>
      </c>
      <c r="K4" s="1234">
        <f>Occupancy!G4</f>
        <v>187</v>
      </c>
      <c r="L4" s="1159">
        <f>Occupancy!F4</f>
        <v>483</v>
      </c>
      <c r="M4" s="1161" t="e">
        <f>E4*F4+G4*H4+#REF!*#REF!+I4*J4</f>
        <v>#REF!</v>
      </c>
    </row>
    <row r="5" spans="1:13">
      <c r="A5" s="1156" t="s">
        <v>300</v>
      </c>
      <c r="B5" s="1157">
        <f t="shared" si="0"/>
        <v>4</v>
      </c>
      <c r="C5" s="1157">
        <v>7</v>
      </c>
      <c r="D5" s="1158">
        <v>2021</v>
      </c>
      <c r="E5" s="1159">
        <f>(IF('Daily HLP'!I7&gt;0,'Daily HLP'!I7,0))</f>
        <v>21866.599999999977</v>
      </c>
      <c r="F5" s="1160">
        <v>9</v>
      </c>
      <c r="G5" s="1160">
        <f>(IF('Daily HLP'!M7&gt;0,'Daily HLP'!M7,0))</f>
        <v>786.87999999988824</v>
      </c>
      <c r="H5" s="1160">
        <v>52</v>
      </c>
      <c r="I5" s="1160">
        <f>(IF('Daily HLP'!P7&gt;0,'Daily HLP'!P7,0))</f>
        <v>271</v>
      </c>
      <c r="J5" s="1160">
        <v>118</v>
      </c>
      <c r="K5" s="1234">
        <f>Occupancy!G5</f>
        <v>92</v>
      </c>
      <c r="L5" s="1159">
        <f>Occupancy!F5</f>
        <v>378</v>
      </c>
      <c r="M5" s="1161" t="e">
        <f>E5*F5+G5*H5+#REF!*#REF!+I5*J5</f>
        <v>#REF!</v>
      </c>
    </row>
    <row r="6" spans="1:13">
      <c r="A6" s="1156" t="s">
        <v>300</v>
      </c>
      <c r="B6" s="1157">
        <f t="shared" si="0"/>
        <v>5</v>
      </c>
      <c r="C6" s="1157">
        <v>7</v>
      </c>
      <c r="D6" s="1158">
        <v>2021</v>
      </c>
      <c r="E6" s="1159">
        <f>(IF('Daily HLP'!I8&gt;0,'Daily HLP'!I8,0))</f>
        <v>20992.61</v>
      </c>
      <c r="F6" s="1160">
        <v>9</v>
      </c>
      <c r="G6" s="1160">
        <f>(IF('Daily HLP'!M8&gt;0,'Daily HLP'!M8,0))</f>
        <v>925.06000000005588</v>
      </c>
      <c r="H6" s="1160">
        <v>52</v>
      </c>
      <c r="I6" s="1160">
        <f>(IF('Daily HLP'!P8&gt;0,'Daily HLP'!P8,0))</f>
        <v>241</v>
      </c>
      <c r="J6" s="1160">
        <v>118</v>
      </c>
      <c r="K6" s="1234">
        <f>Occupancy!G6</f>
        <v>111</v>
      </c>
      <c r="L6" s="1159">
        <f>Occupancy!F6</f>
        <v>252</v>
      </c>
      <c r="M6" s="1161" t="e">
        <f>E6*F6+G6*H6+#REF!*#REF!+I6*J6</f>
        <v>#REF!</v>
      </c>
    </row>
    <row r="7" spans="1:13">
      <c r="A7" s="1156" t="s">
        <v>300</v>
      </c>
      <c r="B7" s="1157">
        <f t="shared" si="0"/>
        <v>6</v>
      </c>
      <c r="C7" s="1157">
        <v>7</v>
      </c>
      <c r="D7" s="1158">
        <v>2021</v>
      </c>
      <c r="E7" s="1159">
        <f>(IF('Daily HLP'!I9&gt;0,'Daily HLP'!I9,0))</f>
        <v>19837.629999999997</v>
      </c>
      <c r="F7" s="1160">
        <v>9</v>
      </c>
      <c r="G7" s="1160">
        <f>(IF('Daily HLP'!M9&gt;0,'Daily HLP'!M9,0))</f>
        <v>430.95999999996275</v>
      </c>
      <c r="H7" s="1160">
        <v>52</v>
      </c>
      <c r="I7" s="1160">
        <f>(IF('Daily HLP'!P9&gt;0,'Daily HLP'!P9,0))</f>
        <v>149</v>
      </c>
      <c r="J7" s="1160">
        <v>118</v>
      </c>
      <c r="K7" s="1234">
        <f>Occupancy!G7</f>
        <v>122</v>
      </c>
      <c r="L7" s="1159">
        <f>Occupancy!F7</f>
        <v>292</v>
      </c>
      <c r="M7" s="1161" t="e">
        <f>E7*F7+G7*H7+#REF!*#REF!+I7*J7</f>
        <v>#REF!</v>
      </c>
    </row>
    <row r="8" spans="1:13">
      <c r="A8" s="1156" t="s">
        <v>300</v>
      </c>
      <c r="B8" s="1157">
        <f t="shared" si="0"/>
        <v>7</v>
      </c>
      <c r="C8" s="1157">
        <v>7</v>
      </c>
      <c r="D8" s="1158">
        <v>2021</v>
      </c>
      <c r="E8" s="1159">
        <f>(IF('Daily HLP'!I10&gt;0,'Daily HLP'!I10,0))</f>
        <v>21913.78</v>
      </c>
      <c r="F8" s="1160">
        <v>9</v>
      </c>
      <c r="G8" s="1160">
        <f>(IF('Daily HLP'!M10&gt;0,'Daily HLP'!M10,0))</f>
        <v>850.19000000017695</v>
      </c>
      <c r="H8" s="1160">
        <v>52</v>
      </c>
      <c r="I8" s="1160">
        <f>(IF('Daily HLP'!P10&gt;0,'Daily HLP'!P10,0))</f>
        <v>168</v>
      </c>
      <c r="J8" s="1160">
        <v>118</v>
      </c>
      <c r="K8" s="1234">
        <f>Occupancy!G8</f>
        <v>136.27000000000001</v>
      </c>
      <c r="L8" s="1159">
        <f>Occupancy!F8</f>
        <v>402</v>
      </c>
      <c r="M8" s="1161" t="e">
        <f>E8*F8+G8*H8+#REF!*#REF!+I8*J8</f>
        <v>#REF!</v>
      </c>
    </row>
    <row r="9" spans="1:13">
      <c r="A9" s="1156" t="s">
        <v>300</v>
      </c>
      <c r="B9" s="1157">
        <f t="shared" si="0"/>
        <v>8</v>
      </c>
      <c r="C9" s="1157">
        <v>7</v>
      </c>
      <c r="D9" s="1158">
        <v>2021</v>
      </c>
      <c r="E9" s="1159">
        <f>(IF('Daily HLP'!I11&gt;0,'Daily HLP'!I11,0))</f>
        <v>21721.17</v>
      </c>
      <c r="F9" s="1160">
        <v>9</v>
      </c>
      <c r="G9" s="1160">
        <f>(IF('Daily HLP'!M11&gt;0,'Daily HLP'!M11,0))</f>
        <v>821.54999999981374</v>
      </c>
      <c r="H9" s="1160">
        <v>52</v>
      </c>
      <c r="I9" s="1160">
        <f>(IF('Daily HLP'!P11&gt;0,'Daily HLP'!P11,0))</f>
        <v>161</v>
      </c>
      <c r="J9" s="1160">
        <v>118</v>
      </c>
      <c r="K9" s="1234">
        <f>Occupancy!G9</f>
        <v>127</v>
      </c>
      <c r="L9" s="1159">
        <f>Occupancy!F9</f>
        <v>318</v>
      </c>
      <c r="M9" s="1161" t="e">
        <f>E9*F9+G9*H9+#REF!*#REF!+I9*J9</f>
        <v>#REF!</v>
      </c>
    </row>
    <row r="10" spans="1:13">
      <c r="A10" s="1156" t="s">
        <v>300</v>
      </c>
      <c r="B10" s="1157">
        <f t="shared" si="0"/>
        <v>9</v>
      </c>
      <c r="C10" s="1157">
        <v>7</v>
      </c>
      <c r="D10" s="1158">
        <v>2021</v>
      </c>
      <c r="E10" s="1159">
        <f>(IF('Daily HLP'!I12&gt;0,'Daily HLP'!I12,0))</f>
        <v>22673.210000000006</v>
      </c>
      <c r="F10" s="1160">
        <v>9</v>
      </c>
      <c r="G10" s="1160">
        <f>(IF('Daily HLP'!M12&gt;0,'Daily HLP'!M12,0))</f>
        <v>830.84000000008382</v>
      </c>
      <c r="H10" s="1160">
        <v>52</v>
      </c>
      <c r="I10" s="1160">
        <f>(IF('Daily HLP'!P12&gt;0,'Daily HLP'!P12,0))</f>
        <v>191</v>
      </c>
      <c r="J10" s="1160">
        <v>118</v>
      </c>
      <c r="K10" s="1234">
        <f>Occupancy!G10</f>
        <v>151</v>
      </c>
      <c r="L10" s="1159">
        <f>Occupancy!F10</f>
        <v>464</v>
      </c>
      <c r="M10" s="1161" t="e">
        <f>E10*F10+G10*H10+#REF!*#REF!+I10*J10</f>
        <v>#REF!</v>
      </c>
    </row>
    <row r="11" spans="1:13">
      <c r="A11" s="1156" t="s">
        <v>300</v>
      </c>
      <c r="B11" s="1157">
        <f t="shared" si="0"/>
        <v>10</v>
      </c>
      <c r="C11" s="1157">
        <v>7</v>
      </c>
      <c r="D11" s="1158">
        <v>2021</v>
      </c>
      <c r="E11" s="1159">
        <f>(IF('Daily HLP'!I13&gt;0,'Daily HLP'!I13,0))</f>
        <v>21102</v>
      </c>
      <c r="F11" s="1160">
        <v>9</v>
      </c>
      <c r="G11" s="1160">
        <f>(IF('Daily HLP'!M13&gt;0,'Daily HLP'!M13,0))</f>
        <v>829</v>
      </c>
      <c r="H11" s="1160">
        <v>52</v>
      </c>
      <c r="I11" s="1160">
        <f>(IF('Daily HLP'!P13&gt;0,'Daily HLP'!P13,0))</f>
        <v>218</v>
      </c>
      <c r="J11" s="1160">
        <v>118</v>
      </c>
      <c r="K11" s="1234">
        <f>Occupancy!G11</f>
        <v>188</v>
      </c>
      <c r="L11" s="1159">
        <f>Occupancy!F11</f>
        <v>520</v>
      </c>
      <c r="M11" s="1161" t="e">
        <f>E11*F11+G11*H11+#REF!*#REF!+I11*J11</f>
        <v>#REF!</v>
      </c>
    </row>
    <row r="12" spans="1:13">
      <c r="A12" s="1156" t="s">
        <v>300</v>
      </c>
      <c r="B12" s="1157">
        <f t="shared" si="0"/>
        <v>11</v>
      </c>
      <c r="C12" s="1157">
        <v>7</v>
      </c>
      <c r="D12" s="1158">
        <v>2021</v>
      </c>
      <c r="E12" s="1159">
        <f>(IF('Daily HLP'!I14&gt;0,'Daily HLP'!I14,0))</f>
        <v>22829.97</v>
      </c>
      <c r="F12" s="1160">
        <v>9</v>
      </c>
      <c r="G12" s="1160">
        <f>(IF('Daily HLP'!M14&gt;0,'Daily HLP'!M14,0))</f>
        <v>986.40999999991618</v>
      </c>
      <c r="H12" s="1160">
        <v>52</v>
      </c>
      <c r="I12" s="1160">
        <f>(IF('Daily HLP'!P14&gt;0,'Daily HLP'!P14,0))</f>
        <v>240</v>
      </c>
      <c r="J12" s="1160">
        <v>118</v>
      </c>
      <c r="K12" s="1234">
        <f>Occupancy!G12</f>
        <v>150</v>
      </c>
      <c r="L12" s="1159">
        <f>Occupancy!F12</f>
        <v>668</v>
      </c>
      <c r="M12" s="1161" t="e">
        <f>E12*F12+G12*H12+#REF!*#REF!+I12*J12</f>
        <v>#REF!</v>
      </c>
    </row>
    <row r="13" spans="1:13">
      <c r="A13" s="1156" t="s">
        <v>300</v>
      </c>
      <c r="B13" s="1157">
        <f t="shared" si="0"/>
        <v>12</v>
      </c>
      <c r="C13" s="1157">
        <v>7</v>
      </c>
      <c r="D13" s="1158">
        <v>2021</v>
      </c>
      <c r="E13" s="1159">
        <f>(IF('Daily HLP'!I15&gt;0,'Daily HLP'!I15,0))</f>
        <v>21239.899999999994</v>
      </c>
      <c r="F13" s="1160">
        <v>9</v>
      </c>
      <c r="G13" s="1160">
        <f>(IF('Daily HLP'!M15&gt;0,'Daily HLP'!M15,0))</f>
        <v>914.79000000003725</v>
      </c>
      <c r="H13" s="1160">
        <v>52</v>
      </c>
      <c r="I13" s="1160">
        <f>(IF('Daily HLP'!P15&gt;0,'Daily HLP'!P15,0))</f>
        <v>186</v>
      </c>
      <c r="J13" s="1160">
        <v>118</v>
      </c>
      <c r="K13" s="1234">
        <f>Occupancy!G13</f>
        <v>126</v>
      </c>
      <c r="L13" s="1159">
        <f>Occupancy!F13</f>
        <v>391</v>
      </c>
      <c r="M13" s="1161" t="e">
        <f>E13*F13+G13*H13+#REF!*#REF!+I13*J13</f>
        <v>#REF!</v>
      </c>
    </row>
    <row r="14" spans="1:13">
      <c r="A14" s="1156" t="s">
        <v>300</v>
      </c>
      <c r="B14" s="1157">
        <f t="shared" si="0"/>
        <v>13</v>
      </c>
      <c r="C14" s="1157">
        <v>7</v>
      </c>
      <c r="D14" s="1158">
        <v>2021</v>
      </c>
      <c r="E14" s="1159">
        <f>(IF('Daily HLP'!I16&gt;0,'Daily HLP'!I16,0))</f>
        <v>21611.399999999994</v>
      </c>
      <c r="F14" s="1160">
        <v>9</v>
      </c>
      <c r="G14" s="1160">
        <f>(IF('Daily HLP'!M16&gt;0,'Daily HLP'!M16,0))</f>
        <v>943.80000000004657</v>
      </c>
      <c r="H14" s="1160">
        <v>52</v>
      </c>
      <c r="I14" s="1160">
        <f>(IF('Daily HLP'!P16&gt;0,'Daily HLP'!P16,0))</f>
        <v>202</v>
      </c>
      <c r="J14" s="1160">
        <v>118</v>
      </c>
      <c r="K14" s="1234">
        <f>Occupancy!G14</f>
        <v>134</v>
      </c>
      <c r="L14" s="1159">
        <f>Occupancy!F14</f>
        <v>583</v>
      </c>
      <c r="M14" s="1161" t="e">
        <f>E14*F14+G14*H14+#REF!*#REF!+I14*J14</f>
        <v>#REF!</v>
      </c>
    </row>
    <row r="15" spans="1:13">
      <c r="A15" s="1156" t="s">
        <v>300</v>
      </c>
      <c r="B15" s="1157">
        <f t="shared" si="0"/>
        <v>14</v>
      </c>
      <c r="C15" s="1157">
        <v>7</v>
      </c>
      <c r="D15" s="1158">
        <v>2021</v>
      </c>
      <c r="E15" s="1159">
        <f>(IF('Daily HLP'!I17&gt;0,'Daily HLP'!I17,0))</f>
        <v>22172.24000000002</v>
      </c>
      <c r="F15" s="1160">
        <v>9</v>
      </c>
      <c r="G15" s="1160">
        <f>(IF('Daily HLP'!M17&gt;0,'Daily HLP'!M17,0))</f>
        <v>797.81000000005588</v>
      </c>
      <c r="H15" s="1160">
        <v>52</v>
      </c>
      <c r="I15" s="1160">
        <f>(IF('Daily HLP'!P17&gt;0,'Daily HLP'!P17,0))</f>
        <v>205</v>
      </c>
      <c r="J15" s="1160">
        <v>118</v>
      </c>
      <c r="K15" s="1234">
        <f>Occupancy!G15</f>
        <v>153</v>
      </c>
      <c r="L15" s="1159">
        <f>Occupancy!F15</f>
        <v>775</v>
      </c>
      <c r="M15" s="1161" t="e">
        <f>E15*F15+G15*H15+#REF!*#REF!+I15*J15</f>
        <v>#REF!</v>
      </c>
    </row>
    <row r="16" spans="1:13">
      <c r="A16" s="1156" t="s">
        <v>300</v>
      </c>
      <c r="B16" s="1157">
        <f t="shared" si="0"/>
        <v>15</v>
      </c>
      <c r="C16" s="1157">
        <v>7</v>
      </c>
      <c r="D16" s="1158">
        <v>2021</v>
      </c>
      <c r="E16" s="1159">
        <f>(IF('Daily HLP'!I18&gt;0,'Daily HLP'!I18,0))</f>
        <v>22546.299999999988</v>
      </c>
      <c r="F16" s="1160">
        <v>9</v>
      </c>
      <c r="G16" s="1160">
        <f>(IF('Daily HLP'!M18&gt;0,'Daily HLP'!M18,0))</f>
        <v>947.81299999984913</v>
      </c>
      <c r="H16" s="1160">
        <v>52</v>
      </c>
      <c r="I16" s="1160">
        <f>(IF('Daily HLP'!P18&gt;0,'Daily HLP'!P18,0))</f>
        <v>184</v>
      </c>
      <c r="J16" s="1160">
        <v>118</v>
      </c>
      <c r="K16" s="1234">
        <f>Occupancy!G16</f>
        <v>141</v>
      </c>
      <c r="L16" s="1159">
        <f>Occupancy!F16</f>
        <v>680</v>
      </c>
      <c r="M16" s="1161" t="e">
        <f>E16*F16+G16*H16+#REF!*#REF!+I16*J16</f>
        <v>#REF!</v>
      </c>
    </row>
    <row r="17" spans="1:13">
      <c r="A17" s="1156" t="s">
        <v>300</v>
      </c>
      <c r="B17" s="1157">
        <f t="shared" si="0"/>
        <v>16</v>
      </c>
      <c r="C17" s="1157">
        <v>7</v>
      </c>
      <c r="D17" s="1158">
        <v>2021</v>
      </c>
      <c r="E17" s="1159">
        <f>(IF('Daily HLP'!I19&gt;0,'Daily HLP'!I19,0))</f>
        <v>22174.580000000016</v>
      </c>
      <c r="F17" s="1160">
        <v>9</v>
      </c>
      <c r="G17" s="1160">
        <f>(IF('Daily HLP'!M19&gt;0,'Daily HLP'!M19,0))</f>
        <v>837.25699999998324</v>
      </c>
      <c r="H17" s="1160">
        <v>52</v>
      </c>
      <c r="I17" s="1160">
        <f>(IF('Daily HLP'!P19&gt;0,'Daily HLP'!P19,0))</f>
        <v>170</v>
      </c>
      <c r="J17" s="1160">
        <v>118</v>
      </c>
      <c r="K17" s="1234">
        <f>Occupancy!G17</f>
        <v>151</v>
      </c>
      <c r="L17" s="1159">
        <f>Occupancy!F17</f>
        <v>632</v>
      </c>
      <c r="M17" s="1161" t="e">
        <f>E17*F17+G17*H17+#REF!*#REF!+I17*J17</f>
        <v>#REF!</v>
      </c>
    </row>
    <row r="18" spans="1:13">
      <c r="A18" s="1156" t="s">
        <v>300</v>
      </c>
      <c r="B18" s="1157">
        <f t="shared" si="0"/>
        <v>17</v>
      </c>
      <c r="C18" s="1157">
        <v>7</v>
      </c>
      <c r="D18" s="1158">
        <v>2021</v>
      </c>
      <c r="E18" s="1159">
        <f>(IF('Daily HLP'!I20&gt;0,'Daily HLP'!I20,0))</f>
        <v>24914.739999999991</v>
      </c>
      <c r="F18" s="1160">
        <v>9</v>
      </c>
      <c r="G18" s="1160">
        <f>(IF('Daily HLP'!M20&gt;0,'Daily HLP'!M20,0))</f>
        <v>981.66100000008009</v>
      </c>
      <c r="H18" s="1160">
        <v>52</v>
      </c>
      <c r="I18" s="1160">
        <f>(IF('Daily HLP'!P20&gt;0,'Daily HLP'!P20,0))</f>
        <v>201</v>
      </c>
      <c r="J18" s="1160">
        <v>118</v>
      </c>
      <c r="K18" s="1234">
        <f>Occupancy!G18</f>
        <v>190</v>
      </c>
      <c r="L18" s="1159">
        <f>Occupancy!F18</f>
        <v>798</v>
      </c>
      <c r="M18" s="1161" t="e">
        <f>E18*F18+G18*H18+#REF!*#REF!+I18*J18</f>
        <v>#REF!</v>
      </c>
    </row>
    <row r="19" spans="1:13">
      <c r="A19" s="1156" t="s">
        <v>300</v>
      </c>
      <c r="B19" s="1157">
        <f t="shared" si="0"/>
        <v>18</v>
      </c>
      <c r="C19" s="1157">
        <v>7</v>
      </c>
      <c r="D19" s="1158">
        <v>2021</v>
      </c>
      <c r="E19" s="1159">
        <f>(IF('Daily HLP'!I21&gt;0,'Daily HLP'!I21,0))</f>
        <v>25951.080000000016</v>
      </c>
      <c r="F19" s="1160">
        <v>9</v>
      </c>
      <c r="G19" s="1160">
        <f>(IF('Daily HLP'!M21&gt;0,'Daily HLP'!M21,0))</f>
        <v>908.87899999995716</v>
      </c>
      <c r="H19" s="1160">
        <v>52</v>
      </c>
      <c r="I19" s="1160">
        <f>(IF('Daily HLP'!P21&gt;0,'Daily HLP'!P21,0))</f>
        <v>179</v>
      </c>
      <c r="J19" s="1160">
        <v>118</v>
      </c>
      <c r="K19" s="1234">
        <f>Occupancy!G19</f>
        <v>150</v>
      </c>
      <c r="L19" s="1159">
        <f>Occupancy!F19</f>
        <v>993</v>
      </c>
      <c r="M19" s="1161" t="e">
        <f>E19*F19+G19*H19+#REF!*#REF!+I19*J19</f>
        <v>#REF!</v>
      </c>
    </row>
    <row r="20" spans="1:13">
      <c r="A20" s="1156" t="s">
        <v>300</v>
      </c>
      <c r="B20" s="1157">
        <f t="shared" si="0"/>
        <v>19</v>
      </c>
      <c r="C20" s="1157">
        <v>7</v>
      </c>
      <c r="D20" s="1158">
        <v>2021</v>
      </c>
      <c r="E20" s="1159">
        <f>(IF('Daily HLP'!I22&gt;0,'Daily HLP'!I22,0))</f>
        <v>21717.789999999979</v>
      </c>
      <c r="F20" s="1160">
        <v>9</v>
      </c>
      <c r="G20" s="1160">
        <f>(IF('Daily HLP'!M22&gt;0,'Daily HLP'!M22,0))</f>
        <v>880.58000000007451</v>
      </c>
      <c r="H20" s="1160">
        <v>52</v>
      </c>
      <c r="I20" s="1160">
        <f>(IF('Daily HLP'!P22&gt;0,'Daily HLP'!P22,0))</f>
        <v>257</v>
      </c>
      <c r="J20" s="1160">
        <v>118</v>
      </c>
      <c r="K20" s="1234">
        <f>Occupancy!G20</f>
        <v>106</v>
      </c>
      <c r="L20" s="1159">
        <f>Occupancy!F20</f>
        <v>364</v>
      </c>
      <c r="M20" s="1161" t="e">
        <f>E20*F20+G20*H20+#REF!*#REF!+I20*J20</f>
        <v>#REF!</v>
      </c>
    </row>
    <row r="21" spans="1:13">
      <c r="A21" s="1156" t="s">
        <v>300</v>
      </c>
      <c r="B21" s="1157">
        <f t="shared" si="0"/>
        <v>20</v>
      </c>
      <c r="C21" s="1157">
        <v>7</v>
      </c>
      <c r="D21" s="1158">
        <v>2021</v>
      </c>
      <c r="E21" s="1159">
        <f>(IF('Daily HLP'!I23&gt;0,'Daily HLP'!I23,0))</f>
        <v>22217.270000000019</v>
      </c>
      <c r="F21" s="1160">
        <v>9</v>
      </c>
      <c r="G21" s="1160">
        <f>(IF('Daily HLP'!M23&gt;0,'Daily HLP'!M23,0))</f>
        <v>465</v>
      </c>
      <c r="H21" s="1160">
        <v>52</v>
      </c>
      <c r="I21" s="1160">
        <f>(IF('Daily HLP'!P23&gt;0,'Daily HLP'!P23,0))</f>
        <v>143</v>
      </c>
      <c r="J21" s="1160">
        <v>118</v>
      </c>
      <c r="K21" s="1234">
        <f>Occupancy!G21</f>
        <v>135</v>
      </c>
      <c r="L21" s="1159">
        <f>Occupancy!F21</f>
        <v>484</v>
      </c>
      <c r="M21" s="1161" t="e">
        <f>E21*F21+G21*H21+#REF!*#REF!+I21*J21</f>
        <v>#REF!</v>
      </c>
    </row>
    <row r="22" spans="1:13">
      <c r="A22" s="1156" t="s">
        <v>300</v>
      </c>
      <c r="B22" s="1157">
        <f t="shared" si="0"/>
        <v>21</v>
      </c>
      <c r="C22" s="1157">
        <v>7</v>
      </c>
      <c r="D22" s="1158">
        <v>2021</v>
      </c>
      <c r="E22" s="1159">
        <f>(IF('Daily HLP'!I24&gt;0,'Daily HLP'!I24,0))</f>
        <v>21222.559999999998</v>
      </c>
      <c r="F22" s="1160">
        <v>9</v>
      </c>
      <c r="G22" s="1160">
        <f>(IF('Daily HLP'!M24&gt;0,'Daily HLP'!M24,0))</f>
        <v>926.71999999997206</v>
      </c>
      <c r="H22" s="1160">
        <v>52</v>
      </c>
      <c r="I22" s="1160">
        <f>(IF('Daily HLP'!P24&gt;0,'Daily HLP'!P24,0))</f>
        <v>175</v>
      </c>
      <c r="J22" s="1160">
        <v>118</v>
      </c>
      <c r="K22" s="1234">
        <f>Occupancy!G22</f>
        <v>159</v>
      </c>
      <c r="L22" s="1159">
        <f>Occupancy!F22</f>
        <v>398</v>
      </c>
      <c r="M22" s="1161" t="e">
        <f>E22*F22+G22*H22+#REF!*#REF!+I22*J22</f>
        <v>#REF!</v>
      </c>
    </row>
    <row r="23" spans="1:13">
      <c r="A23" s="1156" t="s">
        <v>300</v>
      </c>
      <c r="B23" s="1157">
        <f t="shared" si="0"/>
        <v>22</v>
      </c>
      <c r="C23" s="1157">
        <v>7</v>
      </c>
      <c r="D23" s="1158">
        <v>2021</v>
      </c>
      <c r="E23" s="1159">
        <f>(IF('Daily HLP'!I25&gt;0,'Daily HLP'!I25,0))</f>
        <v>21500</v>
      </c>
      <c r="F23" s="1160">
        <v>9</v>
      </c>
      <c r="G23" s="1160">
        <f>(IF('Daily HLP'!M25&gt;0,'Daily HLP'!M25,0))</f>
        <v>700</v>
      </c>
      <c r="H23" s="1160">
        <v>52</v>
      </c>
      <c r="I23" s="1160">
        <f>(IF('Daily HLP'!P25&gt;0,'Daily HLP'!P25,0))</f>
        <v>0</v>
      </c>
      <c r="J23" s="1160">
        <v>118</v>
      </c>
      <c r="K23" s="1234">
        <f>Occupancy!G23</f>
        <v>0</v>
      </c>
      <c r="L23" s="1159">
        <f>Occupancy!F23</f>
        <v>0</v>
      </c>
      <c r="M23" s="1161" t="e">
        <f>E23*F23+G23*H23+#REF!*#REF!+I23*J23</f>
        <v>#REF!</v>
      </c>
    </row>
    <row r="24" spans="1:13">
      <c r="A24" s="1156" t="s">
        <v>300</v>
      </c>
      <c r="B24" s="1157">
        <f t="shared" si="0"/>
        <v>23</v>
      </c>
      <c r="C24" s="1157">
        <v>7</v>
      </c>
      <c r="D24" s="1158">
        <v>2021</v>
      </c>
      <c r="E24" s="1159">
        <f>(IF('Daily HLP'!I26&gt;0,'Daily HLP'!I26,0))</f>
        <v>21500</v>
      </c>
      <c r="F24" s="1160">
        <v>9</v>
      </c>
      <c r="G24" s="1160">
        <f>(IF('Daily HLP'!M26&gt;0,'Daily HLP'!M26,0))</f>
        <v>700</v>
      </c>
      <c r="H24" s="1160">
        <v>52</v>
      </c>
      <c r="I24" s="1160">
        <f>(IF('Daily HLP'!P26&gt;0,'Daily HLP'!P26,0))</f>
        <v>101</v>
      </c>
      <c r="J24" s="1160">
        <v>118</v>
      </c>
      <c r="K24" s="1234">
        <f>Occupancy!G24</f>
        <v>0</v>
      </c>
      <c r="L24" s="1159">
        <f>Occupancy!F24</f>
        <v>0</v>
      </c>
      <c r="M24" s="1161" t="e">
        <f>E24*F24+G24*H24+#REF!*#REF!+I24*J24</f>
        <v>#REF!</v>
      </c>
    </row>
    <row r="25" spans="1:13">
      <c r="A25" s="1156" t="s">
        <v>300</v>
      </c>
      <c r="B25" s="1157">
        <f t="shared" si="0"/>
        <v>24</v>
      </c>
      <c r="C25" s="1157">
        <v>7</v>
      </c>
      <c r="D25" s="1158">
        <v>2021</v>
      </c>
      <c r="E25" s="1159">
        <f>(IF('Daily HLP'!I27&gt;0,'Daily HLP'!I27,0))</f>
        <v>21500</v>
      </c>
      <c r="F25" s="1160">
        <v>9</v>
      </c>
      <c r="G25" s="1160">
        <f>(IF('Daily HLP'!M27&gt;0,'Daily HLP'!M27,0))</f>
        <v>700</v>
      </c>
      <c r="H25" s="1160">
        <v>52</v>
      </c>
      <c r="I25" s="1160">
        <f>(IF('Daily HLP'!P27&gt;0,'Daily HLP'!P27,0))</f>
        <v>164</v>
      </c>
      <c r="J25" s="1160">
        <v>118</v>
      </c>
      <c r="K25" s="1234">
        <f>Occupancy!G25</f>
        <v>0</v>
      </c>
      <c r="L25" s="1159">
        <f>Occupancy!F25</f>
        <v>0</v>
      </c>
      <c r="M25" s="1161" t="e">
        <f>E25*F25+G25*H25+#REF!*#REF!+I25*J25</f>
        <v>#REF!</v>
      </c>
    </row>
    <row r="26" spans="1:13">
      <c r="A26" s="1156" t="s">
        <v>300</v>
      </c>
      <c r="B26" s="1157">
        <f>B25+1</f>
        <v>25</v>
      </c>
      <c r="C26" s="1157">
        <v>7</v>
      </c>
      <c r="D26" s="1158">
        <v>2021</v>
      </c>
      <c r="E26" s="1159">
        <f>(IF('Daily HLP'!I28&gt;0,'Daily HLP'!I28,0))</f>
        <v>21500</v>
      </c>
      <c r="F26" s="1160">
        <v>9</v>
      </c>
      <c r="G26" s="1160">
        <f>(IF('Daily HLP'!M28&gt;0,'Daily HLP'!M28,0))</f>
        <v>700</v>
      </c>
      <c r="H26" s="1160">
        <v>52</v>
      </c>
      <c r="I26" s="1160">
        <f>(IF('Daily HLP'!P28&gt;0,'Daily HLP'!P28,0))</f>
        <v>170</v>
      </c>
      <c r="J26" s="1160">
        <v>118</v>
      </c>
      <c r="K26" s="1234">
        <f>Occupancy!G26</f>
        <v>0</v>
      </c>
      <c r="L26" s="1159">
        <f>Occupancy!F26</f>
        <v>0</v>
      </c>
      <c r="M26" s="1161" t="e">
        <f>E26*F26+G26*H26+#REF!*#REF!+I26*J26</f>
        <v>#REF!</v>
      </c>
    </row>
    <row r="27" spans="1:13">
      <c r="A27" s="1156" t="s">
        <v>300</v>
      </c>
      <c r="B27" s="1157">
        <f t="shared" si="0"/>
        <v>26</v>
      </c>
      <c r="C27" s="1157">
        <v>7</v>
      </c>
      <c r="D27" s="1158">
        <v>2021</v>
      </c>
      <c r="E27" s="1159">
        <f>(IF('Daily HLP'!I29&gt;0,'Daily HLP'!I29,0))</f>
        <v>21500</v>
      </c>
      <c r="F27" s="1160">
        <v>9</v>
      </c>
      <c r="G27" s="1160">
        <f>(IF('Daily HLP'!M29&gt;0,'Daily HLP'!M29,0))</f>
        <v>700</v>
      </c>
      <c r="H27" s="1160">
        <v>52</v>
      </c>
      <c r="I27" s="1160">
        <f>(IF('Daily HLP'!P29&gt;0,'Daily HLP'!P29,0))</f>
        <v>215</v>
      </c>
      <c r="J27" s="1160">
        <v>118</v>
      </c>
      <c r="K27" s="1234">
        <f>Occupancy!G27</f>
        <v>0</v>
      </c>
      <c r="L27" s="1159">
        <f>Occupancy!F27</f>
        <v>0</v>
      </c>
      <c r="M27" s="1161" t="e">
        <f>E27*F27+G27*H27+#REF!*#REF!+I27*J27</f>
        <v>#REF!</v>
      </c>
    </row>
    <row r="28" spans="1:13">
      <c r="A28" s="1156" t="s">
        <v>300</v>
      </c>
      <c r="B28" s="1157">
        <f t="shared" si="0"/>
        <v>27</v>
      </c>
      <c r="C28" s="1157">
        <v>7</v>
      </c>
      <c r="D28" s="1158">
        <v>2021</v>
      </c>
      <c r="E28" s="1159">
        <f>(IF('Daily HLP'!I30&gt;0,'Daily HLP'!I30,0))</f>
        <v>21500</v>
      </c>
      <c r="F28" s="1160">
        <v>9</v>
      </c>
      <c r="G28" s="1160">
        <f>(IF('Daily HLP'!M30&gt;0,'Daily HLP'!M30,0))</f>
        <v>700</v>
      </c>
      <c r="H28" s="1160">
        <v>52</v>
      </c>
      <c r="I28" s="1160">
        <f>(IF('Daily HLP'!P30&gt;0,'Daily HLP'!P30,0))</f>
        <v>241</v>
      </c>
      <c r="J28" s="1160">
        <v>118</v>
      </c>
      <c r="K28" s="1234">
        <f>Occupancy!G28</f>
        <v>0</v>
      </c>
      <c r="L28" s="1159">
        <f>Occupancy!F28</f>
        <v>0</v>
      </c>
      <c r="M28" s="1161" t="e">
        <f>E28*F28+G28*H28+#REF!*#REF!+I28*J28</f>
        <v>#REF!</v>
      </c>
    </row>
    <row r="29" spans="1:13">
      <c r="A29" s="1156" t="s">
        <v>300</v>
      </c>
      <c r="B29" s="1157">
        <f t="shared" si="0"/>
        <v>28</v>
      </c>
      <c r="C29" s="1157">
        <v>7</v>
      </c>
      <c r="D29" s="1158">
        <v>2021</v>
      </c>
      <c r="E29" s="1159">
        <f>(IF('Daily HLP'!I31&gt;0,'Daily HLP'!I31,0))</f>
        <v>21500.000000000058</v>
      </c>
      <c r="F29" s="1160">
        <v>9</v>
      </c>
      <c r="G29" s="1160">
        <f>(IF('Daily HLP'!M31&gt;0,'Daily HLP'!M31,0))</f>
        <v>700</v>
      </c>
      <c r="H29" s="1160">
        <v>52</v>
      </c>
      <c r="I29" s="1160">
        <f>(IF('Daily HLP'!P31&gt;0,'Daily HLP'!P31,0))</f>
        <v>194</v>
      </c>
      <c r="J29" s="1160">
        <v>118</v>
      </c>
      <c r="K29" s="1234">
        <f>Occupancy!G29</f>
        <v>0</v>
      </c>
      <c r="L29" s="1159">
        <f>Occupancy!F29</f>
        <v>0</v>
      </c>
      <c r="M29" s="1161" t="e">
        <f>E29*F29+G29*H29+#REF!*#REF!+I29*J29</f>
        <v>#REF!</v>
      </c>
    </row>
    <row r="30" spans="1:13">
      <c r="A30" s="1156" t="s">
        <v>300</v>
      </c>
      <c r="B30" s="1157">
        <f t="shared" si="0"/>
        <v>29</v>
      </c>
      <c r="C30" s="1157">
        <v>7</v>
      </c>
      <c r="D30" s="1158">
        <v>2021</v>
      </c>
      <c r="E30" s="1159">
        <f>(IF('Daily HLP'!I32&gt;0,'Daily HLP'!I32,0))</f>
        <v>21500</v>
      </c>
      <c r="F30" s="1160">
        <v>9</v>
      </c>
      <c r="G30" s="1160">
        <f>(IF('Daily HLP'!M32&gt;0,'Daily HLP'!M32,0))</f>
        <v>700</v>
      </c>
      <c r="H30" s="1160">
        <v>52</v>
      </c>
      <c r="I30" s="1160">
        <f>(IF('Daily HLP'!P32&gt;0,'Daily HLP'!P32,0))</f>
        <v>163</v>
      </c>
      <c r="J30" s="1160">
        <v>118</v>
      </c>
      <c r="K30" s="1234">
        <f>Occupancy!G30</f>
        <v>0</v>
      </c>
      <c r="L30" s="1159">
        <f>Occupancy!F30</f>
        <v>0</v>
      </c>
      <c r="M30" s="1161" t="e">
        <f>E30*F30+G30*H30+#REF!*#REF!+I30*J30</f>
        <v>#REF!</v>
      </c>
    </row>
    <row r="31" spans="1:13">
      <c r="A31" s="1156" t="s">
        <v>300</v>
      </c>
      <c r="B31" s="1157">
        <f t="shared" si="0"/>
        <v>30</v>
      </c>
      <c r="C31" s="1157">
        <v>7</v>
      </c>
      <c r="D31" s="1158">
        <v>2021</v>
      </c>
      <c r="E31" s="1159">
        <f>(IF('Daily HLP'!I33&gt;0,'Daily HLP'!I33,0))</f>
        <v>21500</v>
      </c>
      <c r="F31" s="1160">
        <v>9</v>
      </c>
      <c r="G31" s="1160">
        <f>(IF('Daily HLP'!M33&gt;0,'Daily HLP'!M33,0))</f>
        <v>700</v>
      </c>
      <c r="H31" s="1160">
        <v>52</v>
      </c>
      <c r="I31" s="1160">
        <f>(IF('Daily HLP'!P33&gt;0,'Daily HLP'!P33,0))</f>
        <v>134</v>
      </c>
      <c r="J31" s="1160">
        <v>118</v>
      </c>
      <c r="K31" s="1234">
        <f>Occupancy!G31</f>
        <v>0</v>
      </c>
      <c r="L31" s="1159">
        <f>Occupancy!F31</f>
        <v>0</v>
      </c>
      <c r="M31" s="1161" t="e">
        <f>E31*F31+G31*H31+#REF!*#REF!+I31*J31</f>
        <v>#REF!</v>
      </c>
    </row>
    <row r="32" spans="1:13" s="1159" customFormat="1">
      <c r="A32" s="1156" t="s">
        <v>300</v>
      </c>
      <c r="B32" s="1157">
        <f t="shared" si="0"/>
        <v>31</v>
      </c>
      <c r="C32" s="1157">
        <v>7</v>
      </c>
      <c r="D32" s="1158">
        <v>2021</v>
      </c>
      <c r="E32" s="1159">
        <f>(IF('Daily HLP'!I34&gt;0,'Daily HLP'!I34,0))</f>
        <v>21500</v>
      </c>
      <c r="F32" s="1160">
        <v>10</v>
      </c>
      <c r="G32" s="1160">
        <f>(IF('Daily HLP'!M34&gt;0,'Daily HLP'!M34,0))</f>
        <v>700</v>
      </c>
      <c r="H32" s="1160">
        <v>52</v>
      </c>
      <c r="I32" s="1160">
        <f>(IF('Daily HLP'!P34&gt;0,'Daily HLP'!P34,0))</f>
        <v>0</v>
      </c>
      <c r="J32" s="1160">
        <v>118</v>
      </c>
      <c r="K32" s="1234">
        <f>Occupancy!G32</f>
        <v>0</v>
      </c>
      <c r="L32" s="1159">
        <f>Occupancy!F32</f>
        <v>0</v>
      </c>
      <c r="M32" s="1162"/>
    </row>
    <row r="33" spans="1:13" s="1159" customFormat="1">
      <c r="A33" s="1163"/>
      <c r="B33" s="1157"/>
      <c r="C33" s="1157"/>
      <c r="D33" s="1158"/>
      <c r="F33" s="1160"/>
      <c r="G33" s="1160"/>
      <c r="H33" s="1160"/>
      <c r="I33" s="1160"/>
      <c r="J33" s="1160"/>
      <c r="M33" s="1162"/>
    </row>
    <row r="34" spans="1:13" s="1159" customFormat="1">
      <c r="A34" s="1163"/>
      <c r="B34" s="1157"/>
      <c r="C34" s="1157"/>
      <c r="D34" s="1158"/>
      <c r="F34" s="1160"/>
      <c r="G34" s="1160"/>
      <c r="H34" s="1160"/>
      <c r="I34" s="1160"/>
      <c r="J34" s="1160"/>
      <c r="M34" s="1162"/>
    </row>
    <row r="35" spans="1:13" s="1159" customFormat="1">
      <c r="A35" s="1163"/>
      <c r="B35" s="1157"/>
      <c r="C35" s="1157"/>
      <c r="D35" s="1158"/>
      <c r="F35" s="1160"/>
      <c r="G35" s="1160"/>
      <c r="H35" s="1160"/>
      <c r="I35" s="1160"/>
      <c r="J35" s="1160"/>
      <c r="M35" s="1162"/>
    </row>
    <row r="36" spans="1:13" s="1159" customFormat="1">
      <c r="A36" s="1163"/>
      <c r="B36" s="1157"/>
      <c r="C36" s="1157"/>
      <c r="D36" s="1158"/>
      <c r="F36" s="1160"/>
      <c r="G36" s="1160"/>
      <c r="H36" s="1160"/>
      <c r="I36" s="1160"/>
      <c r="J36" s="1160"/>
      <c r="M36" s="1162"/>
    </row>
    <row r="37" spans="1:13" s="1159" customFormat="1">
      <c r="A37" s="1163"/>
      <c r="B37" s="1157"/>
      <c r="C37" s="1157"/>
      <c r="D37" s="1158"/>
      <c r="F37" s="1160"/>
      <c r="G37" s="1160"/>
      <c r="H37" s="1160"/>
      <c r="I37" s="1160"/>
      <c r="J37" s="1160"/>
      <c r="M37" s="1162"/>
    </row>
    <row r="38" spans="1:13" s="1159" customFormat="1">
      <c r="A38" s="1163"/>
      <c r="B38" s="1157"/>
      <c r="C38" s="1157"/>
      <c r="D38" s="1158"/>
      <c r="F38" s="1160"/>
      <c r="G38" s="1160"/>
      <c r="H38" s="1160"/>
      <c r="I38" s="1160"/>
      <c r="J38" s="1160"/>
      <c r="M38" s="116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1275" customWidth="1"/>
    <col min="2" max="3" width="9" style="1279" customWidth="1"/>
    <col min="4" max="4" width="10.44140625" style="1279" customWidth="1"/>
    <col min="5" max="29" width="9.77734375" style="1295" customWidth="1"/>
    <col min="30" max="30" width="9" style="1295"/>
    <col min="31" max="31" width="9" style="1296"/>
    <col min="32" max="32" width="9" style="1295"/>
    <col min="33" max="39" width="9" style="1297"/>
    <col min="40" max="40" width="9" style="1369"/>
    <col min="41" max="49" width="9" style="1297"/>
    <col min="50" max="58" width="9" style="1369"/>
    <col min="59" max="65" width="9" style="1297"/>
    <col min="66" max="16384" width="9" style="1278"/>
  </cols>
  <sheetData>
    <row r="1" spans="1:65" s="1275" customFormat="1" ht="60" customHeight="1">
      <c r="A1" s="1273" t="s">
        <v>289</v>
      </c>
      <c r="B1" s="1274" t="s">
        <v>290</v>
      </c>
      <c r="C1" s="1274" t="s">
        <v>291</v>
      </c>
      <c r="D1" s="1274" t="s">
        <v>292</v>
      </c>
      <c r="E1" s="1289" t="str">
        <f>'Section Load'!F4</f>
        <v>HVAC</v>
      </c>
      <c r="F1" s="1289" t="str">
        <f>'Section Load'!G4</f>
        <v>Fire &amp; Emergency PP</v>
      </c>
      <c r="G1" s="1289" t="str">
        <f>'Section Load'!H4</f>
        <v>Main PP</v>
      </c>
      <c r="H1" s="1289" t="str">
        <f>'Section Load'!I4</f>
        <v>Lighting PP</v>
      </c>
      <c r="I1" s="1289" t="str">
        <f>'Section Load'!J4</f>
        <v>CH-1+ CH2+CH3+CH4</v>
      </c>
      <c r="J1" s="1289" t="str">
        <f>'Section Load'!K4</f>
        <v>Chilled water Pump</v>
      </c>
      <c r="K1" s="1289" t="str">
        <f>'Section Load'!L4</f>
        <v>Ball Room-1</v>
      </c>
      <c r="L1" s="1289" t="str">
        <f>'Section Load'!M4</f>
        <v>Ball Room-2</v>
      </c>
      <c r="M1" s="1289" t="str">
        <f>'Section Load'!N4</f>
        <v>MK-1</v>
      </c>
      <c r="N1" s="1289" t="str">
        <f>'Section Load'!O4</f>
        <v>MK-2</v>
      </c>
      <c r="O1" s="1289" t="str">
        <f>'Section Load'!P4</f>
        <v>Prato</v>
      </c>
      <c r="P1" s="1289" t="str">
        <f>'Section Load'!Q4</f>
        <v>San- Qi Indian</v>
      </c>
      <c r="Q1" s="1289" t="str">
        <f>'Section Load'!R4</f>
        <v>San- Qi Japanese</v>
      </c>
      <c r="R1" s="1289" t="str">
        <f>'Section Load'!S4</f>
        <v>The club</v>
      </c>
      <c r="S1" s="1289" t="str">
        <f>'Section Load'!T4</f>
        <v>AER</v>
      </c>
      <c r="T1" s="1289" t="str">
        <f>'Section Load'!U4</f>
        <v>COLD ROOM'S</v>
      </c>
      <c r="U1" s="1289" t="str">
        <f>'Section Load'!V4</f>
        <v>Ball Room 1</v>
      </c>
      <c r="V1" s="1289" t="str">
        <f>'Section Load'!W4</f>
        <v>Ball Room 2</v>
      </c>
      <c r="W1" s="1289" t="str">
        <f>'Section Load'!X4</f>
        <v>B1 Laundry</v>
      </c>
      <c r="X1" s="1289" t="str">
        <f>'Section Load'!Y4</f>
        <v>B2 Laundry</v>
      </c>
      <c r="Y1" s="1289" t="str">
        <f>'Section Load'!Z4</f>
        <v>STP</v>
      </c>
      <c r="Z1" s="1289" t="str">
        <f>'Section Load'!AA4</f>
        <v>MOCK Up Room</v>
      </c>
      <c r="AA1" s="1289" t="str">
        <f>'Section Load'!AB4</f>
        <v>27th Floor</v>
      </c>
      <c r="AB1" s="1289" t="str">
        <f>'Section Load'!AC4</f>
        <v>Physic57</v>
      </c>
      <c r="AC1" s="1289" t="str">
        <f>'Section Load'!AD4</f>
        <v>Pinoor Legal- Power+lighting</v>
      </c>
      <c r="AD1" s="1289" t="str">
        <f>'Section Load'!AE4</f>
        <v>2nd floor plant room</v>
      </c>
      <c r="AE1" s="1289" t="str">
        <f>'Section Load'!AF4</f>
        <v>5th Floor</v>
      </c>
      <c r="AF1" s="1289" t="str">
        <f>'Section Load'!AG4</f>
        <v>5th Floor</v>
      </c>
      <c r="AG1" s="1289" t="str">
        <f>'Section Load'!AH4</f>
        <v>12th Floor</v>
      </c>
      <c r="AH1" s="1289" t="str">
        <f>'Section Load'!AI4</f>
        <v>20th Floor</v>
      </c>
      <c r="AI1" s="1289" t="str">
        <f>'Section Load'!AJ4</f>
        <v>27th Floor</v>
      </c>
      <c r="AJ1" s="1289" t="str">
        <f>'Section Load'!AK4</f>
        <v>34th Floor</v>
      </c>
      <c r="AK1" s="1289" t="str">
        <f>'Section Load'!AL4</f>
        <v>Sanqi</v>
      </c>
      <c r="AL1" s="1289" t="str">
        <f>'Section Load'!AM4</f>
        <v>Cooling Tower</v>
      </c>
      <c r="AM1" s="1290" t="s">
        <v>313</v>
      </c>
      <c r="AN1" s="1367" t="s">
        <v>206</v>
      </c>
      <c r="AO1" s="1290" t="s">
        <v>208</v>
      </c>
      <c r="AP1" s="1290" t="s">
        <v>209</v>
      </c>
      <c r="AQ1" s="1290" t="s">
        <v>210</v>
      </c>
      <c r="AR1" s="1290" t="s">
        <v>211</v>
      </c>
      <c r="AS1" s="1290" t="s">
        <v>212</v>
      </c>
      <c r="AT1" s="1290" t="s">
        <v>213</v>
      </c>
      <c r="AU1" s="1290" t="s">
        <v>218</v>
      </c>
      <c r="AV1" s="1290" t="s">
        <v>76</v>
      </c>
      <c r="AW1" s="1290" t="s">
        <v>77</v>
      </c>
      <c r="AX1" s="1367" t="s">
        <v>219</v>
      </c>
      <c r="AY1" s="1367" t="s">
        <v>220</v>
      </c>
      <c r="AZ1" s="1367" t="s">
        <v>221</v>
      </c>
      <c r="BA1" s="1367" t="s">
        <v>223</v>
      </c>
      <c r="BB1" s="1367" t="s">
        <v>224</v>
      </c>
      <c r="BC1" s="1367" t="s">
        <v>337</v>
      </c>
      <c r="BD1" s="1367" t="s">
        <v>335</v>
      </c>
      <c r="BE1" s="1367" t="s">
        <v>314</v>
      </c>
      <c r="BF1" s="1367" t="s">
        <v>315</v>
      </c>
      <c r="BG1" s="1291" t="str">
        <f>'Section Load'!AN4</f>
        <v>MGL</v>
      </c>
      <c r="BH1" s="1291" t="str">
        <f>'Section Load'!AO4</f>
        <v>HWG</v>
      </c>
      <c r="BI1" s="1291" t="str">
        <f>'Section Load'!AP4</f>
        <v>Prato</v>
      </c>
      <c r="BJ1" s="1291" t="str">
        <f>'Section Load'!AQ4</f>
        <v>BR-1</v>
      </c>
      <c r="BK1" s="1291" t="str">
        <f>'Section Load'!AR4</f>
        <v>SanQi IND</v>
      </c>
      <c r="BL1" s="1291" t="str">
        <f>'Section Load'!AS4</f>
        <v>SanQi JPN</v>
      </c>
      <c r="BM1" s="1291" t="str">
        <f>'Section Load'!AT4</f>
        <v>Boiler</v>
      </c>
    </row>
    <row r="2" spans="1:65" ht="15" customHeight="1">
      <c r="A2" s="1276" t="s">
        <v>300</v>
      </c>
      <c r="B2" s="1277">
        <v>1</v>
      </c>
      <c r="C2" s="1277">
        <v>7</v>
      </c>
      <c r="D2" s="1277">
        <v>2021</v>
      </c>
      <c r="E2" s="1292">
        <f>(IF('Section Load'!F5&gt;0,'Section Load'!F5,0))</f>
        <v>2908.2299999999814</v>
      </c>
      <c r="F2" s="1292">
        <f>(IF('Section Load'!G5&gt;0,'Section Load'!G5,0))</f>
        <v>1476.320000000007</v>
      </c>
      <c r="G2" s="1292">
        <f>(IF('Section Load'!H5&gt;0,'Section Load'!H5,0))</f>
        <v>1714.9899999999907</v>
      </c>
      <c r="H2" s="1292">
        <f>(IF('Section Load'!I5&gt;0,'Section Load'!I5,0))</f>
        <v>3790.0200000000186</v>
      </c>
      <c r="I2" s="1292">
        <f>(IF('Section Load'!J5&gt;0,'Section Load'!J5,0))</f>
        <v>7659.8599999999569</v>
      </c>
      <c r="J2" s="1292">
        <f>(IF('Section Load'!K5&gt;0,'Section Load'!K5,0))</f>
        <v>2635</v>
      </c>
      <c r="K2" s="1292">
        <f>(IF('Section Load'!L5&gt;0,'Section Load'!L5,0))</f>
        <v>1429.3499999999767</v>
      </c>
      <c r="L2" s="1292">
        <f>(IF('Section Load'!M5&gt;0,'Section Load'!M5,0))</f>
        <v>947.75</v>
      </c>
      <c r="M2" s="1292">
        <f>(IF('Section Load'!N5&gt;0,'Section Load'!N5,0))</f>
        <v>9</v>
      </c>
      <c r="N2" s="1292">
        <f>(IF('Section Load'!O5&gt;0,'Section Load'!O5,0))</f>
        <v>2</v>
      </c>
      <c r="O2" s="1292">
        <f>(IF('Section Load'!P5&gt;0,'Section Load'!P5,0))</f>
        <v>1.6999999999970896</v>
      </c>
      <c r="P2" s="1292">
        <f>(IF('Section Load'!Q5&gt;0,'Section Load'!Q5,0))</f>
        <v>143.18000000000029</v>
      </c>
      <c r="Q2" s="1292">
        <f>(IF('Section Load'!R5&gt;0,'Section Load'!R5,0))</f>
        <v>69.3799999999992</v>
      </c>
      <c r="R2" s="1292">
        <f>(IF('Section Load'!S5&gt;0,'Section Load'!S5,0))</f>
        <v>53</v>
      </c>
      <c r="S2" s="1292">
        <f>(IF('Section Load'!T5&gt;0,'Section Load'!T5,0))</f>
        <v>114</v>
      </c>
      <c r="T2" s="1292">
        <f>(IF('Section Load'!U5&gt;0,'Section Load'!U5,0))</f>
        <v>153</v>
      </c>
      <c r="U2" s="1292">
        <f>(IF('Section Load'!V5&gt;0,'Section Load'!V5,0))</f>
        <v>409.92000000004191</v>
      </c>
      <c r="V2" s="1292">
        <f>(IF('Section Load'!W5&gt;0,'Section Load'!W5,0))</f>
        <v>131.64000000001397</v>
      </c>
      <c r="W2" s="1292">
        <f>(IF('Section Load'!X5&gt;0,'Section Load'!X5,0))</f>
        <v>24.899999999994179</v>
      </c>
      <c r="X2" s="1292">
        <f>(IF('Section Load'!Y5&gt;0,'Section Load'!Y5,0))</f>
        <v>214.19999999999709</v>
      </c>
      <c r="Y2" s="1292">
        <f>(IF('Section Load'!Z5&gt;0,'Section Load'!Z5,0))</f>
        <v>351</v>
      </c>
      <c r="Z2" s="1292">
        <f>(IF('Section Load'!AA5&gt;0,'Section Load'!AA5,0))</f>
        <v>22.880000000004657</v>
      </c>
      <c r="AA2" s="1292">
        <f>(IF('Section Load'!AB5&gt;0,'Section Load'!AB5,0))</f>
        <v>33.30000000000291</v>
      </c>
      <c r="AB2" s="1292">
        <f>(IF('Section Load'!AC5&gt;0,'Section Load'!AC5,0))</f>
        <v>137.05999999999767</v>
      </c>
      <c r="AC2" s="1292">
        <f>(IF('Section Load'!AD5&gt;0,'Section Load'!AD5,0))</f>
        <v>39.79999999999427</v>
      </c>
      <c r="AD2" s="1292">
        <f>(IF('Section Load'!AE5&gt;0,'Section Load'!AE5,0))</f>
        <v>0</v>
      </c>
      <c r="AE2" s="1292">
        <f>(IF('Section Load'!AF5&gt;0,'Section Load'!AF5,0))</f>
        <v>0</v>
      </c>
      <c r="AF2" s="1292">
        <f>(IF('Section Load'!AG5&gt;0,'Section Load'!AG5,0))</f>
        <v>372.89000000001397</v>
      </c>
      <c r="AG2" s="1292">
        <f>(IF('Section Load'!AH5&gt;0,'Section Load'!AH5,0))</f>
        <v>431.97000000000116</v>
      </c>
      <c r="AH2" s="1292">
        <f>(IF('Section Load'!AI5&gt;0,'Section Load'!AI5,0))</f>
        <v>433.91999999999825</v>
      </c>
      <c r="AI2" s="1292">
        <f>(IF('Section Load'!AJ5&gt;0,'Section Load'!AJ5,0))</f>
        <v>472.40999999997439</v>
      </c>
      <c r="AJ2" s="1292">
        <f>(IF('Section Load'!AK5&gt;0,'Section Load'!AK5,0))</f>
        <v>0</v>
      </c>
      <c r="AK2" s="1292">
        <f>(IF('Section Load'!AL5&gt;0,'Section Load'!AL5,0))</f>
        <v>236.61999999999534</v>
      </c>
      <c r="AL2" s="1292">
        <f>(IF('Section Load'!AM5&gt;0,'Section Load'!AM5,0))</f>
        <v>816</v>
      </c>
      <c r="AM2" s="1293">
        <f>(IF('Water Report'!$D$7&gt;0,'Water Report'!$D$7,0))</f>
        <v>89</v>
      </c>
      <c r="AN2" s="1293">
        <f>(IF('Water Report'!$D$8&gt;0,'Water Report'!$D$8,0))</f>
        <v>97</v>
      </c>
      <c r="AO2" s="1293">
        <f>(IF('Water Report'!$D$9&gt;0,'Water Report'!$D$9,0))</f>
        <v>86</v>
      </c>
      <c r="AP2" s="1293">
        <f>(IF('Water Report'!$D$10&gt;0,'Water Report'!$D$10,0))</f>
        <v>17</v>
      </c>
      <c r="AQ2" s="1293">
        <f>(IF('Water Report'!$D$11&gt;0,'Water Report'!$D$11,0))</f>
        <v>18</v>
      </c>
      <c r="AR2" s="1293">
        <f>(IF('Water Report'!$D$13&gt;0,'Water Report'!$D$13,0))</f>
        <v>50</v>
      </c>
      <c r="AS2" s="1293">
        <f>(IF('Water Report'!$D$14&gt;0,'Water Report'!$D$14,0))</f>
        <v>6</v>
      </c>
      <c r="AT2" s="1293">
        <f>(IF('Water Report'!$D$15&gt;0,'Water Report'!$D$15,0))</f>
        <v>6</v>
      </c>
      <c r="AU2" s="1293">
        <f>(IF('Water Report'!$D$17&gt;0,'Water Report'!$D$17,0))</f>
        <v>0</v>
      </c>
      <c r="AV2" s="1293">
        <f>(IF('Water Report'!$D$18&gt;0,'Water Report'!$D$18,0))</f>
        <v>12</v>
      </c>
      <c r="AW2" s="1293">
        <f>(IF('Water Report'!$D$19&gt;0,'Water Report'!$D$19,0))</f>
        <v>5</v>
      </c>
      <c r="AX2" s="1368">
        <f>(IF('Water Report'!$D$21&gt;0,'Water Report'!$D$21,0))</f>
        <v>98</v>
      </c>
      <c r="AY2" s="1368">
        <f>(IF('Water Report'!$D$22&gt;0,'Water Report'!$D$22,0))</f>
        <v>40</v>
      </c>
      <c r="AZ2" s="1368">
        <f>(IF('Water Report'!$D$23&gt;0,'Water Report'!$D$23,0))</f>
        <v>0</v>
      </c>
      <c r="BA2" s="1368">
        <f>(IF('Water Report'!$D$14&gt;0,'Water Report'!$D$14,0))</f>
        <v>6</v>
      </c>
      <c r="BB2" s="1368">
        <f>(IF('Water Report'!$D$15&gt;0,'Water Report'!$D$15,0))</f>
        <v>6</v>
      </c>
      <c r="BC2" s="1368">
        <f>(IF('Water Report'!$D$13&gt;0,'Water Report'!$D$13,0))</f>
        <v>50</v>
      </c>
      <c r="BD2" s="1368">
        <f>(IF('Water Report'!$D$24&gt;0,'Water Report'!$D$24,0))</f>
        <v>154</v>
      </c>
      <c r="BE2" s="1368">
        <f>(IF('Water Report'!$D$25&gt;0,'Water Report'!$D$25,0))</f>
        <v>133</v>
      </c>
      <c r="BF2" s="1368">
        <f>(IF('Water Report'!$D$27&gt;0,'Water Report'!$D$27,0))</f>
        <v>148</v>
      </c>
      <c r="BG2" s="1294">
        <f>(IF('Section Load'!AN5&gt;0,'Section Load'!AN5,0))</f>
        <v>918.37800000002608</v>
      </c>
      <c r="BH2" s="1294">
        <f>(IF('Section Load'!AO5&gt;0,'Section Load'!AO5,0))</f>
        <v>269.55000000004657</v>
      </c>
      <c r="BI2" s="1294">
        <f>(IF('Section Load'!AP5&gt;0,'Section Load'!AP5,0))</f>
        <v>0</v>
      </c>
      <c r="BJ2" s="1294">
        <f>(IF('Section Load'!AQ5&gt;0,'Section Load'!AQ5,0))</f>
        <v>95.690000000002328</v>
      </c>
      <c r="BK2" s="1294">
        <f>(IF('Section Load'!AR5&gt;0,'Section Load'!AR5,0))</f>
        <v>33.200000000000728</v>
      </c>
      <c r="BL2" s="1294">
        <f>(IF('Section Load'!AS5&gt;0,'Section Load'!AS5,0))</f>
        <v>4.2999999999992724</v>
      </c>
      <c r="BM2" s="1294">
        <f>(IF('Section Load'!AT5&gt;0,'Section Load'!AT5,0))</f>
        <v>515.63799999997718</v>
      </c>
    </row>
    <row r="3" spans="1:65">
      <c r="A3" s="1276" t="s">
        <v>300</v>
      </c>
      <c r="B3" s="1277">
        <f>B2+1</f>
        <v>2</v>
      </c>
      <c r="C3" s="1277">
        <v>7</v>
      </c>
      <c r="D3" s="1277">
        <v>2021</v>
      </c>
      <c r="E3" s="1292">
        <f>(IF('Section Load'!F6&gt;0,'Section Load'!F6,0))</f>
        <v>2899.4000000000233</v>
      </c>
      <c r="F3" s="1292">
        <f>(IF('Section Load'!G6&gt;0,'Section Load'!G6,0))</f>
        <v>1439.8799999999756</v>
      </c>
      <c r="G3" s="1292">
        <f>(IF('Section Load'!H6&gt;0,'Section Load'!H6,0))</f>
        <v>1509.8399999999965</v>
      </c>
      <c r="H3" s="1292">
        <f>(IF('Section Load'!I6&gt;0,'Section Load'!I6,0))</f>
        <v>3743.4799999999814</v>
      </c>
      <c r="I3" s="1292">
        <f>(IF('Section Load'!J6&gt;0,'Section Load'!J6,0))</f>
        <v>6559.910000000069</v>
      </c>
      <c r="J3" s="1292">
        <f>(IF('Section Load'!K6&gt;0,'Section Load'!K6,0))</f>
        <v>2514.3999999999069</v>
      </c>
      <c r="K3" s="1292">
        <f>(IF('Section Load'!L6&gt;0,'Section Load'!L6,0))</f>
        <v>1047.9200000000419</v>
      </c>
      <c r="L3" s="1292">
        <f>(IF('Section Load'!M6&gt;0,'Section Load'!M6,0))</f>
        <v>884.90000000000146</v>
      </c>
      <c r="M3" s="1292">
        <f>(IF('Section Load'!N6&gt;0,'Section Load'!N6,0))</f>
        <v>13</v>
      </c>
      <c r="N3" s="1292">
        <f>(IF('Section Load'!O6&gt;0,'Section Load'!O6,0))</f>
        <v>1</v>
      </c>
      <c r="O3" s="1292">
        <f>(IF('Section Load'!P6&gt;0,'Section Load'!P6,0))</f>
        <v>1</v>
      </c>
      <c r="P3" s="1292">
        <f>(IF('Section Load'!Q6&gt;0,'Section Load'!Q6,0))</f>
        <v>152.95999999999913</v>
      </c>
      <c r="Q3" s="1292">
        <f>(IF('Section Load'!R6&gt;0,'Section Load'!R6,0))</f>
        <v>62.480000000001382</v>
      </c>
      <c r="R3" s="1292">
        <f>(IF('Section Load'!S6&gt;0,'Section Load'!S6,0))</f>
        <v>58</v>
      </c>
      <c r="S3" s="1292">
        <f>(IF('Section Load'!T6&gt;0,'Section Load'!T6,0))</f>
        <v>132</v>
      </c>
      <c r="T3" s="1292">
        <f>(IF('Section Load'!U6&gt;0,'Section Load'!U6,0))</f>
        <v>265</v>
      </c>
      <c r="U3" s="1292">
        <f>(IF('Section Load'!V6&gt;0,'Section Load'!V6,0))</f>
        <v>417.03999999992084</v>
      </c>
      <c r="V3" s="1292">
        <f>(IF('Section Load'!W6&gt;0,'Section Load'!W6,0))</f>
        <v>172.28000000002794</v>
      </c>
      <c r="W3" s="1292">
        <f>(IF('Section Load'!X6&gt;0,'Section Load'!X6,0))</f>
        <v>12.380000000004657</v>
      </c>
      <c r="X3" s="1292">
        <f>(IF('Section Load'!Y6&gt;0,'Section Load'!Y6,0))</f>
        <v>0.71000000000640284</v>
      </c>
      <c r="Y3" s="1292">
        <f>(IF('Section Load'!Z6&gt;0,'Section Load'!Z6,0))</f>
        <v>277</v>
      </c>
      <c r="Z3" s="1292">
        <f>(IF('Section Load'!AA6&gt;0,'Section Load'!AA6,0))</f>
        <v>16.71999999997206</v>
      </c>
      <c r="AA3" s="1292">
        <f>(IF('Section Load'!AB6&gt;0,'Section Load'!AB6,0))</f>
        <v>36.5</v>
      </c>
      <c r="AB3" s="1292">
        <f>(IF('Section Load'!AC6&gt;0,'Section Load'!AC6,0))</f>
        <v>163.67000000001281</v>
      </c>
      <c r="AC3" s="1292">
        <f>(IF('Section Load'!AD6&gt;0,'Section Load'!AD6,0))</f>
        <v>35.700000000008458</v>
      </c>
      <c r="AD3" s="1292">
        <f>(IF('Section Load'!AE6&gt;0,'Section Load'!AE6,0))</f>
        <v>0</v>
      </c>
      <c r="AE3" s="1292">
        <f>(IF('Section Load'!AF6&gt;0,'Section Load'!AF6,0))</f>
        <v>0</v>
      </c>
      <c r="AF3" s="1292">
        <f>(IF('Section Load'!AG6&gt;0,'Section Load'!AG6,0))</f>
        <v>375.4199999999837</v>
      </c>
      <c r="AG3" s="1292">
        <f>(IF('Section Load'!AH6&gt;0,'Section Load'!AH6,0))</f>
        <v>424.23999999999069</v>
      </c>
      <c r="AH3" s="1292">
        <f>(IF('Section Load'!AI6&gt;0,'Section Load'!AI6,0))</f>
        <v>424.19000000000233</v>
      </c>
      <c r="AI3" s="1292">
        <f>(IF('Section Load'!AJ6&gt;0,'Section Load'!AJ6,0))</f>
        <v>500.62000000005355</v>
      </c>
      <c r="AJ3" s="1292">
        <f>(IF('Section Load'!AK6&gt;0,'Section Load'!AK6,0))</f>
        <v>0</v>
      </c>
      <c r="AK3" s="1292">
        <f>(IF('Section Load'!AL6&gt;0,'Section Load'!AL6,0))</f>
        <v>241.7100000000064</v>
      </c>
      <c r="AL3" s="1292">
        <f>(IF('Section Load'!AM6&gt;0,'Section Load'!AM6,0))</f>
        <v>846</v>
      </c>
      <c r="AM3" s="1293">
        <f>(IF('Water Report'!$E$7&gt;0,'Water Report'!$E$7,0))</f>
        <v>88</v>
      </c>
      <c r="AN3" s="1293">
        <f>(IF('Water Report'!$E$8&gt;0,'Water Report'!$E$8,0))</f>
        <v>122</v>
      </c>
      <c r="AO3" s="1293">
        <f>(IF('Water Report'!$E$9&gt;0,'Water Report'!$E$9,0))</f>
        <v>100</v>
      </c>
      <c r="AP3" s="1293">
        <f>(IF('Water Report'!$E$10&gt;0,'Water Report'!$E$10,0))</f>
        <v>15</v>
      </c>
      <c r="AQ3" s="1293">
        <f>(IF('Water Report'!$E$11&gt;0,'Water Report'!$E$11,0))</f>
        <v>19</v>
      </c>
      <c r="AR3" s="1293">
        <f>(IF('Water Report'!$E$13&gt;0,'Water Report'!$E$13,0))</f>
        <v>40</v>
      </c>
      <c r="AS3" s="1293">
        <f>(IF('Water Report'!$E$14&gt;0,'Water Report'!$E$14,0))</f>
        <v>8</v>
      </c>
      <c r="AT3" s="1293">
        <f>(IF('Water Report'!$E$15&gt;0,'Water Report'!$E$15,0))</f>
        <v>5</v>
      </c>
      <c r="AU3" s="1293">
        <f>(IF('Water Report'!$E$17&gt;0,'Water Report'!$E$17,0))</f>
        <v>60</v>
      </c>
      <c r="AV3" s="1293">
        <f>(IF('Water Report'!$E$18&gt;0,'Water Report'!$E$18,0))</f>
        <v>0</v>
      </c>
      <c r="AW3" s="1293">
        <f>(IF('Water Report'!$E$19&gt;0,'Water Report'!$E$19,0))</f>
        <v>0</v>
      </c>
      <c r="AX3" s="1368">
        <f>(IF('Water Report'!$E$21&gt;0,'Water Report'!$E$21,0))</f>
        <v>64</v>
      </c>
      <c r="AY3" s="1368">
        <f>(IF('Water Report'!$E$22&gt;0,'Water Report'!$E$22,0))</f>
        <v>83</v>
      </c>
      <c r="AZ3" s="1368">
        <f>(IF('Water Report'!$E$23&gt;0,'Water Report'!$E$23,0))</f>
        <v>0</v>
      </c>
      <c r="BA3" s="1368">
        <f>(IF('Water Report'!$E$14&gt;0,'Water Report'!$E$14,0))</f>
        <v>8</v>
      </c>
      <c r="BB3" s="1368">
        <f>(IF('Water Report'!$E$15&gt;0,'Water Report'!$E$15,0))</f>
        <v>5</v>
      </c>
      <c r="BC3" s="1368">
        <f>(IF('Water Report'!$E$13&gt;0,'Water Report'!$E$13,0))</f>
        <v>40</v>
      </c>
      <c r="BD3" s="1368">
        <f>(IF('Water Report'!$E$24&gt;0,'Water Report'!$E$24,0))</f>
        <v>162</v>
      </c>
      <c r="BE3" s="1368">
        <f>(IF('Water Report'!$E$25&gt;0,'Water Report'!$E$25,0))</f>
        <v>147</v>
      </c>
      <c r="BF3" s="1368">
        <f>(IF('Water Report'!$E$27&gt;0,'Water Report'!$E$27,0))</f>
        <v>104</v>
      </c>
      <c r="BG3" s="1294">
        <f>(IF('Section Load'!AN6&gt;0,'Section Load'!AN6,0))</f>
        <v>510.87400000006892</v>
      </c>
      <c r="BH3" s="1294">
        <f>(IF('Section Load'!AO6&gt;0,'Section Load'!AO6,0))</f>
        <v>259.19999999995343</v>
      </c>
      <c r="BI3" s="1294">
        <f>(IF('Section Load'!AP6&gt;0,'Section Load'!AP6,0))</f>
        <v>0</v>
      </c>
      <c r="BJ3" s="1294">
        <f>(IF('Section Load'!AQ6&gt;0,'Section Load'!AQ6,0))</f>
        <v>98.730000000010477</v>
      </c>
      <c r="BK3" s="1294">
        <f>(IF('Section Load'!AR6&gt;0,'Section Load'!AR6,0))</f>
        <v>36.299999999999272</v>
      </c>
      <c r="BL3" s="1294">
        <f>(IF('Section Load'!AS6&gt;0,'Section Load'!AS6,0))</f>
        <v>2.6000000000003638</v>
      </c>
      <c r="BM3" s="1294">
        <f>(IF('Section Load'!AT6&gt;0,'Section Load'!AT6,0))</f>
        <v>114.04400000010537</v>
      </c>
    </row>
    <row r="4" spans="1:65">
      <c r="A4" s="1276" t="s">
        <v>300</v>
      </c>
      <c r="B4" s="1277">
        <f t="shared" ref="B4:B32" si="0">B3+1</f>
        <v>3</v>
      </c>
      <c r="C4" s="1277">
        <v>7</v>
      </c>
      <c r="D4" s="1277">
        <v>2021</v>
      </c>
      <c r="E4" s="1292">
        <f>(IF('Section Load'!F7&gt;0,'Section Load'!F7,0))</f>
        <v>3065.4000000000233</v>
      </c>
      <c r="F4" s="1292">
        <f>(IF('Section Load'!G7&gt;0,'Section Load'!G7,0))</f>
        <v>1600.140000000014</v>
      </c>
      <c r="G4" s="1292">
        <f>(IF('Section Load'!H7&gt;0,'Section Load'!H7,0))</f>
        <v>1669.2400000000198</v>
      </c>
      <c r="H4" s="1292">
        <f>(IF('Section Load'!I7&gt;0,'Section Load'!I7,0))</f>
        <v>3847.8400000000256</v>
      </c>
      <c r="I4" s="1292">
        <f>(IF('Section Load'!J7&gt;0,'Section Load'!J7,0))</f>
        <v>6902.2899999998917</v>
      </c>
      <c r="J4" s="1292">
        <f>(IF('Section Load'!K7&gt;0,'Section Load'!K7,0))</f>
        <v>2589.8000000000466</v>
      </c>
      <c r="K4" s="1292">
        <f>(IF('Section Load'!L7&gt;0,'Section Load'!L7,0))</f>
        <v>1085.7999999999302</v>
      </c>
      <c r="L4" s="1292">
        <f>(IF('Section Load'!M7&gt;0,'Section Load'!M7,0))</f>
        <v>680.21999999999753</v>
      </c>
      <c r="M4" s="1292">
        <f>(IF('Section Load'!N7&gt;0,'Section Load'!N7,0))</f>
        <v>13</v>
      </c>
      <c r="N4" s="1292">
        <f>(IF('Section Load'!O7&gt;0,'Section Load'!O7,0))</f>
        <v>2</v>
      </c>
      <c r="O4" s="1292">
        <f>(IF('Section Load'!P7&gt;0,'Section Load'!P7,0))</f>
        <v>1.1000000000058208</v>
      </c>
      <c r="P4" s="1292">
        <f>(IF('Section Load'!Q7&gt;0,'Section Load'!Q7,0))</f>
        <v>172.11000000000058</v>
      </c>
      <c r="Q4" s="1292">
        <f>(IF('Section Load'!R7&gt;0,'Section Load'!R7,0))</f>
        <v>68.260000000000218</v>
      </c>
      <c r="R4" s="1292">
        <f>(IF('Section Load'!S7&gt;0,'Section Load'!S7,0))</f>
        <v>55</v>
      </c>
      <c r="S4" s="1292">
        <f>(IF('Section Load'!T7&gt;0,'Section Load'!T7,0))</f>
        <v>140</v>
      </c>
      <c r="T4" s="1292">
        <f>(IF('Section Load'!U7&gt;0,'Section Load'!U7,0))</f>
        <v>37</v>
      </c>
      <c r="U4" s="1292">
        <f>(IF('Section Load'!V7&gt;0,'Section Load'!V7,0))</f>
        <v>423.35999999998603</v>
      </c>
      <c r="V4" s="1292">
        <f>(IF('Section Load'!W7&gt;0,'Section Load'!W7,0))</f>
        <v>163.11999999999534</v>
      </c>
      <c r="W4" s="1292">
        <f>(IF('Section Load'!X7&gt;0,'Section Load'!X7,0))</f>
        <v>28.130000000004657</v>
      </c>
      <c r="X4" s="1292">
        <f>(IF('Section Load'!Y7&gt;0,'Section Load'!Y7,0))</f>
        <v>218.60999999999331</v>
      </c>
      <c r="Y4" s="1292">
        <f>(IF('Section Load'!Z7&gt;0,'Section Load'!Z7,0))</f>
        <v>127</v>
      </c>
      <c r="Z4" s="1292">
        <f>(IF('Section Load'!AA7&gt;0,'Section Load'!AA7,0))</f>
        <v>16.440000000002328</v>
      </c>
      <c r="AA4" s="1292">
        <f>(IF('Section Load'!AB7&gt;0,'Section Load'!AB7,0))</f>
        <v>33.30000000000291</v>
      </c>
      <c r="AB4" s="1292">
        <f>(IF('Section Load'!AC7&gt;0,'Section Load'!AC7,0))</f>
        <v>120.92999999999302</v>
      </c>
      <c r="AC4" s="1292">
        <f>(IF('Section Load'!AD7&gt;0,'Section Load'!AD7,0))</f>
        <v>27.499999999997272</v>
      </c>
      <c r="AD4" s="1292">
        <f>(IF('Section Load'!AE7&gt;0,'Section Load'!AE7,0))</f>
        <v>0</v>
      </c>
      <c r="AE4" s="1292">
        <f>(IF('Section Load'!AF7&gt;0,'Section Load'!AF7,0))</f>
        <v>0</v>
      </c>
      <c r="AF4" s="1292">
        <f>(IF('Section Load'!AG7&gt;0,'Section Load'!AG7,0))</f>
        <v>378.98000000001048</v>
      </c>
      <c r="AG4" s="1292">
        <f>(IF('Section Load'!AH7&gt;0,'Section Load'!AH7,0))</f>
        <v>431.92000000001281</v>
      </c>
      <c r="AH4" s="1292">
        <f>(IF('Section Load'!AI7&gt;0,'Section Load'!AI7,0))</f>
        <v>421.44000000000233</v>
      </c>
      <c r="AI4" s="1292">
        <f>(IF('Section Load'!AJ7&gt;0,'Section Load'!AJ7,0))</f>
        <v>529.57999999995809</v>
      </c>
      <c r="AJ4" s="1292">
        <f>(IF('Section Load'!AK7&gt;0,'Section Load'!AK7,0))</f>
        <v>0</v>
      </c>
      <c r="AK4" s="1292">
        <f>(IF('Section Load'!AL7&gt;0,'Section Load'!AL7,0))</f>
        <v>275.31999999999243</v>
      </c>
      <c r="AL4" s="1292">
        <f>(IF('Section Load'!AM7&gt;0,'Section Load'!AM7,0))</f>
        <v>817</v>
      </c>
      <c r="AM4" s="1293">
        <f>(IF('Water Report'!$F$7&gt;0,'Water Report'!$F$7,0))</f>
        <v>123</v>
      </c>
      <c r="AN4" s="1293">
        <f>(IF('Water Report'!$F$8&gt;0,'Water Report'!$F$8,0))</f>
        <v>85</v>
      </c>
      <c r="AO4" s="1293">
        <f>(IF('Water Report'!$F$9&gt;0,'Water Report'!$G$9,0))</f>
        <v>147</v>
      </c>
      <c r="AP4" s="1293">
        <f>(IF('Water Report'!$F$10&gt;0,'Water Report'!$F$10,0))</f>
        <v>30</v>
      </c>
      <c r="AQ4" s="1293">
        <f>(IF('Water Report'!$F$11&gt;0,'Water Report'!$F$11,0))</f>
        <v>31</v>
      </c>
      <c r="AR4" s="1293">
        <f>(IF('Water Report'!$F$13&gt;0,'Water Report'!$F$13,0))</f>
        <v>32</v>
      </c>
      <c r="AS4" s="1293">
        <f>(IF('Water Report'!$F$14&gt;0,'Water Report'!$F$14,0))</f>
        <v>17</v>
      </c>
      <c r="AT4" s="1293">
        <f>(IF('Water Report'!$F$15&gt;0,'Water Report'!$F$15,0))</f>
        <v>7</v>
      </c>
      <c r="AU4" s="1293">
        <f>(IF('Water Report'!$F$17&gt;0,'Water Report'!$F$17,0))</f>
        <v>0</v>
      </c>
      <c r="AV4" s="1293">
        <f>(IF('Water Report'!$F$18&gt;0,'Water Report'!$F$18,0))</f>
        <v>12</v>
      </c>
      <c r="AW4" s="1293">
        <f>(IF('Water Report'!$F$19&gt;0,'Water Report'!$F$19,0))</f>
        <v>6</v>
      </c>
      <c r="AX4" s="1368">
        <f>(IF('Water Report'!$F$21&gt;0,'Water Report'!$F$21,0))</f>
        <v>43</v>
      </c>
      <c r="AY4" s="1368">
        <f>(IF('Water Report'!$F$22&gt;0,'Water Report'!$F$22,0))</f>
        <v>0</v>
      </c>
      <c r="AZ4" s="1368">
        <f>(IF('Water Report'!$F$23&gt;0,'Water Report'!$F$23,0))</f>
        <v>0.3000000000001819</v>
      </c>
      <c r="BA4" s="1368">
        <f>(IF('Water Report'!$F$14&gt;0,'Water Report'!$F$14,0))</f>
        <v>17</v>
      </c>
      <c r="BB4" s="1368">
        <f>(IF('Water Report'!$F$15&gt;0,'Water Report'!$F$15,0))</f>
        <v>7</v>
      </c>
      <c r="BC4" s="1368">
        <f>(IF('Water Report'!$F$13&gt;0,'Water Report'!$F$13,0))</f>
        <v>32</v>
      </c>
      <c r="BD4" s="1368">
        <f>(IF('Water Report'!$F$24&gt;0,'Water Report'!$F$24,0))</f>
        <v>210</v>
      </c>
      <c r="BE4" s="1368">
        <f>(IF('Water Report'!$F$25&gt;0,'Water Report'!$F$25,0))</f>
        <v>187</v>
      </c>
      <c r="BF4" s="1368">
        <f>(IF('Water Report'!$F$27&gt;0,'Water Report'!$F$27,0))</f>
        <v>75.300000000000182</v>
      </c>
      <c r="BG4" s="1294">
        <f>(IF('Section Load'!AN7&gt;0,'Section Load'!AN7,0))</f>
        <v>940.26799999992363</v>
      </c>
      <c r="BH4" s="1294">
        <f>(IF('Section Load'!AO7&gt;0,'Section Load'!AO7,0))</f>
        <v>301.71999999997206</v>
      </c>
      <c r="BI4" s="1294">
        <f>(IF('Section Load'!AP7&gt;0,'Section Load'!AP7,0))</f>
        <v>0</v>
      </c>
      <c r="BJ4" s="1294">
        <f>(IF('Section Load'!AQ7&gt;0,'Section Load'!AQ7,0))</f>
        <v>76.539999999979045</v>
      </c>
      <c r="BK4" s="1294">
        <f>(IF('Section Load'!AR7&gt;0,'Section Load'!AR7,0))</f>
        <v>41.700000000000728</v>
      </c>
      <c r="BL4" s="1294">
        <f>(IF('Section Load'!AS7&gt;0,'Section Load'!AS7,0))</f>
        <v>5.5</v>
      </c>
      <c r="BM4" s="1294">
        <f>(IF('Section Load'!AT7&gt;0,'Section Load'!AT7,0))</f>
        <v>514.8079999999718</v>
      </c>
    </row>
    <row r="5" spans="1:65">
      <c r="A5" s="1276" t="s">
        <v>300</v>
      </c>
      <c r="B5" s="1277">
        <f t="shared" si="0"/>
        <v>4</v>
      </c>
      <c r="C5" s="1277">
        <v>7</v>
      </c>
      <c r="D5" s="1277">
        <v>2021</v>
      </c>
      <c r="E5" s="1292">
        <f>(IF('Section Load'!F8&gt;0,'Section Load'!F8,0))</f>
        <v>2968.9000000000233</v>
      </c>
      <c r="F5" s="1292">
        <f>(IF('Section Load'!G8&gt;0,'Section Load'!G8,0))</f>
        <v>1478.6399999999849</v>
      </c>
      <c r="G5" s="1292">
        <f>(IF('Section Load'!H8&gt;0,'Section Load'!H8,0))</f>
        <v>1792.8899999999558</v>
      </c>
      <c r="H5" s="1292">
        <f>(IF('Section Load'!I8&gt;0,'Section Load'!I8,0))</f>
        <v>3681.5999999999767</v>
      </c>
      <c r="I5" s="1292">
        <f>(IF('Section Load'!J8&gt;0,'Section Load'!J8,0))</f>
        <v>6765.8400000000911</v>
      </c>
      <c r="J5" s="1292">
        <f>(IF('Section Load'!K8&gt;0,'Section Load'!K8,0))</f>
        <v>2614</v>
      </c>
      <c r="K5" s="1292">
        <f>(IF('Section Load'!L8&gt;0,'Section Load'!L8,0))</f>
        <v>1085.9300000000512</v>
      </c>
      <c r="L5" s="1292">
        <f>(IF('Section Load'!M8&gt;0,'Section Load'!M8,0))</f>
        <v>713.35000000000218</v>
      </c>
      <c r="M5" s="1292">
        <f>(IF('Section Load'!N8&gt;0,'Section Load'!N8,0))</f>
        <v>14</v>
      </c>
      <c r="N5" s="1292">
        <f>(IF('Section Load'!O8&gt;0,'Section Load'!O8,0))</f>
        <v>1</v>
      </c>
      <c r="O5" s="1292">
        <f>(IF('Section Load'!P8&gt;0,'Section Load'!P8,0))</f>
        <v>1.0999999999912689</v>
      </c>
      <c r="P5" s="1292">
        <f>(IF('Section Load'!Q8&gt;0,'Section Load'!Q8,0))</f>
        <v>140.72999999999956</v>
      </c>
      <c r="Q5" s="1292">
        <f>(IF('Section Load'!R8&gt;0,'Section Load'!R8,0))</f>
        <v>61.8799999999992</v>
      </c>
      <c r="R5" s="1292">
        <f>(IF('Section Load'!S8&gt;0,'Section Load'!S8,0))</f>
        <v>52</v>
      </c>
      <c r="S5" s="1292">
        <f>(IF('Section Load'!T8&gt;0,'Section Load'!T8,0))</f>
        <v>138</v>
      </c>
      <c r="T5" s="1292">
        <f>(IF('Section Load'!U8&gt;0,'Section Load'!U8,0))</f>
        <v>150</v>
      </c>
      <c r="U5" s="1292">
        <f>(IF('Section Load'!V8&gt;0,'Section Load'!V8,0))</f>
        <v>419.32000000006519</v>
      </c>
      <c r="V5" s="1292">
        <f>(IF('Section Load'!W8&gt;0,'Section Load'!W8,0))</f>
        <v>202.47999999998137</v>
      </c>
      <c r="W5" s="1292">
        <f>(IF('Section Load'!X8&gt;0,'Section Load'!X8,0))</f>
        <v>14.589999999996508</v>
      </c>
      <c r="X5" s="1292">
        <f>(IF('Section Load'!Y8&gt;0,'Section Load'!Y8,0))</f>
        <v>186.86000000000058</v>
      </c>
      <c r="Y5" s="1292">
        <f>(IF('Section Load'!Z8&gt;0,'Section Load'!Z8,0))</f>
        <v>313</v>
      </c>
      <c r="Z5" s="1292">
        <f>(IF('Section Load'!AA8&gt;0,'Section Load'!AA8,0))</f>
        <v>43.360000000044238</v>
      </c>
      <c r="AA5" s="1292">
        <f>(IF('Section Load'!AB8&gt;0,'Section Load'!AB8,0))</f>
        <v>14.80000000000291</v>
      </c>
      <c r="AB5" s="1292">
        <f>(IF('Section Load'!AC8&gt;0,'Section Load'!AC8,0))</f>
        <v>32.910000000003492</v>
      </c>
      <c r="AC5" s="1292">
        <f>(IF('Section Load'!AD8&gt;0,'Section Load'!AD8,0))</f>
        <v>16.899999999994179</v>
      </c>
      <c r="AD5" s="1292">
        <f>(IF('Section Load'!AE8&gt;0,'Section Load'!AE8,0))</f>
        <v>0</v>
      </c>
      <c r="AE5" s="1292">
        <f>(IF('Section Load'!AF8&gt;0,'Section Load'!AF8,0))</f>
        <v>0</v>
      </c>
      <c r="AF5" s="1292">
        <f>(IF('Section Load'!AG8&gt;0,'Section Load'!AG8,0))</f>
        <v>367.17999999999302</v>
      </c>
      <c r="AG5" s="1292">
        <f>(IF('Section Load'!AH8&gt;0,'Section Load'!AH8,0))</f>
        <v>422.88000000000466</v>
      </c>
      <c r="AH5" s="1292">
        <f>(IF('Section Load'!AI8&gt;0,'Section Load'!AI8,0))</f>
        <v>412.73999999999069</v>
      </c>
      <c r="AI5" s="1292">
        <f>(IF('Section Load'!AJ8&gt;0,'Section Load'!AJ8,0))</f>
        <v>442.14000000001397</v>
      </c>
      <c r="AJ5" s="1292">
        <f>(IF('Section Load'!AK8&gt;0,'Section Load'!AK8,0))</f>
        <v>0</v>
      </c>
      <c r="AK5" s="1292">
        <f>(IF('Section Load'!AL8&gt;0,'Section Load'!AL8,0))</f>
        <v>272.54000000000815</v>
      </c>
      <c r="AL5" s="1292">
        <f>(IF('Section Load'!AM8&gt;0,'Section Load'!AM8,0))</f>
        <v>844</v>
      </c>
      <c r="AM5" s="1293">
        <f>(IF('Water Report'!$G$7&gt;0,'Water Report'!$F$7,0))</f>
        <v>123</v>
      </c>
      <c r="AN5" s="1293">
        <f>(IF('Water Report'!$G$8&gt;0,'Water Report'!$F$8,0))</f>
        <v>85</v>
      </c>
      <c r="AO5" s="1293">
        <f>(IF('Water Report'!$G$9&gt;0,'Water Report'!$H$9,0))</f>
        <v>120</v>
      </c>
      <c r="AP5" s="1293">
        <f>(IF('Water Report'!$G$10&gt;0,'Water Report'!$G$10,0))</f>
        <v>39</v>
      </c>
      <c r="AQ5" s="1293">
        <f>(IF('Water Report'!$G$11&gt;0,'Water Report'!$G$11,0))</f>
        <v>32</v>
      </c>
      <c r="AR5" s="1293">
        <f>(IF('Water Report'!$G$13&gt;0,'Water Report'!$G$13,0))</f>
        <v>38</v>
      </c>
      <c r="AS5" s="1293">
        <f>(IF('Water Report'!$G$14&gt;0,'Water Report'!$G$14,0))</f>
        <v>28</v>
      </c>
      <c r="AT5" s="1293">
        <f>(IF('Water Report'!$G$15&gt;0,'Water Report'!$G$15,0))</f>
        <v>10</v>
      </c>
      <c r="AU5" s="1293">
        <f>(IF('Water Report'!$G$17&gt;0,'Water Report'!$G$17,0))</f>
        <v>0</v>
      </c>
      <c r="AV5" s="1293">
        <f>(IF('Water Report'!$G$18&gt;0,'Water Report'!$G$18,0))</f>
        <v>11</v>
      </c>
      <c r="AW5" s="1293">
        <f>(IF('Water Report'!$G$19&gt;0,'Water Report'!$G$19,0))</f>
        <v>5</v>
      </c>
      <c r="AX5" s="1368">
        <f>(IF('Water Report'!$G$21&gt;0,'Water Report'!$G$21,0))</f>
        <v>52</v>
      </c>
      <c r="AY5" s="1368">
        <f>(IF('Water Report'!$G$22&gt;0,'Water Report'!$G$22,0))</f>
        <v>50</v>
      </c>
      <c r="AZ5" s="1368">
        <f>(IF('Water Report'!$G$23&gt;0,'Water Report'!$G$23,0))</f>
        <v>0</v>
      </c>
      <c r="BA5" s="1368">
        <f>(IF('Water Report'!$G$14&gt;0,'Water Report'!$G$14,0))</f>
        <v>28</v>
      </c>
      <c r="BB5" s="1368">
        <f>(IF('Water Report'!$G$15&gt;0,'Water Report'!$G$15,0))</f>
        <v>10</v>
      </c>
      <c r="BC5" s="1368">
        <f>(IF('Water Report'!$G$13&gt;0,'Water Report'!$G$13,0))</f>
        <v>38</v>
      </c>
      <c r="BD5" s="1368">
        <f>(IF('Water Report'!$G$24&gt;0,'Water Report'!$G$24,0))</f>
        <v>271</v>
      </c>
      <c r="BE5" s="1368">
        <f>(IF('Water Report'!$G$25&gt;0,'Water Report'!$G$25,0))</f>
        <v>256</v>
      </c>
      <c r="BF5" s="1368">
        <f>(IF('Water Report'!$G$27&gt;0,'Water Report'!$G$27,0))</f>
        <v>90</v>
      </c>
      <c r="BG5" s="1294">
        <f>(IF('Section Load'!AN8&gt;0,'Section Load'!AN8,0))</f>
        <v>786.87999999988824</v>
      </c>
      <c r="BH5" s="1294">
        <f>(IF('Section Load'!AO8&gt;0,'Section Load'!AO8,0))</f>
        <v>327.72999999998137</v>
      </c>
      <c r="BI5" s="1294">
        <f>(IF('Section Load'!AP8&gt;0,'Section Load'!AP8,0))</f>
        <v>0</v>
      </c>
      <c r="BJ5" s="1294">
        <f>(IF('Section Load'!AQ8&gt;0,'Section Load'!AQ8,0))</f>
        <v>79.529999999998836</v>
      </c>
      <c r="BK5" s="1294">
        <f>(IF('Section Load'!AR8&gt;0,'Section Load'!AR8,0))</f>
        <v>37.399999999997817</v>
      </c>
      <c r="BL5" s="1294">
        <f>(IF('Section Load'!AS8&gt;0,'Section Load'!AS8,0))</f>
        <v>1.5</v>
      </c>
      <c r="BM5" s="1294">
        <f>(IF('Section Load'!AT8&gt;0,'Section Load'!AT8,0))</f>
        <v>340.71999999991021</v>
      </c>
    </row>
    <row r="6" spans="1:65">
      <c r="A6" s="1276" t="s">
        <v>300</v>
      </c>
      <c r="B6" s="1277">
        <f t="shared" si="0"/>
        <v>5</v>
      </c>
      <c r="C6" s="1277">
        <v>7</v>
      </c>
      <c r="D6" s="1277">
        <v>2021</v>
      </c>
      <c r="E6" s="1292">
        <f>(IF('Section Load'!F9&gt;0,'Section Load'!F9,0))</f>
        <v>2828.6999999999534</v>
      </c>
      <c r="F6" s="1292">
        <f>(IF('Section Load'!G9&gt;0,'Section Load'!G9,0))</f>
        <v>1447.6800000000221</v>
      </c>
      <c r="G6" s="1292">
        <f>(IF('Section Load'!H9&gt;0,'Section Load'!H9,0))</f>
        <v>1640.5</v>
      </c>
      <c r="H6" s="1292">
        <f>(IF('Section Load'!I9&gt;0,'Section Load'!I9,0))</f>
        <v>3669.3600000000442</v>
      </c>
      <c r="I6" s="1292">
        <f>(IF('Section Load'!J9&gt;0,'Section Load'!J9,0))</f>
        <v>6521.6600000000326</v>
      </c>
      <c r="J6" s="1292">
        <f>(IF('Section Load'!K9&gt;0,'Section Load'!K9,0))</f>
        <v>2554.6999999999534</v>
      </c>
      <c r="K6" s="1292">
        <f>(IF('Section Load'!L9&gt;0,'Section Load'!L9,0))</f>
        <v>1002.1300000000047</v>
      </c>
      <c r="L6" s="1292">
        <f>(IF('Section Load'!M9&gt;0,'Section Load'!M9,0))</f>
        <v>728.12999999999738</v>
      </c>
      <c r="M6" s="1292">
        <f>(IF('Section Load'!N9&gt;0,'Section Load'!N9,0))</f>
        <v>10</v>
      </c>
      <c r="N6" s="1292">
        <f>(IF('Section Load'!O9&gt;0,'Section Load'!O9,0))</f>
        <v>1</v>
      </c>
      <c r="O6" s="1292">
        <f>(IF('Section Load'!P9&gt;0,'Section Load'!P9,0))</f>
        <v>1.2000000000116415</v>
      </c>
      <c r="P6" s="1292">
        <f>(IF('Section Load'!Q9&gt;0,'Section Load'!Q9,0))</f>
        <v>142.04999999999927</v>
      </c>
      <c r="Q6" s="1292">
        <f>(IF('Section Load'!R9&gt;0,'Section Load'!R9,0))</f>
        <v>66.180000000000291</v>
      </c>
      <c r="R6" s="1292">
        <f>(IF('Section Load'!S9&gt;0,'Section Load'!S9,0))</f>
        <v>66</v>
      </c>
      <c r="S6" s="1292">
        <f>(IF('Section Load'!T9&gt;0,'Section Load'!T9,0))</f>
        <v>19</v>
      </c>
      <c r="T6" s="1292">
        <f>(IF('Section Load'!U9&gt;0,'Section Load'!U9,0))</f>
        <v>149</v>
      </c>
      <c r="U6" s="1292">
        <f>(IF('Section Load'!V9&gt;0,'Section Load'!V9,0))</f>
        <v>400.28000000002794</v>
      </c>
      <c r="V6" s="1292">
        <f>(IF('Section Load'!W9&gt;0,'Section Load'!W9,0))</f>
        <v>242.28000000002794</v>
      </c>
      <c r="W6" s="1292">
        <f>(IF('Section Load'!X9&gt;0,'Section Load'!X9,0))</f>
        <v>27.389999999999418</v>
      </c>
      <c r="X6" s="1292">
        <f>(IF('Section Load'!Y9&gt;0,'Section Load'!Y9,0))</f>
        <v>211.28000000000611</v>
      </c>
      <c r="Y6" s="1292">
        <f>(IF('Section Load'!Z9&gt;0,'Section Load'!Z9,0))</f>
        <v>256</v>
      </c>
      <c r="Z6" s="1292">
        <f>(IF('Section Load'!AA9&gt;0,'Section Load'!AA9,0))</f>
        <v>23.599999999976717</v>
      </c>
      <c r="AA6" s="1292">
        <f>(IF('Section Load'!AB9&gt;0,'Section Load'!AB9,0))</f>
        <v>30.80000000000291</v>
      </c>
      <c r="AB6" s="1292">
        <f>(IF('Section Load'!AC9&gt;0,'Section Load'!AC9,0))</f>
        <v>125.78999999997905</v>
      </c>
      <c r="AC6" s="1292">
        <f>(IF('Section Load'!AD9&gt;0,'Section Load'!AD9,0))</f>
        <v>26.800000000011551</v>
      </c>
      <c r="AD6" s="1292">
        <f>(IF('Section Load'!AE9&gt;0,'Section Load'!AE9,0))</f>
        <v>0</v>
      </c>
      <c r="AE6" s="1292">
        <f>(IF('Section Load'!AF9&gt;0,'Section Load'!AF9,0))</f>
        <v>0</v>
      </c>
      <c r="AF6" s="1292">
        <f>(IF('Section Load'!AG9&gt;0,'Section Load'!AG9,0))</f>
        <v>373.77999999999884</v>
      </c>
      <c r="AG6" s="1292">
        <f>(IF('Section Load'!AH9&gt;0,'Section Load'!AH9,0))</f>
        <v>436.66000000000349</v>
      </c>
      <c r="AH6" s="1292">
        <f>(IF('Section Load'!AI9&gt;0,'Section Load'!AI9,0))</f>
        <v>410.41000000000349</v>
      </c>
      <c r="AI6" s="1292">
        <f>(IF('Section Load'!AJ9&gt;0,'Section Load'!AJ9,0))</f>
        <v>450.53999999997905</v>
      </c>
      <c r="AJ6" s="1292">
        <f>(IF('Section Load'!AK9&gt;0,'Section Load'!AK9,0))</f>
        <v>0</v>
      </c>
      <c r="AK6" s="1292">
        <f>(IF('Section Load'!AL9&gt;0,'Section Load'!AL9,0))</f>
        <v>224.31999999999243</v>
      </c>
      <c r="AL6" s="1292">
        <f>(IF('Section Load'!AM9&gt;0,'Section Load'!AM9,0))</f>
        <v>825</v>
      </c>
      <c r="AM6" s="1293">
        <f>(IF('Water Report'!$H$7&gt;0,'Water Report'!$H$7,0))</f>
        <v>123</v>
      </c>
      <c r="AN6" s="1293">
        <f>(IF('Water Report'!$H$8&gt;0,'Water Report'!$H$8,0))</f>
        <v>124</v>
      </c>
      <c r="AO6" s="1293">
        <f>(IF('Water Report'!$H$9&gt;0,'Water Report'!$H$9,0))</f>
        <v>120</v>
      </c>
      <c r="AP6" s="1293">
        <f>(IF('Water Report'!$H$10&gt;0,'Water Report'!$H$10,0))</f>
        <v>12</v>
      </c>
      <c r="AQ6" s="1293">
        <f>(IF('Water Report'!$H$11&gt;0,'Water Report'!$H$11,0))</f>
        <v>18</v>
      </c>
      <c r="AR6" s="1293">
        <f>(IF('Water Report'!$H$13&gt;0,'Water Report'!$H$13,0))</f>
        <v>31</v>
      </c>
      <c r="AS6" s="1293">
        <f>(IF('Water Report'!$H$14&gt;0,'Water Report'!$H$14,0))</f>
        <v>8</v>
      </c>
      <c r="AT6" s="1293">
        <f>(IF('Water Report'!$H$15&gt;0,'Water Report'!$H$15,0))</f>
        <v>3</v>
      </c>
      <c r="AU6" s="1293">
        <f>(IF('Water Report'!$H$17&gt;0,'Water Report'!$H$17,0))</f>
        <v>40</v>
      </c>
      <c r="AV6" s="1293">
        <f>(IF('Water Report'!$H$18&gt;0,'Water Report'!$H$18,0))</f>
        <v>10</v>
      </c>
      <c r="AW6" s="1293">
        <f>(IF('Water Report'!$H$19&gt;0,'Water Report'!$H$19,0))</f>
        <v>5</v>
      </c>
      <c r="AX6" s="1368">
        <f>(IF('Water Report'!$H$21&gt;0,'Water Report'!$H$21,0))</f>
        <v>155</v>
      </c>
      <c r="AY6" s="1368">
        <f>(IF('Water Report'!$H$22&gt;0,'Water Report'!$H$22,0))</f>
        <v>25</v>
      </c>
      <c r="AZ6" s="1368">
        <f>(IF('Water Report'!$H$23&gt;0,'Water Report'!$H$23,0))</f>
        <v>0</v>
      </c>
      <c r="BA6" s="1368">
        <f>(IF('Water Report'!$H$14&gt;0,'Water Report'!$H$14,0))</f>
        <v>8</v>
      </c>
      <c r="BB6" s="1368">
        <f>(IF('Water Report'!$H$15&gt;0,'Water Report'!$H$15,0))</f>
        <v>3</v>
      </c>
      <c r="BC6" s="1368">
        <f>(IF('Water Report'!$H$13&gt;0,'Water Report'!$H$13,0))</f>
        <v>31</v>
      </c>
      <c r="BD6" s="1368">
        <f>(IF('Water Report'!$H$24&gt;0,'Water Report'!$H$24,0))</f>
        <v>241</v>
      </c>
      <c r="BE6" s="1368">
        <f>(IF('Water Report'!$H$25&gt;0,'Water Report'!$H$25,0))</f>
        <v>161</v>
      </c>
      <c r="BF6" s="1368">
        <f>(IF('Water Report'!$H$27&gt;0,'Water Report'!$H$27,0))</f>
        <v>186</v>
      </c>
      <c r="BG6" s="1294">
        <f>(IF('Section Load'!AN9&gt;0,'Section Load'!AN9,0))</f>
        <v>925.06000000005588</v>
      </c>
      <c r="BH6" s="1294">
        <f>(IF('Section Load'!AO9&gt;0,'Section Load'!AO9,0))</f>
        <v>265.82000000006519</v>
      </c>
      <c r="BI6" s="1294">
        <f>(IF('Section Load'!AP9&gt;0,'Section Load'!AP9,0))</f>
        <v>0</v>
      </c>
      <c r="BJ6" s="1294">
        <f>(IF('Section Load'!AQ9&gt;0,'Section Load'!AQ9,0))</f>
        <v>61.290000000008149</v>
      </c>
      <c r="BK6" s="1294">
        <f>(IF('Section Load'!AR9&gt;0,'Section Load'!AR9,0))</f>
        <v>27</v>
      </c>
      <c r="BL6" s="1294">
        <f>(IF('Section Load'!AS9&gt;0,'Section Load'!AS9,0))</f>
        <v>0.8999999999996362</v>
      </c>
      <c r="BM6" s="1294">
        <f>(IF('Section Load'!AT9&gt;0,'Section Load'!AT9,0))</f>
        <v>570.0499999999829</v>
      </c>
    </row>
    <row r="7" spans="1:65">
      <c r="A7" s="1276" t="s">
        <v>300</v>
      </c>
      <c r="B7" s="1277">
        <f t="shared" si="0"/>
        <v>6</v>
      </c>
      <c r="C7" s="1277">
        <v>7</v>
      </c>
      <c r="D7" s="1277">
        <v>2021</v>
      </c>
      <c r="E7" s="1292">
        <f>(IF('Section Load'!F10&gt;0,'Section Load'!F10,0))</f>
        <v>2786.1999999999534</v>
      </c>
      <c r="F7" s="1292">
        <f>(IF('Section Load'!G10&gt;0,'Section Load'!G10,0))</f>
        <v>1525.2599999999802</v>
      </c>
      <c r="G7" s="1292">
        <f>(IF('Section Load'!H10&gt;0,'Section Load'!H10,0))</f>
        <v>1382.5</v>
      </c>
      <c r="H7" s="1292">
        <f>(IF('Section Load'!I10&gt;0,'Section Load'!I10,0))</f>
        <v>3628.7599999999511</v>
      </c>
      <c r="I7" s="1292">
        <f>(IF('Section Load'!J10&gt;0,'Section Load'!J10,0))</f>
        <v>5789.6300000000192</v>
      </c>
      <c r="J7" s="1292">
        <f>(IF('Section Load'!K10&gt;0,'Section Load'!K10,0))</f>
        <v>2584.9000000001397</v>
      </c>
      <c r="K7" s="1292">
        <f>(IF('Section Load'!L10&gt;0,'Section Load'!L10,0))</f>
        <v>959.02000000001863</v>
      </c>
      <c r="L7" s="1292">
        <f>(IF('Section Load'!M10&gt;0,'Section Load'!M10,0))</f>
        <v>727.79000000000087</v>
      </c>
      <c r="M7" s="1292">
        <f>(IF('Section Load'!N10&gt;0,'Section Load'!N10,0))</f>
        <v>11</v>
      </c>
      <c r="N7" s="1292">
        <f>(IF('Section Load'!O10&gt;0,'Section Load'!O10,0))</f>
        <v>1</v>
      </c>
      <c r="O7" s="1292">
        <f>(IF('Section Load'!P10&gt;0,'Section Load'!P10,0))</f>
        <v>1.0999999999912689</v>
      </c>
      <c r="P7" s="1292">
        <f>(IF('Section Load'!Q10&gt;0,'Section Load'!Q10,0))</f>
        <v>141.79000000000087</v>
      </c>
      <c r="Q7" s="1292">
        <f>(IF('Section Load'!R10&gt;0,'Section Load'!R10,0))</f>
        <v>73.119999999998981</v>
      </c>
      <c r="R7" s="1292">
        <f>(IF('Section Load'!S10&gt;0,'Section Load'!S10,0))</f>
        <v>78</v>
      </c>
      <c r="S7" s="1292">
        <f>(IF('Section Load'!T10&gt;0,'Section Load'!T10,0))</f>
        <v>153</v>
      </c>
      <c r="T7" s="1292">
        <f>(IF('Section Load'!U10&gt;0,'Section Load'!U10,0))</f>
        <v>149</v>
      </c>
      <c r="U7" s="1292">
        <f>(IF('Section Load'!V10&gt;0,'Section Load'!V10,0))</f>
        <v>356.51999999990221</v>
      </c>
      <c r="V7" s="1292">
        <f>(IF('Section Load'!W10&gt;0,'Section Load'!W10,0))</f>
        <v>178.35999999998603</v>
      </c>
      <c r="W7" s="1292">
        <f>(IF('Section Load'!X10&gt;0,'Section Load'!X10,0))</f>
        <v>13.180000000007567</v>
      </c>
      <c r="X7" s="1292">
        <f>(IF('Section Load'!Y10&gt;0,'Section Load'!Y10,0))</f>
        <v>21.529999999998836</v>
      </c>
      <c r="Y7" s="1292">
        <f>(IF('Section Load'!Z10&gt;0,'Section Load'!Z10,0))</f>
        <v>163</v>
      </c>
      <c r="Z7" s="1292">
        <f>(IF('Section Load'!AA10&gt;0,'Section Load'!AA10,0))</f>
        <v>19.71999999997206</v>
      </c>
      <c r="AA7" s="1292">
        <f>(IF('Section Load'!AB10&gt;0,'Section Load'!AB10,0))</f>
        <v>29.899999999994179</v>
      </c>
      <c r="AB7" s="1292">
        <f>(IF('Section Load'!AC10&gt;0,'Section Load'!AC10,0))</f>
        <v>115.90000000002328</v>
      </c>
      <c r="AC7" s="1292">
        <f>(IF('Section Load'!AD10&gt;0,'Section Load'!AD10,0))</f>
        <v>49.299999999991542</v>
      </c>
      <c r="AD7" s="1292">
        <f>(IF('Section Load'!AE10&gt;0,'Section Load'!AE10,0))</f>
        <v>0</v>
      </c>
      <c r="AE7" s="1292">
        <f>(IF('Section Load'!AF10&gt;0,'Section Load'!AF10,0))</f>
        <v>0</v>
      </c>
      <c r="AF7" s="1292">
        <f>(IF('Section Load'!AG10&gt;0,'Section Load'!AG10,0))</f>
        <v>399.55999999999767</v>
      </c>
      <c r="AG7" s="1292">
        <f>(IF('Section Load'!AH10&gt;0,'Section Load'!AH10,0))</f>
        <v>261.95999999999185</v>
      </c>
      <c r="AH7" s="1292">
        <f>(IF('Section Load'!AI10&gt;0,'Section Load'!AI10,0))</f>
        <v>413.80999999999767</v>
      </c>
      <c r="AI7" s="1292">
        <f>(IF('Section Load'!AJ10&gt;0,'Section Load'!AJ10,0))</f>
        <v>529.70000000001164</v>
      </c>
      <c r="AJ7" s="1292">
        <f>(IF('Section Load'!AK10&gt;0,'Section Load'!AK10,0))</f>
        <v>0</v>
      </c>
      <c r="AK7" s="1292">
        <f>(IF('Section Load'!AL10&gt;0,'Section Load'!AL10,0))</f>
        <v>210.34000000001106</v>
      </c>
      <c r="AL7" s="1292">
        <f>(IF('Section Load'!AM10&gt;0,'Section Load'!AM10,0))</f>
        <v>809</v>
      </c>
      <c r="AM7" s="1293">
        <f>(IF('Water Report'!$I$7&gt;0,'Water Report'!$I$7,0))</f>
        <v>44</v>
      </c>
      <c r="AN7" s="1293">
        <f>(IF('Water Report'!$I$8&gt;0,'Water Report'!$I$8,0))</f>
        <v>91</v>
      </c>
      <c r="AO7" s="1293">
        <f>(IF('Water Report'!$I$9&gt;0,'Water Report'!$I$9,0))</f>
        <v>59</v>
      </c>
      <c r="AP7" s="1293">
        <f>(IF('Water Report'!$I$10&gt;0,'Water Report'!$I$10,0))</f>
        <v>18</v>
      </c>
      <c r="AQ7" s="1293">
        <f>(IF('Water Report'!$I$11&gt;0,'Water Report'!$I$11,0))</f>
        <v>21</v>
      </c>
      <c r="AR7" s="1293">
        <f>(IF('Water Report'!$I$13&gt;0,'Water Report'!$I$13,0))</f>
        <v>36</v>
      </c>
      <c r="AS7" s="1293">
        <f>(IF('Water Report'!$I$14&gt;0,'Water Report'!$I$14,0))</f>
        <v>11</v>
      </c>
      <c r="AT7" s="1293">
        <f>(IF('Water Report'!$I$15&gt;0,'Water Report'!$I$15,0))</f>
        <v>5</v>
      </c>
      <c r="AU7" s="1293">
        <f>(IF('Water Report'!$I$17&gt;0,'Water Report'!$I$17,0))</f>
        <v>30</v>
      </c>
      <c r="AV7" s="1293">
        <f>(IF('Water Report'!$I$18&gt;0,'Water Report'!$I$18,0))</f>
        <v>0</v>
      </c>
      <c r="AW7" s="1293">
        <f>(IF('Water Report'!$I$19&gt;0,'Water Report'!$I$19,0))</f>
        <v>0</v>
      </c>
      <c r="AX7" s="1368">
        <f>(IF('Water Report'!$I$21&gt;0,'Water Report'!$I$21,0))</f>
        <v>65</v>
      </c>
      <c r="AY7" s="1368">
        <f>(IF('Water Report'!$I$22&gt;0,'Water Report'!$I$22,0))</f>
        <v>22</v>
      </c>
      <c r="AZ7" s="1368">
        <f>(IF('Water Report'!$I$23&gt;0,'Water Report'!$I$23,0))</f>
        <v>0</v>
      </c>
      <c r="BA7" s="1368">
        <f>(IF('Water Report'!$I$14&gt;0,'Water Report'!$I$14,0))</f>
        <v>11</v>
      </c>
      <c r="BB7" s="1368">
        <f>(IF('Water Report'!$I$15&gt;0,'Water Report'!$I$15,0))</f>
        <v>5</v>
      </c>
      <c r="BC7" s="1368">
        <f>(IF('Water Report'!$I$13&gt;0,'Water Report'!$I$13,0))</f>
        <v>36</v>
      </c>
      <c r="BD7" s="1368">
        <f>(IF('Water Report'!$I$24&gt;0,'Water Report'!$I$24,0))</f>
        <v>149</v>
      </c>
      <c r="BE7" s="1368">
        <f>(IF('Water Report'!$I$25&gt;0,'Water Report'!$I$25,0))</f>
        <v>114</v>
      </c>
      <c r="BF7" s="1368">
        <f>(IF('Water Report'!$I$27&gt;0,'Water Report'!$I$27,0))</f>
        <v>101</v>
      </c>
      <c r="BG7" s="1294">
        <f>(IF('Section Load'!AN10&gt;0,'Section Load'!AN10,0))</f>
        <v>430.95999999996275</v>
      </c>
      <c r="BH7" s="1294">
        <f>(IF('Section Load'!AO10&gt;0,'Section Load'!AO10,0))</f>
        <v>261.8399999999674</v>
      </c>
      <c r="BI7" s="1294">
        <f>(IF('Section Load'!AP10&gt;0,'Section Load'!AP10,0))</f>
        <v>0</v>
      </c>
      <c r="BJ7" s="1294">
        <f>(IF('Section Load'!AQ10&gt;0,'Section Load'!AQ10,0))</f>
        <v>67.130000000004657</v>
      </c>
      <c r="BK7" s="1294">
        <f>(IF('Section Load'!AR10&gt;0,'Section Load'!AR10,0))</f>
        <v>35.200000000000728</v>
      </c>
      <c r="BL7" s="1294">
        <f>(IF('Section Load'!AS10&gt;0,'Section Load'!AS10,0))</f>
        <v>1</v>
      </c>
      <c r="BM7" s="1294">
        <f>(IF('Section Load'!AT10&gt;0,'Section Load'!AT10,0))</f>
        <v>65.789999999989959</v>
      </c>
    </row>
    <row r="8" spans="1:65">
      <c r="A8" s="1276" t="s">
        <v>300</v>
      </c>
      <c r="B8" s="1277">
        <f t="shared" si="0"/>
        <v>7</v>
      </c>
      <c r="C8" s="1277">
        <v>7</v>
      </c>
      <c r="D8" s="1277">
        <v>2021</v>
      </c>
      <c r="E8" s="1292">
        <f>(IF('Section Load'!F11&gt;0,'Section Load'!F11,0))</f>
        <v>2919.1999999999534</v>
      </c>
      <c r="F8" s="1292">
        <f>(IF('Section Load'!G11&gt;0,'Section Load'!G11,0))</f>
        <v>1587.7400000000198</v>
      </c>
      <c r="G8" s="1292">
        <f>(IF('Section Load'!H11&gt;0,'Section Load'!H11,0))</f>
        <v>1549.2399999999907</v>
      </c>
      <c r="H8" s="1292">
        <f>(IF('Section Load'!I11&gt;0,'Section Load'!I11,0))</f>
        <v>3603.3999999999651</v>
      </c>
      <c r="I8" s="1292">
        <f>(IF('Section Load'!J11&gt;0,'Section Load'!J11,0))</f>
        <v>6831.7899999999208</v>
      </c>
      <c r="J8" s="1292">
        <f>(IF('Section Load'!K11&gt;0,'Section Load'!K11,0))</f>
        <v>2722.6999999999534</v>
      </c>
      <c r="K8" s="1292">
        <f>(IF('Section Load'!L11&gt;0,'Section Load'!L11,0))</f>
        <v>1261.9199999999255</v>
      </c>
      <c r="L8" s="1292">
        <f>(IF('Section Load'!M11&gt;0,'Section Load'!M11,0))</f>
        <v>820.85000000000218</v>
      </c>
      <c r="M8" s="1292">
        <f>(IF('Section Load'!N11&gt;0,'Section Load'!N11,0))</f>
        <v>11</v>
      </c>
      <c r="N8" s="1292">
        <f>(IF('Section Load'!O11&gt;0,'Section Load'!O11,0))</f>
        <v>1</v>
      </c>
      <c r="O8" s="1292">
        <f>(IF('Section Load'!P11&gt;0,'Section Load'!P11,0))</f>
        <v>1.1000000000058208</v>
      </c>
      <c r="P8" s="1292">
        <f>(IF('Section Load'!Q11&gt;0,'Section Load'!Q11,0))</f>
        <v>140.84999999999854</v>
      </c>
      <c r="Q8" s="1292">
        <f>(IF('Section Load'!R11&gt;0,'Section Load'!R11,0))</f>
        <v>66.06000000000131</v>
      </c>
      <c r="R8" s="1292">
        <f>(IF('Section Load'!S11&gt;0,'Section Load'!S11,0))</f>
        <v>51</v>
      </c>
      <c r="S8" s="1292">
        <f>(IF('Section Load'!T11&gt;0,'Section Load'!T11,0))</f>
        <v>122</v>
      </c>
      <c r="T8" s="1292">
        <f>(IF('Section Load'!U11&gt;0,'Section Load'!U11,0))</f>
        <v>141</v>
      </c>
      <c r="U8" s="1292">
        <f>(IF('Section Load'!V11&gt;0,'Section Load'!V11,0))</f>
        <v>400.60000000009313</v>
      </c>
      <c r="V8" s="1292">
        <f>(IF('Section Load'!W11&gt;0,'Section Load'!W11,0))</f>
        <v>167.64000000001397</v>
      </c>
      <c r="W8" s="1292">
        <f>(IF('Section Load'!X11&gt;0,'Section Load'!X11,0))</f>
        <v>26.399999999994179</v>
      </c>
      <c r="X8" s="1292">
        <f>(IF('Section Load'!Y11&gt;0,'Section Load'!Y11,0))</f>
        <v>187.40999999999622</v>
      </c>
      <c r="Y8" s="1292">
        <f>(IF('Section Load'!Z11&gt;0,'Section Load'!Z11,0))</f>
        <v>215</v>
      </c>
      <c r="Z8" s="1292">
        <f>(IF('Section Load'!AA11&gt;0,'Section Load'!AA11,0))</f>
        <v>25.480000000039581</v>
      </c>
      <c r="AA8" s="1292">
        <f>(IF('Section Load'!AB11&gt;0,'Section Load'!AB11,0))</f>
        <v>32.200000000011642</v>
      </c>
      <c r="AB8" s="1292">
        <f>(IF('Section Load'!AC11&gt;0,'Section Load'!AC11,0))</f>
        <v>85.829999999987194</v>
      </c>
      <c r="AC8" s="1292">
        <f>(IF('Section Load'!AD11&gt;0,'Section Load'!AD11,0))</f>
        <v>81.400000000002819</v>
      </c>
      <c r="AD8" s="1292">
        <f>(IF('Section Load'!AE11&gt;0,'Section Load'!AE11,0))</f>
        <v>0</v>
      </c>
      <c r="AE8" s="1292">
        <f>(IF('Section Load'!AF11&gt;0,'Section Load'!AF11,0))</f>
        <v>0</v>
      </c>
      <c r="AF8" s="1292">
        <f>(IF('Section Load'!AG11&gt;0,'Section Load'!AG11,0))</f>
        <v>433.54000000000815</v>
      </c>
      <c r="AG8" s="1292">
        <f>(IF('Section Load'!AH11&gt;0,'Section Load'!AH11,0))</f>
        <v>267.29999999998836</v>
      </c>
      <c r="AH8" s="1292">
        <f>(IF('Section Load'!AI11&gt;0,'Section Load'!AI11,0))</f>
        <v>427.31000000001222</v>
      </c>
      <c r="AI8" s="1292">
        <f>(IF('Section Load'!AJ11&gt;0,'Section Load'!AJ11,0))</f>
        <v>492.70000000001164</v>
      </c>
      <c r="AJ8" s="1292">
        <f>(IF('Section Load'!AK11&gt;0,'Section Load'!AK11,0))</f>
        <v>0</v>
      </c>
      <c r="AK8" s="1292">
        <f>(IF('Section Load'!AL11&gt;0,'Section Load'!AL11,0))</f>
        <v>221.58999999999651</v>
      </c>
      <c r="AL8" s="1292">
        <f>(IF('Section Load'!AM11&gt;0,'Section Load'!AM11,0))</f>
        <v>792</v>
      </c>
      <c r="AM8" s="1293">
        <f>(IF('Water Report'!$J$7&gt;0,'Water Report'!$J$7,0))</f>
        <v>77</v>
      </c>
      <c r="AN8" s="1293">
        <f>(IF('Water Report'!$J$8&gt;0,'Water Report'!$J$8,0))</f>
        <v>113</v>
      </c>
      <c r="AO8" s="1293">
        <f>(IF('Water Report'!$J$9&gt;0,'Water Report'!$J$9,0))</f>
        <v>76</v>
      </c>
      <c r="AP8" s="1293">
        <f>(IF('Water Report'!$J$10&gt;0,'Water Report'!$J$10,0))</f>
        <v>15</v>
      </c>
      <c r="AQ8" s="1293">
        <f>(IF('Water Report'!$J$11&gt;0,'Water Report'!$J$11,0))</f>
        <v>22</v>
      </c>
      <c r="AR8" s="1293">
        <f>(IF('Water Report'!$J$13&gt;0,'Water Report'!$J$13,0))</f>
        <v>18</v>
      </c>
      <c r="AS8" s="1293">
        <f>(IF('Water Report'!$J$14&gt;0,'Water Report'!$J$14,0))</f>
        <v>10</v>
      </c>
      <c r="AT8" s="1293">
        <f>(IF('Water Report'!$J$15&gt;0,'Water Report'!$J$15,0))</f>
        <v>12</v>
      </c>
      <c r="AU8" s="1293">
        <f>(IF('Water Report'!$J$17&gt;0,'Water Report'!$J$17,0))</f>
        <v>0</v>
      </c>
      <c r="AV8" s="1293">
        <f>(IF('Water Report'!$J$18&gt;0,'Water Report'!$J$18,0))</f>
        <v>11</v>
      </c>
      <c r="AW8" s="1293">
        <f>(IF('Water Report'!$J$19&gt;0,'Water Report'!$J$19,0))</f>
        <v>5</v>
      </c>
      <c r="AX8" s="1368">
        <f>(IF('Water Report'!$J$21&gt;0,'Water Report'!$J$21,0))</f>
        <v>74</v>
      </c>
      <c r="AY8" s="1368">
        <f>(IF('Water Report'!$J$22&gt;0,'Water Report'!$J$22,0))</f>
        <v>25</v>
      </c>
      <c r="AZ8" s="1368">
        <f>(IF('Water Report'!$J$23&gt;0,'Water Report'!$J$23,0))</f>
        <v>0</v>
      </c>
      <c r="BA8" s="1368">
        <f>(IF('Water Report'!$J$14&gt;0,'Water Report'!$J$14,0))</f>
        <v>10</v>
      </c>
      <c r="BB8" s="1368">
        <f>(IF('Water Report'!$J$15&gt;0,'Water Report'!$J$15,0))</f>
        <v>12</v>
      </c>
      <c r="BC8" s="1368">
        <f>(IF('Water Report'!$J$13&gt;0,'Water Report'!$J$13,0))</f>
        <v>18</v>
      </c>
      <c r="BD8" s="1368">
        <f>(IF('Water Report'!$J$24&gt;0,'Water Report'!$J$24,0))</f>
        <v>168</v>
      </c>
      <c r="BE8" s="1368">
        <f>(IF('Water Report'!$J$25&gt;0,'Water Report'!$J$25,0))</f>
        <v>135</v>
      </c>
      <c r="BF8" s="1368">
        <f>(IF('Water Report'!$J$27&gt;0,'Water Report'!$J$27,0))</f>
        <v>92</v>
      </c>
      <c r="BG8" s="1294">
        <f>(IF('Section Load'!AN11&gt;0,'Section Load'!AN11,0))</f>
        <v>850.19000000017695</v>
      </c>
      <c r="BH8" s="1294">
        <f>(IF('Section Load'!AO11&gt;0,'Section Load'!AO11,0))</f>
        <v>259.97999999998137</v>
      </c>
      <c r="BI8" s="1294">
        <f>(IF('Section Load'!AP11&gt;0,'Section Load'!AP11,0))</f>
        <v>0</v>
      </c>
      <c r="BJ8" s="1294">
        <f>(IF('Section Load'!AQ11&gt;0,'Section Load'!AQ11,0))</f>
        <v>79.419999999983702</v>
      </c>
      <c r="BK8" s="1294">
        <f>(IF('Section Load'!AR11&gt;0,'Section Load'!AR11,0))</f>
        <v>36.700000000000728</v>
      </c>
      <c r="BL8" s="1294">
        <f>(IF('Section Load'!AS11&gt;0,'Section Load'!AS11,0))</f>
        <v>1.4000000000014552</v>
      </c>
      <c r="BM8" s="1294">
        <f>(IF('Section Load'!AT11&gt;0,'Section Load'!AT11,0))</f>
        <v>473.09000000020387</v>
      </c>
    </row>
    <row r="9" spans="1:65">
      <c r="A9" s="1276" t="s">
        <v>300</v>
      </c>
      <c r="B9" s="1277">
        <f t="shared" si="0"/>
        <v>8</v>
      </c>
      <c r="C9" s="1277">
        <v>7</v>
      </c>
      <c r="D9" s="1277">
        <v>2021</v>
      </c>
      <c r="E9" s="1292">
        <f>(IF('Section Load'!F12&gt;0,'Section Load'!F12,0))</f>
        <v>3141.7000000001863</v>
      </c>
      <c r="F9" s="1292">
        <f>(IF('Section Load'!G12&gt;0,'Section Load'!G12,0))</f>
        <v>1563.2200000000012</v>
      </c>
      <c r="G9" s="1292">
        <f>(IF('Section Load'!H12&gt;0,'Section Load'!H12,0))</f>
        <v>1545.1600000000035</v>
      </c>
      <c r="H9" s="1292">
        <f>(IF('Section Load'!I12&gt;0,'Section Load'!I12,0))</f>
        <v>3552.4000000000233</v>
      </c>
      <c r="I9" s="1292">
        <f>(IF('Section Load'!J12&gt;0,'Section Load'!J12,0))</f>
        <v>6741.3199999999779</v>
      </c>
      <c r="J9" s="1292">
        <f>(IF('Section Load'!K12&gt;0,'Section Load'!K12,0))</f>
        <v>2769</v>
      </c>
      <c r="K9" s="1292">
        <f>(IF('Section Load'!L12&gt;0,'Section Load'!L12,0))</f>
        <v>1089.6300000000047</v>
      </c>
      <c r="L9" s="1292">
        <f>(IF('Section Load'!M12&gt;0,'Section Load'!M12,0))</f>
        <v>674.62999999999738</v>
      </c>
      <c r="M9" s="1292">
        <f>(IF('Section Load'!N12&gt;0,'Section Load'!N12,0))</f>
        <v>13</v>
      </c>
      <c r="N9" s="1292">
        <f>(IF('Section Load'!O12&gt;0,'Section Load'!O12,0))</f>
        <v>1</v>
      </c>
      <c r="O9" s="1292">
        <f>(IF('Section Load'!P12&gt;0,'Section Load'!P12,0))</f>
        <v>1</v>
      </c>
      <c r="P9" s="1292">
        <f>(IF('Section Load'!Q12&gt;0,'Section Load'!Q12,0))</f>
        <v>144.14000000000306</v>
      </c>
      <c r="Q9" s="1292">
        <f>(IF('Section Load'!R12&gt;0,'Section Load'!R12,0))</f>
        <v>67.219999999999345</v>
      </c>
      <c r="R9" s="1292">
        <f>(IF('Section Load'!S12&gt;0,'Section Load'!S12,0))</f>
        <v>71</v>
      </c>
      <c r="S9" s="1292">
        <f>(IF('Section Load'!T12&gt;0,'Section Load'!T12,0))</f>
        <v>86</v>
      </c>
      <c r="T9" s="1292">
        <f>(IF('Section Load'!U12&gt;0,'Section Load'!U12,0))</f>
        <v>152</v>
      </c>
      <c r="U9" s="1292">
        <f>(IF('Section Load'!V12&gt;0,'Section Load'!V12,0))</f>
        <v>414.23999999999069</v>
      </c>
      <c r="V9" s="1292">
        <f>(IF('Section Load'!W12&gt;0,'Section Load'!W12,0))</f>
        <v>194.8399999999674</v>
      </c>
      <c r="W9" s="1292">
        <f>(IF('Section Load'!X12&gt;0,'Section Load'!X12,0))</f>
        <v>19.880000000004657</v>
      </c>
      <c r="X9" s="1292">
        <f>(IF('Section Load'!Y12&gt;0,'Section Load'!Y12,0))</f>
        <v>177.37000000000262</v>
      </c>
      <c r="Y9" s="1292">
        <f>(IF('Section Load'!Z12&gt;0,'Section Load'!Z12,0))</f>
        <v>225</v>
      </c>
      <c r="Z9" s="1292">
        <f>(IF('Section Load'!AA12&gt;0,'Section Load'!AA12,0))</f>
        <v>29.71999999997206</v>
      </c>
      <c r="AA9" s="1292">
        <f>(IF('Section Load'!AB12&gt;0,'Section Load'!AB12,0))</f>
        <v>31.399999999994179</v>
      </c>
      <c r="AB9" s="1292">
        <f>(IF('Section Load'!AC12&gt;0,'Section Load'!AC12,0))</f>
        <v>151.57000000000698</v>
      </c>
      <c r="AC9" s="1292">
        <f>(IF('Section Load'!AD12&gt;0,'Section Load'!AD12,0))</f>
        <v>183.10000000000582</v>
      </c>
      <c r="AD9" s="1292">
        <f>(IF('Section Load'!AE12&gt;0,'Section Load'!AE12,0))</f>
        <v>0</v>
      </c>
      <c r="AE9" s="1292">
        <f>(IF('Section Load'!AF12&gt;0,'Section Load'!AF12,0))</f>
        <v>0</v>
      </c>
      <c r="AF9" s="1292">
        <f>(IF('Section Load'!AG12&gt;0,'Section Load'!AG12,0))</f>
        <v>525.04000000000815</v>
      </c>
      <c r="AG9" s="1292">
        <f>(IF('Section Load'!AH12&gt;0,'Section Load'!AH12,0))</f>
        <v>271.82000000000698</v>
      </c>
      <c r="AH9" s="1292">
        <f>(IF('Section Load'!AI12&gt;0,'Section Load'!AI12,0))</f>
        <v>398.20999999999185</v>
      </c>
      <c r="AI9" s="1292">
        <f>(IF('Section Load'!AJ12&gt;0,'Section Load'!AJ12,0))</f>
        <v>444.44000000000233</v>
      </c>
      <c r="AJ9" s="1292">
        <f>(IF('Section Load'!AK12&gt;0,'Section Load'!AK12,0))</f>
        <v>0</v>
      </c>
      <c r="AK9" s="1292">
        <f>(IF('Section Load'!AL12&gt;0,'Section Load'!AL12,0))</f>
        <v>261.61999999999534</v>
      </c>
      <c r="AL9" s="1292">
        <f>(IF('Section Load'!AM12&gt;0,'Section Load'!AM12,0))</f>
        <v>809</v>
      </c>
      <c r="AM9" s="1293">
        <f>(IF('Water Report'!$K$7&gt;0,'Water Report'!$K$7,0))</f>
        <v>81</v>
      </c>
      <c r="AN9" s="1293">
        <f>(IF('Water Report'!$K$8&gt;0,'Water Report'!$K$8,0))</f>
        <v>121</v>
      </c>
      <c r="AO9" s="1293">
        <f>(IF('Water Report'!$K$9&gt;0,'Water Report'!$K$9,0))</f>
        <v>80</v>
      </c>
      <c r="AP9" s="1293">
        <f>(IF('Water Report'!$K$10&gt;0,'Water Report'!$K$10,0))</f>
        <v>17</v>
      </c>
      <c r="AQ9" s="1293">
        <f>(IF('Water Report'!$K$11&gt;0,'Water Report'!$K$11,0))</f>
        <v>24</v>
      </c>
      <c r="AR9" s="1293">
        <f>(IF('Water Report'!$K$13&gt;0,'Water Report'!$K$13,0))</f>
        <v>20</v>
      </c>
      <c r="AS9" s="1293">
        <f>(IF('Water Report'!$K$14&gt;0,'Water Report'!$K$14,0))</f>
        <v>11</v>
      </c>
      <c r="AT9" s="1293">
        <f>(IF('Water Report'!$K$15&gt;0,'Water Report'!$K$15,0))</f>
        <v>8</v>
      </c>
      <c r="AU9" s="1293">
        <f>(IF('Water Report'!$K$17&gt;0,'Water Report'!$K$17,0))</f>
        <v>0</v>
      </c>
      <c r="AV9" s="1293">
        <f>(IF('Water Report'!$K$18&gt;0,'Water Report'!$K$18,0))</f>
        <v>7</v>
      </c>
      <c r="AW9" s="1293">
        <f>(IF('Water Report'!$K$19&gt;0,'Water Report'!$K$19,0))</f>
        <v>5</v>
      </c>
      <c r="AX9" s="1368">
        <f>(IF('Water Report'!$K$21&gt;0,'Water Report'!$K$21,0))</f>
        <v>79</v>
      </c>
      <c r="AY9" s="1368">
        <f>(IF('Water Report'!$K$22&gt;0,'Water Report'!$K$22,0))</f>
        <v>21</v>
      </c>
      <c r="AZ9" s="1368">
        <f>(IF('Water Report'!$K$23&gt;0,'Water Report'!$K$23,0))</f>
        <v>0</v>
      </c>
      <c r="BA9" s="1368">
        <f>(IF('Water Report'!$K$14&gt;0,'Water Report'!$K$14,0))</f>
        <v>11</v>
      </c>
      <c r="BB9" s="1368">
        <f>(IF('Water Report'!$K$15&gt;0,'Water Report'!$K$15,0))</f>
        <v>8</v>
      </c>
      <c r="BC9" s="1368">
        <f>(IF('Water Report'!$K$13&gt;0,'Water Report'!$K$13,0))</f>
        <v>20</v>
      </c>
      <c r="BD9" s="1368">
        <f>(IF('Water Report'!$K$24&gt;0,'Water Report'!$K$24,0))</f>
        <v>161</v>
      </c>
      <c r="BE9" s="1368">
        <f>(IF('Water Report'!$K$25&gt;0,'Water Report'!$K$25,0))</f>
        <v>140</v>
      </c>
      <c r="BF9" s="1368">
        <f>(IF('Water Report'!$K$27&gt;0,'Water Report'!$K$27,0))</f>
        <v>99</v>
      </c>
      <c r="BG9" s="1294">
        <f>(IF('Section Load'!AN12&gt;0,'Section Load'!AN12,0))</f>
        <v>821.54999999981374</v>
      </c>
      <c r="BH9" s="1294">
        <f>(IF('Section Load'!AO12&gt;0,'Section Load'!AO12,0))</f>
        <v>251.29000000003725</v>
      </c>
      <c r="BI9" s="1294">
        <f>(IF('Section Load'!AP12&gt;0,'Section Load'!AP12,0))</f>
        <v>0.39999999999417923</v>
      </c>
      <c r="BJ9" s="1294">
        <f>(IF('Section Load'!AQ12&gt;0,'Section Load'!AQ12,0))</f>
        <v>86.580000000016298</v>
      </c>
      <c r="BK9" s="1294">
        <f>(IF('Section Load'!AR12&gt;0,'Section Load'!AR12,0))</f>
        <v>35.700000000000728</v>
      </c>
      <c r="BL9" s="1294">
        <f>(IF('Section Load'!AS12&gt;0,'Section Load'!AS12,0))</f>
        <v>2</v>
      </c>
      <c r="BM9" s="1294">
        <f>(IF('Section Load'!AT12&gt;0,'Section Load'!AT12,0))</f>
        <v>445.57999999976528</v>
      </c>
    </row>
    <row r="10" spans="1:65">
      <c r="A10" s="1276" t="s">
        <v>300</v>
      </c>
      <c r="B10" s="1277">
        <f t="shared" si="0"/>
        <v>9</v>
      </c>
      <c r="C10" s="1277">
        <v>7</v>
      </c>
      <c r="D10" s="1277">
        <v>2021</v>
      </c>
      <c r="E10" s="1292">
        <f>(IF('Section Load'!F13&gt;0,'Section Load'!F13,0))</f>
        <v>3259.2699999999022</v>
      </c>
      <c r="F10" s="1292">
        <f>(IF('Section Load'!G13&gt;0,'Section Load'!G13,0))</f>
        <v>1605.9899999999907</v>
      </c>
      <c r="G10" s="1292">
        <f>(IF('Section Load'!H13&gt;0,'Section Load'!H13,0))</f>
        <v>1594.7099999999919</v>
      </c>
      <c r="H10" s="1292">
        <f>(IF('Section Load'!I13&gt;0,'Section Load'!I13,0))</f>
        <v>3607.8099999999977</v>
      </c>
      <c r="I10" s="1292">
        <f>(IF('Section Load'!J13&gt;0,'Section Load'!J13,0))</f>
        <v>7248.8100000000413</v>
      </c>
      <c r="J10" s="1292">
        <f>(IF('Section Load'!K13&gt;0,'Section Load'!K13,0))</f>
        <v>2915.5</v>
      </c>
      <c r="K10" s="1292">
        <f>(IF('Section Load'!L13&gt;0,'Section Load'!L13,0))</f>
        <v>981.30000000004657</v>
      </c>
      <c r="L10" s="1292">
        <f>(IF('Section Load'!M13&gt;0,'Section Load'!M13,0))</f>
        <v>812.38000000000102</v>
      </c>
      <c r="M10" s="1292">
        <f>(IF('Section Load'!N13&gt;0,'Section Load'!N13,0))</f>
        <v>14</v>
      </c>
      <c r="N10" s="1292">
        <f>(IF('Section Load'!O13&gt;0,'Section Load'!O13,0))</f>
        <v>1</v>
      </c>
      <c r="O10" s="1292">
        <f>(IF('Section Load'!P13&gt;0,'Section Load'!P13,0))</f>
        <v>1.6999999999970896</v>
      </c>
      <c r="P10" s="1292">
        <f>(IF('Section Load'!Q13&gt;0,'Section Load'!Q13,0))</f>
        <v>171.18999999999869</v>
      </c>
      <c r="Q10" s="1292">
        <f>(IF('Section Load'!R13&gt;0,'Section Load'!R13,0))</f>
        <v>64.420000000000073</v>
      </c>
      <c r="R10" s="1292">
        <f>(IF('Section Load'!S13&gt;0,'Section Load'!S13,0))</f>
        <v>88</v>
      </c>
      <c r="S10" s="1292">
        <f>(IF('Section Load'!T13&gt;0,'Section Load'!T13,0))</f>
        <v>71</v>
      </c>
      <c r="T10" s="1292">
        <f>(IF('Section Load'!U13&gt;0,'Section Load'!U13,0))</f>
        <v>150</v>
      </c>
      <c r="U10" s="1292">
        <f>(IF('Section Load'!V13&gt;0,'Section Load'!V13,0))</f>
        <v>440.71999999997206</v>
      </c>
      <c r="V10" s="1292">
        <f>(IF('Section Load'!W13&gt;0,'Section Load'!W13,0))</f>
        <v>224.35999999998603</v>
      </c>
      <c r="W10" s="1292">
        <f>(IF('Section Load'!X13&gt;0,'Section Load'!X13,0))</f>
        <v>22.149999999994179</v>
      </c>
      <c r="X10" s="1292">
        <f>(IF('Section Load'!Y13&gt;0,'Section Load'!Y13,0))</f>
        <v>191.02999999999884</v>
      </c>
      <c r="Y10" s="1292">
        <f>(IF('Section Load'!Z13&gt;0,'Section Load'!Z13,0))</f>
        <v>239</v>
      </c>
      <c r="Z10" s="1292">
        <f>(IF('Section Load'!AA13&gt;0,'Section Load'!AA13,0))</f>
        <v>20.080000000016298</v>
      </c>
      <c r="AA10" s="1292">
        <f>(IF('Section Load'!AB13&gt;0,'Section Load'!AB13,0))</f>
        <v>31</v>
      </c>
      <c r="AB10" s="1292">
        <f>(IF('Section Load'!AC13&gt;0,'Section Load'!AC13,0))</f>
        <v>116.33999999999651</v>
      </c>
      <c r="AC10" s="1292">
        <f>(IF('Section Load'!AD13&gt;0,'Section Load'!AD13,0))</f>
        <v>64.499999999994088</v>
      </c>
      <c r="AD10" s="1292">
        <f>(IF('Section Load'!AE13&gt;0,'Section Load'!AE13,0))</f>
        <v>0</v>
      </c>
      <c r="AE10" s="1292">
        <f>(IF('Section Load'!AF13&gt;0,'Section Load'!AF13,0))</f>
        <v>0</v>
      </c>
      <c r="AF10" s="1292">
        <f>(IF('Section Load'!AG13&gt;0,'Section Load'!AG13,0))</f>
        <v>415.60999999998603</v>
      </c>
      <c r="AG10" s="1292">
        <f>(IF('Section Load'!AH13&gt;0,'Section Load'!AH13,0))</f>
        <v>341.25</v>
      </c>
      <c r="AH10" s="1292">
        <f>(IF('Section Load'!AI13&gt;0,'Section Load'!AI13,0))</f>
        <v>396.97000000000116</v>
      </c>
      <c r="AI10" s="1292">
        <f>(IF('Section Load'!AJ13&gt;0,'Section Load'!AJ13,0))</f>
        <v>435.86999999999534</v>
      </c>
      <c r="AJ10" s="1292">
        <f>(IF('Section Load'!AK13&gt;0,'Section Load'!AK13,0))</f>
        <v>0</v>
      </c>
      <c r="AK10" s="1292">
        <f>(IF('Section Load'!AL13&gt;0,'Section Load'!AL13,0))</f>
        <v>285.94000000000233</v>
      </c>
      <c r="AL10" s="1292">
        <f>(IF('Section Load'!AM13&gt;0,'Section Load'!AM13,0))</f>
        <v>856</v>
      </c>
      <c r="AM10" s="1293">
        <f>(IF('Water Report'!$L$7&gt;0,'Water Report'!$L$7,0))</f>
        <v>87</v>
      </c>
      <c r="AN10" s="1293">
        <f>(IF('Water Report'!$L$8&gt;0,'Water Report'!$L$8,0))</f>
        <v>91</v>
      </c>
      <c r="AO10" s="1293">
        <f>(IF('Water Report'!$L$9&gt;0,'Water Report'!$L$9,0))</f>
        <v>93</v>
      </c>
      <c r="AP10" s="1293">
        <f>(IF('Water Report'!$L$10&gt;0,'Water Report'!$L$10,0))</f>
        <v>19</v>
      </c>
      <c r="AQ10" s="1293">
        <f>(IF('Water Report'!$L$11&gt;0,'Water Report'!$L$11,0))</f>
        <v>24</v>
      </c>
      <c r="AR10" s="1293">
        <f>(IF('Water Report'!$L$13&gt;0,'Water Report'!$L$13,0))</f>
        <v>14</v>
      </c>
      <c r="AS10" s="1293">
        <f>(IF('Water Report'!$L$14&gt;0,'Water Report'!$L$14,0))</f>
        <v>12</v>
      </c>
      <c r="AT10" s="1293">
        <f>(IF('Water Report'!$L$15&gt;0,'Water Report'!$L$15,0))</f>
        <v>6</v>
      </c>
      <c r="AU10" s="1293">
        <f>(IF('Water Report'!$L$17&gt;0,'Water Report'!$L$17,0))</f>
        <v>0</v>
      </c>
      <c r="AV10" s="1293">
        <f>(IF('Water Report'!$L$18&gt;0,'Water Report'!$L$18,0))</f>
        <v>7</v>
      </c>
      <c r="AW10" s="1293">
        <f>(IF('Water Report'!$L$19&gt;0,'Water Report'!$L$19,0))</f>
        <v>6</v>
      </c>
      <c r="AX10" s="1368">
        <f>(IF('Water Report'!$L$21&gt;0,'Water Report'!$L$21,0))</f>
        <v>89</v>
      </c>
      <c r="AY10" s="1368">
        <f>(IF('Water Report'!$L$22&gt;0,'Water Report'!$L$22,0))</f>
        <v>26</v>
      </c>
      <c r="AZ10" s="1368">
        <f>(IF('Water Report'!$L$23&gt;0,'Water Report'!$L$23,0))</f>
        <v>0</v>
      </c>
      <c r="BA10" s="1368">
        <f>(IF('Water Report'!$L$14&gt;0,'Water Report'!$L$14,0))</f>
        <v>12</v>
      </c>
      <c r="BB10" s="1368">
        <f>(IF('Water Report'!$L$15&gt;0,'Water Report'!$L$15,0))</f>
        <v>6</v>
      </c>
      <c r="BC10" s="1368">
        <f>(IF('Water Report'!$L$13&gt;0,'Water Report'!$L$13,0))</f>
        <v>14</v>
      </c>
      <c r="BD10" s="1368">
        <f>(IF('Water Report'!$L$24&gt;0,'Water Report'!$L$24,0))</f>
        <v>191</v>
      </c>
      <c r="BE10" s="1368">
        <f>(IF('Water Report'!$L$25&gt;0,'Water Report'!$L$25,0))</f>
        <v>154</v>
      </c>
      <c r="BF10" s="1368">
        <f>(IF('Water Report'!$L$27&gt;0,'Water Report'!$L$27,0))</f>
        <v>103</v>
      </c>
      <c r="BG10" s="1294">
        <f>(IF('Section Load'!AN13&gt;0,'Section Load'!AN13,0))</f>
        <v>830.84000000008382</v>
      </c>
      <c r="BH10" s="1294">
        <f>(IF('Section Load'!AO13&gt;0,'Section Load'!AO13,0))</f>
        <v>315.86999999999534</v>
      </c>
      <c r="BI10" s="1294">
        <f>(IF('Section Load'!AP13&gt;0,'Section Load'!AP13,0))</f>
        <v>0</v>
      </c>
      <c r="BJ10" s="1294">
        <f>(IF('Section Load'!AQ13&gt;0,'Section Load'!AQ13,0))</f>
        <v>98.089999999996508</v>
      </c>
      <c r="BK10" s="1294">
        <f>(IF('Section Load'!AR13&gt;0,'Section Load'!AR13,0))</f>
        <v>37.799999999999272</v>
      </c>
      <c r="BL10" s="1294">
        <f>(IF('Section Load'!AS13&gt;0,'Section Load'!AS13,0))</f>
        <v>2.7999999999992724</v>
      </c>
      <c r="BM10" s="1294">
        <f>(IF('Section Load'!AT13&gt;0,'Section Load'!AT13,0))</f>
        <v>376.28000000009342</v>
      </c>
    </row>
    <row r="11" spans="1:65">
      <c r="A11" s="1276" t="s">
        <v>300</v>
      </c>
      <c r="B11" s="1277">
        <f t="shared" si="0"/>
        <v>10</v>
      </c>
      <c r="C11" s="1277">
        <v>7</v>
      </c>
      <c r="D11" s="1277">
        <v>2021</v>
      </c>
      <c r="E11" s="1292">
        <f>(IF('Section Load'!F14&gt;0,'Section Load'!F14,0))</f>
        <v>3138</v>
      </c>
      <c r="F11" s="1292">
        <f>(IF('Section Load'!G14&gt;0,'Section Load'!G14,0))</f>
        <v>1601</v>
      </c>
      <c r="G11" s="1292">
        <f>(IF('Section Load'!H14&gt;0,'Section Load'!H14,0))</f>
        <v>1644</v>
      </c>
      <c r="H11" s="1292">
        <f>(IF('Section Load'!I14&gt;0,'Section Load'!I14,0))</f>
        <v>3580.3300000000163</v>
      </c>
      <c r="I11" s="1292">
        <f>(IF('Section Load'!J14&gt;0,'Section Load'!J14,0))</f>
        <v>6097</v>
      </c>
      <c r="J11" s="1292">
        <f>(IF('Section Load'!K14&gt;0,'Section Load'!K14,0))</f>
        <v>2543</v>
      </c>
      <c r="K11" s="1292">
        <f>(IF('Section Load'!L14&gt;0,'Section Load'!L14,0))</f>
        <v>1093</v>
      </c>
      <c r="L11" s="1292">
        <f>(IF('Section Load'!M14&gt;0,'Section Load'!M14,0))</f>
        <v>769</v>
      </c>
      <c r="M11" s="1292">
        <f>(IF('Section Load'!N14&gt;0,'Section Load'!N14,0))</f>
        <v>10</v>
      </c>
      <c r="N11" s="1292">
        <f>(IF('Section Load'!O14&gt;0,'Section Load'!O14,0))</f>
        <v>2</v>
      </c>
      <c r="O11" s="1292">
        <f>(IF('Section Load'!P14&gt;0,'Section Load'!P14,0))</f>
        <v>1</v>
      </c>
      <c r="P11" s="1292">
        <f>(IF('Section Load'!Q14&gt;0,'Section Load'!Q14,0))</f>
        <v>170</v>
      </c>
      <c r="Q11" s="1292">
        <f>(IF('Section Load'!R14&gt;0,'Section Load'!R14,0))</f>
        <v>63</v>
      </c>
      <c r="R11" s="1292">
        <f>(IF('Section Load'!S14&gt;0,'Section Load'!S14,0))</f>
        <v>60</v>
      </c>
      <c r="S11" s="1292">
        <f>(IF('Section Load'!T14&gt;0,'Section Load'!T14,0))</f>
        <v>59</v>
      </c>
      <c r="T11" s="1292">
        <f>(IF('Section Load'!U14&gt;0,'Section Load'!U14,0))</f>
        <v>162</v>
      </c>
      <c r="U11" s="1292">
        <f>(IF('Section Load'!V14&gt;0,'Section Load'!V14,0))</f>
        <v>406</v>
      </c>
      <c r="V11" s="1292">
        <f>(IF('Section Load'!W14&gt;0,'Section Load'!W14,0))</f>
        <v>216</v>
      </c>
      <c r="W11" s="1292">
        <f>(IF('Section Load'!X14&gt;0,'Section Load'!X14,0))</f>
        <v>13</v>
      </c>
      <c r="X11" s="1292">
        <f>(IF('Section Load'!Y14&gt;0,'Section Load'!Y14,0))</f>
        <v>194</v>
      </c>
      <c r="Y11" s="1292">
        <f>(IF('Section Load'!Z14&gt;0,'Section Load'!Z14,0))</f>
        <v>227</v>
      </c>
      <c r="Z11" s="1292">
        <f>(IF('Section Load'!AA14&gt;0,'Section Load'!AA14,0))</f>
        <v>23</v>
      </c>
      <c r="AA11" s="1292">
        <f>(IF('Section Load'!AB14&gt;0,'Section Load'!AB14,0))</f>
        <v>15</v>
      </c>
      <c r="AB11" s="1292">
        <f>(IF('Section Load'!AC14&gt;0,'Section Load'!AC14,0))</f>
        <v>117</v>
      </c>
      <c r="AC11" s="1292">
        <f>(IF('Section Load'!AD14&gt;0,'Section Load'!AD14,0))</f>
        <v>27.099999999999909</v>
      </c>
      <c r="AD11" s="1292">
        <f>(IF('Section Load'!AE14&gt;0,'Section Load'!AE14,0))</f>
        <v>0</v>
      </c>
      <c r="AE11" s="1292">
        <f>(IF('Section Load'!AF14&gt;0,'Section Load'!AF14,0))</f>
        <v>0</v>
      </c>
      <c r="AF11" s="1292">
        <f>(IF('Section Load'!AG14&gt;0,'Section Load'!AG14,0))</f>
        <v>374</v>
      </c>
      <c r="AG11" s="1292">
        <f>(IF('Section Load'!AH14&gt;0,'Section Load'!AH14,0))</f>
        <v>396</v>
      </c>
      <c r="AH11" s="1292">
        <f>(IF('Section Load'!AI14&gt;0,'Section Load'!AI14,0))</f>
        <v>401</v>
      </c>
      <c r="AI11" s="1292">
        <f>(IF('Section Load'!AJ14&gt;0,'Section Load'!AJ14,0))</f>
        <v>440</v>
      </c>
      <c r="AJ11" s="1292">
        <f>(IF('Section Load'!AK14&gt;0,'Section Load'!AK14,0))</f>
        <v>0</v>
      </c>
      <c r="AK11" s="1292">
        <f>(IF('Section Load'!AL14&gt;0,'Section Load'!AL14,0))</f>
        <v>257</v>
      </c>
      <c r="AL11" s="1292">
        <f>(IF('Section Load'!AM14&gt;0,'Section Load'!AM14,0))</f>
        <v>785</v>
      </c>
      <c r="AM11" s="1293">
        <f>(IF('Water Report'!$M$7&gt;0,'Water Report'!$M$7,0))</f>
        <v>121</v>
      </c>
      <c r="AN11" s="1293">
        <f>(IF('Water Report'!$M$8&gt;0,'Water Report'!$M$8,0))</f>
        <v>96</v>
      </c>
      <c r="AO11" s="1293">
        <f>(IF('Water Report'!$M$9&gt;0,'Water Report'!$M$9,0))</f>
        <v>76</v>
      </c>
      <c r="AP11" s="1293">
        <f>(IF('Water Report'!$M$10&gt;0,'Water Report'!$M$10,0))</f>
        <v>26</v>
      </c>
      <c r="AQ11" s="1293">
        <f>(IF('Water Report'!$M$11&gt;0,'Water Report'!$M$11,0))</f>
        <v>35</v>
      </c>
      <c r="AR11" s="1293">
        <f>(IF('Water Report'!$M$13&gt;0,'Water Report'!$M$13,0))</f>
        <v>25</v>
      </c>
      <c r="AS11" s="1293">
        <f>(IF('Water Report'!$M$14&gt;0,'Water Report'!$M$14,0))</f>
        <v>22</v>
      </c>
      <c r="AT11" s="1293">
        <f>(IF('Water Report'!$M$15&gt;0,'Water Report'!$M$15,0))</f>
        <v>22</v>
      </c>
      <c r="AU11" s="1293">
        <f>(IF('Water Report'!$M$17&gt;0,'Water Report'!$M$17,0))</f>
        <v>0</v>
      </c>
      <c r="AV11" s="1293">
        <f>(IF('Water Report'!$M$18&gt;0,'Water Report'!$M$18,0))</f>
        <v>11</v>
      </c>
      <c r="AW11" s="1293">
        <f>(IF('Water Report'!$M$19&gt;0,'Water Report'!$M$19,0))</f>
        <v>5</v>
      </c>
      <c r="AX11" s="1368">
        <f>(IF('Water Report'!$M$21&gt;0,'Water Report'!$M$21,0))</f>
        <v>87</v>
      </c>
      <c r="AY11" s="1368">
        <f>(IF('Water Report'!$M$22&gt;0,'Water Report'!$M$22,0))</f>
        <v>14</v>
      </c>
      <c r="AZ11" s="1368">
        <f>(IF('Water Report'!$M$23&gt;0,'Water Report'!$M$23,0))</f>
        <v>0</v>
      </c>
      <c r="BA11" s="1368">
        <f>(IF('Water Report'!$M$14&gt;0,'Water Report'!$M$14,0))</f>
        <v>22</v>
      </c>
      <c r="BB11" s="1368">
        <f>(IF('Water Report'!$M$15&gt;0,'Water Report'!$M$15,0))</f>
        <v>22</v>
      </c>
      <c r="BC11" s="1368">
        <f>(IF('Water Report'!$M$13&gt;0,'Water Report'!$M$13,0))</f>
        <v>25</v>
      </c>
      <c r="BD11" s="1368">
        <f>(IF('Water Report'!$M$24&gt;0,'Water Report'!$M$24,0))</f>
        <v>218</v>
      </c>
      <c r="BE11" s="1368">
        <f>(IF('Water Report'!$M$25&gt;0,'Water Report'!$M$25,0))</f>
        <v>181</v>
      </c>
      <c r="BF11" s="1368">
        <f>(IF('Water Report'!$M$27&gt;0,'Water Report'!$M$27,0))</f>
        <v>112</v>
      </c>
      <c r="BG11" s="1294">
        <f>(IF('Section Load'!AN14&gt;0,'Section Load'!AN14,0))</f>
        <v>829</v>
      </c>
      <c r="BH11" s="1294">
        <f>(IF('Section Load'!AO14&gt;0,'Section Load'!AO14,0))</f>
        <v>223</v>
      </c>
      <c r="BI11" s="1294">
        <f>(IF('Section Load'!AP14&gt;0,'Section Load'!AP14,0))</f>
        <v>0</v>
      </c>
      <c r="BJ11" s="1294">
        <f>(IF('Section Load'!AQ14&gt;0,'Section Load'!AQ14,0))</f>
        <v>102</v>
      </c>
      <c r="BK11" s="1294">
        <f>(IF('Section Load'!AR14&gt;0,'Section Load'!AR14,0))</f>
        <v>44</v>
      </c>
      <c r="BL11" s="1294">
        <f>(IF('Section Load'!AS14&gt;0,'Section Load'!AS14,0))</f>
        <v>8</v>
      </c>
      <c r="BM11" s="1294">
        <f>(IF('Section Load'!AT14&gt;0,'Section Load'!AT14,0))</f>
        <v>452</v>
      </c>
    </row>
    <row r="12" spans="1:65">
      <c r="A12" s="1276" t="s">
        <v>300</v>
      </c>
      <c r="B12" s="1277">
        <f t="shared" si="0"/>
        <v>11</v>
      </c>
      <c r="C12" s="1277">
        <v>7</v>
      </c>
      <c r="D12" s="1277">
        <v>2021</v>
      </c>
      <c r="E12" s="1292">
        <f>(IF('Section Load'!F15&gt;0,'Section Load'!F15,0))</f>
        <v>2956.0300000000279</v>
      </c>
      <c r="F12" s="1292">
        <f>(IF('Section Load'!G15&gt;0,'Section Load'!G15,0))</f>
        <v>1589.75</v>
      </c>
      <c r="G12" s="1292">
        <f>(IF('Section Load'!H15&gt;0,'Section Load'!H15,0))</f>
        <v>1661.7900000000081</v>
      </c>
      <c r="H12" s="1292">
        <f>(IF('Section Load'!I15&gt;0,'Section Load'!I15,0))</f>
        <v>3609.2600000000093</v>
      </c>
      <c r="I12" s="1292">
        <f>(IF('Section Load'!J15&gt;0,'Section Load'!J15,0))</f>
        <v>7134.0600000000122</v>
      </c>
      <c r="J12" s="1292">
        <f>(IF('Section Load'!K15&gt;0,'Section Load'!K15,0))</f>
        <v>2942.3999999999069</v>
      </c>
      <c r="K12" s="1292">
        <f>(IF('Section Load'!L15&gt;0,'Section Load'!L15,0))</f>
        <v>1216.5500000000466</v>
      </c>
      <c r="L12" s="1292">
        <f>(IF('Section Load'!M15&gt;0,'Section Load'!M15,0))</f>
        <v>1013.2099999999991</v>
      </c>
      <c r="M12" s="1292">
        <f>(IF('Section Load'!N15&gt;0,'Section Load'!N15,0))</f>
        <v>11</v>
      </c>
      <c r="N12" s="1292">
        <f>(IF('Section Load'!O15&gt;0,'Section Load'!O15,0))</f>
        <v>1</v>
      </c>
      <c r="O12" s="1292">
        <f>(IF('Section Load'!P15&gt;0,'Section Load'!P15,0))</f>
        <v>1.6000000000058208</v>
      </c>
      <c r="P12" s="1292">
        <f>(IF('Section Load'!Q15&gt;0,'Section Load'!Q15,0))</f>
        <v>150.29000000000087</v>
      </c>
      <c r="Q12" s="1292">
        <f>(IF('Section Load'!R15&gt;0,'Section Load'!R15,0))</f>
        <v>60.290000000000873</v>
      </c>
      <c r="R12" s="1292">
        <f>(IF('Section Load'!S15&gt;0,'Section Load'!S15,0))</f>
        <v>52</v>
      </c>
      <c r="S12" s="1292">
        <f>(IF('Section Load'!T15&gt;0,'Section Load'!T15,0))</f>
        <v>61</v>
      </c>
      <c r="T12" s="1292">
        <f>(IF('Section Load'!U15&gt;0,'Section Load'!U15,0))</f>
        <v>144</v>
      </c>
      <c r="U12" s="1292">
        <f>(IF('Section Load'!V15&gt;0,'Section Load'!V15,0))</f>
        <v>448.1600000000326</v>
      </c>
      <c r="V12" s="1292">
        <f>(IF('Section Load'!W15&gt;0,'Section Load'!W15,0))</f>
        <v>279</v>
      </c>
      <c r="W12" s="1292">
        <f>(IF('Section Load'!X15&gt;0,'Section Load'!X15,0))</f>
        <v>28.610000000000582</v>
      </c>
      <c r="X12" s="1292">
        <f>(IF('Section Load'!Y15&gt;0,'Section Load'!Y15,0))</f>
        <v>222.05999999999767</v>
      </c>
      <c r="Y12" s="1292">
        <f>(IF('Section Load'!Z15&gt;0,'Section Load'!Z15,0))</f>
        <v>262</v>
      </c>
      <c r="Z12" s="1292">
        <f>(IF('Section Load'!AA15&gt;0,'Section Load'!AA15,0))</f>
        <v>49.799999999988358</v>
      </c>
      <c r="AA12" s="1292">
        <f>(IF('Section Load'!AB15&gt;0,'Section Load'!AB15,0))</f>
        <v>11.30000000000291</v>
      </c>
      <c r="AB12" s="1292">
        <f>(IF('Section Load'!AC15&gt;0,'Section Load'!AC15,0))</f>
        <v>36.410000000003492</v>
      </c>
      <c r="AC12" s="1292">
        <f>(IF('Section Load'!AD15&gt;0,'Section Load'!AD15,0))</f>
        <v>12.700000000003001</v>
      </c>
      <c r="AD12" s="1292">
        <f>(IF('Section Load'!AE15&gt;0,'Section Load'!AE15,0))</f>
        <v>0</v>
      </c>
      <c r="AE12" s="1292">
        <f>(IF('Section Load'!AF15&gt;0,'Section Load'!AF15,0))</f>
        <v>0</v>
      </c>
      <c r="AF12" s="1292">
        <f>(IF('Section Load'!AG15&gt;0,'Section Load'!AG15,0))</f>
        <v>374.42999999999302</v>
      </c>
      <c r="AG12" s="1292">
        <f>(IF('Section Load'!AH15&gt;0,'Section Load'!AH15,0))</f>
        <v>386.92999999999302</v>
      </c>
      <c r="AH12" s="1292">
        <f>(IF('Section Load'!AI15&gt;0,'Section Load'!AI15,0))</f>
        <v>431.13000000000466</v>
      </c>
      <c r="AI12" s="1292">
        <f>(IF('Section Load'!AJ15&gt;0,'Section Load'!AJ15,0))</f>
        <v>435.69000000000233</v>
      </c>
      <c r="AJ12" s="1292">
        <f>(IF('Section Load'!AK15&gt;0,'Section Load'!AK15,0))</f>
        <v>0</v>
      </c>
      <c r="AK12" s="1292">
        <f>(IF('Section Load'!AL15&gt;0,'Section Load'!AL15,0))</f>
        <v>281</v>
      </c>
      <c r="AL12" s="1292">
        <f>(IF('Section Load'!AM15&gt;0,'Section Load'!AM15,0))</f>
        <v>784</v>
      </c>
      <c r="AM12" s="1293">
        <f>(IF('Water Report'!$N$7&gt;0,'Water Report'!$N$7,0))</f>
        <v>129</v>
      </c>
      <c r="AN12" s="1293">
        <f>(IF('Water Report'!$N$8&gt;0,'Water Report'!$N$8,0))</f>
        <v>163</v>
      </c>
      <c r="AO12" s="1293">
        <f>(IF('Water Report'!$N$9&gt;0,'Water Report'!$N$9,0))</f>
        <v>77</v>
      </c>
      <c r="AP12" s="1293">
        <f>(IF('Water Report'!$N$10&gt;0,'Water Report'!$N$10,0))</f>
        <v>32</v>
      </c>
      <c r="AQ12" s="1293">
        <f>(IF('Water Report'!$N$11&gt;0,'Water Report'!$N$11,0))</f>
        <v>41</v>
      </c>
      <c r="AR12" s="1293">
        <f>(IF('Water Report'!$N$13&gt;0,'Water Report'!$N$13,0))</f>
        <v>17</v>
      </c>
      <c r="AS12" s="1293">
        <f>(IF('Water Report'!$N$14&gt;0,'Water Report'!$N$14,0))</f>
        <v>17</v>
      </c>
      <c r="AT12" s="1293">
        <f>(IF('Water Report'!$N$15&gt;0,'Water Report'!$N$15,0))</f>
        <v>9</v>
      </c>
      <c r="AU12" s="1293">
        <f>(IF('Water Report'!$N$17&gt;0,'Water Report'!$N$17,0))</f>
        <v>0</v>
      </c>
      <c r="AV12" s="1293">
        <f>(IF('Water Report'!$N$18&gt;0,'Water Report'!$N$18,0))</f>
        <v>12</v>
      </c>
      <c r="AW12" s="1293">
        <f>(IF('Water Report'!$N$19&gt;0,'Water Report'!$N$19,0))</f>
        <v>5</v>
      </c>
      <c r="AX12" s="1368">
        <f>(IF('Water Report'!$N$21&gt;0,'Water Report'!$N$21,0))</f>
        <v>65</v>
      </c>
      <c r="AY12" s="1368">
        <f>(IF('Water Report'!$N$22&gt;0,'Water Report'!$N$22,0))</f>
        <v>24</v>
      </c>
      <c r="AZ12" s="1368">
        <f>(IF('Water Report'!$N$23&gt;0,'Water Report'!$N$23,0))</f>
        <v>0</v>
      </c>
      <c r="BA12" s="1368">
        <f>(IF('Water Report'!$N$14&gt;0,'Water Report'!$N$14,0))</f>
        <v>17</v>
      </c>
      <c r="BB12" s="1368">
        <f>(IF('Water Report'!$N$15&gt;0,'Water Report'!$N$15,0))</f>
        <v>9</v>
      </c>
      <c r="BC12" s="1368">
        <f>(IF('Water Report'!$N$13&gt;0,'Water Report'!$N$13,0))</f>
        <v>17</v>
      </c>
      <c r="BD12" s="1368">
        <f>(IF('Water Report'!$N$24&gt;0,'Water Report'!$N$24,0))</f>
        <v>240</v>
      </c>
      <c r="BE12" s="1368">
        <f>(IF('Water Report'!$N$25&gt;0,'Water Report'!$N$25,0))</f>
        <v>176</v>
      </c>
      <c r="BF12" s="1368">
        <f>(IF('Water Report'!$N$27&gt;0,'Water Report'!$N$27,0))</f>
        <v>82</v>
      </c>
      <c r="BG12" s="1294">
        <f>(IF('Section Load'!AN15&gt;0,'Section Load'!AN15,0))</f>
        <v>986.40999999991618</v>
      </c>
      <c r="BH12" s="1294">
        <f>(IF('Section Load'!AO15&gt;0,'Section Load'!AO15,0))</f>
        <v>295.88000000000466</v>
      </c>
      <c r="BI12" s="1294">
        <f>(IF('Section Load'!AP15&gt;0,'Section Load'!AP15,0))</f>
        <v>0</v>
      </c>
      <c r="BJ12" s="1294">
        <f>(IF('Section Load'!AQ15&gt;0,'Section Load'!AQ15,0))</f>
        <v>89.910000000003492</v>
      </c>
      <c r="BK12" s="1294">
        <f>(IF('Section Load'!AR15&gt;0,'Section Load'!AR15,0))</f>
        <v>46.799999999999272</v>
      </c>
      <c r="BL12" s="1294">
        <f>(IF('Section Load'!AS15&gt;0,'Section Load'!AS15,0))</f>
        <v>4.7000000000007276</v>
      </c>
      <c r="BM12" s="1294">
        <f>(IF('Section Load'!AT15&gt;0,'Section Load'!AT15,0))</f>
        <v>549.11999999990803</v>
      </c>
    </row>
    <row r="13" spans="1:65">
      <c r="A13" s="1276" t="s">
        <v>300</v>
      </c>
      <c r="B13" s="1277">
        <f t="shared" si="0"/>
        <v>12</v>
      </c>
      <c r="C13" s="1277">
        <v>7</v>
      </c>
      <c r="D13" s="1277">
        <v>2021</v>
      </c>
      <c r="E13" s="1292">
        <f>(IF('Section Load'!F16&gt;0,'Section Load'!F16,0))</f>
        <v>3001.4000000000233</v>
      </c>
      <c r="F13" s="1292">
        <f>(IF('Section Load'!G16&gt;0,'Section Load'!G16,0))</f>
        <v>1595.1199999999953</v>
      </c>
      <c r="G13" s="1292">
        <f>(IF('Section Load'!H16&gt;0,'Section Load'!H16,0))</f>
        <v>1595.1999999999825</v>
      </c>
      <c r="H13" s="1292">
        <f>(IF('Section Load'!I16&gt;0,'Section Load'!I16,0))</f>
        <v>3711.7399999999907</v>
      </c>
      <c r="I13" s="1292">
        <f>(IF('Section Load'!J16&gt;0,'Section Load'!J16,0))</f>
        <v>6204.239999999998</v>
      </c>
      <c r="J13" s="1292">
        <f>(IF('Section Load'!K16&gt;0,'Section Load'!K16,0))</f>
        <v>2563.2000000001863</v>
      </c>
      <c r="K13" s="1292">
        <f>(IF('Section Load'!L16&gt;0,'Section Load'!L16,0))</f>
        <v>1103.5599999999395</v>
      </c>
      <c r="L13" s="1292">
        <f>(IF('Section Load'!M16&gt;0,'Section Load'!M16,0))</f>
        <v>695.77000000000044</v>
      </c>
      <c r="M13" s="1292">
        <f>(IF('Section Load'!N16&gt;0,'Section Load'!N16,0))</f>
        <v>13</v>
      </c>
      <c r="N13" s="1292">
        <f>(IF('Section Load'!O16&gt;0,'Section Load'!O16,0))</f>
        <v>1</v>
      </c>
      <c r="O13" s="1292">
        <f>(IF('Section Load'!P16&gt;0,'Section Load'!P16,0))</f>
        <v>1.6999999999970896</v>
      </c>
      <c r="P13" s="1292">
        <f>(IF('Section Load'!Q16&gt;0,'Section Load'!Q16,0))</f>
        <v>145.54999999999927</v>
      </c>
      <c r="Q13" s="1292">
        <f>(IF('Section Load'!R16&gt;0,'Section Load'!R16,0))</f>
        <v>66</v>
      </c>
      <c r="R13" s="1292">
        <f>(IF('Section Load'!S16&gt;0,'Section Load'!S16,0))</f>
        <v>53</v>
      </c>
      <c r="S13" s="1292">
        <f>(IF('Section Load'!T16&gt;0,'Section Load'!T16,0))</f>
        <v>56</v>
      </c>
      <c r="T13" s="1292">
        <f>(IF('Section Load'!U16&gt;0,'Section Load'!U16,0))</f>
        <v>155</v>
      </c>
      <c r="U13" s="1292">
        <f>(IF('Section Load'!V16&gt;0,'Section Load'!V16,0))</f>
        <v>418.88000000000466</v>
      </c>
      <c r="V13" s="1292">
        <f>(IF('Section Load'!W16&gt;0,'Section Load'!W16,0))</f>
        <v>132.31999999994878</v>
      </c>
      <c r="W13" s="1292">
        <f>(IF('Section Load'!X16&gt;0,'Section Load'!X16,0))</f>
        <v>14.160000000003492</v>
      </c>
      <c r="X13" s="1292">
        <f>(IF('Section Load'!Y16&gt;0,'Section Load'!Y16,0))</f>
        <v>231.10000000000582</v>
      </c>
      <c r="Y13" s="1292">
        <f>(IF('Section Load'!Z16&gt;0,'Section Load'!Z16,0))</f>
        <v>237</v>
      </c>
      <c r="Z13" s="1292">
        <f>(IF('Section Load'!AA16&gt;0,'Section Load'!AA16,0))</f>
        <v>31.840000000025611</v>
      </c>
      <c r="AA13" s="1292">
        <f>(IF('Section Load'!AB16&gt;0,'Section Load'!AB16,0))</f>
        <v>24.80000000000291</v>
      </c>
      <c r="AB13" s="1292">
        <f>(IF('Section Load'!AC16&gt;0,'Section Load'!AC16,0))</f>
        <v>112.32000000000698</v>
      </c>
      <c r="AC13" s="1292">
        <f>(IF('Section Load'!AD16&gt;0,'Section Load'!AD16,0))</f>
        <v>28.600000000002638</v>
      </c>
      <c r="AD13" s="1292">
        <f>(IF('Section Load'!AE16&gt;0,'Section Load'!AE16,0))</f>
        <v>0</v>
      </c>
      <c r="AE13" s="1292">
        <f>(IF('Section Load'!AF16&gt;0,'Section Load'!AF16,0))</f>
        <v>0</v>
      </c>
      <c r="AF13" s="1292">
        <f>(IF('Section Load'!AG16&gt;0,'Section Load'!AG16,0))</f>
        <v>374.82000000000698</v>
      </c>
      <c r="AG13" s="1292">
        <f>(IF('Section Load'!AH16&gt;0,'Section Load'!AH16,0))</f>
        <v>381.96000000002095</v>
      </c>
      <c r="AH13" s="1292">
        <f>(IF('Section Load'!AI16&gt;0,'Section Load'!AI16,0))</f>
        <v>421.83000000000175</v>
      </c>
      <c r="AI13" s="1292">
        <f>(IF('Section Load'!AJ16&gt;0,'Section Load'!AJ16,0))</f>
        <v>440.97999999998137</v>
      </c>
      <c r="AJ13" s="1292">
        <f>(IF('Section Load'!AK16&gt;0,'Section Load'!AK16,0))</f>
        <v>0</v>
      </c>
      <c r="AK13" s="1292">
        <f>(IF('Section Load'!AL16&gt;0,'Section Load'!AL16,0))</f>
        <v>282.99000000000524</v>
      </c>
      <c r="AL13" s="1292">
        <f>(IF('Section Load'!AM16&gt;0,'Section Load'!AM16,0))</f>
        <v>767</v>
      </c>
      <c r="AM13" s="1293">
        <f>(IF('Water Report'!$O$7&gt;0,'Water Report'!$O$7,0))</f>
        <v>95</v>
      </c>
      <c r="AN13" s="1293">
        <f>(IF('Water Report'!$O$8&gt;0,'Water Report'!$O$8,0))</f>
        <v>131</v>
      </c>
      <c r="AO13" s="1293">
        <f>(IF('Water Report'!$O$9&gt;0,'Water Report'!$O$9,0))</f>
        <v>91</v>
      </c>
      <c r="AP13" s="1293">
        <f>(IF('Water Report'!$O$10&gt;0,'Water Report'!$O$10,0))</f>
        <v>22</v>
      </c>
      <c r="AQ13" s="1293">
        <f>(IF('Water Report'!$O$11&gt;0,'Water Report'!$O$11,0))</f>
        <v>21</v>
      </c>
      <c r="AR13" s="1293">
        <f>(IF('Water Report'!$O$13&gt;0,'Water Report'!$O$13,0))</f>
        <v>71</v>
      </c>
      <c r="AS13" s="1293">
        <f>(IF('Water Report'!$O$14&gt;0,'Water Report'!$O$14,0))</f>
        <v>16</v>
      </c>
      <c r="AT13" s="1293">
        <f>(IF('Water Report'!$O$15&gt;0,'Water Report'!$O$15,0))</f>
        <v>11</v>
      </c>
      <c r="AU13" s="1293">
        <f>(IF('Water Report'!$O$17&gt;0,'Water Report'!$O$17,0))</f>
        <v>0</v>
      </c>
      <c r="AV13" s="1293">
        <f>(IF('Water Report'!$O$18&gt;0,'Water Report'!$O$18,0))</f>
        <v>14</v>
      </c>
      <c r="AW13" s="1293">
        <f>(IF('Water Report'!$O$19&gt;0,'Water Report'!$O$19,0))</f>
        <v>5</v>
      </c>
      <c r="AX13" s="1368">
        <f>(IF('Water Report'!$O$21&gt;0,'Water Report'!$O$21,0))</f>
        <v>64</v>
      </c>
      <c r="AY13" s="1368">
        <f>(IF('Water Report'!$O$22&gt;0,'Water Report'!$O$22,0))</f>
        <v>70</v>
      </c>
      <c r="AZ13" s="1368">
        <f>(IF('Water Report'!$O$23&gt;0,'Water Report'!$O$23,0))</f>
        <v>0</v>
      </c>
      <c r="BA13" s="1368">
        <f>(IF('Water Report'!$O$14&gt;0,'Water Report'!$O$14,0))</f>
        <v>16</v>
      </c>
      <c r="BB13" s="1368">
        <f>(IF('Water Report'!$O$15&gt;0,'Water Report'!$O$15,0))</f>
        <v>11</v>
      </c>
      <c r="BC13" s="1368">
        <f>(IF('Water Report'!$O$13&gt;0,'Water Report'!$O$13,0))</f>
        <v>71</v>
      </c>
      <c r="BD13" s="1368">
        <f>(IF('Water Report'!$O$24&gt;0,'Water Report'!$O$24,0))</f>
        <v>186</v>
      </c>
      <c r="BE13" s="1368">
        <f>(IF('Water Report'!$O$25&gt;0,'Water Report'!$O$25,0))</f>
        <v>161</v>
      </c>
      <c r="BF13" s="1368">
        <f>(IF('Water Report'!$O$27&gt;0,'Water Report'!$O$27,0))</f>
        <v>135</v>
      </c>
      <c r="BG13" s="1294">
        <f>(IF('Section Load'!AN16&gt;0,'Section Load'!AN16,0))</f>
        <v>914.79000000003725</v>
      </c>
      <c r="BH13" s="1294">
        <f>(IF('Section Load'!AO16&gt;0,'Section Load'!AO16,0))</f>
        <v>267.13000000000466</v>
      </c>
      <c r="BI13" s="1294">
        <f>(IF('Section Load'!AP16&gt;0,'Section Load'!AP16,0))</f>
        <v>0</v>
      </c>
      <c r="BJ13" s="1294">
        <f>(IF('Section Load'!AQ16&gt;0,'Section Load'!AQ16,0))</f>
        <v>104.32000000000698</v>
      </c>
      <c r="BK13" s="1294">
        <f>(IF('Section Load'!AR16&gt;0,'Section Load'!AR16,0))</f>
        <v>35.400000000001455</v>
      </c>
      <c r="BL13" s="1294">
        <f>(IF('Section Load'!AS16&gt;0,'Section Load'!AS16,0))</f>
        <v>4.1999999999989086</v>
      </c>
      <c r="BM13" s="1294">
        <f>(IF('Section Load'!AT16&gt;0,'Section Load'!AT16,0))</f>
        <v>504.14000000001943</v>
      </c>
    </row>
    <row r="14" spans="1:65">
      <c r="A14" s="1276" t="s">
        <v>300</v>
      </c>
      <c r="B14" s="1277">
        <f t="shared" si="0"/>
        <v>13</v>
      </c>
      <c r="C14" s="1277">
        <v>7</v>
      </c>
      <c r="D14" s="1277">
        <v>2021</v>
      </c>
      <c r="E14" s="1292">
        <f>(IF('Section Load'!F17&gt;0,'Section Load'!F17,0))</f>
        <v>2899.5699999999488</v>
      </c>
      <c r="F14" s="1292">
        <f>(IF('Section Load'!G17&gt;0,'Section Load'!G17,0))</f>
        <v>1577.1300000000047</v>
      </c>
      <c r="G14" s="1292">
        <f>(IF('Section Load'!H17&gt;0,'Section Load'!H17,0))</f>
        <v>1632.0100000000093</v>
      </c>
      <c r="H14" s="1292">
        <f>(IF('Section Load'!I17&gt;0,'Section Load'!I17,0))</f>
        <v>3726</v>
      </c>
      <c r="I14" s="1292">
        <f>(IF('Section Load'!J17&gt;0,'Section Load'!J17,0))</f>
        <v>6191.8099999999613</v>
      </c>
      <c r="J14" s="1292">
        <f>(IF('Section Load'!K17&gt;0,'Section Load'!K17,0))</f>
        <v>2552.7299999999068</v>
      </c>
      <c r="K14" s="1292">
        <f>(IF('Section Load'!L17&gt;0,'Section Load'!L17,0))</f>
        <v>1162.890000000014</v>
      </c>
      <c r="L14" s="1292">
        <f>(IF('Section Load'!M17&gt;0,'Section Load'!M17,0))</f>
        <v>969.02000000000044</v>
      </c>
      <c r="M14" s="1292">
        <f>(IF('Section Load'!N17&gt;0,'Section Load'!N17,0))</f>
        <v>13</v>
      </c>
      <c r="N14" s="1292">
        <f>(IF('Section Load'!O17&gt;0,'Section Load'!O17,0))</f>
        <v>2</v>
      </c>
      <c r="O14" s="1292">
        <f>(IF('Section Load'!P17&gt;0,'Section Load'!P17,0))</f>
        <v>1.6999999999970896</v>
      </c>
      <c r="P14" s="1292">
        <f>(IF('Section Load'!Q17&gt;0,'Section Load'!Q17,0))</f>
        <v>155.15999999999985</v>
      </c>
      <c r="Q14" s="1292">
        <f>(IF('Section Load'!R17&gt;0,'Section Load'!R17,0))</f>
        <v>64.709999999999127</v>
      </c>
      <c r="R14" s="1292">
        <f>(IF('Section Load'!S17&gt;0,'Section Load'!S17,0))</f>
        <v>53</v>
      </c>
      <c r="S14" s="1292">
        <f>(IF('Section Load'!T17&gt;0,'Section Load'!T17,0))</f>
        <v>93</v>
      </c>
      <c r="T14" s="1292">
        <f>(IF('Section Load'!U17&gt;0,'Section Load'!U17,0))</f>
        <v>175</v>
      </c>
      <c r="U14" s="1292">
        <f>(IF('Section Load'!V17&gt;0,'Section Load'!V17,0))</f>
        <v>404.95999999996275</v>
      </c>
      <c r="V14" s="1292">
        <f>(IF('Section Load'!W17&gt;0,'Section Load'!W17,0))</f>
        <v>153.68000000005122</v>
      </c>
      <c r="W14" s="1292">
        <f>(IF('Section Load'!X17&gt;0,'Section Load'!X17,0))</f>
        <v>30.229999999995925</v>
      </c>
      <c r="X14" s="1292">
        <f>(IF('Section Load'!Y17&gt;0,'Section Load'!Y17,0))</f>
        <v>206.83999999999651</v>
      </c>
      <c r="Y14" s="1292">
        <f>(IF('Section Load'!Z17&gt;0,'Section Load'!Z17,0))</f>
        <v>232</v>
      </c>
      <c r="Z14" s="1292">
        <f>(IF('Section Load'!AA17&gt;0,'Section Load'!AA17,0))</f>
        <v>17.35999999998603</v>
      </c>
      <c r="AA14" s="1292">
        <f>(IF('Section Load'!AB17&gt;0,'Section Load'!AB17,0))</f>
        <v>26.899999999994179</v>
      </c>
      <c r="AB14" s="1292">
        <f>(IF('Section Load'!AC17&gt;0,'Section Load'!AC17,0))</f>
        <v>148.26999999998952</v>
      </c>
      <c r="AC14" s="1292">
        <f>(IF('Section Load'!AD17&gt;0,'Section Load'!AD17,0))</f>
        <v>29.699999999994361</v>
      </c>
      <c r="AD14" s="1292">
        <f>(IF('Section Load'!AE17&gt;0,'Section Load'!AE17,0))</f>
        <v>0</v>
      </c>
      <c r="AE14" s="1292">
        <f>(IF('Section Load'!AF17&gt;0,'Section Load'!AF17,0))</f>
        <v>0</v>
      </c>
      <c r="AF14" s="1292">
        <f>(IF('Section Load'!AG17&gt;0,'Section Load'!AG17,0))</f>
        <v>373.75</v>
      </c>
      <c r="AG14" s="1292">
        <f>(IF('Section Load'!AH17&gt;0,'Section Load'!AH17,0))</f>
        <v>405.10999999998603</v>
      </c>
      <c r="AH14" s="1292">
        <f>(IF('Section Load'!AI17&gt;0,'Section Load'!AI17,0))</f>
        <v>405.0399999999936</v>
      </c>
      <c r="AI14" s="1292">
        <f>(IF('Section Load'!AJ17&gt;0,'Section Load'!AJ17,0))</f>
        <v>465.3300000000163</v>
      </c>
      <c r="AJ14" s="1292">
        <f>(IF('Section Load'!AK17&gt;0,'Section Load'!AK17,0))</f>
        <v>0</v>
      </c>
      <c r="AK14" s="1292">
        <f>(IF('Section Load'!AL17&gt;0,'Section Load'!AL17,0))</f>
        <v>281.00999999999476</v>
      </c>
      <c r="AL14" s="1292">
        <f>(IF('Section Load'!AM17&gt;0,'Section Load'!AM17,0))</f>
        <v>787</v>
      </c>
      <c r="AM14" s="1293">
        <f>(IF('Water Report'!$P$7&gt;0,'Water Report'!$P$7,0))</f>
        <v>91</v>
      </c>
      <c r="AN14" s="1293">
        <f>(IF('Water Report'!$P$8&gt;0,'Water Report'!$P$8,0))</f>
        <v>106</v>
      </c>
      <c r="AO14" s="1293">
        <f>(IF('Water Report'!$P$9&gt;0,'Water Report'!$P$9,0))</f>
        <v>101</v>
      </c>
      <c r="AP14" s="1293">
        <f>(IF('Water Report'!$P$10&gt;0,'Water Report'!$P$10,0))</f>
        <v>15</v>
      </c>
      <c r="AQ14" s="1293">
        <f>(IF('Water Report'!$P$11&gt;0,'Water Report'!$P$11,0))</f>
        <v>24</v>
      </c>
      <c r="AR14" s="1293">
        <f>(IF('Water Report'!$P$13&gt;0,'Water Report'!$P$13,0))</f>
        <v>17</v>
      </c>
      <c r="AS14" s="1293">
        <f>(IF('Water Report'!$P$14&gt;0,'Water Report'!$P$14,0))</f>
        <v>11</v>
      </c>
      <c r="AT14" s="1293">
        <f>(IF('Water Report'!$P$15&gt;0,'Water Report'!$P$15,0))</f>
        <v>4</v>
      </c>
      <c r="AU14" s="1293">
        <f>(IF('Water Report'!$P$17&gt;0,'Water Report'!$P$17,0))</f>
        <v>0</v>
      </c>
      <c r="AV14" s="1293">
        <f>(IF('Water Report'!$P$18&gt;0,'Water Report'!$P$18,0))</f>
        <v>23</v>
      </c>
      <c r="AW14" s="1293">
        <f>(IF('Water Report'!$P$19&gt;0,'Water Report'!$P$19,0))</f>
        <v>5</v>
      </c>
      <c r="AX14" s="1368">
        <f>(IF('Water Report'!$P$21&gt;0,'Water Report'!$P$21,0))</f>
        <v>65</v>
      </c>
      <c r="AY14" s="1368">
        <f>(IF('Water Report'!$P$22&gt;0,'Water Report'!$P$22,0))</f>
        <v>26</v>
      </c>
      <c r="AZ14" s="1368">
        <f>(IF('Water Report'!$P$23&gt;0,'Water Report'!$P$23,0))</f>
        <v>0</v>
      </c>
      <c r="BA14" s="1368">
        <f>(IF('Water Report'!$P$14&gt;0,'Water Report'!$P$14,0))</f>
        <v>11</v>
      </c>
      <c r="BB14" s="1368">
        <f>(IF('Water Report'!$P$15&gt;0,'Water Report'!$P$15,0))</f>
        <v>4</v>
      </c>
      <c r="BC14" s="1368">
        <f>(IF('Water Report'!$P$13&gt;0,'Water Report'!$P$13,0))</f>
        <v>17</v>
      </c>
      <c r="BD14" s="1368">
        <f>(IF('Water Report'!$P$24&gt;0,'Water Report'!$P$24,0))</f>
        <v>202</v>
      </c>
      <c r="BE14" s="1368">
        <f>(IF('Water Report'!$P$25&gt;0,'Water Report'!$P$25,0))</f>
        <v>155</v>
      </c>
      <c r="BF14" s="1368">
        <f>(IF('Water Report'!$P$27&gt;0,'Water Report'!$P$27,0))</f>
        <v>82</v>
      </c>
      <c r="BG14" s="1294">
        <f>(IF('Section Load'!AN17&gt;0,'Section Load'!AN17,0))</f>
        <v>943.80000000004657</v>
      </c>
      <c r="BH14" s="1294">
        <f>(IF('Section Load'!AO17&gt;0,'Section Load'!AO17,0))</f>
        <v>254.98999999999069</v>
      </c>
      <c r="BI14" s="1294">
        <f>(IF('Section Load'!AP17&gt;0,'Section Load'!AP17,0))</f>
        <v>0</v>
      </c>
      <c r="BJ14" s="1294">
        <f>(IF('Section Load'!AQ17&gt;0,'Section Load'!AQ17,0))</f>
        <v>94.769999999989523</v>
      </c>
      <c r="BK14" s="1294">
        <f>(IF('Section Load'!AR17&gt;0,'Section Load'!AR17,0))</f>
        <v>41.799999999999272</v>
      </c>
      <c r="BL14" s="1294">
        <f>(IF('Section Load'!AS17&gt;0,'Section Load'!AS17,0))</f>
        <v>6.1000000000003638</v>
      </c>
      <c r="BM14" s="1294">
        <f>(IF('Section Load'!AT17&gt;0,'Section Load'!AT17,0))</f>
        <v>546.14000000006672</v>
      </c>
    </row>
    <row r="15" spans="1:65">
      <c r="A15" s="1276" t="s">
        <v>300</v>
      </c>
      <c r="B15" s="1277">
        <f t="shared" si="0"/>
        <v>14</v>
      </c>
      <c r="C15" s="1277">
        <v>7</v>
      </c>
      <c r="D15" s="1277">
        <v>2021</v>
      </c>
      <c r="E15" s="1292">
        <f>(IF('Section Load'!F18&gt;0,'Section Load'!F18,0))</f>
        <v>2878.4700000000303</v>
      </c>
      <c r="F15" s="1292">
        <f>(IF('Section Load'!G18&gt;0,'Section Load'!G18,0))</f>
        <v>1649.3500000000058</v>
      </c>
      <c r="G15" s="1292">
        <f>(IF('Section Load'!H18&gt;0,'Section Load'!H18,0))</f>
        <v>1585.7900000000081</v>
      </c>
      <c r="H15" s="1292">
        <f>(IF('Section Load'!I18&gt;0,'Section Load'!I18,0))</f>
        <v>3716.460000000021</v>
      </c>
      <c r="I15" s="1292">
        <f>(IF('Section Load'!J18&gt;0,'Section Load'!J18,0))</f>
        <v>6122.539999999979</v>
      </c>
      <c r="J15" s="1292">
        <f>(IF('Section Load'!K18&gt;0,'Section Load'!K18,0))</f>
        <v>2640.3000000000466</v>
      </c>
      <c r="K15" s="1292">
        <f>(IF('Section Load'!L18&gt;0,'Section Load'!L18,0))</f>
        <v>1781.5699999999488</v>
      </c>
      <c r="L15" s="1292">
        <f>(IF('Section Load'!M18&gt;0,'Section Load'!M18,0))</f>
        <v>950.38000000000102</v>
      </c>
      <c r="M15" s="1292">
        <f>(IF('Section Load'!N18&gt;0,'Section Load'!N18,0))</f>
        <v>14</v>
      </c>
      <c r="N15" s="1292">
        <f>(IF('Section Load'!O18&gt;0,'Section Load'!O18,0))</f>
        <v>1</v>
      </c>
      <c r="O15" s="1292">
        <f>(IF('Section Load'!P18&gt;0,'Section Load'!P18,0))</f>
        <v>0</v>
      </c>
      <c r="P15" s="1292">
        <f>(IF('Section Load'!Q18&gt;0,'Section Load'!Q18,0))</f>
        <v>147.93000000000029</v>
      </c>
      <c r="Q15" s="1292">
        <f>(IF('Section Load'!R18&gt;0,'Section Load'!R18,0))</f>
        <v>61.979999999999563</v>
      </c>
      <c r="R15" s="1292">
        <f>(IF('Section Load'!S18&gt;0,'Section Load'!S18,0))</f>
        <v>52</v>
      </c>
      <c r="S15" s="1292">
        <f>(IF('Section Load'!T18&gt;0,'Section Load'!T18,0))</f>
        <v>136</v>
      </c>
      <c r="T15" s="1292">
        <f>(IF('Section Load'!U18&gt;0,'Section Load'!U18,0))</f>
        <v>173</v>
      </c>
      <c r="U15" s="1292">
        <f>(IF('Section Load'!V18&gt;0,'Section Load'!V18,0))</f>
        <v>486.80000000004657</v>
      </c>
      <c r="V15" s="1292">
        <f>(IF('Section Load'!W18&gt;0,'Section Load'!W18,0))</f>
        <v>196.04000000003725</v>
      </c>
      <c r="W15" s="1292">
        <f>(IF('Section Load'!X18&gt;0,'Section Load'!X18,0))</f>
        <v>13.5</v>
      </c>
      <c r="X15" s="1292">
        <f>(IF('Section Load'!Y18&gt;0,'Section Load'!Y18,0))</f>
        <v>164.37999999999738</v>
      </c>
      <c r="Y15" s="1292">
        <f>(IF('Section Load'!Z18&gt;0,'Section Load'!Z18,0))</f>
        <v>246</v>
      </c>
      <c r="Z15" s="1292">
        <f>(IF('Section Load'!AA18&gt;0,'Section Load'!AA18,0))</f>
        <v>31.760000000009313</v>
      </c>
      <c r="AA15" s="1292">
        <f>(IF('Section Load'!AB18&gt;0,'Section Load'!AB18,0))</f>
        <v>32.80000000000291</v>
      </c>
      <c r="AB15" s="1292">
        <f>(IF('Section Load'!AC18&gt;0,'Section Load'!AC18,0))</f>
        <v>139.52999999999884</v>
      </c>
      <c r="AC15" s="1292">
        <f>(IF('Section Load'!AD18&gt;0,'Section Load'!AD18,0))</f>
        <v>36.000000000002728</v>
      </c>
      <c r="AD15" s="1292">
        <f>(IF('Section Load'!AE18&gt;0,'Section Load'!AE18,0))</f>
        <v>0</v>
      </c>
      <c r="AE15" s="1292">
        <f>(IF('Section Load'!AF18&gt;0,'Section Load'!AF18,0))</f>
        <v>0</v>
      </c>
      <c r="AF15" s="1292">
        <f>(IF('Section Load'!AG18&gt;0,'Section Load'!AG18,0))</f>
        <v>360.13000000000466</v>
      </c>
      <c r="AG15" s="1292">
        <f>(IF('Section Load'!AH18&gt;0,'Section Load'!AH18,0))</f>
        <v>397.63000000000466</v>
      </c>
      <c r="AH15" s="1292">
        <f>(IF('Section Load'!AI18&gt;0,'Section Load'!AI18,0))</f>
        <v>388.41999999999825</v>
      </c>
      <c r="AI15" s="1292">
        <f>(IF('Section Load'!AJ18&gt;0,'Section Load'!AJ18,0))</f>
        <v>511.77000000001863</v>
      </c>
      <c r="AJ15" s="1292">
        <f>(IF('Section Load'!AK18&gt;0,'Section Load'!AK18,0))</f>
        <v>0</v>
      </c>
      <c r="AK15" s="1292">
        <f>(IF('Section Load'!AL18&gt;0,'Section Load'!AL18,0))</f>
        <v>275.39999999999418</v>
      </c>
      <c r="AL15" s="1292">
        <f>(IF('Section Load'!AM18&gt;0,'Section Load'!AM18,0))</f>
        <v>765</v>
      </c>
      <c r="AM15" s="1293">
        <f>(IF('Water Report'!$Q$7&gt;0,'Water Report'!$Q$7,0))</f>
        <v>87</v>
      </c>
      <c r="AN15" s="1293">
        <f>(IF('Water Report'!$Q$8&gt;0,'Water Report'!$Q$8,0))</f>
        <v>99</v>
      </c>
      <c r="AO15" s="1293">
        <f>(IF('Water Report'!$Q$9&gt;0,'Water Report'!$Q$9,0))</f>
        <v>74</v>
      </c>
      <c r="AP15" s="1293">
        <f>(IF('Water Report'!$Q$10&gt;0,'Water Report'!$Q$10,0))</f>
        <v>24</v>
      </c>
      <c r="AQ15" s="1293">
        <f>(IF('Water Report'!$Q$11&gt;0,'Water Report'!$Q$11,0))</f>
        <v>22</v>
      </c>
      <c r="AR15" s="1293">
        <f>(IF('Water Report'!$Q$13&gt;0,'Water Report'!$Q$13,0))</f>
        <v>22</v>
      </c>
      <c r="AS15" s="1293">
        <f>(IF('Water Report'!$Q$14&gt;0,'Water Report'!$Q$14,0))</f>
        <v>10</v>
      </c>
      <c r="AT15" s="1293">
        <f>(IF('Water Report'!$Q$15&gt;0,'Water Report'!$Q$15,0))</f>
        <v>16</v>
      </c>
      <c r="AU15" s="1293">
        <f>(IF('Water Report'!$Q$17&gt;0,'Water Report'!$Q$17,0))</f>
        <v>0</v>
      </c>
      <c r="AV15" s="1293">
        <f>(IF('Water Report'!$Q$18&gt;0,'Water Report'!$Q$18,0))</f>
        <v>10</v>
      </c>
      <c r="AW15" s="1293">
        <f>(IF('Water Report'!$Q$19&gt;0,'Water Report'!$Q$19,0))</f>
        <v>4</v>
      </c>
      <c r="AX15" s="1368">
        <f>(IF('Water Report'!$Q$21&gt;0,'Water Report'!$Q$21,0))</f>
        <v>65</v>
      </c>
      <c r="AY15" s="1368">
        <f>(IF('Water Report'!$Q$22&gt;0,'Water Report'!$Q$22,0))</f>
        <v>13</v>
      </c>
      <c r="AZ15" s="1368">
        <f>(IF('Water Report'!$Q$23&gt;0,'Water Report'!$Q$23,0))</f>
        <v>0</v>
      </c>
      <c r="BA15" s="1368">
        <f>(IF('Water Report'!$Q$14&gt;0,'Water Report'!$Q$14,0))</f>
        <v>10</v>
      </c>
      <c r="BB15" s="1368">
        <f>(IF('Water Report'!$Q$15&gt;0,'Water Report'!$Q$15,0))</f>
        <v>16</v>
      </c>
      <c r="BC15" s="1368">
        <f>(IF('Water Report'!$Q$13&gt;0,'Water Report'!$Q$13,0))</f>
        <v>22</v>
      </c>
      <c r="BD15" s="1368">
        <f>(IF('Water Report'!$Q$24&gt;0,'Water Report'!$Q$24,0))</f>
        <v>205</v>
      </c>
      <c r="BE15" s="1368">
        <f>(IF('Water Report'!$Q$25&gt;0,'Water Report'!$Q$25,0))</f>
        <v>146</v>
      </c>
      <c r="BF15" s="1368">
        <f>(IF('Water Report'!$Q$27&gt;0,'Water Report'!$Q$27,0))</f>
        <v>87</v>
      </c>
      <c r="BG15" s="1294">
        <f>(IF('Section Load'!AN18&gt;0,'Section Load'!AN18,0))</f>
        <v>797.81000000005588</v>
      </c>
      <c r="BH15" s="1294">
        <f>(IF('Section Load'!AO18&gt;0,'Section Load'!AO18,0))</f>
        <v>251.73999999999069</v>
      </c>
      <c r="BI15" s="1294">
        <f>(IF('Section Load'!AP18&gt;0,'Section Load'!AP18,0))</f>
        <v>0.39999999999417923</v>
      </c>
      <c r="BJ15" s="1294">
        <f>(IF('Section Load'!AQ18&gt;0,'Section Load'!AQ18,0))</f>
        <v>119.19000000000233</v>
      </c>
      <c r="BK15" s="1294">
        <f>(IF('Section Load'!AR18&gt;0,'Section Load'!AR18,0))</f>
        <v>45.299999999999272</v>
      </c>
      <c r="BL15" s="1294">
        <f>(IF('Section Load'!AS18&gt;0,'Section Load'!AS18,0))</f>
        <v>3.7000000000007276</v>
      </c>
      <c r="BM15" s="1294">
        <f>(IF('Section Load'!AT18&gt;0,'Section Load'!AT18,0))</f>
        <v>377.48000000006869</v>
      </c>
    </row>
    <row r="16" spans="1:65">
      <c r="A16" s="1276" t="s">
        <v>300</v>
      </c>
      <c r="B16" s="1277">
        <f t="shared" si="0"/>
        <v>15</v>
      </c>
      <c r="C16" s="1277">
        <v>7</v>
      </c>
      <c r="D16" s="1277">
        <v>2021</v>
      </c>
      <c r="E16" s="1292">
        <f>(IF('Section Load'!F19&gt;0,'Section Load'!F19,0))</f>
        <v>2947.5200000000186</v>
      </c>
      <c r="F16" s="1292">
        <f>(IF('Section Load'!G19&gt;0,'Section Load'!G19,0))</f>
        <v>1595.3800000000047</v>
      </c>
      <c r="G16" s="1292">
        <f>(IF('Section Load'!H19&gt;0,'Section Load'!H19,0))</f>
        <v>1645.3700000000536</v>
      </c>
      <c r="H16" s="1292">
        <f>(IF('Section Load'!I19&gt;0,'Section Load'!I19,0))</f>
        <v>3733.8099999999977</v>
      </c>
      <c r="I16" s="1292">
        <f>(IF('Section Load'!J19&gt;0,'Section Load'!J19,0))</f>
        <v>6384.1700000000274</v>
      </c>
      <c r="J16" s="1292">
        <f>(IF('Section Load'!K19&gt;0,'Section Load'!K19,0))</f>
        <v>2774.3000000000466</v>
      </c>
      <c r="K16" s="1292">
        <f>(IF('Section Load'!L19&gt;0,'Section Load'!L19,0))</f>
        <v>1449.7000000000698</v>
      </c>
      <c r="L16" s="1292">
        <f>(IF('Section Load'!M19&gt;0,'Section Load'!M19,0))</f>
        <v>1106.869999999999</v>
      </c>
      <c r="M16" s="1292">
        <f>(IF('Section Load'!N19&gt;0,'Section Load'!N19,0))</f>
        <v>13</v>
      </c>
      <c r="N16" s="1292">
        <f>(IF('Section Load'!O19&gt;0,'Section Load'!O19,0))</f>
        <v>2</v>
      </c>
      <c r="O16" s="1292">
        <f>(IF('Section Load'!P19&gt;0,'Section Load'!P19,0))</f>
        <v>1</v>
      </c>
      <c r="P16" s="1292">
        <f>(IF('Section Load'!Q19&gt;0,'Section Load'!Q19,0))</f>
        <v>154.77000000000044</v>
      </c>
      <c r="Q16" s="1292">
        <f>(IF('Section Load'!R19&gt;0,'Section Load'!R19,0))</f>
        <v>67.170000000000073</v>
      </c>
      <c r="R16" s="1292">
        <f>(IF('Section Load'!S19&gt;0,'Section Load'!S19,0))</f>
        <v>64</v>
      </c>
      <c r="S16" s="1292">
        <f>(IF('Section Load'!T19&gt;0,'Section Load'!T19,0))</f>
        <v>100</v>
      </c>
      <c r="T16" s="1292">
        <f>(IF('Section Load'!U19&gt;0,'Section Load'!U19,0))</f>
        <v>176</v>
      </c>
      <c r="U16" s="1292">
        <f>(IF('Section Load'!V19&gt;0,'Section Load'!V19,0))</f>
        <v>465.67999999993481</v>
      </c>
      <c r="V16" s="1292">
        <f>(IF('Section Load'!W19&gt;0,'Section Load'!W19,0))</f>
        <v>176.56999999994878</v>
      </c>
      <c r="W16" s="1292">
        <f>(IF('Section Load'!X19&gt;0,'Section Load'!X19,0))</f>
        <v>28.690000000002328</v>
      </c>
      <c r="X16" s="1292">
        <f>(IF('Section Load'!Y19&gt;0,'Section Load'!Y19,0))</f>
        <v>195.43000000000029</v>
      </c>
      <c r="Y16" s="1292">
        <f>(IF('Section Load'!Z19&gt;0,'Section Load'!Z19,0))</f>
        <v>216</v>
      </c>
      <c r="Z16" s="1292">
        <f>(IF('Section Load'!AA19&gt;0,'Section Load'!AA19,0))</f>
        <v>8.8800000000046566</v>
      </c>
      <c r="AA16" s="1292">
        <f>(IF('Section Load'!AB19&gt;0,'Section Load'!AB19,0))</f>
        <v>36.19999999999709</v>
      </c>
      <c r="AB16" s="1292">
        <f>(IF('Section Load'!AC19&gt;0,'Section Load'!AC19,0))</f>
        <v>70.480000000010477</v>
      </c>
      <c r="AC16" s="1292">
        <f>(IF('Section Load'!AD19&gt;0,'Section Load'!AD19,0))</f>
        <v>43.299999999997453</v>
      </c>
      <c r="AD16" s="1292">
        <f>(IF('Section Load'!AE19&gt;0,'Section Load'!AE19,0))</f>
        <v>0.18000000000029104</v>
      </c>
      <c r="AE16" s="1292">
        <f>(IF('Section Load'!AF19&gt;0,'Section Load'!AF19,0))</f>
        <v>0</v>
      </c>
      <c r="AF16" s="1292">
        <f>(IF('Section Load'!AG19&gt;0,'Section Load'!AG19,0))</f>
        <v>408.38000000000466</v>
      </c>
      <c r="AG16" s="1292">
        <f>(IF('Section Load'!AH19&gt;0,'Section Load'!AH19,0))</f>
        <v>381.13999999998487</v>
      </c>
      <c r="AH16" s="1292">
        <f>(IF('Section Load'!AI19&gt;0,'Section Load'!AI19,0))</f>
        <v>388.25999999999476</v>
      </c>
      <c r="AI16" s="1292">
        <f>(IF('Section Load'!AJ19&gt;0,'Section Load'!AJ19,0))</f>
        <v>472.39999999996508</v>
      </c>
      <c r="AJ16" s="1292">
        <f>(IF('Section Load'!AK19&gt;0,'Section Load'!AK19,0))</f>
        <v>0</v>
      </c>
      <c r="AK16" s="1292">
        <f>(IF('Section Load'!AL19&gt;0,'Section Load'!AL19,0))</f>
        <v>299.85000000000582</v>
      </c>
      <c r="AL16" s="1292">
        <f>(IF('Section Load'!AM19&gt;0,'Section Load'!AM19,0))</f>
        <v>743</v>
      </c>
      <c r="AM16" s="1293">
        <f>(IF('Water Report'!$R$7&gt;0,'Water Report'!$R$7,0))</f>
        <v>75</v>
      </c>
      <c r="AN16" s="1293">
        <f>(IF('Water Report'!$R$8&gt;0,'Water Report'!$R$8,0))</f>
        <v>147</v>
      </c>
      <c r="AO16" s="1293">
        <f>(IF('Water Report'!$R$9&gt;0,'Water Report'!$R$9,0))</f>
        <v>78</v>
      </c>
      <c r="AP16" s="1293">
        <f>(IF('Water Report'!$R$10&gt;0,'Water Report'!$R$10,0))</f>
        <v>21</v>
      </c>
      <c r="AQ16" s="1293">
        <f>(IF('Water Report'!$R$11&gt;0,'Water Report'!$R$11,0))</f>
        <v>26</v>
      </c>
      <c r="AR16" s="1293">
        <f>(IF('Water Report'!$R$13&gt;0,'Water Report'!$R$13,0))</f>
        <v>36</v>
      </c>
      <c r="AS16" s="1293">
        <f>(IF('Water Report'!$R$14&gt;0,'Water Report'!$R$14,0))</f>
        <v>14</v>
      </c>
      <c r="AT16" s="1293">
        <f>(IF('Water Report'!$R$15&gt;0,'Water Report'!$R$15,0))</f>
        <v>8</v>
      </c>
      <c r="AU16" s="1293">
        <f>(IF('Water Report'!$R$17&gt;0,'Water Report'!$R$17,0))</f>
        <v>0</v>
      </c>
      <c r="AV16" s="1293">
        <f>(IF('Water Report'!$R$18&gt;0,'Water Report'!$R$18,0))</f>
        <v>8</v>
      </c>
      <c r="AW16" s="1293">
        <f>(IF('Water Report'!$R$19&gt;0,'Water Report'!$R$19,0))</f>
        <v>4</v>
      </c>
      <c r="AX16" s="1368">
        <f>(IF('Water Report'!$R$21&gt;0,'Water Report'!$R$21,0))</f>
        <v>65</v>
      </c>
      <c r="AY16" s="1368">
        <f>(IF('Water Report'!$R$22&gt;0,'Water Report'!$R$22,0))</f>
        <v>7</v>
      </c>
      <c r="AZ16" s="1368">
        <f>(IF('Water Report'!$R$23&gt;0,'Water Report'!$R$23,0))</f>
        <v>0</v>
      </c>
      <c r="BA16" s="1368">
        <f>(IF('Water Report'!$R$14&gt;0,'Water Report'!$R$14,0))</f>
        <v>14</v>
      </c>
      <c r="BB16" s="1368">
        <f>(IF('Water Report'!$R$15&gt;0,'Water Report'!$R$15,0))</f>
        <v>8</v>
      </c>
      <c r="BC16" s="1368">
        <f>(IF('Water Report'!$R$13&gt;0,'Water Report'!$R$13,0))</f>
        <v>36</v>
      </c>
      <c r="BD16" s="1368">
        <f>(IF('Water Report'!$R$24&gt;0,'Water Report'!$R$24,0))</f>
        <v>184</v>
      </c>
      <c r="BE16" s="1368">
        <f>(IF('Water Report'!$R$25&gt;0,'Water Report'!$R$25,0))</f>
        <v>147</v>
      </c>
      <c r="BF16" s="1368">
        <f>(IF('Water Report'!$R$27&gt;0,'Water Report'!$R$27,0))</f>
        <v>101</v>
      </c>
      <c r="BG16" s="1294">
        <f>(IF('Section Load'!AN19&gt;0,'Section Load'!AN19,0))</f>
        <v>947.81299999984913</v>
      </c>
      <c r="BH16" s="1294">
        <f>(IF('Section Load'!AO19&gt;0,'Section Load'!AO19,0))</f>
        <v>253.43000000005122</v>
      </c>
      <c r="BI16" s="1294">
        <f>(IF('Section Load'!AP19&gt;0,'Section Load'!AP19,0))</f>
        <v>0</v>
      </c>
      <c r="BJ16" s="1294">
        <f>(IF('Section Load'!AQ19&gt;0,'Section Load'!AQ19,0))</f>
        <v>122.16000000000349</v>
      </c>
      <c r="BK16" s="1294">
        <f>(IF('Section Load'!AR19&gt;0,'Section Load'!AR19,0))</f>
        <v>37.900000000001455</v>
      </c>
      <c r="BL16" s="1294">
        <f>(IF('Section Load'!AS19&gt;0,'Section Load'!AS19,0))</f>
        <v>5.6999999999989086</v>
      </c>
      <c r="BM16" s="1294">
        <f>(IF('Section Load'!AT19&gt;0,'Section Load'!AT19,0))</f>
        <v>528.62299999979405</v>
      </c>
    </row>
    <row r="17" spans="1:65">
      <c r="A17" s="1276" t="s">
        <v>300</v>
      </c>
      <c r="B17" s="1277">
        <f t="shared" si="0"/>
        <v>16</v>
      </c>
      <c r="C17" s="1277">
        <v>7</v>
      </c>
      <c r="D17" s="1277">
        <v>2021</v>
      </c>
      <c r="E17" s="1292">
        <f>(IF('Section Load'!F20&gt;0,'Section Load'!F20,0))</f>
        <v>3155.4799999999814</v>
      </c>
      <c r="F17" s="1292">
        <f>(IF('Section Load'!G20&gt;0,'Section Load'!G20,0))</f>
        <v>1642.1699999999837</v>
      </c>
      <c r="G17" s="1292">
        <f>(IF('Section Load'!H20&gt;0,'Section Load'!H20,0))</f>
        <v>1628.4099999999453</v>
      </c>
      <c r="H17" s="1292">
        <f>(IF('Section Load'!I20&gt;0,'Section Load'!I20,0))</f>
        <v>3776.2200000000303</v>
      </c>
      <c r="I17" s="1292">
        <f>(IF('Section Load'!J20&gt;0,'Section Load'!J20,0))</f>
        <v>6367.0100000000384</v>
      </c>
      <c r="J17" s="1292">
        <f>(IF('Section Load'!K20&gt;0,'Section Load'!K20,0))</f>
        <v>2623.8999999999069</v>
      </c>
      <c r="K17" s="1292">
        <f>(IF('Section Load'!L20&gt;0,'Section Load'!L20,0))</f>
        <v>1102.1600000000326</v>
      </c>
      <c r="L17" s="1292">
        <f>(IF('Section Load'!M20&gt;0,'Section Load'!M20,0))</f>
        <v>1003.5800000000017</v>
      </c>
      <c r="M17" s="1292">
        <f>(IF('Section Load'!N20&gt;0,'Section Load'!N20,0))</f>
        <v>13</v>
      </c>
      <c r="N17" s="1292">
        <f>(IF('Section Load'!O20&gt;0,'Section Load'!O20,0))</f>
        <v>2</v>
      </c>
      <c r="O17" s="1292">
        <f>(IF('Section Load'!P20&gt;0,'Section Load'!P20,0))</f>
        <v>34.600000000005821</v>
      </c>
      <c r="P17" s="1292">
        <f>(IF('Section Load'!Q20&gt;0,'Section Load'!Q20,0))</f>
        <v>183.88999999999942</v>
      </c>
      <c r="Q17" s="1292">
        <f>(IF('Section Load'!R20&gt;0,'Section Load'!R20,0))</f>
        <v>69.860000000000582</v>
      </c>
      <c r="R17" s="1292">
        <f>(IF('Section Load'!S20&gt;0,'Section Load'!S20,0))</f>
        <v>70</v>
      </c>
      <c r="S17" s="1292">
        <f>(IF('Section Load'!T20&gt;0,'Section Load'!T20,0))</f>
        <v>102</v>
      </c>
      <c r="T17" s="1292">
        <f>(IF('Section Load'!U20&gt;0,'Section Load'!U20,0))</f>
        <v>166</v>
      </c>
      <c r="U17" s="1292">
        <f>(IF('Section Load'!V20&gt;0,'Section Load'!V20,0))</f>
        <v>461.28000000002794</v>
      </c>
      <c r="V17" s="1292">
        <f>(IF('Section Load'!W20&gt;0,'Section Load'!W20,0))</f>
        <v>181.46999999997206</v>
      </c>
      <c r="W17" s="1292">
        <f>(IF('Section Load'!X20&gt;0,'Section Load'!X20,0))</f>
        <v>16.690000000002328</v>
      </c>
      <c r="X17" s="1292">
        <f>(IF('Section Load'!Y20&gt;0,'Section Load'!Y20,0))</f>
        <v>207.38000000000466</v>
      </c>
      <c r="Y17" s="1292">
        <f>(IF('Section Load'!Z20&gt;0,'Section Load'!Z20,0))</f>
        <v>176</v>
      </c>
      <c r="Z17" s="1292">
        <f>(IF('Section Load'!AA20&gt;0,'Section Load'!AA20,0))</f>
        <v>10.239999999990687</v>
      </c>
      <c r="AA17" s="1292">
        <f>(IF('Section Load'!AB20&gt;0,'Section Load'!AB20,0))</f>
        <v>25.399999999994179</v>
      </c>
      <c r="AB17" s="1292">
        <f>(IF('Section Load'!AC20&gt;0,'Section Load'!AC20,0))</f>
        <v>127.64999999999418</v>
      </c>
      <c r="AC17" s="1292">
        <f>(IF('Section Load'!AD20&gt;0,'Section Load'!AD20,0))</f>
        <v>31.999999999994088</v>
      </c>
      <c r="AD17" s="1292">
        <f>(IF('Section Load'!AE20&gt;0,'Section Load'!AE20,0))</f>
        <v>0</v>
      </c>
      <c r="AE17" s="1292">
        <f>(IF('Section Load'!AF20&gt;0,'Section Load'!AF20,0))</f>
        <v>0</v>
      </c>
      <c r="AF17" s="1292">
        <f>(IF('Section Load'!AG20&gt;0,'Section Load'!AG20,0))</f>
        <v>399.29999999998836</v>
      </c>
      <c r="AG17" s="1292">
        <f>(IF('Section Load'!AH20&gt;0,'Section Load'!AH20,0))</f>
        <v>392.30000000001746</v>
      </c>
      <c r="AH17" s="1292">
        <f>(IF('Section Load'!AI20&gt;0,'Section Load'!AI20,0))</f>
        <v>396.9600000000064</v>
      </c>
      <c r="AI17" s="1292">
        <f>(IF('Section Load'!AJ20&gt;0,'Section Load'!AJ20,0))</f>
        <v>469.88000000000466</v>
      </c>
      <c r="AJ17" s="1292">
        <f>(IF('Section Load'!AK20&gt;0,'Section Load'!AK20,0))</f>
        <v>0</v>
      </c>
      <c r="AK17" s="1292">
        <f>(IF('Section Load'!AL20&gt;0,'Section Load'!AL20,0))</f>
        <v>303.86999999999534</v>
      </c>
      <c r="AL17" s="1292">
        <f>(IF('Section Load'!AM20&gt;0,'Section Load'!AM20,0))</f>
        <v>734</v>
      </c>
      <c r="AM17" s="1293">
        <f>(IF('Water Report'!$S$7&gt;0,'Water Report'!$S$7,0))</f>
        <v>103</v>
      </c>
      <c r="AN17" s="1293">
        <f>(IF('Water Report'!$S$8&gt;0,'Water Report'!$S$8,0))</f>
        <v>71</v>
      </c>
      <c r="AO17" s="1293">
        <f>(IF('Water Report'!$S$9&gt;0,'Water Report'!$S$9,0))</f>
        <v>96</v>
      </c>
      <c r="AP17" s="1293">
        <f>(IF('Water Report'!$S$10&gt;0,'Water Report'!$D$10,0))</f>
        <v>17</v>
      </c>
      <c r="AQ17" s="1293">
        <f>(IF('Water Report'!$S$11&gt;0,'Water Report'!$D$11,0))</f>
        <v>18</v>
      </c>
      <c r="AR17" s="1293">
        <f>(IF('Water Report'!$S$13&gt;0,'Water Report'!$D$13,0))</f>
        <v>50</v>
      </c>
      <c r="AS17" s="1293">
        <f>(IF('Water Report'!$S$14&gt;0,'Water Report'!$D$14,0))</f>
        <v>6</v>
      </c>
      <c r="AT17" s="1293">
        <f>(IF('Water Report'!$S$15&gt;0,'Water Report'!$D$15,0))</f>
        <v>6</v>
      </c>
      <c r="AU17" s="1293">
        <f>(IF('Water Report'!$S$17&gt;0,'Water Report'!$D$17,0))</f>
        <v>0</v>
      </c>
      <c r="AV17" s="1293">
        <f>(IF('Water Report'!$S$18&gt;0,'Water Report'!$D$18,0))</f>
        <v>12</v>
      </c>
      <c r="AW17" s="1293">
        <f>(IF('Water Report'!$S$19&gt;0,'Water Report'!$D$19,0))</f>
        <v>5</v>
      </c>
      <c r="AX17" s="1368">
        <f>(IF('Water Report'!$S$21&gt;0,'Water Report'!$D$21,0))</f>
        <v>98</v>
      </c>
      <c r="AY17" s="1368">
        <f>(IF('Water Report'!$S$22&gt;0,'Water Report'!$D$22,0))</f>
        <v>40</v>
      </c>
      <c r="AZ17" s="1368">
        <f>(IF('Water Report'!$S$23&gt;0,'Water Report'!$D$23,0))</f>
        <v>0</v>
      </c>
      <c r="BA17" s="1368">
        <f>(IF('Water Report'!$S$14&gt;0,'Water Report'!$D$14,0))</f>
        <v>6</v>
      </c>
      <c r="BB17" s="1368">
        <f>(IF('Water Report'!$S$15&gt;0,'Water Report'!$D$15,0))</f>
        <v>6</v>
      </c>
      <c r="BC17" s="1368">
        <f>(IF('Water Report'!$S$13&gt;0,'Water Report'!$D$13,0))</f>
        <v>50</v>
      </c>
      <c r="BD17" s="1368">
        <f>(IF('Water Report'!$S$24&gt;0,'Water Report'!$D$24,0))</f>
        <v>154</v>
      </c>
      <c r="BE17" s="1368">
        <f>(IF('Water Report'!$S$25&gt;0,'Water Report'!$D$25,0))</f>
        <v>133</v>
      </c>
      <c r="BF17" s="1368">
        <f>(IF('Water Report'!$S$27&gt;0,'Water Report'!$D$27,0))</f>
        <v>148</v>
      </c>
      <c r="BG17" s="1294">
        <f>(IF('Section Load'!AN20&gt;0,'Section Load'!AN20,0))</f>
        <v>837.25699999998324</v>
      </c>
      <c r="BH17" s="1294">
        <f>(IF('Section Load'!AO20&gt;0,'Section Load'!AO20,0))</f>
        <v>265.3399999999674</v>
      </c>
      <c r="BI17" s="1294">
        <f>(IF('Section Load'!AP20&gt;0,'Section Load'!AP20,0))</f>
        <v>0</v>
      </c>
      <c r="BJ17" s="1294">
        <f>(IF('Section Load'!AQ20&gt;0,'Section Load'!AQ20,0))</f>
        <v>99.179999999993015</v>
      </c>
      <c r="BK17" s="1294">
        <f>(IF('Section Load'!AR20&gt;0,'Section Load'!AR20,0))</f>
        <v>41</v>
      </c>
      <c r="BL17" s="1294">
        <f>(IF('Section Load'!AS20&gt;0,'Section Load'!AS20,0))</f>
        <v>7</v>
      </c>
      <c r="BM17" s="1294">
        <f>(IF('Section Load'!AT20&gt;0,'Section Load'!AT20,0))</f>
        <v>424.73700000002282</v>
      </c>
    </row>
    <row r="18" spans="1:65">
      <c r="A18" s="1276" t="s">
        <v>300</v>
      </c>
      <c r="B18" s="1277">
        <f t="shared" si="0"/>
        <v>17</v>
      </c>
      <c r="C18" s="1277">
        <v>7</v>
      </c>
      <c r="D18" s="1277">
        <v>2021</v>
      </c>
      <c r="E18" s="1292">
        <f>(IF('Section Load'!F21&gt;0,'Section Load'!F21,0))</f>
        <v>3270.4200000000419</v>
      </c>
      <c r="F18" s="1292">
        <f>(IF('Section Load'!G21&gt;0,'Section Load'!G21,0))</f>
        <v>1656.5500000000175</v>
      </c>
      <c r="G18" s="1292">
        <f>(IF('Section Load'!H21&gt;0,'Section Load'!H21,0))</f>
        <v>1759.9199999999837</v>
      </c>
      <c r="H18" s="1292">
        <f>(IF('Section Load'!I21&gt;0,'Section Load'!I21,0))</f>
        <v>3718.9299999999348</v>
      </c>
      <c r="I18" s="1292">
        <f>(IF('Section Load'!J21&gt;0,'Section Load'!J21,0))</f>
        <v>8133.399999999936</v>
      </c>
      <c r="J18" s="1292">
        <f>(IF('Section Load'!K21&gt;0,'Section Load'!K21,0))</f>
        <v>3097.3999999999069</v>
      </c>
      <c r="K18" s="1292">
        <f>(IF('Section Load'!L21&gt;0,'Section Load'!L21,0))</f>
        <v>1300.4399999999441</v>
      </c>
      <c r="L18" s="1292">
        <f>(IF('Section Load'!M21&gt;0,'Section Load'!M21,0))</f>
        <v>1131.8199999999997</v>
      </c>
      <c r="M18" s="1292">
        <f>(IF('Section Load'!N21&gt;0,'Section Load'!N21,0))</f>
        <v>15</v>
      </c>
      <c r="N18" s="1292">
        <f>(IF('Section Load'!O21&gt;0,'Section Load'!O21,0))</f>
        <v>1</v>
      </c>
      <c r="O18" s="1292">
        <f>(IF('Section Load'!P21&gt;0,'Section Load'!P21,0))</f>
        <v>1</v>
      </c>
      <c r="P18" s="1292">
        <f>(IF('Section Load'!Q21&gt;0,'Section Load'!Q21,0))</f>
        <v>176.70999999999913</v>
      </c>
      <c r="Q18" s="1292">
        <f>(IF('Section Load'!R21&gt;0,'Section Load'!R21,0))</f>
        <v>65.119999999998981</v>
      </c>
      <c r="R18" s="1292">
        <f>(IF('Section Load'!S21&gt;0,'Section Load'!S21,0))</f>
        <v>65</v>
      </c>
      <c r="S18" s="1292">
        <f>(IF('Section Load'!T21&gt;0,'Section Load'!T21,0))</f>
        <v>100</v>
      </c>
      <c r="T18" s="1292">
        <f>(IF('Section Load'!U21&gt;0,'Section Load'!U21,0))</f>
        <v>199</v>
      </c>
      <c r="U18" s="1292">
        <f>(IF('Section Load'!V21&gt;0,'Section Load'!V21,0))</f>
        <v>476.55999999993946</v>
      </c>
      <c r="V18" s="1292">
        <f>(IF('Section Load'!W21&gt;0,'Section Load'!W21,0))</f>
        <v>231.20000000006985</v>
      </c>
      <c r="W18" s="1292">
        <f>(IF('Section Load'!X21&gt;0,'Section Load'!X21,0))</f>
        <v>27.369999999995343</v>
      </c>
      <c r="X18" s="1292">
        <f>(IF('Section Load'!Y21&gt;0,'Section Load'!Y21,0))</f>
        <v>192.36999999999534</v>
      </c>
      <c r="Y18" s="1292">
        <f>(IF('Section Load'!Z21&gt;0,'Section Load'!Z21,0))</f>
        <v>276</v>
      </c>
      <c r="Z18" s="1292">
        <f>(IF('Section Load'!AA21&gt;0,'Section Load'!AA21,0))</f>
        <v>17.960000000020955</v>
      </c>
      <c r="AA18" s="1292">
        <f>(IF('Section Load'!AB21&gt;0,'Section Load'!AB21,0))</f>
        <v>19.600000000005821</v>
      </c>
      <c r="AB18" s="1292">
        <f>(IF('Section Load'!AC21&gt;0,'Section Load'!AC21,0))</f>
        <v>121.05999999999767</v>
      </c>
      <c r="AC18" s="1292">
        <f>(IF('Section Load'!AD21&gt;0,'Section Load'!AD21,0))</f>
        <v>21.70000000000573</v>
      </c>
      <c r="AD18" s="1292">
        <f>(IF('Section Load'!AE21&gt;0,'Section Load'!AE21,0))</f>
        <v>0</v>
      </c>
      <c r="AE18" s="1292">
        <f>(IF('Section Load'!AF21&gt;0,'Section Load'!AF21,0))</f>
        <v>0</v>
      </c>
      <c r="AF18" s="1292">
        <f>(IF('Section Load'!AG21&gt;0,'Section Load'!AG21,0))</f>
        <v>365.26000000000931</v>
      </c>
      <c r="AG18" s="1292">
        <f>(IF('Section Load'!AH21&gt;0,'Section Load'!AH21,0))</f>
        <v>386.53999999997905</v>
      </c>
      <c r="AH18" s="1292">
        <f>(IF('Section Load'!AI21&gt;0,'Section Load'!AI21,0))</f>
        <v>390.9600000000064</v>
      </c>
      <c r="AI18" s="1292">
        <f>(IF('Section Load'!AJ21&gt;0,'Section Load'!AJ21,0))</f>
        <v>477.85999999998603</v>
      </c>
      <c r="AJ18" s="1292">
        <f>(IF('Section Load'!AK21&gt;0,'Section Load'!AK21,0))</f>
        <v>0</v>
      </c>
      <c r="AK18" s="1292">
        <f>(IF('Section Load'!AL21&gt;0,'Section Load'!AL21,0))</f>
        <v>301.97000000000116</v>
      </c>
      <c r="AL18" s="1292">
        <f>(IF('Section Load'!AM21&gt;0,'Section Load'!AM21,0))</f>
        <v>678</v>
      </c>
      <c r="AM18" s="1293">
        <f>(IF('Water Report'!$T$7&gt;0,'Water Report'!$T$7,0))</f>
        <v>101</v>
      </c>
      <c r="AN18" s="1293">
        <f>(IF('Water Report'!$T$8&gt;0,'Water Report'!$T$8,0))</f>
        <v>190</v>
      </c>
      <c r="AO18" s="1293">
        <f>(IF('Water Report'!$T$9&gt;0,'Water Report'!$T$9,0))</f>
        <v>89</v>
      </c>
      <c r="AP18" s="1293">
        <f>(IF('Water Report'!$T$10&gt;0,'Water Report'!$T$10,0))</f>
        <v>30</v>
      </c>
      <c r="AQ18" s="1293">
        <f>(IF('Water Report'!$T$11&gt;0,'Water Report'!$T$11,0))</f>
        <v>30</v>
      </c>
      <c r="AR18" s="1293">
        <f>(IF('Water Report'!$T$13&gt;0,'Water Report'!$T$13,0))</f>
        <v>23</v>
      </c>
      <c r="AS18" s="1293">
        <f>(IF('Water Report'!$T$14&gt;0,'Water Report'!$T$14,0))</f>
        <v>16</v>
      </c>
      <c r="AT18" s="1293">
        <f>(IF('Water Report'!$T$15&gt;0,'Water Report'!$T$15,0))</f>
        <v>8</v>
      </c>
      <c r="AU18" s="1293">
        <f>(IF('Water Report'!$T$17&gt;0,'Water Report'!$T$17,0))</f>
        <v>0</v>
      </c>
      <c r="AV18" s="1293">
        <f>(IF('Water Report'!$T$18&gt;0,'Water Report'!$T$18,0))</f>
        <v>11</v>
      </c>
      <c r="AW18" s="1293">
        <f>(IF('Water Report'!$T$19&gt;0,'Water Report'!$T$19,0))</f>
        <v>4</v>
      </c>
      <c r="AX18" s="1368">
        <f>(IF('Water Report'!$T$21&gt;0,'Water Report'!$T$21,0))</f>
        <v>66</v>
      </c>
      <c r="AY18" s="1368">
        <f>(IF('Water Report'!$T$22&gt;0,'Water Report'!$T$22,0))</f>
        <v>26</v>
      </c>
      <c r="AZ18" s="1368">
        <f>(IF('Water Report'!$T$23&gt;0,'Water Report'!$T$23,0))</f>
        <v>0</v>
      </c>
      <c r="BA18" s="1368">
        <f>(IF('Water Report'!$T$14&gt;0,'Water Report'!$T$14,0))</f>
        <v>16</v>
      </c>
      <c r="BB18" s="1368">
        <f>(IF('Water Report'!$T$15&gt;0,'Water Report'!$T$15,0))</f>
        <v>8</v>
      </c>
      <c r="BC18" s="1368">
        <f>(IF('Water Report'!$T$13&gt;0,'Water Report'!$T$13,0))</f>
        <v>23</v>
      </c>
      <c r="BD18" s="1368">
        <f>(IF('Water Report'!$T$24&gt;0,'Water Report'!$T$24,0))</f>
        <v>201</v>
      </c>
      <c r="BE18" s="1368">
        <f>(IF('Water Report'!$T$25&gt;0,'Water Report'!$T$25,0))</f>
        <v>173</v>
      </c>
      <c r="BF18" s="1368">
        <f>(IF('Water Report'!$T$27&gt;0,'Water Report'!$T$27,0))</f>
        <v>89</v>
      </c>
      <c r="BG18" s="1294">
        <f>(IF('Section Load'!AN21&gt;0,'Section Load'!AN21,0))</f>
        <v>981.66100000008009</v>
      </c>
      <c r="BH18" s="1294">
        <f>(IF('Section Load'!AO21&gt;0,'Section Load'!AO21,0))</f>
        <v>289.02000000001863</v>
      </c>
      <c r="BI18" s="1294">
        <f>(IF('Section Load'!AP21&gt;0,'Section Load'!AP21,0))</f>
        <v>0</v>
      </c>
      <c r="BJ18" s="1294">
        <f>(IF('Section Load'!AQ21&gt;0,'Section Load'!AQ21,0))</f>
        <v>114.20000000001164</v>
      </c>
      <c r="BK18" s="1294">
        <f>(IF('Section Load'!AR21&gt;0,'Section Load'!AR21,0))</f>
        <v>41</v>
      </c>
      <c r="BL18" s="1294">
        <f>(IF('Section Load'!AS21&gt;0,'Section Load'!AS21,0))</f>
        <v>6.7000000000007276</v>
      </c>
      <c r="BM18" s="1294">
        <f>(IF('Section Load'!AT21&gt;0,'Section Load'!AT21,0))</f>
        <v>530.7410000000491</v>
      </c>
    </row>
    <row r="19" spans="1:65">
      <c r="A19" s="1276" t="s">
        <v>300</v>
      </c>
      <c r="B19" s="1277">
        <f t="shared" si="0"/>
        <v>18</v>
      </c>
      <c r="C19" s="1277">
        <v>7</v>
      </c>
      <c r="D19" s="1277">
        <v>2021</v>
      </c>
      <c r="E19" s="1292">
        <f>(IF('Section Load'!F22&gt;0,'Section Load'!F22,0))</f>
        <v>3484.8079999999609</v>
      </c>
      <c r="F19" s="1292">
        <f>(IF('Section Load'!G22&gt;0,'Section Load'!G22,0))</f>
        <v>1846.5199999999895</v>
      </c>
      <c r="G19" s="1292">
        <f>(IF('Section Load'!H22&gt;0,'Section Load'!H22,0))</f>
        <v>1840.9800000000105</v>
      </c>
      <c r="H19" s="1292">
        <f>(IF('Section Load'!I22&gt;0,'Section Load'!I22,0))</f>
        <v>3750.8400000000256</v>
      </c>
      <c r="I19" s="1292">
        <f>(IF('Section Load'!J22&gt;0,'Section Load'!J22,0))</f>
        <v>8129.570000000007</v>
      </c>
      <c r="J19" s="1292">
        <f>(IF('Section Load'!K22&gt;0,'Section Load'!K22,0))</f>
        <v>3145.2000000001863</v>
      </c>
      <c r="K19" s="1292">
        <f>(IF('Section Load'!L22&gt;0,'Section Load'!L22,0))</f>
        <v>1712.1999999999534</v>
      </c>
      <c r="L19" s="1292">
        <f>(IF('Section Load'!M22&gt;0,'Section Load'!M22,0))</f>
        <v>1191.6299999999974</v>
      </c>
      <c r="M19" s="1292">
        <f>(IF('Section Load'!N22&gt;0,'Section Load'!N22,0))</f>
        <v>15</v>
      </c>
      <c r="N19" s="1292">
        <f>(IF('Section Load'!O22&gt;0,'Section Load'!O22,0))</f>
        <v>1</v>
      </c>
      <c r="O19" s="1292">
        <f>(IF('Section Load'!P22&gt;0,'Section Load'!P22,0))</f>
        <v>0.5</v>
      </c>
      <c r="P19" s="1292">
        <f>(IF('Section Load'!Q22&gt;0,'Section Load'!Q22,0))</f>
        <v>172.45000000000073</v>
      </c>
      <c r="Q19" s="1292">
        <f>(IF('Section Load'!R22&gt;0,'Section Load'!R22,0))</f>
        <v>63.150000000001455</v>
      </c>
      <c r="R19" s="1292">
        <f>(IF('Section Load'!S22&gt;0,'Section Load'!S22,0))</f>
        <v>86</v>
      </c>
      <c r="S19" s="1292">
        <f>(IF('Section Load'!T22&gt;0,'Section Load'!T22,0))</f>
        <v>104</v>
      </c>
      <c r="T19" s="1292">
        <f>(IF('Section Load'!U22&gt;0,'Section Load'!U22,0))</f>
        <v>157</v>
      </c>
      <c r="U19" s="1292">
        <f>(IF('Section Load'!V22&gt;0,'Section Load'!V22,0))</f>
        <v>503.68000000005122</v>
      </c>
      <c r="V19" s="1292">
        <f>(IF('Section Load'!W22&gt;0,'Section Load'!W22,0))</f>
        <v>226.23999999999069</v>
      </c>
      <c r="W19" s="1292">
        <f>(IF('Section Load'!X22&gt;0,'Section Load'!X22,0))</f>
        <v>22.600000000005821</v>
      </c>
      <c r="X19" s="1292">
        <f>(IF('Section Load'!Y22&gt;0,'Section Load'!Y22,0))</f>
        <v>191.56999999999971</v>
      </c>
      <c r="Y19" s="1292">
        <f>(IF('Section Load'!Z22&gt;0,'Section Load'!Z22,0))</f>
        <v>229</v>
      </c>
      <c r="Z19" s="1292">
        <f>(IF('Section Load'!AA22&gt;0,'Section Load'!AA22,0))</f>
        <v>8.1599999999743886</v>
      </c>
      <c r="AA19" s="1292">
        <f>(IF('Section Load'!AB22&gt;0,'Section Load'!AB22,0))</f>
        <v>9.6000000000058208</v>
      </c>
      <c r="AB19" s="1292">
        <f>(IF('Section Load'!AC22&gt;0,'Section Load'!AC22,0))</f>
        <v>75.279999999998836</v>
      </c>
      <c r="AC19" s="1292">
        <f>(IF('Section Load'!AD22&gt;0,'Section Load'!AD22,0))</f>
        <v>10.600000000005821</v>
      </c>
      <c r="AD19" s="1292">
        <f>(IF('Section Load'!AE22&gt;0,'Section Load'!AE22,0))</f>
        <v>0.18000000000029104</v>
      </c>
      <c r="AE19" s="1292">
        <f>(IF('Section Load'!AF22&gt;0,'Section Load'!AF22,0))</f>
        <v>0</v>
      </c>
      <c r="AF19" s="1292">
        <f>(IF('Section Load'!AG22&gt;0,'Section Load'!AG22,0))</f>
        <v>372.07999999998719</v>
      </c>
      <c r="AG19" s="1292">
        <f>(IF('Section Load'!AH22&gt;0,'Section Load'!AH22,0))</f>
        <v>408.42000000001281</v>
      </c>
      <c r="AH19" s="1292">
        <f>(IF('Section Load'!AI22&gt;0,'Section Load'!AI22,0))</f>
        <v>427.29999999998836</v>
      </c>
      <c r="AI19" s="1292">
        <f>(IF('Section Load'!AJ22&gt;0,'Section Load'!AJ22,0))</f>
        <v>472.20000000001164</v>
      </c>
      <c r="AJ19" s="1292">
        <f>(IF('Section Load'!AK22&gt;0,'Section Load'!AK22,0))</f>
        <v>0</v>
      </c>
      <c r="AK19" s="1292">
        <f>(IF('Section Load'!AL22&gt;0,'Section Load'!AL22,0))</f>
        <v>307.29000000000815</v>
      </c>
      <c r="AL19" s="1292">
        <f>(IF('Section Load'!AM22&gt;0,'Section Load'!AM22,0))</f>
        <v>823</v>
      </c>
      <c r="AM19" s="1293">
        <f>(IF('Water Report'!$U$7&gt;0,'Water Report'!$U$7,0))</f>
        <v>163</v>
      </c>
      <c r="AN19" s="1293">
        <f>(IF('Water Report'!$U$8&gt;0,'Water Report'!$U$8,0))</f>
        <v>160</v>
      </c>
      <c r="AO19" s="1293">
        <f>(IF('Water Report'!$U$9&gt;0,'Water Report'!$U$9,0))</f>
        <v>90</v>
      </c>
      <c r="AP19" s="1293">
        <f>(IF('Water Report'!$U$10&gt;0,'Water Report'!$U$10,0))</f>
        <v>30</v>
      </c>
      <c r="AQ19" s="1293">
        <f>(IF('Water Report'!$U$11&gt;0,'Water Report'!$U$11,0))</f>
        <v>29</v>
      </c>
      <c r="AR19" s="1293">
        <f>(IF('Water Report'!$U$13&gt;0,'Water Report'!$U$13,0))</f>
        <v>27</v>
      </c>
      <c r="AS19" s="1293">
        <f>(IF('Water Report'!$U$14&gt;0,'Water Report'!$U$14,0))</f>
        <v>19</v>
      </c>
      <c r="AT19" s="1293">
        <f>(IF('Water Report'!$U$15&gt;0,'Water Report'!$U$15,0))</f>
        <v>9</v>
      </c>
      <c r="AU19" s="1293">
        <f>(IF('Water Report'!$U$17&gt;0,'Water Report'!$U$17,0))</f>
        <v>0</v>
      </c>
      <c r="AV19" s="1293">
        <f>(IF('Water Report'!$U$18&gt;0,'Water Report'!$U$18,0))</f>
        <v>10</v>
      </c>
      <c r="AW19" s="1293">
        <f>(IF('Water Report'!$U$19&gt;0,'Water Report'!$U$19,0))</f>
        <v>5</v>
      </c>
      <c r="AX19" s="1368">
        <f>(IF('Water Report'!$U$21&gt;0,'Water Report'!$U$21,0))</f>
        <v>65</v>
      </c>
      <c r="AY19" s="1368">
        <f>(IF('Water Report'!$U$22&gt;0,'Water Report'!$U$22,0))</f>
        <v>12</v>
      </c>
      <c r="AZ19" s="1368">
        <f>(IF('Water Report'!$U$23&gt;0,'Water Report'!$U$23,0))</f>
        <v>0</v>
      </c>
      <c r="BA19" s="1368">
        <f>(IF('Water Report'!$U$14&gt;0,'Water Report'!$U$14,0))</f>
        <v>19</v>
      </c>
      <c r="BB19" s="1368">
        <f>(IF('Water Report'!$U$15&gt;0,'Water Report'!$U$15,0))</f>
        <v>9</v>
      </c>
      <c r="BC19" s="1368">
        <f>(IF('Water Report'!$U$13&gt;0,'Water Report'!$U$13,0))</f>
        <v>27</v>
      </c>
      <c r="BD19" s="1368">
        <f>(IF('Water Report'!$U$24&gt;0,'Water Report'!$U$24,0))</f>
        <v>179</v>
      </c>
      <c r="BE19" s="1368">
        <f>(IF('Water Report'!$U$25&gt;0,'Water Report'!$U$25,0))</f>
        <v>177</v>
      </c>
      <c r="BF19" s="1368">
        <f>(IF('Water Report'!$U$27&gt;0,'Water Report'!$U$27,0))</f>
        <v>92</v>
      </c>
      <c r="BG19" s="1294">
        <f>(IF('Section Load'!AN22&gt;0,'Section Load'!AN22,0))</f>
        <v>908.87899999995716</v>
      </c>
      <c r="BH19" s="1294">
        <f>(IF('Section Load'!AO22&gt;0,'Section Load'!AO22,0))</f>
        <v>295.73999999999069</v>
      </c>
      <c r="BI19" s="1294">
        <f>(IF('Section Load'!AP22&gt;0,'Section Load'!AP22,0))</f>
        <v>0</v>
      </c>
      <c r="BJ19" s="1294">
        <f>(IF('Section Load'!AQ22&gt;0,'Section Load'!AQ22,0))</f>
        <v>107.79999999998836</v>
      </c>
      <c r="BK19" s="1294">
        <f>(IF('Section Load'!AR22&gt;0,'Section Load'!AR22,0))</f>
        <v>45.100000000002183</v>
      </c>
      <c r="BL19" s="1294">
        <f>(IF('Section Load'!AS22&gt;0,'Section Load'!AS22,0))</f>
        <v>4.8999999999996362</v>
      </c>
      <c r="BM19" s="1294">
        <f>(IF('Section Load'!AT22&gt;0,'Section Load'!AT22,0))</f>
        <v>455.33899999997629</v>
      </c>
    </row>
    <row r="20" spans="1:65">
      <c r="A20" s="1276" t="s">
        <v>300</v>
      </c>
      <c r="B20" s="1277">
        <f t="shared" si="0"/>
        <v>19</v>
      </c>
      <c r="C20" s="1277">
        <v>7</v>
      </c>
      <c r="D20" s="1277">
        <v>2021</v>
      </c>
      <c r="E20" s="1292">
        <f>(IF('Section Load'!F23&gt;0,'Section Load'!F23,0))</f>
        <v>3252.3019999999669</v>
      </c>
      <c r="F20" s="1292">
        <f>(IF('Section Load'!G23&gt;0,'Section Load'!G23,0))</f>
        <v>1591.1600000000035</v>
      </c>
      <c r="G20" s="1292">
        <f>(IF('Section Load'!H23&gt;0,'Section Load'!H23,0))</f>
        <v>1606.4600000000501</v>
      </c>
      <c r="H20" s="1292">
        <f>(IF('Section Load'!I23&gt;0,'Section Load'!I23,0))</f>
        <v>3770.3300000000163</v>
      </c>
      <c r="I20" s="1292">
        <f>(IF('Section Load'!J23&gt;0,'Section Load'!J23,0))</f>
        <v>6446.2000000000407</v>
      </c>
      <c r="J20" s="1292">
        <f>(IF('Section Load'!K23&gt;0,'Section Load'!K23,0))</f>
        <v>2549.5699999999069</v>
      </c>
      <c r="K20" s="1292">
        <f>(IF('Section Load'!L23&gt;0,'Section Load'!L23,0))</f>
        <v>1093.9300000000512</v>
      </c>
      <c r="L20" s="1292">
        <f>(IF('Section Load'!M23&gt;0,'Section Load'!M23,0))</f>
        <v>815.72000000000116</v>
      </c>
      <c r="M20" s="1292">
        <f>(IF('Section Load'!N23&gt;0,'Section Load'!N23,0))</f>
        <v>14</v>
      </c>
      <c r="N20" s="1292">
        <f>(IF('Section Load'!O23&gt;0,'Section Load'!O23,0))</f>
        <v>2</v>
      </c>
      <c r="O20" s="1292">
        <f>(IF('Section Load'!P23&gt;0,'Section Load'!P23,0))</f>
        <v>0</v>
      </c>
      <c r="P20" s="1292">
        <f>(IF('Section Load'!Q23&gt;0,'Section Load'!Q23,0))</f>
        <v>148.25</v>
      </c>
      <c r="Q20" s="1292">
        <f>(IF('Section Load'!R23&gt;0,'Section Load'!R23,0))</f>
        <v>60.719999999999345</v>
      </c>
      <c r="R20" s="1292">
        <f>(IF('Section Load'!S23&gt;0,'Section Load'!S23,0))</f>
        <v>68</v>
      </c>
      <c r="S20" s="1292">
        <f>(IF('Section Load'!T23&gt;0,'Section Load'!T23,0))</f>
        <v>82</v>
      </c>
      <c r="T20" s="1292">
        <f>(IF('Section Load'!U23&gt;0,'Section Load'!U23,0))</f>
        <v>155</v>
      </c>
      <c r="U20" s="1292">
        <f>(IF('Section Load'!V23&gt;0,'Section Load'!V23,0))</f>
        <v>401</v>
      </c>
      <c r="V20" s="1292">
        <f>(IF('Section Load'!W23&gt;0,'Section Load'!W23,0))</f>
        <v>219.47999999998137</v>
      </c>
      <c r="W20" s="1292">
        <f>(IF('Section Load'!X23&gt;0,'Section Load'!X23,0))</f>
        <v>24.149999999994179</v>
      </c>
      <c r="X20" s="1292">
        <f>(IF('Section Load'!Y23&gt;0,'Section Load'!Y23,0))</f>
        <v>217.87000000000262</v>
      </c>
      <c r="Y20" s="1292">
        <f>(IF('Section Load'!Z23&gt;0,'Section Load'!Z23,0))</f>
        <v>272</v>
      </c>
      <c r="Z20" s="1292">
        <f>(IF('Section Load'!AA23&gt;0,'Section Load'!AA23,0))</f>
        <v>17</v>
      </c>
      <c r="AA20" s="1292">
        <f>(IF('Section Load'!AB23&gt;0,'Section Load'!AB23,0))</f>
        <v>30.399999999994179</v>
      </c>
      <c r="AB20" s="1292">
        <f>(IF('Section Load'!AC23&gt;0,'Section Load'!AC23,0))</f>
        <v>126</v>
      </c>
      <c r="AC20" s="1292">
        <f>(IF('Section Load'!AD23&gt;0,'Section Load'!AD23,0))</f>
        <v>33.399999999994179</v>
      </c>
      <c r="AD20" s="1292">
        <f>(IF('Section Load'!AE23&gt;0,'Section Load'!AE23,0))</f>
        <v>2.0000000000436557E-2</v>
      </c>
      <c r="AE20" s="1292">
        <f>(IF('Section Load'!AF23&gt;0,'Section Load'!AF23,0))</f>
        <v>0</v>
      </c>
      <c r="AF20" s="1292">
        <f>(IF('Section Load'!AG23&gt;0,'Section Load'!AG23,0))</f>
        <v>374.85000000000582</v>
      </c>
      <c r="AG20" s="1292">
        <f>(IF('Section Load'!AH23&gt;0,'Section Load'!AH23,0))</f>
        <v>395.97000000000116</v>
      </c>
      <c r="AH20" s="1292">
        <f>(IF('Section Load'!AI23&gt;0,'Section Load'!AI23,0))</f>
        <v>429.10000000000582</v>
      </c>
      <c r="AI20" s="1292">
        <f>(IF('Section Load'!AJ23&gt;0,'Section Load'!AJ23,0))</f>
        <v>481.89000000001397</v>
      </c>
      <c r="AJ20" s="1292">
        <f>(IF('Section Load'!AK23&gt;0,'Section Load'!AK23,0))</f>
        <v>0</v>
      </c>
      <c r="AK20" s="1292">
        <f>(IF('Section Load'!AL23&gt;0,'Section Load'!AL23,0))</f>
        <v>305.61999999999534</v>
      </c>
      <c r="AL20" s="1292">
        <f>(IF('Section Load'!AM23&gt;0,'Section Load'!AM23,0))</f>
        <v>776</v>
      </c>
      <c r="AM20" s="1293">
        <f>(IF('Water Report'!$V$7&gt;0,'Water Report'!$V$7,0))</f>
        <v>100</v>
      </c>
      <c r="AN20" s="1293">
        <f>(IF('Water Report'!$V$8&gt;0,'Water Report'!$V$8,0))</f>
        <v>154</v>
      </c>
      <c r="AO20" s="1293">
        <f>(IF('Water Report'!$V$9&gt;0,'Water Report'!$V$9,0))</f>
        <v>76</v>
      </c>
      <c r="AP20" s="1293">
        <f>(IF('Water Report'!$V$10&gt;0,'Water Report'!$V$10,0))</f>
        <v>18</v>
      </c>
      <c r="AQ20" s="1293">
        <f>(IF('Water Report'!$V$11&gt;0,'Water Report'!$V$11,0))</f>
        <v>23</v>
      </c>
      <c r="AR20" s="1293">
        <f>(IF('Water Report'!$V$13&gt;0,'Water Report'!$V$13,0))</f>
        <v>35</v>
      </c>
      <c r="AS20" s="1293">
        <f>(IF('Water Report'!$V$14&gt;0,'Water Report'!$V$14,0))</f>
        <v>11</v>
      </c>
      <c r="AT20" s="1293">
        <f>(IF('Water Report'!$V$15&gt;0,'Water Report'!$V$15,0))</f>
        <v>6</v>
      </c>
      <c r="AU20" s="1293">
        <f>(IF('Water Report'!$V$17&gt;0,'Water Report'!$V$17,0))</f>
        <v>0</v>
      </c>
      <c r="AV20" s="1293">
        <f>(IF('Water Report'!$V$18&gt;0,'Water Report'!$V$18,0))</f>
        <v>10</v>
      </c>
      <c r="AW20" s="1293">
        <f>(IF('Water Report'!$V$19&gt;0,'Water Report'!$V$19,0))</f>
        <v>6</v>
      </c>
      <c r="AX20" s="1368">
        <f>(IF('Water Report'!$V$21&gt;0,'Water Report'!$V$21,0))</f>
        <v>66</v>
      </c>
      <c r="AY20" s="1368">
        <f>(IF('Water Report'!$V$22&gt;0,'Water Report'!$V$22,0))</f>
        <v>40</v>
      </c>
      <c r="AZ20" s="1368">
        <f>(IF('Water Report'!$V$23&gt;0,'Water Report'!$V$23,0))</f>
        <v>0</v>
      </c>
      <c r="BA20" s="1368">
        <f>(IF('Water Report'!$V$14&gt;0,'Water Report'!$V$14,0))</f>
        <v>11</v>
      </c>
      <c r="BB20" s="1368">
        <f>(IF('Water Report'!$V$15&gt;0,'Water Report'!$V$15,0))</f>
        <v>6</v>
      </c>
      <c r="BC20" s="1368">
        <f>(IF('Water Report'!$V$13&gt;0,'Water Report'!$V$13,0))</f>
        <v>35</v>
      </c>
      <c r="BD20" s="1368">
        <f>(IF('Water Report'!$V$24&gt;0,'Water Report'!$V$24,0))</f>
        <v>257</v>
      </c>
      <c r="BE20" s="1368">
        <f>(IF('Water Report'!$V$25&gt;0,'Water Report'!$V$25,0))</f>
        <v>134</v>
      </c>
      <c r="BF20" s="1368">
        <f>(IF('Water Report'!$V$27&gt;0,'Water Report'!$V$27,0))</f>
        <v>101</v>
      </c>
      <c r="BG20" s="1294">
        <f>(IF('Section Load'!AN23&gt;0,'Section Load'!AN23,0))</f>
        <v>880.58000000007451</v>
      </c>
      <c r="BH20" s="1294">
        <f>(IF('Section Load'!AO23&gt;0,'Section Load'!AO23,0))</f>
        <v>267.72999999998137</v>
      </c>
      <c r="BI20" s="1294">
        <f>(IF('Section Load'!AP23&gt;0,'Section Load'!AP23,0))</f>
        <v>0</v>
      </c>
      <c r="BJ20" s="1294">
        <f>(IF('Section Load'!AQ23&gt;0,'Section Load'!AQ23,0))</f>
        <v>68.470000000001164</v>
      </c>
      <c r="BK20" s="1294">
        <f>(IF('Section Load'!AR23&gt;0,'Section Load'!AR23,0))</f>
        <v>31.69999999999709</v>
      </c>
      <c r="BL20" s="1294">
        <f>(IF('Section Load'!AS23&gt;0,'Section Load'!AS23,0))</f>
        <v>0</v>
      </c>
      <c r="BM20" s="1294">
        <f>(IF('Section Load'!AT23&gt;0,'Section Load'!AT23,0))</f>
        <v>512.68000000009488</v>
      </c>
    </row>
    <row r="21" spans="1:65">
      <c r="A21" s="1276" t="s">
        <v>300</v>
      </c>
      <c r="B21" s="1277">
        <f t="shared" si="0"/>
        <v>20</v>
      </c>
      <c r="C21" s="1277">
        <v>7</v>
      </c>
      <c r="D21" s="1277">
        <v>2021</v>
      </c>
      <c r="E21" s="1292">
        <f>(IF('Section Load'!F24&gt;0,'Section Load'!F24,0))</f>
        <v>2573.210000000021</v>
      </c>
      <c r="F21" s="1292">
        <f>(IF('Section Load'!G24&gt;0,'Section Load'!G24,0))</f>
        <v>1586.9700000000012</v>
      </c>
      <c r="G21" s="1292">
        <f>(IF('Section Load'!H24&gt;0,'Section Load'!H24,0))</f>
        <v>1448.929999999993</v>
      </c>
      <c r="H21" s="1292">
        <f>(IF('Section Load'!I24&gt;0,'Section Load'!I24,0))</f>
        <v>3767.429999999993</v>
      </c>
      <c r="I21" s="1292">
        <f>(IF('Section Load'!J24&gt;0,'Section Load'!J24,0))</f>
        <v>7204.5400000000081</v>
      </c>
      <c r="J21" s="1292">
        <f>(IF('Section Load'!K24&gt;0,'Section Load'!K24,0))</f>
        <v>2710.6999999999534</v>
      </c>
      <c r="K21" s="1292">
        <f>(IF('Section Load'!L24&gt;0,'Section Load'!L24,0))</f>
        <v>1063.75</v>
      </c>
      <c r="L21" s="1292">
        <f>(IF('Section Load'!M24&gt;0,'Section Load'!M24,0))</f>
        <v>1166.5199999999968</v>
      </c>
      <c r="M21" s="1292">
        <f>(IF('Section Load'!N24&gt;0,'Section Load'!N24,0))</f>
        <v>13</v>
      </c>
      <c r="N21" s="1292">
        <f>(IF('Section Load'!O24&gt;0,'Section Load'!O24,0))</f>
        <v>2</v>
      </c>
      <c r="O21" s="1292">
        <f>(IF('Section Load'!P24&gt;0,'Section Load'!P24,0))</f>
        <v>3.3000000000029104</v>
      </c>
      <c r="P21" s="1292">
        <f>(IF('Section Load'!Q24&gt;0,'Section Load'!Q24,0))</f>
        <v>166.63000000000102</v>
      </c>
      <c r="Q21" s="1292">
        <f>(IF('Section Load'!R24&gt;0,'Section Load'!R24,0))</f>
        <v>63.899999999999636</v>
      </c>
      <c r="R21" s="1292">
        <f>(IF('Section Load'!S24&gt;0,'Section Load'!S24,0))</f>
        <v>57</v>
      </c>
      <c r="S21" s="1292">
        <f>(IF('Section Load'!T24&gt;0,'Section Load'!T24,0))</f>
        <v>90</v>
      </c>
      <c r="T21" s="1292">
        <f>(IF('Section Load'!U24&gt;0,'Section Load'!U24,0))</f>
        <v>150</v>
      </c>
      <c r="U21" s="1292">
        <f>(IF('Section Load'!V24&gt;0,'Section Load'!V24,0))</f>
        <v>428.28000000002794</v>
      </c>
      <c r="V21" s="1292">
        <f>(IF('Section Load'!W24&gt;0,'Section Load'!W24,0))</f>
        <v>238.04000000003725</v>
      </c>
      <c r="W21" s="1292">
        <f>(IF('Section Load'!X24&gt;0,'Section Load'!X24,0))</f>
        <v>13.070000000006985</v>
      </c>
      <c r="X21" s="1292">
        <f>(IF('Section Load'!Y24&gt;0,'Section Load'!Y24,0))</f>
        <v>7.7399999999979627</v>
      </c>
      <c r="Y21" s="1292">
        <f>(IF('Section Load'!Z24&gt;0,'Section Load'!Z24,0))</f>
        <v>238</v>
      </c>
      <c r="Z21" s="1292">
        <f>(IF('Section Load'!AA24&gt;0,'Section Load'!AA24,0))</f>
        <v>23.35999999998603</v>
      </c>
      <c r="AA21" s="1292">
        <f>(IF('Section Load'!AB24&gt;0,'Section Load'!AB24,0))</f>
        <v>38</v>
      </c>
      <c r="AB21" s="1292">
        <f>(IF('Section Load'!AC24&gt;0,'Section Load'!AC24,0))</f>
        <v>168.45999999999185</v>
      </c>
      <c r="AC21" s="1292">
        <f>(IF('Section Load'!AD24&gt;0,'Section Load'!AD24,0))</f>
        <v>43</v>
      </c>
      <c r="AD21" s="1292">
        <f>(IF('Section Load'!AE24&gt;0,'Section Load'!AE24,0))</f>
        <v>0</v>
      </c>
      <c r="AE21" s="1292">
        <f>(IF('Section Load'!AF24&gt;0,'Section Load'!AF24,0))</f>
        <v>0</v>
      </c>
      <c r="AF21" s="1292">
        <f>(IF('Section Load'!AG24&gt;0,'Section Load'!AG24,0))</f>
        <v>363.47000000000116</v>
      </c>
      <c r="AG21" s="1292">
        <f>(IF('Section Load'!AH24&gt;0,'Section Load'!AH24,0))</f>
        <v>386.08999999999651</v>
      </c>
      <c r="AH21" s="1292">
        <f>(IF('Section Load'!AI24&gt;0,'Section Load'!AI24,0))</f>
        <v>428.92999999999302</v>
      </c>
      <c r="AI21" s="1292">
        <f>(IF('Section Load'!AJ24&gt;0,'Section Load'!AJ24,0))</f>
        <v>501.6699999999837</v>
      </c>
      <c r="AJ21" s="1292">
        <f>(IF('Section Load'!AK24&gt;0,'Section Load'!AK24,0))</f>
        <v>0</v>
      </c>
      <c r="AK21" s="1292">
        <f>(IF('Section Load'!AL24&gt;0,'Section Load'!AL24,0))</f>
        <v>295.63000000000466</v>
      </c>
      <c r="AL21" s="1292">
        <f>(IF('Section Load'!AM24&gt;0,'Section Load'!AM24,0))</f>
        <v>727</v>
      </c>
      <c r="AM21" s="1293">
        <f>(IF('Water Report'!$W$7&gt;0,'Water Report'!$W$7,0))</f>
        <v>35</v>
      </c>
      <c r="AN21" s="1293">
        <f>(IF('Water Report'!$W$8&gt;0,'Water Report'!$W$8,0))</f>
        <v>151</v>
      </c>
      <c r="AO21" s="1293">
        <f>(IF('Water Report'!$W$9&gt;0,'Water Report'!$W$9,0))</f>
        <v>51</v>
      </c>
      <c r="AP21" s="1293">
        <f>(IF('Water Report'!$W$10&gt;0,'Water Report'!$W$10,0))</f>
        <v>15</v>
      </c>
      <c r="AQ21" s="1293">
        <f>(IF('Water Report'!$W$11&gt;0,'Water Report'!$W$11,0))</f>
        <v>17</v>
      </c>
      <c r="AR21" s="1293">
        <f>(IF('Water Report'!$W$13&gt;0,'Water Report'!$W$13,0))</f>
        <v>10</v>
      </c>
      <c r="AS21" s="1293">
        <f>(IF('Water Report'!$W$14&gt;0,'Water Report'!$W$14,0))</f>
        <v>15</v>
      </c>
      <c r="AT21" s="1293">
        <f>(IF('Water Report'!$W$15&gt;0,'Water Report'!$W$15,0))</f>
        <v>4</v>
      </c>
      <c r="AU21" s="1293">
        <f>(IF('Water Report'!$W$17&gt;0,'Water Report'!$W$17,0))</f>
        <v>0</v>
      </c>
      <c r="AV21" s="1293">
        <f>(IF('Water Report'!$W$18&gt;0,'Water Report'!$W$18,0))</f>
        <v>0</v>
      </c>
      <c r="AW21" s="1293">
        <f>(IF('Water Report'!$W$19&gt;0,'Water Report'!$W$19,0))</f>
        <v>0</v>
      </c>
      <c r="AX21" s="1368">
        <f>(IF('Water Report'!$W$21&gt;0,'Water Report'!$W$21,0))</f>
        <v>66</v>
      </c>
      <c r="AY21" s="1368">
        <f>(IF('Water Report'!$W$22&gt;0,'Water Report'!$W$22,0))</f>
        <v>33</v>
      </c>
      <c r="AZ21" s="1368">
        <f>(IF('Water Report'!$W$23&gt;0,'Water Report'!$W$23,0))</f>
        <v>0</v>
      </c>
      <c r="BA21" s="1368">
        <f>(IF('Water Report'!$W$14&gt;0,'Water Report'!$W$14,0))</f>
        <v>15</v>
      </c>
      <c r="BB21" s="1368">
        <f>(IF('Water Report'!$W$15&gt;0,'Water Report'!$W$15,0))</f>
        <v>4</v>
      </c>
      <c r="BC21" s="1368">
        <f>(IF('Water Report'!$W$13&gt;0,'Water Report'!$W$13,0))</f>
        <v>10</v>
      </c>
      <c r="BD21" s="1368">
        <f>(IF('Water Report'!$W$24&gt;0,'Water Report'!$W$24,0))</f>
        <v>143</v>
      </c>
      <c r="BE21" s="1368">
        <f>(IF('Water Report'!$W$25&gt;0,'Water Report'!$W$25,0))</f>
        <v>102</v>
      </c>
      <c r="BF21" s="1368">
        <f>(IF('Water Report'!$W$27&gt;0,'Water Report'!$W$27,0))</f>
        <v>76</v>
      </c>
      <c r="BG21" s="1294">
        <f>(IF('Section Load'!AN24&gt;0,'Section Load'!AN24,0))</f>
        <v>465</v>
      </c>
      <c r="BH21" s="1294">
        <f>(IF('Section Load'!AO24&gt;0,'Section Load'!AO24,0))</f>
        <v>260.44999999995343</v>
      </c>
      <c r="BI21" s="1294">
        <f>(IF('Section Load'!AP24&gt;0,'Section Load'!AP24,0))</f>
        <v>0</v>
      </c>
      <c r="BJ21" s="1294">
        <f>(IF('Section Load'!AQ24&gt;0,'Section Load'!AQ24,0))</f>
        <v>81.230000000010477</v>
      </c>
      <c r="BK21" s="1294">
        <f>(IF('Section Load'!AR24&gt;0,'Section Load'!AR24,0))</f>
        <v>37</v>
      </c>
      <c r="BL21" s="1294">
        <f>(IF('Section Load'!AS24&gt;0,'Section Load'!AS24,0))</f>
        <v>1.7000000000007276</v>
      </c>
      <c r="BM21" s="1294">
        <f>(IF('Section Load'!AT24&gt;0,'Section Load'!AT24,0))</f>
        <v>84.620000000035361</v>
      </c>
    </row>
    <row r="22" spans="1:65">
      <c r="A22" s="1276" t="s">
        <v>300</v>
      </c>
      <c r="B22" s="1277">
        <f t="shared" si="0"/>
        <v>21</v>
      </c>
      <c r="C22" s="1277">
        <v>7</v>
      </c>
      <c r="D22" s="1277">
        <v>2021</v>
      </c>
      <c r="E22" s="1292">
        <f>(IF('Section Load'!F25&gt;0,'Section Load'!F25,0))</f>
        <v>2837.539999999979</v>
      </c>
      <c r="F22" s="1292">
        <f>(IF('Section Load'!G25&gt;0,'Section Load'!G25,0))</f>
        <v>1602.9200000000128</v>
      </c>
      <c r="G22" s="1292">
        <f>(IF('Section Load'!H25&gt;0,'Section Load'!H25,0))</f>
        <v>1578.0499999999593</v>
      </c>
      <c r="H22" s="1292">
        <f>(IF('Section Load'!I25&gt;0,'Section Load'!I25,0))</f>
        <v>3741.5200000000186</v>
      </c>
      <c r="I22" s="1292">
        <f>(IF('Section Load'!J25&gt;0,'Section Load'!J25,0))</f>
        <v>6289.1099999999278</v>
      </c>
      <c r="J22" s="1292">
        <f>(IF('Section Load'!K25&gt;0,'Section Load'!K25,0))</f>
        <v>2552.6000000000931</v>
      </c>
      <c r="K22" s="1292">
        <f>(IF('Section Load'!L25&gt;0,'Section Load'!L25,0))</f>
        <v>1014.9200000000419</v>
      </c>
      <c r="L22" s="1292">
        <f>(IF('Section Load'!M25&gt;0,'Section Load'!M25,0))</f>
        <v>759.40000000000146</v>
      </c>
      <c r="M22" s="1292">
        <f>(IF('Section Load'!N25&gt;0,'Section Load'!N25,0))</f>
        <v>13</v>
      </c>
      <c r="N22" s="1292">
        <f>(IF('Section Load'!O25&gt;0,'Section Load'!O25,0))</f>
        <v>1</v>
      </c>
      <c r="O22" s="1292">
        <f>(IF('Section Load'!P25&gt;0,'Section Load'!P25,0))</f>
        <v>1.3000000000029104</v>
      </c>
      <c r="P22" s="1292">
        <f>(IF('Section Load'!Q25&gt;0,'Section Load'!Q25,0))</f>
        <v>153.25</v>
      </c>
      <c r="Q22" s="1292">
        <f>(IF('Section Load'!R25&gt;0,'Section Load'!R25,0))</f>
        <v>69.450000000000728</v>
      </c>
      <c r="R22" s="1292">
        <f>(IF('Section Load'!S25&gt;0,'Section Load'!S25,0))</f>
        <v>93</v>
      </c>
      <c r="S22" s="1292">
        <f>(IF('Section Load'!T25&gt;0,'Section Load'!T25,0))</f>
        <v>126</v>
      </c>
      <c r="T22" s="1292">
        <f>(IF('Section Load'!U25&gt;0,'Section Load'!U25,0))</f>
        <v>155</v>
      </c>
      <c r="U22" s="1292">
        <f>(IF('Section Load'!V25&gt;0,'Section Load'!V25,0))</f>
        <v>421.71999999997206</v>
      </c>
      <c r="V22" s="1292">
        <f>(IF('Section Load'!W25&gt;0,'Section Load'!W25,0))</f>
        <v>184.95999999996275</v>
      </c>
      <c r="W22" s="1292">
        <f>(IF('Section Load'!X25&gt;0,'Section Load'!X25,0))</f>
        <v>26.44999999999709</v>
      </c>
      <c r="X22" s="1292">
        <f>(IF('Section Load'!Y25&gt;0,'Section Load'!Y25,0))</f>
        <v>222.88999999999942</v>
      </c>
      <c r="Y22" s="1292">
        <f>(IF('Section Load'!Z25&gt;0,'Section Load'!Z25,0))</f>
        <v>206</v>
      </c>
      <c r="Z22" s="1292">
        <f>(IF('Section Load'!AA25&gt;0,'Section Load'!AA25,0))</f>
        <v>22.160000000032596</v>
      </c>
      <c r="AA22" s="1292">
        <f>(IF('Section Load'!AB25&gt;0,'Section Load'!AB25,0))</f>
        <v>34.80000000000291</v>
      </c>
      <c r="AB22" s="1292">
        <f>(IF('Section Load'!AC25&gt;0,'Section Load'!AC25,0))</f>
        <v>103.36999999999534</v>
      </c>
      <c r="AC22" s="1292">
        <f>(IF('Section Load'!AD25&gt;0,'Section Load'!AD25,0))</f>
        <v>42.80000000000291</v>
      </c>
      <c r="AD22" s="1292">
        <f>(IF('Section Load'!AE25&gt;0,'Section Load'!AE25,0))</f>
        <v>0</v>
      </c>
      <c r="AE22" s="1292">
        <f>(IF('Section Load'!AF25&gt;0,'Section Load'!AF25,0))</f>
        <v>0</v>
      </c>
      <c r="AF22" s="1292">
        <f>(IF('Section Load'!AG25&gt;0,'Section Load'!AG25,0))</f>
        <v>348.01999999998952</v>
      </c>
      <c r="AG22" s="1292">
        <f>(IF('Section Load'!AH25&gt;0,'Section Load'!AH25,0))</f>
        <v>382.5</v>
      </c>
      <c r="AH22" s="1292">
        <f>(IF('Section Load'!AI25&gt;0,'Section Load'!AI25,0))</f>
        <v>407.82000000000698</v>
      </c>
      <c r="AI22" s="1292">
        <f>(IF('Section Load'!AJ25&gt;0,'Section Load'!AJ25,0))</f>
        <v>501.44000000000233</v>
      </c>
      <c r="AJ22" s="1292">
        <f>(IF('Section Load'!AK25&gt;0,'Section Load'!AK25,0))</f>
        <v>0</v>
      </c>
      <c r="AK22" s="1292">
        <f>(IF('Section Load'!AL25&gt;0,'Section Load'!AL25,0))</f>
        <v>284.54999999998836</v>
      </c>
      <c r="AL22" s="1292">
        <f>(IF('Section Load'!AM25&gt;0,'Section Load'!AM25,0))</f>
        <v>697</v>
      </c>
      <c r="AM22" s="1293">
        <f>(IF('Water Report'!$X$7&gt;0,'Water Report'!$X$7,0))</f>
        <v>79</v>
      </c>
      <c r="AN22" s="1293">
        <f>(IF('Water Report'!$X$8&gt;0,'Water Report'!$X$8,0))</f>
        <v>118</v>
      </c>
      <c r="AO22" s="1293">
        <f>(IF('Water Report'!$X$9&gt;0,'Water Report'!$X$9,0))</f>
        <v>79</v>
      </c>
      <c r="AP22" s="1293">
        <f>(IF('Water Report'!$X$10&gt;0,'Water Report'!$X$10,0))</f>
        <v>18</v>
      </c>
      <c r="AQ22" s="1293">
        <f>(IF('Water Report'!$X$11&gt;0,'Water Report'!$X$11,0))</f>
        <v>23</v>
      </c>
      <c r="AR22" s="1293">
        <f>(IF('Water Report'!$X$13&gt;0,'Water Report'!$X$13,0))</f>
        <v>18</v>
      </c>
      <c r="AS22" s="1293">
        <f>(IF('Water Report'!$X$14&gt;0,'Water Report'!$X$14,0))</f>
        <v>19</v>
      </c>
      <c r="AT22" s="1293">
        <f>(IF('Water Report'!$X$15&gt;0,'Water Report'!$X$15,0))</f>
        <v>11</v>
      </c>
      <c r="AU22" s="1293">
        <f>(IF('Water Report'!$X$17&gt;0,'Water Report'!$X$17,0))</f>
        <v>0</v>
      </c>
      <c r="AV22" s="1293">
        <f>(IF('Water Report'!$X$18&gt;0,'Water Report'!$X$18,0))</f>
        <v>12</v>
      </c>
      <c r="AW22" s="1293">
        <f>(IF('Water Report'!$X$19&gt;0,'Water Report'!$X$19,0))</f>
        <v>6</v>
      </c>
      <c r="AX22" s="1368">
        <f>(IF('Water Report'!$X$21&gt;0,'Water Report'!$X$21,0))</f>
        <v>66</v>
      </c>
      <c r="AY22" s="1368">
        <f>(IF('Water Report'!$X$22&gt;0,'Water Report'!$X$22,0))</f>
        <v>4</v>
      </c>
      <c r="AZ22" s="1368">
        <f>(IF('Water Report'!$X$23&gt;0,'Water Report'!$X$23,0))</f>
        <v>0</v>
      </c>
      <c r="BA22" s="1368">
        <f>(IF('Water Report'!$X$14&gt;0,'Water Report'!$X$14,0))</f>
        <v>19</v>
      </c>
      <c r="BB22" s="1368">
        <f>(IF('Water Report'!$X$15&gt;0,'Water Report'!$X$15,0))</f>
        <v>11</v>
      </c>
      <c r="BC22" s="1368">
        <f>(IF('Water Report'!$X$13&gt;0,'Water Report'!$X$13,0))</f>
        <v>18</v>
      </c>
      <c r="BD22" s="1368">
        <f>(IF('Water Report'!$X$24&gt;0,'Water Report'!$X$24,0))</f>
        <v>175</v>
      </c>
      <c r="BE22" s="1368">
        <f>(IF('Water Report'!$X$25&gt;0,'Water Report'!$X$25,0))</f>
        <v>150</v>
      </c>
      <c r="BF22" s="1368">
        <f>(IF('Water Report'!$X$27&gt;0,'Water Report'!$X$27,0))</f>
        <v>84</v>
      </c>
      <c r="BG22" s="1294">
        <f>(IF('Section Load'!AN25&gt;0,'Section Load'!AN25,0))</f>
        <v>926.71999999997206</v>
      </c>
      <c r="BH22" s="1294">
        <f>(IF('Section Load'!AO25&gt;0,'Section Load'!AO25,0))</f>
        <v>269.23000000009779</v>
      </c>
      <c r="BI22" s="1294">
        <f>(IF('Section Load'!AP25&gt;0,'Section Load'!AP25,0))</f>
        <v>0</v>
      </c>
      <c r="BJ22" s="1294">
        <f>(IF('Section Load'!AQ25&gt;0,'Section Load'!AQ25,0))</f>
        <v>85.069999999977881</v>
      </c>
      <c r="BK22" s="1294">
        <f>(IF('Section Load'!AR25&gt;0,'Section Load'!AR25,0))</f>
        <v>39.599999999998545</v>
      </c>
      <c r="BL22" s="1294">
        <f>(IF('Section Load'!AS25&gt;0,'Section Load'!AS25,0))</f>
        <v>1.2999999999992724</v>
      </c>
      <c r="BM22" s="1294">
        <f>(IF('Section Load'!AT25&gt;0,'Section Load'!AT25,0))</f>
        <v>531.51999999989857</v>
      </c>
    </row>
    <row r="23" spans="1:65">
      <c r="A23" s="1276" t="s">
        <v>300</v>
      </c>
      <c r="B23" s="1277">
        <f t="shared" si="0"/>
        <v>22</v>
      </c>
      <c r="C23" s="1277">
        <v>7</v>
      </c>
      <c r="D23" s="1277">
        <v>2021</v>
      </c>
      <c r="E23" s="1292">
        <f>(IF('Section Load'!F26&gt;0,'Section Load'!F26,0))</f>
        <v>0</v>
      </c>
      <c r="F23" s="1292">
        <f>(IF('Section Load'!G26&gt;0,'Section Load'!G26,0))</f>
        <v>0</v>
      </c>
      <c r="G23" s="1292">
        <f>(IF('Section Load'!H26&gt;0,'Section Load'!H26,0))</f>
        <v>0</v>
      </c>
      <c r="H23" s="1292">
        <f>(IF('Section Load'!I26&gt;0,'Section Load'!I26,0))</f>
        <v>0</v>
      </c>
      <c r="I23" s="1292">
        <f>(IF('Section Load'!J26&gt;0,'Section Load'!J26,0))</f>
        <v>0</v>
      </c>
      <c r="J23" s="1292">
        <f>(IF('Section Load'!K26&gt;0,'Section Load'!K26,0))</f>
        <v>0</v>
      </c>
      <c r="K23" s="1292">
        <f>(IF('Section Load'!L26&gt;0,'Section Load'!L26,0))</f>
        <v>0</v>
      </c>
      <c r="L23" s="1292">
        <f>(IF('Section Load'!M26&gt;0,'Section Load'!M26,0))</f>
        <v>0</v>
      </c>
      <c r="M23" s="1292">
        <f>(IF('Section Load'!N26&gt;0,'Section Load'!N26,0))</f>
        <v>0</v>
      </c>
      <c r="N23" s="1292">
        <f>(IF('Section Load'!O26&gt;0,'Section Load'!O26,0))</f>
        <v>0</v>
      </c>
      <c r="O23" s="1292">
        <f>(IF('Section Load'!P26&gt;0,'Section Load'!P26,0))</f>
        <v>0</v>
      </c>
      <c r="P23" s="1292">
        <f>(IF('Section Load'!Q26&gt;0,'Section Load'!Q26,0))</f>
        <v>0</v>
      </c>
      <c r="Q23" s="1292">
        <f>(IF('Section Load'!R26&gt;0,'Section Load'!R26,0))</f>
        <v>0</v>
      </c>
      <c r="R23" s="1292">
        <f>(IF('Section Load'!S26&gt;0,'Section Load'!S26,0))</f>
        <v>0</v>
      </c>
      <c r="S23" s="1292">
        <f>(IF('Section Load'!T26&gt;0,'Section Load'!T26,0))</f>
        <v>0</v>
      </c>
      <c r="T23" s="1292">
        <f>(IF('Section Load'!U26&gt;0,'Section Load'!U26,0))</f>
        <v>0</v>
      </c>
      <c r="U23" s="1292">
        <f>(IF('Section Load'!V26&gt;0,'Section Load'!V26,0))</f>
        <v>0</v>
      </c>
      <c r="V23" s="1292">
        <f>(IF('Section Load'!W26&gt;0,'Section Load'!W26,0))</f>
        <v>0</v>
      </c>
      <c r="W23" s="1292">
        <f>(IF('Section Load'!X26&gt;0,'Section Load'!X26,0))</f>
        <v>0</v>
      </c>
      <c r="X23" s="1292">
        <f>(IF('Section Load'!Y26&gt;0,'Section Load'!Y26,0))</f>
        <v>0</v>
      </c>
      <c r="Y23" s="1292">
        <f>(IF('Section Load'!Z26&gt;0,'Section Load'!Z26,0))</f>
        <v>0</v>
      </c>
      <c r="Z23" s="1292">
        <f>(IF('Section Load'!AA26&gt;0,'Section Load'!AA26,0))</f>
        <v>0</v>
      </c>
      <c r="AA23" s="1292">
        <f>(IF('Section Load'!AB26&gt;0,'Section Load'!AB26,0))</f>
        <v>0</v>
      </c>
      <c r="AB23" s="1292">
        <f>(IF('Section Load'!AC26&gt;0,'Section Load'!AC26,0))</f>
        <v>0</v>
      </c>
      <c r="AC23" s="1292">
        <f>(IF('Section Load'!AD26&gt;0,'Section Load'!AD26,0))</f>
        <v>0</v>
      </c>
      <c r="AD23" s="1292">
        <f>(IF('Section Load'!AE26&gt;0,'Section Load'!AE26,0))</f>
        <v>0</v>
      </c>
      <c r="AE23" s="1292">
        <f>(IF('Section Load'!AF26&gt;0,'Section Load'!AF26,0))</f>
        <v>0</v>
      </c>
      <c r="AF23" s="1292">
        <f>(IF('Section Load'!AG26&gt;0,'Section Load'!AG26,0))</f>
        <v>0</v>
      </c>
      <c r="AG23" s="1292">
        <f>(IF('Section Load'!AH26&gt;0,'Section Load'!AH26,0))</f>
        <v>0</v>
      </c>
      <c r="AH23" s="1292">
        <f>(IF('Section Load'!AI26&gt;0,'Section Load'!AI26,0))</f>
        <v>0</v>
      </c>
      <c r="AI23" s="1292">
        <f>(IF('Section Load'!AJ26&gt;0,'Section Load'!AJ26,0))</f>
        <v>0</v>
      </c>
      <c r="AJ23" s="1292">
        <f>(IF('Section Load'!AK26&gt;0,'Section Load'!AK26,0))</f>
        <v>0</v>
      </c>
      <c r="AK23" s="1292">
        <f>(IF('Section Load'!AL26&gt;0,'Section Load'!AL26,0))</f>
        <v>0</v>
      </c>
      <c r="AL23" s="1292">
        <f>(IF('Section Load'!AM26&gt;0,'Section Load'!AM26,0))</f>
        <v>0</v>
      </c>
      <c r="AM23" s="1293">
        <f>(IF('Water Report'!$Y$7&gt;0,'Water Report'!$Y$7,0))</f>
        <v>0</v>
      </c>
      <c r="AN23" s="1293">
        <f>(IF('Water Report'!$Y$8&gt;0,'Water Report'!$Y$8,0))</f>
        <v>0</v>
      </c>
      <c r="AO23" s="1293">
        <f>(IF('Water Report'!$Y$9&gt;0,'Water Report'!$Y$9,0))</f>
        <v>0</v>
      </c>
      <c r="AP23" s="1293">
        <f>(IF('Water Report'!$Y$10&gt;0,'Water Report'!$Y$10,0))</f>
        <v>0</v>
      </c>
      <c r="AQ23" s="1293">
        <f>(IF('Water Report'!$Y$11&gt;0,'Water Report'!$Y$11,0))</f>
        <v>0</v>
      </c>
      <c r="AR23" s="1293">
        <f>(IF('Water Report'!$Y$13&gt;0,'Water Report'!$Y$13,0))</f>
        <v>0</v>
      </c>
      <c r="AS23" s="1293">
        <f>(IF('Water Report'!$Y$14&gt;0,'Water Report'!$Y$14,0))</f>
        <v>0</v>
      </c>
      <c r="AT23" s="1293">
        <f>(IF('Water Report'!$Y$15&gt;0,'Water Report'!$Y$15,0))</f>
        <v>0</v>
      </c>
      <c r="AU23" s="1293">
        <f>(IF('Water Report'!$Y$17&gt;0,'Water Report'!$Y$17,0))</f>
        <v>0</v>
      </c>
      <c r="AV23" s="1293">
        <f>(IF('Water Report'!$Y$18&gt;0,'Water Report'!$Y$18,0))</f>
        <v>0</v>
      </c>
      <c r="AW23" s="1293">
        <f>(IF('Water Report'!$Y$19&gt;0,'Water Report'!$Y$19,0))</f>
        <v>0</v>
      </c>
      <c r="AX23" s="1368">
        <f>(IF('Water Report'!$Y$21&gt;0,'Water Report'!$Y$21,0))</f>
        <v>0</v>
      </c>
      <c r="AY23" s="1368">
        <f>(IF('Water Report'!$Y$22&gt;0,'Water Report'!$Y$22,0))</f>
        <v>0</v>
      </c>
      <c r="AZ23" s="1368">
        <f>(IF('Water Report'!$Y$23&gt;0,'Water Report'!$Y$23,0))</f>
        <v>0</v>
      </c>
      <c r="BA23" s="1368">
        <f>(IF('Water Report'!$Y$14&gt;0,'Water Report'!$Y$14,0))</f>
        <v>0</v>
      </c>
      <c r="BB23" s="1368">
        <f>(IF('Water Report'!$Y$15&gt;0,'Water Report'!$Y$15,0))</f>
        <v>0</v>
      </c>
      <c r="BC23" s="1368">
        <f>(IF('Water Report'!$Y$13&gt;0,'Water Report'!$Y$13,0))</f>
        <v>0</v>
      </c>
      <c r="BD23" s="1368">
        <f>(IF('Water Report'!$Y$24&gt;0,'Water Report'!$Y$24,0))</f>
        <v>0</v>
      </c>
      <c r="BE23" s="1368">
        <f>(IF('Water Report'!$Y$25&gt;0,'Water Report'!$Y$25,0))</f>
        <v>0</v>
      </c>
      <c r="BF23" s="1368">
        <f>(IF('Water Report'!$Y$27&gt;0,'Water Report'!$Y$27,0))</f>
        <v>0</v>
      </c>
      <c r="BG23" s="1294">
        <f>(IF('Section Load'!AN26&gt;0,'Section Load'!AN26,0))</f>
        <v>700</v>
      </c>
      <c r="BH23" s="1294">
        <f>(IF('Section Load'!AO26&gt;0,'Section Load'!AO26,0))</f>
        <v>0</v>
      </c>
      <c r="BI23" s="1294">
        <f>(IF('Section Load'!AP26&gt;0,'Section Load'!AP26,0))</f>
        <v>0</v>
      </c>
      <c r="BJ23" s="1294">
        <f>(IF('Section Load'!AQ26&gt;0,'Section Load'!AQ26,0))</f>
        <v>0</v>
      </c>
      <c r="BK23" s="1294">
        <f>(IF('Section Load'!AR26&gt;0,'Section Load'!AR26,0))</f>
        <v>0</v>
      </c>
      <c r="BL23" s="1294">
        <f>(IF('Section Load'!AS26&gt;0,'Section Load'!AS26,0))</f>
        <v>0</v>
      </c>
      <c r="BM23" s="1294">
        <f>(IF('Section Load'!AT26&gt;0,'Section Load'!AT26,0))</f>
        <v>12406.700000000021</v>
      </c>
    </row>
    <row r="24" spans="1:65">
      <c r="A24" s="1276" t="s">
        <v>300</v>
      </c>
      <c r="B24" s="1277">
        <f t="shared" si="0"/>
        <v>23</v>
      </c>
      <c r="C24" s="1277">
        <v>7</v>
      </c>
      <c r="D24" s="1277">
        <v>2021</v>
      </c>
      <c r="E24" s="1292">
        <f>(IF('Section Load'!F27&gt;0,'Section Load'!F27,0))</f>
        <v>2677.4899999999907</v>
      </c>
      <c r="F24" s="1292">
        <f>(IF('Section Load'!G27&gt;0,'Section Load'!G27,0))</f>
        <v>1414.3399999999965</v>
      </c>
      <c r="G24" s="1292">
        <f>(IF('Section Load'!H27&gt;0,'Section Load'!H27,0))</f>
        <v>1354.2200000000012</v>
      </c>
      <c r="H24" s="1292">
        <f>(IF('Section Load'!I27&gt;0,'Section Load'!I27,0))</f>
        <v>3432.960000000021</v>
      </c>
      <c r="I24" s="1292">
        <f>(IF('Section Load'!J27&gt;0,'Section Load'!J27,0))</f>
        <v>5831.9499999999389</v>
      </c>
      <c r="J24" s="1292">
        <f>(IF('Section Load'!K27&gt;0,'Section Load'!K27,0))</f>
        <v>2742.5999999998603</v>
      </c>
      <c r="K24" s="1292">
        <f>(IF('Section Load'!L27&gt;0,'Section Load'!L27,0))</f>
        <v>989.40000000002328</v>
      </c>
      <c r="L24" s="1292">
        <f>(IF('Section Load'!M27&gt;0,'Section Load'!M27,0))</f>
        <v>662.30999999999949</v>
      </c>
      <c r="M24" s="1292">
        <f>(IF('Section Load'!N27&gt;0,'Section Load'!N27,0))</f>
        <v>13</v>
      </c>
      <c r="N24" s="1292">
        <f>(IF('Section Load'!O27&gt;0,'Section Load'!O27,0))</f>
        <v>2</v>
      </c>
      <c r="O24" s="1292">
        <f>(IF('Section Load'!P27&gt;0,'Section Load'!P27,0))</f>
        <v>1</v>
      </c>
      <c r="P24" s="1292">
        <f>(IF('Section Load'!Q27&gt;0,'Section Load'!Q27,0))</f>
        <v>155</v>
      </c>
      <c r="Q24" s="1292">
        <f>(IF('Section Load'!R27&gt;0,'Section Load'!R27,0))</f>
        <v>68.200000000000728</v>
      </c>
      <c r="R24" s="1292">
        <f>(IF('Section Load'!S27&gt;0,'Section Load'!S27,0))</f>
        <v>51</v>
      </c>
      <c r="S24" s="1292">
        <f>(IF('Section Load'!T27&gt;0,'Section Load'!T27,0))</f>
        <v>66</v>
      </c>
      <c r="T24" s="1292">
        <f>(IF('Section Load'!U27&gt;0,'Section Load'!U27,0))</f>
        <v>151</v>
      </c>
      <c r="U24" s="1292">
        <f>(IF('Section Load'!V27&gt;0,'Section Load'!V27,0))</f>
        <v>391.31999999994878</v>
      </c>
      <c r="V24" s="1292">
        <f>(IF('Section Load'!W27&gt;0,'Section Load'!W27,0))</f>
        <v>175.64000000001397</v>
      </c>
      <c r="W24" s="1292">
        <f>(IF('Section Load'!X27&gt;0,'Section Load'!X27,0))</f>
        <v>12.720000000001164</v>
      </c>
      <c r="X24" s="1292">
        <f>(IF('Section Load'!Y27&gt;0,'Section Load'!Y27,0))</f>
        <v>82.040000000000873</v>
      </c>
      <c r="Y24" s="1292">
        <f>(IF('Section Load'!Z27&gt;0,'Section Load'!Z27,0))</f>
        <v>138</v>
      </c>
      <c r="Z24" s="1292">
        <f>(IF('Section Load'!AA27&gt;0,'Section Load'!AA27,0))</f>
        <v>25.480000000039581</v>
      </c>
      <c r="AA24" s="1292">
        <f>(IF('Section Load'!AB27&gt;0,'Section Load'!AB27,0))</f>
        <v>32.899999999994179</v>
      </c>
      <c r="AB24" s="1292">
        <f>(IF('Section Load'!AC27&gt;0,'Section Load'!AC27,0))</f>
        <v>81</v>
      </c>
      <c r="AC24" s="1292">
        <f>(IF('Section Load'!AD27&gt;0,'Section Load'!AD27,0))</f>
        <v>0</v>
      </c>
      <c r="AD24" s="1292">
        <f>(IF('Section Load'!AE27&gt;0,'Section Load'!AE27,0))</f>
        <v>0</v>
      </c>
      <c r="AE24" s="1292">
        <f>(IF('Section Load'!AF27&gt;0,'Section Load'!AF27,0))</f>
        <v>0</v>
      </c>
      <c r="AF24" s="1292">
        <f>(IF('Section Load'!AG27&gt;0,'Section Load'!AG27,0))</f>
        <v>382.32999999998719</v>
      </c>
      <c r="AG24" s="1292">
        <f>(IF('Section Load'!AH27&gt;0,'Section Load'!AH27,0))</f>
        <v>289.42000000001281</v>
      </c>
      <c r="AH24" s="1292">
        <f>(IF('Section Load'!AI27&gt;0,'Section Load'!AI27,0))</f>
        <v>388.12000000000262</v>
      </c>
      <c r="AI24" s="1292">
        <f>(IF('Section Load'!AJ27&gt;0,'Section Load'!AJ27,0))</f>
        <v>421.67000000001281</v>
      </c>
      <c r="AJ24" s="1292">
        <f>(IF('Section Load'!AK27&gt;0,'Section Load'!AK27,0))</f>
        <v>0</v>
      </c>
      <c r="AK24" s="1292">
        <f>(IF('Section Load'!AL27&gt;0,'Section Load'!AL27,0))</f>
        <v>260.80000000000291</v>
      </c>
      <c r="AL24" s="1292">
        <f>(IF('Section Load'!AM27&gt;0,'Section Load'!AM27,0))</f>
        <v>782</v>
      </c>
      <c r="AM24" s="1293">
        <f>(IF('Water Report'!$Z$7&gt;0,'Water Report'!$Z$7,0))</f>
        <v>32</v>
      </c>
      <c r="AN24" s="1293">
        <f>(IF('Water Report'!$Z$8&gt;0,'Water Report'!$Z$8,0))</f>
        <v>106</v>
      </c>
      <c r="AO24" s="1293">
        <f>(IF('Water Report'!$Z$9&gt;0,'Water Report'!$Z$9,0))</f>
        <v>43</v>
      </c>
      <c r="AP24" s="1293">
        <f>(IF('Water Report'!$Z$10&gt;0,'Water Report'!$Z$10,0))</f>
        <v>17</v>
      </c>
      <c r="AQ24" s="1293">
        <f>(IF('Water Report'!$Z$11&gt;0,'Water Report'!$Z$11,0))</f>
        <v>22</v>
      </c>
      <c r="AR24" s="1293">
        <f>(IF('Water Report'!$Z$13&gt;0,'Water Report'!$Z$13,0))</f>
        <v>55</v>
      </c>
      <c r="AS24" s="1293">
        <f>(IF('Water Report'!$Z$14&gt;0,'Water Report'!$Z$14,0))</f>
        <v>13</v>
      </c>
      <c r="AT24" s="1293">
        <f>(IF('Water Report'!$Z$15&gt;0,'Water Report'!$Z$15,0))</f>
        <v>5</v>
      </c>
      <c r="AU24" s="1293">
        <f>(IF('Water Report'!$Z$17&gt;0,'Water Report'!$Z$17,0))</f>
        <v>0</v>
      </c>
      <c r="AV24" s="1293">
        <f>(IF('Water Report'!$Z$18&gt;0,'Water Report'!$Z$18,0))</f>
        <v>2</v>
      </c>
      <c r="AW24" s="1293">
        <f>(IF('Water Report'!$Z$19&gt;0,'Water Report'!$Z$19,0))</f>
        <v>3</v>
      </c>
      <c r="AX24" s="1368">
        <f>(IF('Water Report'!$Z$21&gt;0,'Water Report'!$Z$21,0))</f>
        <v>56</v>
      </c>
      <c r="AY24" s="1368">
        <f>(IF('Water Report'!$Z$22&gt;0,'Water Report'!$Z$22,0))</f>
        <v>19</v>
      </c>
      <c r="AZ24" s="1368">
        <f>(IF('Water Report'!$Z$23&gt;0,'Water Report'!$Z$23,0))</f>
        <v>0</v>
      </c>
      <c r="BA24" s="1368">
        <f>(IF('Water Report'!$Z$14&gt;0,'Water Report'!$Z$14,0))</f>
        <v>13</v>
      </c>
      <c r="BB24" s="1368">
        <f>(IF('Water Report'!$Z$15&gt;0,'Water Report'!$Z$15,0))</f>
        <v>5</v>
      </c>
      <c r="BC24" s="1368">
        <f>(IF('Water Report'!$Z$13&gt;0,'Water Report'!$Z$13,0))</f>
        <v>55</v>
      </c>
      <c r="BD24" s="1368">
        <f>(IF('Water Report'!$Z$24&gt;0,'Water Report'!$Z$24,0))</f>
        <v>101</v>
      </c>
      <c r="BE24" s="1368">
        <f>(IF('Water Report'!$Z$25&gt;0,'Water Report'!$Z$25,0))</f>
        <v>100</v>
      </c>
      <c r="BF24" s="1368">
        <f>(IF('Water Report'!$Z$27&gt;0,'Water Report'!$Z$27,0))</f>
        <v>111</v>
      </c>
      <c r="BG24" s="1294">
        <f>(IF('Section Load'!AN27&gt;0,'Section Load'!AN27,0))</f>
        <v>700</v>
      </c>
      <c r="BH24" s="1294">
        <f>(IF('Section Load'!AO27&gt;0,'Section Load'!AO27,0))</f>
        <v>283.38000000000466</v>
      </c>
      <c r="BI24" s="1294">
        <f>(IF('Section Load'!AP27&gt;0,'Section Load'!AP27,0))</f>
        <v>0</v>
      </c>
      <c r="BJ24" s="1294">
        <f>(IF('Section Load'!AQ27&gt;0,'Section Load'!AQ27,0))</f>
        <v>88.610000000015134</v>
      </c>
      <c r="BK24" s="1294">
        <f>(IF('Section Load'!AR27&gt;0,'Section Load'!AR27,0))</f>
        <v>36.5</v>
      </c>
      <c r="BL24" s="1294">
        <f>(IF('Section Load'!AS27&gt;0,'Section Load'!AS27,0))</f>
        <v>2.5</v>
      </c>
      <c r="BM24" s="1294">
        <f>(IF('Section Load'!AT27&gt;0,'Section Load'!AT27,0))</f>
        <v>289.00999999998021</v>
      </c>
    </row>
    <row r="25" spans="1:65">
      <c r="A25" s="1276" t="s">
        <v>300</v>
      </c>
      <c r="B25" s="1277">
        <f t="shared" si="0"/>
        <v>24</v>
      </c>
      <c r="C25" s="1277">
        <v>7</v>
      </c>
      <c r="D25" s="1277">
        <v>2021</v>
      </c>
      <c r="E25" s="1292">
        <f>(IF('Section Load'!F28&gt;0,'Section Load'!F28,0))</f>
        <v>2800.5</v>
      </c>
      <c r="F25" s="1292">
        <f>(IF('Section Load'!G28&gt;0,'Section Load'!G28,0))</f>
        <v>1486.5400000000081</v>
      </c>
      <c r="G25" s="1292">
        <f>(IF('Section Load'!H28&gt;0,'Section Load'!H28,0))</f>
        <v>1527.9600000000501</v>
      </c>
      <c r="H25" s="1292">
        <f>(IF('Section Load'!I28&gt;0,'Section Load'!I28,0))</f>
        <v>3514.4599999999627</v>
      </c>
      <c r="I25" s="1292">
        <f>(IF('Section Load'!J28&gt;0,'Section Load'!J28,0))</f>
        <v>6559.3000000000175</v>
      </c>
      <c r="J25" s="1292">
        <f>(IF('Section Load'!K28&gt;0,'Section Load'!K28,0))</f>
        <v>2919.3000000000466</v>
      </c>
      <c r="K25" s="1292">
        <f>(IF('Section Load'!L28&gt;0,'Section Load'!L28,0))</f>
        <v>1520.609999999986</v>
      </c>
      <c r="L25" s="1292">
        <f>(IF('Section Load'!M28&gt;0,'Section Load'!M28,0))</f>
        <v>1173.0200000000004</v>
      </c>
      <c r="M25" s="1292">
        <f>(IF('Section Load'!N28&gt;0,'Section Load'!N28,0))</f>
        <v>14</v>
      </c>
      <c r="N25" s="1292">
        <f>(IF('Section Load'!O28&gt;0,'Section Load'!O28,0))</f>
        <v>1</v>
      </c>
      <c r="O25" s="1292">
        <f>(IF('Section Load'!P28&gt;0,'Section Load'!P28,0))</f>
        <v>0</v>
      </c>
      <c r="P25" s="1292">
        <f>(IF('Section Load'!Q28&gt;0,'Section Load'!Q28,0))</f>
        <v>157.70000000000073</v>
      </c>
      <c r="Q25" s="1292">
        <f>(IF('Section Load'!R28&gt;0,'Section Load'!R28,0))</f>
        <v>69.209999999999127</v>
      </c>
      <c r="R25" s="1292">
        <f>(IF('Section Load'!S28&gt;0,'Section Load'!S28,0))</f>
        <v>45</v>
      </c>
      <c r="S25" s="1292">
        <f>(IF('Section Load'!T28&gt;0,'Section Load'!T28,0))</f>
        <v>76</v>
      </c>
      <c r="T25" s="1292">
        <f>(IF('Section Load'!U28&gt;0,'Section Load'!U28,0))</f>
        <v>168</v>
      </c>
      <c r="U25" s="1292">
        <f>(IF('Section Load'!V28&gt;0,'Section Load'!V28,0))</f>
        <v>399.68000000005122</v>
      </c>
      <c r="V25" s="1292">
        <f>(IF('Section Load'!W28&gt;0,'Section Load'!W28,0))</f>
        <v>185.35999999998603</v>
      </c>
      <c r="W25" s="1292">
        <f>(IF('Section Load'!X28&gt;0,'Section Load'!X28,0))</f>
        <v>14.279999999998836</v>
      </c>
      <c r="X25" s="1292">
        <f>(IF('Section Load'!Y28&gt;0,'Section Load'!Y28,0))</f>
        <v>220.58000000000175</v>
      </c>
      <c r="Y25" s="1292">
        <f>(IF('Section Load'!Z28&gt;0,'Section Load'!Z28,0))</f>
        <v>259</v>
      </c>
      <c r="Z25" s="1292">
        <f>(IF('Section Load'!AA28&gt;0,'Section Load'!AA28,0))</f>
        <v>39.35999999998603</v>
      </c>
      <c r="AA25" s="1292">
        <f>(IF('Section Load'!AB28&gt;0,'Section Load'!AB28,0))</f>
        <v>31</v>
      </c>
      <c r="AB25" s="1292">
        <f>(IF('Section Load'!AC28&gt;0,'Section Load'!AC28,0))</f>
        <v>147</v>
      </c>
      <c r="AC25" s="1292">
        <f>(IF('Section Load'!AD28&gt;0,'Section Load'!AD28,0))</f>
        <v>35.300000000000182</v>
      </c>
      <c r="AD25" s="1292">
        <f>(IF('Section Load'!AE28&gt;0,'Section Load'!AE28,0))</f>
        <v>0</v>
      </c>
      <c r="AE25" s="1292">
        <f>(IF('Section Load'!AF28&gt;0,'Section Load'!AF28,0))</f>
        <v>0</v>
      </c>
      <c r="AF25" s="1292">
        <f>(IF('Section Load'!AG28&gt;0,'Section Load'!AG28,0))</f>
        <v>404.41000000000349</v>
      </c>
      <c r="AG25" s="1292">
        <f>(IF('Section Load'!AH28&gt;0,'Section Load'!AH28,0))</f>
        <v>316.80999999999767</v>
      </c>
      <c r="AH25" s="1292">
        <f>(IF('Section Load'!AI28&gt;0,'Section Load'!AI28,0))</f>
        <v>407.34999999999854</v>
      </c>
      <c r="AI25" s="1292">
        <f>(IF('Section Load'!AJ28&gt;0,'Section Load'!AJ28,0))</f>
        <v>432.32999999998719</v>
      </c>
      <c r="AJ25" s="1292">
        <f>(IF('Section Load'!AK28&gt;0,'Section Load'!AK28,0))</f>
        <v>0</v>
      </c>
      <c r="AK25" s="1292">
        <f>(IF('Section Load'!AL28&gt;0,'Section Load'!AL28,0))</f>
        <v>237.25</v>
      </c>
      <c r="AL25" s="1292">
        <f>(IF('Section Load'!AM28&gt;0,'Section Load'!AM28,0))</f>
        <v>750</v>
      </c>
      <c r="AM25" s="1293">
        <f>(IF('Water Report'!$AA$7&gt;0,'Water Report'!$AA$7,0))</f>
        <v>75</v>
      </c>
      <c r="AN25" s="1293">
        <f>(IF('Water Report'!$AA$8&gt;0,'Water Report'!$AA$8,0))</f>
        <v>99</v>
      </c>
      <c r="AO25" s="1293">
        <f>(IF('Water Report'!$AA$9&gt;0,'Water Report'!$AA$9,0))</f>
        <v>73</v>
      </c>
      <c r="AP25" s="1293">
        <f>(IF('Water Report'!$AA$10&gt;0,'Water Report'!$AA$10,0))</f>
        <v>19</v>
      </c>
      <c r="AQ25" s="1293">
        <f>(IF('Water Report'!$AA$11&gt;0,'Water Report'!$AA$11,0))</f>
        <v>20</v>
      </c>
      <c r="AR25" s="1293">
        <f>(IF('Water Report'!$AA$13&gt;0,'Water Report'!$AA$13,0))</f>
        <v>23</v>
      </c>
      <c r="AS25" s="1293">
        <f>(IF('Water Report'!$AA$14&gt;0,'Water Report'!$AA$14,0))</f>
        <v>10</v>
      </c>
      <c r="AT25" s="1293">
        <f>(IF('Water Report'!$AA$15&gt;0,'Water Report'!$AA$15,0))</f>
        <v>6</v>
      </c>
      <c r="AU25" s="1293">
        <f>(IF('Water Report'!$AA$17&gt;0,'Water Report'!$AA$17,0))</f>
        <v>0</v>
      </c>
      <c r="AV25" s="1293">
        <f>(IF('Water Report'!$AA$18&gt;0,'Water Report'!$AA$18,0))</f>
        <v>25</v>
      </c>
      <c r="AW25" s="1293">
        <f>(IF('Water Report'!$AA$19&gt;0,'Water Report'!$AA$19,0))</f>
        <v>3</v>
      </c>
      <c r="AX25" s="1368">
        <f>(IF('Water Report'!$AA$21&gt;0,'Water Report'!$AA$21,0))</f>
        <v>55</v>
      </c>
      <c r="AY25" s="1368">
        <f>(IF('Water Report'!$AA$22&gt;0,'Water Report'!$AA$22,0))</f>
        <v>57</v>
      </c>
      <c r="AZ25" s="1368">
        <f>(IF('Water Report'!$AA$23&gt;0,'Water Report'!$AA$23,0))</f>
        <v>0</v>
      </c>
      <c r="BA25" s="1368">
        <f>(IF('Water Report'!$AA$14&gt;0,'Water Report'!$AA$14,0))</f>
        <v>10</v>
      </c>
      <c r="BB25" s="1368">
        <f>(IF('Water Report'!$AA$15&gt;0,'Water Report'!$AA$15,0))</f>
        <v>6</v>
      </c>
      <c r="BC25" s="1368">
        <f>(IF('Water Report'!$AA$13&gt;0,'Water Report'!$AA$13,0))</f>
        <v>23</v>
      </c>
      <c r="BD25" s="1368">
        <f>(IF('Water Report'!$AA$24&gt;0,'Water Report'!$AA$24,0))</f>
        <v>164</v>
      </c>
      <c r="BE25" s="1368">
        <f>(IF('Water Report'!$AA$25&gt;0,'Water Report'!$AA$25,0))</f>
        <v>128</v>
      </c>
      <c r="BF25" s="1368">
        <f>(IF('Water Report'!$AA$27&gt;0,'Water Report'!$AA$27,0))</f>
        <v>78</v>
      </c>
      <c r="BG25" s="1294">
        <f>(IF('Section Load'!AN28&gt;0,'Section Load'!AN28,0))</f>
        <v>700</v>
      </c>
      <c r="BH25" s="1294">
        <f>(IF('Section Load'!AO28&gt;0,'Section Load'!AO28,0))</f>
        <v>288.84999999997672</v>
      </c>
      <c r="BI25" s="1294">
        <f>(IF('Section Load'!AP28&gt;0,'Section Load'!AP28,0))</f>
        <v>0</v>
      </c>
      <c r="BJ25" s="1294">
        <f>(IF('Section Load'!AQ28&gt;0,'Section Load'!AQ28,0))</f>
        <v>73.579999999987194</v>
      </c>
      <c r="BK25" s="1294">
        <f>(IF('Section Load'!AR28&gt;0,'Section Load'!AR28,0))</f>
        <v>34.799999999999272</v>
      </c>
      <c r="BL25" s="1294">
        <f>(IF('Section Load'!AS28&gt;0,'Section Load'!AS28,0))</f>
        <v>2.8999999999996362</v>
      </c>
      <c r="BM25" s="1294">
        <f>(IF('Section Load'!AT28&gt;0,'Section Load'!AT28,0))</f>
        <v>300.27000000003136</v>
      </c>
    </row>
    <row r="26" spans="1:65">
      <c r="A26" s="1276" t="s">
        <v>300</v>
      </c>
      <c r="B26" s="1277">
        <f>B25+1</f>
        <v>25</v>
      </c>
      <c r="C26" s="1277">
        <v>7</v>
      </c>
      <c r="D26" s="1277">
        <v>2021</v>
      </c>
      <c r="E26" s="1292">
        <f>(IF('Section Load'!F29&gt;0,'Section Load'!F29,0))</f>
        <v>2719.0100000000093</v>
      </c>
      <c r="F26" s="1292">
        <f>(IF('Section Load'!G29&gt;0,'Section Load'!G29,0))</f>
        <v>1517.8699999999953</v>
      </c>
      <c r="G26" s="1292">
        <f>(IF('Section Load'!H29&gt;0,'Section Load'!H29,0))</f>
        <v>1537.0699999999488</v>
      </c>
      <c r="H26" s="1292">
        <f>(IF('Section Load'!I29&gt;0,'Section Load'!I29,0))</f>
        <v>3655</v>
      </c>
      <c r="I26" s="1292">
        <f>(IF('Section Load'!J29&gt;0,'Section Load'!J29,0))</f>
        <v>5087</v>
      </c>
      <c r="J26" s="1292">
        <f>(IF('Section Load'!K29&gt;0,'Section Load'!K29,0))</f>
        <v>2649</v>
      </c>
      <c r="K26" s="1292">
        <f>(IF('Section Load'!L29&gt;0,'Section Load'!L29,0))</f>
        <v>1032</v>
      </c>
      <c r="L26" s="1292">
        <f>(IF('Section Load'!M29&gt;0,'Section Load'!M29,0))</f>
        <v>642</v>
      </c>
      <c r="M26" s="1292">
        <f>(IF('Section Load'!N29&gt;0,'Section Load'!N29,0))</f>
        <v>12</v>
      </c>
      <c r="N26" s="1292">
        <f>(IF('Section Load'!O29&gt;0,'Section Load'!O29,0))</f>
        <v>1</v>
      </c>
      <c r="O26" s="1292">
        <f>(IF('Section Load'!P29&gt;0,'Section Load'!P29,0))</f>
        <v>0</v>
      </c>
      <c r="P26" s="1292">
        <f>(IF('Section Load'!Q29&gt;0,'Section Load'!Q29,0))</f>
        <v>149</v>
      </c>
      <c r="Q26" s="1292">
        <f>(IF('Section Load'!R29&gt;0,'Section Load'!R29,0))</f>
        <v>74</v>
      </c>
      <c r="R26" s="1292">
        <f>(IF('Section Load'!S29&gt;0,'Section Load'!S29,0))</f>
        <v>54</v>
      </c>
      <c r="S26" s="1292">
        <f>(IF('Section Load'!T29&gt;0,'Section Load'!T29,0))</f>
        <v>84</v>
      </c>
      <c r="T26" s="1292">
        <f>(IF('Section Load'!U29&gt;0,'Section Load'!U29,0))</f>
        <v>140</v>
      </c>
      <c r="U26" s="1292">
        <f>(IF('Section Load'!V29&gt;0,'Section Load'!V29,0))</f>
        <v>406</v>
      </c>
      <c r="V26" s="1292">
        <f>(IF('Section Load'!W29&gt;0,'Section Load'!W29,0))</f>
        <v>118</v>
      </c>
      <c r="W26" s="1292">
        <f>(IF('Section Load'!X29&gt;0,'Section Load'!X29,0))</f>
        <v>26</v>
      </c>
      <c r="X26" s="1292">
        <f>(IF('Section Load'!Y29&gt;0,'Section Load'!Y29,0))</f>
        <v>133</v>
      </c>
      <c r="Y26" s="1292">
        <f>(IF('Section Load'!Z29&gt;0,'Section Load'!Z29,0))</f>
        <v>171</v>
      </c>
      <c r="Z26" s="1292">
        <f>(IF('Section Load'!AA29&gt;0,'Section Load'!AA29,0))</f>
        <v>29</v>
      </c>
      <c r="AA26" s="1292">
        <f>(IF('Section Load'!AB29&gt;0,'Section Load'!AB29,0))</f>
        <v>36</v>
      </c>
      <c r="AB26" s="1292">
        <f>(IF('Section Load'!AC29&gt;0,'Section Load'!AC29,0))</f>
        <v>131</v>
      </c>
      <c r="AC26" s="1292">
        <f>(IF('Section Load'!AD29&gt;0,'Section Load'!AD29,0))</f>
        <v>40</v>
      </c>
      <c r="AD26" s="1292">
        <f>(IF('Section Load'!AE29&gt;0,'Section Load'!AE29,0))</f>
        <v>0</v>
      </c>
      <c r="AE26" s="1292">
        <f>(IF('Section Load'!AF29&gt;0,'Section Load'!AF29,0))</f>
        <v>0</v>
      </c>
      <c r="AF26" s="1292">
        <f>(IF('Section Load'!AG29&gt;0,'Section Load'!AG29,0))</f>
        <v>412</v>
      </c>
      <c r="AG26" s="1292">
        <f>(IF('Section Load'!AH29&gt;0,'Section Load'!AH29,0))</f>
        <v>399</v>
      </c>
      <c r="AH26" s="1292">
        <f>(IF('Section Load'!AI29&gt;0,'Section Load'!AI29,0))</f>
        <v>418</v>
      </c>
      <c r="AI26" s="1292">
        <f>(IF('Section Load'!AJ29&gt;0,'Section Load'!AJ29,0))</f>
        <v>458</v>
      </c>
      <c r="AJ26" s="1292">
        <f>(IF('Section Load'!AK29&gt;0,'Section Load'!AK29,0))</f>
        <v>0</v>
      </c>
      <c r="AK26" s="1292">
        <f>(IF('Section Load'!AL29&gt;0,'Section Load'!AL29,0))</f>
        <v>191</v>
      </c>
      <c r="AL26" s="1292">
        <f>(IF('Section Load'!AM29&gt;0,'Section Load'!AM29,0))</f>
        <v>732</v>
      </c>
      <c r="AM26" s="1293">
        <f>(IF('Water Report'!$AB$7&gt;0,'Water Report'!$AB$7,0))</f>
        <v>79</v>
      </c>
      <c r="AN26" s="1293">
        <f>(IF('Water Report'!$AB$8&gt;0,'Water Report'!$AB$8,0))</f>
        <v>91</v>
      </c>
      <c r="AO26" s="1293">
        <f>(IF('Water Report'!$AB$9&gt;0,'Water Report'!$AB$9,0))</f>
        <v>70</v>
      </c>
      <c r="AP26" s="1293">
        <f>(IF('Water Report'!$AB$10&gt;0,'Water Report'!$AB$10,0))</f>
        <v>21</v>
      </c>
      <c r="AQ26" s="1293">
        <f>(IF('Water Report'!$AB$11&gt;0,'Water Report'!$AB$11,0))</f>
        <v>19</v>
      </c>
      <c r="AR26" s="1293">
        <f>(IF('Water Report'!$AB$13&gt;0,'Water Report'!$AB$13,0))</f>
        <v>28</v>
      </c>
      <c r="AS26" s="1293">
        <f>(IF('Water Report'!$AB$14&gt;0,'Water Report'!$AB$14,0))</f>
        <v>29</v>
      </c>
      <c r="AT26" s="1293">
        <f>(IF('Water Report'!$AB$15&gt;0,'Water Report'!$AB$15,0))</f>
        <v>4</v>
      </c>
      <c r="AU26" s="1293">
        <f>(IF('Water Report'!$AB$17&gt;0,'Water Report'!$AB$17,0))</f>
        <v>0</v>
      </c>
      <c r="AV26" s="1293">
        <f>(IF('Water Report'!$AB$18&gt;0,'Water Report'!$AB$18,0))</f>
        <v>5</v>
      </c>
      <c r="AW26" s="1293">
        <f>(IF('Water Report'!$AB$19&gt;0,'Water Report'!$AB$19,0))</f>
        <v>5</v>
      </c>
      <c r="AX26" s="1368">
        <f>(IF('Water Report'!$AB$21&gt;0,'Water Report'!$AB$21,0))</f>
        <v>45</v>
      </c>
      <c r="AY26" s="1368">
        <f>(IF('Water Report'!$AB$22&gt;0,'Water Report'!$AB$22,0))</f>
        <v>16</v>
      </c>
      <c r="AZ26" s="1368">
        <f>(IF('Water Report'!$AB$23&gt;0,'Water Report'!$AB$23,0))</f>
        <v>0</v>
      </c>
      <c r="BA26" s="1368">
        <f>(IF('Water Report'!$AB$14&gt;0,'Water Report'!$AB$14,0))</f>
        <v>29</v>
      </c>
      <c r="BB26" s="1368">
        <f>(IF('Water Report'!$AB$15&gt;0,'Water Report'!$AB$15,0))</f>
        <v>4</v>
      </c>
      <c r="BC26" s="1368">
        <f>(IF('Water Report'!$AB$13&gt;0,'Water Report'!$AB$13,0))</f>
        <v>28</v>
      </c>
      <c r="BD26" s="1368">
        <f>(IF('Water Report'!$AB$24&gt;0,'Water Report'!$AB$24,0))</f>
        <v>170</v>
      </c>
      <c r="BE26" s="1368">
        <f>(IF('Water Report'!$AB$25&gt;0,'Water Report'!$AB$25,0))</f>
        <v>143</v>
      </c>
      <c r="BF26" s="1368">
        <f>(IF('Water Report'!$AB$27&gt;0,'Water Report'!$AB$27,0))</f>
        <v>73</v>
      </c>
      <c r="BG26" s="1294">
        <f>(IF('Section Load'!AN29&gt;0,'Section Load'!AN29,0))</f>
        <v>700</v>
      </c>
      <c r="BH26" s="1294">
        <f>(IF('Section Load'!AO29&gt;0,'Section Load'!AO29,0))</f>
        <v>265</v>
      </c>
      <c r="BI26" s="1294">
        <f>(IF('Section Load'!AP29&gt;0,'Section Load'!AP29,0))</f>
        <v>0</v>
      </c>
      <c r="BJ26" s="1294">
        <f>(IF('Section Load'!AQ29&gt;0,'Section Load'!AQ29,0))</f>
        <v>70</v>
      </c>
      <c r="BK26" s="1294">
        <f>(IF('Section Load'!AR29&gt;0,'Section Load'!AR29,0))</f>
        <v>39</v>
      </c>
      <c r="BL26" s="1294">
        <f>(IF('Section Load'!AS29&gt;0,'Section Load'!AS29,0))</f>
        <v>0</v>
      </c>
      <c r="BM26" s="1294">
        <f>(IF('Section Load'!AT29&gt;0,'Section Load'!AT29,0))</f>
        <v>326</v>
      </c>
    </row>
    <row r="27" spans="1:65">
      <c r="A27" s="1276" t="s">
        <v>300</v>
      </c>
      <c r="B27" s="1277">
        <f t="shared" si="0"/>
        <v>26</v>
      </c>
      <c r="C27" s="1277">
        <v>7</v>
      </c>
      <c r="D27" s="1277">
        <v>2021</v>
      </c>
      <c r="E27" s="1292">
        <f>(IF('Section Load'!F30&gt;0,'Section Load'!F30,0))</f>
        <v>3029.8699999999953</v>
      </c>
      <c r="F27" s="1292">
        <f>(IF('Section Load'!G30&gt;0,'Section Load'!G30,0))</f>
        <v>1521</v>
      </c>
      <c r="G27" s="1292">
        <f>(IF('Section Load'!H30&gt;0,'Section Load'!H30,0))</f>
        <v>1787</v>
      </c>
      <c r="H27" s="1292">
        <f>(IF('Section Load'!I30&gt;0,'Section Load'!I30,0))</f>
        <v>3678</v>
      </c>
      <c r="I27" s="1292">
        <f>(IF('Section Load'!J30&gt;0,'Section Load'!J30,0))</f>
        <v>6949</v>
      </c>
      <c r="J27" s="1292">
        <f>(IF('Section Load'!K30&gt;0,'Section Load'!K30,0))</f>
        <v>2958</v>
      </c>
      <c r="K27" s="1292">
        <f>(IF('Section Load'!L30&gt;0,'Section Load'!L30,0))</f>
        <v>1133</v>
      </c>
      <c r="L27" s="1292">
        <f>(IF('Section Load'!M30&gt;0,'Section Load'!M30,0))</f>
        <v>959</v>
      </c>
      <c r="M27" s="1292">
        <f>(IF('Section Load'!N30&gt;0,'Section Load'!N30,0))</f>
        <v>11</v>
      </c>
      <c r="N27" s="1292">
        <f>(IF('Section Load'!O30&gt;0,'Section Load'!O30,0))</f>
        <v>1</v>
      </c>
      <c r="O27" s="1292">
        <f>(IF('Section Load'!P30&gt;0,'Section Load'!P30,0))</f>
        <v>0</v>
      </c>
      <c r="P27" s="1292">
        <f>(IF('Section Load'!Q30&gt;0,'Section Load'!Q30,0))</f>
        <v>185</v>
      </c>
      <c r="Q27" s="1292">
        <f>(IF('Section Load'!R30&gt;0,'Section Load'!R30,0))</f>
        <v>81</v>
      </c>
      <c r="R27" s="1292">
        <f>(IF('Section Load'!S30&gt;0,'Section Load'!S30,0))</f>
        <v>60</v>
      </c>
      <c r="S27" s="1292">
        <f>(IF('Section Load'!T30&gt;0,'Section Load'!T30,0))</f>
        <v>117</v>
      </c>
      <c r="T27" s="1292">
        <f>(IF('Section Load'!U30&gt;0,'Section Load'!U30,0))</f>
        <v>150</v>
      </c>
      <c r="U27" s="1292">
        <f>(IF('Section Load'!V30&gt;0,'Section Load'!V30,0))</f>
        <v>428</v>
      </c>
      <c r="V27" s="1292">
        <f>(IF('Section Load'!W30&gt;0,'Section Load'!W30,0))</f>
        <v>157</v>
      </c>
      <c r="W27" s="1292">
        <f>(IF('Section Load'!X30&gt;0,'Section Load'!X30,0))</f>
        <v>14</v>
      </c>
      <c r="X27" s="1292">
        <f>(IF('Section Load'!Y30&gt;0,'Section Load'!Y30,0))</f>
        <v>252</v>
      </c>
      <c r="Y27" s="1292">
        <f>(IF('Section Load'!Z30&gt;0,'Section Load'!Z30,0))</f>
        <v>372</v>
      </c>
      <c r="Z27" s="1292">
        <f>(IF('Section Load'!AA30&gt;0,'Section Load'!AA30,0))</f>
        <v>27</v>
      </c>
      <c r="AA27" s="1292">
        <f>(IF('Section Load'!AB30&gt;0,'Section Load'!AB30,0))</f>
        <v>17</v>
      </c>
      <c r="AB27" s="1292">
        <f>(IF('Section Load'!AC30&gt;0,'Section Load'!AC30,0))</f>
        <v>126</v>
      </c>
      <c r="AC27" s="1292">
        <f>(IF('Section Load'!AD30&gt;0,'Section Load'!AD30,0))</f>
        <v>18</v>
      </c>
      <c r="AD27" s="1292">
        <f>(IF('Section Load'!AE30&gt;0,'Section Load'!AE30,0))</f>
        <v>0</v>
      </c>
      <c r="AE27" s="1292">
        <f>(IF('Section Load'!AF30&gt;0,'Section Load'!AF30,0))</f>
        <v>0</v>
      </c>
      <c r="AF27" s="1292">
        <f>(IF('Section Load'!AG30&gt;0,'Section Load'!AG30,0))</f>
        <v>321</v>
      </c>
      <c r="AG27" s="1292">
        <f>(IF('Section Load'!AH30&gt;0,'Section Load'!AH30,0))</f>
        <v>438</v>
      </c>
      <c r="AH27" s="1292">
        <f>(IF('Section Load'!AI30&gt;0,'Section Load'!AI30,0))</f>
        <v>448</v>
      </c>
      <c r="AI27" s="1292">
        <f>(IF('Section Load'!AJ30&gt;0,'Section Load'!AJ30,0))</f>
        <v>474</v>
      </c>
      <c r="AJ27" s="1292">
        <f>(IF('Section Load'!AK30&gt;0,'Section Load'!AK30,0))</f>
        <v>0</v>
      </c>
      <c r="AK27" s="1292">
        <f>(IF('Section Load'!AL30&gt;0,'Section Load'!AL30,0))</f>
        <v>209</v>
      </c>
      <c r="AL27" s="1292">
        <f>(IF('Section Load'!AM30&gt;0,'Section Load'!AM30,0))</f>
        <v>872</v>
      </c>
      <c r="AM27" s="1293">
        <f>(IF('Water Report'!$AC$7&gt;0,'Water Report'!$AC$7,0))</f>
        <v>117</v>
      </c>
      <c r="AN27" s="1293">
        <f>(IF('Water Report'!$AC$8&gt;0,'Water Report'!$AC$8,0))</f>
        <v>127</v>
      </c>
      <c r="AO27" s="1293">
        <f>(IF('Water Report'!$AC$9&gt;0,'Water Report'!$AC$9,0))</f>
        <v>79</v>
      </c>
      <c r="AP27" s="1293">
        <f>(IF('Water Report'!$AC$10&gt;0,'Water Report'!$AC$10,0))</f>
        <v>29</v>
      </c>
      <c r="AQ27" s="1293">
        <f>(IF('Water Report'!$AC$11&gt;0,'Water Report'!$AC$11,0))</f>
        <v>34</v>
      </c>
      <c r="AR27" s="1293">
        <f>(IF('Water Report'!$AC$13&gt;0,'Water Report'!$AC$13,0))</f>
        <v>63</v>
      </c>
      <c r="AS27" s="1293">
        <f>(IF('Water Report'!$AC$14&gt;0,'Water Report'!$AC$14,0))</f>
        <v>30</v>
      </c>
      <c r="AT27" s="1293">
        <f>(IF('Water Report'!$AC$15&gt;0,'Water Report'!$AC$15,0))</f>
        <v>9</v>
      </c>
      <c r="AU27" s="1293">
        <f>(IF('Water Report'!$AC$17&gt;0,'Water Report'!$AC$17,0))</f>
        <v>0</v>
      </c>
      <c r="AV27" s="1293">
        <f>(IF('Water Report'!$AC$18&gt;0,'Water Report'!$AC$18,0))</f>
        <v>16</v>
      </c>
      <c r="AW27" s="1293">
        <f>(IF('Water Report'!$AC$19&gt;0,'Water Report'!$AC$19,0))</f>
        <v>5</v>
      </c>
      <c r="AX27" s="1368">
        <f>(IF('Water Report'!$AC$21&gt;0,'Water Report'!$AC$21,0))</f>
        <v>54</v>
      </c>
      <c r="AY27" s="1368">
        <f>(IF('Water Report'!$AC$22&gt;0,'Water Report'!$AC$22,0))</f>
        <v>71</v>
      </c>
      <c r="AZ27" s="1368">
        <f>(IF('Water Report'!$AC$23&gt;0,'Water Report'!$AC$23,0))</f>
        <v>0</v>
      </c>
      <c r="BA27" s="1368">
        <f>(IF('Water Report'!$AC$14&gt;0,'Water Report'!$AC$14,0))</f>
        <v>30</v>
      </c>
      <c r="BB27" s="1368">
        <f>(IF('Water Report'!$AC$15&gt;0,'Water Report'!$AC$15,0))</f>
        <v>9</v>
      </c>
      <c r="BC27" s="1368">
        <f>(IF('Water Report'!$AC$13&gt;0,'Water Report'!$AC$13,0))</f>
        <v>63</v>
      </c>
      <c r="BD27" s="1368">
        <f>(IF('Water Report'!$AC$24&gt;0,'Water Report'!$AC$24,0))</f>
        <v>215</v>
      </c>
      <c r="BE27" s="1368">
        <f>(IF('Water Report'!$AC$25&gt;0,'Water Report'!$AC$25,0))</f>
        <v>181</v>
      </c>
      <c r="BF27" s="1368">
        <f>(IF('Water Report'!$AC$27&gt;0,'Water Report'!$AC$27,0))</f>
        <v>117</v>
      </c>
      <c r="BG27" s="1294">
        <f>(IF('Section Load'!AN30&gt;0,'Section Load'!AN30,0))</f>
        <v>700</v>
      </c>
      <c r="BH27" s="1294">
        <f>(IF('Section Load'!AO30&gt;0,'Section Load'!AO30,0))</f>
        <v>306</v>
      </c>
      <c r="BI27" s="1294">
        <f>(IF('Section Load'!AP30&gt;0,'Section Load'!AP30,0))</f>
        <v>0.39999999999417923</v>
      </c>
      <c r="BJ27" s="1294">
        <f>(IF('Section Load'!AQ30&gt;0,'Section Load'!AQ30,0))</f>
        <v>103</v>
      </c>
      <c r="BK27" s="1294">
        <f>(IF('Section Load'!AR30&gt;0,'Section Load'!AR30,0))</f>
        <v>37</v>
      </c>
      <c r="BL27" s="1294">
        <f>(IF('Section Load'!AS30&gt;0,'Section Load'!AS30,0))</f>
        <v>9</v>
      </c>
      <c r="BM27" s="1294">
        <f>(IF('Section Load'!AT30&gt;0,'Section Load'!AT30,0))</f>
        <v>244.60000000000582</v>
      </c>
    </row>
    <row r="28" spans="1:65">
      <c r="A28" s="1276" t="s">
        <v>300</v>
      </c>
      <c r="B28" s="1277">
        <f t="shared" si="0"/>
        <v>27</v>
      </c>
      <c r="C28" s="1277">
        <v>7</v>
      </c>
      <c r="D28" s="1277">
        <v>2021</v>
      </c>
      <c r="E28" s="1292">
        <f>(IF('Section Load'!F31&gt;0,'Section Load'!F31,0))</f>
        <v>3062.1300000000047</v>
      </c>
      <c r="F28" s="1292">
        <f>(IF('Section Load'!G31&gt;0,'Section Load'!G31,0))</f>
        <v>1492.1300000000047</v>
      </c>
      <c r="G28" s="1292">
        <f>(IF('Section Load'!H31&gt;0,'Section Load'!H31,0))</f>
        <v>1712.9300000000512</v>
      </c>
      <c r="H28" s="1292">
        <f>(IF('Section Load'!I31&gt;0,'Section Load'!I31,0))</f>
        <v>3715</v>
      </c>
      <c r="I28" s="1292">
        <f>(IF('Section Load'!J31&gt;0,'Section Load'!J31,0))</f>
        <v>6445</v>
      </c>
      <c r="J28" s="1292">
        <f>(IF('Section Load'!K31&gt;0,'Section Load'!K31,0))</f>
        <v>3057</v>
      </c>
      <c r="K28" s="1292">
        <f>(IF('Section Load'!L31&gt;0,'Section Load'!L31,0))</f>
        <v>1299</v>
      </c>
      <c r="L28" s="1292">
        <f>(IF('Section Load'!M31&gt;0,'Section Load'!M31,0))</f>
        <v>587</v>
      </c>
      <c r="M28" s="1292">
        <f>(IF('Section Load'!N31&gt;0,'Section Load'!N31,0))</f>
        <v>11</v>
      </c>
      <c r="N28" s="1292">
        <f>(IF('Section Load'!O31&gt;0,'Section Load'!O31,0))</f>
        <v>1</v>
      </c>
      <c r="O28" s="1292">
        <f>(IF('Section Load'!P31&gt;0,'Section Load'!P31,0))</f>
        <v>0</v>
      </c>
      <c r="P28" s="1292">
        <f>(IF('Section Load'!Q31&gt;0,'Section Load'!Q31,0))</f>
        <v>140</v>
      </c>
      <c r="Q28" s="1292">
        <f>(IF('Section Load'!R31&gt;0,'Section Load'!R31,0))</f>
        <v>77</v>
      </c>
      <c r="R28" s="1292">
        <f>(IF('Section Load'!S31&gt;0,'Section Load'!S31,0))</f>
        <v>57</v>
      </c>
      <c r="S28" s="1292">
        <f>(IF('Section Load'!T31&gt;0,'Section Load'!T31,0))</f>
        <v>152</v>
      </c>
      <c r="T28" s="1292">
        <f>(IF('Section Load'!U31&gt;0,'Section Load'!U31,0))</f>
        <v>139</v>
      </c>
      <c r="U28" s="1292">
        <f>(IF('Section Load'!V31&gt;0,'Section Load'!V31,0))</f>
        <v>460</v>
      </c>
      <c r="V28" s="1292">
        <f>(IF('Section Load'!W31&gt;0,'Section Load'!W31,0))</f>
        <v>131</v>
      </c>
      <c r="W28" s="1292">
        <f>(IF('Section Load'!X31&gt;0,'Section Load'!X31,0))</f>
        <v>25</v>
      </c>
      <c r="X28" s="1292">
        <f>(IF('Section Load'!Y31&gt;0,'Section Load'!Y31,0))</f>
        <v>141</v>
      </c>
      <c r="Y28" s="1292">
        <f>(IF('Section Load'!Z31&gt;0,'Section Load'!Z31,0))</f>
        <v>319</v>
      </c>
      <c r="Z28" s="1292">
        <f>(IF('Section Load'!AA31&gt;0,'Section Load'!AA31,0))</f>
        <v>39</v>
      </c>
      <c r="AA28" s="1292">
        <f>(IF('Section Load'!AB31&gt;0,'Section Load'!AB31,0))</f>
        <v>11</v>
      </c>
      <c r="AB28" s="1292">
        <f>(IF('Section Load'!AC31&gt;0,'Section Load'!AC31,0))</f>
        <v>34</v>
      </c>
      <c r="AC28" s="1292">
        <f>(IF('Section Load'!AD31&gt;0,'Section Load'!AD31,0))</f>
        <v>12</v>
      </c>
      <c r="AD28" s="1292">
        <f>(IF('Section Load'!AE31&gt;0,'Section Load'!AE31,0))</f>
        <v>0</v>
      </c>
      <c r="AE28" s="1292">
        <f>(IF('Section Load'!AF31&gt;0,'Section Load'!AF31,0))</f>
        <v>0</v>
      </c>
      <c r="AF28" s="1292">
        <f>(IF('Section Load'!AG31&gt;0,'Section Load'!AG31,0))</f>
        <v>385</v>
      </c>
      <c r="AG28" s="1292">
        <f>(IF('Section Load'!AH31&gt;0,'Section Load'!AH31,0))</f>
        <v>358</v>
      </c>
      <c r="AH28" s="1292">
        <f>(IF('Section Load'!AI31&gt;0,'Section Load'!AI31,0))</f>
        <v>374</v>
      </c>
      <c r="AI28" s="1292">
        <f>(IF('Section Load'!AJ31&gt;0,'Section Load'!AJ31,0))</f>
        <v>470</v>
      </c>
      <c r="AJ28" s="1292">
        <f>(IF('Section Load'!AK31&gt;0,'Section Load'!AK31,0))</f>
        <v>0</v>
      </c>
      <c r="AK28" s="1292">
        <f>(IF('Section Load'!AL31&gt;0,'Section Load'!AL31,0))</f>
        <v>323</v>
      </c>
      <c r="AL28" s="1292">
        <f>(IF('Section Load'!AM31&gt;0,'Section Load'!AM31,0))</f>
        <v>884</v>
      </c>
      <c r="AM28" s="1293">
        <f>(IF('Water Report'!$AD$7&gt;0,'Water Report'!$AD$7,0))</f>
        <v>130</v>
      </c>
      <c r="AN28" s="1293">
        <f>(IF('Water Report'!$AD$8&gt;0,'Water Report'!$AD$8,0))</f>
        <v>114</v>
      </c>
      <c r="AO28" s="1293">
        <f>(IF('Water Report'!$AD$9&gt;0,'Water Report'!$AD$9,0))</f>
        <v>73</v>
      </c>
      <c r="AP28" s="1293">
        <f>(IF('Water Report'!$AD$10&gt;0,'Water Report'!AD$10,0))</f>
        <v>35</v>
      </c>
      <c r="AQ28" s="1293">
        <f>(IF('Water Report'!$AD$11&gt;0,'Water Report'!AE$11,0))</f>
        <v>16</v>
      </c>
      <c r="AR28" s="1293">
        <f>(IF('Water Report'!$AD$13&gt;0,'Water Report'!AF$13,0))</f>
        <v>47</v>
      </c>
      <c r="AS28" s="1293">
        <f>(IF('Water Report'!$AD$14&gt;0,'Water Report'!AG$14,0))</f>
        <v>8</v>
      </c>
      <c r="AT28" s="1293">
        <f>(IF('Water Report'!$AD$15&gt;0,'Water Report'!AH$15,0))</f>
        <v>-243</v>
      </c>
      <c r="AU28" s="1293">
        <f>(IF('Water Report'!$AD$17&gt;0,'Water Report'!AI$17,0))</f>
        <v>0</v>
      </c>
      <c r="AV28" s="1293">
        <f>(IF('Water Report'!$AD$18&gt;0,'Water Report'!AJ$18,0))</f>
        <v>0</v>
      </c>
      <c r="AW28" s="1293">
        <f>(IF('Water Report'!$AD$19&gt;0,'Water Report'!AK$19,0))</f>
        <v>0</v>
      </c>
      <c r="AX28" s="1368">
        <f>(IF('Water Report'!$AD$21&gt;0,'Water Report'!AL$21,0))</f>
        <v>0</v>
      </c>
      <c r="AY28" s="1368">
        <f>(IF('Water Report'!$AD$22&gt;0,'Water Report'!AM$22,0))</f>
        <v>0</v>
      </c>
      <c r="AZ28" s="1368">
        <f>(IF('Water Report'!$AD$23&gt;0,'Water Report'!AN$23,0))</f>
        <v>0</v>
      </c>
      <c r="BA28" s="1368">
        <f>(IF('Water Report'!$AD$14&gt;0,'Water Report'!AO$14,0))</f>
        <v>0</v>
      </c>
      <c r="BB28" s="1368">
        <f>(IF('Water Report'!$AD$15&gt;0,'Water Report'!AP$15,0))</f>
        <v>0</v>
      </c>
      <c r="BC28" s="1368">
        <f>(IF('Water Report'!$AD$13&gt;0,'Water Report'!AQ$13,0))</f>
        <v>0</v>
      </c>
      <c r="BD28" s="1368">
        <f>(IF('Water Report'!$AD$24&gt;0,'Water Report'!AR$24,0))</f>
        <v>0</v>
      </c>
      <c r="BE28" s="1368">
        <f>(IF('Water Report'!$AD$25&gt;0,'Water Report'!AS$25,0))</f>
        <v>0</v>
      </c>
      <c r="BF28" s="1368">
        <f>(IF('Water Report'!$AD$27&gt;0,'Water Report'!AT$27,0))</f>
        <v>0</v>
      </c>
      <c r="BG28" s="1294">
        <f>(IF('Section Load'!AN31&gt;0,'Section Load'!AN31,0))</f>
        <v>700</v>
      </c>
      <c r="BH28" s="1294">
        <f>(IF('Section Load'!AO31&gt;0,'Section Load'!AO31,0))</f>
        <v>294</v>
      </c>
      <c r="BI28" s="1294">
        <f>(IF('Section Load'!AP31&gt;0,'Section Load'!AP31,0))</f>
        <v>0</v>
      </c>
      <c r="BJ28" s="1294">
        <f>(IF('Section Load'!AQ31&gt;0,'Section Load'!AQ31,0))</f>
        <v>92</v>
      </c>
      <c r="BK28" s="1294">
        <f>(IF('Section Load'!AR31&gt;0,'Section Load'!AR31,0))</f>
        <v>42</v>
      </c>
      <c r="BL28" s="1294">
        <f>(IF('Section Load'!AS31&gt;0,'Section Load'!AS31,0))</f>
        <v>7</v>
      </c>
      <c r="BM28" s="1294">
        <f>(IF('Section Load'!AT31&gt;0,'Section Load'!AT31,0))</f>
        <v>265</v>
      </c>
    </row>
    <row r="29" spans="1:65">
      <c r="A29" s="1276" t="s">
        <v>300</v>
      </c>
      <c r="B29" s="1277">
        <f t="shared" si="0"/>
        <v>28</v>
      </c>
      <c r="C29" s="1277">
        <v>7</v>
      </c>
      <c r="D29" s="1277">
        <v>2021</v>
      </c>
      <c r="E29" s="1292">
        <f>(IF('Section Load'!F32&gt;0,'Section Load'!F32,0))</f>
        <v>2775</v>
      </c>
      <c r="F29" s="1292">
        <f>(IF('Section Load'!G32&gt;0,'Section Load'!G32,0))</f>
        <v>1454</v>
      </c>
      <c r="G29" s="1292">
        <f>(IF('Section Load'!H32&gt;0,'Section Load'!H32,0))</f>
        <v>1688.0699999999488</v>
      </c>
      <c r="H29" s="1292">
        <f>(IF('Section Load'!I32&gt;0,'Section Load'!I32,0))</f>
        <v>3688</v>
      </c>
      <c r="I29" s="1292">
        <f>(IF('Section Load'!J32&gt;0,'Section Load'!J32,0))</f>
        <v>5515</v>
      </c>
      <c r="J29" s="1292">
        <f>(IF('Section Load'!K32&gt;0,'Section Load'!K32,0))</f>
        <v>2726.33</v>
      </c>
      <c r="K29" s="1292">
        <f>(IF('Section Load'!L32&gt;0,'Section Load'!L32,0))</f>
        <v>992</v>
      </c>
      <c r="L29" s="1292">
        <f>(IF('Section Load'!M32&gt;0,'Section Load'!M32,0))</f>
        <v>611</v>
      </c>
      <c r="M29" s="1292">
        <f>(IF('Section Load'!N32&gt;0,'Section Load'!N32,0))</f>
        <v>10</v>
      </c>
      <c r="N29" s="1292">
        <f>(IF('Section Load'!O32&gt;0,'Section Load'!O32,0))</f>
        <v>2</v>
      </c>
      <c r="O29" s="1292">
        <f>(IF('Section Load'!P32&gt;0,'Section Load'!P32,0))</f>
        <v>2</v>
      </c>
      <c r="P29" s="1292">
        <f>(IF('Section Load'!Q32&gt;0,'Section Load'!Q32,0))</f>
        <v>135</v>
      </c>
      <c r="Q29" s="1292">
        <f>(IF('Section Load'!R32&gt;0,'Section Load'!R32,0))</f>
        <v>76</v>
      </c>
      <c r="R29" s="1292">
        <f>(IF('Section Load'!S32&gt;0,'Section Load'!S32,0))</f>
        <v>57</v>
      </c>
      <c r="S29" s="1292">
        <f>(IF('Section Load'!T32&gt;0,'Section Load'!T32,0))</f>
        <v>70</v>
      </c>
      <c r="T29" s="1292">
        <f>(IF('Section Load'!U32&gt;0,'Section Load'!U32,0))</f>
        <v>141</v>
      </c>
      <c r="U29" s="1292">
        <f>(IF('Section Load'!V32&gt;0,'Section Load'!V32,0))</f>
        <v>374</v>
      </c>
      <c r="V29" s="1292">
        <f>(IF('Section Load'!W32&gt;0,'Section Load'!W32,0))</f>
        <v>138</v>
      </c>
      <c r="W29" s="1292">
        <f>(IF('Section Load'!X32&gt;0,'Section Load'!X32,0))</f>
        <v>13</v>
      </c>
      <c r="X29" s="1292">
        <f>(IF('Section Load'!Y32&gt;0,'Section Load'!Y32,0))</f>
        <v>230</v>
      </c>
      <c r="Y29" s="1292">
        <f>(IF('Section Load'!Z32&gt;0,'Section Load'!Z32,0))</f>
        <v>322</v>
      </c>
      <c r="Z29" s="1292">
        <f>(IF('Section Load'!AA32&gt;0,'Section Load'!AA32,0))</f>
        <v>39</v>
      </c>
      <c r="AA29" s="1292">
        <f>(IF('Section Load'!AB32&gt;0,'Section Load'!AB32,0))</f>
        <v>30</v>
      </c>
      <c r="AB29" s="1292">
        <f>(IF('Section Load'!AC32&gt;0,'Section Load'!AC32,0))</f>
        <v>139</v>
      </c>
      <c r="AC29" s="1292">
        <f>(IF('Section Load'!AD32&gt;0,'Section Load'!AD32,0))</f>
        <v>34</v>
      </c>
      <c r="AD29" s="1292">
        <f>(IF('Section Load'!AE32&gt;0,'Section Load'!AE32,0))</f>
        <v>0</v>
      </c>
      <c r="AE29" s="1292">
        <f>(IF('Section Load'!AF32&gt;0,'Section Load'!AF32,0))</f>
        <v>0</v>
      </c>
      <c r="AF29" s="1292">
        <f>(IF('Section Load'!AG32&gt;0,'Section Load'!AG32,0))</f>
        <v>387</v>
      </c>
      <c r="AG29" s="1292">
        <f>(IF('Section Load'!AH32&gt;0,'Section Load'!AH32,0))</f>
        <v>409</v>
      </c>
      <c r="AH29" s="1292">
        <f>(IF('Section Load'!AI32&gt;0,'Section Load'!AI32,0))</f>
        <v>441</v>
      </c>
      <c r="AI29" s="1292">
        <f>(IF('Section Load'!AJ32&gt;0,'Section Load'!AJ32,0))</f>
        <v>440</v>
      </c>
      <c r="AJ29" s="1292">
        <f>(IF('Section Load'!AK32&gt;0,'Section Load'!AK32,0))</f>
        <v>0</v>
      </c>
      <c r="AK29" s="1292">
        <f>(IF('Section Load'!AL32&gt;0,'Section Load'!AL32,0))</f>
        <v>233</v>
      </c>
      <c r="AL29" s="1292">
        <f>(IF('Section Load'!AM32&gt;0,'Section Load'!AM32,0))</f>
        <v>818</v>
      </c>
      <c r="AM29" s="1293">
        <f>(IF('Water Report'!$AE$7&gt;0,'Water Report'!$AE$7,0))</f>
        <v>86</v>
      </c>
      <c r="AN29" s="1293">
        <f>(IF('Water Report'!$AE$8&gt;0,'Water Report'!$AE$8,0))</f>
        <v>97</v>
      </c>
      <c r="AO29" s="1293">
        <f>(IF('Water Report'!$AE$9&gt;0,'Water Report'!$AE$9,0))</f>
        <v>71</v>
      </c>
      <c r="AP29" s="1293">
        <f>(IF('Water Report'!$AE$10&gt;0,'Water Report'!$AE$10,0))</f>
        <v>24</v>
      </c>
      <c r="AQ29" s="1293">
        <f>(IF('Water Report'!$AE$11&gt;0,'Water Report'!$AE$11,0))</f>
        <v>16</v>
      </c>
      <c r="AR29" s="1293">
        <f>(IF('Water Report'!$AE$13&gt;0,'Water Report'!$AE$13,0))</f>
        <v>33</v>
      </c>
      <c r="AS29" s="1293">
        <f>(IF('Water Report'!$AE$14&gt;0,'Water Report'!$AE$14,0))</f>
        <v>27</v>
      </c>
      <c r="AT29" s="1293">
        <f>(IF('Water Report'!$AE$15&gt;0,'Water Report'!$AE$15,0))</f>
        <v>18</v>
      </c>
      <c r="AU29" s="1293">
        <f>(IF('Water Report'!$AE$17&gt;0,'Water Report'!$AE$17,0))</f>
        <v>0</v>
      </c>
      <c r="AV29" s="1293">
        <f>(IF('Water Report'!$AE$18&gt;0,'Water Report'!$AE$18,0))</f>
        <v>13</v>
      </c>
      <c r="AW29" s="1293">
        <f>(IF('Water Report'!$AE$19&gt;0,'Water Report'!$AE$19,0))</f>
        <v>6</v>
      </c>
      <c r="AX29" s="1368">
        <f>(IF('Water Report'!$AE$21&gt;0,'Water Report'!$AE$21,0))</f>
        <v>84</v>
      </c>
      <c r="AY29" s="1368">
        <f>(IF('Water Report'!$AE$22&gt;0,'Water Report'!$AE$22,0))</f>
        <v>32</v>
      </c>
      <c r="AZ29" s="1368">
        <f>(IF('Water Report'!$AE$23&gt;0,'Water Report'!$AE$23,0))</f>
        <v>0</v>
      </c>
      <c r="BA29" s="1368">
        <f>(IF('Water Report'!$AE$14&gt;0,'Water Report'!$AE$14,0))</f>
        <v>27</v>
      </c>
      <c r="BB29" s="1368">
        <f>(IF('Water Report'!$AE$15&gt;0,'Water Report'!$AE$15,0))</f>
        <v>18</v>
      </c>
      <c r="BC29" s="1368">
        <f>(IF('Water Report'!$AE$13&gt;0,'Water Report'!$AE$13,0))</f>
        <v>33</v>
      </c>
      <c r="BD29" s="1368">
        <f>(IF('Water Report'!$AE$24&gt;0,'Water Report'!$AE$24,0))</f>
        <v>194</v>
      </c>
      <c r="BE29" s="1368">
        <f>(IF('Water Report'!$AE$25&gt;0,'Water Report'!$AE$25,0))</f>
        <v>156</v>
      </c>
      <c r="BF29" s="1368">
        <f>(IF('Water Report'!$AE$27&gt;0,'Water Report'!$AE$27,0))</f>
        <v>117</v>
      </c>
      <c r="BG29" s="1294">
        <f>(IF('Section Load'!AN32&gt;0,'Section Load'!AN32,0))</f>
        <v>700</v>
      </c>
      <c r="BH29" s="1294">
        <f>(IF('Section Load'!AO32&gt;0,'Section Load'!AO32,0))</f>
        <v>284</v>
      </c>
      <c r="BI29" s="1294">
        <f>(IF('Section Load'!AP32&gt;0,'Section Load'!AP32,0))</f>
        <v>0</v>
      </c>
      <c r="BJ29" s="1294">
        <f>(IF('Section Load'!AQ32&gt;0,'Section Load'!AQ32,0))</f>
        <v>62</v>
      </c>
      <c r="BK29" s="1294">
        <f>(IF('Section Load'!AR32&gt;0,'Section Load'!AR32,0))</f>
        <v>30</v>
      </c>
      <c r="BL29" s="1294">
        <f>(IF('Section Load'!AS32&gt;0,'Section Load'!AS32,0))</f>
        <v>3</v>
      </c>
      <c r="BM29" s="1294">
        <f>(IF('Section Load'!AT32&gt;0,'Section Load'!AT32,0))</f>
        <v>321</v>
      </c>
    </row>
    <row r="30" spans="1:65">
      <c r="A30" s="1276" t="s">
        <v>300</v>
      </c>
      <c r="B30" s="1277">
        <f t="shared" si="0"/>
        <v>29</v>
      </c>
      <c r="C30" s="1277">
        <v>7</v>
      </c>
      <c r="D30" s="1277">
        <v>2021</v>
      </c>
      <c r="E30" s="1292">
        <f>(IF('Section Load'!F33&gt;0,'Section Load'!F33,0))</f>
        <v>2867</v>
      </c>
      <c r="F30" s="1292">
        <f>(IF('Section Load'!G33&gt;0,'Section Load'!G33,0))</f>
        <v>1416.8699999999953</v>
      </c>
      <c r="G30" s="1292">
        <f>(IF('Section Load'!H33&gt;0,'Section Load'!H33,0))</f>
        <v>1582</v>
      </c>
      <c r="H30" s="1292">
        <f>(IF('Section Load'!I33&gt;0,'Section Load'!I33,0))</f>
        <v>3564</v>
      </c>
      <c r="I30" s="1292">
        <f>(IF('Section Load'!J33&gt;0,'Section Load'!J33,0))</f>
        <v>6013</v>
      </c>
      <c r="J30" s="1292">
        <f>(IF('Section Load'!K33&gt;0,'Section Load'!K33,0))</f>
        <v>2620.67</v>
      </c>
      <c r="K30" s="1292">
        <f>(IF('Section Load'!L33&gt;0,'Section Load'!L33,0))</f>
        <v>958</v>
      </c>
      <c r="L30" s="1292">
        <f>(IF('Section Load'!M33&gt;0,'Section Load'!M33,0))</f>
        <v>608</v>
      </c>
      <c r="M30" s="1292">
        <f>(IF('Section Load'!N33&gt;0,'Section Load'!N33,0))</f>
        <v>10</v>
      </c>
      <c r="N30" s="1292">
        <f>(IF('Section Load'!O33&gt;0,'Section Load'!O33,0))</f>
        <v>1</v>
      </c>
      <c r="O30" s="1292">
        <f>(IF('Section Load'!P33&gt;0,'Section Load'!P33,0))</f>
        <v>3</v>
      </c>
      <c r="P30" s="1292">
        <f>(IF('Section Load'!Q33&gt;0,'Section Load'!Q33,0))</f>
        <v>128</v>
      </c>
      <c r="Q30" s="1292">
        <f>(IF('Section Load'!R33&gt;0,'Section Load'!R33,0))</f>
        <v>80</v>
      </c>
      <c r="R30" s="1292">
        <f>(IF('Section Load'!S33&gt;0,'Section Load'!S33,0))</f>
        <v>52</v>
      </c>
      <c r="S30" s="1292">
        <f>(IF('Section Load'!T33&gt;0,'Section Load'!T33,0))</f>
        <v>62</v>
      </c>
      <c r="T30" s="1292">
        <f>(IF('Section Load'!U33&gt;0,'Section Load'!U33,0))</f>
        <v>143</v>
      </c>
      <c r="U30" s="1292">
        <f>(IF('Section Load'!V33&gt;0,'Section Load'!V33,0))</f>
        <v>355</v>
      </c>
      <c r="V30" s="1292">
        <f>(IF('Section Load'!W33&gt;0,'Section Load'!W33,0))</f>
        <v>130</v>
      </c>
      <c r="W30" s="1292">
        <f>(IF('Section Load'!X33&gt;0,'Section Load'!X33,0))</f>
        <v>24</v>
      </c>
      <c r="X30" s="1292">
        <f>(IF('Section Load'!Y33&gt;0,'Section Load'!Y33,0))</f>
        <v>166</v>
      </c>
      <c r="Y30" s="1292">
        <f>(IF('Section Load'!Z33&gt;0,'Section Load'!Z33,0))</f>
        <v>321</v>
      </c>
      <c r="Z30" s="1292">
        <f>(IF('Section Load'!AA33&gt;0,'Section Load'!AA33,0))</f>
        <v>47</v>
      </c>
      <c r="AA30" s="1292">
        <f>(IF('Section Load'!AB33&gt;0,'Section Load'!AB33,0))</f>
        <v>30</v>
      </c>
      <c r="AB30" s="1292">
        <f>(IF('Section Load'!AC33&gt;0,'Section Load'!AC33,0))</f>
        <v>112</v>
      </c>
      <c r="AC30" s="1292">
        <f>(IF('Section Load'!AD33&gt;0,'Section Load'!AD33,0))</f>
        <v>33</v>
      </c>
      <c r="AD30" s="1292">
        <f>(IF('Section Load'!AE33&gt;0,'Section Load'!AE33,0))</f>
        <v>0</v>
      </c>
      <c r="AE30" s="1292">
        <f>(IF('Section Load'!AF33&gt;0,'Section Load'!AF33,0))</f>
        <v>0</v>
      </c>
      <c r="AF30" s="1292">
        <f>(IF('Section Load'!AG33&gt;0,'Section Load'!AG33,0))</f>
        <v>365</v>
      </c>
      <c r="AG30" s="1292">
        <f>(IF('Section Load'!AH33&gt;0,'Section Load'!AH33,0))</f>
        <v>415</v>
      </c>
      <c r="AH30" s="1292">
        <f>(IF('Section Load'!AI33&gt;0,'Section Load'!AI33,0))</f>
        <v>436</v>
      </c>
      <c r="AI30" s="1292">
        <f>(IF('Section Load'!AJ33&gt;0,'Section Load'!AJ33,0))</f>
        <v>409</v>
      </c>
      <c r="AJ30" s="1292">
        <f>(IF('Section Load'!AK33&gt;0,'Section Load'!AK33,0))</f>
        <v>0</v>
      </c>
      <c r="AK30" s="1292">
        <f>(IF('Section Load'!AL33&gt;0,'Section Load'!AL33,0))</f>
        <v>206</v>
      </c>
      <c r="AL30" s="1292">
        <f>(IF('Section Load'!AM33&gt;0,'Section Load'!AM33,0))</f>
        <v>785</v>
      </c>
      <c r="AM30" s="1293">
        <f>(IF('Water Report'!$AF$7&gt;0,'Water Report'!$AF$7,0))</f>
        <v>72</v>
      </c>
      <c r="AN30" s="1293">
        <f>(IF('Water Report'!$AF$8&gt;0,'Water Report'!$AF$8,0))</f>
        <v>111</v>
      </c>
      <c r="AO30" s="1293">
        <f>(IF('Water Report'!$AF$9&gt;0,'Water Report'!$AF$9,0))</f>
        <v>61</v>
      </c>
      <c r="AP30" s="1293">
        <f>(IF('Water Report'!$AF$10&gt;0,'Water Report'!$AF$10,0))</f>
        <v>13</v>
      </c>
      <c r="AQ30" s="1293">
        <f>(IF('Water Report'!$AF$11&gt;0,'Water Report'!$AF$11,0))</f>
        <v>17</v>
      </c>
      <c r="AR30" s="1293">
        <f>(IF('Water Report'!$AF$13&gt;0,'Water Report'!$AF$13,0))</f>
        <v>47</v>
      </c>
      <c r="AS30" s="1293">
        <f>(IF('Water Report'!$AF$14&gt;0,'Water Report'!$AF$14,0))</f>
        <v>31</v>
      </c>
      <c r="AT30" s="1293">
        <f>(IF('Water Report'!$AF$15&gt;0,'Water Report'!$AF$15,0))</f>
        <v>11</v>
      </c>
      <c r="AU30" s="1293">
        <f>(IF('Water Report'!$AF$17&gt;0,'Water Report'!$AF$17,0))</f>
        <v>0</v>
      </c>
      <c r="AV30" s="1293">
        <f>(IF('Water Report'!$AF$18&gt;0,'Water Report'!$AF$18,0))</f>
        <v>6</v>
      </c>
      <c r="AW30" s="1293">
        <f>(IF('Water Report'!$AF$19&gt;0,'Water Report'!$AF$19,0))</f>
        <v>4</v>
      </c>
      <c r="AX30" s="1368">
        <f>(IF('Water Report'!$AF$21&gt;0,'Water Report'!$AF$21,0))</f>
        <v>87</v>
      </c>
      <c r="AY30" s="1368">
        <f>(IF('Water Report'!$AF$22&gt;0,'Water Report'!$AF$22,0))</f>
        <v>51</v>
      </c>
      <c r="AZ30" s="1368">
        <f>(IF('Water Report'!$AF$23&gt;0,'Water Report'!$AF$23,0))</f>
        <v>0</v>
      </c>
      <c r="BA30" s="1368">
        <f>(IF('Water Report'!$AF$14&gt;0,'Water Report'!$AF$14,0))</f>
        <v>31</v>
      </c>
      <c r="BB30" s="1368">
        <f>(IF('Water Report'!$AF$15&gt;0,'Water Report'!$AF$15,0))</f>
        <v>11</v>
      </c>
      <c r="BC30" s="1368">
        <f>(IF('Water Report'!$AF$13&gt;0,'Water Report'!$AF$13,0))</f>
        <v>47</v>
      </c>
      <c r="BD30" s="1368">
        <f>(IF('Water Report'!$AF$24&gt;0,'Water Report'!$AF$24,0))</f>
        <v>163</v>
      </c>
      <c r="BE30" s="1368">
        <f>(IF('Water Report'!$AF$25&gt;0,'Water Report'!$AF$25,0))</f>
        <v>133</v>
      </c>
      <c r="BF30" s="1368">
        <f>(IF('Water Report'!$AF$27&gt;0,'Water Report'!$AF$27,0))</f>
        <v>134</v>
      </c>
      <c r="BG30" s="1294">
        <f>(IF('Section Load'!AN33&gt;0,'Section Load'!AN33,0))</f>
        <v>700</v>
      </c>
      <c r="BH30" s="1294">
        <f>(IF('Section Load'!AO33&gt;0,'Section Load'!AO33,0))</f>
        <v>261</v>
      </c>
      <c r="BI30" s="1294">
        <f>(IF('Section Load'!AP33&gt;0,'Section Load'!AP33,0))</f>
        <v>0</v>
      </c>
      <c r="BJ30" s="1294">
        <f>(IF('Section Load'!AQ33&gt;0,'Section Load'!AQ33,0))</f>
        <v>60</v>
      </c>
      <c r="BK30" s="1294">
        <f>(IF('Section Load'!AR33&gt;0,'Section Load'!AR33,0))</f>
        <v>30</v>
      </c>
      <c r="BL30" s="1294">
        <f>(IF('Section Load'!AS33&gt;0,'Section Load'!AS33,0))</f>
        <v>2</v>
      </c>
      <c r="BM30" s="1294">
        <f>(IF('Section Load'!AT33&gt;0,'Section Load'!AT33,0))</f>
        <v>347.39999999999418</v>
      </c>
    </row>
    <row r="31" spans="1:65">
      <c r="A31" s="1276" t="s">
        <v>300</v>
      </c>
      <c r="B31" s="1277">
        <f t="shared" si="0"/>
        <v>30</v>
      </c>
      <c r="C31" s="1277">
        <v>7</v>
      </c>
      <c r="D31" s="1277">
        <v>2021</v>
      </c>
      <c r="E31" s="1292">
        <f>(IF('Section Load'!F34&gt;0,'Section Load'!F34,0))</f>
        <v>2702.8699999999953</v>
      </c>
      <c r="F31" s="1292">
        <f>(IF('Section Load'!G34&gt;0,'Section Load'!G34,0))</f>
        <v>1412.1300000000047</v>
      </c>
      <c r="G31" s="1292">
        <f>(IF('Section Load'!H34&gt;0,'Section Load'!H34,0))</f>
        <v>1353.9300000000512</v>
      </c>
      <c r="H31" s="1292">
        <f>(IF('Section Load'!I34&gt;0,'Section Load'!I34,0))</f>
        <v>3737</v>
      </c>
      <c r="I31" s="1292">
        <f>(IF('Section Load'!J34&gt;0,'Section Load'!J34,0))</f>
        <v>5709</v>
      </c>
      <c r="J31" s="1292">
        <f>(IF('Section Load'!K34&gt;0,'Section Load'!K34,0))</f>
        <v>2538</v>
      </c>
      <c r="K31" s="1292">
        <f>(IF('Section Load'!L34&gt;0,'Section Load'!L34,0))</f>
        <v>944</v>
      </c>
      <c r="L31" s="1292">
        <f>(IF('Section Load'!M34&gt;0,'Section Load'!M34,0))</f>
        <v>653</v>
      </c>
      <c r="M31" s="1292">
        <f>(IF('Section Load'!N34&gt;0,'Section Load'!N34,0))</f>
        <v>11</v>
      </c>
      <c r="N31" s="1292">
        <f>(IF('Section Load'!O34&gt;0,'Section Load'!O34,0))</f>
        <v>1</v>
      </c>
      <c r="O31" s="1292">
        <f>(IF('Section Load'!P34&gt;0,'Section Load'!P34,0))</f>
        <v>2</v>
      </c>
      <c r="P31" s="1292">
        <f>(IF('Section Load'!Q34&gt;0,'Section Load'!Q34,0))</f>
        <v>131</v>
      </c>
      <c r="Q31" s="1292">
        <f>(IF('Section Load'!R34&gt;0,'Section Load'!R34,0))</f>
        <v>75</v>
      </c>
      <c r="R31" s="1292">
        <f>(IF('Section Load'!S34&gt;0,'Section Load'!S34,0))</f>
        <v>60</v>
      </c>
      <c r="S31" s="1292">
        <f>(IF('Section Load'!T34&gt;0,'Section Load'!T34,0))</f>
        <v>115</v>
      </c>
      <c r="T31" s="1292">
        <f>(IF('Section Load'!U34&gt;0,'Section Load'!U34,0))</f>
        <v>159</v>
      </c>
      <c r="U31" s="1292">
        <f>(IF('Section Load'!V34&gt;0,'Section Load'!V34,0))</f>
        <v>381</v>
      </c>
      <c r="V31" s="1292">
        <f>(IF('Section Load'!W34&gt;0,'Section Load'!W34,0))</f>
        <v>140</v>
      </c>
      <c r="W31" s="1292">
        <f>(IF('Section Load'!X34&gt;0,'Section Load'!X34,0))</f>
        <v>11</v>
      </c>
      <c r="X31" s="1292">
        <f>(IF('Section Load'!Y34&gt;0,'Section Load'!Y34,0))</f>
        <v>0</v>
      </c>
      <c r="Y31" s="1292">
        <f>(IF('Section Load'!Z34&gt;0,'Section Load'!Z34,0))</f>
        <v>274</v>
      </c>
      <c r="Z31" s="1292">
        <f>(IF('Section Load'!AA34&gt;0,'Section Load'!AA34,0))</f>
        <v>30</v>
      </c>
      <c r="AA31" s="1292">
        <f>(IF('Section Load'!AB34&gt;0,'Section Load'!AB34,0))</f>
        <v>35</v>
      </c>
      <c r="AB31" s="1292">
        <f>(IF('Section Load'!AC34&gt;0,'Section Load'!AC34,0))</f>
        <v>89</v>
      </c>
      <c r="AC31" s="1292">
        <f>(IF('Section Load'!AD34&gt;0,'Section Load'!AD34,0))</f>
        <v>41</v>
      </c>
      <c r="AD31" s="1292">
        <f>(IF('Section Load'!AE34&gt;0,'Section Load'!AE34,0))</f>
        <v>0</v>
      </c>
      <c r="AE31" s="1292">
        <f>(IF('Section Load'!AF34&gt;0,'Section Load'!AF34,0))</f>
        <v>0</v>
      </c>
      <c r="AF31" s="1292">
        <f>(IF('Section Load'!AG34&gt;0,'Section Load'!AG34,0))</f>
        <v>353</v>
      </c>
      <c r="AG31" s="1292">
        <f>(IF('Section Load'!AH34&gt;0,'Section Load'!AH34,0))</f>
        <v>435</v>
      </c>
      <c r="AH31" s="1292">
        <f>(IF('Section Load'!AI34&gt;0,'Section Load'!AI34,0))</f>
        <v>439</v>
      </c>
      <c r="AI31" s="1292">
        <f>(IF('Section Load'!AJ34&gt;0,'Section Load'!AJ34,0))</f>
        <v>462</v>
      </c>
      <c r="AJ31" s="1292">
        <f>(IF('Section Load'!AK34&gt;0,'Section Load'!AK34,0))</f>
        <v>0</v>
      </c>
      <c r="AK31" s="1292">
        <f>(IF('Section Load'!AL34&gt;0,'Section Load'!AL34,0))</f>
        <v>252</v>
      </c>
      <c r="AL31" s="1292">
        <f>(IF('Section Load'!AM34&gt;0,'Section Load'!AM34,0))</f>
        <v>840</v>
      </c>
      <c r="AM31" s="1293">
        <f>(IF('Water Report'!$AG$7&gt;0,'Water Report'!$AG$7,0))</f>
        <v>8</v>
      </c>
      <c r="AN31" s="1293">
        <f>(IF('Water Report'!$AG$8&gt;0,'Water Report'!$AG$8,0))</f>
        <v>110</v>
      </c>
      <c r="AO31" s="1293">
        <f>(IF('Water Report'!$AG$9&gt;0,'Water Report'!$AG$9,0))</f>
        <v>39</v>
      </c>
      <c r="AP31" s="1293">
        <f>(IF('Water Report'!$AG$10&gt;0,'Water Report'!$DAG$10,0))</f>
        <v>0</v>
      </c>
      <c r="AQ31" s="1293">
        <f>(IF('Water Report'!$AG$11&gt;0,'Water Report'!$DAG$11,0))</f>
        <v>0</v>
      </c>
      <c r="AR31" s="1293">
        <f>(IF('Water Report'!$AG$13&gt;0,'Water Report'!$DAG$13,0))</f>
        <v>0</v>
      </c>
      <c r="AS31" s="1293">
        <f>(IF('Water Report'!$AG$14&gt;0,'Water Report'!$DAG$14,0))</f>
        <v>0</v>
      </c>
      <c r="AT31" s="1293">
        <f>(IF('Water Report'!$AG$15&gt;0,'Water Report'!$DAG$15,0))</f>
        <v>0</v>
      </c>
      <c r="AU31" s="1293">
        <f>(IF('Water Report'!$AG$17&gt;0,'Water Report'!$DAG$17,0))</f>
        <v>0</v>
      </c>
      <c r="AV31" s="1293">
        <f>(IF('Water Report'!$AG$18&gt;0,'Water Report'!$DAG$18,0))</f>
        <v>0</v>
      </c>
      <c r="AW31" s="1293">
        <f>(IF('Water Report'!$AG$19&gt;0,'Water Report'!$DAG$19,0))</f>
        <v>0</v>
      </c>
      <c r="AX31" s="1368">
        <f>(IF('Water Report'!$AG$21&gt;0,'Water Report'!$DAG$21,0))</f>
        <v>0</v>
      </c>
      <c r="AY31" s="1368">
        <f>(IF('Water Report'!$AG$22&gt;0,'Water Report'!$DAG$22,0))</f>
        <v>0</v>
      </c>
      <c r="AZ31" s="1368">
        <f>(IF('Water Report'!$AG$23&gt;0,'Water Report'!$DAG$23,0))</f>
        <v>0</v>
      </c>
      <c r="BA31" s="1368">
        <f>(IF('Water Report'!$AG$14&gt;0,'Water Report'!$DAG$14,0))</f>
        <v>0</v>
      </c>
      <c r="BB31" s="1368">
        <f>(IF('Water Report'!$AG$15&gt;0,'Water Report'!$DAG$15,0))</f>
        <v>0</v>
      </c>
      <c r="BC31" s="1368">
        <f>(IF('Water Report'!$AG$13&gt;0,'Water Report'!$DAG$13,0))</f>
        <v>0</v>
      </c>
      <c r="BD31" s="1368">
        <f>(IF('Water Report'!$AG$24&gt;0,'Water Report'!$DAG$24,0))</f>
        <v>0</v>
      </c>
      <c r="BE31" s="1368">
        <f>(IF('Water Report'!$AG$25&gt;0,'Water Report'!$DAG$25,0))</f>
        <v>0</v>
      </c>
      <c r="BF31" s="1368">
        <f>(IF('Water Report'!$AG$27&gt;0,'Water Report'!$DAG$27,0))</f>
        <v>0</v>
      </c>
      <c r="BG31" s="1294">
        <f>(IF('Section Load'!AN34&gt;0,'Section Load'!AN34,0))</f>
        <v>700</v>
      </c>
      <c r="BH31" s="1294">
        <f>(IF('Section Load'!AO34&gt;0,'Section Load'!AO34,0))</f>
        <v>263</v>
      </c>
      <c r="BI31" s="1294">
        <f>(IF('Section Load'!AP34&gt;0,'Section Load'!AP34,0))</f>
        <v>0.39999999999417923</v>
      </c>
      <c r="BJ31" s="1294">
        <f>(IF('Section Load'!AQ34&gt;0,'Section Load'!AQ34,0))</f>
        <v>84</v>
      </c>
      <c r="BK31" s="1294">
        <f>(IF('Section Load'!AR34&gt;0,'Section Load'!AR34,0))</f>
        <v>30</v>
      </c>
      <c r="BL31" s="1294">
        <f>(IF('Section Load'!AS34&gt;0,'Section Load'!AS34,0))</f>
        <v>1</v>
      </c>
      <c r="BM31" s="1294">
        <f>(IF('Section Load'!AT34&gt;0,'Section Load'!AT34,0))</f>
        <v>321.60000000000582</v>
      </c>
    </row>
    <row r="32" spans="1:65">
      <c r="A32" s="1276" t="s">
        <v>300</v>
      </c>
      <c r="B32" s="1277">
        <f t="shared" si="0"/>
        <v>31</v>
      </c>
      <c r="C32" s="1277">
        <v>7</v>
      </c>
      <c r="D32" s="1277">
        <v>2021</v>
      </c>
      <c r="E32" s="1292">
        <f>(IF('Section Load'!F35&gt;0,'Section Load'!F35,0))</f>
        <v>0</v>
      </c>
      <c r="F32" s="1292">
        <f>(IF('Section Load'!G35&gt;0,'Section Load'!G35,0))</f>
        <v>0</v>
      </c>
      <c r="G32" s="1292">
        <f>(IF('Section Load'!H35&gt;0,'Section Load'!H35,0))</f>
        <v>1249</v>
      </c>
      <c r="H32" s="1292">
        <f>(IF('Section Load'!I35&gt;0,'Section Load'!I35,0))</f>
        <v>0</v>
      </c>
      <c r="I32" s="1292">
        <f>(IF('Section Load'!J35&gt;0,'Section Load'!J35,0))</f>
        <v>0</v>
      </c>
      <c r="J32" s="1292">
        <f>(IF('Section Load'!K35&gt;0,'Section Load'!K35,0))</f>
        <v>0</v>
      </c>
      <c r="K32" s="1292">
        <f>(IF('Section Load'!L35&gt;0,'Section Load'!L35,0))</f>
        <v>0</v>
      </c>
      <c r="L32" s="1292">
        <f>(IF('Section Load'!M35&gt;0,'Section Load'!M35,0))</f>
        <v>173</v>
      </c>
      <c r="M32" s="1292">
        <f>(IF('Section Load'!N35&gt;0,'Section Load'!N35,0))</f>
        <v>0</v>
      </c>
      <c r="N32" s="1292">
        <f>(IF('Section Load'!O35&gt;0,'Section Load'!O35,0))</f>
        <v>0</v>
      </c>
      <c r="O32" s="1292">
        <f>(IF('Section Load'!P35&gt;0,'Section Load'!P35,0))</f>
        <v>0</v>
      </c>
      <c r="P32" s="1292">
        <f>(IF('Section Load'!Q35&gt;0,'Section Load'!Q35,0))</f>
        <v>0</v>
      </c>
      <c r="Q32" s="1292">
        <f>(IF('Section Load'!R35&gt;0,'Section Load'!R35,0))</f>
        <v>0</v>
      </c>
      <c r="R32" s="1292">
        <f>(IF('Section Load'!S35&gt;0,'Section Load'!S35,0))</f>
        <v>0</v>
      </c>
      <c r="S32" s="1292">
        <f>(IF('Section Load'!T35&gt;0,'Section Load'!T35,0))</f>
        <v>0</v>
      </c>
      <c r="T32" s="1292">
        <f>(IF('Section Load'!U35&gt;0,'Section Load'!U35,0))</f>
        <v>0</v>
      </c>
      <c r="U32" s="1292">
        <f>(IF('Section Load'!V35&gt;0,'Section Load'!V35,0))</f>
        <v>0</v>
      </c>
      <c r="V32" s="1292">
        <f>(IF('Section Load'!W35&gt;0,'Section Load'!W35,0))</f>
        <v>0</v>
      </c>
      <c r="W32" s="1292">
        <f>(IF('Section Load'!X35&gt;0,'Section Load'!X35,0))</f>
        <v>0</v>
      </c>
      <c r="X32" s="1292">
        <f>(IF('Section Load'!Y35&gt;0,'Section Load'!Y35,0))</f>
        <v>0</v>
      </c>
      <c r="Y32" s="1292">
        <f>(IF('Section Load'!Z35&gt;0,'Section Load'!Z35,0))</f>
        <v>0</v>
      </c>
      <c r="Z32" s="1292">
        <f>(IF('Section Load'!AA35&gt;0,'Section Load'!AA35,0))</f>
        <v>0</v>
      </c>
      <c r="AA32" s="1292">
        <f>(IF('Section Load'!AB35&gt;0,'Section Load'!AB35,0))</f>
        <v>0</v>
      </c>
      <c r="AB32" s="1292">
        <f>(IF('Section Load'!AC35&gt;0,'Section Load'!AC35,0))</f>
        <v>0</v>
      </c>
      <c r="AC32" s="1292">
        <f>(IF('Section Load'!AD35&gt;0,'Section Load'!AD35,0))</f>
        <v>0</v>
      </c>
      <c r="AD32" s="1292">
        <f>(IF('Section Load'!AE35&gt;0,'Section Load'!AE35,0))</f>
        <v>0</v>
      </c>
      <c r="AE32" s="1292">
        <f>(IF('Section Load'!AF35&gt;0,'Section Load'!AF35,0))</f>
        <v>0</v>
      </c>
      <c r="AF32" s="1292">
        <f>(IF('Section Load'!AG35&gt;0,'Section Load'!AG35,0))</f>
        <v>0</v>
      </c>
      <c r="AG32" s="1292">
        <f>(IF('Section Load'!AH35&gt;0,'Section Load'!AH35,0))</f>
        <v>0</v>
      </c>
      <c r="AH32" s="1292">
        <f>(IF('Section Load'!AI35&gt;0,'Section Load'!AI35,0))</f>
        <v>0</v>
      </c>
      <c r="AI32" s="1292">
        <f>(IF('Section Load'!AJ35&gt;0,'Section Load'!AJ35,0))</f>
        <v>0</v>
      </c>
      <c r="AJ32" s="1292">
        <f>(IF('Section Load'!AK35&gt;0,'Section Load'!AK35,0))</f>
        <v>0</v>
      </c>
      <c r="AK32" s="1292">
        <f>(IF('Section Load'!AL35&gt;0,'Section Load'!AL35,0))</f>
        <v>0</v>
      </c>
      <c r="AL32" s="1292">
        <f>(IF('Section Load'!AM35&gt;0,'Section Load'!AM35,0))</f>
        <v>0</v>
      </c>
      <c r="AM32" s="1293">
        <f>(IF('Water Report'!$AH$7&gt;0,'Water Report'!$AH$7,0))</f>
        <v>0</v>
      </c>
      <c r="AN32" s="1293">
        <f>(IF('Water Report'!$AH$8&gt;0,'Water Report'!$AH$8,0))</f>
        <v>0</v>
      </c>
      <c r="AO32" s="1293">
        <f>(IF('Water Report'!$AH$9&gt;0,'Water Report'!$AH$9,0))</f>
        <v>0</v>
      </c>
      <c r="AP32" s="1293">
        <f>(IF('Water Report'!$AH$10&gt;0,'Water Report'!$DAH$10,0))</f>
        <v>0</v>
      </c>
      <c r="AQ32" s="1293">
        <f>(IF('Water Report'!$AH$11&gt;0,'Water Report'!$DAH$11,0))</f>
        <v>0</v>
      </c>
      <c r="AR32" s="1293">
        <f>(IF('Water Report'!$AH$13&gt;0,'Water Report'!$DAH$13,0))</f>
        <v>0</v>
      </c>
      <c r="AS32" s="1293">
        <f>(IF('Water Report'!$AH$14&gt;0,'Water Report'!$DAH$14,0))</f>
        <v>0</v>
      </c>
      <c r="AT32" s="1293">
        <f>(IF('Water Report'!$AH$15&gt;0,'Water Report'!$DAH$15,0))</f>
        <v>0</v>
      </c>
      <c r="AU32" s="1293">
        <f>(IF('Water Report'!$AH$17&gt;0,'Water Report'!$DAH$17,0))</f>
        <v>0</v>
      </c>
      <c r="AV32" s="1293">
        <f>(IF('Water Report'!$AH$18&gt;0,'Water Report'!$DAH$18,0))</f>
        <v>0</v>
      </c>
      <c r="AW32" s="1293">
        <f>(IF('Water Report'!$AH$19&gt;0,'Water Report'!$DAH$19,0))</f>
        <v>0</v>
      </c>
      <c r="AX32" s="1368">
        <f>(IF('Water Report'!$AH$21&gt;0,'Water Report'!$DAH$21,0))</f>
        <v>0</v>
      </c>
      <c r="AY32" s="1368">
        <f>(IF('Water Report'!$AH$22&gt;0,'Water Report'!$DAH$22,0))</f>
        <v>0</v>
      </c>
      <c r="AZ32" s="1368">
        <f>(IF('Water Report'!$AH$23&gt;0,'Water Report'!$DAH$23,0))</f>
        <v>0</v>
      </c>
      <c r="BA32" s="1368">
        <f>(IF('Water Report'!$AH$14&gt;0,'Water Report'!$DAH$14,0))</f>
        <v>0</v>
      </c>
      <c r="BB32" s="1368">
        <f>(IF('Water Report'!$AH$15&gt;0,'Water Report'!$DAH$15,0))</f>
        <v>0</v>
      </c>
      <c r="BC32" s="1368">
        <f>(IF('Water Report'!$AH$13&gt;0,'Water Report'!$DAH$13,0))</f>
        <v>0</v>
      </c>
      <c r="BD32" s="1368">
        <f>(IF('Water Report'!$AH$24&gt;0,'Water Report'!$DAH$24,0))</f>
        <v>0</v>
      </c>
      <c r="BE32" s="1368">
        <f>(IF('Water Report'!$AH$25&gt;0,'Water Report'!$DAH$25,0))</f>
        <v>0</v>
      </c>
      <c r="BF32" s="1368">
        <f>(IF('Water Report'!$AH$27&gt;0,'Water Report'!$DAH$27,0))</f>
        <v>0</v>
      </c>
      <c r="BG32" s="1294">
        <f>(IF('Section Load'!AN35&gt;0,'Section Load'!AN35,0))</f>
        <v>700</v>
      </c>
      <c r="BH32" s="1294">
        <f>(IF('Section Load'!AO35&gt;0,'Section Load'!AO35,0))</f>
        <v>0</v>
      </c>
      <c r="BI32" s="1294">
        <f>(IF('Section Load'!AP35&gt;0,'Section Load'!AP35,0))</f>
        <v>0</v>
      </c>
      <c r="BJ32" s="1294">
        <f>(IF('Section Load'!AQ35&gt;0,'Section Load'!AQ35,0))</f>
        <v>0</v>
      </c>
      <c r="BK32" s="1294">
        <f>(IF('Section Load'!AR35&gt;0,'Section Load'!AR35,0))</f>
        <v>0</v>
      </c>
      <c r="BL32" s="1294">
        <f>(IF('Section Load'!AS35&gt;0,'Section Load'!AS35,0))</f>
        <v>0</v>
      </c>
      <c r="BM32" s="1294">
        <f>(IF('Section Load'!AT35&gt;0,'Section Load'!AT35,0))</f>
        <v>10815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Q4" sqref="BQ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  <c r="P1" s="1521"/>
      <c r="Q1" s="1521"/>
      <c r="R1" s="1521"/>
      <c r="S1" s="1521"/>
      <c r="T1" s="1521"/>
      <c r="U1" s="1521"/>
      <c r="V1" s="1521"/>
      <c r="W1" s="1521"/>
      <c r="X1" s="1521"/>
      <c r="Y1" s="1521"/>
      <c r="Z1" s="1521"/>
      <c r="AA1" s="1521"/>
      <c r="AB1" s="1521"/>
      <c r="AC1" s="1521"/>
      <c r="AD1" s="1521"/>
      <c r="AE1" s="1521"/>
      <c r="AF1" s="1521"/>
      <c r="AG1" s="1521"/>
      <c r="AH1" s="1521"/>
      <c r="AI1" s="1521"/>
      <c r="AJ1" s="1521"/>
      <c r="AK1" s="1521"/>
      <c r="AL1" s="1521"/>
      <c r="AM1" s="1521"/>
      <c r="AN1" s="1521"/>
      <c r="AO1" s="1521"/>
      <c r="AP1" s="1521"/>
      <c r="AQ1" s="1521"/>
      <c r="AR1" s="1521"/>
      <c r="AS1" s="1521"/>
      <c r="AT1" s="1521"/>
      <c r="AU1" s="1521"/>
      <c r="AV1" s="1521"/>
      <c r="AW1" s="1521"/>
      <c r="AX1" s="1521"/>
      <c r="AY1" s="1521"/>
      <c r="AZ1" s="1521"/>
      <c r="BA1" s="1521"/>
      <c r="BB1" s="1521"/>
      <c r="BC1" s="1521"/>
      <c r="BD1" s="1521"/>
      <c r="BE1" s="1521"/>
      <c r="BF1" s="1521"/>
      <c r="BG1" s="1521"/>
      <c r="BH1" s="1521"/>
      <c r="BI1" s="1521"/>
      <c r="BJ1" s="1521"/>
      <c r="BK1" s="1521"/>
      <c r="BL1" s="1521"/>
      <c r="BM1" s="1521"/>
      <c r="BN1" s="1521"/>
      <c r="BO1" s="1521"/>
    </row>
    <row r="2" spans="1:70" ht="28.5" customHeight="1">
      <c r="A2" s="1" t="s">
        <v>0</v>
      </c>
      <c r="B2" s="1" t="s">
        <v>0</v>
      </c>
      <c r="C2" s="1113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2" t="s">
        <v>6</v>
      </c>
      <c r="J2" s="1522"/>
      <c r="K2" s="1522"/>
      <c r="L2" s="237"/>
      <c r="M2" s="1523" t="s">
        <v>7</v>
      </c>
      <c r="N2" s="1523"/>
      <c r="O2" s="1523"/>
      <c r="P2" s="1524" t="s">
        <v>8</v>
      </c>
      <c r="Q2" s="1524"/>
      <c r="R2" s="1524"/>
      <c r="S2" s="237" t="s">
        <v>9</v>
      </c>
      <c r="T2" s="1525" t="s">
        <v>10</v>
      </c>
      <c r="U2" s="1525"/>
      <c r="V2" s="1525"/>
      <c r="W2" s="1526" t="s">
        <v>11</v>
      </c>
      <c r="X2" s="1527"/>
      <c r="Y2" s="1528"/>
      <c r="Z2" s="1112"/>
      <c r="AA2" s="1529" t="s">
        <v>12</v>
      </c>
      <c r="AB2" s="1529"/>
      <c r="AC2" s="1529"/>
      <c r="AD2" s="1529"/>
      <c r="AE2" s="1113"/>
      <c r="AF2" s="1113" t="s">
        <v>13</v>
      </c>
      <c r="AG2" s="1113" t="s">
        <v>14</v>
      </c>
      <c r="AH2" s="1529" t="s">
        <v>15</v>
      </c>
      <c r="AI2" s="1529"/>
      <c r="AJ2" s="1529"/>
      <c r="AK2" s="1113" t="s">
        <v>16</v>
      </c>
      <c r="AL2" s="1529" t="s">
        <v>17</v>
      </c>
      <c r="AM2" s="1529"/>
      <c r="AN2" s="1529"/>
      <c r="AO2" s="1113" t="s">
        <v>18</v>
      </c>
      <c r="AP2" s="5" t="s">
        <v>19</v>
      </c>
      <c r="AQ2" s="1530" t="s">
        <v>20</v>
      </c>
      <c r="AR2" s="1531"/>
      <c r="AS2" s="1531"/>
      <c r="AT2" s="1531"/>
      <c r="AU2" s="1531"/>
      <c r="AV2" s="1531"/>
      <c r="AW2" s="1531"/>
      <c r="AX2" s="1531"/>
      <c r="AY2" s="1531"/>
      <c r="AZ2" s="1532"/>
      <c r="BA2" s="1530" t="s">
        <v>21</v>
      </c>
      <c r="BB2" s="1531"/>
      <c r="BC2" s="1531"/>
      <c r="BD2" s="1531"/>
      <c r="BE2" s="1531"/>
      <c r="BF2" s="1531"/>
      <c r="BG2" s="1531"/>
      <c r="BH2" s="1531"/>
      <c r="BI2" s="1531"/>
      <c r="BJ2" s="438"/>
      <c r="BK2" s="420"/>
      <c r="BL2" s="232"/>
      <c r="BM2" s="232"/>
      <c r="BN2" s="232"/>
      <c r="BO2" s="111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368</v>
      </c>
      <c r="I3" s="11" t="s">
        <v>367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0.5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159.40594059405942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0.78</v>
      </c>
      <c r="F12" s="256">
        <f>'9'!D2</f>
        <v>0.64</v>
      </c>
      <c r="G12" s="19">
        <f>'9'!G8</f>
        <v>22673.210000000006</v>
      </c>
      <c r="H12" s="19">
        <f>'9'!G7</f>
        <v>22577.440000000002</v>
      </c>
      <c r="I12" s="19">
        <f>'9'!G8</f>
        <v>22673.210000000006</v>
      </c>
      <c r="J12" s="19">
        <v>9</v>
      </c>
      <c r="K12" s="242">
        <f t="shared" si="3"/>
        <v>204058.89000000007</v>
      </c>
      <c r="L12" s="238">
        <f t="shared" si="4"/>
        <v>112.24361386138617</v>
      </c>
      <c r="M12" s="19">
        <f>'9'!G15</f>
        <v>830.84000000008382</v>
      </c>
      <c r="N12" s="19">
        <v>53</v>
      </c>
      <c r="O12" s="238">
        <f t="shared" si="5"/>
        <v>44034.520000004442</v>
      </c>
      <c r="P12" s="19">
        <f>'9'!G20</f>
        <v>191</v>
      </c>
      <c r="Q12" s="19">
        <v>108</v>
      </c>
      <c r="R12" s="239">
        <f t="shared" si="0"/>
        <v>20628</v>
      </c>
      <c r="S12" s="240">
        <f t="shared" si="1"/>
        <v>147.74133663366337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93</v>
      </c>
      <c r="X12" s="22">
        <f>'9'!G97</f>
        <v>19</v>
      </c>
      <c r="Y12" s="22">
        <f>'9'!G98</f>
        <v>24</v>
      </c>
      <c r="Z12" s="22">
        <f t="shared" si="7"/>
        <v>136</v>
      </c>
      <c r="AA12" s="19">
        <f>'9'!G133</f>
        <v>10.620000000002619</v>
      </c>
      <c r="AB12" s="19">
        <f>'9'!G134</f>
        <v>-0.18999999999999773</v>
      </c>
      <c r="AC12" s="19">
        <f>'9'!G135</f>
        <v>23.849999999998545</v>
      </c>
      <c r="AD12" s="19">
        <f>'9'!G136</f>
        <v>0</v>
      </c>
      <c r="AE12" s="19">
        <f t="shared" si="8"/>
        <v>34.280000000001166</v>
      </c>
      <c r="AF12" s="23">
        <f t="shared" si="2"/>
        <v>7248.8100000000413</v>
      </c>
      <c r="AG12" s="23">
        <f t="shared" si="9"/>
        <v>211.4588681446848</v>
      </c>
      <c r="AH12" s="19">
        <f>'9'!G137</f>
        <v>8.069999999999709</v>
      </c>
      <c r="AI12" s="19">
        <f>'9'!G138</f>
        <v>0.18000000000029104</v>
      </c>
      <c r="AJ12" s="19">
        <f>'9'!G139</f>
        <v>0</v>
      </c>
      <c r="AK12" s="19">
        <f t="shared" si="10"/>
        <v>8.25</v>
      </c>
      <c r="AL12" s="19">
        <f>'9'!G140</f>
        <v>9.7899999999999636</v>
      </c>
      <c r="AM12" s="19">
        <f>'9'!G141</f>
        <v>-0.11999999999989086</v>
      </c>
      <c r="AN12" s="19"/>
      <c r="AO12" s="19">
        <f t="shared" si="11"/>
        <v>9.6700000000000728</v>
      </c>
      <c r="AP12" s="258">
        <f>'9'!G124</f>
        <v>315.86999999999534</v>
      </c>
      <c r="AQ12" s="261">
        <f>'9'!G35</f>
        <v>3259.3999999999069</v>
      </c>
      <c r="AR12" s="19">
        <f>'9'!G37</f>
        <v>1605.9899999999907</v>
      </c>
      <c r="AS12" s="19">
        <f>'9'!G38</f>
        <v>1594.7099999999919</v>
      </c>
      <c r="AT12" s="19">
        <f>'9'!G39</f>
        <v>3607.8099999999977</v>
      </c>
      <c r="AU12" s="19">
        <f>'9'!G40</f>
        <v>497.10000000000036</v>
      </c>
      <c r="AV12" s="19">
        <f>'9'!G41</f>
        <v>2128.6500000000233</v>
      </c>
      <c r="AW12" s="19">
        <f>'9'!G42</f>
        <v>-8.000000000174623E-2</v>
      </c>
      <c r="AX12" s="19">
        <f>'9'!G43</f>
        <v>2915.5</v>
      </c>
      <c r="AY12" s="23">
        <f>'9'!G44</f>
        <v>0</v>
      </c>
      <c r="AZ12" s="262">
        <f>'9'!G36</f>
        <v>812.38000000000102</v>
      </c>
      <c r="BA12" s="261">
        <f>'9'!G49</f>
        <v>-0.13000000000465661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5109.4700000000012</v>
      </c>
      <c r="BG12" s="19">
        <f>'9'!G56</f>
        <v>10.770000000018626</v>
      </c>
      <c r="BH12" s="19">
        <f>'9'!G57</f>
        <v>0</v>
      </c>
      <c r="BI12" s="262">
        <f>'9'!G50</f>
        <v>981.30000000004657</v>
      </c>
      <c r="BJ12" s="370">
        <f t="shared" si="12"/>
        <v>7248.8100000000413</v>
      </c>
      <c r="BK12" s="370">
        <f>'8'!G84</f>
        <v>809</v>
      </c>
      <c r="BL12" s="23">
        <f t="shared" si="13"/>
        <v>59.204585499803251</v>
      </c>
      <c r="BM12" s="23">
        <f t="shared" si="14"/>
        <v>15.912215341365412</v>
      </c>
      <c r="BN12" s="24">
        <f t="shared" si="15"/>
        <v>7.0334549011806954E-2</v>
      </c>
      <c r="BO12" s="25">
        <f t="shared" si="16"/>
        <v>268721.41000000451</v>
      </c>
      <c r="BP12" s="213">
        <f t="shared" si="17"/>
        <v>10973.310000000041</v>
      </c>
      <c r="BQ12">
        <f t="shared" si="18"/>
        <v>1.1432436656109004</v>
      </c>
    </row>
    <row r="13" spans="1:70">
      <c r="A13" s="16">
        <v>10</v>
      </c>
      <c r="B13" s="27">
        <v>10</v>
      </c>
      <c r="C13" s="26"/>
      <c r="D13" s="19">
        <f>'10'!D3</f>
        <v>32</v>
      </c>
      <c r="E13" s="256">
        <f>'10'!D4</f>
        <v>0.78</v>
      </c>
      <c r="F13" s="256">
        <f>'10'!D2</f>
        <v>0.55000000000000004</v>
      </c>
      <c r="G13" s="19">
        <f>'10'!G8</f>
        <v>21102</v>
      </c>
      <c r="H13" s="19">
        <f>'10'!G7</f>
        <v>21024</v>
      </c>
      <c r="I13" s="19">
        <f>'10'!G8</f>
        <v>21102</v>
      </c>
      <c r="J13" s="19">
        <v>9</v>
      </c>
      <c r="K13" s="242">
        <f t="shared" si="3"/>
        <v>189918</v>
      </c>
      <c r="L13" s="238">
        <f t="shared" si="4"/>
        <v>104.46534653465346</v>
      </c>
      <c r="M13" s="19">
        <f>'10'!G15</f>
        <v>829</v>
      </c>
      <c r="N13" s="19">
        <v>53</v>
      </c>
      <c r="O13" s="238">
        <f t="shared" si="5"/>
        <v>43937</v>
      </c>
      <c r="P13" s="19">
        <f>'10'!G20</f>
        <v>218</v>
      </c>
      <c r="Q13" s="19">
        <v>108</v>
      </c>
      <c r="R13" s="239">
        <f t="shared" si="0"/>
        <v>23544</v>
      </c>
      <c r="S13" s="240">
        <f t="shared" si="1"/>
        <v>196.21962196219621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76</v>
      </c>
      <c r="X13" s="22">
        <f>'10'!G97</f>
        <v>26</v>
      </c>
      <c r="Y13" s="22">
        <f>'10'!G98</f>
        <v>35</v>
      </c>
      <c r="Z13" s="22">
        <f t="shared" si="7"/>
        <v>137</v>
      </c>
      <c r="AA13" s="19">
        <f>'10'!G133</f>
        <v>3</v>
      </c>
      <c r="AB13" s="19">
        <f>'10'!G134</f>
        <v>0</v>
      </c>
      <c r="AC13" s="19">
        <f>'10'!G135</f>
        <v>24</v>
      </c>
      <c r="AD13" s="19">
        <f>'10'!G136</f>
        <v>0</v>
      </c>
      <c r="AE13" s="19">
        <f t="shared" si="8"/>
        <v>27</v>
      </c>
      <c r="AF13" s="23">
        <f t="shared" si="2"/>
        <v>6097</v>
      </c>
      <c r="AG13" s="23">
        <f t="shared" si="9"/>
        <v>225.81481481481481</v>
      </c>
      <c r="AH13" s="19">
        <f>'10'!G137</f>
        <v>6.5100000000020373</v>
      </c>
      <c r="AI13" s="19">
        <f>'10'!G138</f>
        <v>0</v>
      </c>
      <c r="AJ13" s="19">
        <f>'10'!G139</f>
        <v>0</v>
      </c>
      <c r="AK13" s="19">
        <f t="shared" si="10"/>
        <v>6.5100000000020373</v>
      </c>
      <c r="AL13" s="19">
        <f>'10'!G140</f>
        <v>10.150000000000091</v>
      </c>
      <c r="AM13" s="19">
        <f>'10'!G141</f>
        <v>0</v>
      </c>
      <c r="AN13" s="19"/>
      <c r="AO13" s="19">
        <f t="shared" si="11"/>
        <v>10.150000000000091</v>
      </c>
      <c r="AP13" s="258">
        <f>'10'!G124</f>
        <v>223</v>
      </c>
      <c r="AQ13" s="261">
        <f>'10'!G35</f>
        <v>3106</v>
      </c>
      <c r="AR13" s="19">
        <f>'10'!G37</f>
        <v>1601</v>
      </c>
      <c r="AS13" s="19">
        <f>'10'!G38</f>
        <v>1644</v>
      </c>
      <c r="AT13" s="19">
        <f>'10'!G39</f>
        <v>3580</v>
      </c>
      <c r="AU13" s="19">
        <f>'10'!G40</f>
        <v>217</v>
      </c>
      <c r="AV13" s="19">
        <f>'10'!G41</f>
        <v>513</v>
      </c>
      <c r="AW13" s="19">
        <f>'10'!G42</f>
        <v>0</v>
      </c>
      <c r="AX13" s="19">
        <f>'10'!G43</f>
        <v>2543</v>
      </c>
      <c r="AY13" s="23">
        <f>'10'!G44</f>
        <v>0</v>
      </c>
      <c r="AZ13" s="262">
        <f>'10'!G36</f>
        <v>769</v>
      </c>
      <c r="BA13" s="261">
        <f>'10'!G49</f>
        <v>32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5574</v>
      </c>
      <c r="BG13" s="19">
        <f>'10'!G56</f>
        <v>10</v>
      </c>
      <c r="BH13" s="19">
        <f>'10'!G57</f>
        <v>0</v>
      </c>
      <c r="BI13" s="262">
        <f>'10'!G50</f>
        <v>1093</v>
      </c>
      <c r="BJ13" s="370">
        <f t="shared" si="12"/>
        <v>6097</v>
      </c>
      <c r="BK13" s="370">
        <f>'8'!G84</f>
        <v>809</v>
      </c>
      <c r="BL13" s="23">
        <f t="shared" si="13"/>
        <v>55.814614728461756</v>
      </c>
      <c r="BM13" s="23">
        <f t="shared" si="14"/>
        <v>16.966780399962165</v>
      </c>
      <c r="BN13" s="24">
        <f t="shared" si="15"/>
        <v>7.7907307364230877E-2</v>
      </c>
      <c r="BO13" s="25">
        <f t="shared" si="16"/>
        <v>257399</v>
      </c>
      <c r="BP13" s="213">
        <f t="shared" si="17"/>
        <v>9449</v>
      </c>
      <c r="BQ13">
        <f t="shared" si="18"/>
        <v>1.2498677248677248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0.85</v>
      </c>
      <c r="G14" s="19">
        <f>'11'!G8</f>
        <v>22829.97</v>
      </c>
      <c r="H14" s="19">
        <f>'11'!G7</f>
        <v>22731.5</v>
      </c>
      <c r="I14" s="19">
        <f>'11'!G8</f>
        <v>22829.97</v>
      </c>
      <c r="J14" s="19">
        <v>9</v>
      </c>
      <c r="K14" s="242">
        <f t="shared" si="3"/>
        <v>205469.73</v>
      </c>
      <c r="L14" s="238">
        <f t="shared" si="4"/>
        <v>113.01965346534654</v>
      </c>
      <c r="M14" s="19">
        <f>'11'!G15</f>
        <v>986.40999999991618</v>
      </c>
      <c r="N14" s="19">
        <v>53</v>
      </c>
      <c r="O14" s="238">
        <f t="shared" si="5"/>
        <v>52279.729999995558</v>
      </c>
      <c r="P14" s="19">
        <f>'11'!G20</f>
        <v>240</v>
      </c>
      <c r="Q14" s="19">
        <v>108</v>
      </c>
      <c r="R14" s="239">
        <f t="shared" si="0"/>
        <v>25920</v>
      </c>
      <c r="S14" s="240">
        <f t="shared" si="1"/>
        <v>139.77868375072802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77</v>
      </c>
      <c r="X14" s="22">
        <f>'11'!G97</f>
        <v>32</v>
      </c>
      <c r="Y14" s="22">
        <f>'11'!G98</f>
        <v>41</v>
      </c>
      <c r="Z14" s="22">
        <f t="shared" si="7"/>
        <v>150</v>
      </c>
      <c r="AA14" s="19">
        <f>'11'!G133</f>
        <v>8.5500000000029104</v>
      </c>
      <c r="AB14" s="19">
        <f>'11'!G134</f>
        <v>0</v>
      </c>
      <c r="AC14" s="19">
        <f>'11'!G135</f>
        <v>24.419999999998254</v>
      </c>
      <c r="AD14" s="19">
        <f>'11'!G136</f>
        <v>0</v>
      </c>
      <c r="AE14" s="19">
        <f t="shared" si="8"/>
        <v>32.970000000001164</v>
      </c>
      <c r="AF14" s="23">
        <f t="shared" si="2"/>
        <v>7134.0600000000122</v>
      </c>
      <c r="AG14" s="23">
        <f t="shared" si="9"/>
        <v>216.38034576887353</v>
      </c>
      <c r="AH14" s="19">
        <f>'11'!G137</f>
        <v>6.9899999999979627</v>
      </c>
      <c r="AI14" s="19">
        <f>'11'!G138</f>
        <v>3.9599999999991269</v>
      </c>
      <c r="AJ14" s="19">
        <f>'11'!G139</f>
        <v>0</v>
      </c>
      <c r="AK14" s="19">
        <f t="shared" si="10"/>
        <v>10.94999999999709</v>
      </c>
      <c r="AL14" s="19">
        <f>'11'!G140</f>
        <v>10.840000000000146</v>
      </c>
      <c r="AM14" s="19">
        <f>'11'!G141</f>
        <v>0</v>
      </c>
      <c r="AN14" s="19"/>
      <c r="AO14" s="19">
        <f t="shared" si="11"/>
        <v>10.840000000000146</v>
      </c>
      <c r="AP14" s="258">
        <f>'11'!G124</f>
        <v>295.88000000000466</v>
      </c>
      <c r="AQ14" s="261">
        <f>'11'!G35</f>
        <v>0.30000000004656613</v>
      </c>
      <c r="AR14" s="19">
        <f>'11'!G37</f>
        <v>1589.75</v>
      </c>
      <c r="AS14" s="19">
        <f>'11'!G38</f>
        <v>1661.7900000000081</v>
      </c>
      <c r="AT14" s="19">
        <f>'11'!G39</f>
        <v>3609.6699999999837</v>
      </c>
      <c r="AU14" s="19">
        <f>'11'!G40</f>
        <v>272.44000000000051</v>
      </c>
      <c r="AV14" s="19">
        <f>'11'!G41</f>
        <v>1864.9099999999744</v>
      </c>
      <c r="AW14" s="19">
        <f>'11'!G42</f>
        <v>8.000000000174623E-2</v>
      </c>
      <c r="AX14" s="19">
        <f>'11'!G43</f>
        <v>2942.3999999999069</v>
      </c>
      <c r="AY14" s="23">
        <f>'11'!G44</f>
        <v>0</v>
      </c>
      <c r="AZ14" s="262">
        <f>'11'!G36</f>
        <v>1013.2099999999991</v>
      </c>
      <c r="BA14" s="261">
        <f>'11'!G49</f>
        <v>2955.7299999999814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5258.9200000000128</v>
      </c>
      <c r="BG14" s="19">
        <f>'11'!G56</f>
        <v>10.150000000023283</v>
      </c>
      <c r="BH14" s="19">
        <f>'11'!G57</f>
        <v>0</v>
      </c>
      <c r="BI14" s="262">
        <f>'11'!G50</f>
        <v>1216.5500000000466</v>
      </c>
      <c r="BJ14" s="370">
        <f t="shared" si="12"/>
        <v>7134.0600000000122</v>
      </c>
      <c r="BK14" s="370">
        <f>'11'!G84</f>
        <v>784</v>
      </c>
      <c r="BL14" s="23">
        <f t="shared" si="13"/>
        <v>57.085007120026646</v>
      </c>
      <c r="BM14" s="23">
        <f t="shared" si="14"/>
        <v>15.809306801542048</v>
      </c>
      <c r="BN14" s="24">
        <f t="shared" si="15"/>
        <v>7.2789845978772999E-2</v>
      </c>
      <c r="BO14" s="25">
        <f t="shared" si="16"/>
        <v>283669.45999999554</v>
      </c>
      <c r="BP14" s="213">
        <f t="shared" si="17"/>
        <v>10860.459999999919</v>
      </c>
      <c r="BQ14">
        <f t="shared" si="18"/>
        <v>1.1764439533774791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0.47</v>
      </c>
      <c r="G15" s="19">
        <f>'12'!G8</f>
        <v>21239.899999999994</v>
      </c>
      <c r="H15" s="19">
        <f>'12'!G7</f>
        <v>21127.51999999999</v>
      </c>
      <c r="I15" s="19">
        <f>'12'!G8</f>
        <v>21239.899999999994</v>
      </c>
      <c r="J15" s="19">
        <v>9</v>
      </c>
      <c r="K15" s="242">
        <f t="shared" si="3"/>
        <v>191159.09999999995</v>
      </c>
      <c r="L15" s="238">
        <f t="shared" si="4"/>
        <v>105.14801980198017</v>
      </c>
      <c r="M15" s="19">
        <f>'12'!G15</f>
        <v>914.79000000003725</v>
      </c>
      <c r="N15" s="19">
        <v>53</v>
      </c>
      <c r="O15" s="234">
        <f t="shared" si="5"/>
        <v>48483.870000001974</v>
      </c>
      <c r="P15" s="19">
        <f>'12'!G20</f>
        <v>186</v>
      </c>
      <c r="Q15" s="19">
        <v>108</v>
      </c>
      <c r="R15" s="239">
        <f t="shared" si="0"/>
        <v>20088</v>
      </c>
      <c r="S15" s="240">
        <f t="shared" si="1"/>
        <v>195.91320834211081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91</v>
      </c>
      <c r="X15" s="22">
        <f>'12'!G97</f>
        <v>22</v>
      </c>
      <c r="Y15" s="22">
        <f>'12'!G98</f>
        <v>21</v>
      </c>
      <c r="Z15" s="22">
        <f t="shared" si="7"/>
        <v>134</v>
      </c>
      <c r="AA15" s="19">
        <f>'12'!G133</f>
        <v>0</v>
      </c>
      <c r="AB15" s="19">
        <f>'12'!G134</f>
        <v>4.5699999999999932</v>
      </c>
      <c r="AC15" s="19">
        <f>'12'!G135</f>
        <v>23.880000000004657</v>
      </c>
      <c r="AD15" s="19">
        <f>'12'!G136</f>
        <v>0</v>
      </c>
      <c r="AE15" s="19">
        <f t="shared" si="8"/>
        <v>28.45000000000465</v>
      </c>
      <c r="AF15" s="23">
        <f t="shared" si="2"/>
        <v>6204.239999999998</v>
      </c>
      <c r="AG15" s="23">
        <f t="shared" si="9"/>
        <v>218.07521968361982</v>
      </c>
      <c r="AH15" s="19">
        <f>'12'!G137</f>
        <v>8.4800000000032014</v>
      </c>
      <c r="AI15" s="19">
        <f>'12'!G138</f>
        <v>0</v>
      </c>
      <c r="AJ15" s="19">
        <f>'12'!G139</f>
        <v>0</v>
      </c>
      <c r="AK15" s="19">
        <f t="shared" si="10"/>
        <v>8.4800000000032014</v>
      </c>
      <c r="AL15" s="19">
        <f>'12'!G140</f>
        <v>6.4699999999997999</v>
      </c>
      <c r="AM15" s="19">
        <f>'12'!G141</f>
        <v>3.2399999999997817</v>
      </c>
      <c r="AN15" s="19"/>
      <c r="AO15" s="19">
        <f t="shared" si="11"/>
        <v>9.7099999999995816</v>
      </c>
      <c r="AP15" s="258">
        <f>'12'!G124</f>
        <v>267.13000000000466</v>
      </c>
      <c r="AQ15" s="261">
        <f>'12'!G35</f>
        <v>0</v>
      </c>
      <c r="AR15" s="19">
        <f>'12'!G37</f>
        <v>1595.1199999999953</v>
      </c>
      <c r="AS15" s="19">
        <f>'12'!G38</f>
        <v>1595.1999999999825</v>
      </c>
      <c r="AT15" s="19">
        <f>'12'!G39</f>
        <v>3711.3300000000163</v>
      </c>
      <c r="AU15" s="19">
        <f>'12'!G40</f>
        <v>475.56999999999971</v>
      </c>
      <c r="AV15" s="19">
        <f>'12'!G41</f>
        <v>0</v>
      </c>
      <c r="AW15" s="19">
        <f>'12'!G42</f>
        <v>810.5199999999968</v>
      </c>
      <c r="AX15" s="19">
        <f>'12'!G43</f>
        <v>2563.2000000001863</v>
      </c>
      <c r="AY15" s="23">
        <f>'12'!G44</f>
        <v>0</v>
      </c>
      <c r="AZ15" s="262">
        <f>'12'!G36</f>
        <v>695.77000000000044</v>
      </c>
      <c r="BA15" s="261">
        <f>'12'!G49</f>
        <v>3001.4000000000233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5384.0799999999872</v>
      </c>
      <c r="BG15" s="19">
        <f>'12'!G56</f>
        <v>9.6400000000139698</v>
      </c>
      <c r="BH15" s="19">
        <f>'12'!G57</f>
        <v>0</v>
      </c>
      <c r="BI15" s="262">
        <f>'12'!G50</f>
        <v>1103.5599999999395</v>
      </c>
      <c r="BJ15" s="370">
        <f t="shared" si="12"/>
        <v>6204.239999999998</v>
      </c>
      <c r="BK15" s="370">
        <f>'12'!G84</f>
        <v>767</v>
      </c>
      <c r="BL15" s="23">
        <f t="shared" si="13"/>
        <v>55.409112095632324</v>
      </c>
      <c r="BM15" s="23">
        <f t="shared" si="14"/>
        <v>17.475317680403354</v>
      </c>
      <c r="BN15" s="24">
        <f t="shared" si="15"/>
        <v>7.51039317510903E-2</v>
      </c>
      <c r="BO15" s="25">
        <f t="shared" si="16"/>
        <v>259730.97000000192</v>
      </c>
      <c r="BP15" s="213">
        <f t="shared" si="17"/>
        <v>9534.4400000001842</v>
      </c>
      <c r="BQ15">
        <f t="shared" si="18"/>
        <v>1.1968917901077862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0.92</v>
      </c>
      <c r="F16" s="256">
        <f>'13'!D2</f>
        <v>0.32</v>
      </c>
      <c r="G16" s="19">
        <f>'13'!G8</f>
        <v>21611.399999999994</v>
      </c>
      <c r="H16" s="19">
        <f>'13'!G7</f>
        <v>21500</v>
      </c>
      <c r="I16" s="19">
        <f>'13'!G8</f>
        <v>21611.399999999994</v>
      </c>
      <c r="J16" s="19">
        <v>9</v>
      </c>
      <c r="K16" s="242">
        <f t="shared" si="3"/>
        <v>194502.59999999995</v>
      </c>
      <c r="L16" s="238">
        <f t="shared" si="4"/>
        <v>106.98712871287125</v>
      </c>
      <c r="M16" s="19">
        <f>'13'!G15</f>
        <v>943.80000000004657</v>
      </c>
      <c r="N16" s="19">
        <v>53</v>
      </c>
      <c r="O16" s="234">
        <f t="shared" si="5"/>
        <v>50021.400000002468</v>
      </c>
      <c r="P16" s="19">
        <f>'13'!G20</f>
        <v>202</v>
      </c>
      <c r="Q16" s="19">
        <v>108</v>
      </c>
      <c r="R16" s="239">
        <f t="shared" si="0"/>
        <v>21816</v>
      </c>
      <c r="S16" s="240">
        <f t="shared" si="1"/>
        <v>312.5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101</v>
      </c>
      <c r="X16" s="22">
        <f>'13'!G97</f>
        <v>15</v>
      </c>
      <c r="Y16" s="22">
        <f>'13'!G98</f>
        <v>24</v>
      </c>
      <c r="Z16" s="22">
        <f t="shared" si="7"/>
        <v>140</v>
      </c>
      <c r="AA16" s="19">
        <f>'13'!G133</f>
        <v>0</v>
      </c>
      <c r="AB16" s="19">
        <f>'13'!G134</f>
        <v>12.430000000000007</v>
      </c>
      <c r="AC16" s="19">
        <f>'13'!G135</f>
        <v>16.69999999999709</v>
      </c>
      <c r="AD16" s="19">
        <f>'13'!G136</f>
        <v>-5.0000000002910383E-2</v>
      </c>
      <c r="AE16" s="19">
        <f t="shared" si="8"/>
        <v>29.079999999994186</v>
      </c>
      <c r="AF16" s="23">
        <f t="shared" si="2"/>
        <v>6191.8099999999613</v>
      </c>
      <c r="AG16" s="23">
        <f t="shared" si="9"/>
        <v>212.92331499316367</v>
      </c>
      <c r="AH16" s="19">
        <f>'13'!G137</f>
        <v>10.44999999999709</v>
      </c>
      <c r="AI16" s="19">
        <f>'13'!G138</f>
        <v>0</v>
      </c>
      <c r="AJ16" s="19">
        <f>'13'!G139</f>
        <v>0</v>
      </c>
      <c r="AK16" s="19">
        <f t="shared" si="10"/>
        <v>10.44999999999709</v>
      </c>
      <c r="AL16" s="19">
        <f>'13'!G140</f>
        <v>0</v>
      </c>
      <c r="AM16" s="19">
        <f>'13'!G141</f>
        <v>8.8400000000001455</v>
      </c>
      <c r="AN16" s="19"/>
      <c r="AO16" s="19">
        <f t="shared" si="11"/>
        <v>8.8400000000001455</v>
      </c>
      <c r="AP16" s="258">
        <f>'13'!G124</f>
        <v>254.98999999999069</v>
      </c>
      <c r="AQ16" s="261">
        <f>'13'!G35</f>
        <v>-0.30000000004656613</v>
      </c>
      <c r="AR16" s="19">
        <f>'13'!G37</f>
        <v>1577.1300000000047</v>
      </c>
      <c r="AS16" s="19">
        <f>'13'!G38</f>
        <v>1632.0100000000093</v>
      </c>
      <c r="AT16" s="19">
        <f>'13'!G39</f>
        <v>3726</v>
      </c>
      <c r="AU16" s="19">
        <f>'13'!G40</f>
        <v>350.98999999999978</v>
      </c>
      <c r="AV16" s="19">
        <f>'13'!G41</f>
        <v>0</v>
      </c>
      <c r="AW16" s="19">
        <f>'13'!G42</f>
        <v>2547.5999999999985</v>
      </c>
      <c r="AX16" s="19">
        <f>'13'!G43</f>
        <v>2552.3999999999069</v>
      </c>
      <c r="AY16" s="23">
        <f>'13'!G44</f>
        <v>0</v>
      </c>
      <c r="AZ16" s="262">
        <f>'13'!G36</f>
        <v>969.02000000000044</v>
      </c>
      <c r="BA16" s="261">
        <f>'13'!G49</f>
        <v>2899.8699999999953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3635</v>
      </c>
      <c r="BG16" s="19">
        <f>'13'!G56</f>
        <v>9.2099999999627471</v>
      </c>
      <c r="BH16" s="19">
        <f>'13'!G57</f>
        <v>0.32999999999992724</v>
      </c>
      <c r="BI16" s="262">
        <f>'13'!G50</f>
        <v>1162.890000000014</v>
      </c>
      <c r="BJ16" s="370">
        <f t="shared" si="12"/>
        <v>6191.8099999999613</v>
      </c>
      <c r="BK16" s="370">
        <f>'13'!G84</f>
        <v>787</v>
      </c>
      <c r="BL16" s="23">
        <f t="shared" si="13"/>
        <v>53.879480274298842</v>
      </c>
      <c r="BM16" s="23">
        <f t="shared" si="14"/>
        <v>17.240900635775567</v>
      </c>
      <c r="BN16" s="24">
        <f t="shared" si="15"/>
        <v>7.5516162765948053E-2</v>
      </c>
      <c r="BO16" s="25">
        <f t="shared" si="16"/>
        <v>266340.00000000244</v>
      </c>
      <c r="BP16" s="213">
        <f t="shared" si="17"/>
        <v>9531.5399999998681</v>
      </c>
      <c r="BQ16">
        <f t="shared" si="18"/>
        <v>1.1706057182159775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22172.24000000002</v>
      </c>
      <c r="H17" s="19">
        <f>'14'!G7</f>
        <v>22050.430000000022</v>
      </c>
      <c r="I17" s="19">
        <f>'14'!G8</f>
        <v>22172.24000000002</v>
      </c>
      <c r="J17" s="19">
        <v>9</v>
      </c>
      <c r="K17" s="242">
        <f t="shared" si="3"/>
        <v>199550.16000000018</v>
      </c>
      <c r="L17" s="238">
        <f t="shared" si="4"/>
        <v>109.76356435643574</v>
      </c>
      <c r="M17" s="19">
        <f>'14'!G15</f>
        <v>797.81000000005588</v>
      </c>
      <c r="N17" s="19">
        <v>53</v>
      </c>
      <c r="O17" s="234">
        <f t="shared" si="5"/>
        <v>42283.930000002962</v>
      </c>
      <c r="P17" s="19">
        <f>'14'!G20</f>
        <v>205</v>
      </c>
      <c r="Q17" s="19">
        <v>108</v>
      </c>
      <c r="R17" s="239">
        <f t="shared" si="0"/>
        <v>22140</v>
      </c>
      <c r="S17" s="240">
        <f t="shared" si="1"/>
        <v>405.94059405940595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74</v>
      </c>
      <c r="X17" s="22">
        <f>'14'!G97</f>
        <v>24</v>
      </c>
      <c r="Y17" s="22">
        <f>'14'!G98</f>
        <v>22</v>
      </c>
      <c r="Z17" s="22">
        <f>W17+X17+Y17</f>
        <v>120</v>
      </c>
      <c r="AA17" s="19">
        <f>'14'!G133</f>
        <v>0</v>
      </c>
      <c r="AB17" s="19">
        <f>'14'!G134</f>
        <v>24.29000000000002</v>
      </c>
      <c r="AC17" s="19">
        <f>'14'!G135</f>
        <v>7.4599999999991269</v>
      </c>
      <c r="AD17" s="19">
        <f>'14'!G136</f>
        <v>0</v>
      </c>
      <c r="AE17" s="19">
        <f t="shared" si="8"/>
        <v>31.749999999999147</v>
      </c>
      <c r="AF17" s="23">
        <f t="shared" si="2"/>
        <v>6122.539999999979</v>
      </c>
      <c r="AG17" s="23">
        <f t="shared" si="9"/>
        <v>192.83590551181555</v>
      </c>
      <c r="AH17" s="19">
        <f>'14'!G137</f>
        <v>5.4000000000014552</v>
      </c>
      <c r="AI17" s="19">
        <f>'14'!G138</f>
        <v>0</v>
      </c>
      <c r="AJ17" s="19">
        <f>'14'!G139</f>
        <v>2.3100000000122236</v>
      </c>
      <c r="AK17" s="19">
        <f t="shared" si="10"/>
        <v>7.7100000000136788</v>
      </c>
      <c r="AL17" s="19">
        <f>'14'!G140</f>
        <v>0</v>
      </c>
      <c r="AM17" s="19">
        <f>'14'!G141</f>
        <v>8.7600000000002183</v>
      </c>
      <c r="AN17" s="19"/>
      <c r="AO17" s="19">
        <f t="shared" si="11"/>
        <v>8.7600000000002183</v>
      </c>
      <c r="AP17" s="258">
        <f>'14'!G124</f>
        <v>251.73999999999069</v>
      </c>
      <c r="AQ17" s="261">
        <f>'14'!G35</f>
        <v>0.30000000004656613</v>
      </c>
      <c r="AR17" s="19">
        <f>'14'!G37</f>
        <v>1649.3500000000058</v>
      </c>
      <c r="AS17" s="19">
        <f>'14'!G38</f>
        <v>1585.7900000000081</v>
      </c>
      <c r="AT17" s="19">
        <f>'14'!G39</f>
        <v>3716.8699999999953</v>
      </c>
      <c r="AU17" s="19">
        <f>'14'!G40</f>
        <v>374.05999999999949</v>
      </c>
      <c r="AV17" s="19">
        <f>'14'!G41</f>
        <v>0</v>
      </c>
      <c r="AW17" s="19">
        <f>'14'!G42</f>
        <v>4837.9100000000035</v>
      </c>
      <c r="AX17" s="19">
        <f>'14'!G43</f>
        <v>2640.3000000000466</v>
      </c>
      <c r="AY17" s="23">
        <f>'14'!G44</f>
        <v>0</v>
      </c>
      <c r="AZ17" s="262">
        <f>'14'!G36</f>
        <v>950.38000000000102</v>
      </c>
      <c r="BA17" s="261">
        <f>'14'!G49</f>
        <v>2878.1699999999837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1274.2799999999988</v>
      </c>
      <c r="BG17" s="19">
        <f>'14'!G56</f>
        <v>10.349999999976717</v>
      </c>
      <c r="BH17" s="19">
        <f>'14'!G57</f>
        <v>0</v>
      </c>
      <c r="BI17" s="262">
        <f>'14'!G50</f>
        <v>1781.5699999999488</v>
      </c>
      <c r="BJ17" s="370">
        <f t="shared" si="12"/>
        <v>6122.539999999979</v>
      </c>
      <c r="BK17" s="370">
        <f>'14'!G84</f>
        <v>765</v>
      </c>
      <c r="BL17" s="23">
        <f t="shared" si="13"/>
        <v>52.503986967487478</v>
      </c>
      <c r="BM17" s="23">
        <f t="shared" si="14"/>
        <v>16.761770574375966</v>
      </c>
      <c r="BN17" s="24">
        <f t="shared" si="15"/>
        <v>7.1521415968797325E-2</v>
      </c>
      <c r="BO17" s="25">
        <f t="shared" si="16"/>
        <v>263974.09000000311</v>
      </c>
      <c r="BP17" s="213">
        <f t="shared" si="17"/>
        <v>9527.8400000000256</v>
      </c>
      <c r="BQ17">
        <f t="shared" si="18"/>
        <v>1.0717480314960945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0.93</v>
      </c>
      <c r="F18" s="256">
        <f>'15'!D2</f>
        <v>0.47020000000000001</v>
      </c>
      <c r="G18" s="19">
        <f>'15'!G8</f>
        <v>22546.299999999988</v>
      </c>
      <c r="H18" s="19">
        <f>'15'!G7</f>
        <v>22451.940000000002</v>
      </c>
      <c r="I18" s="19">
        <f>'15'!G8</f>
        <v>22546.299999999988</v>
      </c>
      <c r="J18" s="19">
        <v>9</v>
      </c>
      <c r="K18" s="242">
        <f t="shared" si="3"/>
        <v>202916.6999999999</v>
      </c>
      <c r="L18" s="238">
        <f t="shared" si="4"/>
        <v>111.61534653465341</v>
      </c>
      <c r="M18" s="19">
        <f>'15'!G15</f>
        <v>947.81299999984913</v>
      </c>
      <c r="N18" s="19">
        <v>53</v>
      </c>
      <c r="O18" s="234">
        <f t="shared" si="5"/>
        <v>50234.088999992004</v>
      </c>
      <c r="P18" s="19">
        <f>'15'!G20</f>
        <v>184</v>
      </c>
      <c r="Q18" s="19">
        <v>108</v>
      </c>
      <c r="R18" s="239">
        <f t="shared" si="0"/>
        <v>19872</v>
      </c>
      <c r="S18" s="240">
        <f t="shared" si="1"/>
        <v>193.72417888322224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78</v>
      </c>
      <c r="X18" s="22">
        <f>'15'!G97</f>
        <v>21</v>
      </c>
      <c r="Y18" s="22">
        <f>'15'!G98</f>
        <v>26</v>
      </c>
      <c r="Z18" s="22">
        <f t="shared" si="7"/>
        <v>125</v>
      </c>
      <c r="AA18" s="19">
        <f>'15'!G133</f>
        <v>6.5499999999956344</v>
      </c>
      <c r="AB18" s="19">
        <f>'15'!G134</f>
        <v>23.949999999999989</v>
      </c>
      <c r="AC18" s="19">
        <f>'15'!G135</f>
        <v>0</v>
      </c>
      <c r="AD18" s="19">
        <f>'15'!G136</f>
        <v>0</v>
      </c>
      <c r="AE18" s="19">
        <f t="shared" si="8"/>
        <v>30.499999999995623</v>
      </c>
      <c r="AF18" s="23">
        <f t="shared" si="2"/>
        <v>6384.1700000000274</v>
      </c>
      <c r="AG18" s="23">
        <f t="shared" si="9"/>
        <v>209.31704918035879</v>
      </c>
      <c r="AH18" s="19">
        <f>'15'!G137</f>
        <v>9.5900000000001455</v>
      </c>
      <c r="AI18" s="19">
        <f>'15'!G138</f>
        <v>0</v>
      </c>
      <c r="AJ18" s="19">
        <f>'15'!G139</f>
        <v>0</v>
      </c>
      <c r="AK18" s="19">
        <f t="shared" si="10"/>
        <v>9.5900000000001455</v>
      </c>
      <c r="AL18" s="19">
        <f>'15'!G140</f>
        <v>0</v>
      </c>
      <c r="AM18" s="19">
        <f>'15'!G141</f>
        <v>9</v>
      </c>
      <c r="AN18" s="19"/>
      <c r="AO18" s="19">
        <f t="shared" si="11"/>
        <v>9</v>
      </c>
      <c r="AP18" s="258">
        <f>'15'!G124</f>
        <v>253.43000000005122</v>
      </c>
      <c r="AQ18" s="261">
        <f>'15'!G35</f>
        <v>0</v>
      </c>
      <c r="AR18" s="19">
        <f>'15'!G37</f>
        <v>1595.3800000000047</v>
      </c>
      <c r="AS18" s="19">
        <f>'15'!G38</f>
        <v>1645.4400000000023</v>
      </c>
      <c r="AT18" s="19">
        <f>'15'!G39</f>
        <v>3733.4000000000233</v>
      </c>
      <c r="AU18" s="19">
        <f>'15'!G40</f>
        <v>477.64999999999964</v>
      </c>
      <c r="AV18" s="19">
        <f>'15'!G41</f>
        <v>1438.4400000000023</v>
      </c>
      <c r="AW18" s="19">
        <f>'15'!G42</f>
        <v>4934.3300000000017</v>
      </c>
      <c r="AX18" s="19">
        <f>'15'!G43</f>
        <v>2774.3000000000466</v>
      </c>
      <c r="AY18" s="23">
        <f>'15'!G44</f>
        <v>0</v>
      </c>
      <c r="AZ18" s="262">
        <f>'15'!G36</f>
        <v>1106.869999999999</v>
      </c>
      <c r="BA18" s="261">
        <f>'15'!G49</f>
        <v>2947.5200000000186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0</v>
      </c>
      <c r="BG18" s="19">
        <f>'15'!G56</f>
        <v>11.400000000023283</v>
      </c>
      <c r="BH18" s="19">
        <f>'15'!G57</f>
        <v>0</v>
      </c>
      <c r="BI18" s="262">
        <f>'15'!G50</f>
        <v>1449.7000000000698</v>
      </c>
      <c r="BJ18" s="370">
        <f t="shared" si="12"/>
        <v>6384.1700000000274</v>
      </c>
      <c r="BK18" s="370">
        <f>'15'!G84</f>
        <v>743</v>
      </c>
      <c r="BL18" s="23">
        <f t="shared" si="13"/>
        <v>53.693909865477259</v>
      </c>
      <c r="BM18" s="23">
        <f t="shared" si="14"/>
        <v>16.560633008520245</v>
      </c>
      <c r="BN18" s="24">
        <f t="shared" si="15"/>
        <v>7.2977384315832505E-2</v>
      </c>
      <c r="BO18" s="25">
        <f t="shared" si="16"/>
        <v>273022.7889999919</v>
      </c>
      <c r="BP18" s="213">
        <f t="shared" si="17"/>
        <v>9901.4700000000739</v>
      </c>
      <c r="BQ18">
        <f t="shared" si="18"/>
        <v>1.1594227166278097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22174.580000000016</v>
      </c>
      <c r="H19" s="19">
        <f>'16'!G7</f>
        <v>22073.339999999967</v>
      </c>
      <c r="I19" s="19">
        <f>'16'!G8</f>
        <v>22174.580000000016</v>
      </c>
      <c r="J19" s="19">
        <v>9</v>
      </c>
      <c r="K19" s="242">
        <f t="shared" si="3"/>
        <v>199571.22000000015</v>
      </c>
      <c r="L19" s="238">
        <f t="shared" si="4"/>
        <v>109.77514851485157</v>
      </c>
      <c r="M19" s="19">
        <f>'16'!G15</f>
        <v>837.25699999998324</v>
      </c>
      <c r="N19" s="19">
        <v>53</v>
      </c>
      <c r="O19" s="234">
        <f t="shared" si="5"/>
        <v>44374.620999999112</v>
      </c>
      <c r="P19" s="19">
        <f>'16'!G20</f>
        <v>170</v>
      </c>
      <c r="Q19" s="19">
        <v>108</v>
      </c>
      <c r="R19" s="239">
        <f t="shared" si="0"/>
        <v>18360</v>
      </c>
      <c r="S19" s="240">
        <f t="shared" si="1"/>
        <v>161.84310738766183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96</v>
      </c>
      <c r="X19" s="22">
        <f>'16'!G97</f>
        <v>26</v>
      </c>
      <c r="Y19" s="22">
        <f>'16'!G98</f>
        <v>25</v>
      </c>
      <c r="Z19" s="22">
        <f t="shared" si="7"/>
        <v>147</v>
      </c>
      <c r="AA19" s="19">
        <f>'16'!G133</f>
        <v>0</v>
      </c>
      <c r="AB19" s="19">
        <f>'16'!G134</f>
        <v>19.240000000000009</v>
      </c>
      <c r="AC19" s="19">
        <f>'16'!G135</f>
        <v>9.5400000000008731</v>
      </c>
      <c r="AD19" s="19">
        <f>'16'!G136</f>
        <v>0</v>
      </c>
      <c r="AE19" s="19">
        <f t="shared" si="8"/>
        <v>28.780000000000882</v>
      </c>
      <c r="AF19" s="23">
        <f t="shared" si="2"/>
        <v>6367.0100000000384</v>
      </c>
      <c r="AG19" s="23">
        <f t="shared" si="9"/>
        <v>221.23036831132185</v>
      </c>
      <c r="AH19" s="19">
        <f>'16'!G137</f>
        <v>8.0200000000004366</v>
      </c>
      <c r="AI19" s="19">
        <f>'16'!G138</f>
        <v>0</v>
      </c>
      <c r="AJ19" s="19">
        <f>'16'!G139</f>
        <v>0</v>
      </c>
      <c r="AK19" s="19">
        <f t="shared" si="10"/>
        <v>8.0200000000004366</v>
      </c>
      <c r="AL19" s="19">
        <f>'16'!G140</f>
        <v>0</v>
      </c>
      <c r="AM19" s="19">
        <f>'16'!G141</f>
        <v>9.0500000000001819</v>
      </c>
      <c r="AN19" s="19"/>
      <c r="AO19" s="19">
        <f t="shared" si="11"/>
        <v>9.0500000000001819</v>
      </c>
      <c r="AP19" s="258">
        <f>'16'!G124</f>
        <v>265.3399999999674</v>
      </c>
      <c r="AQ19" s="261">
        <f>'16'!G35</f>
        <v>0</v>
      </c>
      <c r="AR19" s="19">
        <f>'16'!G37</f>
        <v>1642.1699999999837</v>
      </c>
      <c r="AS19" s="19">
        <f>'16'!G38</f>
        <v>1628.3399999999965</v>
      </c>
      <c r="AT19" s="19">
        <f>'16'!G39</f>
        <v>3776.6300000000047</v>
      </c>
      <c r="AU19" s="19">
        <f>'16'!G40</f>
        <v>269.03000000000065</v>
      </c>
      <c r="AV19" s="19">
        <f>'16'!G41</f>
        <v>0</v>
      </c>
      <c r="AW19" s="19">
        <f>'16'!G42</f>
        <v>4201.3399999999965</v>
      </c>
      <c r="AX19" s="19">
        <f>'16'!G43</f>
        <v>2623.8999999999069</v>
      </c>
      <c r="AY19" s="23">
        <f>'16'!G44</f>
        <v>0</v>
      </c>
      <c r="AZ19" s="262">
        <f>'16'!G36</f>
        <v>1003.5800000000017</v>
      </c>
      <c r="BA19" s="261">
        <f>'16'!G49</f>
        <v>3155.4799999999814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2155.5100000000093</v>
      </c>
      <c r="BG19" s="19">
        <f>'16'!G56</f>
        <v>10.160000000032596</v>
      </c>
      <c r="BH19" s="19">
        <f>'16'!G57</f>
        <v>0</v>
      </c>
      <c r="BI19" s="262">
        <f>'16'!G50</f>
        <v>1102.1600000000326</v>
      </c>
      <c r="BJ19" s="370">
        <f t="shared" si="12"/>
        <v>6367.0100000000384</v>
      </c>
      <c r="BK19" s="370">
        <f>'16'!G84</f>
        <v>734</v>
      </c>
      <c r="BL19" s="23">
        <f t="shared" si="13"/>
        <v>54.77618967303966</v>
      </c>
      <c r="BM19" s="23">
        <f t="shared" si="14"/>
        <v>17.02949954407266</v>
      </c>
      <c r="BN19" s="24">
        <f t="shared" si="15"/>
        <v>7.3435889202859497E-2</v>
      </c>
      <c r="BO19" s="25">
        <f t="shared" si="16"/>
        <v>262305.84099999926</v>
      </c>
      <c r="BP19" s="213">
        <f t="shared" si="17"/>
        <v>9724.9099999999453</v>
      </c>
      <c r="BQ19">
        <f t="shared" si="18"/>
        <v>1.2068040802143909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24914.739999999991</v>
      </c>
      <c r="H20" s="19">
        <f>'17'!G7</f>
        <v>24778.48000000004</v>
      </c>
      <c r="I20" s="19">
        <f>'17'!G8</f>
        <v>24914.739999999991</v>
      </c>
      <c r="J20" s="19">
        <v>9</v>
      </c>
      <c r="K20" s="242">
        <f t="shared" si="3"/>
        <v>224232.65999999992</v>
      </c>
      <c r="L20" s="238">
        <f t="shared" si="4"/>
        <v>123.34029702970292</v>
      </c>
      <c r="M20" s="19">
        <f>'17'!G15</f>
        <v>981.66100000008009</v>
      </c>
      <c r="N20" s="19">
        <v>53</v>
      </c>
      <c r="O20" s="234">
        <f t="shared" si="5"/>
        <v>52028.033000004245</v>
      </c>
      <c r="P20" s="19">
        <f>'17'!G20</f>
        <v>201</v>
      </c>
      <c r="Q20" s="19">
        <v>108</v>
      </c>
      <c r="R20" s="239">
        <f t="shared" si="0"/>
        <v>21708</v>
      </c>
      <c r="S20" s="240">
        <f t="shared" si="1"/>
        <v>165.84158415841586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89</v>
      </c>
      <c r="X20" s="22">
        <f>'17'!G97</f>
        <v>30</v>
      </c>
      <c r="Y20" s="22">
        <f>'17'!G98</f>
        <v>30</v>
      </c>
      <c r="Z20" s="22">
        <f t="shared" si="7"/>
        <v>149</v>
      </c>
      <c r="AA20" s="19">
        <f>'17'!G133</f>
        <v>0</v>
      </c>
      <c r="AB20" s="19">
        <f>'17'!G134</f>
        <v>12.649999999999977</v>
      </c>
      <c r="AC20" s="19">
        <f>'17'!G135</f>
        <v>24.089999999996508</v>
      </c>
      <c r="AD20" s="19">
        <f>'17'!G136</f>
        <v>0</v>
      </c>
      <c r="AE20" s="19">
        <f t="shared" si="8"/>
        <v>36.739999999996485</v>
      </c>
      <c r="AF20" s="23">
        <f t="shared" si="2"/>
        <v>8133.399999999936</v>
      </c>
      <c r="AG20" s="23">
        <f t="shared" si="9"/>
        <v>221.37724550900148</v>
      </c>
      <c r="AH20" s="19">
        <f>'17'!G137</f>
        <v>9.1100000000005821</v>
      </c>
      <c r="AI20" s="19">
        <f>'17'!G138</f>
        <v>0</v>
      </c>
      <c r="AJ20" s="19">
        <f>'17'!G139</f>
        <v>0</v>
      </c>
      <c r="AK20" s="19">
        <f t="shared" si="10"/>
        <v>9.1100000000005821</v>
      </c>
      <c r="AL20" s="19">
        <f>'17'!G140</f>
        <v>0</v>
      </c>
      <c r="AM20" s="19">
        <f>'17'!G141</f>
        <v>10.059999999999491</v>
      </c>
      <c r="AN20" s="19"/>
      <c r="AO20" s="19">
        <f t="shared" si="11"/>
        <v>10.059999999999491</v>
      </c>
      <c r="AP20" s="258">
        <f>'17'!G124</f>
        <v>289.02000000001863</v>
      </c>
      <c r="AQ20" s="261">
        <f>'17'!G35</f>
        <v>0</v>
      </c>
      <c r="AR20" s="19">
        <f>'17'!G37</f>
        <v>1656.5500000000175</v>
      </c>
      <c r="AS20" s="19">
        <f>'17'!G38</f>
        <v>1759.9199999999837</v>
      </c>
      <c r="AT20" s="19">
        <f>'17'!G39</f>
        <v>3718.5299999999697</v>
      </c>
      <c r="AU20" s="19">
        <f>'17'!G40</f>
        <v>419.45000000000073</v>
      </c>
      <c r="AV20" s="19">
        <f>'17'!G41</f>
        <v>0</v>
      </c>
      <c r="AW20" s="19">
        <f>'17'!G42</f>
        <v>2731.3999999999942</v>
      </c>
      <c r="AX20" s="19">
        <f>'17'!G43</f>
        <v>3097.3999999999069</v>
      </c>
      <c r="AY20" s="23">
        <f>'17'!G44</f>
        <v>0</v>
      </c>
      <c r="AZ20" s="262">
        <f>'17'!G36</f>
        <v>1131.8199999999997</v>
      </c>
      <c r="BA20" s="261">
        <f>'17'!G49</f>
        <v>3270.4200000000419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5391.5599999999977</v>
      </c>
      <c r="BG20" s="19">
        <f>'17'!G56</f>
        <v>10.439999999944121</v>
      </c>
      <c r="BH20" s="19">
        <f>'17'!G57</f>
        <v>0</v>
      </c>
      <c r="BI20" s="262">
        <f>'17'!G50</f>
        <v>1300.4399999999441</v>
      </c>
      <c r="BJ20" s="370">
        <f t="shared" si="12"/>
        <v>8133.399999999936</v>
      </c>
      <c r="BK20" s="370">
        <f>'17'!G84</f>
        <v>678</v>
      </c>
      <c r="BL20" s="23">
        <f t="shared" si="13"/>
        <v>58.203376796225406</v>
      </c>
      <c r="BM20" s="23">
        <f t="shared" si="14"/>
        <v>14.926625764507019</v>
      </c>
      <c r="BN20" s="24">
        <f t="shared" si="15"/>
        <v>7.0637702821702508E-2</v>
      </c>
      <c r="BO20" s="25">
        <f t="shared" si="16"/>
        <v>297968.69300000416</v>
      </c>
      <c r="BP20" s="213">
        <f t="shared" si="17"/>
        <v>11908.799999999843</v>
      </c>
      <c r="BQ20">
        <f t="shared" si="18"/>
        <v>1.157632786375397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25951.080000000016</v>
      </c>
      <c r="H21" s="19">
        <f>'18'!G7</f>
        <v>25838.119999999995</v>
      </c>
      <c r="I21" s="19">
        <f>'18'!G8</f>
        <v>25951.080000000016</v>
      </c>
      <c r="J21" s="19">
        <v>9</v>
      </c>
      <c r="K21" s="242">
        <f t="shared" si="3"/>
        <v>233559.72000000015</v>
      </c>
      <c r="L21" s="238">
        <f t="shared" si="4"/>
        <v>128.470693069307</v>
      </c>
      <c r="M21" s="19">
        <f>'18'!G15</f>
        <v>908.87899999995716</v>
      </c>
      <c r="N21" s="19">
        <v>53</v>
      </c>
      <c r="O21" s="234">
        <f t="shared" si="5"/>
        <v>48170.586999997729</v>
      </c>
      <c r="P21" s="19">
        <f>'18'!G20</f>
        <v>179</v>
      </c>
      <c r="Q21" s="19">
        <v>108</v>
      </c>
      <c r="R21" s="239">
        <f t="shared" si="0"/>
        <v>19332</v>
      </c>
      <c r="S21" s="240">
        <f t="shared" si="1"/>
        <v>164.09974330766406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90</v>
      </c>
      <c r="X21" s="22">
        <f>'18'!G97</f>
        <v>30</v>
      </c>
      <c r="Y21" s="22">
        <f>'18'!G98</f>
        <v>29</v>
      </c>
      <c r="Z21" s="22">
        <f t="shared" si="7"/>
        <v>149</v>
      </c>
      <c r="AA21" s="19">
        <f>'18'!G133</f>
        <v>0</v>
      </c>
      <c r="AB21" s="19">
        <f>'18'!G134</f>
        <v>13.050000000000011</v>
      </c>
      <c r="AC21" s="19">
        <f>'18'!G135</f>
        <v>23.910000000003492</v>
      </c>
      <c r="AD21" s="19">
        <f>'18'!G136</f>
        <v>0</v>
      </c>
      <c r="AE21" s="19">
        <f t="shared" si="8"/>
        <v>36.960000000003504</v>
      </c>
      <c r="AF21" s="23">
        <f t="shared" si="2"/>
        <v>8129.570000000007</v>
      </c>
      <c r="AG21" s="23">
        <f t="shared" si="9"/>
        <v>219.95589826837761</v>
      </c>
      <c r="AH21" s="19">
        <f>'18'!G137</f>
        <v>8.5399999999972351</v>
      </c>
      <c r="AI21" s="19">
        <f>'18'!G138</f>
        <v>0</v>
      </c>
      <c r="AJ21" s="19">
        <f>'18'!G139</f>
        <v>0</v>
      </c>
      <c r="AK21" s="19">
        <f t="shared" si="10"/>
        <v>8.5399999999972351</v>
      </c>
      <c r="AL21" s="19">
        <f>'18'!G140</f>
        <v>0</v>
      </c>
      <c r="AM21" s="19">
        <f>'18'!G141</f>
        <v>10.289999999999964</v>
      </c>
      <c r="AN21" s="19"/>
      <c r="AO21" s="19">
        <f t="shared" si="11"/>
        <v>10.289999999999964</v>
      </c>
      <c r="AP21" s="258">
        <f>'18'!G124</f>
        <v>295.73999999999069</v>
      </c>
      <c r="AQ21" s="261">
        <f>'18'!G35</f>
        <v>0</v>
      </c>
      <c r="AR21" s="19">
        <f>'18'!G37</f>
        <v>1846.5199999999895</v>
      </c>
      <c r="AS21" s="19">
        <f>'18'!G38</f>
        <v>1840.9800000000105</v>
      </c>
      <c r="AT21" s="19">
        <f>'18'!G39</f>
        <v>3751.2399999999907</v>
      </c>
      <c r="AU21" s="19">
        <f>'18'!G40</f>
        <v>682.60999999999876</v>
      </c>
      <c r="AV21" s="19">
        <f>'18'!G41</f>
        <v>0</v>
      </c>
      <c r="AW21" s="19">
        <f>'18'!G42</f>
        <v>2740.7300000000105</v>
      </c>
      <c r="AX21" s="19">
        <f>'18'!G43</f>
        <v>3145.2000000001863</v>
      </c>
      <c r="AY21" s="23">
        <f>'18'!G44</f>
        <v>0</v>
      </c>
      <c r="AZ21" s="262">
        <f>'18'!G36</f>
        <v>1191.6299999999974</v>
      </c>
      <c r="BA21" s="261">
        <f>'18'!G49</f>
        <v>3484.8079999999609</v>
      </c>
      <c r="BB21" s="19">
        <f>'18'!G51</f>
        <v>0</v>
      </c>
      <c r="BC21" s="19">
        <f>'18'!G52</f>
        <v>0</v>
      </c>
      <c r="BD21" s="19">
        <f>'18'!G53</f>
        <v>-0.3999999999650754</v>
      </c>
      <c r="BE21" s="19">
        <f>'18'!G54</f>
        <v>7.999999999992724E-2</v>
      </c>
      <c r="BF21" s="19">
        <f>'18'!G55</f>
        <v>5388.8399999999965</v>
      </c>
      <c r="BG21" s="19">
        <f>'18'!G56</f>
        <v>0</v>
      </c>
      <c r="BH21" s="19">
        <f>'18'!G57</f>
        <v>0</v>
      </c>
      <c r="BI21" s="262">
        <f>'18'!G50</f>
        <v>1712.1999999999534</v>
      </c>
      <c r="BJ21" s="370">
        <f t="shared" si="12"/>
        <v>8129.570000000007</v>
      </c>
      <c r="BK21" s="370">
        <f>'18'!G84</f>
        <v>823</v>
      </c>
      <c r="BL21" s="23">
        <f t="shared" si="13"/>
        <v>56.874619476338339</v>
      </c>
      <c r="BM21" s="23">
        <f t="shared" si="14"/>
        <v>14.453502513190291</v>
      </c>
      <c r="BN21" s="24">
        <f t="shared" si="15"/>
        <v>7.0940400168317055E-2</v>
      </c>
      <c r="BO21" s="25">
        <f t="shared" si="16"/>
        <v>301062.30699999788</v>
      </c>
      <c r="BP21" s="213">
        <f t="shared" si="17"/>
        <v>12097.770000000193</v>
      </c>
      <c r="BQ21">
        <f t="shared" si="18"/>
        <v>1.1690022031538967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</v>
      </c>
      <c r="F22" s="256">
        <f>'19'!D2</f>
        <v>0.62</v>
      </c>
      <c r="G22" s="19">
        <f>'19'!G8</f>
        <v>21717.789999999979</v>
      </c>
      <c r="H22" s="19">
        <f>'19'!G7</f>
        <v>21625.669999999984</v>
      </c>
      <c r="I22" s="19">
        <f>'19'!G8</f>
        <v>21717.789999999979</v>
      </c>
      <c r="J22" s="19">
        <v>9</v>
      </c>
      <c r="K22" s="242">
        <f t="shared" si="3"/>
        <v>195460.10999999981</v>
      </c>
      <c r="L22" s="238">
        <f t="shared" si="4"/>
        <v>107.51381188118802</v>
      </c>
      <c r="M22" s="19">
        <f>'19'!G15</f>
        <v>880.58000000007451</v>
      </c>
      <c r="N22" s="19">
        <v>53</v>
      </c>
      <c r="O22" s="234">
        <f t="shared" si="5"/>
        <v>46670.740000003949</v>
      </c>
      <c r="P22" s="19">
        <f>'19'!G20</f>
        <v>257</v>
      </c>
      <c r="Q22" s="19">
        <v>108</v>
      </c>
      <c r="R22" s="239">
        <f t="shared" si="0"/>
        <v>27756</v>
      </c>
      <c r="S22" s="240">
        <f t="shared" si="1"/>
        <v>205.2060044714149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76</v>
      </c>
      <c r="X22" s="22">
        <f>'19'!G97</f>
        <v>18</v>
      </c>
      <c r="Y22" s="22">
        <f>'19'!G98</f>
        <v>23</v>
      </c>
      <c r="Z22" s="22">
        <f t="shared" si="7"/>
        <v>117</v>
      </c>
      <c r="AA22" s="19">
        <f>'19'!G133</f>
        <v>-9.9999999998544808E-2</v>
      </c>
      <c r="AB22" s="19">
        <f>'19'!G134</f>
        <v>4.2400000000000091</v>
      </c>
      <c r="AC22" s="19">
        <f>'19'!G135</f>
        <v>24</v>
      </c>
      <c r="AD22" s="19">
        <f>'19'!G136</f>
        <v>0</v>
      </c>
      <c r="AE22" s="19">
        <f t="shared" si="8"/>
        <v>28.140000000001464</v>
      </c>
      <c r="AF22" s="23">
        <f t="shared" si="2"/>
        <v>6446.2000000000407</v>
      </c>
      <c r="AG22" s="23">
        <f t="shared" si="9"/>
        <v>229.07604832976921</v>
      </c>
      <c r="AH22" s="19">
        <f>'19'!G137</f>
        <v>9.5600000000013097</v>
      </c>
      <c r="AI22" s="19">
        <f>'19'!G138</f>
        <v>-0.15999999999985448</v>
      </c>
      <c r="AJ22" s="19">
        <f>'19'!G139</f>
        <v>0</v>
      </c>
      <c r="AK22" s="19">
        <f t="shared" si="10"/>
        <v>9.4000000000014552</v>
      </c>
      <c r="AL22" s="19">
        <f>'19'!G140</f>
        <v>0</v>
      </c>
      <c r="AM22" s="19">
        <f>'19'!G141</f>
        <v>9.4000000000005457</v>
      </c>
      <c r="AN22" s="19"/>
      <c r="AO22" s="19">
        <f t="shared" si="11"/>
        <v>9.4000000000005457</v>
      </c>
      <c r="AP22" s="258">
        <f>'19'!G124</f>
        <v>267.72999999998137</v>
      </c>
      <c r="AQ22" s="261">
        <f>'19'!G35</f>
        <v>-0.30000000004656613</v>
      </c>
      <c r="AR22" s="19">
        <f>'19'!G37</f>
        <v>1591.0299999999988</v>
      </c>
      <c r="AS22" s="19">
        <f>'19'!G38</f>
        <v>1606.5299999999988</v>
      </c>
      <c r="AT22" s="19">
        <f>'19'!G39</f>
        <v>3770.3300000000163</v>
      </c>
      <c r="AU22" s="19">
        <f>'19'!G40</f>
        <v>359.20000000000073</v>
      </c>
      <c r="AV22" s="19">
        <f>'19'!G41</f>
        <v>-0.34999999997671694</v>
      </c>
      <c r="AW22" s="19">
        <f>'19'!G42</f>
        <v>824.08999999999651</v>
      </c>
      <c r="AX22" s="19">
        <f>'19'!G43</f>
        <v>2549.8999999999069</v>
      </c>
      <c r="AY22" s="23">
        <f>'19'!G44</f>
        <v>0</v>
      </c>
      <c r="AZ22" s="262">
        <f>'19'!G36</f>
        <v>815.72000000000116</v>
      </c>
      <c r="BA22" s="261">
        <f>'19'!G49</f>
        <v>3252.6020000000135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5622.8099999999977</v>
      </c>
      <c r="BG22" s="19">
        <f>'19'!G56</f>
        <v>-0.34999999997671694</v>
      </c>
      <c r="BH22" s="19">
        <f>'19'!G57</f>
        <v>-0.32999999999992724</v>
      </c>
      <c r="BI22" s="262">
        <f>'19'!G50</f>
        <v>1093.9300000000512</v>
      </c>
      <c r="BJ22" s="370">
        <f t="shared" si="12"/>
        <v>6446.2000000000407</v>
      </c>
      <c r="BK22" s="370">
        <f>'19'!G84</f>
        <v>776</v>
      </c>
      <c r="BL22" s="23">
        <f t="shared" si="13"/>
        <v>56.396493381692736</v>
      </c>
      <c r="BM22" s="23">
        <f t="shared" si="14"/>
        <v>17.360560167494114</v>
      </c>
      <c r="BN22" s="24">
        <f t="shared" si="15"/>
        <v>7.3969773167530006E-2</v>
      </c>
      <c r="BO22" s="25">
        <f t="shared" si="16"/>
        <v>269886.85000000376</v>
      </c>
      <c r="BP22" s="213">
        <f t="shared" si="17"/>
        <v>9771.7699999999477</v>
      </c>
      <c r="BQ22">
        <f t="shared" si="18"/>
        <v>1.2401982434764238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0.67</v>
      </c>
      <c r="G23" s="19">
        <f>'20'!G8</f>
        <v>22217.270000000019</v>
      </c>
      <c r="H23" s="19">
        <f>'20'!G7</f>
        <v>22117.960000000021</v>
      </c>
      <c r="I23" s="19">
        <f>'20'!G8</f>
        <v>22217.270000000019</v>
      </c>
      <c r="J23" s="19">
        <v>9</v>
      </c>
      <c r="K23" s="242">
        <f t="shared" si="3"/>
        <v>199955.43000000017</v>
      </c>
      <c r="L23" s="238">
        <f t="shared" si="4"/>
        <v>109.98648514851494</v>
      </c>
      <c r="M23" s="19">
        <f>'20'!G15</f>
        <v>465</v>
      </c>
      <c r="N23" s="19">
        <v>53</v>
      </c>
      <c r="O23" s="234">
        <f t="shared" si="5"/>
        <v>24645</v>
      </c>
      <c r="P23" s="19">
        <f>'20'!G20</f>
        <v>143</v>
      </c>
      <c r="Q23" s="19">
        <v>108</v>
      </c>
      <c r="R23" s="239">
        <f t="shared" si="0"/>
        <v>15444</v>
      </c>
      <c r="S23" s="240">
        <f t="shared" si="1"/>
        <v>105.65981971331462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51</v>
      </c>
      <c r="X23" s="22">
        <f>'20'!G97</f>
        <v>15</v>
      </c>
      <c r="Y23" s="22">
        <f>'20'!G98</f>
        <v>17</v>
      </c>
      <c r="Z23" s="22">
        <f t="shared" si="7"/>
        <v>83</v>
      </c>
      <c r="AA23" s="19">
        <f>'20'!G133</f>
        <v>9.9999999998544808E-2</v>
      </c>
      <c r="AB23" s="19">
        <f>'20'!G134</f>
        <v>12.589999999999975</v>
      </c>
      <c r="AC23" s="19">
        <f>'20'!G135</f>
        <v>23.139999999999418</v>
      </c>
      <c r="AD23" s="19">
        <f>'20'!G136</f>
        <v>0</v>
      </c>
      <c r="AE23" s="19">
        <f t="shared" si="8"/>
        <v>35.829999999997938</v>
      </c>
      <c r="AF23" s="23">
        <f t="shared" si="2"/>
        <v>7204.5400000000081</v>
      </c>
      <c r="AG23" s="23">
        <f t="shared" si="9"/>
        <v>201.07563494279717</v>
      </c>
      <c r="AH23" s="19">
        <f>'20'!G137</f>
        <v>0.27999999999883585</v>
      </c>
      <c r="AI23" s="19">
        <f>'20'!G138</f>
        <v>0.15999999999985448</v>
      </c>
      <c r="AJ23" s="19">
        <f>'20'!G139</f>
        <v>0</v>
      </c>
      <c r="AK23" s="19">
        <f t="shared" si="10"/>
        <v>0.43999999999869033</v>
      </c>
      <c r="AL23" s="19">
        <f>'20'!G140</f>
        <v>0</v>
      </c>
      <c r="AM23" s="19">
        <f>'20'!G141</f>
        <v>9.1499999999996362</v>
      </c>
      <c r="AN23" s="19"/>
      <c r="AO23" s="19">
        <f t="shared" si="11"/>
        <v>9.1499999999996362</v>
      </c>
      <c r="AP23" s="258">
        <f>'20'!G124</f>
        <v>260.44999999995343</v>
      </c>
      <c r="AQ23" s="261">
        <f>'20'!G35</f>
        <v>0</v>
      </c>
      <c r="AR23" s="19">
        <f>'20'!G37</f>
        <v>1586.9700000000012</v>
      </c>
      <c r="AS23" s="19">
        <f>'20'!G38</f>
        <v>1448.929999999993</v>
      </c>
      <c r="AT23" s="19">
        <f>'20'!G39</f>
        <v>3767.429999999993</v>
      </c>
      <c r="AU23" s="19">
        <f>'20'!G40</f>
        <v>531.88999999999942</v>
      </c>
      <c r="AV23" s="19">
        <f>'20'!G41</f>
        <v>0.34999999997671694</v>
      </c>
      <c r="AW23" s="19">
        <f>'20'!G42</f>
        <v>2322.570000000007</v>
      </c>
      <c r="AX23" s="19">
        <f>'20'!G43</f>
        <v>2710.6999999999534</v>
      </c>
      <c r="AY23" s="23">
        <f>'20'!G44</f>
        <v>0</v>
      </c>
      <c r="AZ23" s="262">
        <f>'20'!G36</f>
        <v>1166.5199999999968</v>
      </c>
      <c r="BA23" s="261">
        <f>'20'!G49</f>
        <v>2573.210000000021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4850.4700000000012</v>
      </c>
      <c r="BG23" s="19">
        <f>'20'!G56</f>
        <v>31.150000000023283</v>
      </c>
      <c r="BH23" s="19">
        <f>'20'!G57</f>
        <v>0</v>
      </c>
      <c r="BI23" s="262">
        <f>'20'!G50</f>
        <v>1063.75</v>
      </c>
      <c r="BJ23" s="370">
        <f t="shared" si="12"/>
        <v>7204.5400000000081</v>
      </c>
      <c r="BK23" s="370">
        <f>'20'!G84</f>
        <v>727</v>
      </c>
      <c r="BL23" s="23">
        <f t="shared" si="13"/>
        <v>56.210551521406416</v>
      </c>
      <c r="BM23" s="23">
        <f t="shared" si="14"/>
        <v>16.957213915120938</v>
      </c>
      <c r="BN23" s="24">
        <f t="shared" si="15"/>
        <v>6.5216383471056155E-2</v>
      </c>
      <c r="BO23" s="25">
        <f t="shared" si="16"/>
        <v>240044.43000000017</v>
      </c>
      <c r="BP23" s="213">
        <f t="shared" si="17"/>
        <v>10642.239999999962</v>
      </c>
      <c r="BQ23">
        <f t="shared" si="18"/>
        <v>1.0607870499581928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21222.559999999998</v>
      </c>
      <c r="H24" s="19">
        <f>'21'!G7</f>
        <v>21118.709999999963</v>
      </c>
      <c r="I24" s="19">
        <f>'21'!G8</f>
        <v>21222.559999999998</v>
      </c>
      <c r="J24" s="19">
        <v>9</v>
      </c>
      <c r="K24" s="242">
        <f t="shared" si="3"/>
        <v>191003.03999999998</v>
      </c>
      <c r="L24" s="238">
        <f t="shared" si="4"/>
        <v>105.06217821782177</v>
      </c>
      <c r="M24" s="19">
        <f>'21'!G15</f>
        <v>926.71999999997206</v>
      </c>
      <c r="N24" s="19">
        <v>53</v>
      </c>
      <c r="O24" s="234">
        <f t="shared" si="5"/>
        <v>49116.159999998519</v>
      </c>
      <c r="P24" s="19">
        <f>'21'!G20</f>
        <v>175</v>
      </c>
      <c r="Q24" s="19">
        <v>108</v>
      </c>
      <c r="R24" s="239">
        <f t="shared" si="0"/>
        <v>18900</v>
      </c>
      <c r="S24" s="240">
        <f t="shared" si="1"/>
        <v>131.26312631263127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79</v>
      </c>
      <c r="X24" s="22">
        <f>'21'!G97</f>
        <v>18</v>
      </c>
      <c r="Y24" s="22">
        <f>'21'!G98</f>
        <v>23</v>
      </c>
      <c r="Z24" s="22">
        <f t="shared" si="7"/>
        <v>120</v>
      </c>
      <c r="AA24" s="19">
        <f>'21'!G133</f>
        <v>0</v>
      </c>
      <c r="AB24" s="19">
        <f>'21'!G134</f>
        <v>18.180000000000007</v>
      </c>
      <c r="AC24" s="19">
        <f>'21'!G135</f>
        <v>9.3899999999994179</v>
      </c>
      <c r="AD24" s="19">
        <f>'21'!G136</f>
        <v>0</v>
      </c>
      <c r="AE24" s="19">
        <f t="shared" si="8"/>
        <v>27.569999999999425</v>
      </c>
      <c r="AF24" s="23">
        <f t="shared" si="2"/>
        <v>6289.1099999999278</v>
      </c>
      <c r="AG24" s="23">
        <f t="shared" si="9"/>
        <v>228.11425462459408</v>
      </c>
      <c r="AH24" s="19">
        <f>'21'!G137</f>
        <v>10.069999999999709</v>
      </c>
      <c r="AI24" s="19">
        <f>'21'!G138</f>
        <v>0</v>
      </c>
      <c r="AJ24" s="19">
        <f>'21'!G139</f>
        <v>0</v>
      </c>
      <c r="AK24" s="19">
        <f t="shared" si="10"/>
        <v>10.069999999999709</v>
      </c>
      <c r="AL24" s="19">
        <f>'21'!G140</f>
        <v>0</v>
      </c>
      <c r="AM24" s="19">
        <f>'21'!G141</f>
        <v>9.4600000000000364</v>
      </c>
      <c r="AN24" s="19"/>
      <c r="AO24" s="19">
        <f t="shared" si="11"/>
        <v>9.4600000000000364</v>
      </c>
      <c r="AP24" s="258">
        <f>'21'!G124</f>
        <v>269.23000000009779</v>
      </c>
      <c r="AQ24" s="261">
        <f>'21'!G35</f>
        <v>0</v>
      </c>
      <c r="AR24" s="19">
        <f>'21'!G37</f>
        <v>1602.9200000000128</v>
      </c>
      <c r="AS24" s="19">
        <f>'21'!G38</f>
        <v>1577.9800000000105</v>
      </c>
      <c r="AT24" s="19">
        <f>'21'!G39</f>
        <v>3741.5200000000186</v>
      </c>
      <c r="AU24" s="19">
        <f>'21'!G40</f>
        <v>267.51000000000022</v>
      </c>
      <c r="AV24" s="19">
        <f>'21'!G41</f>
        <v>0</v>
      </c>
      <c r="AW24" s="19">
        <f>'21'!G42</f>
        <v>4011.5299999999988</v>
      </c>
      <c r="AX24" s="19">
        <f>'21'!G43</f>
        <v>2552.6000000000931</v>
      </c>
      <c r="AY24" s="23">
        <f>'21'!G44</f>
        <v>0</v>
      </c>
      <c r="AZ24" s="262">
        <f>'21'!G36</f>
        <v>759.40000000000146</v>
      </c>
      <c r="BA24" s="261">
        <f>'21'!G49</f>
        <v>2837.539999999979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2266.5400000000081</v>
      </c>
      <c r="BG24" s="19">
        <f>'21'!G56</f>
        <v>11.039999999920838</v>
      </c>
      <c r="BH24" s="19">
        <f>'21'!G57</f>
        <v>0</v>
      </c>
      <c r="BI24" s="262">
        <f>'21'!G50</f>
        <v>1014.9200000000419</v>
      </c>
      <c r="BJ24" s="370">
        <f t="shared" si="12"/>
        <v>6289.1099999999278</v>
      </c>
      <c r="BK24" s="370">
        <f>'21'!G84</f>
        <v>697</v>
      </c>
      <c r="BL24" s="23">
        <f t="shared" si="13"/>
        <v>55.032239277448156</v>
      </c>
      <c r="BM24" s="23">
        <f t="shared" si="14"/>
        <v>17.629918351037851</v>
      </c>
      <c r="BN24" s="24">
        <f t="shared" si="15"/>
        <v>7.4357193477128089E-2</v>
      </c>
      <c r="BO24" s="25">
        <f t="shared" si="16"/>
        <v>259019.1999999985</v>
      </c>
      <c r="BP24" s="213">
        <f t="shared" si="17"/>
        <v>9538.710000000021</v>
      </c>
      <c r="BQ24">
        <f t="shared" si="18"/>
        <v>1.2356482201150605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21500</v>
      </c>
      <c r="H25" s="19">
        <f>'22'!G7</f>
        <v>21500</v>
      </c>
      <c r="I25" s="19">
        <f>'22'!G8</f>
        <v>21500</v>
      </c>
      <c r="J25" s="19">
        <v>9</v>
      </c>
      <c r="K25" s="242">
        <f t="shared" si="3"/>
        <v>193500</v>
      </c>
      <c r="L25" s="238">
        <f t="shared" si="4"/>
        <v>106.43564356435644</v>
      </c>
      <c r="M25" s="19">
        <f>'22'!G15</f>
        <v>700</v>
      </c>
      <c r="N25" s="19">
        <v>53</v>
      </c>
      <c r="O25" s="234">
        <f t="shared" si="5"/>
        <v>37100</v>
      </c>
      <c r="P25" s="19">
        <f>'22'!G20</f>
        <v>-1659</v>
      </c>
      <c r="Q25" s="19">
        <v>108</v>
      </c>
      <c r="R25" s="239">
        <f t="shared" si="0"/>
        <v>-179172</v>
      </c>
      <c r="S25" s="240">
        <f t="shared" si="1"/>
        <v>-1140.6765676567657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-2350</v>
      </c>
      <c r="X25" s="22">
        <f>'22'!G97</f>
        <v>-629</v>
      </c>
      <c r="Y25" s="22">
        <f>'22'!G98</f>
        <v>-712</v>
      </c>
      <c r="Z25" s="22">
        <f t="shared" si="7"/>
        <v>-3691</v>
      </c>
      <c r="AA25" s="19">
        <f>'22'!G133</f>
        <v>-260.0199999999968</v>
      </c>
      <c r="AB25" s="19">
        <f>'22'!G134</f>
        <v>-145.19</v>
      </c>
      <c r="AC25" s="19">
        <f>'22'!G135</f>
        <v>-474.16999999999825</v>
      </c>
      <c r="AD25" s="19">
        <f>'22'!G136</f>
        <v>5.0000000002910383E-2</v>
      </c>
      <c r="AE25" s="19">
        <f t="shared" si="8"/>
        <v>-879.3299999999922</v>
      </c>
      <c r="AF25" s="23">
        <f t="shared" si="2"/>
        <v>-189822.89999999991</v>
      </c>
      <c r="AG25" s="23">
        <f t="shared" si="9"/>
        <v>215.87219815086667</v>
      </c>
      <c r="AH25" s="19">
        <f>'22'!G137</f>
        <v>-184.25</v>
      </c>
      <c r="AI25" s="19">
        <f>'22'!G138</f>
        <v>-17.270000000000437</v>
      </c>
      <c r="AJ25" s="19">
        <f>'22'!G139</f>
        <v>-19.870000000009895</v>
      </c>
      <c r="AK25" s="19">
        <f t="shared" si="10"/>
        <v>-221.39000000001033</v>
      </c>
      <c r="AL25" s="19">
        <f>'22'!G140</f>
        <v>-201.67000000000007</v>
      </c>
      <c r="AM25" s="19">
        <f>'22'!G141</f>
        <v>-87.25</v>
      </c>
      <c r="AN25" s="19"/>
      <c r="AO25" s="19">
        <f t="shared" si="11"/>
        <v>-288.92000000000007</v>
      </c>
      <c r="AP25" s="258">
        <f>'22'!G124</f>
        <v>-7951.9100000000326</v>
      </c>
      <c r="AQ25" s="261">
        <f>'22'!G35</f>
        <v>-52517</v>
      </c>
      <c r="AR25" s="19">
        <f>'22'!G37</f>
        <v>-44973.640000000014</v>
      </c>
      <c r="AS25" s="19">
        <f>'22'!G38</f>
        <v>-46569.16</v>
      </c>
      <c r="AT25" s="19">
        <f>'22'!G39</f>
        <v>-106711.96000000002</v>
      </c>
      <c r="AU25" s="19">
        <f>'22'!G40</f>
        <v>-10805.58</v>
      </c>
      <c r="AV25" s="19">
        <f>'22'!G41</f>
        <v>-57150.099999999977</v>
      </c>
      <c r="AW25" s="19">
        <f>'22'!G42</f>
        <v>-29962.020000000004</v>
      </c>
      <c r="AX25" s="19">
        <f>'22'!G43</f>
        <v>-78806.199999999953</v>
      </c>
      <c r="AY25" s="23">
        <f>'22'!G44</f>
        <v>0</v>
      </c>
      <c r="AZ25" s="262">
        <f>'22'!G36</f>
        <v>-24458.25</v>
      </c>
      <c r="BA25" s="261">
        <f>'22'!G49</f>
        <v>-33288.619999999995</v>
      </c>
      <c r="BB25" s="19">
        <f>'22'!G51</f>
        <v>-0.13000000000465661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-102408.38</v>
      </c>
      <c r="BG25" s="19">
        <f>'22'!G56</f>
        <v>-302.39999999990687</v>
      </c>
      <c r="BH25" s="19">
        <f>'22'!G57</f>
        <v>0</v>
      </c>
      <c r="BI25" s="262">
        <f>'22'!G50</f>
        <v>-33905.680000000051</v>
      </c>
      <c r="BJ25" s="370">
        <f t="shared" si="12"/>
        <v>-189822.89999999991</v>
      </c>
      <c r="BK25" s="370">
        <f>'22'!G84</f>
        <v>-22943</v>
      </c>
      <c r="BL25" s="23">
        <f t="shared" si="13"/>
        <v>-1648.5335813953482</v>
      </c>
      <c r="BM25" s="23">
        <f t="shared" si="14"/>
        <v>-496.33469767441869</v>
      </c>
      <c r="BN25" s="24">
        <f t="shared" si="15"/>
        <v>-2.1660074418604651</v>
      </c>
      <c r="BO25" s="25">
        <f t="shared" si="16"/>
        <v>51428</v>
      </c>
      <c r="BP25" s="213">
        <f t="shared" si="17"/>
        <v>-291572.09999999986</v>
      </c>
      <c r="BQ25">
        <f t="shared" si="18"/>
        <v>1.184229957548858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21500</v>
      </c>
      <c r="H26" s="19">
        <f>'23'!G7</f>
        <v>21500</v>
      </c>
      <c r="I26" s="19">
        <f>'23'!G8</f>
        <v>21500</v>
      </c>
      <c r="J26" s="19">
        <v>9</v>
      </c>
      <c r="K26" s="242">
        <f t="shared" si="3"/>
        <v>193500</v>
      </c>
      <c r="L26" s="238">
        <f t="shared" si="4"/>
        <v>106.43564356435644</v>
      </c>
      <c r="M26" s="19">
        <f>'23'!G15</f>
        <v>700</v>
      </c>
      <c r="N26" s="19">
        <v>53</v>
      </c>
      <c r="O26" s="234">
        <f t="shared" si="5"/>
        <v>37100</v>
      </c>
      <c r="P26" s="19">
        <f>'23'!G20</f>
        <v>101</v>
      </c>
      <c r="Q26" s="19">
        <v>108</v>
      </c>
      <c r="R26" s="239">
        <f t="shared" si="0"/>
        <v>10908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52.335069767440885</v>
      </c>
      <c r="BM26" s="23">
        <f t="shared" si="14"/>
        <v>15.967255813953585</v>
      </c>
      <c r="BN26" s="24">
        <f t="shared" si="15"/>
        <v>6.2986976744186102E-2</v>
      </c>
      <c r="BO26" s="25">
        <f t="shared" si="16"/>
        <v>241508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21500</v>
      </c>
      <c r="H27" s="19">
        <f>'24'!G7</f>
        <v>21500</v>
      </c>
      <c r="I27" s="19">
        <f>'24'!G8</f>
        <v>21500</v>
      </c>
      <c r="J27" s="19">
        <v>9</v>
      </c>
      <c r="K27" s="242">
        <f t="shared" si="3"/>
        <v>193500</v>
      </c>
      <c r="L27" s="238">
        <f t="shared" si="4"/>
        <v>106.43564356435644</v>
      </c>
      <c r="M27" s="19">
        <f>'24'!G15</f>
        <v>700</v>
      </c>
      <c r="N27" s="19">
        <v>53</v>
      </c>
      <c r="O27" s="234">
        <f t="shared" si="5"/>
        <v>37100</v>
      </c>
      <c r="P27" s="19">
        <f>'24'!G20</f>
        <v>164</v>
      </c>
      <c r="Q27" s="19">
        <v>108</v>
      </c>
      <c r="R27" s="239">
        <f t="shared" si="0"/>
        <v>17712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57.112093023256115</v>
      </c>
      <c r="BM27" s="23">
        <f t="shared" si="14"/>
        <v>16.346325581395174</v>
      </c>
      <c r="BN27" s="24">
        <f t="shared" si="15"/>
        <v>7.1067906976746517E-2</v>
      </c>
      <c r="BO27" s="25">
        <f t="shared" si="16"/>
        <v>248312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21500</v>
      </c>
      <c r="H28" s="19">
        <f>'25'!G7</f>
        <v>21500</v>
      </c>
      <c r="I28" s="19">
        <f>'25'!G8</f>
        <v>21500</v>
      </c>
      <c r="J28" s="19">
        <v>9</v>
      </c>
      <c r="K28" s="242">
        <f t="shared" si="3"/>
        <v>193500</v>
      </c>
      <c r="L28" s="238">
        <f t="shared" si="4"/>
        <v>106.43564356435644</v>
      </c>
      <c r="M28" s="19">
        <f>'25'!G15</f>
        <v>700</v>
      </c>
      <c r="N28" s="19">
        <v>53</v>
      </c>
      <c r="O28" s="234">
        <f t="shared" si="5"/>
        <v>37100</v>
      </c>
      <c r="P28" s="19">
        <f>'25'!G20</f>
        <v>170</v>
      </c>
      <c r="Q28" s="19">
        <v>108</v>
      </c>
      <c r="R28" s="239">
        <f t="shared" si="0"/>
        <v>18360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48.627953488372135</v>
      </c>
      <c r="BM28" s="23">
        <f t="shared" si="14"/>
        <v>17</v>
      </c>
      <c r="BN28" s="24">
        <f t="shared" si="15"/>
        <v>7.1491627906974359E-2</v>
      </c>
      <c r="BO28" s="25">
        <f t="shared" si="16"/>
        <v>248960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21500</v>
      </c>
      <c r="H29" s="19">
        <f>'26'!G7</f>
        <v>21500</v>
      </c>
      <c r="I29" s="19">
        <f>'26'!G8</f>
        <v>21500</v>
      </c>
      <c r="J29" s="19">
        <v>9</v>
      </c>
      <c r="K29" s="242">
        <f t="shared" si="3"/>
        <v>193500</v>
      </c>
      <c r="L29" s="238">
        <f t="shared" si="4"/>
        <v>106.43564356435644</v>
      </c>
      <c r="M29" s="19">
        <f>'26'!G15</f>
        <v>700</v>
      </c>
      <c r="N29" s="19">
        <v>53</v>
      </c>
      <c r="O29" s="234">
        <f t="shared" si="5"/>
        <v>37100</v>
      </c>
      <c r="P29" s="19">
        <f>'26'!G20</f>
        <v>215</v>
      </c>
      <c r="Q29" s="19">
        <v>108</v>
      </c>
      <c r="R29" s="239">
        <f t="shared" si="0"/>
        <v>23220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60.171488372093002</v>
      </c>
      <c r="BM29" s="23">
        <f t="shared" si="14"/>
        <v>17.106976744186046</v>
      </c>
      <c r="BN29" s="24">
        <f t="shared" si="15"/>
        <v>8.3116279069767443E-2</v>
      </c>
      <c r="BO29" s="25">
        <f t="shared" si="16"/>
        <v>253820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21500</v>
      </c>
      <c r="H30" s="19">
        <f>'27'!G7</f>
        <v>21500</v>
      </c>
      <c r="I30" s="19">
        <f>'27'!G8</f>
        <v>21500</v>
      </c>
      <c r="J30" s="19">
        <v>9</v>
      </c>
      <c r="K30" s="242">
        <f t="shared" si="3"/>
        <v>193500</v>
      </c>
      <c r="L30" s="238">
        <f t="shared" si="4"/>
        <v>106.43564356435644</v>
      </c>
      <c r="M30" s="19">
        <f>'27'!G15</f>
        <v>700</v>
      </c>
      <c r="N30" s="19">
        <v>53</v>
      </c>
      <c r="O30" s="234">
        <f t="shared" si="5"/>
        <v>37100</v>
      </c>
      <c r="P30" s="19">
        <f>'27'!G20</f>
        <v>241</v>
      </c>
      <c r="Q30" s="19">
        <v>108</v>
      </c>
      <c r="R30" s="239">
        <f t="shared" si="0"/>
        <v>26028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58.437813953488394</v>
      </c>
      <c r="BM30" s="23">
        <f t="shared" si="14"/>
        <v>17.279069767441861</v>
      </c>
      <c r="BN30" s="24">
        <f t="shared" si="15"/>
        <v>7.9671162790700051E-2</v>
      </c>
      <c r="BO30" s="25">
        <f t="shared" si="16"/>
        <v>256628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21500.000000000058</v>
      </c>
      <c r="H31" s="19">
        <f>'28'!G7</f>
        <v>21499.999999999942</v>
      </c>
      <c r="I31" s="19">
        <f>'28'!G8</f>
        <v>21500.000000000058</v>
      </c>
      <c r="J31" s="19">
        <v>9</v>
      </c>
      <c r="K31" s="242">
        <f t="shared" si="3"/>
        <v>193500.00000000052</v>
      </c>
      <c r="L31" s="238">
        <f t="shared" si="4"/>
        <v>106.43564356435672</v>
      </c>
      <c r="M31" s="19">
        <f>'28'!G15</f>
        <v>700</v>
      </c>
      <c r="N31" s="19">
        <v>53</v>
      </c>
      <c r="O31" s="234">
        <f t="shared" si="5"/>
        <v>37100</v>
      </c>
      <c r="P31" s="19">
        <f>'28'!G20</f>
        <v>194</v>
      </c>
      <c r="Q31" s="19">
        <v>108</v>
      </c>
      <c r="R31" s="239">
        <f t="shared" si="0"/>
        <v>20952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51.238744186046375</v>
      </c>
      <c r="BM31" s="23">
        <f t="shared" si="14"/>
        <v>17.153488372092976</v>
      </c>
      <c r="BN31" s="24">
        <f t="shared" si="15"/>
        <v>7.8514883720927631E-2</v>
      </c>
      <c r="BO31" s="25">
        <f t="shared" si="16"/>
        <v>251552.00000000052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21500</v>
      </c>
      <c r="H32" s="19">
        <f>'29'!G7</f>
        <v>21500</v>
      </c>
      <c r="I32" s="19">
        <f>'29'!G8</f>
        <v>21500</v>
      </c>
      <c r="J32" s="19">
        <v>9</v>
      </c>
      <c r="K32" s="242">
        <f t="shared" si="3"/>
        <v>193500</v>
      </c>
      <c r="L32" s="238">
        <f t="shared" si="4"/>
        <v>106.43564356435644</v>
      </c>
      <c r="M32" s="19">
        <f>'29'!G15</f>
        <v>700</v>
      </c>
      <c r="N32" s="19">
        <v>53</v>
      </c>
      <c r="O32" s="234">
        <f t="shared" si="5"/>
        <v>37100</v>
      </c>
      <c r="P32" s="19">
        <f>'29'!G20</f>
        <v>163</v>
      </c>
      <c r="Q32" s="19">
        <v>108</v>
      </c>
      <c r="R32" s="239">
        <f t="shared" si="0"/>
        <v>17604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53.491488372093023</v>
      </c>
      <c r="BM32" s="23">
        <f t="shared" si="14"/>
        <v>16.576744186046511</v>
      </c>
      <c r="BN32" s="24">
        <f t="shared" si="15"/>
        <v>7.3581395348837203E-2</v>
      </c>
      <c r="BO32" s="25">
        <f t="shared" si="16"/>
        <v>248204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21500</v>
      </c>
      <c r="H33" s="19">
        <f>'30'!G7</f>
        <v>21500</v>
      </c>
      <c r="I33" s="19">
        <f>'30'!G8</f>
        <v>21500</v>
      </c>
      <c r="J33" s="19">
        <v>9</v>
      </c>
      <c r="K33" s="242">
        <f t="shared" si="3"/>
        <v>193500</v>
      </c>
      <c r="L33" s="238">
        <f t="shared" si="4"/>
        <v>106.43564356435644</v>
      </c>
      <c r="M33" s="19">
        <f>'30'!G15</f>
        <v>700</v>
      </c>
      <c r="N33" s="19">
        <v>53</v>
      </c>
      <c r="O33" s="234">
        <f t="shared" si="5"/>
        <v>37100</v>
      </c>
      <c r="P33" s="19">
        <f>'30'!G20</f>
        <v>134</v>
      </c>
      <c r="Q33" s="19">
        <v>108</v>
      </c>
      <c r="R33" s="239">
        <f t="shared" si="0"/>
        <v>14472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50.929627906976719</v>
      </c>
      <c r="BM33" s="23">
        <f t="shared" si="14"/>
        <v>17.381395348837209</v>
      </c>
      <c r="BN33" s="24">
        <f t="shared" si="15"/>
        <v>6.2973488372095404E-2</v>
      </c>
      <c r="BO33" s="25">
        <f t="shared" si="16"/>
        <v>245072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21500</v>
      </c>
      <c r="H34" s="19">
        <f>'31'!G7</f>
        <v>21500</v>
      </c>
      <c r="I34" s="19">
        <f>'31'!G8</f>
        <v>21500</v>
      </c>
      <c r="J34" s="19">
        <v>9</v>
      </c>
      <c r="K34" s="242">
        <f t="shared" si="3"/>
        <v>193500</v>
      </c>
      <c r="L34" s="238">
        <f t="shared" ref="L34" si="20">I34/202</f>
        <v>106.43564356435644</v>
      </c>
      <c r="M34" s="19">
        <f>'31'!G15</f>
        <v>700</v>
      </c>
      <c r="N34" s="19">
        <v>53</v>
      </c>
      <c r="O34" s="234">
        <f t="shared" ref="O34" si="21">M34*N34</f>
        <v>37100</v>
      </c>
      <c r="P34" s="19">
        <f>'31'!G20</f>
        <v>-1823</v>
      </c>
      <c r="Q34" s="19">
        <v>108</v>
      </c>
      <c r="R34" s="239">
        <f t="shared" ref="R34" si="22">P34*Q34</f>
        <v>-196884</v>
      </c>
      <c r="S34" s="240">
        <f t="shared" ref="S34" si="23">P34/(F34*202/100)</f>
        <v>-31.119836121543191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12</v>
      </c>
      <c r="X34" s="22">
        <f>'30'!G98</f>
        <v>23</v>
      </c>
      <c r="Y34" s="22">
        <f>'30'!G99</f>
        <v>11</v>
      </c>
      <c r="Z34" s="22">
        <f t="shared" ref="Z34" si="25">W34+X34+Y34</f>
        <v>46</v>
      </c>
      <c r="AA34" s="19">
        <f>'30'!G134</f>
        <v>0</v>
      </c>
      <c r="AB34" s="19">
        <f>'30'!G135</f>
        <v>2</v>
      </c>
      <c r="AC34" s="19">
        <f>'30'!G136</f>
        <v>0</v>
      </c>
      <c r="AD34" s="19">
        <f>'30'!G137</f>
        <v>7.0000000003346941E-2</v>
      </c>
      <c r="AE34" s="19">
        <f t="shared" ref="AE34" si="26">AA34+AB34+AC34+AD34</f>
        <v>2.0700000000033469</v>
      </c>
      <c r="AF34" s="23">
        <f t="shared" ref="AF34" si="27">AV34+AW34+BF34+BG34</f>
        <v>-170533</v>
      </c>
      <c r="AG34" s="23">
        <f t="shared" ref="AG34" si="28">AF34/AE34</f>
        <v>-82383.091787306417</v>
      </c>
      <c r="AH34" s="19">
        <f>'30'!G138</f>
        <v>0</v>
      </c>
      <c r="AI34" s="19">
        <f>'30'!G139</f>
        <v>0</v>
      </c>
      <c r="AJ34" s="19">
        <f>'30'!G140</f>
        <v>9.8399999999996908</v>
      </c>
      <c r="AK34" s="19">
        <f t="shared" ref="AK34" si="29">AH34+AI34+AJ34</f>
        <v>9.8399999999996908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-78226</v>
      </c>
      <c r="AR34" s="19">
        <f>'31'!G37</f>
        <v>-42334</v>
      </c>
      <c r="AS34" s="19">
        <f>'31'!G38</f>
        <v>1249</v>
      </c>
      <c r="AT34" s="19">
        <f>'31'!G39</f>
        <v>-96691</v>
      </c>
      <c r="AU34" s="19">
        <f>'31'!G40</f>
        <v>-6224</v>
      </c>
      <c r="AV34" s="19">
        <f>'31'!G41</f>
        <v>-89164</v>
      </c>
      <c r="AW34" s="19">
        <f>'31'!G42</f>
        <v>-10</v>
      </c>
      <c r="AX34" s="19">
        <f>'31'!G43</f>
        <v>-78208</v>
      </c>
      <c r="AY34" s="23">
        <f>'31'!G44</f>
        <v>0</v>
      </c>
      <c r="AZ34" s="262">
        <f>'31'!G36</f>
        <v>173</v>
      </c>
      <c r="BA34" s="261">
        <f>'31'!G49</f>
        <v>0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-49525</v>
      </c>
      <c r="BG34" s="19">
        <f>'31'!G56</f>
        <v>-31834</v>
      </c>
      <c r="BH34" s="19">
        <f>'31'!G57</f>
        <v>0</v>
      </c>
      <c r="BI34" s="262">
        <f>'31'!G50</f>
        <v>-32127</v>
      </c>
      <c r="BJ34" s="370">
        <f t="shared" ref="BJ34" si="31">SUM(AV34,AW34,BF34,BG34)</f>
        <v>-170533</v>
      </c>
      <c r="BK34" s="370">
        <f>'31'!G84</f>
        <v>-22786</v>
      </c>
      <c r="BL34" s="23">
        <f t="shared" ref="BL34" si="32">SUM(AQ34,AV34,AW34,AX34,BA34,BF34,BG34,BH34)/I34%</f>
        <v>-1520.7767441860465</v>
      </c>
      <c r="BM34" s="23">
        <f t="shared" ref="BM34" si="33">SUM(AT34,BD34)/I34%</f>
        <v>-457.46511627906978</v>
      </c>
      <c r="BN34" s="24">
        <f t="shared" ref="BN34" si="34">(AS34+BC34)/I34</f>
        <v>5.8093023255813954E-2</v>
      </c>
      <c r="BO34" s="25">
        <f t="shared" ref="BO34" si="35">K34+O34+R34+V34</f>
        <v>33716</v>
      </c>
      <c r="BP34" s="213">
        <f t="shared" ref="BP34" si="36">SUM(AV34,AW34,AX34,BF34,BG34,BH34,BK34)</f>
        <v>-271527</v>
      </c>
      <c r="BQ34">
        <f t="shared" ref="BQ34" si="37">BP34/(AE34*280)</f>
        <v>-468.47308488537089</v>
      </c>
    </row>
    <row r="35" spans="1:69">
      <c r="A35" s="16" t="s">
        <v>201</v>
      </c>
      <c r="B35" s="30"/>
      <c r="C35" s="31"/>
      <c r="D35" s="32">
        <f>AVERAGE(D4:D34)</f>
        <v>29.258064516129032</v>
      </c>
      <c r="E35" s="33"/>
      <c r="F35" s="384">
        <f>AVERAGE(F4:F34)</f>
        <v>1.4865870967741934</v>
      </c>
      <c r="G35" s="34">
        <f>SUM(G4:G34)</f>
        <v>680104.83000000007</v>
      </c>
      <c r="H35" s="34">
        <f>SUM(H4:H34)</f>
        <v>677857.66999999993</v>
      </c>
      <c r="I35" s="34">
        <f t="shared" ref="I35:BO35" si="38">SUM(I4:I34)</f>
        <v>680104.83000000007</v>
      </c>
      <c r="J35" s="19">
        <v>9</v>
      </c>
      <c r="K35" s="34">
        <f t="shared" si="38"/>
        <v>6120943.4700000016</v>
      </c>
      <c r="L35" s="34">
        <f t="shared" si="38"/>
        <v>3366.8555940594042</v>
      </c>
      <c r="M35" s="34">
        <f t="shared" si="38"/>
        <v>24434.719999999972</v>
      </c>
      <c r="N35" s="34">
        <f t="shared" si="38"/>
        <v>1643</v>
      </c>
      <c r="O35" s="34">
        <f t="shared" si="38"/>
        <v>1295040.1599999985</v>
      </c>
      <c r="P35" s="34">
        <f t="shared" si="38"/>
        <v>1967</v>
      </c>
      <c r="Q35" s="34">
        <f t="shared" si="38"/>
        <v>3348</v>
      </c>
      <c r="R35" s="34">
        <f t="shared" si="38"/>
        <v>212436</v>
      </c>
      <c r="S35" s="34">
        <f t="shared" si="38"/>
        <v>5069.8770813183755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12</v>
      </c>
      <c r="X35" s="34">
        <f t="shared" si="38"/>
        <v>23</v>
      </c>
      <c r="Y35" s="34">
        <f t="shared" si="38"/>
        <v>11</v>
      </c>
      <c r="Z35" s="34">
        <f t="shared" si="38"/>
        <v>46</v>
      </c>
      <c r="AA35" s="34">
        <f t="shared" si="38"/>
        <v>0</v>
      </c>
      <c r="AB35" s="34">
        <f t="shared" si="38"/>
        <v>2</v>
      </c>
      <c r="AC35" s="34">
        <f t="shared" si="38"/>
        <v>0</v>
      </c>
      <c r="AD35" s="34">
        <f t="shared" si="38"/>
        <v>7.0000000003346941E-2</v>
      </c>
      <c r="AE35" s="34">
        <f t="shared" si="38"/>
        <v>2.0700000000033469</v>
      </c>
      <c r="AF35" s="34">
        <f t="shared" si="38"/>
        <v>-170521.89</v>
      </c>
      <c r="AG35" s="34">
        <f t="shared" si="38"/>
        <v>-75876.489197295392</v>
      </c>
      <c r="AH35" s="34">
        <f t="shared" si="38"/>
        <v>-4.5800000000017462</v>
      </c>
      <c r="AI35" s="34">
        <f t="shared" si="38"/>
        <v>9.8899999999994179</v>
      </c>
      <c r="AJ35" s="34">
        <f t="shared" si="38"/>
        <v>4.7500000000031832</v>
      </c>
      <c r="AK35" s="34">
        <f t="shared" si="38"/>
        <v>10.060000000000855</v>
      </c>
      <c r="AL35" s="34">
        <f t="shared" si="38"/>
        <v>1.4600000000000364</v>
      </c>
      <c r="AM35" s="34">
        <f t="shared" si="38"/>
        <v>0</v>
      </c>
      <c r="AN35" s="34">
        <f t="shared" si="38"/>
        <v>0</v>
      </c>
      <c r="AO35" s="34">
        <f t="shared" si="38"/>
        <v>1.4600000000000364</v>
      </c>
      <c r="AP35" s="34">
        <f t="shared" si="38"/>
        <v>0.39999999999417923</v>
      </c>
      <c r="AQ35" s="34">
        <f t="shared" si="38"/>
        <v>-78226</v>
      </c>
      <c r="AR35" s="34">
        <f t="shared" si="38"/>
        <v>-42334</v>
      </c>
      <c r="AS35" s="34">
        <f t="shared" si="38"/>
        <v>1249</v>
      </c>
      <c r="AT35" s="34">
        <f t="shared" si="38"/>
        <v>-96691</v>
      </c>
      <c r="AU35" s="34">
        <f t="shared" si="38"/>
        <v>-6224</v>
      </c>
      <c r="AV35" s="34">
        <f t="shared" si="38"/>
        <v>-89164</v>
      </c>
      <c r="AW35" s="34">
        <f t="shared" si="38"/>
        <v>1.1100000000005821</v>
      </c>
      <c r="AX35" s="34">
        <f t="shared" si="38"/>
        <v>-78208</v>
      </c>
      <c r="AY35" s="34">
        <f t="shared" si="38"/>
        <v>0</v>
      </c>
      <c r="AZ35" s="34">
        <f t="shared" si="38"/>
        <v>172.99999999999818</v>
      </c>
      <c r="BA35" s="34">
        <f t="shared" si="38"/>
        <v>0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-1217.4099999999999</v>
      </c>
      <c r="BF35" s="34">
        <f t="shared" si="38"/>
        <v>-49525</v>
      </c>
      <c r="BG35" s="34">
        <f t="shared" si="38"/>
        <v>-31834</v>
      </c>
      <c r="BH35" s="34">
        <f t="shared" si="38"/>
        <v>0</v>
      </c>
      <c r="BI35" s="34">
        <f t="shared" si="38"/>
        <v>-32127</v>
      </c>
      <c r="BJ35" s="34">
        <f t="shared" si="38"/>
        <v>-170521.89</v>
      </c>
      <c r="BK35" s="34">
        <f t="shared" si="38"/>
        <v>-22836</v>
      </c>
      <c r="BL35" s="34">
        <f t="shared" si="38"/>
        <v>-1556.7742853061297</v>
      </c>
      <c r="BM35" s="34">
        <f t="shared" si="38"/>
        <v>-467.00023859032262</v>
      </c>
      <c r="BN35" s="34">
        <f t="shared" si="38"/>
        <v>1.2883088729750365E-2</v>
      </c>
      <c r="BO35" s="34">
        <f t="shared" si="38"/>
        <v>7628419.629999999</v>
      </c>
      <c r="BP35" s="213">
        <f t="shared" si="17"/>
        <v>-271565.89</v>
      </c>
      <c r="BQ35">
        <f t="shared" si="18"/>
        <v>-468.54018288399055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1</v>
      </c>
      <c r="E36" s="35">
        <f t="shared" si="39"/>
        <v>8.0000000000000071E-2</v>
      </c>
      <c r="F36" s="35">
        <f t="shared" si="39"/>
        <v>0.22020000000000001</v>
      </c>
      <c r="G36" s="35"/>
      <c r="H36" s="35"/>
      <c r="I36" s="35">
        <f t="shared" ref="I36:AO36" si="40">I18-I17</f>
        <v>374.05999999996857</v>
      </c>
      <c r="J36" s="35">
        <f t="shared" si="40"/>
        <v>0</v>
      </c>
      <c r="K36" s="235">
        <f t="shared" si="40"/>
        <v>3366.5399999997171</v>
      </c>
      <c r="L36" s="235">
        <f t="shared" si="40"/>
        <v>1.8517821782176753</v>
      </c>
      <c r="M36" s="35">
        <f t="shared" si="40"/>
        <v>150.00299999979325</v>
      </c>
      <c r="N36" s="35">
        <f t="shared" si="40"/>
        <v>0</v>
      </c>
      <c r="O36" s="235">
        <f t="shared" si="40"/>
        <v>7950.1589999890421</v>
      </c>
      <c r="P36" s="35">
        <f t="shared" si="40"/>
        <v>-21</v>
      </c>
      <c r="Q36" s="35">
        <f t="shared" si="40"/>
        <v>0</v>
      </c>
      <c r="R36" s="235">
        <f t="shared" si="40"/>
        <v>-2268</v>
      </c>
      <c r="S36" s="235">
        <f t="shared" si="40"/>
        <v>-212.21641517618372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4</v>
      </c>
      <c r="X36" s="35">
        <f t="shared" si="40"/>
        <v>-3</v>
      </c>
      <c r="Y36" s="35">
        <f t="shared" si="40"/>
        <v>4</v>
      </c>
      <c r="Z36" s="35">
        <f t="shared" si="40"/>
        <v>5</v>
      </c>
      <c r="AA36" s="35">
        <f t="shared" si="40"/>
        <v>6.5499999999956344</v>
      </c>
      <c r="AB36" s="35">
        <f t="shared" si="40"/>
        <v>-0.34000000000003183</v>
      </c>
      <c r="AC36" s="35">
        <f t="shared" si="40"/>
        <v>-7.4599999999991269</v>
      </c>
      <c r="AD36" s="35">
        <f t="shared" si="40"/>
        <v>0</v>
      </c>
      <c r="AE36" s="35">
        <f t="shared" si="40"/>
        <v>-1.2500000000035243</v>
      </c>
      <c r="AF36" s="35">
        <f t="shared" si="40"/>
        <v>261.63000000004831</v>
      </c>
      <c r="AG36" s="35">
        <f t="shared" si="40"/>
        <v>16.48114366854324</v>
      </c>
      <c r="AH36" s="35">
        <f t="shared" si="40"/>
        <v>4.1899999999986903</v>
      </c>
      <c r="AI36" s="35">
        <f t="shared" si="40"/>
        <v>0</v>
      </c>
      <c r="AJ36" s="35">
        <f t="shared" si="40"/>
        <v>-2.3100000000122236</v>
      </c>
      <c r="AK36" s="35">
        <f t="shared" si="40"/>
        <v>1.8799999999864667</v>
      </c>
      <c r="AL36" s="35">
        <f t="shared" si="40"/>
        <v>0</v>
      </c>
      <c r="AM36" s="35">
        <f t="shared" si="40"/>
        <v>0.23999999999978172</v>
      </c>
      <c r="AN36" s="35">
        <f t="shared" si="40"/>
        <v>0</v>
      </c>
      <c r="AO36" s="35">
        <f t="shared" si="40"/>
        <v>0.23999999999978172</v>
      </c>
      <c r="AP36" s="35"/>
      <c r="AQ36" s="35">
        <f t="shared" ref="AQ36:AX36" si="41">AQ18-AQ17</f>
        <v>-0.30000000004656613</v>
      </c>
      <c r="AR36" s="35">
        <f t="shared" si="41"/>
        <v>-53.970000000001164</v>
      </c>
      <c r="AS36" s="35">
        <f t="shared" si="41"/>
        <v>59.649999999994179</v>
      </c>
      <c r="AT36" s="35">
        <f t="shared" si="41"/>
        <v>16.53000000002794</v>
      </c>
      <c r="AU36" s="35">
        <f t="shared" si="41"/>
        <v>103.59000000000015</v>
      </c>
      <c r="AV36" s="35">
        <f t="shared" si="41"/>
        <v>1438.4400000000023</v>
      </c>
      <c r="AW36" s="35">
        <f t="shared" si="41"/>
        <v>96.419999999998254</v>
      </c>
      <c r="AX36" s="35">
        <f t="shared" si="41"/>
        <v>134</v>
      </c>
      <c r="AY36" s="35"/>
      <c r="AZ36" s="35"/>
      <c r="BA36" s="35">
        <f t="shared" ref="BA36:BH36" si="42">BA18-BA17</f>
        <v>69.350000000034925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-1274.2799999999988</v>
      </c>
      <c r="BG36" s="35">
        <f t="shared" si="42"/>
        <v>1.0500000000465661</v>
      </c>
      <c r="BH36" s="35">
        <f t="shared" si="42"/>
        <v>0</v>
      </c>
      <c r="BI36" s="35"/>
      <c r="BJ36" s="35"/>
      <c r="BK36" s="35"/>
      <c r="BL36" s="35">
        <f>BL18-BL17</f>
        <v>1.1899228979897813</v>
      </c>
      <c r="BM36" s="35">
        <f>BM18-BM17</f>
        <v>-0.20113756585572062</v>
      </c>
      <c r="BN36" s="35"/>
      <c r="BO36" s="35">
        <f>BO18-BO17</f>
        <v>9048.6989999887883</v>
      </c>
      <c r="BP36" s="35">
        <f>BP18-BP17</f>
        <v>373.63000000004831</v>
      </c>
    </row>
    <row r="37" spans="1:69">
      <c r="F37" s="213">
        <f>AVERAGE(F4:F35)</f>
        <v>1.4865870967741934</v>
      </c>
      <c r="G37" s="213"/>
      <c r="H37" s="213"/>
      <c r="I37" s="213">
        <f>AVERAGE(I4:I35)</f>
        <v>42506.551875000005</v>
      </c>
    </row>
    <row r="38" spans="1:69">
      <c r="B38" s="36" t="s">
        <v>67</v>
      </c>
      <c r="F38" s="383">
        <f>AVERAGE(F4:F35)</f>
        <v>1.4865870967741934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abSelected="1" topLeftCell="A5" workbookViewId="0">
      <selection activeCell="B2" sqref="B2:B22"/>
    </sheetView>
  </sheetViews>
  <sheetFormatPr defaultRowHeight="15.75"/>
  <cols>
    <col min="2" max="2" width="8.5546875" style="1159" customWidth="1"/>
    <col min="3" max="3" width="7.44140625" style="1159" customWidth="1"/>
    <col min="4" max="4" width="7.5546875" style="1159" customWidth="1"/>
    <col min="5" max="5" width="7.88671875" style="1159" customWidth="1"/>
    <col min="6" max="6" width="10.6640625" style="1159" customWidth="1"/>
    <col min="8" max="8" width="7.5546875" customWidth="1"/>
  </cols>
  <sheetData>
    <row r="1" spans="1:11" ht="47.25">
      <c r="A1" s="1025"/>
      <c r="B1" s="1232" t="s">
        <v>366</v>
      </c>
      <c r="C1" s="1232" t="s">
        <v>303</v>
      </c>
      <c r="D1" s="1232" t="s">
        <v>304</v>
      </c>
      <c r="E1" s="1232" t="s">
        <v>306</v>
      </c>
      <c r="F1" s="1232" t="s">
        <v>305</v>
      </c>
      <c r="G1" s="1269" t="s">
        <v>308</v>
      </c>
      <c r="H1" s="1491" t="s">
        <v>349</v>
      </c>
    </row>
    <row r="2" spans="1:11">
      <c r="A2" s="1025">
        <v>1</v>
      </c>
      <c r="B2" s="1233">
        <f>C2/202%</f>
        <v>32.67326732673267</v>
      </c>
      <c r="C2" s="1233">
        <v>66</v>
      </c>
      <c r="D2" s="1233">
        <v>27</v>
      </c>
      <c r="E2" s="1233">
        <f>SUM(C2:D2)/202%</f>
        <v>46.039603960396036</v>
      </c>
      <c r="F2" s="1268">
        <v>467</v>
      </c>
      <c r="G2" s="1268">
        <f>C2+D2</f>
        <v>93</v>
      </c>
      <c r="H2" s="1492">
        <f>C2/202%</f>
        <v>32.67326732673267</v>
      </c>
      <c r="K2">
        <f>10/202</f>
        <v>4.9504950495049507E-2</v>
      </c>
    </row>
    <row r="3" spans="1:11">
      <c r="A3" s="1025">
        <v>2</v>
      </c>
      <c r="B3" s="1233">
        <f t="shared" ref="B3:B32" si="0">C3/202%</f>
        <v>58.415841584158414</v>
      </c>
      <c r="C3" s="1233">
        <v>118</v>
      </c>
      <c r="D3" s="1233">
        <v>26</v>
      </c>
      <c r="E3" s="1233">
        <f t="shared" ref="E3:E5" si="1">SUM(C3:D3)/202%</f>
        <v>71.287128712871294</v>
      </c>
      <c r="F3" s="1268">
        <v>417</v>
      </c>
      <c r="G3" s="1268">
        <f t="shared" ref="G3:G31" si="2">C3+D3</f>
        <v>144</v>
      </c>
      <c r="H3" s="1492">
        <f t="shared" ref="H3:H32" si="3">C3/202%</f>
        <v>58.415841584158414</v>
      </c>
    </row>
    <row r="4" spans="1:11">
      <c r="A4" s="1025">
        <v>3</v>
      </c>
      <c r="B4" s="1233">
        <f t="shared" si="0"/>
        <v>82.178217821782184</v>
      </c>
      <c r="C4" s="1233">
        <v>166</v>
      </c>
      <c r="D4" s="1233">
        <v>21</v>
      </c>
      <c r="E4" s="1233">
        <f t="shared" si="1"/>
        <v>92.574257425742573</v>
      </c>
      <c r="F4" s="1268">
        <v>483</v>
      </c>
      <c r="G4" s="1268">
        <f t="shared" si="2"/>
        <v>187</v>
      </c>
      <c r="H4" s="1492">
        <f t="shared" si="3"/>
        <v>82.178217821782184</v>
      </c>
    </row>
    <row r="5" spans="1:11">
      <c r="A5" s="1025">
        <v>4</v>
      </c>
      <c r="B5" s="1233">
        <f t="shared" si="0"/>
        <v>33.663366336633665</v>
      </c>
      <c r="C5" s="1233">
        <v>68</v>
      </c>
      <c r="D5" s="1233">
        <v>24</v>
      </c>
      <c r="E5" s="1233">
        <f t="shared" si="1"/>
        <v>45.544554455445542</v>
      </c>
      <c r="F5" s="1268">
        <v>378</v>
      </c>
      <c r="G5" s="1268">
        <f t="shared" si="2"/>
        <v>92</v>
      </c>
      <c r="H5" s="1492">
        <f t="shared" si="3"/>
        <v>33.663366336633665</v>
      </c>
    </row>
    <row r="6" spans="1:11">
      <c r="A6" s="1025">
        <v>5</v>
      </c>
      <c r="B6" s="1233">
        <f t="shared" si="0"/>
        <v>41.584158415841586</v>
      </c>
      <c r="C6" s="1233">
        <v>84</v>
      </c>
      <c r="D6" s="1233">
        <v>27</v>
      </c>
      <c r="E6" s="1233">
        <f t="shared" ref="E6:E31" si="4">SUM(C6:D6)/202%</f>
        <v>54.950495049504951</v>
      </c>
      <c r="F6" s="1268">
        <v>252</v>
      </c>
      <c r="G6" s="1268">
        <f t="shared" si="2"/>
        <v>111</v>
      </c>
      <c r="H6" s="1492">
        <f t="shared" si="3"/>
        <v>41.584158415841586</v>
      </c>
    </row>
    <row r="7" spans="1:11">
      <c r="A7" s="1025">
        <v>6</v>
      </c>
      <c r="B7" s="1233">
        <f t="shared" si="0"/>
        <v>46.534653465346537</v>
      </c>
      <c r="C7" s="1233">
        <v>94</v>
      </c>
      <c r="D7" s="1233">
        <v>28</v>
      </c>
      <c r="E7" s="1233">
        <f t="shared" si="4"/>
        <v>60.396039603960396</v>
      </c>
      <c r="F7" s="1268">
        <v>292</v>
      </c>
      <c r="G7" s="1268">
        <f t="shared" si="2"/>
        <v>122</v>
      </c>
      <c r="H7" s="1492">
        <f t="shared" si="3"/>
        <v>46.534653465346537</v>
      </c>
    </row>
    <row r="8" spans="1:11">
      <c r="A8" s="1025">
        <v>7</v>
      </c>
      <c r="B8" s="1233">
        <f t="shared" si="0"/>
        <v>53.465346534653463</v>
      </c>
      <c r="C8" s="1233">
        <v>108</v>
      </c>
      <c r="D8" s="1233">
        <v>28.27</v>
      </c>
      <c r="E8" s="1233">
        <f t="shared" si="4"/>
        <v>67.460396039603964</v>
      </c>
      <c r="F8" s="1268">
        <v>402</v>
      </c>
      <c r="G8" s="1268">
        <f t="shared" si="2"/>
        <v>136.27000000000001</v>
      </c>
      <c r="H8" s="1492">
        <f t="shared" si="3"/>
        <v>53.465346534653463</v>
      </c>
    </row>
    <row r="9" spans="1:11">
      <c r="A9" s="1025">
        <v>8</v>
      </c>
      <c r="B9" s="1233">
        <f t="shared" si="0"/>
        <v>49.504950495049506</v>
      </c>
      <c r="C9" s="1233">
        <v>100</v>
      </c>
      <c r="D9" s="1233">
        <v>27</v>
      </c>
      <c r="E9" s="1233">
        <f t="shared" si="4"/>
        <v>62.871287128712872</v>
      </c>
      <c r="F9" s="1268">
        <v>318</v>
      </c>
      <c r="G9" s="1268">
        <f t="shared" si="2"/>
        <v>127</v>
      </c>
      <c r="H9" s="1492">
        <f t="shared" si="3"/>
        <v>49.504950495049506</v>
      </c>
    </row>
    <row r="10" spans="1:11">
      <c r="A10" s="1025">
        <v>9</v>
      </c>
      <c r="B10" s="1233">
        <f t="shared" si="0"/>
        <v>64.356435643564353</v>
      </c>
      <c r="C10" s="1233">
        <v>130</v>
      </c>
      <c r="D10" s="1233">
        <v>21</v>
      </c>
      <c r="E10" s="1233">
        <f t="shared" si="4"/>
        <v>74.752475247524757</v>
      </c>
      <c r="F10" s="1268">
        <v>464</v>
      </c>
      <c r="G10" s="1268">
        <f t="shared" si="2"/>
        <v>151</v>
      </c>
      <c r="H10" s="1492">
        <f t="shared" si="3"/>
        <v>64.356435643564353</v>
      </c>
    </row>
    <row r="11" spans="1:11">
      <c r="A11" s="1025">
        <v>10</v>
      </c>
      <c r="B11" s="1233">
        <f t="shared" si="0"/>
        <v>82.178217821782184</v>
      </c>
      <c r="C11" s="1233">
        <v>166</v>
      </c>
      <c r="D11" s="1233">
        <v>22</v>
      </c>
      <c r="E11" s="1233">
        <f t="shared" si="4"/>
        <v>93.069306930693074</v>
      </c>
      <c r="F11" s="1268">
        <v>520</v>
      </c>
      <c r="G11" s="1268">
        <f t="shared" si="2"/>
        <v>188</v>
      </c>
      <c r="H11" s="1492">
        <f t="shared" si="3"/>
        <v>82.178217821782184</v>
      </c>
    </row>
    <row r="12" spans="1:11">
      <c r="A12" s="1025">
        <v>11</v>
      </c>
      <c r="B12" s="1233">
        <f t="shared" si="0"/>
        <v>60.89108910891089</v>
      </c>
      <c r="C12" s="1233">
        <v>123</v>
      </c>
      <c r="D12" s="1233">
        <v>27</v>
      </c>
      <c r="E12" s="1233">
        <f t="shared" si="4"/>
        <v>74.257425742574256</v>
      </c>
      <c r="F12" s="1268">
        <v>668</v>
      </c>
      <c r="G12" s="1268">
        <f t="shared" si="2"/>
        <v>150</v>
      </c>
      <c r="H12" s="1492">
        <f t="shared" si="3"/>
        <v>60.89108910891089</v>
      </c>
    </row>
    <row r="13" spans="1:11">
      <c r="A13" s="1025">
        <v>12</v>
      </c>
      <c r="B13" s="1233">
        <f t="shared" si="0"/>
        <v>48.019801980198018</v>
      </c>
      <c r="C13" s="1233">
        <v>97</v>
      </c>
      <c r="D13" s="1233">
        <v>29</v>
      </c>
      <c r="E13" s="1233">
        <f t="shared" si="4"/>
        <v>62.376237623762378</v>
      </c>
      <c r="F13" s="1233">
        <v>391</v>
      </c>
      <c r="G13" s="1268">
        <f t="shared" si="2"/>
        <v>126</v>
      </c>
      <c r="H13" s="1492">
        <f t="shared" si="3"/>
        <v>48.019801980198018</v>
      </c>
    </row>
    <row r="14" spans="1:11">
      <c r="A14" s="1025">
        <v>13</v>
      </c>
      <c r="B14" s="1233">
        <f t="shared" si="0"/>
        <v>52.475247524752476</v>
      </c>
      <c r="C14" s="1233">
        <v>106</v>
      </c>
      <c r="D14" s="1233">
        <v>28</v>
      </c>
      <c r="E14" s="1233">
        <f t="shared" si="4"/>
        <v>66.336633663366342</v>
      </c>
      <c r="F14" s="1233">
        <v>583</v>
      </c>
      <c r="G14" s="1268">
        <f t="shared" si="2"/>
        <v>134</v>
      </c>
      <c r="H14" s="1492">
        <f t="shared" si="3"/>
        <v>52.475247524752476</v>
      </c>
    </row>
    <row r="15" spans="1:11">
      <c r="A15" s="1025">
        <v>14</v>
      </c>
      <c r="B15" s="1233">
        <f t="shared" si="0"/>
        <v>61.881188118811878</v>
      </c>
      <c r="C15" s="1233">
        <v>125</v>
      </c>
      <c r="D15" s="1233">
        <v>28</v>
      </c>
      <c r="E15" s="1233">
        <f t="shared" si="4"/>
        <v>75.742574257425744</v>
      </c>
      <c r="F15" s="1233">
        <v>775</v>
      </c>
      <c r="G15" s="1268">
        <f t="shared" si="2"/>
        <v>153</v>
      </c>
      <c r="H15" s="1492">
        <f t="shared" si="3"/>
        <v>61.881188118811878</v>
      </c>
    </row>
    <row r="16" spans="1:11">
      <c r="A16" s="1025">
        <v>15</v>
      </c>
      <c r="B16" s="1233">
        <f t="shared" si="0"/>
        <v>58.415841584158414</v>
      </c>
      <c r="C16" s="1233">
        <v>118</v>
      </c>
      <c r="D16" s="1233">
        <v>23</v>
      </c>
      <c r="E16" s="1233">
        <f t="shared" si="4"/>
        <v>69.801980198019805</v>
      </c>
      <c r="F16" s="1233">
        <v>680</v>
      </c>
      <c r="G16" s="1268">
        <f t="shared" si="2"/>
        <v>141</v>
      </c>
      <c r="H16" s="1492">
        <f t="shared" si="3"/>
        <v>58.415841584158414</v>
      </c>
    </row>
    <row r="17" spans="1:10">
      <c r="A17" s="1025">
        <v>16</v>
      </c>
      <c r="B17" s="1233">
        <f t="shared" si="0"/>
        <v>62.376237623762378</v>
      </c>
      <c r="C17" s="1233">
        <v>126</v>
      </c>
      <c r="D17" s="1233">
        <v>25</v>
      </c>
      <c r="E17" s="1233">
        <f>SUM(C17:D17)/202%</f>
        <v>74.752475247524757</v>
      </c>
      <c r="F17" s="1233">
        <v>632</v>
      </c>
      <c r="G17" s="1268">
        <f t="shared" si="2"/>
        <v>151</v>
      </c>
      <c r="H17" s="1492">
        <f t="shared" si="3"/>
        <v>62.376237623762378</v>
      </c>
    </row>
    <row r="18" spans="1:10">
      <c r="A18" s="1025">
        <v>17</v>
      </c>
      <c r="B18" s="1233">
        <f t="shared" si="0"/>
        <v>81.683168316831683</v>
      </c>
      <c r="C18" s="1233">
        <v>165</v>
      </c>
      <c r="D18" s="1233">
        <v>25</v>
      </c>
      <c r="E18" s="1233">
        <f t="shared" si="4"/>
        <v>94.059405940594061</v>
      </c>
      <c r="F18" s="1233">
        <v>798</v>
      </c>
      <c r="G18" s="1268">
        <f t="shared" si="2"/>
        <v>190</v>
      </c>
      <c r="H18" s="1492">
        <f t="shared" si="3"/>
        <v>81.683168316831683</v>
      </c>
    </row>
    <row r="19" spans="1:10">
      <c r="A19" s="1025">
        <v>18</v>
      </c>
      <c r="B19" s="1233">
        <f t="shared" si="0"/>
        <v>60.89108910891089</v>
      </c>
      <c r="C19" s="1159">
        <v>123</v>
      </c>
      <c r="D19" s="1159">
        <v>27</v>
      </c>
      <c r="E19" s="1233">
        <f t="shared" si="4"/>
        <v>74.257425742574256</v>
      </c>
      <c r="F19" s="1159">
        <v>993</v>
      </c>
      <c r="G19" s="1268">
        <f t="shared" si="2"/>
        <v>150</v>
      </c>
      <c r="H19" s="1492">
        <f t="shared" si="3"/>
        <v>60.89108910891089</v>
      </c>
    </row>
    <row r="20" spans="1:10">
      <c r="A20" s="1025">
        <v>19</v>
      </c>
      <c r="B20" s="1233">
        <f t="shared" si="0"/>
        <v>40.594059405940591</v>
      </c>
      <c r="C20" s="1233">
        <v>82</v>
      </c>
      <c r="D20" s="1233">
        <v>24</v>
      </c>
      <c r="E20" s="1233">
        <f t="shared" si="4"/>
        <v>52.475247524752476</v>
      </c>
      <c r="F20" s="1233">
        <v>364</v>
      </c>
      <c r="G20" s="1268">
        <f t="shared" si="2"/>
        <v>106</v>
      </c>
      <c r="H20" s="1492">
        <f t="shared" si="3"/>
        <v>40.594059405940591</v>
      </c>
      <c r="J20">
        <f>165/192</f>
        <v>0.859375</v>
      </c>
    </row>
    <row r="21" spans="1:10">
      <c r="A21" s="1025">
        <v>20</v>
      </c>
      <c r="B21" s="1233">
        <f t="shared" si="0"/>
        <v>52.475247524752476</v>
      </c>
      <c r="C21" s="1233">
        <v>106</v>
      </c>
      <c r="D21" s="1233">
        <v>29</v>
      </c>
      <c r="E21" s="1233">
        <f t="shared" si="4"/>
        <v>66.831683168316829</v>
      </c>
      <c r="F21" s="1233">
        <v>484</v>
      </c>
      <c r="G21" s="1268">
        <f t="shared" si="2"/>
        <v>135</v>
      </c>
      <c r="H21" s="1492">
        <f t="shared" si="3"/>
        <v>52.475247524752476</v>
      </c>
    </row>
    <row r="22" spans="1:10">
      <c r="A22" s="1025">
        <v>21</v>
      </c>
      <c r="B22" s="1233">
        <f t="shared" si="0"/>
        <v>62.376237623762378</v>
      </c>
      <c r="C22" s="1233">
        <v>126</v>
      </c>
      <c r="D22" s="1233">
        <v>33</v>
      </c>
      <c r="E22" s="1233">
        <f t="shared" si="4"/>
        <v>78.712871287128706</v>
      </c>
      <c r="F22" s="1233">
        <v>398</v>
      </c>
      <c r="G22" s="1268">
        <f t="shared" si="2"/>
        <v>159</v>
      </c>
      <c r="H22" s="1492">
        <f t="shared" si="3"/>
        <v>62.376237623762378</v>
      </c>
    </row>
    <row r="23" spans="1:10">
      <c r="A23" s="1025">
        <v>22</v>
      </c>
      <c r="B23" s="1233">
        <f t="shared" si="0"/>
        <v>0</v>
      </c>
      <c r="C23" s="1233"/>
      <c r="D23" s="1233"/>
      <c r="E23" s="1233">
        <f t="shared" si="4"/>
        <v>0</v>
      </c>
      <c r="F23" s="1233"/>
      <c r="G23" s="1268">
        <f t="shared" si="2"/>
        <v>0</v>
      </c>
      <c r="H23" s="1492">
        <f t="shared" si="3"/>
        <v>0</v>
      </c>
    </row>
    <row r="24" spans="1:10">
      <c r="A24" s="1025">
        <v>23</v>
      </c>
      <c r="B24" s="1233">
        <f t="shared" si="0"/>
        <v>0</v>
      </c>
      <c r="C24" s="1233"/>
      <c r="D24" s="1233"/>
      <c r="E24" s="1233">
        <f t="shared" si="4"/>
        <v>0</v>
      </c>
      <c r="F24" s="1233"/>
      <c r="G24" s="1268">
        <f t="shared" si="2"/>
        <v>0</v>
      </c>
      <c r="H24" s="1492">
        <f t="shared" si="3"/>
        <v>0</v>
      </c>
    </row>
    <row r="25" spans="1:10">
      <c r="A25" s="1025">
        <v>24</v>
      </c>
      <c r="B25" s="1233">
        <f t="shared" si="0"/>
        <v>0</v>
      </c>
      <c r="C25" s="1233"/>
      <c r="D25" s="1233"/>
      <c r="E25" s="1233">
        <f t="shared" si="4"/>
        <v>0</v>
      </c>
      <c r="F25" s="1233"/>
      <c r="G25" s="1268">
        <f t="shared" si="2"/>
        <v>0</v>
      </c>
      <c r="H25" s="1492">
        <f t="shared" si="3"/>
        <v>0</v>
      </c>
    </row>
    <row r="26" spans="1:10">
      <c r="A26" s="1025">
        <v>25</v>
      </c>
      <c r="B26" s="1233">
        <f t="shared" si="0"/>
        <v>0</v>
      </c>
      <c r="C26" s="1233"/>
      <c r="D26" s="1233"/>
      <c r="E26" s="1233">
        <f t="shared" si="4"/>
        <v>0</v>
      </c>
      <c r="F26" s="1233"/>
      <c r="G26" s="1268">
        <f t="shared" si="2"/>
        <v>0</v>
      </c>
      <c r="H26" s="1492">
        <f t="shared" si="3"/>
        <v>0</v>
      </c>
    </row>
    <row r="27" spans="1:10">
      <c r="A27" s="1025">
        <v>26</v>
      </c>
      <c r="B27" s="1233">
        <f t="shared" si="0"/>
        <v>0</v>
      </c>
      <c r="C27" s="1233"/>
      <c r="D27" s="1233"/>
      <c r="E27" s="1233">
        <f t="shared" si="4"/>
        <v>0</v>
      </c>
      <c r="F27" s="1233"/>
      <c r="G27" s="1268">
        <f t="shared" si="2"/>
        <v>0</v>
      </c>
      <c r="H27" s="1492">
        <f t="shared" si="3"/>
        <v>0</v>
      </c>
    </row>
    <row r="28" spans="1:10">
      <c r="A28" s="1025">
        <v>27</v>
      </c>
      <c r="B28" s="1233">
        <f t="shared" si="0"/>
        <v>0</v>
      </c>
      <c r="C28" s="1233"/>
      <c r="D28" s="1233"/>
      <c r="E28" s="1233">
        <f t="shared" si="4"/>
        <v>0</v>
      </c>
      <c r="F28" s="1233"/>
      <c r="G28" s="1268">
        <f t="shared" si="2"/>
        <v>0</v>
      </c>
      <c r="H28" s="1492">
        <f t="shared" si="3"/>
        <v>0</v>
      </c>
    </row>
    <row r="29" spans="1:10">
      <c r="A29" s="1025">
        <v>28</v>
      </c>
      <c r="B29" s="1233">
        <f t="shared" si="0"/>
        <v>0</v>
      </c>
      <c r="C29" s="1233"/>
      <c r="D29" s="1233"/>
      <c r="E29" s="1233">
        <f t="shared" si="4"/>
        <v>0</v>
      </c>
      <c r="F29" s="1233"/>
      <c r="G29" s="1268">
        <f t="shared" si="2"/>
        <v>0</v>
      </c>
      <c r="H29" s="1492">
        <f t="shared" si="3"/>
        <v>0</v>
      </c>
    </row>
    <row r="30" spans="1:10">
      <c r="A30" s="1025">
        <v>29</v>
      </c>
      <c r="B30" s="1233">
        <f t="shared" si="0"/>
        <v>0</v>
      </c>
      <c r="C30" s="1233"/>
      <c r="D30" s="1233"/>
      <c r="E30" s="1233">
        <f t="shared" si="4"/>
        <v>0</v>
      </c>
      <c r="F30" s="1233"/>
      <c r="G30" s="1268">
        <f t="shared" si="2"/>
        <v>0</v>
      </c>
      <c r="H30" s="1492">
        <f t="shared" si="3"/>
        <v>0</v>
      </c>
    </row>
    <row r="31" spans="1:10">
      <c r="A31" s="1025">
        <v>30</v>
      </c>
      <c r="B31" s="1233">
        <f t="shared" si="0"/>
        <v>0</v>
      </c>
      <c r="C31" s="1233"/>
      <c r="D31" s="1233"/>
      <c r="E31" s="1233">
        <f t="shared" si="4"/>
        <v>0</v>
      </c>
      <c r="F31" s="1233"/>
      <c r="G31" s="1314">
        <f t="shared" si="2"/>
        <v>0</v>
      </c>
      <c r="H31" s="1492">
        <f t="shared" si="3"/>
        <v>0</v>
      </c>
    </row>
    <row r="32" spans="1:10">
      <c r="A32" s="1025">
        <v>31</v>
      </c>
      <c r="B32" s="1233">
        <f t="shared" si="0"/>
        <v>0</v>
      </c>
      <c r="C32" s="1233"/>
      <c r="D32" s="1233"/>
      <c r="E32" s="1233"/>
      <c r="F32" s="1233"/>
      <c r="G32" s="1314"/>
      <c r="H32" s="1492">
        <f t="shared" si="3"/>
        <v>0</v>
      </c>
    </row>
    <row r="33" spans="1:8">
      <c r="A33" t="s">
        <v>370</v>
      </c>
      <c r="B33" s="1159">
        <f>AVERAGE(B2:B31)</f>
        <v>39.554455445544555</v>
      </c>
      <c r="C33" s="1159">
        <f t="shared" ref="C33:H33" si="5">AVERAGE(C2:C31)</f>
        <v>114.14285714285714</v>
      </c>
      <c r="D33" s="1159">
        <f t="shared" si="5"/>
        <v>26.155714285714286</v>
      </c>
      <c r="E33" s="1159">
        <f t="shared" si="5"/>
        <v>48.618316831683167</v>
      </c>
      <c r="F33" s="1159">
        <f t="shared" si="5"/>
        <v>512.33333333333337</v>
      </c>
      <c r="G33" s="1159">
        <f t="shared" si="5"/>
        <v>98.209000000000003</v>
      </c>
      <c r="H33" s="1159">
        <f t="shared" si="5"/>
        <v>39.554455445544555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7"/>
      <c r="C3" s="1068" t="s">
        <v>0</v>
      </c>
      <c r="D3" s="1027">
        <v>1</v>
      </c>
      <c r="E3" s="1027">
        <v>2</v>
      </c>
      <c r="F3" s="1027">
        <v>3</v>
      </c>
      <c r="G3" s="1027">
        <v>4</v>
      </c>
      <c r="H3" s="1027">
        <v>5</v>
      </c>
      <c r="I3" s="1027">
        <v>6</v>
      </c>
      <c r="J3" s="1027">
        <v>7</v>
      </c>
      <c r="K3" s="1027">
        <v>8</v>
      </c>
      <c r="L3" s="1027">
        <v>9</v>
      </c>
      <c r="M3" s="1027">
        <v>10</v>
      </c>
      <c r="N3" s="1027">
        <v>11</v>
      </c>
      <c r="O3" s="1027">
        <v>12</v>
      </c>
      <c r="P3" s="1027">
        <v>13</v>
      </c>
      <c r="Q3" s="1027">
        <v>14</v>
      </c>
      <c r="R3" s="1068">
        <v>15</v>
      </c>
      <c r="S3" s="1068">
        <v>16</v>
      </c>
      <c r="T3" s="1068">
        <v>17</v>
      </c>
      <c r="U3" s="1068">
        <v>18</v>
      </c>
      <c r="V3" s="1068">
        <v>19</v>
      </c>
      <c r="W3" s="1068">
        <v>20</v>
      </c>
      <c r="X3" s="1068">
        <v>21</v>
      </c>
      <c r="Y3" s="1068">
        <v>22</v>
      </c>
      <c r="Z3" s="1068">
        <v>23</v>
      </c>
      <c r="AA3" s="1068">
        <v>24</v>
      </c>
      <c r="AB3" s="1068">
        <v>25</v>
      </c>
      <c r="AC3" s="1068">
        <v>26</v>
      </c>
      <c r="AD3" s="1068">
        <v>27</v>
      </c>
      <c r="AE3" s="1068">
        <v>28</v>
      </c>
      <c r="AF3" s="1068">
        <v>29</v>
      </c>
      <c r="AG3" s="1068">
        <v>30</v>
      </c>
      <c r="AH3" s="1068">
        <v>31</v>
      </c>
      <c r="AI3" s="1068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130</v>
      </c>
      <c r="M5" s="450">
        <f>'10'!G18</f>
        <v>160</v>
      </c>
      <c r="N5" s="450">
        <f>'11'!G18</f>
        <v>180</v>
      </c>
      <c r="O5" s="450">
        <f>'12'!G18</f>
        <v>120</v>
      </c>
      <c r="P5" s="450">
        <f>'13'!G18</f>
        <v>140</v>
      </c>
      <c r="Q5" s="450">
        <f>'14'!G18</f>
        <v>140</v>
      </c>
      <c r="R5" s="450">
        <f>'15'!G18</f>
        <v>120</v>
      </c>
      <c r="S5" s="450">
        <f>'16'!G18</f>
        <v>110</v>
      </c>
      <c r="T5" s="450">
        <f>'17'!G18</f>
        <v>140</v>
      </c>
      <c r="U5" s="450">
        <f>'18'!G18</f>
        <v>170</v>
      </c>
      <c r="V5" s="450">
        <f>'19'!G18</f>
        <v>200</v>
      </c>
      <c r="W5" s="450">
        <f>'20'!G18</f>
        <v>80</v>
      </c>
      <c r="X5" s="450">
        <f>'21'!G18</f>
        <v>100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61</v>
      </c>
      <c r="M6" s="450">
        <f>'10'!G19</f>
        <v>58</v>
      </c>
      <c r="N6" s="450">
        <f>'11'!G19</f>
        <v>60</v>
      </c>
      <c r="O6" s="450">
        <f>'12'!G19</f>
        <v>66</v>
      </c>
      <c r="P6" s="450">
        <f>'13'!G19</f>
        <v>62</v>
      </c>
      <c r="Q6" s="450">
        <f>'14'!G19</f>
        <v>65</v>
      </c>
      <c r="R6" s="450">
        <f>'15'!G19</f>
        <v>64</v>
      </c>
      <c r="S6" s="450">
        <f>'16'!G19</f>
        <v>60</v>
      </c>
      <c r="T6" s="450">
        <f>'17'!G19</f>
        <v>61</v>
      </c>
      <c r="U6" s="450">
        <f>'18'!G19</f>
        <v>9</v>
      </c>
      <c r="V6" s="450">
        <f>'19'!G19</f>
        <v>57</v>
      </c>
      <c r="W6" s="450">
        <f>'20'!G19</f>
        <v>63</v>
      </c>
      <c r="X6" s="450">
        <f>'21'!G19</f>
        <v>75</v>
      </c>
      <c r="Y6" s="450">
        <f>'22'!G19</f>
        <v>-1749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87</v>
      </c>
      <c r="M7" s="450">
        <f>'10'!G93</f>
        <v>121</v>
      </c>
      <c r="N7" s="450">
        <f>'11'!G93</f>
        <v>129</v>
      </c>
      <c r="O7" s="450">
        <f>'12'!G93</f>
        <v>95</v>
      </c>
      <c r="P7" s="450">
        <f>'13'!G93</f>
        <v>91</v>
      </c>
      <c r="Q7" s="450">
        <f>'14'!G93</f>
        <v>87</v>
      </c>
      <c r="R7" s="450">
        <f>'15'!G93</f>
        <v>75</v>
      </c>
      <c r="S7" s="450">
        <f>'16'!G93</f>
        <v>103</v>
      </c>
      <c r="T7" s="450">
        <f>'17'!G93</f>
        <v>101</v>
      </c>
      <c r="U7" s="450">
        <f>'18'!G93</f>
        <v>163</v>
      </c>
      <c r="V7" s="450">
        <f>'19'!G93</f>
        <v>100</v>
      </c>
      <c r="W7" s="450">
        <f>'20'!G93</f>
        <v>35</v>
      </c>
      <c r="X7" s="450">
        <f>'21'!G93</f>
        <v>79</v>
      </c>
      <c r="Y7" s="450">
        <f>'22'!G93</f>
        <v>-2668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91</v>
      </c>
      <c r="M8" s="450">
        <f>'10'!G94</f>
        <v>96</v>
      </c>
      <c r="N8" s="450">
        <f>'11'!G94</f>
        <v>163</v>
      </c>
      <c r="O8" s="450">
        <f>'12'!G94</f>
        <v>131</v>
      </c>
      <c r="P8" s="450">
        <f>'13'!G94</f>
        <v>106</v>
      </c>
      <c r="Q8" s="450">
        <f>'14'!G94</f>
        <v>99</v>
      </c>
      <c r="R8" s="450">
        <f>'15'!G94</f>
        <v>147</v>
      </c>
      <c r="S8" s="450">
        <f>'16'!G94</f>
        <v>71</v>
      </c>
      <c r="T8" s="450">
        <f>'17'!G94</f>
        <v>190</v>
      </c>
      <c r="U8" s="450">
        <f>'18'!G94</f>
        <v>160</v>
      </c>
      <c r="V8" s="450">
        <f>'19'!G94</f>
        <v>154</v>
      </c>
      <c r="W8" s="450">
        <f>'20'!G94</f>
        <v>151</v>
      </c>
      <c r="X8" s="450">
        <f>'21'!G94</f>
        <v>118</v>
      </c>
      <c r="Y8" s="450">
        <f>'22'!G94</f>
        <v>-3439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33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93</v>
      </c>
      <c r="M9" s="450">
        <f>'10'!G96</f>
        <v>76</v>
      </c>
      <c r="N9" s="450">
        <f>'11'!G96</f>
        <v>77</v>
      </c>
      <c r="O9" s="450">
        <f>'12'!G96</f>
        <v>91</v>
      </c>
      <c r="P9" s="450">
        <f>'13'!G96</f>
        <v>101</v>
      </c>
      <c r="Q9" s="450">
        <f>'14'!G96</f>
        <v>74</v>
      </c>
      <c r="R9" s="450">
        <f>'15'!G96</f>
        <v>78</v>
      </c>
      <c r="S9" s="450">
        <f>'16'!G96</f>
        <v>96</v>
      </c>
      <c r="T9" s="450">
        <f>'17'!G96</f>
        <v>89</v>
      </c>
      <c r="U9" s="450">
        <f>'18'!G96</f>
        <v>90</v>
      </c>
      <c r="V9" s="450">
        <f>'19'!G96</f>
        <v>76</v>
      </c>
      <c r="W9" s="450">
        <f>'20'!G96</f>
        <v>51</v>
      </c>
      <c r="X9" s="450">
        <f>'21'!G96</f>
        <v>79</v>
      </c>
      <c r="Y9" s="450">
        <f>'22'!G96</f>
        <v>-2350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33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19</v>
      </c>
      <c r="M10" s="450">
        <f>'10'!G97</f>
        <v>26</v>
      </c>
      <c r="N10" s="450">
        <f>'11'!G97</f>
        <v>32</v>
      </c>
      <c r="O10" s="450">
        <f>'12'!G97</f>
        <v>22</v>
      </c>
      <c r="P10" s="450">
        <f>'13'!G97</f>
        <v>15</v>
      </c>
      <c r="Q10" s="450">
        <f>'14'!G97</f>
        <v>24</v>
      </c>
      <c r="R10" s="450">
        <f>'15'!G97</f>
        <v>21</v>
      </c>
      <c r="S10" s="450">
        <f>'16'!G97</f>
        <v>26</v>
      </c>
      <c r="T10" s="450">
        <f>'17'!G97</f>
        <v>30</v>
      </c>
      <c r="U10" s="450">
        <f>'18'!G97</f>
        <v>30</v>
      </c>
      <c r="V10" s="450">
        <f>'19'!G97</f>
        <v>18</v>
      </c>
      <c r="W10" s="450">
        <f>'20'!G97</f>
        <v>15</v>
      </c>
      <c r="X10" s="450">
        <f>'21'!G97</f>
        <v>18</v>
      </c>
      <c r="Y10" s="450">
        <f>'22'!G97</f>
        <v>-629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33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24</v>
      </c>
      <c r="M11" s="450">
        <f>'10'!G98</f>
        <v>35</v>
      </c>
      <c r="N11" s="450">
        <f>'11'!G98</f>
        <v>41</v>
      </c>
      <c r="O11" s="450">
        <f>'12'!G98</f>
        <v>21</v>
      </c>
      <c r="P11" s="450">
        <f>'13'!G98</f>
        <v>24</v>
      </c>
      <c r="Q11" s="450">
        <f>'14'!G98</f>
        <v>22</v>
      </c>
      <c r="R11" s="450">
        <f>'15'!G98</f>
        <v>26</v>
      </c>
      <c r="S11" s="450">
        <f>'16'!G98</f>
        <v>25</v>
      </c>
      <c r="T11" s="450">
        <f>'17'!G98</f>
        <v>30</v>
      </c>
      <c r="U11" s="450">
        <f>'18'!G98</f>
        <v>29</v>
      </c>
      <c r="V11" s="450">
        <f>'19'!G98</f>
        <v>23</v>
      </c>
      <c r="W11" s="450">
        <f>'20'!G98</f>
        <v>17</v>
      </c>
      <c r="X11" s="450">
        <f>'21'!G98</f>
        <v>23</v>
      </c>
      <c r="Y11" s="450">
        <f>'22'!G98</f>
        <v>-712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3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14</v>
      </c>
      <c r="M13" s="450">
        <f>'10'!G99</f>
        <v>25</v>
      </c>
      <c r="N13" s="450">
        <f>'11'!G99</f>
        <v>17</v>
      </c>
      <c r="O13" s="450">
        <f>'12'!G99</f>
        <v>71</v>
      </c>
      <c r="P13" s="450">
        <f>'13'!G99</f>
        <v>17</v>
      </c>
      <c r="Q13" s="450">
        <f>'14'!G99</f>
        <v>22</v>
      </c>
      <c r="R13" s="450">
        <f>'15'!G99</f>
        <v>36</v>
      </c>
      <c r="S13" s="450">
        <f>'16'!G99</f>
        <v>13</v>
      </c>
      <c r="T13" s="450">
        <f>'17'!G99</f>
        <v>23</v>
      </c>
      <c r="U13" s="450">
        <f>'18'!G99</f>
        <v>27</v>
      </c>
      <c r="V13" s="450">
        <f>'19'!G99</f>
        <v>35</v>
      </c>
      <c r="W13" s="450">
        <f>'20'!G99</f>
        <v>10</v>
      </c>
      <c r="X13" s="450">
        <f>'21'!G99</f>
        <v>18</v>
      </c>
      <c r="Y13" s="450">
        <f>'22'!G99</f>
        <v>-890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33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12</v>
      </c>
      <c r="M14" s="450">
        <f>'10'!G115</f>
        <v>22</v>
      </c>
      <c r="N14" s="450">
        <f>'11'!G115</f>
        <v>17</v>
      </c>
      <c r="O14" s="450">
        <f>'12'!G115</f>
        <v>16</v>
      </c>
      <c r="P14" s="450">
        <f>'13'!G115</f>
        <v>11</v>
      </c>
      <c r="Q14" s="450">
        <f>'14'!G115</f>
        <v>10</v>
      </c>
      <c r="R14" s="450">
        <f>'15'!G115</f>
        <v>14</v>
      </c>
      <c r="S14" s="450">
        <f>'16'!G115</f>
        <v>12</v>
      </c>
      <c r="T14" s="450">
        <f>'17'!G115</f>
        <v>16</v>
      </c>
      <c r="U14" s="450">
        <f>'18'!G115</f>
        <v>19</v>
      </c>
      <c r="V14" s="450">
        <f>'19'!G115</f>
        <v>11</v>
      </c>
      <c r="W14" s="450">
        <f>'20'!G115</f>
        <v>15</v>
      </c>
      <c r="X14" s="450">
        <f>'21'!G115</f>
        <v>19</v>
      </c>
      <c r="Y14" s="450">
        <f>'22'!G115</f>
        <v>-472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33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6</v>
      </c>
      <c r="M15" s="450">
        <f>'10'!G116</f>
        <v>22</v>
      </c>
      <c r="N15" s="450">
        <f>'11'!G116</f>
        <v>9</v>
      </c>
      <c r="O15" s="450">
        <f>'12'!G116</f>
        <v>11</v>
      </c>
      <c r="P15" s="450">
        <f>'13'!G116</f>
        <v>4</v>
      </c>
      <c r="Q15" s="450">
        <f>'14'!G116</f>
        <v>16</v>
      </c>
      <c r="R15" s="450">
        <f>'15'!G116</f>
        <v>8</v>
      </c>
      <c r="S15" s="450">
        <f>'16'!G116</f>
        <v>7</v>
      </c>
      <c r="T15" s="450">
        <f>'17'!G116</f>
        <v>8</v>
      </c>
      <c r="U15" s="450">
        <f>'18'!G116</f>
        <v>9</v>
      </c>
      <c r="V15" s="450">
        <f>'19'!G116</f>
        <v>6</v>
      </c>
      <c r="W15" s="450">
        <f>'20'!G116</f>
        <v>4</v>
      </c>
      <c r="X15" s="450">
        <f>'21'!G116</f>
        <v>11</v>
      </c>
      <c r="Y15" s="450">
        <f>'22'!G116</f>
        <v>-249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3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33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7</v>
      </c>
      <c r="M18" s="450">
        <f>'10'!G106</f>
        <v>11</v>
      </c>
      <c r="N18" s="450">
        <f>'11'!G106</f>
        <v>12</v>
      </c>
      <c r="O18" s="450">
        <f>'12'!G106</f>
        <v>14</v>
      </c>
      <c r="P18" s="450">
        <f>'13'!G106</f>
        <v>23</v>
      </c>
      <c r="Q18" s="450">
        <f>'14'!G106</f>
        <v>10</v>
      </c>
      <c r="R18" s="450">
        <f>'15'!G106</f>
        <v>8</v>
      </c>
      <c r="S18" s="450">
        <f>'16'!G106</f>
        <v>11</v>
      </c>
      <c r="T18" s="450">
        <f>'17'!G106</f>
        <v>11</v>
      </c>
      <c r="U18" s="450">
        <f>'18'!G106</f>
        <v>10</v>
      </c>
      <c r="V18" s="450">
        <f>'19'!G106</f>
        <v>10</v>
      </c>
      <c r="W18" s="450">
        <f>'20'!G106</f>
        <v>0</v>
      </c>
      <c r="X18" s="450">
        <f>'21'!G106</f>
        <v>12</v>
      </c>
      <c r="Y18" s="450">
        <f>'22'!G106</f>
        <v>-275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33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6</v>
      </c>
      <c r="M19" s="450">
        <f>'10'!G107</f>
        <v>5</v>
      </c>
      <c r="N19" s="450">
        <f>'11'!G107</f>
        <v>5</v>
      </c>
      <c r="O19" s="450">
        <f>'12'!G107</f>
        <v>5</v>
      </c>
      <c r="P19" s="450">
        <f>'13'!G107</f>
        <v>5</v>
      </c>
      <c r="Q19" s="450">
        <f>'14'!G107</f>
        <v>4</v>
      </c>
      <c r="R19" s="450">
        <f>'15'!G107</f>
        <v>4</v>
      </c>
      <c r="S19" s="450">
        <f>'16'!G107</f>
        <v>6</v>
      </c>
      <c r="T19" s="450">
        <f>'17'!G107</f>
        <v>4</v>
      </c>
      <c r="U19" s="450">
        <f>'18'!G107</f>
        <v>5</v>
      </c>
      <c r="V19" s="450">
        <f>'19'!G107</f>
        <v>6</v>
      </c>
      <c r="W19" s="450">
        <f>'20'!G107</f>
        <v>0</v>
      </c>
      <c r="X19" s="450">
        <f>'21'!G107</f>
        <v>6</v>
      </c>
      <c r="Y19" s="450">
        <f>'22'!G107</f>
        <v>-125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3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89</v>
      </c>
      <c r="M21" s="450">
        <f>'10'!G110</f>
        <v>87</v>
      </c>
      <c r="N21" s="450">
        <f>'11'!G110</f>
        <v>65</v>
      </c>
      <c r="O21" s="450">
        <f>'12'!G110</f>
        <v>64</v>
      </c>
      <c r="P21" s="450">
        <f>'13'!G110</f>
        <v>65</v>
      </c>
      <c r="Q21" s="450">
        <f>'14'!G110</f>
        <v>65</v>
      </c>
      <c r="R21" s="450">
        <f>'15'!G110</f>
        <v>65</v>
      </c>
      <c r="S21" s="450">
        <f>'16'!G110</f>
        <v>66</v>
      </c>
      <c r="T21" s="450">
        <f>'17'!G110</f>
        <v>66</v>
      </c>
      <c r="U21" s="450">
        <f>'18'!G110</f>
        <v>65</v>
      </c>
      <c r="V21" s="450">
        <f>'19'!G110</f>
        <v>66</v>
      </c>
      <c r="W21" s="450">
        <f>'20'!G110</f>
        <v>66</v>
      </c>
      <c r="X21" s="450">
        <f>'21'!G110</f>
        <v>66</v>
      </c>
      <c r="Y21" s="450">
        <f>'22'!G110</f>
        <v>-2038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33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26</v>
      </c>
      <c r="M22" s="450">
        <f>'10'!G111</f>
        <v>14</v>
      </c>
      <c r="N22" s="450">
        <f>'11'!G111</f>
        <v>24</v>
      </c>
      <c r="O22" s="450">
        <f>'12'!G111</f>
        <v>70</v>
      </c>
      <c r="P22" s="450">
        <f>'13'!G111</f>
        <v>26</v>
      </c>
      <c r="Q22" s="450">
        <f>'14'!G111</f>
        <v>13</v>
      </c>
      <c r="R22" s="450">
        <f>'15'!G111</f>
        <v>7</v>
      </c>
      <c r="S22" s="450">
        <f>'16'!G111</f>
        <v>28</v>
      </c>
      <c r="T22" s="450">
        <f>'17'!G111</f>
        <v>26</v>
      </c>
      <c r="U22" s="450">
        <f>'18'!G111</f>
        <v>12</v>
      </c>
      <c r="V22" s="450">
        <f>'19'!G111</f>
        <v>40</v>
      </c>
      <c r="W22" s="450">
        <f>'20'!G111</f>
        <v>33</v>
      </c>
      <c r="X22" s="450">
        <f>'21'!G111</f>
        <v>4</v>
      </c>
      <c r="Y22" s="450">
        <f>'22'!G111</f>
        <v>-885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33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-1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191</v>
      </c>
      <c r="M24" s="450">
        <f t="shared" si="0"/>
        <v>218</v>
      </c>
      <c r="N24" s="450">
        <f t="shared" si="0"/>
        <v>240</v>
      </c>
      <c r="O24" s="450">
        <f t="shared" si="0"/>
        <v>186</v>
      </c>
      <c r="P24" s="450">
        <f t="shared" si="0"/>
        <v>202</v>
      </c>
      <c r="Q24" s="450">
        <f t="shared" si="0"/>
        <v>205</v>
      </c>
      <c r="R24" s="450">
        <f t="shared" si="0"/>
        <v>184</v>
      </c>
      <c r="S24" s="450">
        <f t="shared" si="0"/>
        <v>170</v>
      </c>
      <c r="T24" s="450">
        <f t="shared" si="0"/>
        <v>201</v>
      </c>
      <c r="U24" s="450">
        <f t="shared" si="0"/>
        <v>179</v>
      </c>
      <c r="V24" s="450">
        <f t="shared" si="0"/>
        <v>257</v>
      </c>
      <c r="W24" s="450">
        <f t="shared" si="0"/>
        <v>143</v>
      </c>
      <c r="X24" s="450">
        <f t="shared" si="0"/>
        <v>175</v>
      </c>
      <c r="Y24" s="450">
        <f t="shared" si="0"/>
        <v>-1659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154</v>
      </c>
      <c r="M25" s="450">
        <f t="shared" si="1"/>
        <v>181</v>
      </c>
      <c r="N25" s="450">
        <f t="shared" si="1"/>
        <v>176</v>
      </c>
      <c r="O25" s="450">
        <f t="shared" si="1"/>
        <v>161</v>
      </c>
      <c r="P25" s="450">
        <f t="shared" si="1"/>
        <v>155</v>
      </c>
      <c r="Q25" s="450">
        <f t="shared" si="1"/>
        <v>146</v>
      </c>
      <c r="R25" s="450">
        <f t="shared" si="1"/>
        <v>147</v>
      </c>
      <c r="S25" s="450">
        <f t="shared" si="1"/>
        <v>166</v>
      </c>
      <c r="T25" s="450">
        <f>SUM(T9:T11,T14:T15,)</f>
        <v>173</v>
      </c>
      <c r="U25" s="450">
        <f t="shared" si="1"/>
        <v>177</v>
      </c>
      <c r="V25" s="450">
        <f t="shared" si="1"/>
        <v>134</v>
      </c>
      <c r="W25" s="450">
        <f t="shared" si="1"/>
        <v>102</v>
      </c>
      <c r="X25" s="450">
        <f t="shared" si="1"/>
        <v>150</v>
      </c>
      <c r="Y25" s="450">
        <f t="shared" si="1"/>
        <v>-4412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103</v>
      </c>
      <c r="M27" s="450">
        <f t="shared" si="2"/>
        <v>112</v>
      </c>
      <c r="N27" s="450">
        <f t="shared" si="2"/>
        <v>82</v>
      </c>
      <c r="O27" s="450">
        <f t="shared" si="2"/>
        <v>135</v>
      </c>
      <c r="P27" s="450">
        <f t="shared" si="2"/>
        <v>82</v>
      </c>
      <c r="Q27" s="450">
        <f t="shared" si="2"/>
        <v>87</v>
      </c>
      <c r="R27" s="450">
        <f t="shared" si="2"/>
        <v>101</v>
      </c>
      <c r="S27" s="450">
        <f t="shared" si="2"/>
        <v>79</v>
      </c>
      <c r="T27" s="450">
        <f t="shared" si="2"/>
        <v>89</v>
      </c>
      <c r="U27" s="450">
        <f t="shared" si="2"/>
        <v>92</v>
      </c>
      <c r="V27" s="450">
        <f t="shared" si="2"/>
        <v>101</v>
      </c>
      <c r="W27" s="450">
        <f t="shared" si="2"/>
        <v>76</v>
      </c>
      <c r="X27" s="450">
        <f t="shared" si="2"/>
        <v>84</v>
      </c>
      <c r="Y27" s="450">
        <f t="shared" si="2"/>
        <v>-2929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4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  <c r="AE28" s="1025"/>
      <c r="AF28" s="1025"/>
      <c r="AG28" s="1025"/>
      <c r="AH28" s="1025"/>
      <c r="AI28" s="1025"/>
    </row>
    <row r="29" spans="2:35">
      <c r="B29" s="1024" t="s">
        <v>84</v>
      </c>
      <c r="C29" s="1025"/>
      <c r="D29" s="1026">
        <f>D9</f>
        <v>86</v>
      </c>
      <c r="E29" s="1026">
        <f t="shared" ref="E29:AH29" si="4">E9</f>
        <v>100</v>
      </c>
      <c r="F29" s="1026">
        <f t="shared" si="4"/>
        <v>102</v>
      </c>
      <c r="G29" s="1026">
        <f t="shared" si="4"/>
        <v>147</v>
      </c>
      <c r="H29" s="1026">
        <f t="shared" si="4"/>
        <v>120</v>
      </c>
      <c r="I29" s="1026">
        <f t="shared" si="4"/>
        <v>59</v>
      </c>
      <c r="J29" s="1026">
        <f t="shared" si="4"/>
        <v>76</v>
      </c>
      <c r="K29" s="1026">
        <f t="shared" si="4"/>
        <v>80</v>
      </c>
      <c r="L29" s="1026">
        <f t="shared" si="4"/>
        <v>93</v>
      </c>
      <c r="M29" s="1026">
        <f t="shared" si="4"/>
        <v>76</v>
      </c>
      <c r="N29" s="1026">
        <f t="shared" si="4"/>
        <v>77</v>
      </c>
      <c r="O29" s="1026">
        <f t="shared" si="4"/>
        <v>91</v>
      </c>
      <c r="P29" s="1026">
        <f t="shared" si="4"/>
        <v>101</v>
      </c>
      <c r="Q29" s="1026">
        <f t="shared" si="4"/>
        <v>74</v>
      </c>
      <c r="R29" s="1026">
        <f t="shared" si="4"/>
        <v>78</v>
      </c>
      <c r="S29" s="1026">
        <f t="shared" si="4"/>
        <v>96</v>
      </c>
      <c r="T29" s="1026">
        <f t="shared" si="4"/>
        <v>89</v>
      </c>
      <c r="U29" s="1026">
        <f t="shared" si="4"/>
        <v>90</v>
      </c>
      <c r="V29" s="1026">
        <f t="shared" si="4"/>
        <v>76</v>
      </c>
      <c r="W29" s="1026">
        <f t="shared" si="4"/>
        <v>51</v>
      </c>
      <c r="X29" s="1026">
        <f t="shared" si="4"/>
        <v>79</v>
      </c>
      <c r="Y29" s="1026">
        <f t="shared" si="4"/>
        <v>-2350</v>
      </c>
      <c r="Z29" s="1026">
        <f t="shared" si="4"/>
        <v>43</v>
      </c>
      <c r="AA29" s="1026">
        <f t="shared" si="4"/>
        <v>73</v>
      </c>
      <c r="AB29" s="1026">
        <f t="shared" si="4"/>
        <v>70</v>
      </c>
      <c r="AC29" s="1026">
        <f t="shared" si="4"/>
        <v>79</v>
      </c>
      <c r="AD29" s="1026">
        <f t="shared" si="4"/>
        <v>73</v>
      </c>
      <c r="AE29" s="1026">
        <f t="shared" si="4"/>
        <v>71</v>
      </c>
      <c r="AF29" s="1026">
        <f t="shared" si="4"/>
        <v>61</v>
      </c>
      <c r="AG29" s="1026">
        <f t="shared" si="4"/>
        <v>39</v>
      </c>
      <c r="AH29" s="1026">
        <f t="shared" si="4"/>
        <v>-1716</v>
      </c>
      <c r="AI29" s="1025"/>
    </row>
    <row r="30" spans="2:35">
      <c r="B30" s="1024" t="s">
        <v>85</v>
      </c>
      <c r="C30" s="1025"/>
      <c r="D30" s="1026">
        <f>SUM(D10:D11,D14:D15)</f>
        <v>47</v>
      </c>
      <c r="E30" s="1026">
        <f t="shared" ref="E30:AH30" si="5">SUM(E10:E11,E14:E15)</f>
        <v>47</v>
      </c>
      <c r="F30" s="1026">
        <f t="shared" si="5"/>
        <v>85</v>
      </c>
      <c r="G30" s="1026">
        <f t="shared" si="5"/>
        <v>109</v>
      </c>
      <c r="H30" s="1026">
        <f t="shared" si="5"/>
        <v>41</v>
      </c>
      <c r="I30" s="1026">
        <f t="shared" si="5"/>
        <v>55</v>
      </c>
      <c r="J30" s="1026">
        <f t="shared" si="5"/>
        <v>59</v>
      </c>
      <c r="K30" s="1026">
        <f t="shared" si="5"/>
        <v>60</v>
      </c>
      <c r="L30" s="1026">
        <f t="shared" si="5"/>
        <v>61</v>
      </c>
      <c r="M30" s="1026">
        <f t="shared" si="5"/>
        <v>105</v>
      </c>
      <c r="N30" s="1026">
        <f t="shared" si="5"/>
        <v>99</v>
      </c>
      <c r="O30" s="1026">
        <f t="shared" si="5"/>
        <v>70</v>
      </c>
      <c r="P30" s="1026">
        <f t="shared" si="5"/>
        <v>54</v>
      </c>
      <c r="Q30" s="1026">
        <f t="shared" si="5"/>
        <v>72</v>
      </c>
      <c r="R30" s="1026">
        <f t="shared" si="5"/>
        <v>69</v>
      </c>
      <c r="S30" s="1026">
        <f t="shared" si="5"/>
        <v>70</v>
      </c>
      <c r="T30" s="1026">
        <f t="shared" si="5"/>
        <v>84</v>
      </c>
      <c r="U30" s="1026">
        <f t="shared" si="5"/>
        <v>87</v>
      </c>
      <c r="V30" s="1026">
        <f t="shared" si="5"/>
        <v>58</v>
      </c>
      <c r="W30" s="1026">
        <f t="shared" si="5"/>
        <v>51</v>
      </c>
      <c r="X30" s="1026">
        <f t="shared" si="5"/>
        <v>71</v>
      </c>
      <c r="Y30" s="1026">
        <f t="shared" si="5"/>
        <v>-2062</v>
      </c>
      <c r="Z30" s="1026">
        <f t="shared" si="5"/>
        <v>57</v>
      </c>
      <c r="AA30" s="1026">
        <f t="shared" si="5"/>
        <v>55</v>
      </c>
      <c r="AB30" s="1026">
        <f t="shared" si="5"/>
        <v>73</v>
      </c>
      <c r="AC30" s="1026">
        <f t="shared" si="5"/>
        <v>102</v>
      </c>
      <c r="AD30" s="1026">
        <f t="shared" si="5"/>
        <v>115</v>
      </c>
      <c r="AE30" s="1026">
        <f t="shared" si="5"/>
        <v>85</v>
      </c>
      <c r="AF30" s="1026">
        <f t="shared" si="5"/>
        <v>72</v>
      </c>
      <c r="AG30" s="1026">
        <f t="shared" si="5"/>
        <v>49</v>
      </c>
      <c r="AH30" s="1026">
        <f t="shared" si="5"/>
        <v>-1981</v>
      </c>
      <c r="AI30" s="1025"/>
    </row>
    <row r="31" spans="2:35">
      <c r="B31" s="1024" t="s">
        <v>86</v>
      </c>
      <c r="C31" s="1025"/>
      <c r="D31" s="1025">
        <f>D30/SUM(D29:D30)%</f>
        <v>35.338345864661655</v>
      </c>
      <c r="E31" s="1025">
        <f t="shared" ref="E31:AH31" si="6">E30/SUM(E29:E30)%</f>
        <v>31.972789115646258</v>
      </c>
      <c r="F31" s="1025">
        <f t="shared" si="6"/>
        <v>45.454545454545453</v>
      </c>
      <c r="G31" s="1025">
        <f t="shared" si="6"/>
        <v>42.578125</v>
      </c>
      <c r="H31" s="1025">
        <f t="shared" si="6"/>
        <v>25.465838509316768</v>
      </c>
      <c r="I31" s="1025">
        <f t="shared" si="6"/>
        <v>48.245614035087726</v>
      </c>
      <c r="J31" s="1025">
        <f t="shared" si="6"/>
        <v>43.703703703703702</v>
      </c>
      <c r="K31" s="1025">
        <f t="shared" si="6"/>
        <v>42.857142857142861</v>
      </c>
      <c r="L31" s="1025">
        <f t="shared" si="6"/>
        <v>39.61038961038961</v>
      </c>
      <c r="M31" s="1025">
        <f t="shared" si="6"/>
        <v>58.011049723756905</v>
      </c>
      <c r="N31" s="1025">
        <f t="shared" si="6"/>
        <v>56.25</v>
      </c>
      <c r="O31" s="1025">
        <f t="shared" si="6"/>
        <v>43.478260869565212</v>
      </c>
      <c r="P31" s="1025">
        <f t="shared" si="6"/>
        <v>34.838709677419352</v>
      </c>
      <c r="Q31" s="1025">
        <f t="shared" si="6"/>
        <v>49.315068493150683</v>
      </c>
      <c r="R31" s="1025">
        <f t="shared" si="6"/>
        <v>46.938775510204081</v>
      </c>
      <c r="S31" s="1025">
        <f t="shared" si="6"/>
        <v>42.168674698795179</v>
      </c>
      <c r="T31" s="1025">
        <f t="shared" si="6"/>
        <v>48.554913294797686</v>
      </c>
      <c r="U31" s="1025">
        <f t="shared" si="6"/>
        <v>49.152542372881356</v>
      </c>
      <c r="V31" s="1025">
        <f t="shared" si="6"/>
        <v>43.283582089552233</v>
      </c>
      <c r="W31" s="1025">
        <f t="shared" si="6"/>
        <v>50</v>
      </c>
      <c r="X31" s="1025">
        <f t="shared" si="6"/>
        <v>47.333333333333336</v>
      </c>
      <c r="Y31" s="1025">
        <f t="shared" si="6"/>
        <v>46.736174070716231</v>
      </c>
      <c r="Z31" s="1025">
        <f t="shared" si="6"/>
        <v>57</v>
      </c>
      <c r="AA31" s="1025">
        <f t="shared" si="6"/>
        <v>42.96875</v>
      </c>
      <c r="AB31" s="1025">
        <f t="shared" si="6"/>
        <v>51.048951048951054</v>
      </c>
      <c r="AC31" s="1025">
        <f t="shared" si="6"/>
        <v>56.353591160220994</v>
      </c>
      <c r="AD31" s="1025">
        <f t="shared" si="6"/>
        <v>61.170212765957451</v>
      </c>
      <c r="AE31" s="1025">
        <f t="shared" si="6"/>
        <v>54.487179487179482</v>
      </c>
      <c r="AF31" s="1025">
        <f t="shared" si="6"/>
        <v>54.13533834586466</v>
      </c>
      <c r="AG31" s="1025">
        <f t="shared" si="6"/>
        <v>55.68181818181818</v>
      </c>
      <c r="AH31" s="1025">
        <f t="shared" si="6"/>
        <v>53.583987016499869</v>
      </c>
      <c r="AI31" s="102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F4" zoomScale="70" zoomScaleNormal="70" workbookViewId="0">
      <pane ySplit="1" topLeftCell="A5" activePane="bottomLeft" state="frozen"/>
      <selection activeCell="A4" sqref="A4"/>
      <selection pane="bottomLeft" activeCell="AA5" sqref="AA5:AD25"/>
    </sheetView>
  </sheetViews>
  <sheetFormatPr defaultRowHeight="15.75"/>
  <cols>
    <col min="1" max="5" width="8.88671875" style="1035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5" customWidth="1"/>
    <col min="33" max="51" width="7" style="1035" customWidth="1"/>
    <col min="52" max="16384" width="8.88671875" style="1035"/>
  </cols>
  <sheetData>
    <row r="1" spans="1:53" ht="16.5" thickBot="1">
      <c r="F1" s="1035"/>
      <c r="G1" s="1035"/>
      <c r="H1" s="1035"/>
      <c r="I1" s="1035"/>
      <c r="J1" s="1035"/>
      <c r="K1" s="1035"/>
      <c r="L1" s="1035"/>
      <c r="M1" s="1035"/>
    </row>
    <row r="2" spans="1:53">
      <c r="F2" s="1537" t="s">
        <v>343</v>
      </c>
      <c r="G2" s="1531"/>
      <c r="H2" s="1531"/>
      <c r="I2" s="1531"/>
      <c r="J2" s="1531"/>
      <c r="K2" s="1531"/>
      <c r="L2" s="1531"/>
      <c r="M2" s="1532"/>
      <c r="N2" s="1536" t="s">
        <v>87</v>
      </c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M2" s="1536"/>
      <c r="AN2" s="1535"/>
      <c r="AO2" s="1535"/>
      <c r="AP2" s="1535"/>
      <c r="AQ2" s="1535"/>
      <c r="AR2" s="1535"/>
      <c r="AS2" s="1535"/>
      <c r="AT2" s="1535"/>
      <c r="AU2" s="1114"/>
      <c r="AV2" s="1534" t="s">
        <v>88</v>
      </c>
      <c r="AW2" s="1534"/>
      <c r="AX2" s="1534"/>
      <c r="AY2" s="1534"/>
    </row>
    <row r="3" spans="1:53">
      <c r="F3" s="1283"/>
      <c r="G3" s="438"/>
      <c r="H3" s="438"/>
      <c r="I3" s="438"/>
      <c r="J3" s="438"/>
      <c r="K3" s="438"/>
      <c r="L3" s="438"/>
      <c r="M3" s="1284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  <c r="Y3" s="1282"/>
      <c r="Z3" s="1282"/>
      <c r="AA3" s="1285"/>
      <c r="AB3" s="1285"/>
      <c r="AC3" s="1285"/>
      <c r="AD3" s="1285"/>
      <c r="AE3" s="1285"/>
      <c r="AF3" s="1285"/>
      <c r="AG3" s="1285"/>
      <c r="AH3" s="1285"/>
      <c r="AI3" s="1285"/>
      <c r="AJ3" s="1285"/>
      <c r="AK3" s="1285"/>
      <c r="AL3" s="1285"/>
      <c r="AM3" s="1282"/>
      <c r="AN3" s="1538" t="s">
        <v>139</v>
      </c>
      <c r="AO3" s="1538"/>
      <c r="AP3" s="1538"/>
      <c r="AQ3" s="1538"/>
      <c r="AR3" s="1538"/>
      <c r="AS3" s="1538"/>
      <c r="AT3" s="1538"/>
      <c r="AU3" s="1539" t="s">
        <v>317</v>
      </c>
      <c r="AV3" s="1539"/>
      <c r="AW3" s="1539"/>
      <c r="AX3" s="1539"/>
      <c r="AY3" s="1539"/>
    </row>
    <row r="4" spans="1:53" ht="34.5" customHeight="1">
      <c r="A4" s="1036"/>
      <c r="B4" s="1374" t="s">
        <v>339</v>
      </c>
      <c r="C4" s="1374" t="s">
        <v>340</v>
      </c>
      <c r="D4" s="1374" t="s">
        <v>342</v>
      </c>
      <c r="E4" s="1374" t="s">
        <v>341</v>
      </c>
      <c r="F4" s="1286" t="s">
        <v>318</v>
      </c>
      <c r="G4" s="1287" t="s">
        <v>319</v>
      </c>
      <c r="H4" s="1287" t="s">
        <v>320</v>
      </c>
      <c r="I4" s="1287" t="s">
        <v>321</v>
      </c>
      <c r="J4" s="1287" t="s">
        <v>316</v>
      </c>
      <c r="K4" s="1287" t="s">
        <v>52</v>
      </c>
      <c r="L4" s="1288" t="s">
        <v>61</v>
      </c>
      <c r="M4" s="1288" t="s">
        <v>54</v>
      </c>
      <c r="N4" s="1036" t="s">
        <v>89</v>
      </c>
      <c r="O4" s="1036" t="s">
        <v>90</v>
      </c>
      <c r="P4" s="1036" t="s">
        <v>105</v>
      </c>
      <c r="Q4" s="1036" t="s">
        <v>322</v>
      </c>
      <c r="R4" s="1036" t="s">
        <v>323</v>
      </c>
      <c r="S4" s="1036" t="s">
        <v>324</v>
      </c>
      <c r="T4" s="1036" t="s">
        <v>325</v>
      </c>
      <c r="U4" s="1036" t="s">
        <v>91</v>
      </c>
      <c r="V4" s="1036" t="s">
        <v>326</v>
      </c>
      <c r="W4" s="1036" t="s">
        <v>327</v>
      </c>
      <c r="X4" s="1036" t="s">
        <v>312</v>
      </c>
      <c r="Y4" s="1036" t="s">
        <v>76</v>
      </c>
      <c r="Z4" s="1036" t="s">
        <v>328</v>
      </c>
      <c r="AA4" s="1037" t="s">
        <v>329</v>
      </c>
      <c r="AB4" s="1037" t="s">
        <v>101</v>
      </c>
      <c r="AC4" s="1037" t="s">
        <v>95</v>
      </c>
      <c r="AD4" s="1037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6" t="s">
        <v>200</v>
      </c>
      <c r="AN4" s="1036" t="s">
        <v>331</v>
      </c>
      <c r="AO4" s="1036" t="s">
        <v>104</v>
      </c>
      <c r="AP4" s="1036" t="s">
        <v>105</v>
      </c>
      <c r="AQ4" s="1036" t="s">
        <v>106</v>
      </c>
      <c r="AR4" s="1036" t="s">
        <v>107</v>
      </c>
      <c r="AS4" s="1036" t="s">
        <v>108</v>
      </c>
      <c r="AT4" s="1036" t="s">
        <v>332</v>
      </c>
      <c r="AU4" s="1036" t="s">
        <v>104</v>
      </c>
      <c r="AV4" s="1036" t="s">
        <v>40</v>
      </c>
      <c r="AW4" s="1036" t="s">
        <v>41</v>
      </c>
      <c r="AX4" s="1036" t="s">
        <v>309</v>
      </c>
      <c r="AY4" s="1036" t="s">
        <v>109</v>
      </c>
    </row>
    <row r="5" spans="1:53">
      <c r="A5" s="1038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39">
        <f>'1'!G50</f>
        <v>1429.3499999999767</v>
      </c>
      <c r="M5" s="1039">
        <f>'1'!G36</f>
        <v>947.75</v>
      </c>
      <c r="N5" s="1039">
        <f>'1'!G72</f>
        <v>9</v>
      </c>
      <c r="O5" s="1039">
        <f>'1'!$G$73</f>
        <v>2</v>
      </c>
      <c r="P5" s="1039">
        <f>'1'!$G$74</f>
        <v>1.6999999999970896</v>
      </c>
      <c r="Q5" s="1039">
        <f>'1'!$G$75</f>
        <v>143.18000000000029</v>
      </c>
      <c r="R5" s="1039">
        <f>'1'!$G$76</f>
        <v>69.3799999999992</v>
      </c>
      <c r="S5" s="1039">
        <f>'1'!$G$77</f>
        <v>53</v>
      </c>
      <c r="T5" s="1039">
        <f>'1'!$G$78</f>
        <v>114</v>
      </c>
      <c r="U5" s="1039">
        <f>'1'!$G$79</f>
        <v>153</v>
      </c>
      <c r="V5" s="1039">
        <f>'1'!$G$80</f>
        <v>409.92000000004191</v>
      </c>
      <c r="W5" s="1039">
        <f>'1'!$G$81</f>
        <v>131.64000000001397</v>
      </c>
      <c r="X5" s="1039">
        <f>'1'!$G$82</f>
        <v>24.899999999994179</v>
      </c>
      <c r="Y5" s="1039">
        <f>'1'!$G$58</f>
        <v>214.19999999999709</v>
      </c>
      <c r="Z5" s="1039">
        <f>'1'!$G$83</f>
        <v>351</v>
      </c>
      <c r="AA5" s="1039">
        <f>'1'!G86</f>
        <v>22.880000000004657</v>
      </c>
      <c r="AB5" s="1039">
        <f>'1'!G87</f>
        <v>33.30000000000291</v>
      </c>
      <c r="AC5" s="1039">
        <f>'1'!G88</f>
        <v>137.05999999999767</v>
      </c>
      <c r="AD5" s="1039">
        <f>'1'!G89+'1'!G90</f>
        <v>39.79999999999427</v>
      </c>
      <c r="AE5" s="1039">
        <f>'1'!$G$62</f>
        <v>0</v>
      </c>
      <c r="AF5" s="1039">
        <f>'1'!$G$63</f>
        <v>0</v>
      </c>
      <c r="AG5" s="1039">
        <f>'1'!$G$64</f>
        <v>372.89000000001397</v>
      </c>
      <c r="AH5" s="1039">
        <f>'1'!$G$65</f>
        <v>431.97000000000116</v>
      </c>
      <c r="AI5" s="1039">
        <f>'1'!$G$66</f>
        <v>433.91999999999825</v>
      </c>
      <c r="AJ5" s="1039">
        <f>'1'!$G$67</f>
        <v>472.40999999997439</v>
      </c>
      <c r="AK5" s="1039">
        <f>'1'!$G$68</f>
        <v>0</v>
      </c>
      <c r="AL5" s="1039">
        <f>'1'!$G$69</f>
        <v>236.61999999999534</v>
      </c>
      <c r="AM5" s="1039">
        <f>'1'!$G$84</f>
        <v>816</v>
      </c>
      <c r="AN5" s="1039">
        <f>'1'!$G$15</f>
        <v>918.37800000002608</v>
      </c>
      <c r="AO5" s="1039">
        <f>'1'!$G$124</f>
        <v>269.55000000004657</v>
      </c>
      <c r="AP5" s="1039">
        <f>'1'!$G$125</f>
        <v>0</v>
      </c>
      <c r="AQ5" s="1039">
        <f>'1'!$G$126</f>
        <v>95.690000000002328</v>
      </c>
      <c r="AR5" s="1039">
        <f>'1'!$G$127</f>
        <v>33.200000000000728</v>
      </c>
      <c r="AS5" s="1039">
        <f>'1'!$G$128</f>
        <v>4.2999999999992724</v>
      </c>
      <c r="AT5" s="1039">
        <f>AN5-SUM(AO5:AS5)</f>
        <v>515.63799999997718</v>
      </c>
      <c r="AU5" s="1039">
        <f>SUM('1'!G140:G141)</f>
        <v>9.8800000000005639</v>
      </c>
      <c r="AV5" s="1039">
        <f>'1'!$G$137</f>
        <v>10.169999999998254</v>
      </c>
      <c r="AW5" s="1039">
        <f>'1'!$G$138</f>
        <v>0</v>
      </c>
      <c r="AX5" s="1039">
        <f>'1'!$G$139</f>
        <v>0</v>
      </c>
      <c r="AY5" s="1036">
        <f>SUM(AV5:AX5)</f>
        <v>10.169999999998254</v>
      </c>
      <c r="AZ5" s="1035">
        <f>AO5/AU5</f>
        <v>27.282388663970767</v>
      </c>
    </row>
    <row r="6" spans="1:53">
      <c r="A6" s="1038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39">
        <f>'2'!G50</f>
        <v>1047.9200000000419</v>
      </c>
      <c r="M6" s="1039">
        <f>'2'!G36</f>
        <v>884.90000000000146</v>
      </c>
      <c r="N6" s="1039">
        <f>'2'!G72</f>
        <v>13</v>
      </c>
      <c r="O6" s="1039">
        <f>'2'!$G$73</f>
        <v>1</v>
      </c>
      <c r="P6" s="1039">
        <f>'2'!$G$74</f>
        <v>1</v>
      </c>
      <c r="Q6" s="1039">
        <f>'2'!$G$75</f>
        <v>152.95999999999913</v>
      </c>
      <c r="R6" s="1039">
        <f>'2'!$G$76</f>
        <v>62.480000000001382</v>
      </c>
      <c r="S6" s="1039">
        <f>'2'!$G$77</f>
        <v>58</v>
      </c>
      <c r="T6" s="1039">
        <f>'2'!$G$78</f>
        <v>132</v>
      </c>
      <c r="U6" s="1039">
        <f>'2'!$G$79</f>
        <v>265</v>
      </c>
      <c r="V6" s="1039">
        <f>'2'!$G$80</f>
        <v>417.03999999992084</v>
      </c>
      <c r="W6" s="1030">
        <f>'2'!$G$81</f>
        <v>172.28000000002794</v>
      </c>
      <c r="X6" s="1030">
        <f>'2'!$G$82</f>
        <v>12.380000000004657</v>
      </c>
      <c r="Y6" s="1030">
        <f>'2'!$G$58</f>
        <v>0.71000000000640284</v>
      </c>
      <c r="Z6" s="1030">
        <f>'2'!$G$83</f>
        <v>277</v>
      </c>
      <c r="AA6" s="1030">
        <f>'2'!G86</f>
        <v>16.71999999997206</v>
      </c>
      <c r="AB6" s="1039">
        <f>'2'!G87</f>
        <v>36.5</v>
      </c>
      <c r="AC6" s="1039">
        <f>'2'!G88</f>
        <v>163.67000000001281</v>
      </c>
      <c r="AD6" s="1039">
        <f>'2'!G89+'2'!G90</f>
        <v>35.700000000008458</v>
      </c>
      <c r="AE6" s="1039">
        <f>'2'!$G$62</f>
        <v>0</v>
      </c>
      <c r="AF6" s="1039">
        <f>'2'!$G$63</f>
        <v>0</v>
      </c>
      <c r="AG6" s="1039">
        <f>'2'!$G$64</f>
        <v>375.4199999999837</v>
      </c>
      <c r="AH6" s="1039">
        <f>'2'!$G$65</f>
        <v>424.23999999999069</v>
      </c>
      <c r="AI6" s="1039">
        <f>'2'!$G$66</f>
        <v>424.19000000000233</v>
      </c>
      <c r="AJ6" s="1039">
        <f>'2'!$G$67</f>
        <v>500.62000000005355</v>
      </c>
      <c r="AK6" s="1039">
        <f>'2'!$G$68</f>
        <v>0</v>
      </c>
      <c r="AL6" s="1039">
        <f>'2'!$G$69</f>
        <v>241.7100000000064</v>
      </c>
      <c r="AM6" s="1039">
        <f>'2'!$G$84</f>
        <v>846</v>
      </c>
      <c r="AN6" s="1039">
        <f>'2'!$G$15</f>
        <v>510.87400000006892</v>
      </c>
      <c r="AO6" s="1039">
        <f>'2'!$G$124</f>
        <v>259.19999999995343</v>
      </c>
      <c r="AP6" s="1039">
        <f>'2'!$G$125</f>
        <v>0</v>
      </c>
      <c r="AQ6" s="1039">
        <f>'2'!$G$126</f>
        <v>98.730000000010477</v>
      </c>
      <c r="AR6" s="1039">
        <f>'2'!$G$127</f>
        <v>36.299999999999272</v>
      </c>
      <c r="AS6" s="1039">
        <f>'2'!$G$128</f>
        <v>2.6000000000003638</v>
      </c>
      <c r="AT6" s="1039">
        <f t="shared" ref="AT6:AT34" si="0">AN6-SUM(AO6:AS6)</f>
        <v>114.04400000010537</v>
      </c>
      <c r="AU6" s="1039">
        <f>SUM('2'!G140:G141)</f>
        <v>9.6999999999998181</v>
      </c>
      <c r="AV6" s="1039">
        <f>'2'!$G$137</f>
        <v>0</v>
      </c>
      <c r="AW6" s="1039">
        <f>'2'!$G$138</f>
        <v>0</v>
      </c>
      <c r="AX6" s="1039">
        <f>'2'!$G$139</f>
        <v>0</v>
      </c>
      <c r="AY6" s="1036">
        <f t="shared" ref="AY6:AY34" si="1">SUM(AV6:AX6)</f>
        <v>0</v>
      </c>
      <c r="AZ6" s="1035">
        <f t="shared" ref="AZ6:AZ9" si="2">AO6/AU6</f>
        <v>26.721649484531785</v>
      </c>
    </row>
    <row r="7" spans="1:53" s="1041" customFormat="1">
      <c r="A7" s="1038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0">
        <f>'3'!G50</f>
        <v>1085.7999999999302</v>
      </c>
      <c r="M7" s="1030">
        <f>'3'!G36</f>
        <v>680.21999999999753</v>
      </c>
      <c r="N7" s="1030">
        <f>'3'!G72</f>
        <v>13</v>
      </c>
      <c r="O7" s="1030">
        <f>'3'!$G$73</f>
        <v>2</v>
      </c>
      <c r="P7" s="1030">
        <f>'3'!$G$74</f>
        <v>1.1000000000058208</v>
      </c>
      <c r="Q7" s="1030">
        <f>'3'!$G$75</f>
        <v>172.11000000000058</v>
      </c>
      <c r="R7" s="1030">
        <f>'3'!$G$76</f>
        <v>68.260000000000218</v>
      </c>
      <c r="S7" s="1030">
        <f>'3'!$G$77</f>
        <v>55</v>
      </c>
      <c r="T7" s="1030">
        <f>'3'!$G$78</f>
        <v>140</v>
      </c>
      <c r="U7" s="1030">
        <f>'3'!$G$79</f>
        <v>37</v>
      </c>
      <c r="V7" s="1030">
        <f>'3'!$G$80</f>
        <v>423.35999999998603</v>
      </c>
      <c r="W7" s="1030">
        <f>'3'!$G$81</f>
        <v>163.11999999999534</v>
      </c>
      <c r="X7" s="1030">
        <f>'3'!$G$82</f>
        <v>28.130000000004657</v>
      </c>
      <c r="Y7" s="1030">
        <f>'3'!$G$58</f>
        <v>218.60999999999331</v>
      </c>
      <c r="Z7" s="1030">
        <f>'3'!$G$83</f>
        <v>127</v>
      </c>
      <c r="AA7" s="1039">
        <f>'3'!G86</f>
        <v>16.440000000002328</v>
      </c>
      <c r="AB7" s="1039">
        <f>'1'!G87</f>
        <v>33.30000000000291</v>
      </c>
      <c r="AC7" s="1039">
        <f>'3'!G88</f>
        <v>120.92999999999302</v>
      </c>
      <c r="AD7" s="1039">
        <f>'3'!G89+'3'!G90</f>
        <v>27.499999999997272</v>
      </c>
      <c r="AE7" s="1030">
        <f>'3'!$G$62</f>
        <v>0</v>
      </c>
      <c r="AF7" s="1030">
        <f>'3'!$G$63</f>
        <v>0</v>
      </c>
      <c r="AG7" s="1030">
        <f>'3'!$G$64</f>
        <v>378.98000000001048</v>
      </c>
      <c r="AH7" s="1030">
        <f>'3'!$G$65</f>
        <v>431.92000000001281</v>
      </c>
      <c r="AI7" s="1030">
        <f>'3'!$G$66</f>
        <v>421.44000000000233</v>
      </c>
      <c r="AJ7" s="781">
        <f>'3'!$G$67</f>
        <v>529.57999999995809</v>
      </c>
      <c r="AK7" s="781">
        <f>'3'!$G$68</f>
        <v>0</v>
      </c>
      <c r="AL7" s="1030">
        <f>'3'!$G$69</f>
        <v>275.31999999999243</v>
      </c>
      <c r="AM7" s="1030">
        <f>'3'!$G$84</f>
        <v>817</v>
      </c>
      <c r="AN7" s="1030">
        <f>'3'!$G$15</f>
        <v>940.26799999992363</v>
      </c>
      <c r="AO7" s="1030">
        <f>'3'!$G$124</f>
        <v>301.71999999997206</v>
      </c>
      <c r="AP7" s="1030">
        <f>'3'!$G$125</f>
        <v>0</v>
      </c>
      <c r="AQ7" s="1030">
        <f>'3'!$G$126</f>
        <v>76.539999999979045</v>
      </c>
      <c r="AR7" s="1030">
        <f>'3'!$G$127</f>
        <v>41.700000000000728</v>
      </c>
      <c r="AS7" s="1030">
        <f>'3'!$G$128</f>
        <v>5.5</v>
      </c>
      <c r="AT7" s="1030">
        <f t="shared" si="0"/>
        <v>514.8079999999718</v>
      </c>
      <c r="AU7" s="1039">
        <f>SUM('3'!G140:G141)</f>
        <v>11.119999999999891</v>
      </c>
      <c r="AV7" s="1030">
        <f>'3'!$G$137</f>
        <v>10.130000000001019</v>
      </c>
      <c r="AW7" s="1030">
        <f>'3'!$G$138</f>
        <v>0</v>
      </c>
      <c r="AX7" s="1030">
        <f>'3'!$G$139</f>
        <v>0</v>
      </c>
      <c r="AY7" s="1040">
        <f t="shared" si="1"/>
        <v>10.130000000001019</v>
      </c>
      <c r="AZ7" s="1035">
        <f t="shared" si="2"/>
        <v>27.13309352517761</v>
      </c>
    </row>
    <row r="8" spans="1:53">
      <c r="A8" s="1038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39">
        <f>'4'!G50</f>
        <v>1085.9300000000512</v>
      </c>
      <c r="M8" s="1039">
        <f>'4'!G36</f>
        <v>713.35000000000218</v>
      </c>
      <c r="N8" s="1039">
        <f>'4'!G72</f>
        <v>14</v>
      </c>
      <c r="O8" s="1039">
        <f>'4'!$G$73</f>
        <v>1</v>
      </c>
      <c r="P8" s="1039">
        <f>'4'!$G$74</f>
        <v>1.0999999999912689</v>
      </c>
      <c r="Q8" s="1039">
        <f>'4'!$G$75</f>
        <v>140.72999999999956</v>
      </c>
      <c r="R8" s="1039">
        <f>'4'!$G$76</f>
        <v>61.8799999999992</v>
      </c>
      <c r="S8" s="1039">
        <f>'4'!$G$77</f>
        <v>52</v>
      </c>
      <c r="T8" s="1039">
        <f>'4'!$G$78</f>
        <v>138</v>
      </c>
      <c r="U8" s="1039">
        <f>'4'!$G$79</f>
        <v>150</v>
      </c>
      <c r="V8" s="1030">
        <f>'4'!$G$80</f>
        <v>419.32000000006519</v>
      </c>
      <c r="W8" s="1030">
        <f>'4'!$G$81</f>
        <v>202.47999999998137</v>
      </c>
      <c r="X8" s="1039">
        <f>'4'!$G$82</f>
        <v>14.589999999996508</v>
      </c>
      <c r="Y8" s="1039">
        <f>'4'!$G$58</f>
        <v>186.86000000000058</v>
      </c>
      <c r="Z8" s="1039">
        <f>'4'!$G$83</f>
        <v>313</v>
      </c>
      <c r="AA8" s="1039">
        <f>'4'!G86</f>
        <v>43.360000000044238</v>
      </c>
      <c r="AB8" s="1039">
        <f>'4'!G87</f>
        <v>14.80000000000291</v>
      </c>
      <c r="AC8" s="1039">
        <f>'4'!G88</f>
        <v>32.910000000003492</v>
      </c>
      <c r="AD8" s="1039">
        <f>'4'!G89+'4'!G90</f>
        <v>16.899999999994179</v>
      </c>
      <c r="AE8" s="1039">
        <f>'4'!$G$62</f>
        <v>0</v>
      </c>
      <c r="AF8" s="1039">
        <f>'4'!$G$63</f>
        <v>0</v>
      </c>
      <c r="AG8" s="1039">
        <f>'4'!$G$64</f>
        <v>367.17999999999302</v>
      </c>
      <c r="AH8" s="1039">
        <f>'4'!$G$65</f>
        <v>422.88000000000466</v>
      </c>
      <c r="AI8" s="1039">
        <f>'4'!$G$66</f>
        <v>412.73999999999069</v>
      </c>
      <c r="AJ8" s="1039">
        <f>'4'!$G$67</f>
        <v>442.14000000001397</v>
      </c>
      <c r="AK8" s="1039">
        <f>'4'!$G$68</f>
        <v>0</v>
      </c>
      <c r="AL8" s="1039">
        <f>'4'!$G$69</f>
        <v>272.54000000000815</v>
      </c>
      <c r="AM8" s="1039">
        <f>'4'!$G$84</f>
        <v>844</v>
      </c>
      <c r="AN8" s="1039">
        <f>'4'!$G$15</f>
        <v>786.87999999988824</v>
      </c>
      <c r="AO8" s="1039">
        <f>'4'!$G$124</f>
        <v>327.72999999998137</v>
      </c>
      <c r="AP8" s="1039">
        <f>'4'!$G$125</f>
        <v>0</v>
      </c>
      <c r="AQ8" s="1039">
        <f>'4'!$G$126</f>
        <v>79.529999999998836</v>
      </c>
      <c r="AR8" s="1039">
        <f>'4'!$G$127</f>
        <v>37.399999999997817</v>
      </c>
      <c r="AS8" s="1039">
        <f>'4'!$G$128</f>
        <v>1.5</v>
      </c>
      <c r="AT8" s="1039">
        <f t="shared" si="0"/>
        <v>340.71999999991021</v>
      </c>
      <c r="AU8" s="1039">
        <f>SUM('4'!G140:G141)</f>
        <v>12.139999999999873</v>
      </c>
      <c r="AV8" s="1039">
        <f>'4'!$G$137</f>
        <v>6.1199999999989814</v>
      </c>
      <c r="AW8" s="1039">
        <f>'4'!$G$138</f>
        <v>0</v>
      </c>
      <c r="AX8" s="1039">
        <f>'4'!$G$139</f>
        <v>0</v>
      </c>
      <c r="AY8" s="1036">
        <f t="shared" si="1"/>
        <v>6.1199999999989814</v>
      </c>
      <c r="AZ8" s="1035">
        <f t="shared" si="2"/>
        <v>26.995881383853774</v>
      </c>
    </row>
    <row r="9" spans="1:53">
      <c r="A9" s="1038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39">
        <f>'5'!G50</f>
        <v>1002.1300000000047</v>
      </c>
      <c r="M9" s="1039">
        <f>'5'!G36</f>
        <v>728.12999999999738</v>
      </c>
      <c r="N9" s="1039">
        <f>'5'!G72</f>
        <v>10</v>
      </c>
      <c r="O9" s="1039">
        <f>'5'!$G$73</f>
        <v>1</v>
      </c>
      <c r="P9" s="1039">
        <f>'5'!$G$74</f>
        <v>1.2000000000116415</v>
      </c>
      <c r="Q9" s="1050">
        <f>'5'!$G$75</f>
        <v>142.04999999999927</v>
      </c>
      <c r="R9" s="1039">
        <f>'5'!$G$76</f>
        <v>66.180000000000291</v>
      </c>
      <c r="S9" s="1030">
        <f>'5'!$G$77</f>
        <v>66</v>
      </c>
      <c r="T9" s="1049">
        <f>'5'!$G$78</f>
        <v>19</v>
      </c>
      <c r="U9" s="1049">
        <f>'5'!$G$79</f>
        <v>149</v>
      </c>
      <c r="V9" s="1042">
        <f>'5'!$G$80</f>
        <v>400.28000000002794</v>
      </c>
      <c r="W9" s="1049">
        <f>'5'!$G$81</f>
        <v>242.28000000002794</v>
      </c>
      <c r="X9" s="1039">
        <f>'5'!$G$82</f>
        <v>27.389999999999418</v>
      </c>
      <c r="Y9" s="1039">
        <f>'5'!$G$58</f>
        <v>211.28000000000611</v>
      </c>
      <c r="Z9" s="1039">
        <f>'5'!$G$83</f>
        <v>256</v>
      </c>
      <c r="AA9" s="1049">
        <f>'5'!G86</f>
        <v>23.599999999976717</v>
      </c>
      <c r="AB9" s="1039">
        <f>'5'!G87</f>
        <v>30.80000000000291</v>
      </c>
      <c r="AC9" s="1039">
        <f>'5'!G88</f>
        <v>125.78999999997905</v>
      </c>
      <c r="AD9" s="1039">
        <f>'5'!G89+'5'!G90</f>
        <v>26.800000000011551</v>
      </c>
      <c r="AE9" s="1039">
        <f>'5'!$G$62</f>
        <v>0</v>
      </c>
      <c r="AF9" s="1039">
        <f>'5'!$G$63</f>
        <v>0</v>
      </c>
      <c r="AG9" s="1039">
        <f>'5'!$G$64</f>
        <v>373.77999999999884</v>
      </c>
      <c r="AH9" s="1039">
        <f>'5'!$G$65</f>
        <v>436.66000000000349</v>
      </c>
      <c r="AI9" s="1039">
        <f>'5'!$G$66</f>
        <v>410.41000000000349</v>
      </c>
      <c r="AJ9" s="1039">
        <f>'5'!$G$67</f>
        <v>450.53999999997905</v>
      </c>
      <c r="AK9" s="1039">
        <f>'5'!$G$68</f>
        <v>0</v>
      </c>
      <c r="AL9" s="1039">
        <f>'5'!$G$69</f>
        <v>224.31999999999243</v>
      </c>
      <c r="AM9" s="1039">
        <f>'5'!$G$84</f>
        <v>825</v>
      </c>
      <c r="AN9" s="1049">
        <f>'5'!$G$15</f>
        <v>925.06000000005588</v>
      </c>
      <c r="AO9" s="1039">
        <f>'5'!$G$124</f>
        <v>265.82000000006519</v>
      </c>
      <c r="AP9" s="1039">
        <f>'5'!$G$125</f>
        <v>0</v>
      </c>
      <c r="AQ9" s="1039">
        <f>'5'!$G$126</f>
        <v>61.290000000008149</v>
      </c>
      <c r="AR9" s="1039">
        <f>'5'!$G$127</f>
        <v>27</v>
      </c>
      <c r="AS9" s="1039">
        <f>'5'!$G$128</f>
        <v>0.8999999999996362</v>
      </c>
      <c r="AT9" s="1039">
        <f t="shared" si="0"/>
        <v>570.0499999999829</v>
      </c>
      <c r="AU9" s="1039">
        <f>SUM('5'!G140:G141)</f>
        <v>9.8200000000001637</v>
      </c>
      <c r="AV9" s="1039">
        <f>'5'!$G$137</f>
        <v>7.0900000000001455</v>
      </c>
      <c r="AW9" s="1039">
        <f>'5'!$G$138</f>
        <v>3.6300000000010186</v>
      </c>
      <c r="AX9" s="1039">
        <f>'5'!$G$139</f>
        <v>0.66999999999825377</v>
      </c>
      <c r="AY9" s="1036">
        <f t="shared" si="1"/>
        <v>11.389999999999418</v>
      </c>
      <c r="AZ9" s="1035">
        <f t="shared" si="2"/>
        <v>27.069246435851401</v>
      </c>
    </row>
    <row r="10" spans="1:53">
      <c r="A10" s="1038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39">
        <f>'6'!G50</f>
        <v>959.02000000001863</v>
      </c>
      <c r="M10" s="1039">
        <f>'6'!G36</f>
        <v>727.79000000000087</v>
      </c>
      <c r="N10" s="1039">
        <f>'6'!G72</f>
        <v>11</v>
      </c>
      <c r="O10" s="1039">
        <f>'6'!$G$73</f>
        <v>1</v>
      </c>
      <c r="P10" s="1039">
        <f>'6'!$G$74</f>
        <v>1.0999999999912689</v>
      </c>
      <c r="Q10" s="1039">
        <f>'6'!$G$75</f>
        <v>141.79000000000087</v>
      </c>
      <c r="R10" s="1039">
        <f>'6'!$G$76</f>
        <v>73.119999999998981</v>
      </c>
      <c r="S10" s="1039">
        <f>'6'!$G$77</f>
        <v>78</v>
      </c>
      <c r="T10" s="1030">
        <f>'6'!$G$78</f>
        <v>153</v>
      </c>
      <c r="U10" s="1030">
        <f>'6'!$G$79</f>
        <v>149</v>
      </c>
      <c r="V10" s="1030">
        <f>'6'!$G$80</f>
        <v>356.51999999990221</v>
      </c>
      <c r="W10" s="1030">
        <f>'6'!$G$81</f>
        <v>178.35999999998603</v>
      </c>
      <c r="X10" s="1030">
        <f>'6'!$G$82</f>
        <v>13.180000000007567</v>
      </c>
      <c r="Y10" s="1030">
        <f>'6'!$G$58</f>
        <v>21.529999999998836</v>
      </c>
      <c r="Z10" s="1030">
        <f>'6'!$G$83</f>
        <v>163</v>
      </c>
      <c r="AA10" s="1030">
        <f>'6'!G86</f>
        <v>19.71999999997206</v>
      </c>
      <c r="AB10" s="1030">
        <f>'6'!G87</f>
        <v>29.899999999994179</v>
      </c>
      <c r="AC10" s="1030">
        <f>'6'!G88</f>
        <v>115.90000000002328</v>
      </c>
      <c r="AD10" s="1030">
        <f>'6'!G89+'6'!G90</f>
        <v>49.299999999991542</v>
      </c>
      <c r="AE10" s="1039">
        <f>'6'!$G$62</f>
        <v>0</v>
      </c>
      <c r="AF10" s="1039">
        <f>'6'!$G$63</f>
        <v>0</v>
      </c>
      <c r="AG10" s="1039">
        <f>'6'!$G$64</f>
        <v>399.55999999999767</v>
      </c>
      <c r="AH10" s="1039">
        <f>'6'!$G$65</f>
        <v>261.95999999999185</v>
      </c>
      <c r="AI10" s="1039">
        <f>'6'!$G$66</f>
        <v>413.80999999999767</v>
      </c>
      <c r="AJ10" s="1039">
        <f>'6'!$G$67</f>
        <v>529.70000000001164</v>
      </c>
      <c r="AK10" s="1039">
        <f>'6'!$G$68</f>
        <v>0</v>
      </c>
      <c r="AL10" s="1039">
        <f>'6'!$G$69</f>
        <v>210.34000000001106</v>
      </c>
      <c r="AM10" s="1039">
        <f>'6'!$G$84</f>
        <v>809</v>
      </c>
      <c r="AN10" s="1039">
        <f>'6'!$G$15</f>
        <v>430.95999999996275</v>
      </c>
      <c r="AO10" s="1077">
        <f>'6'!$G$124</f>
        <v>261.8399999999674</v>
      </c>
      <c r="AP10" s="1039">
        <f>'6'!$G$125</f>
        <v>0</v>
      </c>
      <c r="AQ10" s="1039">
        <f>'6'!$G$126</f>
        <v>67.130000000004657</v>
      </c>
      <c r="AR10" s="1039">
        <f>'6'!$G$127</f>
        <v>35.200000000000728</v>
      </c>
      <c r="AS10" s="1039">
        <f>'6'!$G$128</f>
        <v>1</v>
      </c>
      <c r="AT10" s="1039">
        <f t="shared" si="0"/>
        <v>65.789999999989959</v>
      </c>
      <c r="AU10" s="1039">
        <f>SUM('6'!G140:G141)</f>
        <v>9.8899999999998727</v>
      </c>
      <c r="AV10" s="1039">
        <f>'6'!$G$137</f>
        <v>9.9999999998544808E-2</v>
      </c>
      <c r="AW10" s="1039">
        <f>'6'!$G$138</f>
        <v>0</v>
      </c>
      <c r="AX10" s="1039">
        <f>'6'!$G$139</f>
        <v>0</v>
      </c>
      <c r="AY10" s="1036">
        <f t="shared" si="1"/>
        <v>9.9999999998544808E-2</v>
      </c>
    </row>
    <row r="11" spans="1:53">
      <c r="A11" s="1038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39">
        <f>'7'!G50</f>
        <v>1261.9199999999255</v>
      </c>
      <c r="M11" s="1039">
        <f>'7'!G36</f>
        <v>820.85000000000218</v>
      </c>
      <c r="N11" s="1039">
        <f>'7'!G72</f>
        <v>11</v>
      </c>
      <c r="O11" s="1039">
        <f>'7'!$G$73</f>
        <v>1</v>
      </c>
      <c r="P11" s="1039">
        <f>'7'!$G$74</f>
        <v>1.1000000000058208</v>
      </c>
      <c r="Q11" s="1039">
        <f>'7'!$G$75</f>
        <v>140.84999999999854</v>
      </c>
      <c r="R11" s="1039">
        <f>'7'!$G$76</f>
        <v>66.06000000000131</v>
      </c>
      <c r="S11" s="1039">
        <f>'7'!$G$77</f>
        <v>51</v>
      </c>
      <c r="T11" s="1030">
        <f>'7'!$G$78</f>
        <v>122</v>
      </c>
      <c r="U11" s="1030">
        <f>'7'!$G$79</f>
        <v>141</v>
      </c>
      <c r="V11" s="1030">
        <f>'7'!$G$80</f>
        <v>400.60000000009313</v>
      </c>
      <c r="W11" s="1030">
        <f>'7'!$G$81</f>
        <v>167.64000000001397</v>
      </c>
      <c r="X11" s="1030">
        <f>'7'!$G$82</f>
        <v>26.399999999994179</v>
      </c>
      <c r="Y11" s="1030">
        <f>'7'!$G$58</f>
        <v>187.40999999999622</v>
      </c>
      <c r="Z11" s="1042">
        <f>'7'!$G$83</f>
        <v>215</v>
      </c>
      <c r="AA11" s="1065">
        <f>'7'!G86</f>
        <v>25.480000000039581</v>
      </c>
      <c r="AB11" s="1030">
        <f>'7'!G87</f>
        <v>32.200000000011642</v>
      </c>
      <c r="AC11" s="1030">
        <f>'7'!G88</f>
        <v>85.829999999987194</v>
      </c>
      <c r="AD11" s="1030">
        <f>'7'!G89+'7'!G90</f>
        <v>81.400000000002819</v>
      </c>
      <c r="AE11" s="1039">
        <f>'7'!$G$62</f>
        <v>0</v>
      </c>
      <c r="AF11" s="1039">
        <f>'7'!$G$63</f>
        <v>0</v>
      </c>
      <c r="AG11" s="1039">
        <f>'7'!$G$64</f>
        <v>433.54000000000815</v>
      </c>
      <c r="AH11" s="1039">
        <f>'7'!$G$65</f>
        <v>267.29999999998836</v>
      </c>
      <c r="AI11" s="1039">
        <f>'7'!$G$66</f>
        <v>427.31000000001222</v>
      </c>
      <c r="AJ11" s="1039">
        <f>'7'!$G$67</f>
        <v>492.70000000001164</v>
      </c>
      <c r="AK11" s="1042">
        <f>'7'!$G$68</f>
        <v>0</v>
      </c>
      <c r="AL11" s="1039">
        <f>'7'!$G$69</f>
        <v>221.58999999999651</v>
      </c>
      <c r="AM11" s="1039">
        <f>'7'!$G$84</f>
        <v>792</v>
      </c>
      <c r="AN11" s="1039">
        <f>'7'!$G$15</f>
        <v>850.19000000017695</v>
      </c>
      <c r="AO11" s="1077">
        <f>'7'!$G$124</f>
        <v>259.97999999998137</v>
      </c>
      <c r="AP11" s="1039">
        <f>'7'!$G$125</f>
        <v>-0.39999999999417923</v>
      </c>
      <c r="AQ11" s="1039">
        <f>'7'!$G$126</f>
        <v>79.419999999983702</v>
      </c>
      <c r="AR11" s="1039">
        <f>'7'!$G$127</f>
        <v>36.700000000000728</v>
      </c>
      <c r="AS11" s="1039">
        <f>'7'!$G$128</f>
        <v>1.4000000000014552</v>
      </c>
      <c r="AT11" s="1039">
        <f t="shared" si="0"/>
        <v>473.09000000020387</v>
      </c>
      <c r="AU11" s="1039">
        <f>SUM('7'!G140:G141)</f>
        <v>9.5599999999999454</v>
      </c>
      <c r="AV11" s="1039">
        <f>'7'!$G$137</f>
        <v>9.1100000000005821</v>
      </c>
      <c r="AW11" s="1039">
        <f>'7'!$G$138</f>
        <v>0</v>
      </c>
      <c r="AX11" s="1039">
        <f>'7'!$G$139</f>
        <v>0</v>
      </c>
      <c r="AY11" s="1036">
        <f t="shared" si="1"/>
        <v>9.1100000000005821</v>
      </c>
    </row>
    <row r="12" spans="1:53">
      <c r="A12" s="1038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39">
        <f>'8'!G50</f>
        <v>1089.6300000000047</v>
      </c>
      <c r="M12" s="1039">
        <f>'8'!G36</f>
        <v>674.62999999999738</v>
      </c>
      <c r="N12" s="1039">
        <f>'8'!G72</f>
        <v>13</v>
      </c>
      <c r="O12" s="1039">
        <f>'8'!$G$73</f>
        <v>1</v>
      </c>
      <c r="P12" s="1039">
        <f>'8'!$G$74</f>
        <v>1</v>
      </c>
      <c r="Q12" s="1039">
        <f>'8'!$G$75</f>
        <v>144.14000000000306</v>
      </c>
      <c r="R12" s="1039">
        <f>'8'!$G$76</f>
        <v>67.219999999999345</v>
      </c>
      <c r="S12" s="1039">
        <f>'8'!$G$77</f>
        <v>71</v>
      </c>
      <c r="T12" s="1030">
        <f>'8'!$G$78</f>
        <v>86</v>
      </c>
      <c r="U12" s="1030">
        <f>'8'!$G$79</f>
        <v>152</v>
      </c>
      <c r="V12" s="1030">
        <f>'8'!$G$80</f>
        <v>414.23999999999069</v>
      </c>
      <c r="W12" s="1030">
        <f>'8'!$G$81</f>
        <v>194.8399999999674</v>
      </c>
      <c r="X12" s="1030">
        <f>'8'!$G$82</f>
        <v>19.880000000004657</v>
      </c>
      <c r="Y12" s="1030">
        <f>'8'!$G$58</f>
        <v>177.37000000000262</v>
      </c>
      <c r="Z12" s="1030">
        <f>'8'!$G$83</f>
        <v>225</v>
      </c>
      <c r="AA12" s="1030">
        <f>'8'!G86</f>
        <v>29.71999999997206</v>
      </c>
      <c r="AB12" s="1030">
        <f>'8'!G87</f>
        <v>31.399999999994179</v>
      </c>
      <c r="AC12" s="1030">
        <f>'8'!G88</f>
        <v>151.57000000000698</v>
      </c>
      <c r="AD12" s="1030">
        <f>'8'!G89+'8'!G90</f>
        <v>183.10000000000582</v>
      </c>
      <c r="AE12" s="1039">
        <f>'8'!$G$62</f>
        <v>0</v>
      </c>
      <c r="AF12" s="1039">
        <f>'8'!$G$63</f>
        <v>0</v>
      </c>
      <c r="AG12" s="1039">
        <f>'8'!$G$64</f>
        <v>525.04000000000815</v>
      </c>
      <c r="AH12" s="1039">
        <f>'8'!$G$65</f>
        <v>271.82000000000698</v>
      </c>
      <c r="AI12" s="1039">
        <f>'8'!$G$66</f>
        <v>398.20999999999185</v>
      </c>
      <c r="AJ12" s="1039">
        <f>'8'!$G$67</f>
        <v>444.44000000000233</v>
      </c>
      <c r="AK12" s="1039">
        <f>'8'!$G$68</f>
        <v>0</v>
      </c>
      <c r="AL12" s="1039">
        <f>'8'!$G$69</f>
        <v>261.61999999999534</v>
      </c>
      <c r="AM12" s="1039">
        <f>'8'!$G$84</f>
        <v>809</v>
      </c>
      <c r="AN12" s="1039">
        <f>'8'!$G$15</f>
        <v>821.54999999981374</v>
      </c>
      <c r="AO12" s="1039">
        <f>'8'!$G$124</f>
        <v>251.29000000003725</v>
      </c>
      <c r="AP12" s="1039">
        <f>'8'!$G$125</f>
        <v>0.39999999999417923</v>
      </c>
      <c r="AQ12" s="1039">
        <f>'8'!$G$126</f>
        <v>86.580000000016298</v>
      </c>
      <c r="AR12" s="1039">
        <f>'8'!$G$127</f>
        <v>35.700000000000728</v>
      </c>
      <c r="AS12" s="1039">
        <f>'8'!$G$128</f>
        <v>2</v>
      </c>
      <c r="AT12" s="1039">
        <f t="shared" si="0"/>
        <v>445.57999999976528</v>
      </c>
      <c r="AU12" s="1039">
        <f>SUM('8'!G140:G141)</f>
        <v>9.2300000000000182</v>
      </c>
      <c r="AV12" s="1039">
        <f>'8'!$G$137</f>
        <v>8.069999999999709</v>
      </c>
      <c r="AW12" s="1039">
        <f>'8'!$G$138</f>
        <v>0</v>
      </c>
      <c r="AX12" s="1039">
        <f>'8'!$G$139</f>
        <v>0</v>
      </c>
      <c r="AY12" s="1036">
        <f t="shared" si="1"/>
        <v>8.069999999999709</v>
      </c>
    </row>
    <row r="13" spans="1:53">
      <c r="A13" s="1038">
        <v>44021</v>
      </c>
      <c r="B13" s="261">
        <f>'9'!G7</f>
        <v>22577.440000000002</v>
      </c>
      <c r="C13" s="261">
        <f>'9'!G8</f>
        <v>22673.210000000006</v>
      </c>
      <c r="D13" s="261">
        <f>'9'!G15</f>
        <v>830.84000000008382</v>
      </c>
      <c r="E13" s="261">
        <f>'9'!G20</f>
        <v>191</v>
      </c>
      <c r="F13" s="261">
        <f>SUM('9'!G35,'9'!G49)</f>
        <v>3259.2699999999022</v>
      </c>
      <c r="G13" s="261">
        <f>SUM('9'!G37,'9'!G51)</f>
        <v>1605.9899999999907</v>
      </c>
      <c r="H13" s="261">
        <f>SUM('9'!G38,'9'!G52)</f>
        <v>1594.7099999999919</v>
      </c>
      <c r="I13" s="261">
        <f>SUM('9'!G39,'9'!G53)</f>
        <v>3607.8099999999977</v>
      </c>
      <c r="J13" s="261">
        <f>SUM('9'!G41,'9'!G42,'9'!G55,'9'!G56)</f>
        <v>7248.8100000000413</v>
      </c>
      <c r="K13" s="261">
        <f>SUM('9'!G43,'9'!G57)</f>
        <v>2915.5</v>
      </c>
      <c r="L13" s="1039">
        <f>'9'!G50</f>
        <v>981.30000000004657</v>
      </c>
      <c r="M13" s="1039">
        <f>'9'!G36</f>
        <v>812.38000000000102</v>
      </c>
      <c r="N13" s="1039">
        <f>'9'!G72</f>
        <v>14</v>
      </c>
      <c r="O13" s="1039">
        <f>'9'!$G$73</f>
        <v>1</v>
      </c>
      <c r="P13" s="1039">
        <f>'9'!$G$74</f>
        <v>1.6999999999970896</v>
      </c>
      <c r="Q13" s="1039">
        <f>'9'!$G$75</f>
        <v>171.18999999999869</v>
      </c>
      <c r="R13" s="1039">
        <f>'9'!$G$76</f>
        <v>64.420000000000073</v>
      </c>
      <c r="S13" s="1039">
        <f>'9'!$G$77</f>
        <v>88</v>
      </c>
      <c r="T13" s="1030">
        <f>'9'!$G$78</f>
        <v>71</v>
      </c>
      <c r="U13" s="1030">
        <f>'9'!$G$79</f>
        <v>150</v>
      </c>
      <c r="V13" s="1030">
        <f>'9'!$G$80</f>
        <v>440.71999999997206</v>
      </c>
      <c r="W13" s="1030">
        <f>'9'!$G$81</f>
        <v>224.35999999998603</v>
      </c>
      <c r="X13" s="1030">
        <f>'9'!$G$82</f>
        <v>22.149999999994179</v>
      </c>
      <c r="Y13" s="1030">
        <f>'9'!$G$58</f>
        <v>191.02999999999884</v>
      </c>
      <c r="Z13" s="1030">
        <f>'9'!$G$83</f>
        <v>239</v>
      </c>
      <c r="AA13" s="1030">
        <f>'9'!G86</f>
        <v>20.080000000016298</v>
      </c>
      <c r="AB13" s="1030">
        <f>'9'!G87</f>
        <v>31</v>
      </c>
      <c r="AC13" s="1030">
        <f>'9'!G88</f>
        <v>116.33999999999651</v>
      </c>
      <c r="AD13" s="1030">
        <f>'9'!G89+'9'!H90</f>
        <v>64.499999999994088</v>
      </c>
      <c r="AE13" s="1039">
        <f>'9'!$G$62</f>
        <v>0</v>
      </c>
      <c r="AF13" s="1039">
        <f>'9'!$G$63</f>
        <v>0</v>
      </c>
      <c r="AG13" s="1039">
        <f>'9'!$G$64</f>
        <v>415.60999999998603</v>
      </c>
      <c r="AH13" s="1049">
        <f>'9'!$G$65</f>
        <v>341.25</v>
      </c>
      <c r="AI13" s="1049">
        <f>'9'!$G$66</f>
        <v>396.97000000000116</v>
      </c>
      <c r="AJ13" s="1039">
        <f>'9'!$G$67</f>
        <v>435.86999999999534</v>
      </c>
      <c r="AK13" s="1039">
        <f>'9'!$G$68</f>
        <v>0</v>
      </c>
      <c r="AL13" s="1039">
        <f>'9'!$G$69</f>
        <v>285.94000000000233</v>
      </c>
      <c r="AM13" s="1039">
        <f>'9'!$G$84</f>
        <v>856</v>
      </c>
      <c r="AN13" s="1039">
        <f>'9'!$G$15</f>
        <v>830.84000000008382</v>
      </c>
      <c r="AO13" s="1039">
        <f>'9'!$G$124</f>
        <v>315.86999999999534</v>
      </c>
      <c r="AP13" s="1039">
        <f>'9'!$G$125</f>
        <v>0</v>
      </c>
      <c r="AQ13" s="1039">
        <f>'9'!$G$126</f>
        <v>98.089999999996508</v>
      </c>
      <c r="AR13" s="1039">
        <f>'9'!$G$127</f>
        <v>37.799999999999272</v>
      </c>
      <c r="AS13" s="1039">
        <f>'9'!$G$128</f>
        <v>2.7999999999992724</v>
      </c>
      <c r="AT13" s="1039">
        <f t="shared" si="0"/>
        <v>376.28000000009342</v>
      </c>
      <c r="AU13" s="1039">
        <f>SUM('9'!G140:G141)</f>
        <v>9.6700000000000728</v>
      </c>
      <c r="AV13" s="1039">
        <f>'9'!$G$137</f>
        <v>8.069999999999709</v>
      </c>
      <c r="AW13" s="1039">
        <f>'9'!$G$138</f>
        <v>0.18000000000029104</v>
      </c>
      <c r="AX13" s="1039">
        <f>'9'!$G$139</f>
        <v>0</v>
      </c>
      <c r="AY13" s="1036">
        <f t="shared" si="1"/>
        <v>8.25</v>
      </c>
    </row>
    <row r="14" spans="1:53">
      <c r="A14" s="1038">
        <v>44022</v>
      </c>
      <c r="B14" s="261">
        <f>'10'!G7</f>
        <v>21024</v>
      </c>
      <c r="C14" s="261">
        <f>'10'!G8</f>
        <v>21102</v>
      </c>
      <c r="D14" s="261">
        <f>'10'!G15</f>
        <v>829</v>
      </c>
      <c r="E14" s="261">
        <f>'10'!G20</f>
        <v>218</v>
      </c>
      <c r="F14" s="261">
        <f>SUM('10'!G35,'10'!G49)</f>
        <v>3138</v>
      </c>
      <c r="G14" s="261">
        <f>SUM('10'!G37,'10'!G51)</f>
        <v>1601</v>
      </c>
      <c r="H14" s="261">
        <f>SUM('10'!G38,'10'!G52)</f>
        <v>1644</v>
      </c>
      <c r="I14" s="261">
        <f>SUM('10'!G39,'10'!G53)</f>
        <v>3580.3300000000163</v>
      </c>
      <c r="J14" s="261">
        <f>SUM('10'!G41,'10'!G42,'10'!G55,'10'!G56)</f>
        <v>6097</v>
      </c>
      <c r="K14" s="261">
        <f>SUM('10'!G43,'10'!G57)</f>
        <v>2543</v>
      </c>
      <c r="L14" s="1039">
        <f>'10'!G50</f>
        <v>1093</v>
      </c>
      <c r="M14" s="1039">
        <f>'10'!G36</f>
        <v>769</v>
      </c>
      <c r="N14" s="1039">
        <f>'10'!G72</f>
        <v>10</v>
      </c>
      <c r="O14" s="1039">
        <f>'10'!$G$73</f>
        <v>2</v>
      </c>
      <c r="P14" s="1039">
        <f>'10'!$G$74</f>
        <v>1</v>
      </c>
      <c r="Q14" s="1039">
        <f>'10'!$G$75</f>
        <v>170</v>
      </c>
      <c r="R14" s="1039">
        <f>'10'!$G$76</f>
        <v>63</v>
      </c>
      <c r="S14" s="1039">
        <f>'10'!$G$77</f>
        <v>60</v>
      </c>
      <c r="T14" s="1030">
        <f>'10'!$G$78</f>
        <v>59</v>
      </c>
      <c r="U14" s="1030">
        <f>'10'!$G$79</f>
        <v>162</v>
      </c>
      <c r="V14" s="1043">
        <f>'10'!$G$80</f>
        <v>406</v>
      </c>
      <c r="W14" s="1043">
        <f>'10'!$G$81</f>
        <v>216</v>
      </c>
      <c r="X14" s="1030">
        <f>'10'!$G$82</f>
        <v>13</v>
      </c>
      <c r="Y14" s="1030">
        <f>'10'!$G$58</f>
        <v>194</v>
      </c>
      <c r="Z14" s="1030">
        <f>'10'!$G$83</f>
        <v>227</v>
      </c>
      <c r="AA14" s="1030">
        <f>'10'!G86</f>
        <v>23</v>
      </c>
      <c r="AB14" s="1030">
        <f>'10'!G87</f>
        <v>15</v>
      </c>
      <c r="AC14" s="1030">
        <f>'10'!G88</f>
        <v>117</v>
      </c>
      <c r="AD14" s="1030">
        <f>'10'!G87+'10'!H90</f>
        <v>27.099999999999909</v>
      </c>
      <c r="AE14" s="1039">
        <f>'10'!$G$62</f>
        <v>0</v>
      </c>
      <c r="AF14" s="1039">
        <f>'10'!$G$63</f>
        <v>0</v>
      </c>
      <c r="AG14" s="1039">
        <f>'10'!$G$64</f>
        <v>374</v>
      </c>
      <c r="AH14" s="1039">
        <f>'10'!$G$65</f>
        <v>396</v>
      </c>
      <c r="AI14" s="1039">
        <f>'10'!$G$66</f>
        <v>401</v>
      </c>
      <c r="AJ14" s="1039">
        <f>'10'!$G$67</f>
        <v>440</v>
      </c>
      <c r="AK14" s="1039">
        <f>'10'!$G$68</f>
        <v>0</v>
      </c>
      <c r="AL14" s="1039">
        <f>'10'!$G$69</f>
        <v>257</v>
      </c>
      <c r="AM14" s="1039">
        <f>'10'!$G$84</f>
        <v>785</v>
      </c>
      <c r="AN14" s="1039">
        <f>'10'!$G$15</f>
        <v>829</v>
      </c>
      <c r="AO14" s="1039">
        <f>'10'!$G$124</f>
        <v>223</v>
      </c>
      <c r="AP14" s="1039">
        <f>'10'!$G$125</f>
        <v>0</v>
      </c>
      <c r="AQ14" s="1039">
        <f>'10'!$G$126</f>
        <v>102</v>
      </c>
      <c r="AR14" s="1039">
        <f>'10'!$G$127</f>
        <v>44</v>
      </c>
      <c r="AS14" s="1039">
        <f>'10'!$G$128</f>
        <v>8</v>
      </c>
      <c r="AT14" s="1039">
        <f t="shared" si="0"/>
        <v>452</v>
      </c>
      <c r="AU14" s="1039">
        <f>SUM('10'!G140:G141)</f>
        <v>10.150000000000091</v>
      </c>
      <c r="AV14" s="1039">
        <f>'10'!$G$137</f>
        <v>6.5100000000020373</v>
      </c>
      <c r="AW14" s="1039">
        <f>'10'!$G$138</f>
        <v>0</v>
      </c>
      <c r="AX14" s="1039">
        <f>'10'!$G$139</f>
        <v>0</v>
      </c>
      <c r="AY14" s="1036">
        <f t="shared" si="1"/>
        <v>6.5100000000020373</v>
      </c>
    </row>
    <row r="15" spans="1:53">
      <c r="A15" s="1038">
        <v>44023</v>
      </c>
      <c r="B15" s="261">
        <f>'11'!G7</f>
        <v>22731.5</v>
      </c>
      <c r="C15" s="261">
        <f>'11'!G8</f>
        <v>22829.97</v>
      </c>
      <c r="D15" s="261">
        <f>'11'!G15</f>
        <v>986.40999999991618</v>
      </c>
      <c r="E15" s="261">
        <f>'11'!G20</f>
        <v>240</v>
      </c>
      <c r="F15" s="261">
        <f>SUM('11'!G35,'11'!G49)</f>
        <v>2956.0300000000279</v>
      </c>
      <c r="G15" s="261">
        <f>SUM('11'!G37,'11'!G51)</f>
        <v>1589.75</v>
      </c>
      <c r="H15" s="261">
        <f>SUM('11'!G38,'11'!G52)</f>
        <v>1661.7900000000081</v>
      </c>
      <c r="I15" s="261">
        <f>SUM('11'!G39,'11'!G53)</f>
        <v>3609.2600000000093</v>
      </c>
      <c r="J15" s="261">
        <f>SUM('11'!G41,'11'!G42,'11'!G55,'11'!G56)</f>
        <v>7134.0600000000122</v>
      </c>
      <c r="K15" s="261">
        <f>SUM('11'!G43,'11'!G57)</f>
        <v>2942.3999999999069</v>
      </c>
      <c r="L15" s="1039">
        <f>'11'!G50</f>
        <v>1216.5500000000466</v>
      </c>
      <c r="M15" s="1039">
        <f>'11'!G36</f>
        <v>1013.2099999999991</v>
      </c>
      <c r="N15" s="1039">
        <f>'11'!G72</f>
        <v>11</v>
      </c>
      <c r="O15" s="1039">
        <f>'11'!$G$73</f>
        <v>1</v>
      </c>
      <c r="P15" s="1039">
        <f>'11'!$G$74</f>
        <v>1.6000000000058208</v>
      </c>
      <c r="Q15" s="1039">
        <f>'11'!$G$75</f>
        <v>150.29000000000087</v>
      </c>
      <c r="R15" s="1039">
        <f>'11'!$G$76</f>
        <v>60.290000000000873</v>
      </c>
      <c r="S15" s="1039">
        <f>'11'!$G$77</f>
        <v>52</v>
      </c>
      <c r="T15" s="1030">
        <f>'11'!$G$78</f>
        <v>61</v>
      </c>
      <c r="U15" s="1030">
        <f>'11'!$G$79</f>
        <v>144</v>
      </c>
      <c r="V15" s="1030">
        <f>'11'!$G$80</f>
        <v>448.1600000000326</v>
      </c>
      <c r="W15" s="1030">
        <f>'11'!$G$81</f>
        <v>279</v>
      </c>
      <c r="X15" s="1030">
        <f>'11'!$G$82</f>
        <v>28.610000000000582</v>
      </c>
      <c r="Y15" s="1030">
        <f>'11'!$G$58</f>
        <v>222.05999999999767</v>
      </c>
      <c r="Z15" s="1030">
        <f>'11'!$G$83</f>
        <v>262</v>
      </c>
      <c r="AA15" s="1030">
        <f>'11'!G86</f>
        <v>49.799999999988358</v>
      </c>
      <c r="AB15" s="1030">
        <f>'11'!G87</f>
        <v>11.30000000000291</v>
      </c>
      <c r="AC15" s="1030">
        <f>'11'!G88</f>
        <v>36.410000000003492</v>
      </c>
      <c r="AD15" s="1030">
        <f>'11'!G87+'11'!H90</f>
        <v>12.700000000003001</v>
      </c>
      <c r="AE15" s="1039">
        <f>'11'!$G$62</f>
        <v>0</v>
      </c>
      <c r="AF15" s="1039">
        <f>'11'!$G$63</f>
        <v>0</v>
      </c>
      <c r="AG15" s="1039">
        <f>'11'!$G$64</f>
        <v>374.42999999999302</v>
      </c>
      <c r="AH15" s="1039">
        <f>'11'!$G$65</f>
        <v>386.92999999999302</v>
      </c>
      <c r="AI15" s="1039">
        <f>'11'!$G$66</f>
        <v>431.13000000000466</v>
      </c>
      <c r="AJ15" s="1039">
        <f>'11'!$G$67</f>
        <v>435.69000000000233</v>
      </c>
      <c r="AK15" s="1039">
        <f>'11'!$G$68</f>
        <v>0</v>
      </c>
      <c r="AL15" s="1039">
        <f>'11'!$G$69</f>
        <v>281</v>
      </c>
      <c r="AM15" s="1039">
        <f>'11'!$G$84</f>
        <v>784</v>
      </c>
      <c r="AN15" s="1039">
        <f>'11'!$G$15</f>
        <v>986.40999999991618</v>
      </c>
      <c r="AO15" s="1039">
        <f>'11'!$G$124</f>
        <v>295.88000000000466</v>
      </c>
      <c r="AP15" s="1039">
        <f>'11'!$G$125</f>
        <v>0</v>
      </c>
      <c r="AQ15" s="1039">
        <f>'11'!$G$126</f>
        <v>89.910000000003492</v>
      </c>
      <c r="AR15" s="1039">
        <f>'11'!$G$127</f>
        <v>46.799999999999272</v>
      </c>
      <c r="AS15" s="1039">
        <f>'11'!$G$128</f>
        <v>4.7000000000007276</v>
      </c>
      <c r="AT15" s="1039">
        <f t="shared" si="0"/>
        <v>549.11999999990803</v>
      </c>
      <c r="AU15" s="1039">
        <f>SUM('11'!G140:G141)</f>
        <v>10.840000000000146</v>
      </c>
      <c r="AV15" s="1039">
        <f>'11'!$G$137</f>
        <v>6.9899999999979627</v>
      </c>
      <c r="AW15" s="1039">
        <f>'11'!$G$138</f>
        <v>3.9599999999991269</v>
      </c>
      <c r="AX15" s="1039">
        <f>'11'!$G$139</f>
        <v>0</v>
      </c>
      <c r="AY15" s="1036">
        <f t="shared" si="1"/>
        <v>10.94999999999709</v>
      </c>
    </row>
    <row r="16" spans="1:53">
      <c r="A16" s="1038">
        <v>44024</v>
      </c>
      <c r="B16" s="261">
        <f>'12'!G7</f>
        <v>21127.51999999999</v>
      </c>
      <c r="C16" s="261">
        <f>'12'!G8</f>
        <v>21239.899999999994</v>
      </c>
      <c r="D16" s="261">
        <f>'12'!G15</f>
        <v>914.79000000003725</v>
      </c>
      <c r="E16" s="261">
        <f>'12'!G20</f>
        <v>186</v>
      </c>
      <c r="F16" s="261">
        <f>SUM('12'!G35,'12'!G49)</f>
        <v>3001.4000000000233</v>
      </c>
      <c r="G16" s="261">
        <f>SUM('12'!G37,'12'!G51)</f>
        <v>1595.1199999999953</v>
      </c>
      <c r="H16" s="261">
        <f>SUM('12'!G38,'12'!G52)</f>
        <v>1595.1999999999825</v>
      </c>
      <c r="I16" s="261">
        <f>SUM('12'!G39,'12'!G53)</f>
        <v>3711.7399999999907</v>
      </c>
      <c r="J16" s="261">
        <f>SUM('12'!G41,'12'!G42,'12'!G55,'12'!G56)</f>
        <v>6204.239999999998</v>
      </c>
      <c r="K16" s="261">
        <f>SUM('12'!G43,'12'!G57)</f>
        <v>2563.2000000001863</v>
      </c>
      <c r="L16" s="1039">
        <f>'12'!G50</f>
        <v>1103.5599999999395</v>
      </c>
      <c r="M16" s="1039">
        <f>'12'!G36</f>
        <v>695.77000000000044</v>
      </c>
      <c r="N16" s="1039">
        <f>'12'!G72</f>
        <v>13</v>
      </c>
      <c r="O16" s="1039">
        <f>'12'!$G$73</f>
        <v>1</v>
      </c>
      <c r="P16" s="1039">
        <f>'12'!$G$74</f>
        <v>1.6999999999970896</v>
      </c>
      <c r="Q16" s="1039">
        <f>'12'!$G$75</f>
        <v>145.54999999999927</v>
      </c>
      <c r="R16" s="1039">
        <f>'12'!$G$76</f>
        <v>66</v>
      </c>
      <c r="S16" s="1039">
        <f>'12'!$G$77</f>
        <v>53</v>
      </c>
      <c r="T16" s="1030">
        <f>'12'!$G$78</f>
        <v>56</v>
      </c>
      <c r="U16" s="1030">
        <f>'12'!$G$79</f>
        <v>155</v>
      </c>
      <c r="V16" s="1030">
        <f>'12'!$G$80</f>
        <v>418.88000000000466</v>
      </c>
      <c r="W16" s="1030">
        <f>'12'!$G$81</f>
        <v>132.31999999994878</v>
      </c>
      <c r="X16" s="1030">
        <f>'12'!$G$82</f>
        <v>14.160000000003492</v>
      </c>
      <c r="Y16" s="1030">
        <f>'12'!$G$58</f>
        <v>231.10000000000582</v>
      </c>
      <c r="Z16" s="1030">
        <f>'12'!$G$83</f>
        <v>237</v>
      </c>
      <c r="AA16" s="1030">
        <f>'12'!G86</f>
        <v>31.840000000025611</v>
      </c>
      <c r="AB16" s="1030">
        <f>'12'!G87</f>
        <v>24.80000000000291</v>
      </c>
      <c r="AC16" s="1030">
        <f>'12'!G88</f>
        <v>112.32000000000698</v>
      </c>
      <c r="AD16" s="1030">
        <f>'12'!G87+'12'!H90</f>
        <v>28.600000000002638</v>
      </c>
      <c r="AE16" s="1039">
        <f>'12'!$G$62</f>
        <v>0</v>
      </c>
      <c r="AF16" s="1039">
        <f>'12'!$G$63</f>
        <v>0</v>
      </c>
      <c r="AG16" s="1039">
        <f>'12'!$G$64</f>
        <v>374.82000000000698</v>
      </c>
      <c r="AH16" s="1039">
        <f>'12'!$G$65</f>
        <v>381.96000000002095</v>
      </c>
      <c r="AI16" s="1039">
        <f>'12'!$G$66</f>
        <v>421.83000000000175</v>
      </c>
      <c r="AJ16" s="1039">
        <f>'12'!$G$67</f>
        <v>440.97999999998137</v>
      </c>
      <c r="AK16" s="1039">
        <f>'12'!$G$68</f>
        <v>0</v>
      </c>
      <c r="AL16" s="1039">
        <f>'12'!$G$69</f>
        <v>282.99000000000524</v>
      </c>
      <c r="AM16" s="1039">
        <f>'12'!$G$84</f>
        <v>767</v>
      </c>
      <c r="AN16" s="1039">
        <f>'12'!$G$15</f>
        <v>914.79000000003725</v>
      </c>
      <c r="AO16" s="1077">
        <f>'12'!$G$124</f>
        <v>267.13000000000466</v>
      </c>
      <c r="AP16" s="1039">
        <f>'12'!$G$125</f>
        <v>-0.39999999999417923</v>
      </c>
      <c r="AQ16" s="1066">
        <f>'12'!$G$126</f>
        <v>104.32000000000698</v>
      </c>
      <c r="AR16" s="1039">
        <f>'12'!$G$127</f>
        <v>35.400000000001455</v>
      </c>
      <c r="AS16" s="1039">
        <f>'12'!$G$128</f>
        <v>4.1999999999989086</v>
      </c>
      <c r="AT16" s="1039">
        <f t="shared" si="0"/>
        <v>504.14000000001943</v>
      </c>
      <c r="AU16" s="1039">
        <f>SUM('12'!G140:G141)</f>
        <v>9.7099999999995816</v>
      </c>
      <c r="AV16" s="1039">
        <f>'12'!$G$137</f>
        <v>8.4800000000032014</v>
      </c>
      <c r="AW16" s="1039">
        <f>'12'!$G$138</f>
        <v>0</v>
      </c>
      <c r="AX16" s="1039">
        <f>'12'!$G$139</f>
        <v>0</v>
      </c>
      <c r="AY16" s="1036">
        <f t="shared" si="1"/>
        <v>8.4800000000032014</v>
      </c>
      <c r="BA16" s="1044">
        <f>AO16-AQ16</f>
        <v>162.80999999999767</v>
      </c>
    </row>
    <row r="17" spans="1:53">
      <c r="A17" s="1038">
        <v>44025</v>
      </c>
      <c r="B17" s="261">
        <f>'13'!G7</f>
        <v>21500</v>
      </c>
      <c r="C17" s="261">
        <f>'13'!G8</f>
        <v>21611.399999999994</v>
      </c>
      <c r="D17" s="261">
        <f>'13'!G15</f>
        <v>943.80000000004657</v>
      </c>
      <c r="E17" s="261">
        <f>'13'!G20</f>
        <v>202</v>
      </c>
      <c r="F17" s="261">
        <f>SUM('13'!G35,'13'!G49)</f>
        <v>2899.5699999999488</v>
      </c>
      <c r="G17" s="261">
        <f>SUM('13'!G37,'13'!G51)</f>
        <v>1577.1300000000047</v>
      </c>
      <c r="H17" s="261">
        <f>SUM('13'!G38,'13'!G52)</f>
        <v>1632.0100000000093</v>
      </c>
      <c r="I17" s="261">
        <f>SUM('13'!G39,'13'!G53)</f>
        <v>3726</v>
      </c>
      <c r="J17" s="261">
        <f>SUM('13'!G41,'13'!G42,'13'!G55,'13'!G56)</f>
        <v>6191.8099999999613</v>
      </c>
      <c r="K17" s="261">
        <f>SUM('13'!G43,'13'!G57)</f>
        <v>2552.7299999999068</v>
      </c>
      <c r="L17" s="1039">
        <f>'13'!G50</f>
        <v>1162.890000000014</v>
      </c>
      <c r="M17" s="1039">
        <f>'13'!G36</f>
        <v>969.02000000000044</v>
      </c>
      <c r="N17" s="1039">
        <f>'13'!G72</f>
        <v>13</v>
      </c>
      <c r="O17" s="1039">
        <f>'13'!$G$73</f>
        <v>2</v>
      </c>
      <c r="P17" s="1039">
        <f>'13'!$G$74</f>
        <v>1.6999999999970896</v>
      </c>
      <c r="Q17" s="1039">
        <f>'13'!$G$75</f>
        <v>155.15999999999985</v>
      </c>
      <c r="R17" s="1039">
        <f>'13'!$G$76</f>
        <v>64.709999999999127</v>
      </c>
      <c r="S17" s="1039">
        <f>'13'!$G$77</f>
        <v>53</v>
      </c>
      <c r="T17" s="1030">
        <f>'13'!$G$78</f>
        <v>93</v>
      </c>
      <c r="U17" s="1030">
        <f>'13'!$G$79</f>
        <v>175</v>
      </c>
      <c r="V17" s="1030">
        <f>'13'!$G$80</f>
        <v>404.95999999996275</v>
      </c>
      <c r="W17" s="1030">
        <f>'13'!$G$81</f>
        <v>153.68000000005122</v>
      </c>
      <c r="X17" s="1030">
        <f>'13'!$G$82</f>
        <v>30.229999999995925</v>
      </c>
      <c r="Y17" s="1030">
        <f>'13'!$G$58</f>
        <v>206.83999999999651</v>
      </c>
      <c r="Z17" s="1030">
        <f>'13'!$G$83</f>
        <v>232</v>
      </c>
      <c r="AA17" s="1030">
        <f>'13'!G86</f>
        <v>17.35999999998603</v>
      </c>
      <c r="AB17" s="1030">
        <f>'13'!G87</f>
        <v>26.899999999994179</v>
      </c>
      <c r="AC17" s="1030">
        <f>'13'!G88</f>
        <v>148.26999999998952</v>
      </c>
      <c r="AD17" s="1030">
        <f>'13'!G87+'13'!H90</f>
        <v>29.699999999994361</v>
      </c>
      <c r="AE17" s="1039">
        <f>'13'!$G$62</f>
        <v>0</v>
      </c>
      <c r="AF17" s="1039">
        <f>'13'!$G$63</f>
        <v>0</v>
      </c>
      <c r="AG17" s="1039">
        <f>'13'!$G$64</f>
        <v>373.75</v>
      </c>
      <c r="AH17" s="1039">
        <f>'13'!$G$65</f>
        <v>405.10999999998603</v>
      </c>
      <c r="AI17" s="1039">
        <f>'13'!$G$66</f>
        <v>405.0399999999936</v>
      </c>
      <c r="AJ17" s="1039">
        <f>'13'!$G$67</f>
        <v>465.3300000000163</v>
      </c>
      <c r="AK17" s="1039">
        <f>'13'!$G$68</f>
        <v>0</v>
      </c>
      <c r="AL17" s="1039">
        <f>'13'!$G$69</f>
        <v>281.00999999999476</v>
      </c>
      <c r="AM17" s="1039">
        <f>'13'!$G$84</f>
        <v>787</v>
      </c>
      <c r="AN17" s="1039">
        <f>'13'!$G$15</f>
        <v>943.80000000004657</v>
      </c>
      <c r="AO17" s="1077">
        <f>'13'!$G$124</f>
        <v>254.98999999999069</v>
      </c>
      <c r="AP17" s="1039">
        <f>'13'!$G$125</f>
        <v>0</v>
      </c>
      <c r="AQ17" s="1039">
        <f>'13'!$G$126</f>
        <v>94.769999999989523</v>
      </c>
      <c r="AR17" s="1039">
        <f>'13'!$G$127</f>
        <v>41.799999999999272</v>
      </c>
      <c r="AS17" s="1039">
        <f>'13'!$G$128</f>
        <v>6.1000000000003638</v>
      </c>
      <c r="AT17" s="1039">
        <f t="shared" si="0"/>
        <v>546.14000000006672</v>
      </c>
      <c r="AU17" s="1039">
        <f>SUM('13'!G140:G141)</f>
        <v>8.8400000000001455</v>
      </c>
      <c r="AV17" s="1039">
        <f>'13'!$G$137</f>
        <v>10.44999999999709</v>
      </c>
      <c r="AW17" s="1039">
        <f>'13'!$G$138</f>
        <v>0</v>
      </c>
      <c r="AX17" s="1039">
        <f>'13'!$G$139</f>
        <v>0</v>
      </c>
      <c r="AY17" s="1036">
        <f t="shared" si="1"/>
        <v>10.44999999999709</v>
      </c>
      <c r="BA17" s="1044">
        <f t="shared" ref="BA17:BA34" si="3">AO17-AT17</f>
        <v>-291.15000000007603</v>
      </c>
    </row>
    <row r="18" spans="1:53">
      <c r="A18" s="1038">
        <v>44026</v>
      </c>
      <c r="B18" s="261">
        <f>'14'!G7</f>
        <v>22050.430000000022</v>
      </c>
      <c r="C18" s="261">
        <f>'14'!G8</f>
        <v>22172.24000000002</v>
      </c>
      <c r="D18" s="261">
        <f>'14'!G15</f>
        <v>797.81000000005588</v>
      </c>
      <c r="E18" s="261">
        <f>'14'!G20</f>
        <v>205</v>
      </c>
      <c r="F18" s="261">
        <f>SUM('14'!G35,'14'!G49)</f>
        <v>2878.4700000000303</v>
      </c>
      <c r="G18" s="261">
        <f>SUM('14'!G37,'14'!G51)</f>
        <v>1649.3500000000058</v>
      </c>
      <c r="H18" s="261">
        <f>SUM('14'!G38,'14'!G52)</f>
        <v>1585.7900000000081</v>
      </c>
      <c r="I18" s="261">
        <f>SUM('14'!G39,'14'!G53)</f>
        <v>3716.460000000021</v>
      </c>
      <c r="J18" s="261">
        <f>SUM('14'!G41,'14'!G42,'14'!G55,'14'!G56)</f>
        <v>6122.539999999979</v>
      </c>
      <c r="K18" s="261">
        <f>SUM('14'!G43,'14'!G57)</f>
        <v>2640.3000000000466</v>
      </c>
      <c r="L18" s="1039">
        <f>'14'!G50</f>
        <v>1781.5699999999488</v>
      </c>
      <c r="M18" s="1039">
        <f>'14'!G36</f>
        <v>950.38000000000102</v>
      </c>
      <c r="N18" s="1039">
        <f>'14'!G72</f>
        <v>14</v>
      </c>
      <c r="O18" s="1039">
        <f>'14'!$G$73</f>
        <v>1</v>
      </c>
      <c r="P18" s="1039">
        <f>'14'!$G$74</f>
        <v>0</v>
      </c>
      <c r="Q18" s="1039">
        <f>'14'!$G$75</f>
        <v>147.93000000000029</v>
      </c>
      <c r="R18" s="1039">
        <f>'14'!$G$76</f>
        <v>61.979999999999563</v>
      </c>
      <c r="S18" s="1039">
        <f>'14'!$G$77</f>
        <v>52</v>
      </c>
      <c r="T18" s="1030">
        <f>'14'!$G$78</f>
        <v>136</v>
      </c>
      <c r="U18" s="1030">
        <f>'14'!$G$79</f>
        <v>173</v>
      </c>
      <c r="V18" s="1030">
        <f>'14'!$G$80</f>
        <v>486.80000000004657</v>
      </c>
      <c r="W18" s="1030">
        <f>'14'!$G$81</f>
        <v>196.04000000003725</v>
      </c>
      <c r="X18" s="1030">
        <f>'14'!$G$82</f>
        <v>13.5</v>
      </c>
      <c r="Y18" s="1030">
        <f>'14'!$G$58</f>
        <v>164.37999999999738</v>
      </c>
      <c r="Z18" s="1030">
        <f>'14'!$G$83</f>
        <v>246</v>
      </c>
      <c r="AA18" s="1030">
        <f>'14'!G86</f>
        <v>31.760000000009313</v>
      </c>
      <c r="AB18" s="1030">
        <f>'14'!G87</f>
        <v>32.80000000000291</v>
      </c>
      <c r="AC18" s="1030">
        <f>'14'!G88</f>
        <v>139.52999999999884</v>
      </c>
      <c r="AD18" s="1030">
        <f>'14'!G87+'14'!H90</f>
        <v>36.000000000002728</v>
      </c>
      <c r="AE18" s="1039">
        <f>'14'!$G$62</f>
        <v>0</v>
      </c>
      <c r="AF18" s="1039">
        <f>'14'!$G$63</f>
        <v>0</v>
      </c>
      <c r="AG18" s="1039">
        <f>'14'!$G$64</f>
        <v>360.13000000000466</v>
      </c>
      <c r="AH18" s="1039">
        <f>'14'!$G$65</f>
        <v>397.63000000000466</v>
      </c>
      <c r="AI18" s="1039">
        <f>'14'!$G$66</f>
        <v>388.41999999999825</v>
      </c>
      <c r="AJ18" s="1039">
        <f>'14'!$G$67</f>
        <v>511.77000000001863</v>
      </c>
      <c r="AK18" s="1039">
        <f>'14'!$G$68</f>
        <v>0</v>
      </c>
      <c r="AL18" s="1039">
        <f>'14'!$G$69</f>
        <v>275.39999999999418</v>
      </c>
      <c r="AM18" s="1039">
        <f>'14'!$G$84</f>
        <v>765</v>
      </c>
      <c r="AN18" s="1039">
        <f>'14'!$G$15</f>
        <v>797.81000000005588</v>
      </c>
      <c r="AO18" s="1039">
        <f>'14'!$G$124</f>
        <v>251.73999999999069</v>
      </c>
      <c r="AP18" s="1039">
        <f>'14'!$G$125</f>
        <v>0.39999999999417923</v>
      </c>
      <c r="AQ18" s="1039">
        <f>'14'!$G$126</f>
        <v>119.19000000000233</v>
      </c>
      <c r="AR18" s="1039">
        <f>'14'!$G$127</f>
        <v>45.299999999999272</v>
      </c>
      <c r="AS18" s="1039">
        <f>'14'!$G$128</f>
        <v>3.7000000000007276</v>
      </c>
      <c r="AT18" s="1039">
        <f t="shared" si="0"/>
        <v>377.48000000006869</v>
      </c>
      <c r="AU18" s="1039">
        <f>SUM('14'!G140:G141)</f>
        <v>8.7600000000002183</v>
      </c>
      <c r="AV18" s="1039">
        <f>'14'!$G$137</f>
        <v>5.4000000000014552</v>
      </c>
      <c r="AW18" s="1039">
        <f>'14'!$G$138</f>
        <v>0</v>
      </c>
      <c r="AX18" s="1039">
        <f>'14'!$G$139</f>
        <v>2.3100000000122236</v>
      </c>
      <c r="AY18" s="1036">
        <f t="shared" si="1"/>
        <v>7.7100000000136788</v>
      </c>
      <c r="BA18" s="1044">
        <f>AO18-AT18</f>
        <v>-125.740000000078</v>
      </c>
    </row>
    <row r="19" spans="1:53">
      <c r="A19" s="1038">
        <v>44027</v>
      </c>
      <c r="B19" s="261">
        <f>'15'!G7</f>
        <v>22451.940000000002</v>
      </c>
      <c r="C19" s="261">
        <f>'15'!G8</f>
        <v>22546.299999999988</v>
      </c>
      <c r="D19" s="1450">
        <f>'15'!G15</f>
        <v>947.81299999984913</v>
      </c>
      <c r="E19" s="261">
        <f>'15'!G20</f>
        <v>184</v>
      </c>
      <c r="F19" s="1450">
        <f>SUM('15'!G35,'15'!G49)</f>
        <v>2947.5200000000186</v>
      </c>
      <c r="G19" s="1450">
        <f>SUM('15'!G37,'15'!G51)</f>
        <v>1595.3800000000047</v>
      </c>
      <c r="H19" s="1450">
        <f>SUM('15'!G38,'15'!G52)</f>
        <v>1645.3700000000536</v>
      </c>
      <c r="I19" s="1450">
        <f>SUM('15'!G39,'15'!G53)</f>
        <v>3733.8099999999977</v>
      </c>
      <c r="J19" s="1450">
        <f>SUM('15'!G41,'15'!G42,'15'!G55,'15'!G56)</f>
        <v>6384.1700000000274</v>
      </c>
      <c r="K19" s="261">
        <f>SUM('15'!G43,'15'!G57)</f>
        <v>2774.3000000000466</v>
      </c>
      <c r="L19" s="1451">
        <f>'15'!G50</f>
        <v>1449.7000000000698</v>
      </c>
      <c r="M19" s="1039">
        <f>'15'!G36</f>
        <v>1106.869999999999</v>
      </c>
      <c r="N19" s="1039">
        <f>'15'!G72</f>
        <v>13</v>
      </c>
      <c r="O19" s="1039">
        <f>'15'!$G$73</f>
        <v>2</v>
      </c>
      <c r="P19" s="1039">
        <f>'15'!$G$74</f>
        <v>1</v>
      </c>
      <c r="Q19" s="1039">
        <f>'15'!$G$75</f>
        <v>154.77000000000044</v>
      </c>
      <c r="R19" s="1039">
        <f>'15'!$G$76</f>
        <v>67.170000000000073</v>
      </c>
      <c r="S19" s="1039">
        <f>'15'!$G$77</f>
        <v>64</v>
      </c>
      <c r="T19" s="1030">
        <f>'15'!$G$78</f>
        <v>100</v>
      </c>
      <c r="U19" s="1030">
        <f>'15'!$G$79</f>
        <v>176</v>
      </c>
      <c r="V19" s="1030">
        <f>'15'!$G$80</f>
        <v>465.67999999993481</v>
      </c>
      <c r="W19" s="1030">
        <f>'15'!$G$81</f>
        <v>176.56999999994878</v>
      </c>
      <c r="X19" s="1030">
        <f>'15'!$G$82</f>
        <v>28.690000000002328</v>
      </c>
      <c r="Y19" s="1030">
        <f>'15'!$G$58</f>
        <v>195.43000000000029</v>
      </c>
      <c r="Z19" s="1030">
        <f>'15'!$G$83</f>
        <v>216</v>
      </c>
      <c r="AA19" s="1030">
        <f>'15'!G86</f>
        <v>8.8800000000046566</v>
      </c>
      <c r="AB19" s="1030">
        <f>'15'!G87</f>
        <v>36.19999999999709</v>
      </c>
      <c r="AC19" s="1030">
        <f>'15'!G88</f>
        <v>70.480000000010477</v>
      </c>
      <c r="AD19" s="1030">
        <f>'15'!G87+'15'!H90</f>
        <v>43.299999999997453</v>
      </c>
      <c r="AE19" s="1039">
        <f>'15'!$G$62</f>
        <v>0.18000000000029104</v>
      </c>
      <c r="AF19" s="1039">
        <f>'15'!$G$63</f>
        <v>0</v>
      </c>
      <c r="AG19" s="1039">
        <f>'15'!$G$64</f>
        <v>408.38000000000466</v>
      </c>
      <c r="AH19" s="1039">
        <f>'15'!$G$65</f>
        <v>381.13999999998487</v>
      </c>
      <c r="AI19" s="1039">
        <f>'15'!$G$66</f>
        <v>388.25999999999476</v>
      </c>
      <c r="AJ19" s="1039">
        <f>'15'!$G$67</f>
        <v>472.39999999996508</v>
      </c>
      <c r="AK19" s="1039">
        <f>'15'!$G$68</f>
        <v>0</v>
      </c>
      <c r="AL19" s="1039">
        <f>'15'!$G$69</f>
        <v>299.85000000000582</v>
      </c>
      <c r="AM19" s="1039">
        <f>'15'!$G$84</f>
        <v>743</v>
      </c>
      <c r="AN19" s="1039">
        <f>'15'!$G$15</f>
        <v>947.81299999984913</v>
      </c>
      <c r="AO19" s="1039">
        <f>'15'!$G$124</f>
        <v>253.43000000005122</v>
      </c>
      <c r="AP19" s="1039">
        <f>'15'!$G$125</f>
        <v>0</v>
      </c>
      <c r="AQ19" s="1039">
        <f>'15'!$G$126</f>
        <v>122.16000000000349</v>
      </c>
      <c r="AR19" s="1039">
        <f>'15'!$G$127</f>
        <v>37.900000000001455</v>
      </c>
      <c r="AS19" s="1039">
        <f>'15'!$G$128</f>
        <v>5.6999999999989086</v>
      </c>
      <c r="AT19" s="1039">
        <f t="shared" si="0"/>
        <v>528.62299999979405</v>
      </c>
      <c r="AU19" s="1039">
        <f>SUM('15'!G140:G141)</f>
        <v>9</v>
      </c>
      <c r="AV19" s="1039">
        <f>'15'!$G$137</f>
        <v>9.5900000000001455</v>
      </c>
      <c r="AW19" s="1039">
        <f>'15'!$G$138</f>
        <v>0</v>
      </c>
      <c r="AX19" s="1039">
        <f>'15'!$G$139</f>
        <v>0</v>
      </c>
      <c r="AY19" s="1036">
        <f t="shared" si="1"/>
        <v>9.5900000000001455</v>
      </c>
      <c r="BA19" s="1044">
        <f t="shared" si="3"/>
        <v>-275.19299999974282</v>
      </c>
    </row>
    <row r="20" spans="1:53">
      <c r="A20" s="1038">
        <v>44028</v>
      </c>
      <c r="B20" s="261">
        <f>'16'!G7</f>
        <v>22073.339999999967</v>
      </c>
      <c r="C20" s="261">
        <f>'16'!G8</f>
        <v>22174.580000000016</v>
      </c>
      <c r="D20" s="261">
        <f>'16'!G15</f>
        <v>837.25699999998324</v>
      </c>
      <c r="E20" s="261">
        <f>'16'!G20</f>
        <v>170</v>
      </c>
      <c r="F20" s="261">
        <f>SUM('16'!G35,'16'!G49)</f>
        <v>3155.4799999999814</v>
      </c>
      <c r="G20" s="261">
        <f>SUM('16'!G37,'16'!G51)</f>
        <v>1642.1699999999837</v>
      </c>
      <c r="H20" s="261">
        <f>SUM('16'!G38,'16'!G52)</f>
        <v>1628.4099999999453</v>
      </c>
      <c r="I20" s="261">
        <f>SUM('16'!G39,'16'!G53)</f>
        <v>3776.2200000000303</v>
      </c>
      <c r="J20" s="261">
        <f>SUM('16'!G41,'16'!G42,'16'!G55,'16'!G56)</f>
        <v>6367.0100000000384</v>
      </c>
      <c r="K20" s="261">
        <f>SUM('16'!G43,'16'!G57)</f>
        <v>2623.8999999999069</v>
      </c>
      <c r="L20" s="1039">
        <f>'16'!G50</f>
        <v>1102.1600000000326</v>
      </c>
      <c r="M20" s="1039">
        <f>'16'!G36</f>
        <v>1003.5800000000017</v>
      </c>
      <c r="N20" s="1039">
        <f>'16'!G72</f>
        <v>13</v>
      </c>
      <c r="O20" s="1039">
        <f>'16'!$G$73</f>
        <v>2</v>
      </c>
      <c r="P20" s="1039">
        <f>'16'!$G$74</f>
        <v>34.600000000005821</v>
      </c>
      <c r="Q20" s="1039">
        <f>'16'!$G$75</f>
        <v>183.88999999999942</v>
      </c>
      <c r="R20" s="1039">
        <f>'16'!$G$76</f>
        <v>69.860000000000582</v>
      </c>
      <c r="S20" s="1039">
        <f>'16'!$G$77</f>
        <v>70</v>
      </c>
      <c r="T20" s="1030">
        <f>'16'!$G$78</f>
        <v>102</v>
      </c>
      <c r="U20" s="1030">
        <f>'16'!$G$79</f>
        <v>166</v>
      </c>
      <c r="V20" s="1030">
        <f>'16'!$G$80</f>
        <v>461.28000000002794</v>
      </c>
      <c r="W20" s="1030">
        <f>'16'!$G$81</f>
        <v>181.46999999997206</v>
      </c>
      <c r="X20" s="1030">
        <f>'16'!$G$82</f>
        <v>16.690000000002328</v>
      </c>
      <c r="Y20" s="1030">
        <f>'16'!$G$58</f>
        <v>207.38000000000466</v>
      </c>
      <c r="Z20" s="1030">
        <f>'16'!$G$83</f>
        <v>176</v>
      </c>
      <c r="AA20" s="1030">
        <f>'16'!G86</f>
        <v>10.239999999990687</v>
      </c>
      <c r="AB20" s="1030">
        <f>'16'!G87</f>
        <v>25.399999999994179</v>
      </c>
      <c r="AC20" s="1030">
        <f>'16'!G88</f>
        <v>127.64999999999418</v>
      </c>
      <c r="AD20" s="1030">
        <f>'16'!G87+'16'!H90</f>
        <v>31.999999999994088</v>
      </c>
      <c r="AE20" s="1039">
        <f>'16'!$G$62</f>
        <v>0</v>
      </c>
      <c r="AF20" s="1039">
        <f>'16'!$G$63</f>
        <v>0</v>
      </c>
      <c r="AG20" s="1039">
        <f>'16'!$G$64</f>
        <v>399.29999999998836</v>
      </c>
      <c r="AH20" s="1039">
        <f>'16'!$G$65</f>
        <v>392.30000000001746</v>
      </c>
      <c r="AI20" s="1039">
        <f>'16'!$G$66</f>
        <v>396.9600000000064</v>
      </c>
      <c r="AJ20" s="1039">
        <f>'16'!$G$67</f>
        <v>469.88000000000466</v>
      </c>
      <c r="AK20" s="1039">
        <f>'16'!$G$68</f>
        <v>0</v>
      </c>
      <c r="AL20" s="1039">
        <f>'16'!$G$69</f>
        <v>303.86999999999534</v>
      </c>
      <c r="AM20" s="1039">
        <f>'16'!$G$84</f>
        <v>734</v>
      </c>
      <c r="AN20" s="1039">
        <f>'16'!$G$15</f>
        <v>837.25699999998324</v>
      </c>
      <c r="AO20" s="1077">
        <f>'16'!$G$124</f>
        <v>265.3399999999674</v>
      </c>
      <c r="AP20" s="1039">
        <f>'16'!$G$125</f>
        <v>0</v>
      </c>
      <c r="AQ20" s="1039">
        <f>'16'!$G$126</f>
        <v>99.179999999993015</v>
      </c>
      <c r="AR20" s="1039">
        <f>'16'!$G$127</f>
        <v>41</v>
      </c>
      <c r="AS20" s="1039">
        <f>'16'!$G$128</f>
        <v>7</v>
      </c>
      <c r="AT20" s="1039">
        <f t="shared" si="0"/>
        <v>424.73700000002282</v>
      </c>
      <c r="AU20" s="1039">
        <f>SUM('16'!G140:G141)</f>
        <v>9.0500000000001819</v>
      </c>
      <c r="AV20" s="1039">
        <f>'16'!$G$137</f>
        <v>8.0200000000004366</v>
      </c>
      <c r="AW20" s="1039">
        <f>'16'!$G$138</f>
        <v>0</v>
      </c>
      <c r="AX20" s="1039">
        <f>'16'!$G$139</f>
        <v>0</v>
      </c>
      <c r="AY20" s="1036">
        <f t="shared" si="1"/>
        <v>8.0200000000004366</v>
      </c>
      <c r="BA20" s="1044">
        <f t="shared" si="3"/>
        <v>-159.39700000005541</v>
      </c>
    </row>
    <row r="21" spans="1:53">
      <c r="A21" s="1038">
        <v>44029</v>
      </c>
      <c r="B21" s="261">
        <f>'17'!G7</f>
        <v>24778.48000000004</v>
      </c>
      <c r="C21" s="261">
        <f>'17'!G8</f>
        <v>24914.739999999991</v>
      </c>
      <c r="D21" s="261">
        <f>'17'!G15</f>
        <v>981.66100000008009</v>
      </c>
      <c r="E21" s="261">
        <f>'17'!G20</f>
        <v>201</v>
      </c>
      <c r="F21" s="261">
        <f>SUM('17'!G35,'17'!G49)</f>
        <v>3270.4200000000419</v>
      </c>
      <c r="G21" s="261">
        <f>SUM('17'!G37,'17'!G51)</f>
        <v>1656.5500000000175</v>
      </c>
      <c r="H21" s="261">
        <f>SUM('17'!G38,'17'!G52)</f>
        <v>1759.9199999999837</v>
      </c>
      <c r="I21" s="261">
        <f>SUM('17'!G39,'17'!G53)</f>
        <v>3718.9299999999348</v>
      </c>
      <c r="J21" s="261">
        <f>SUM('17'!G41,'17'!G42,'17'!G55,'17'!G56)</f>
        <v>8133.399999999936</v>
      </c>
      <c r="K21" s="261">
        <f>SUM('17'!G43,'17'!G57)</f>
        <v>3097.3999999999069</v>
      </c>
      <c r="L21" s="1039">
        <f>'17'!G50</f>
        <v>1300.4399999999441</v>
      </c>
      <c r="M21" s="1039">
        <f>'17'!G36</f>
        <v>1131.8199999999997</v>
      </c>
      <c r="N21" s="1039">
        <f>'18'!G72</f>
        <v>15</v>
      </c>
      <c r="O21" s="1039">
        <f>'17'!$G$73</f>
        <v>1</v>
      </c>
      <c r="P21" s="1039">
        <f>'17'!$G$74</f>
        <v>1</v>
      </c>
      <c r="Q21" s="1039">
        <f>'17'!$G$75</f>
        <v>176.70999999999913</v>
      </c>
      <c r="R21" s="1039">
        <f>'17'!$G$76</f>
        <v>65.119999999998981</v>
      </c>
      <c r="S21" s="1039">
        <f>'17'!$G$77</f>
        <v>65</v>
      </c>
      <c r="T21" s="1030">
        <f>'17'!$G$78</f>
        <v>100</v>
      </c>
      <c r="U21" s="1030">
        <f>'17'!$G$79</f>
        <v>199</v>
      </c>
      <c r="V21" s="1030">
        <f>'17'!$G$80</f>
        <v>476.55999999993946</v>
      </c>
      <c r="W21" s="1030">
        <f>'17'!$G$81</f>
        <v>231.20000000006985</v>
      </c>
      <c r="X21" s="1030">
        <f>'17'!$G$82</f>
        <v>27.369999999995343</v>
      </c>
      <c r="Y21" s="1030">
        <f>'17'!$G$58</f>
        <v>192.36999999999534</v>
      </c>
      <c r="Z21" s="1030">
        <f>'17'!$G$83</f>
        <v>276</v>
      </c>
      <c r="AA21" s="1030">
        <f>'17'!G86</f>
        <v>17.960000000020955</v>
      </c>
      <c r="AB21" s="1030">
        <f>'17'!G87</f>
        <v>19.600000000005821</v>
      </c>
      <c r="AC21" s="1030">
        <f>'17'!G88</f>
        <v>121.05999999999767</v>
      </c>
      <c r="AD21" s="1030">
        <f>'17'!G87+'17'!H90</f>
        <v>21.70000000000573</v>
      </c>
      <c r="AE21" s="1039">
        <f>'17'!$G$62</f>
        <v>-0.18000000000029104</v>
      </c>
      <c r="AF21" s="1039">
        <f>'17'!$G$63</f>
        <v>0</v>
      </c>
      <c r="AG21" s="1039">
        <f>'17'!$G$64</f>
        <v>365.26000000000931</v>
      </c>
      <c r="AH21" s="1039">
        <f>'17'!$G$65</f>
        <v>386.53999999997905</v>
      </c>
      <c r="AI21" s="1039">
        <f>'17'!$G$66</f>
        <v>390.9600000000064</v>
      </c>
      <c r="AJ21" s="1039">
        <f>'17'!$G$67</f>
        <v>477.85999999998603</v>
      </c>
      <c r="AK21" s="1039">
        <f>'17'!$G$68</f>
        <v>0</v>
      </c>
      <c r="AL21" s="1039">
        <f>'17'!$G$69</f>
        <v>301.97000000000116</v>
      </c>
      <c r="AM21" s="1039">
        <f>'17'!$G$84</f>
        <v>678</v>
      </c>
      <c r="AN21" s="1039">
        <f>'17'!$G$15</f>
        <v>981.66100000008009</v>
      </c>
      <c r="AO21" s="1039">
        <f>'17'!$G$124</f>
        <v>289.02000000001863</v>
      </c>
      <c r="AP21" s="1039">
        <f>'17'!$G$125</f>
        <v>0</v>
      </c>
      <c r="AQ21" s="1039">
        <f>'17'!$G$126</f>
        <v>114.20000000001164</v>
      </c>
      <c r="AR21" s="1039">
        <f>'17'!$G$127</f>
        <v>41</v>
      </c>
      <c r="AS21" s="1039">
        <f>'17'!$G$128</f>
        <v>6.7000000000007276</v>
      </c>
      <c r="AT21" s="1039">
        <f t="shared" si="0"/>
        <v>530.7410000000491</v>
      </c>
      <c r="AU21" s="1039">
        <f>SUM('17'!G140:G141)</f>
        <v>10.059999999999491</v>
      </c>
      <c r="AV21" s="1039">
        <f>'17'!$G$137</f>
        <v>9.1100000000005821</v>
      </c>
      <c r="AW21" s="1039">
        <f>'17'!$G$138</f>
        <v>0</v>
      </c>
      <c r="AX21" s="1039">
        <f>'17'!$G$139</f>
        <v>0</v>
      </c>
      <c r="AY21" s="1036">
        <f t="shared" si="1"/>
        <v>9.1100000000005821</v>
      </c>
      <c r="BA21" s="1044">
        <f t="shared" si="3"/>
        <v>-241.72100000003047</v>
      </c>
    </row>
    <row r="22" spans="1:53">
      <c r="A22" s="1038">
        <v>44030</v>
      </c>
      <c r="B22" s="261">
        <f>'18'!G7</f>
        <v>25838.119999999995</v>
      </c>
      <c r="C22" s="261">
        <f>'18'!G8</f>
        <v>25951.080000000016</v>
      </c>
      <c r="D22" s="261">
        <f>'18'!G15</f>
        <v>908.87899999995716</v>
      </c>
      <c r="E22" s="261">
        <f>'18'!G20</f>
        <v>179</v>
      </c>
      <c r="F22" s="261">
        <f>SUM('18'!G35,'18'!G49)</f>
        <v>3484.8079999999609</v>
      </c>
      <c r="G22" s="261">
        <f>SUM('18'!G37,'18'!G51)</f>
        <v>1846.5199999999895</v>
      </c>
      <c r="H22" s="261">
        <f>SUM('18'!G38,'18'!G52)</f>
        <v>1840.9800000000105</v>
      </c>
      <c r="I22" s="261">
        <f>SUM('18'!G39,'18'!G53)</f>
        <v>3750.8400000000256</v>
      </c>
      <c r="J22" s="261">
        <f>SUM('18'!G41,'18'!G42,'18'!G55,'18'!G56)</f>
        <v>8129.570000000007</v>
      </c>
      <c r="K22" s="261">
        <f>SUM('18'!G43,'18'!G57)</f>
        <v>3145.2000000001863</v>
      </c>
      <c r="L22" s="1039">
        <f>'18'!G50</f>
        <v>1712.1999999999534</v>
      </c>
      <c r="M22" s="1039">
        <f>'18'!G36</f>
        <v>1191.6299999999974</v>
      </c>
      <c r="N22" s="1039">
        <f>'18'!G72</f>
        <v>15</v>
      </c>
      <c r="O22" s="1039">
        <f>'18'!$G$73</f>
        <v>1</v>
      </c>
      <c r="P22" s="1039">
        <f>'18'!$G$74</f>
        <v>0.5</v>
      </c>
      <c r="Q22" s="1039">
        <f>'18'!$G$75</f>
        <v>172.45000000000073</v>
      </c>
      <c r="R22" s="1039">
        <f>'18'!$G$76</f>
        <v>63.150000000001455</v>
      </c>
      <c r="S22" s="1039">
        <f>'18'!$G$77</f>
        <v>86</v>
      </c>
      <c r="T22" s="1030">
        <f>'18'!$G$78</f>
        <v>104</v>
      </c>
      <c r="U22" s="1030">
        <f>'18'!$G$79</f>
        <v>157</v>
      </c>
      <c r="V22" s="1042">
        <f>'18'!$G$80</f>
        <v>503.68000000005122</v>
      </c>
      <c r="W22" s="1042">
        <f>'18'!$G$81</f>
        <v>226.23999999999069</v>
      </c>
      <c r="X22" s="1042">
        <f>'18'!$G$82</f>
        <v>22.600000000005821</v>
      </c>
      <c r="Y22" s="1042">
        <f>'18'!$G$58</f>
        <v>191.56999999999971</v>
      </c>
      <c r="Z22" s="1042">
        <f>'18'!$G$83</f>
        <v>229</v>
      </c>
      <c r="AA22" s="1042">
        <f>'18'!G86</f>
        <v>8.1599999999743886</v>
      </c>
      <c r="AB22" s="1030">
        <f>'18'!G87</f>
        <v>9.6000000000058208</v>
      </c>
      <c r="AC22" s="1030">
        <f>'18'!G88</f>
        <v>75.279999999998836</v>
      </c>
      <c r="AD22" s="1030">
        <f>'18'!G87+'18'!H90</f>
        <v>10.600000000005821</v>
      </c>
      <c r="AE22" s="1039">
        <f>'18'!$G$62</f>
        <v>0.18000000000029104</v>
      </c>
      <c r="AF22" s="1039">
        <f>'18'!$G$63</f>
        <v>0</v>
      </c>
      <c r="AG22" s="1039">
        <f>'18'!$G$64</f>
        <v>372.07999999998719</v>
      </c>
      <c r="AH22" s="1039">
        <f>'18'!$G$65</f>
        <v>408.42000000001281</v>
      </c>
      <c r="AI22" s="1039">
        <f>'18'!$G$66</f>
        <v>427.29999999998836</v>
      </c>
      <c r="AJ22" s="1039">
        <f>'18'!$G$67</f>
        <v>472.20000000001164</v>
      </c>
      <c r="AK22" s="1039">
        <f>'18'!$G$68</f>
        <v>0</v>
      </c>
      <c r="AL22" s="1039">
        <f>'18'!$G$69</f>
        <v>307.29000000000815</v>
      </c>
      <c r="AM22" s="1039">
        <f>'18'!$G$84</f>
        <v>823</v>
      </c>
      <c r="AN22" s="1039">
        <f>'18'!$G$15</f>
        <v>908.87899999995716</v>
      </c>
      <c r="AO22" s="1039">
        <f>'18'!$G$124</f>
        <v>295.73999999999069</v>
      </c>
      <c r="AP22" s="1039">
        <f>'18'!$G$125</f>
        <v>0</v>
      </c>
      <c r="AQ22" s="1039">
        <f>'18'!$G$126</f>
        <v>107.79999999998836</v>
      </c>
      <c r="AR22" s="1039">
        <f>'18'!$G$127</f>
        <v>45.100000000002183</v>
      </c>
      <c r="AS22" s="1039">
        <f>'18'!$G$128</f>
        <v>4.8999999999996362</v>
      </c>
      <c r="AT22" s="1039">
        <f t="shared" si="0"/>
        <v>455.33899999997629</v>
      </c>
      <c r="AU22" s="1039">
        <f>SUM('18'!G140:G141)</f>
        <v>10.289999999999964</v>
      </c>
      <c r="AV22" s="1039">
        <f>'18'!$G$137</f>
        <v>8.5399999999972351</v>
      </c>
      <c r="AW22" s="1039">
        <f>'18'!$G$138</f>
        <v>0</v>
      </c>
      <c r="AX22" s="1039">
        <f>'18'!$G$139</f>
        <v>0</v>
      </c>
      <c r="AY22" s="1036">
        <f t="shared" si="1"/>
        <v>8.5399999999972351</v>
      </c>
      <c r="BA22" s="1044">
        <f t="shared" si="3"/>
        <v>-159.59899999998561</v>
      </c>
    </row>
    <row r="23" spans="1:53" s="1041" customFormat="1">
      <c r="A23" s="1038">
        <v>44031</v>
      </c>
      <c r="B23" s="261">
        <f>'19'!G7</f>
        <v>21625.669999999984</v>
      </c>
      <c r="C23" s="261">
        <f>'19'!G8</f>
        <v>21717.789999999979</v>
      </c>
      <c r="D23" s="261">
        <f>'19'!G15</f>
        <v>880.58000000007451</v>
      </c>
      <c r="E23" s="261">
        <f>'19'!G20</f>
        <v>257</v>
      </c>
      <c r="F23" s="261">
        <f>SUM('19'!G35,'19'!G49)</f>
        <v>3252.3019999999669</v>
      </c>
      <c r="G23" s="261">
        <f>SUM('19'!G37,'19'!G51)</f>
        <v>1591.1600000000035</v>
      </c>
      <c r="H23" s="261">
        <f>SUM('19'!G38,'19'!G52)</f>
        <v>1606.4600000000501</v>
      </c>
      <c r="I23" s="261">
        <f>SUM('19'!G39,'19'!G53)</f>
        <v>3770.3300000000163</v>
      </c>
      <c r="J23" s="261">
        <f>SUM('19'!G41,'19'!G42,'19'!G55,'19'!G56)</f>
        <v>6446.2000000000407</v>
      </c>
      <c r="K23" s="261">
        <f>SUM('19'!G43,'19'!G57)</f>
        <v>2549.5699999999069</v>
      </c>
      <c r="L23" s="1030">
        <f>'19'!G50</f>
        <v>1093.9300000000512</v>
      </c>
      <c r="M23" s="1030">
        <f>'19'!G36</f>
        <v>815.72000000000116</v>
      </c>
      <c r="N23" s="1030">
        <f>'19'!G72</f>
        <v>14</v>
      </c>
      <c r="O23" s="1030">
        <f>'19'!$G$73</f>
        <v>2</v>
      </c>
      <c r="P23" s="1030">
        <f>'19'!$G$74</f>
        <v>-0.10000000000582077</v>
      </c>
      <c r="Q23" s="1030">
        <f>'19'!$G$75</f>
        <v>148.25</v>
      </c>
      <c r="R23" s="1039">
        <f>'19'!G76</f>
        <v>60.719999999999345</v>
      </c>
      <c r="S23" s="1030">
        <f>'19'!$G$77</f>
        <v>68</v>
      </c>
      <c r="T23" s="1030">
        <f>'19'!$G$78</f>
        <v>82</v>
      </c>
      <c r="U23" s="1030">
        <f>'19'!$G$79</f>
        <v>155</v>
      </c>
      <c r="V23" s="1030">
        <f>'19'!$G$80</f>
        <v>401</v>
      </c>
      <c r="W23" s="1030">
        <f>'19'!$G$81</f>
        <v>219.47999999998137</v>
      </c>
      <c r="X23" s="1030">
        <f>'19'!$G$82</f>
        <v>24.149999999994179</v>
      </c>
      <c r="Y23" s="1030">
        <f>'19'!$G$58</f>
        <v>217.87000000000262</v>
      </c>
      <c r="Z23" s="1030">
        <f>'19'!$G$83</f>
        <v>272</v>
      </c>
      <c r="AA23" s="1030">
        <f>'19'!G86</f>
        <v>17</v>
      </c>
      <c r="AB23" s="1030">
        <f>'19'!G87</f>
        <v>30.399999999994179</v>
      </c>
      <c r="AC23" s="1030">
        <f>'19'!G88</f>
        <v>126</v>
      </c>
      <c r="AD23" s="1030">
        <f>'19'!G87+'19'!H90</f>
        <v>33.399999999994179</v>
      </c>
      <c r="AE23" s="1030">
        <f>'19'!$G$62</f>
        <v>2.0000000000436557E-2</v>
      </c>
      <c r="AF23" s="1030">
        <f>'19'!$G$63</f>
        <v>0</v>
      </c>
      <c r="AG23" s="1030">
        <f>'19'!$G$64</f>
        <v>374.85000000000582</v>
      </c>
      <c r="AH23" s="1030">
        <f>'19'!$G$65</f>
        <v>395.97000000000116</v>
      </c>
      <c r="AI23" s="1030">
        <f>'19'!$G$66</f>
        <v>429.10000000000582</v>
      </c>
      <c r="AJ23" s="1030">
        <f>'19'!$G$67</f>
        <v>481.89000000001397</v>
      </c>
      <c r="AK23" s="1030">
        <f>'19'!$G$68</f>
        <v>0</v>
      </c>
      <c r="AL23" s="1030">
        <f>'19'!$G$69</f>
        <v>305.61999999999534</v>
      </c>
      <c r="AM23" s="1030">
        <f>'19'!$G$84</f>
        <v>776</v>
      </c>
      <c r="AN23" s="1030">
        <f>'19'!$G$15</f>
        <v>880.58000000007451</v>
      </c>
      <c r="AO23" s="1030">
        <f>'19'!$G$124</f>
        <v>267.72999999998137</v>
      </c>
      <c r="AP23" s="1030">
        <f>'19'!$G$125</f>
        <v>0</v>
      </c>
      <c r="AQ23" s="1030">
        <f>'19'!$G$126</f>
        <v>68.470000000001164</v>
      </c>
      <c r="AR23" s="1030">
        <f>'19'!$G$127</f>
        <v>31.69999999999709</v>
      </c>
      <c r="AS23" s="1030">
        <f>'19'!$G$128</f>
        <v>0</v>
      </c>
      <c r="AT23" s="1030">
        <f t="shared" si="0"/>
        <v>512.68000000009488</v>
      </c>
      <c r="AU23" s="1030">
        <f>SUM('19'!G140:G141)</f>
        <v>9.4000000000005457</v>
      </c>
      <c r="AV23" s="1030">
        <f>'19'!$G$137</f>
        <v>9.5600000000013097</v>
      </c>
      <c r="AW23" s="1030">
        <f>'19'!$G$138</f>
        <v>-0.15999999999985448</v>
      </c>
      <c r="AX23" s="1030">
        <f>'19'!$G$139</f>
        <v>0</v>
      </c>
      <c r="AY23" s="1040">
        <f t="shared" si="1"/>
        <v>9.4000000000014552</v>
      </c>
      <c r="BA23" s="1045">
        <f t="shared" si="3"/>
        <v>-244.9500000001135</v>
      </c>
    </row>
    <row r="24" spans="1:53">
      <c r="A24" s="1038">
        <v>44032</v>
      </c>
      <c r="B24" s="261">
        <f>'20'!G7</f>
        <v>22117.960000000021</v>
      </c>
      <c r="C24" s="261">
        <f>'20'!G8</f>
        <v>22217.270000000019</v>
      </c>
      <c r="D24" s="261">
        <f>'20'!G15</f>
        <v>465</v>
      </c>
      <c r="E24" s="261">
        <f>'20'!G20</f>
        <v>143</v>
      </c>
      <c r="F24" s="261">
        <f>SUM('20'!G35,'20'!G49)</f>
        <v>2573.210000000021</v>
      </c>
      <c r="G24" s="261">
        <f>SUM('20'!G37,'20'!G51)</f>
        <v>1586.9700000000012</v>
      </c>
      <c r="H24" s="261">
        <f>SUM('20'!G38,'20'!G52)</f>
        <v>1448.929999999993</v>
      </c>
      <c r="I24" s="261">
        <f>SUM('20'!G39,'20'!G53)</f>
        <v>3767.429999999993</v>
      </c>
      <c r="J24" s="261">
        <f>SUM('20'!G41,'20'!G42,'20'!G55,'20'!G56)</f>
        <v>7204.5400000000081</v>
      </c>
      <c r="K24" s="261">
        <f>SUM('20'!G43,'20'!G57)</f>
        <v>2710.6999999999534</v>
      </c>
      <c r="L24" s="1039">
        <f>'20'!G50</f>
        <v>1063.75</v>
      </c>
      <c r="M24" s="1039">
        <f>'20'!G36</f>
        <v>1166.5199999999968</v>
      </c>
      <c r="N24" s="1039">
        <f>'20'!G72</f>
        <v>13</v>
      </c>
      <c r="O24" s="1039">
        <f>'20'!$G$73</f>
        <v>2</v>
      </c>
      <c r="P24" s="1039">
        <f>'20'!$G$74</f>
        <v>3.3000000000029104</v>
      </c>
      <c r="Q24" s="1039">
        <f>'20'!$G$75</f>
        <v>166.63000000000102</v>
      </c>
      <c r="R24" s="1039">
        <f>'20'!$G$76</f>
        <v>63.899999999999636</v>
      </c>
      <c r="S24" s="1039">
        <f>'20'!$G$77</f>
        <v>57</v>
      </c>
      <c r="T24" s="1030">
        <f>'20'!$G$78</f>
        <v>90</v>
      </c>
      <c r="U24" s="1030">
        <f>'20'!$G$79</f>
        <v>150</v>
      </c>
      <c r="V24" s="1030">
        <f>'20'!$G$80</f>
        <v>428.28000000002794</v>
      </c>
      <c r="W24" s="1030">
        <f>'20'!$G$81</f>
        <v>238.04000000003725</v>
      </c>
      <c r="X24" s="1030">
        <f>'20'!$G$82</f>
        <v>13.070000000006985</v>
      </c>
      <c r="Y24" s="1030">
        <f>'20'!$G$58</f>
        <v>7.7399999999979627</v>
      </c>
      <c r="Z24" s="1030">
        <f>'20'!$G$83</f>
        <v>238</v>
      </c>
      <c r="AA24" s="1030">
        <f>'20'!G86</f>
        <v>23.35999999998603</v>
      </c>
      <c r="AB24" s="1030">
        <f>'20'!G87</f>
        <v>38</v>
      </c>
      <c r="AC24" s="1030">
        <f>'20'!G88</f>
        <v>168.45999999999185</v>
      </c>
      <c r="AD24" s="1030">
        <f>'20'!G87+'20'!H90</f>
        <v>43</v>
      </c>
      <c r="AE24" s="1039">
        <f>'20'!$G$62</f>
        <v>0</v>
      </c>
      <c r="AF24" s="1039">
        <f>'20'!$G$63</f>
        <v>0</v>
      </c>
      <c r="AG24" s="1039">
        <f>'20'!$G$64</f>
        <v>363.47000000000116</v>
      </c>
      <c r="AH24" s="1039">
        <f>'20'!$G$65</f>
        <v>386.08999999999651</v>
      </c>
      <c r="AI24" s="1039">
        <f>'20'!$G$66</f>
        <v>428.92999999999302</v>
      </c>
      <c r="AJ24" s="1039">
        <f>'20'!$G$67</f>
        <v>501.6699999999837</v>
      </c>
      <c r="AK24" s="1039">
        <f>'20'!$G$68</f>
        <v>0</v>
      </c>
      <c r="AL24" s="1039">
        <f>'20'!$G$69</f>
        <v>295.63000000000466</v>
      </c>
      <c r="AM24" s="1039">
        <f>'20'!$G$84</f>
        <v>727</v>
      </c>
      <c r="AN24" s="1039">
        <f>'20'!$G$15</f>
        <v>465</v>
      </c>
      <c r="AO24" s="1039">
        <f>'20'!$G$124</f>
        <v>260.44999999995343</v>
      </c>
      <c r="AP24" s="1039">
        <f>'20'!$G$125</f>
        <v>0</v>
      </c>
      <c r="AQ24" s="1039">
        <f>'20'!$G$126</f>
        <v>81.230000000010477</v>
      </c>
      <c r="AR24" s="1039">
        <f>'20'!$G$127</f>
        <v>37</v>
      </c>
      <c r="AS24" s="1039">
        <f>'20'!$G$128</f>
        <v>1.7000000000007276</v>
      </c>
      <c r="AT24" s="1039">
        <f t="shared" si="0"/>
        <v>84.620000000035361</v>
      </c>
      <c r="AU24" s="1039">
        <f>SUM('20'!G140:G141)</f>
        <v>9.1499999999996362</v>
      </c>
      <c r="AV24" s="1039">
        <f>'20'!$G$137</f>
        <v>0.27999999999883585</v>
      </c>
      <c r="AW24" s="1039">
        <f>'20'!$G$138</f>
        <v>0.15999999999985448</v>
      </c>
      <c r="AX24" s="1039">
        <f>'20'!$G$139</f>
        <v>0</v>
      </c>
      <c r="AY24" s="1036">
        <f t="shared" si="1"/>
        <v>0.43999999999869033</v>
      </c>
      <c r="BA24" s="1044">
        <f t="shared" si="3"/>
        <v>175.82999999991807</v>
      </c>
    </row>
    <row r="25" spans="1:53">
      <c r="A25" s="1038">
        <v>44033</v>
      </c>
      <c r="B25" s="261">
        <f>'21'!G7</f>
        <v>21118.709999999963</v>
      </c>
      <c r="C25" s="261">
        <f>'21'!G8</f>
        <v>21222.559999999998</v>
      </c>
      <c r="D25" s="261">
        <f>'21'!G15</f>
        <v>926.71999999997206</v>
      </c>
      <c r="E25" s="261">
        <f>'21'!G20</f>
        <v>175</v>
      </c>
      <c r="F25" s="261">
        <f>SUM('21'!G35,'21'!G49)</f>
        <v>2837.539999999979</v>
      </c>
      <c r="G25" s="261">
        <f>SUM('21'!G37,'21'!G51)</f>
        <v>1602.9200000000128</v>
      </c>
      <c r="H25" s="261">
        <f>SUM('21'!G38,'21'!G52)</f>
        <v>1578.0499999999593</v>
      </c>
      <c r="I25" s="261">
        <f>SUM('21'!G39,'21'!G53)</f>
        <v>3741.5200000000186</v>
      </c>
      <c r="J25" s="261">
        <f>SUM('21'!G41,'21'!G42,'21'!G55,'21'!G56)</f>
        <v>6289.1099999999278</v>
      </c>
      <c r="K25" s="261">
        <f>SUM('21'!G43,'21'!G57)</f>
        <v>2552.6000000000931</v>
      </c>
      <c r="L25" s="1039">
        <f>'21'!G50</f>
        <v>1014.9200000000419</v>
      </c>
      <c r="M25" s="1039">
        <f>'21'!G36</f>
        <v>759.40000000000146</v>
      </c>
      <c r="N25" s="1039">
        <f>'21'!G72</f>
        <v>13</v>
      </c>
      <c r="O25" s="1039">
        <f>'21'!$G$73</f>
        <v>1</v>
      </c>
      <c r="P25" s="1039">
        <f>'21'!$G$74</f>
        <v>1.3000000000029104</v>
      </c>
      <c r="Q25" s="1039">
        <f>'21'!$G$75</f>
        <v>153.25</v>
      </c>
      <c r="R25" s="1039">
        <f>'21'!$G$76</f>
        <v>69.450000000000728</v>
      </c>
      <c r="S25" s="1039">
        <f>'21'!$G$77</f>
        <v>93</v>
      </c>
      <c r="T25" s="1030">
        <f>'21'!$G$78</f>
        <v>126</v>
      </c>
      <c r="U25" s="1030">
        <f>'21'!$G$79</f>
        <v>155</v>
      </c>
      <c r="V25" s="1030">
        <f>'21'!$G$80</f>
        <v>421.71999999997206</v>
      </c>
      <c r="W25" s="1030">
        <f>'21'!$G$81</f>
        <v>184.95999999996275</v>
      </c>
      <c r="X25" s="1030">
        <f>'21'!$G$82</f>
        <v>26.44999999999709</v>
      </c>
      <c r="Y25" s="1030">
        <f>'21'!$G$58</f>
        <v>222.88999999999942</v>
      </c>
      <c r="Z25" s="1030">
        <f>'21'!$G$83</f>
        <v>206</v>
      </c>
      <c r="AA25" s="1030">
        <f>'21'!G86</f>
        <v>22.160000000032596</v>
      </c>
      <c r="AB25" s="1030">
        <f>'21'!G87</f>
        <v>34.80000000000291</v>
      </c>
      <c r="AC25" s="1030">
        <f>'21'!G88</f>
        <v>103.36999999999534</v>
      </c>
      <c r="AD25" s="1030">
        <f>'21'!G87+'21'!H90</f>
        <v>42.80000000000291</v>
      </c>
      <c r="AE25" s="1039">
        <f>'21'!$G$62</f>
        <v>0</v>
      </c>
      <c r="AF25" s="1039">
        <f>'21'!$G$63</f>
        <v>0</v>
      </c>
      <c r="AG25" s="1039">
        <f>'21'!$G$64</f>
        <v>348.01999999998952</v>
      </c>
      <c r="AH25" s="1039">
        <f>'21'!$G$65</f>
        <v>382.5</v>
      </c>
      <c r="AI25" s="1039">
        <f>'21'!$G$66</f>
        <v>407.82000000000698</v>
      </c>
      <c r="AJ25" s="1039">
        <f>'21'!$G$67</f>
        <v>501.44000000000233</v>
      </c>
      <c r="AK25" s="1039">
        <f>'21'!$G$68</f>
        <v>0</v>
      </c>
      <c r="AL25" s="1039">
        <f>'21'!$G$69</f>
        <v>284.54999999998836</v>
      </c>
      <c r="AM25" s="1039">
        <f>'21'!$G$84</f>
        <v>697</v>
      </c>
      <c r="AN25" s="1039">
        <f>'21'!$G$15</f>
        <v>926.71999999997206</v>
      </c>
      <c r="AO25" s="1039">
        <f>'21'!$G$124</f>
        <v>269.23000000009779</v>
      </c>
      <c r="AP25" s="1039">
        <f>'21'!$G$125</f>
        <v>0</v>
      </c>
      <c r="AQ25" s="1039">
        <f>'21'!$G$126</f>
        <v>85.069999999977881</v>
      </c>
      <c r="AR25" s="1039">
        <f>'21'!$G$127</f>
        <v>39.599999999998545</v>
      </c>
      <c r="AS25" s="1039">
        <f>'21'!$G$128</f>
        <v>1.2999999999992724</v>
      </c>
      <c r="AT25" s="1039">
        <f t="shared" si="0"/>
        <v>531.51999999989857</v>
      </c>
      <c r="AU25" s="1039">
        <f>SUM('21'!G140:G141)</f>
        <v>9.4600000000000364</v>
      </c>
      <c r="AV25" s="1039">
        <f>'21'!$G$137</f>
        <v>10.069999999999709</v>
      </c>
      <c r="AW25" s="1039">
        <f>'21'!$G$138</f>
        <v>0</v>
      </c>
      <c r="AX25" s="1039">
        <f>'21'!$G$139</f>
        <v>0</v>
      </c>
      <c r="AY25" s="1036">
        <f t="shared" si="1"/>
        <v>10.069999999999709</v>
      </c>
      <c r="BA25" s="1044">
        <f t="shared" si="3"/>
        <v>-262.28999999980078</v>
      </c>
    </row>
    <row r="26" spans="1:53">
      <c r="A26" s="1038">
        <v>44034</v>
      </c>
      <c r="B26" s="261">
        <f>'22'!G7</f>
        <v>21500</v>
      </c>
      <c r="C26" s="261">
        <f>'22'!G8</f>
        <v>21500</v>
      </c>
      <c r="D26" s="261">
        <f>'22'!G15</f>
        <v>700</v>
      </c>
      <c r="E26" s="261">
        <f>'22'!G20</f>
        <v>-1659</v>
      </c>
      <c r="F26" s="261">
        <f>SUM('22'!G35,'22'!G49)</f>
        <v>-85805.62</v>
      </c>
      <c r="G26" s="261">
        <f>SUM('22'!G37,'22'!G51)</f>
        <v>-44973.770000000019</v>
      </c>
      <c r="H26" s="261">
        <f>SUM('22'!G38,'22'!G52)</f>
        <v>-46569.16</v>
      </c>
      <c r="I26" s="261">
        <f>SUM('22'!G39,'22'!G53)</f>
        <v>-106711.96000000002</v>
      </c>
      <c r="J26" s="261">
        <f>SUM('22'!G41,'22'!G42,'22'!G55,'22'!G56)</f>
        <v>-189822.89999999991</v>
      </c>
      <c r="K26" s="261">
        <f>SUM('22'!G43,'22'!G57)</f>
        <v>-78806.199999999953</v>
      </c>
      <c r="L26" s="1039">
        <f>'22'!G50</f>
        <v>-33905.680000000051</v>
      </c>
      <c r="M26" s="1039">
        <f>'22'!G36</f>
        <v>-24458.25</v>
      </c>
      <c r="N26" s="1039">
        <f>'22'!G72</f>
        <v>-355</v>
      </c>
      <c r="O26" s="1039">
        <f>'22'!$G$73</f>
        <v>-39</v>
      </c>
      <c r="P26" s="1039">
        <f>'22'!$G$74</f>
        <v>-32.600000000005821</v>
      </c>
      <c r="Q26" s="1039">
        <f>'22'!$G$75</f>
        <v>-4454.5800000000017</v>
      </c>
      <c r="R26" s="1039">
        <f>'22'!$G$76</f>
        <v>-1974.7600000000002</v>
      </c>
      <c r="S26" s="1039">
        <f>'22'!$G$77</f>
        <v>-1781</v>
      </c>
      <c r="T26" s="1030">
        <f>'22'!$G$78</f>
        <v>-2826</v>
      </c>
      <c r="U26" s="1030">
        <f>'22'!$G$79</f>
        <v>-4504</v>
      </c>
      <c r="V26" s="1030">
        <f>'22'!$G$80</f>
        <v>-12200</v>
      </c>
      <c r="W26" s="1030">
        <f>'22'!$G$81</f>
        <v>-5287</v>
      </c>
      <c r="X26" s="1030">
        <f>'22'!$G$82</f>
        <v>-587.52000000000407</v>
      </c>
      <c r="Y26" s="1030">
        <f>'22'!$G$58</f>
        <v>-4887.25</v>
      </c>
      <c r="Z26" s="1030">
        <f>'22'!$G$83</f>
        <v>-7159</v>
      </c>
      <c r="AA26" s="1030">
        <f>'22'!G86</f>
        <v>-755.36000000004424</v>
      </c>
      <c r="AB26" s="1030">
        <f>'22'!G87</f>
        <v>-805.69999999999709</v>
      </c>
      <c r="AC26" s="1030">
        <f>'22'!G88</f>
        <v>-3254.8299999999872</v>
      </c>
      <c r="AD26" s="1030">
        <f>'22'!G87+'22'!H90</f>
        <v>-893.99999999999727</v>
      </c>
      <c r="AE26" s="1039">
        <f>'22'!$G$62</f>
        <v>0</v>
      </c>
      <c r="AF26" s="1039">
        <f>'22'!$G$63</f>
        <v>0</v>
      </c>
      <c r="AG26" s="1039">
        <f>'22'!$G$64</f>
        <v>-11140.229999999981</v>
      </c>
      <c r="AH26" s="1039">
        <f>'22'!$G$65</f>
        <v>-11050.820000000007</v>
      </c>
      <c r="AI26" s="1039">
        <f>'22'!$G$66</f>
        <v>-12007.220000000001</v>
      </c>
      <c r="AJ26" s="1039">
        <f>'22'!$G$67</f>
        <v>-13536.109999999986</v>
      </c>
      <c r="AK26" s="1039">
        <f>'22'!$G$68</f>
        <v>0</v>
      </c>
      <c r="AL26" s="1039">
        <f>'22'!$G$69</f>
        <v>-7618.2299999999959</v>
      </c>
      <c r="AM26" s="1039">
        <f>'22'!$G$84</f>
        <v>-22943</v>
      </c>
      <c r="AN26" s="1039">
        <f>'22'!$G$15</f>
        <v>700</v>
      </c>
      <c r="AO26" s="1077">
        <f>'22'!$G$124</f>
        <v>-7951.9100000000326</v>
      </c>
      <c r="AP26" s="1039">
        <f>'22'!$G$125</f>
        <v>0</v>
      </c>
      <c r="AQ26" s="1039">
        <f>'22'!$G$126</f>
        <v>-2564.4899999999907</v>
      </c>
      <c r="AR26" s="1039">
        <f>'22'!$G$127</f>
        <v>-1086.8999999999978</v>
      </c>
      <c r="AS26" s="1039">
        <f>'22'!$G$128</f>
        <v>-103.39999999999964</v>
      </c>
      <c r="AT26" s="1039">
        <f t="shared" si="0"/>
        <v>12406.700000000021</v>
      </c>
      <c r="AU26" s="1039">
        <f>SUM('22'!G140:G141)</f>
        <v>-288.92000000000007</v>
      </c>
      <c r="AV26" s="1039">
        <f>'22'!$G$137</f>
        <v>-184.25</v>
      </c>
      <c r="AW26" s="1039">
        <f>'22'!$G$138</f>
        <v>-17.270000000000437</v>
      </c>
      <c r="AX26" s="1039">
        <f>'22'!$G$139</f>
        <v>-19.870000000009895</v>
      </c>
      <c r="AY26" s="1036">
        <f t="shared" si="1"/>
        <v>-221.39000000001033</v>
      </c>
      <c r="BA26" s="1044">
        <f t="shared" si="3"/>
        <v>-20358.610000000052</v>
      </c>
    </row>
    <row r="27" spans="1:53">
      <c r="A27" s="1038">
        <v>44035</v>
      </c>
      <c r="B27" s="261">
        <f>'23'!G7</f>
        <v>21500</v>
      </c>
      <c r="C27" s="261">
        <f>'23'!G8</f>
        <v>21500</v>
      </c>
      <c r="D27" s="261">
        <f>'23'!G15</f>
        <v>700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39">
        <f>'23'!G50</f>
        <v>989.40000000002328</v>
      </c>
      <c r="M27" s="1039">
        <f>'23'!G36</f>
        <v>662.30999999999949</v>
      </c>
      <c r="N27" s="1039">
        <f>'23'!G72</f>
        <v>13</v>
      </c>
      <c r="O27" s="1039">
        <f>'23'!G73</f>
        <v>2</v>
      </c>
      <c r="P27" s="1039">
        <f>'23'!$G$74</f>
        <v>1</v>
      </c>
      <c r="Q27" s="1039">
        <f>'23'!$G$75</f>
        <v>155</v>
      </c>
      <c r="R27" s="1039">
        <f>'23'!$G$76</f>
        <v>68.200000000000728</v>
      </c>
      <c r="S27" s="1039">
        <f>'23'!$G$77</f>
        <v>51</v>
      </c>
      <c r="T27" s="1030">
        <f>'23'!$G$78</f>
        <v>66</v>
      </c>
      <c r="U27" s="1030">
        <f>'23'!$G$79</f>
        <v>151</v>
      </c>
      <c r="V27" s="1030">
        <f>'23'!$G$80</f>
        <v>391.31999999994878</v>
      </c>
      <c r="W27" s="1030">
        <f>'23'!$G$81</f>
        <v>175.64000000001397</v>
      </c>
      <c r="X27" s="1030">
        <f>'23'!$G$82</f>
        <v>12.720000000001164</v>
      </c>
      <c r="Y27" s="1030">
        <f>'23'!$G$58</f>
        <v>82.040000000000873</v>
      </c>
      <c r="Z27" s="1075">
        <f>'23'!$G$83</f>
        <v>138</v>
      </c>
      <c r="AA27" s="1030">
        <f>'23'!$G$86</f>
        <v>25.480000000039581</v>
      </c>
      <c r="AB27" s="1030">
        <f>'23'!G87</f>
        <v>32.899999999994179</v>
      </c>
      <c r="AC27" s="1030">
        <f>'23'!G88</f>
        <v>81</v>
      </c>
      <c r="AD27" s="1030">
        <f>'23'!G87+'23'!H90</f>
        <v>-51.400000000006003</v>
      </c>
      <c r="AE27" s="1039">
        <f>'23'!$G$62</f>
        <v>-0.2000000000007276</v>
      </c>
      <c r="AF27" s="1039">
        <f>'23'!$G$63</f>
        <v>0</v>
      </c>
      <c r="AG27" s="1039">
        <f>'23'!$G$64</f>
        <v>382.32999999998719</v>
      </c>
      <c r="AH27" s="1039">
        <f>'23'!$G$65</f>
        <v>289.42000000001281</v>
      </c>
      <c r="AI27" s="1039">
        <f>'23'!$G$66</f>
        <v>388.12000000000262</v>
      </c>
      <c r="AJ27" s="1039">
        <f>'23'!$G$67</f>
        <v>421.67000000001281</v>
      </c>
      <c r="AK27" s="1039">
        <f>'23'!$G$68</f>
        <v>0</v>
      </c>
      <c r="AL27" s="1039">
        <f>'23'!$G$69</f>
        <v>260.80000000000291</v>
      </c>
      <c r="AM27" s="1039">
        <f>'23'!$G$84</f>
        <v>782</v>
      </c>
      <c r="AN27" s="1039">
        <f>'23'!$G$15</f>
        <v>700</v>
      </c>
      <c r="AO27" s="1039">
        <f>'23'!$G$124</f>
        <v>283.38000000000466</v>
      </c>
      <c r="AP27" s="1039">
        <f>'23'!$G$125</f>
        <v>0</v>
      </c>
      <c r="AQ27" s="1039">
        <f>'23'!$G$126</f>
        <v>88.610000000015134</v>
      </c>
      <c r="AR27" s="1039">
        <f>'23'!$G$127</f>
        <v>36.5</v>
      </c>
      <c r="AS27" s="1039">
        <f>'23'!$G$128</f>
        <v>2.5</v>
      </c>
      <c r="AT27" s="1039">
        <f t="shared" si="0"/>
        <v>289.00999999998021</v>
      </c>
      <c r="AU27" s="1039">
        <f>SUM('23'!G140:G141)</f>
        <v>10.820000000000164</v>
      </c>
      <c r="AV27" s="1039">
        <f>'23'!$G$137</f>
        <v>1.9400000000023283</v>
      </c>
      <c r="AW27" s="1039">
        <f>'23'!$G$138</f>
        <v>0</v>
      </c>
      <c r="AX27" s="1039">
        <f>'23'!$G$139</f>
        <v>0</v>
      </c>
      <c r="AY27" s="1036">
        <f t="shared" si="1"/>
        <v>1.9400000000023283</v>
      </c>
      <c r="BA27" s="1044">
        <f t="shared" si="3"/>
        <v>-5.6299999999755528</v>
      </c>
    </row>
    <row r="28" spans="1:53" s="1078" customFormat="1">
      <c r="A28" s="1038">
        <v>44036</v>
      </c>
      <c r="B28" s="261">
        <f>'24'!G7</f>
        <v>21500</v>
      </c>
      <c r="C28" s="261">
        <f>'24'!G8</f>
        <v>21500</v>
      </c>
      <c r="D28" s="261">
        <f>'24'!G15</f>
        <v>700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39">
        <f>'24'!G50</f>
        <v>1520.609999999986</v>
      </c>
      <c r="M28" s="1030">
        <f>'24'!G36</f>
        <v>1173.0200000000004</v>
      </c>
      <c r="N28" s="1030">
        <f>'24'!G72</f>
        <v>14</v>
      </c>
      <c r="O28" s="1030">
        <f>'24'!G73</f>
        <v>1</v>
      </c>
      <c r="P28" s="1030">
        <f>'24'!$G$74</f>
        <v>0</v>
      </c>
      <c r="Q28" s="1030">
        <f>'24'!$G$75</f>
        <v>157.70000000000073</v>
      </c>
      <c r="R28" s="1030">
        <f>'24'!$G$76</f>
        <v>69.209999999999127</v>
      </c>
      <c r="S28" s="1030">
        <f>'24'!$G$77</f>
        <v>45</v>
      </c>
      <c r="T28" s="1030">
        <f>'24'!$G$78</f>
        <v>76</v>
      </c>
      <c r="U28" s="1030">
        <f>'24'!$G$79</f>
        <v>168</v>
      </c>
      <c r="V28" s="1030">
        <f>'24'!$G$80</f>
        <v>399.68000000005122</v>
      </c>
      <c r="W28" s="1030">
        <f>'24'!$G$81</f>
        <v>185.35999999998603</v>
      </c>
      <c r="X28" s="1030">
        <f>'24'!$G$82</f>
        <v>14.279999999998836</v>
      </c>
      <c r="Y28" s="1030">
        <f>'24'!$G$58</f>
        <v>220.58000000000175</v>
      </c>
      <c r="Z28" s="1030">
        <f>'24'!$G$83</f>
        <v>259</v>
      </c>
      <c r="AA28" s="1030">
        <f>'24'!G86</f>
        <v>39.35999999998603</v>
      </c>
      <c r="AB28" s="1030">
        <f>'24'!G87</f>
        <v>31</v>
      </c>
      <c r="AC28" s="1030">
        <f>'24'!G88</f>
        <v>147</v>
      </c>
      <c r="AD28" s="1030">
        <f>'24'!G87+'24'!H90</f>
        <v>35.300000000000182</v>
      </c>
      <c r="AE28" s="1030">
        <f>'24'!$G$62</f>
        <v>0</v>
      </c>
      <c r="AF28" s="1030">
        <f>'24'!$G$63</f>
        <v>0</v>
      </c>
      <c r="AG28" s="1030">
        <f>'24'!$G$64</f>
        <v>404.41000000000349</v>
      </c>
      <c r="AH28" s="1030">
        <f>'24'!$G$65</f>
        <v>316.80999999999767</v>
      </c>
      <c r="AI28" s="1030">
        <f>'24'!$G$66</f>
        <v>407.34999999999854</v>
      </c>
      <c r="AJ28" s="1030">
        <f>'24'!$G$67</f>
        <v>432.32999999998719</v>
      </c>
      <c r="AK28" s="1030">
        <f>'24'!$G$68</f>
        <v>0</v>
      </c>
      <c r="AL28" s="1030">
        <f>'24'!$G$69</f>
        <v>237.25</v>
      </c>
      <c r="AM28" s="1030">
        <f>'24'!$G$84</f>
        <v>750</v>
      </c>
      <c r="AN28" s="1030">
        <f>'24'!$G$15</f>
        <v>700</v>
      </c>
      <c r="AO28" s="1077">
        <f>'24'!$G$124</f>
        <v>288.84999999997672</v>
      </c>
      <c r="AP28" s="1077">
        <f>'24'!$G$125</f>
        <v>-0.39999999999417923</v>
      </c>
      <c r="AQ28" s="1077">
        <f>'24'!$G$126</f>
        <v>73.579999999987194</v>
      </c>
      <c r="AR28" s="1030">
        <f>'24'!$G$127</f>
        <v>34.799999999999272</v>
      </c>
      <c r="AS28" s="1030">
        <f>'24'!$G$128</f>
        <v>2.8999999999996362</v>
      </c>
      <c r="AT28" s="1077">
        <f>AN28-SUM(AO28:AS28)</f>
        <v>300.27000000003136</v>
      </c>
      <c r="AU28" s="1030">
        <f>SUM('24'!G140:G141)</f>
        <v>10.7199999999998</v>
      </c>
      <c r="AV28" s="1030">
        <f>'24'!$G$137</f>
        <v>-4.0000000000873115E-2</v>
      </c>
      <c r="AW28" s="1030">
        <f>'24'!$G$138</f>
        <v>9.5</v>
      </c>
      <c r="AX28" s="1030">
        <f>'24'!$G$139</f>
        <v>1.0500000000029104</v>
      </c>
      <c r="AY28" s="1040">
        <f t="shared" si="1"/>
        <v>10.510000000002037</v>
      </c>
      <c r="BA28" s="1079">
        <f t="shared" si="3"/>
        <v>-11.420000000054642</v>
      </c>
    </row>
    <row r="29" spans="1:53">
      <c r="A29" s="1038">
        <v>44037</v>
      </c>
      <c r="B29" s="261">
        <f>'25'!G7</f>
        <v>21500</v>
      </c>
      <c r="C29" s="261">
        <f>'25'!G8</f>
        <v>21500</v>
      </c>
      <c r="D29" s="261">
        <f>'25'!G15</f>
        <v>700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39">
        <f>'25'!G50</f>
        <v>1032</v>
      </c>
      <c r="M29" s="1039">
        <f>'25'!G36</f>
        <v>642</v>
      </c>
      <c r="N29" s="1039">
        <f>'25'!G72</f>
        <v>12</v>
      </c>
      <c r="O29" s="1039">
        <f>'25'!$G$73</f>
        <v>1</v>
      </c>
      <c r="P29" s="1039">
        <f>'25'!$G$74</f>
        <v>0</v>
      </c>
      <c r="Q29" s="1039">
        <f>'25'!$G$75</f>
        <v>149</v>
      </c>
      <c r="R29" s="1039">
        <f>'25'!$G$76</f>
        <v>74</v>
      </c>
      <c r="S29" s="1039">
        <f>'25'!$G$77</f>
        <v>54</v>
      </c>
      <c r="T29" s="1030">
        <f>'25'!$G$78</f>
        <v>84</v>
      </c>
      <c r="U29" s="1030">
        <f>'25'!$G$79</f>
        <v>140</v>
      </c>
      <c r="V29" s="1030">
        <f>'25'!$G$80</f>
        <v>406</v>
      </c>
      <c r="W29" s="1030">
        <f>'25'!$G$81</f>
        <v>118</v>
      </c>
      <c r="X29" s="1030">
        <f>'25'!$G$82</f>
        <v>26</v>
      </c>
      <c r="Y29" s="1030">
        <f>'25'!$G$58</f>
        <v>133</v>
      </c>
      <c r="Z29" s="1030">
        <f>'25'!$G$83</f>
        <v>171</v>
      </c>
      <c r="AA29" s="1030">
        <f>'25'!G86</f>
        <v>29</v>
      </c>
      <c r="AB29" s="1030">
        <f>'25'!G87</f>
        <v>36</v>
      </c>
      <c r="AC29" s="1030">
        <f>'25'!G88</f>
        <v>131</v>
      </c>
      <c r="AD29" s="1030">
        <f>'25'!G87+'25'!H90</f>
        <v>40</v>
      </c>
      <c r="AE29" s="1039">
        <f>'25'!$G$62</f>
        <v>0</v>
      </c>
      <c r="AF29" s="1039">
        <f>'25'!$G$63</f>
        <v>0</v>
      </c>
      <c r="AG29" s="1039">
        <f>'25'!$G$64</f>
        <v>412</v>
      </c>
      <c r="AH29" s="1039">
        <f>'25'!$G$65</f>
        <v>399</v>
      </c>
      <c r="AI29" s="1039">
        <f>'25'!$G$66</f>
        <v>418</v>
      </c>
      <c r="AJ29" s="1039">
        <f>'25'!$G$67</f>
        <v>458</v>
      </c>
      <c r="AK29" s="1039">
        <f>'25'!$G$68</f>
        <v>0</v>
      </c>
      <c r="AL29" s="1039">
        <f>'25'!$G$69</f>
        <v>191</v>
      </c>
      <c r="AM29" s="1039">
        <f>'25'!$G$84</f>
        <v>732</v>
      </c>
      <c r="AN29" s="1039">
        <f>'25'!$G$15</f>
        <v>700</v>
      </c>
      <c r="AO29" s="1039">
        <f>'25'!$G$124</f>
        <v>265</v>
      </c>
      <c r="AP29" s="1039">
        <f>'25'!$G$125</f>
        <v>0</v>
      </c>
      <c r="AQ29" s="1039">
        <f>'25'!$G$126</f>
        <v>70</v>
      </c>
      <c r="AR29" s="1039">
        <f>'25'!$G$127</f>
        <v>39</v>
      </c>
      <c r="AS29" s="1039">
        <f>'25'!$G$128</f>
        <v>0</v>
      </c>
      <c r="AT29" s="1039">
        <f t="shared" si="0"/>
        <v>326</v>
      </c>
      <c r="AU29" s="1039">
        <f>SUM('25'!G140:G141)</f>
        <v>9.3600000000001273</v>
      </c>
      <c r="AV29" s="1039">
        <f>'25'!$G$137</f>
        <v>4.5400000000008731</v>
      </c>
      <c r="AW29" s="1039">
        <f>'25'!$G$138</f>
        <v>-0.38999999999941792</v>
      </c>
      <c r="AX29" s="1039">
        <f>'25'!$G$139</f>
        <v>6.1399999999994179</v>
      </c>
      <c r="AY29" s="1036">
        <f t="shared" si="1"/>
        <v>10.290000000000873</v>
      </c>
      <c r="BA29" s="1044">
        <f t="shared" si="3"/>
        <v>-61</v>
      </c>
    </row>
    <row r="30" spans="1:53">
      <c r="A30" s="1038">
        <v>44038</v>
      </c>
      <c r="B30" s="261">
        <f>'26'!G7</f>
        <v>21500</v>
      </c>
      <c r="C30" s="261">
        <f>'26'!G8</f>
        <v>21500</v>
      </c>
      <c r="D30" s="261">
        <f>'26'!G15</f>
        <v>700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39">
        <f>'26'!G50</f>
        <v>1133</v>
      </c>
      <c r="M30" s="1039">
        <f>'26'!G36</f>
        <v>959</v>
      </c>
      <c r="N30" s="1039">
        <f>'26'!G72</f>
        <v>11</v>
      </c>
      <c r="O30" s="1039">
        <f>'26'!$G$73</f>
        <v>1</v>
      </c>
      <c r="P30" s="1039">
        <f>'26'!$G$74</f>
        <v>0</v>
      </c>
      <c r="Q30" s="1039">
        <f>'26'!$G$75</f>
        <v>185</v>
      </c>
      <c r="R30" s="1039">
        <f>'26'!$G$76</f>
        <v>81</v>
      </c>
      <c r="S30" s="1039">
        <f>'26'!$G$77</f>
        <v>60</v>
      </c>
      <c r="T30" s="1030">
        <f>'26'!$G$78</f>
        <v>117</v>
      </c>
      <c r="U30" s="1030">
        <f>'26'!$G$79</f>
        <v>150</v>
      </c>
      <c r="V30" s="1030">
        <f>'26'!$G$80</f>
        <v>428</v>
      </c>
      <c r="W30" s="1030">
        <f>'26'!$G$81</f>
        <v>157</v>
      </c>
      <c r="X30" s="1030">
        <f>'26'!$G$82</f>
        <v>14</v>
      </c>
      <c r="Y30" s="1030">
        <f>'26'!$G$58</f>
        <v>252</v>
      </c>
      <c r="Z30" s="1030">
        <f>'26'!$G$83</f>
        <v>372</v>
      </c>
      <c r="AA30" s="1030">
        <f>'26'!G86</f>
        <v>27</v>
      </c>
      <c r="AB30" s="1030">
        <f>'26'!G87</f>
        <v>17</v>
      </c>
      <c r="AC30" s="1030">
        <f>'26'!G88</f>
        <v>126</v>
      </c>
      <c r="AD30" s="1030">
        <f>'26'!G87+'26'!H90</f>
        <v>18</v>
      </c>
      <c r="AE30" s="1039">
        <f>'26'!$G$62</f>
        <v>0</v>
      </c>
      <c r="AF30" s="1039">
        <f>'26'!$G$63</f>
        <v>0</v>
      </c>
      <c r="AG30" s="1039">
        <f>'26'!$G$64</f>
        <v>321</v>
      </c>
      <c r="AH30" s="1039">
        <f>'26'!$G$65</f>
        <v>438</v>
      </c>
      <c r="AI30" s="1039">
        <f>'26'!$G$66</f>
        <v>448</v>
      </c>
      <c r="AJ30" s="1039">
        <f>'26'!$G$67</f>
        <v>474</v>
      </c>
      <c r="AK30" s="1039">
        <f>'26'!$G$68</f>
        <v>0</v>
      </c>
      <c r="AL30" s="1039">
        <f>'26'!$G$69</f>
        <v>209</v>
      </c>
      <c r="AM30" s="1039">
        <f>'26'!$G$84</f>
        <v>872</v>
      </c>
      <c r="AN30" s="1039">
        <f>'26'!$G$15</f>
        <v>700</v>
      </c>
      <c r="AO30" s="1039">
        <f>'26'!$G$124</f>
        <v>306</v>
      </c>
      <c r="AP30" s="1039">
        <f>'26'!$G$125</f>
        <v>0.39999999999417923</v>
      </c>
      <c r="AQ30" s="1039">
        <f>'26'!$G$126</f>
        <v>103</v>
      </c>
      <c r="AR30" s="1039">
        <f>'26'!$G$127</f>
        <v>37</v>
      </c>
      <c r="AS30" s="1039">
        <f>'26'!$G$128</f>
        <v>9</v>
      </c>
      <c r="AT30" s="1039">
        <f t="shared" si="0"/>
        <v>244.60000000000582</v>
      </c>
      <c r="AU30" s="1039">
        <f>SUM('26'!G140:G141)</f>
        <v>11.5</v>
      </c>
      <c r="AV30" s="1039">
        <f>'26'!$G$137</f>
        <v>8.4500000000007276</v>
      </c>
      <c r="AW30" s="1039">
        <f>'26'!$G$138</f>
        <v>0</v>
      </c>
      <c r="AX30" s="1039">
        <f>'26'!$G$139</f>
        <v>0</v>
      </c>
      <c r="AY30" s="1036">
        <f t="shared" si="1"/>
        <v>8.4500000000007276</v>
      </c>
      <c r="BA30" s="1044">
        <f t="shared" si="3"/>
        <v>61.399999999994179</v>
      </c>
    </row>
    <row r="31" spans="1:53">
      <c r="A31" s="1038">
        <v>44039</v>
      </c>
      <c r="B31" s="261">
        <f>'27'!G7</f>
        <v>21500</v>
      </c>
      <c r="C31" s="261">
        <f>'27'!G8</f>
        <v>21500</v>
      </c>
      <c r="D31" s="261">
        <f>'27'!G15</f>
        <v>700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39">
        <f>'27'!G50</f>
        <v>1299</v>
      </c>
      <c r="M31" s="1039">
        <f>'27'!G36</f>
        <v>587</v>
      </c>
      <c r="N31" s="1039">
        <f>'27'!G72</f>
        <v>11</v>
      </c>
      <c r="O31" s="1039">
        <f>'27'!$G$73</f>
        <v>1</v>
      </c>
      <c r="P31" s="1039">
        <f>'27'!$G$74</f>
        <v>0</v>
      </c>
      <c r="Q31" s="1039">
        <f>'27'!$G$75</f>
        <v>140</v>
      </c>
      <c r="R31" s="1039">
        <f>'27'!$G$76</f>
        <v>77</v>
      </c>
      <c r="S31" s="1039">
        <f>'27'!$G$77</f>
        <v>57</v>
      </c>
      <c r="T31" s="1030">
        <f>'27'!$G$78</f>
        <v>152</v>
      </c>
      <c r="U31" s="1030">
        <f>'27'!$G$79</f>
        <v>139</v>
      </c>
      <c r="V31" s="1030">
        <f>'27'!$G$80</f>
        <v>460</v>
      </c>
      <c r="W31" s="1030">
        <f>'27'!$G$81</f>
        <v>131</v>
      </c>
      <c r="X31" s="1030">
        <f>'27'!$G$82</f>
        <v>25</v>
      </c>
      <c r="Y31" s="1030">
        <f>'27'!$G$58</f>
        <v>141</v>
      </c>
      <c r="Z31" s="1030">
        <f>'27'!$G$83</f>
        <v>319</v>
      </c>
      <c r="AA31" s="1030">
        <f>'27'!G86</f>
        <v>39</v>
      </c>
      <c r="AB31" s="1030">
        <f>'27'!G87</f>
        <v>11</v>
      </c>
      <c r="AC31" s="1030">
        <f>'27'!G88</f>
        <v>34</v>
      </c>
      <c r="AD31" s="1030">
        <f>'27'!G87+'27'!H90</f>
        <v>12</v>
      </c>
      <c r="AE31" s="1039">
        <f>'27'!$G$62</f>
        <v>0</v>
      </c>
      <c r="AF31" s="1039">
        <f>'27'!$G$63</f>
        <v>0</v>
      </c>
      <c r="AG31" s="1039">
        <f>'27'!$G$64</f>
        <v>385</v>
      </c>
      <c r="AH31" s="1039">
        <f>'27'!$G$65</f>
        <v>358</v>
      </c>
      <c r="AI31" s="1039">
        <f>'27'!$G$66</f>
        <v>374</v>
      </c>
      <c r="AJ31" s="1039">
        <f>'27'!$G$67</f>
        <v>470</v>
      </c>
      <c r="AK31" s="1039">
        <f>'27'!$G$68</f>
        <v>0</v>
      </c>
      <c r="AL31" s="1039">
        <f>'27'!$G$69</f>
        <v>323</v>
      </c>
      <c r="AM31" s="1039">
        <f>'27'!$G$84</f>
        <v>884</v>
      </c>
      <c r="AN31" s="1039">
        <f>'27'!$G$15</f>
        <v>700</v>
      </c>
      <c r="AO31" s="1039">
        <f>'27'!$G$124</f>
        <v>294</v>
      </c>
      <c r="AP31" s="1039">
        <f>'27'!$G$125</f>
        <v>0</v>
      </c>
      <c r="AQ31" s="1039">
        <f>'27'!$G$126</f>
        <v>92</v>
      </c>
      <c r="AR31" s="1039">
        <f>'27'!$G$127</f>
        <v>42</v>
      </c>
      <c r="AS31" s="1039">
        <f>'27'!$G$128</f>
        <v>7</v>
      </c>
      <c r="AT31" s="1039">
        <f t="shared" si="0"/>
        <v>265</v>
      </c>
      <c r="AU31" s="1039">
        <f>SUM('27'!G140:G141)</f>
        <v>10.5</v>
      </c>
      <c r="AV31" s="1039">
        <f>'27'!$G$137</f>
        <v>4.4799999999995634</v>
      </c>
      <c r="AW31" s="1039">
        <f>'27'!$G$138</f>
        <v>0.38999999999941792</v>
      </c>
      <c r="AX31" s="1039">
        <f>'27'!$G$139</f>
        <v>5.0800000000017462</v>
      </c>
      <c r="AY31" s="1036">
        <f t="shared" si="1"/>
        <v>9.9500000000007276</v>
      </c>
      <c r="BA31" s="1044">
        <f t="shared" si="3"/>
        <v>29</v>
      </c>
    </row>
    <row r="32" spans="1:53">
      <c r="A32" s="1038">
        <v>44040</v>
      </c>
      <c r="B32" s="261">
        <f>'28'!G7</f>
        <v>21499.999999999942</v>
      </c>
      <c r="C32" s="261">
        <f>'28'!G8</f>
        <v>21500.000000000058</v>
      </c>
      <c r="D32" s="261">
        <f>'28'!G15</f>
        <v>700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39">
        <f>'28'!G50</f>
        <v>992</v>
      </c>
      <c r="M32" s="1039">
        <f>'28'!G36</f>
        <v>611</v>
      </c>
      <c r="N32" s="1039">
        <f>'28'!G72</f>
        <v>10</v>
      </c>
      <c r="O32" s="1039">
        <f>'28'!$G$73</f>
        <v>2</v>
      </c>
      <c r="P32" s="1039">
        <f>'28'!$G$74</f>
        <v>2</v>
      </c>
      <c r="Q32" s="1039">
        <f>'28'!$G$75</f>
        <v>135</v>
      </c>
      <c r="R32" s="1039">
        <f>'28'!$G$76</f>
        <v>76</v>
      </c>
      <c r="S32" s="1039">
        <f>'28'!$G$77</f>
        <v>57</v>
      </c>
      <c r="T32" s="1030">
        <f>'28'!$G$78</f>
        <v>70</v>
      </c>
      <c r="U32" s="1030">
        <f>'28'!$G$79</f>
        <v>141</v>
      </c>
      <c r="V32" s="1030">
        <f>'28'!$G$80</f>
        <v>374</v>
      </c>
      <c r="W32" s="1030">
        <f>'28'!$G$81</f>
        <v>138</v>
      </c>
      <c r="X32" s="1030">
        <f>'28'!$G$82</f>
        <v>13</v>
      </c>
      <c r="Y32" s="1030">
        <f>'28'!$G$58</f>
        <v>230</v>
      </c>
      <c r="Z32" s="1030">
        <f>'28'!$G$83</f>
        <v>322</v>
      </c>
      <c r="AA32" s="1030">
        <f>'28'!G86</f>
        <v>39</v>
      </c>
      <c r="AB32" s="1030">
        <f>'28'!G87</f>
        <v>30</v>
      </c>
      <c r="AC32" s="1030">
        <f>'28'!G88</f>
        <v>139</v>
      </c>
      <c r="AD32" s="1030">
        <f>'28'!G87+'28'!H90</f>
        <v>34</v>
      </c>
      <c r="AE32" s="1039">
        <f>'28'!$G$62</f>
        <v>0</v>
      </c>
      <c r="AF32" s="1039">
        <f>'28'!$G$63</f>
        <v>0</v>
      </c>
      <c r="AG32" s="1039">
        <f>'28'!$G$64</f>
        <v>387</v>
      </c>
      <c r="AH32" s="1039">
        <f>'28'!$G$65</f>
        <v>409</v>
      </c>
      <c r="AI32" s="1039">
        <f>'28'!$G$66</f>
        <v>441</v>
      </c>
      <c r="AJ32" s="1039">
        <f>'28'!$G$67</f>
        <v>440</v>
      </c>
      <c r="AK32" s="1039">
        <f>'28'!$G$68</f>
        <v>0</v>
      </c>
      <c r="AL32" s="1039">
        <f>'28'!$G$69</f>
        <v>233</v>
      </c>
      <c r="AM32" s="1039">
        <f>'28'!$G$84</f>
        <v>818</v>
      </c>
      <c r="AN32" s="1039">
        <f>'28'!$G$15</f>
        <v>700</v>
      </c>
      <c r="AO32" s="1039">
        <f>'28'!$G$124</f>
        <v>284</v>
      </c>
      <c r="AP32" s="1039">
        <f>'28'!$G$125</f>
        <v>0</v>
      </c>
      <c r="AQ32" s="1039">
        <f>'28'!$G$126</f>
        <v>62</v>
      </c>
      <c r="AR32" s="1039">
        <f>'28'!$G$127</f>
        <v>30</v>
      </c>
      <c r="AS32" s="1039">
        <f>'28'!$G$128</f>
        <v>3</v>
      </c>
      <c r="AT32" s="1039">
        <f t="shared" si="0"/>
        <v>321</v>
      </c>
      <c r="AU32" s="1039">
        <f>SUM('28'!G140:G141)</f>
        <v>10.699999999999818</v>
      </c>
      <c r="AV32" s="1039">
        <f>'28'!$G$137</f>
        <v>7.7299999999995634</v>
      </c>
      <c r="AW32" s="1039">
        <f>'28'!$G$138</f>
        <v>0</v>
      </c>
      <c r="AX32" s="1039">
        <f>'28'!$G$139</f>
        <v>0.10000000000582077</v>
      </c>
      <c r="AY32" s="1036">
        <f t="shared" si="1"/>
        <v>7.8300000000053842</v>
      </c>
      <c r="BA32" s="1044">
        <f t="shared" si="3"/>
        <v>-37</v>
      </c>
    </row>
    <row r="33" spans="1:53">
      <c r="A33" s="1038">
        <v>44041</v>
      </c>
      <c r="B33" s="261">
        <f>'29'!G7</f>
        <v>21500</v>
      </c>
      <c r="C33" s="261">
        <f>'29'!G8</f>
        <v>21500</v>
      </c>
      <c r="D33" s="261">
        <f>'29'!G15</f>
        <v>700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39">
        <f>'29'!G50</f>
        <v>958</v>
      </c>
      <c r="M33" s="1039">
        <f>'29'!G36</f>
        <v>608</v>
      </c>
      <c r="N33" s="1039">
        <f>'29'!G72</f>
        <v>10</v>
      </c>
      <c r="O33" s="1039">
        <f>'29'!$G$73</f>
        <v>1</v>
      </c>
      <c r="P33" s="1039">
        <f>'29'!$G$74</f>
        <v>3</v>
      </c>
      <c r="Q33" s="1039">
        <f>'29'!$G$75</f>
        <v>128</v>
      </c>
      <c r="R33" s="1039">
        <f>'29'!$G$76</f>
        <v>80</v>
      </c>
      <c r="S33" s="1039">
        <f>'29'!$G$77</f>
        <v>52</v>
      </c>
      <c r="T33" s="1039">
        <f>'29'!$G$78</f>
        <v>62</v>
      </c>
      <c r="U33" s="1039">
        <f>'29'!$G$79</f>
        <v>143</v>
      </c>
      <c r="V33" s="1039">
        <f>'29'!$G$80</f>
        <v>355</v>
      </c>
      <c r="W33" s="1039">
        <f>'29'!$G$81</f>
        <v>130</v>
      </c>
      <c r="X33" s="1039">
        <f>'29'!$G$82</f>
        <v>24</v>
      </c>
      <c r="Y33" s="1039">
        <f>'29'!$G$58</f>
        <v>166</v>
      </c>
      <c r="Z33" s="1039">
        <f>'29'!$G$83</f>
        <v>321</v>
      </c>
      <c r="AA33" s="1039">
        <f>'29'!G86</f>
        <v>47</v>
      </c>
      <c r="AB33" s="1039">
        <f>'29'!G87</f>
        <v>30</v>
      </c>
      <c r="AC33" s="1039">
        <f>'29'!G88</f>
        <v>112</v>
      </c>
      <c r="AD33" s="1039">
        <f>'29'!G87+'29'!H90</f>
        <v>33</v>
      </c>
      <c r="AE33" s="1039">
        <f>'29'!$G$62</f>
        <v>0</v>
      </c>
      <c r="AF33" s="1039">
        <f>'29'!$G$63</f>
        <v>0</v>
      </c>
      <c r="AG33" s="1039">
        <f>'29'!$G$64</f>
        <v>365</v>
      </c>
      <c r="AH33" s="1039">
        <f>'29'!$G$65</f>
        <v>415</v>
      </c>
      <c r="AI33" s="1039">
        <f>'29'!$G$66</f>
        <v>436</v>
      </c>
      <c r="AJ33" s="1039">
        <f>'29'!$G$67</f>
        <v>409</v>
      </c>
      <c r="AK33" s="1039">
        <f>'29'!$G$68</f>
        <v>0</v>
      </c>
      <c r="AL33" s="1039">
        <f>'29'!$G$69</f>
        <v>206</v>
      </c>
      <c r="AM33" s="1039">
        <f>'29'!$G$84</f>
        <v>785</v>
      </c>
      <c r="AN33" s="1039">
        <f>'29'!$G$15</f>
        <v>700</v>
      </c>
      <c r="AO33" s="1039">
        <f>'29'!$G$124</f>
        <v>261</v>
      </c>
      <c r="AP33" s="1039">
        <f>'29'!$G$125</f>
        <v>-0.39999999999417923</v>
      </c>
      <c r="AQ33" s="1039">
        <f>'29'!$G$126</f>
        <v>60</v>
      </c>
      <c r="AR33" s="1039">
        <f>'29'!$G$127</f>
        <v>30</v>
      </c>
      <c r="AS33" s="1039">
        <f>'29'!$G$128</f>
        <v>2</v>
      </c>
      <c r="AT33" s="1039">
        <f t="shared" si="0"/>
        <v>347.39999999999418</v>
      </c>
      <c r="AU33" s="1039">
        <f>SUM('29'!G140:G141)</f>
        <v>9.7600000000002183</v>
      </c>
      <c r="AV33" s="1039">
        <f>'29'!$G$137</f>
        <v>5.2199999999975262</v>
      </c>
      <c r="AW33" s="1039">
        <f>'29'!$G$138</f>
        <v>0</v>
      </c>
      <c r="AX33" s="1039">
        <f>'29'!$G$139</f>
        <v>4.5199999999895226</v>
      </c>
      <c r="AY33" s="1036">
        <f t="shared" si="1"/>
        <v>9.7399999999870488</v>
      </c>
      <c r="BA33" s="1044">
        <f t="shared" si="3"/>
        <v>-86.399999999994179</v>
      </c>
    </row>
    <row r="34" spans="1:53" s="1041" customFormat="1">
      <c r="A34" s="1038">
        <v>44042</v>
      </c>
      <c r="B34" s="261">
        <f>'30'!G7</f>
        <v>21500</v>
      </c>
      <c r="C34" s="261">
        <f>'30'!G8</f>
        <v>21500</v>
      </c>
      <c r="D34" s="261">
        <f>'30'!G15</f>
        <v>700</v>
      </c>
      <c r="E34" s="261">
        <f>'30'!G20</f>
        <v>134</v>
      </c>
      <c r="F34" s="1458">
        <f>SUM('30'!G35,'30'!G49)</f>
        <v>2702.8699999999953</v>
      </c>
      <c r="G34" s="1458">
        <f>SUM('30'!G37,'30'!G51)</f>
        <v>1412.1300000000047</v>
      </c>
      <c r="H34" s="1458">
        <f>SUM('30'!G38,'30'!G52)</f>
        <v>1353.9300000000512</v>
      </c>
      <c r="I34" s="261">
        <f>SUM('30'!G39,'30'!G53)</f>
        <v>3737</v>
      </c>
      <c r="J34" s="1458">
        <f>SUM('30'!G41,'30'!G42,'30'!G55,'30'!G56)</f>
        <v>5709</v>
      </c>
      <c r="K34" s="1458">
        <f>SUM('30'!G43,'30'!G57)</f>
        <v>2538</v>
      </c>
      <c r="L34" s="781">
        <f>'30'!G50</f>
        <v>944</v>
      </c>
      <c r="M34" s="781">
        <f>'30'!G36</f>
        <v>653</v>
      </c>
      <c r="N34" s="1030">
        <f>'30'!G72</f>
        <v>11</v>
      </c>
      <c r="O34" s="1030">
        <f>'30'!$G$73</f>
        <v>1</v>
      </c>
      <c r="P34" s="1030">
        <f>'30'!$G$74</f>
        <v>2</v>
      </c>
      <c r="Q34" s="1030">
        <f>'30'!$G$75</f>
        <v>131</v>
      </c>
      <c r="R34" s="1030">
        <f>'30'!$G$76</f>
        <v>75</v>
      </c>
      <c r="S34" s="1030">
        <f>'30'!$G$77</f>
        <v>60</v>
      </c>
      <c r="T34" s="1030">
        <f>'30'!$G$78</f>
        <v>115</v>
      </c>
      <c r="U34" s="1030">
        <f>'30'!$G$79</f>
        <v>159</v>
      </c>
      <c r="V34" s="1030">
        <f>'30'!$G$80</f>
        <v>381</v>
      </c>
      <c r="W34" s="1030">
        <f>'30'!$G$81</f>
        <v>140</v>
      </c>
      <c r="X34" s="1030">
        <f>'30'!$G$82</f>
        <v>11</v>
      </c>
      <c r="Y34" s="1030">
        <f>'30'!$G$58</f>
        <v>0</v>
      </c>
      <c r="Z34" s="1030">
        <f>'30'!$G$83</f>
        <v>274</v>
      </c>
      <c r="AA34" s="1030">
        <f>'30'!G86</f>
        <v>30</v>
      </c>
      <c r="AB34" s="1030">
        <f>'30'!G87</f>
        <v>35</v>
      </c>
      <c r="AC34" s="1030">
        <f>'30'!G88</f>
        <v>89</v>
      </c>
      <c r="AD34" s="1030">
        <f>'30'!G87+'30'!H90</f>
        <v>41</v>
      </c>
      <c r="AE34" s="1030">
        <f>'30'!$G$62</f>
        <v>0</v>
      </c>
      <c r="AF34" s="1030">
        <f>'30'!$G$63</f>
        <v>0</v>
      </c>
      <c r="AG34" s="1030">
        <f>'30'!$G$64</f>
        <v>353</v>
      </c>
      <c r="AH34" s="1030">
        <f>'30'!$G$65</f>
        <v>435</v>
      </c>
      <c r="AI34" s="1030">
        <f>'30'!$G$66</f>
        <v>439</v>
      </c>
      <c r="AJ34" s="1030">
        <f>'30'!$G$67</f>
        <v>462</v>
      </c>
      <c r="AK34" s="1030">
        <f>'30'!$G$68</f>
        <v>0</v>
      </c>
      <c r="AL34" s="1030">
        <f>'30'!$G$69</f>
        <v>252</v>
      </c>
      <c r="AM34" s="1030">
        <f>'30'!$G$84</f>
        <v>840</v>
      </c>
      <c r="AN34" s="1030">
        <f>'30'!$G$15</f>
        <v>700</v>
      </c>
      <c r="AO34" s="1030">
        <f>'30'!$G$124</f>
        <v>263</v>
      </c>
      <c r="AP34" s="1030">
        <f>'30'!$G$125</f>
        <v>0.39999999999417923</v>
      </c>
      <c r="AQ34" s="1030">
        <f>'30'!$G$126</f>
        <v>84</v>
      </c>
      <c r="AR34" s="1030">
        <f>'30'!$G$127</f>
        <v>30</v>
      </c>
      <c r="AS34" s="1030">
        <f>'30'!$G$128</f>
        <v>1</v>
      </c>
      <c r="AT34" s="1030">
        <f t="shared" si="0"/>
        <v>321.60000000000582</v>
      </c>
      <c r="AU34" s="1030">
        <f>SUM('30'!G140:G141)</f>
        <v>9.8399999999996908</v>
      </c>
      <c r="AV34" s="1030">
        <f>'30'!$G$137</f>
        <v>7.0000000003346941E-2</v>
      </c>
      <c r="AW34" s="1030">
        <f>'30'!$G$138</f>
        <v>0</v>
      </c>
      <c r="AX34" s="1030">
        <f>'30'!$G$139</f>
        <v>0</v>
      </c>
      <c r="AY34" s="1040">
        <f t="shared" si="1"/>
        <v>7.0000000003346941E-2</v>
      </c>
      <c r="BA34" s="1045">
        <f t="shared" si="3"/>
        <v>-58.600000000005821</v>
      </c>
    </row>
    <row r="35" spans="1:53">
      <c r="A35" s="1038">
        <v>44043</v>
      </c>
      <c r="B35" s="261">
        <f>'31'!G7</f>
        <v>21500</v>
      </c>
      <c r="C35" s="261">
        <f>'31'!G8</f>
        <v>21500</v>
      </c>
      <c r="D35" s="261">
        <f>'31'!G116</f>
        <v>-243</v>
      </c>
      <c r="E35" s="261">
        <f>'31'!G20</f>
        <v>-1823</v>
      </c>
      <c r="F35" s="1458">
        <f>SUM('31'!G35,'31'!G49)</f>
        <v>-78226</v>
      </c>
      <c r="G35" s="1458">
        <f>SUM('31'!G37,'31'!G51)</f>
        <v>-42334</v>
      </c>
      <c r="H35" s="1458">
        <f>SUM('31'!G38,'31'!G52)</f>
        <v>1249</v>
      </c>
      <c r="I35" s="261">
        <f>SUM('31'!G39,'31'!G53)</f>
        <v>-98355</v>
      </c>
      <c r="J35" s="1458">
        <f>SUM('31'!G41,'31'!G42,'31'!G55,'31'!G56)</f>
        <v>-170533</v>
      </c>
      <c r="K35" s="1458">
        <f>SUM('31'!G43,'31'!G57)</f>
        <v>-78208</v>
      </c>
      <c r="L35" s="781">
        <f>'31'!G50</f>
        <v>-32127</v>
      </c>
      <c r="M35" s="781">
        <f>'31'!G36</f>
        <v>173</v>
      </c>
      <c r="N35" s="1030">
        <f>'31'!G72</f>
        <v>-379</v>
      </c>
      <c r="O35" s="1030">
        <f>'31'!$G$73</f>
        <v>-35</v>
      </c>
      <c r="P35" s="1030">
        <f>'31'!$G$74</f>
        <v>-86110</v>
      </c>
      <c r="Q35" s="1030">
        <f>'31'!$G$75</f>
        <v>-3402</v>
      </c>
      <c r="R35" s="1030">
        <f>'31'!$G$76</f>
        <v>-1917</v>
      </c>
      <c r="S35" s="1030">
        <f>'31'!$G$77</f>
        <v>-1535</v>
      </c>
      <c r="T35" s="1030">
        <f>'31'!$G$78</f>
        <v>-2382</v>
      </c>
      <c r="U35" s="1030">
        <f>'31'!$G$79</f>
        <v>-4406</v>
      </c>
      <c r="V35" s="1030">
        <f>'31'!$G$80</f>
        <v>-11355</v>
      </c>
      <c r="W35" s="1030">
        <f>'31'!$G$81</f>
        <v>-4087</v>
      </c>
      <c r="X35" s="1030">
        <f>'31'!$G$82</f>
        <v>-523</v>
      </c>
      <c r="Y35" s="1030">
        <f>'31'!$G$58</f>
        <v>-4361</v>
      </c>
      <c r="Z35" s="1030">
        <f>'31'!$G$83</f>
        <v>-7045</v>
      </c>
      <c r="AA35" s="1030">
        <f>'31'!G87</f>
        <v>-698</v>
      </c>
      <c r="AB35" s="1030">
        <f>'31'!G88</f>
        <v>-2259</v>
      </c>
      <c r="AC35" s="1030">
        <f>'31'!G89</f>
        <v>-671.40000000000146</v>
      </c>
      <c r="AD35" s="1030">
        <f>'31'!G88+'31'!H92</f>
        <v>-2259</v>
      </c>
      <c r="AE35" s="1030">
        <f>'31'!$G$62</f>
        <v>0</v>
      </c>
      <c r="AF35" s="1030">
        <f>'31'!$G$63</f>
        <v>0</v>
      </c>
      <c r="AG35" s="1030">
        <f>'31'!$G$64</f>
        <v>-10090</v>
      </c>
      <c r="AH35" s="1030">
        <f>'31'!$G$65</f>
        <v>-9304</v>
      </c>
      <c r="AI35" s="1030">
        <f>'31'!$G$66</f>
        <v>-11165</v>
      </c>
      <c r="AJ35" s="1030">
        <f>'31'!$G$67</f>
        <v>-12767</v>
      </c>
      <c r="AK35" s="1030">
        <f>'31'!$G$68</f>
        <v>0</v>
      </c>
      <c r="AL35" s="1030">
        <f>'31'!$G$69</f>
        <v>-5766</v>
      </c>
      <c r="AM35" s="1030">
        <f>'31'!$G$84</f>
        <v>-22786</v>
      </c>
      <c r="AN35" s="1030">
        <f>'31'!$G$15</f>
        <v>700</v>
      </c>
      <c r="AO35" s="1030">
        <f>'31'!$G$124</f>
        <v>-7304</v>
      </c>
      <c r="AP35" s="1030">
        <f>'31'!$G$125</f>
        <v>0</v>
      </c>
      <c r="AQ35" s="1030">
        <f>'31'!$G$126</f>
        <v>-2106</v>
      </c>
      <c r="AR35" s="1030">
        <f>'31'!$G$127</f>
        <v>-665</v>
      </c>
      <c r="AS35" s="1030">
        <f>'31'!$G$128</f>
        <v>-40</v>
      </c>
      <c r="AT35" s="1030">
        <f t="shared" ref="AT35" si="4">AN35-SUM(AO35:AS35)</f>
        <v>10815</v>
      </c>
      <c r="AU35" s="1030">
        <f>SUM('31'!G141:G142)</f>
        <v>0</v>
      </c>
      <c r="AV35" s="1030">
        <f>'31'!$G$137</f>
        <v>-84.25</v>
      </c>
      <c r="AW35" s="1030">
        <f>'31'!$G$138</f>
        <v>-39.569999999999709</v>
      </c>
      <c r="AX35" s="1030">
        <f>'30'!$G$139</f>
        <v>0</v>
      </c>
      <c r="AY35" s="1040">
        <f t="shared" ref="AY35" si="5">SUM(AV35:AX35)</f>
        <v>-123.81999999999971</v>
      </c>
      <c r="BA35" s="1044"/>
    </row>
    <row r="36" spans="1:53" s="1456" customFormat="1">
      <c r="A36" s="1455" t="s">
        <v>346</v>
      </c>
      <c r="B36" s="1457">
        <f>AVERAGE(B5:B35)</f>
        <v>21866.376451612901</v>
      </c>
      <c r="C36" s="1455">
        <f t="shared" ref="C36:AY36" si="6">AVERAGE(C5:C35)</f>
        <v>21938.86548387097</v>
      </c>
      <c r="D36" s="1455">
        <f t="shared" si="6"/>
        <v>757.79741935483776</v>
      </c>
      <c r="E36" s="1455">
        <f t="shared" si="6"/>
        <v>63.451612903225808</v>
      </c>
      <c r="F36" s="1455">
        <f t="shared" si="6"/>
        <v>-2523.4193548387098</v>
      </c>
      <c r="G36" s="1455">
        <f t="shared" si="6"/>
        <v>-1365.6129032258063</v>
      </c>
      <c r="H36" s="1455">
        <f t="shared" si="6"/>
        <v>40.29032258064516</v>
      </c>
      <c r="I36" s="1455">
        <f t="shared" si="6"/>
        <v>-3172.7419354838707</v>
      </c>
      <c r="J36" s="1455">
        <f t="shared" si="6"/>
        <v>-5500.7061290322581</v>
      </c>
      <c r="K36" s="1455">
        <f t="shared" si="6"/>
        <v>-2522.8387096774195</v>
      </c>
      <c r="L36" s="1455">
        <f t="shared" si="6"/>
        <v>-1036.3548387096773</v>
      </c>
      <c r="M36" s="1455">
        <f t="shared" si="6"/>
        <v>5.5806451612902643</v>
      </c>
      <c r="N36" s="1455">
        <f t="shared" si="6"/>
        <v>-12.161290322580646</v>
      </c>
      <c r="O36" s="1455">
        <f t="shared" si="6"/>
        <v>-1.1290322580645162</v>
      </c>
      <c r="P36" s="1455">
        <f t="shared" si="6"/>
        <v>-2776.6451612903224</v>
      </c>
      <c r="Q36" s="1455">
        <f t="shared" si="6"/>
        <v>-109.74193548387096</v>
      </c>
      <c r="R36" s="1455">
        <f t="shared" si="6"/>
        <v>-61.838709677419352</v>
      </c>
      <c r="S36" s="1455">
        <f t="shared" si="6"/>
        <v>-49.516129032258064</v>
      </c>
      <c r="T36" s="1455">
        <f t="shared" si="6"/>
        <v>-76.838709677419359</v>
      </c>
      <c r="U36" s="1455">
        <f t="shared" si="6"/>
        <v>-142.12903225806451</v>
      </c>
      <c r="V36" s="1455">
        <f t="shared" si="6"/>
        <v>-366.29032258064518</v>
      </c>
      <c r="W36" s="1455">
        <f t="shared" si="6"/>
        <v>-131.83870967741936</v>
      </c>
      <c r="X36" s="1455">
        <f t="shared" si="6"/>
        <v>-16.870967741935484</v>
      </c>
      <c r="Y36" s="1455">
        <f t="shared" si="6"/>
        <v>-140.67741935483872</v>
      </c>
      <c r="Z36" s="1455">
        <f t="shared" si="6"/>
        <v>-227.25806451612902</v>
      </c>
      <c r="AA36" s="1455">
        <f t="shared" si="6"/>
        <v>-22.516129032258064</v>
      </c>
      <c r="AB36" s="1455">
        <f t="shared" si="6"/>
        <v>-73.025806451612524</v>
      </c>
      <c r="AC36" s="1455">
        <f t="shared" si="6"/>
        <v>-21.65806451612908</v>
      </c>
      <c r="AD36" s="1455">
        <f t="shared" si="6"/>
        <v>-67.90967741935485</v>
      </c>
      <c r="AE36" s="1455">
        <f t="shared" si="6"/>
        <v>0</v>
      </c>
      <c r="AF36" s="1455">
        <f t="shared" si="6"/>
        <v>0</v>
      </c>
      <c r="AG36" s="1455">
        <f t="shared" si="6"/>
        <v>-325.48387096774195</v>
      </c>
      <c r="AH36" s="1455">
        <f t="shared" si="6"/>
        <v>-300.12903225806451</v>
      </c>
      <c r="AI36" s="1455">
        <f t="shared" si="6"/>
        <v>-360.16129032258067</v>
      </c>
      <c r="AJ36" s="1455">
        <f t="shared" si="6"/>
        <v>-411.83870967741933</v>
      </c>
      <c r="AK36" s="1455">
        <f t="shared" si="6"/>
        <v>0</v>
      </c>
      <c r="AL36" s="1455">
        <f t="shared" si="6"/>
        <v>-186</v>
      </c>
      <c r="AM36" s="1455">
        <f t="shared" si="6"/>
        <v>-735.0322580645161</v>
      </c>
      <c r="AN36" s="1455">
        <f t="shared" si="6"/>
        <v>788.21677419354751</v>
      </c>
      <c r="AO36" s="1455">
        <f t="shared" si="6"/>
        <v>-235.61290322580646</v>
      </c>
      <c r="AP36" s="1455">
        <f t="shared" si="6"/>
        <v>0</v>
      </c>
      <c r="AQ36" s="1455">
        <f t="shared" si="6"/>
        <v>-67.935483870967744</v>
      </c>
      <c r="AR36" s="1455">
        <f t="shared" si="6"/>
        <v>-21.451612903225808</v>
      </c>
      <c r="AS36" s="1455">
        <f t="shared" si="6"/>
        <v>-1.2903225806451613</v>
      </c>
      <c r="AT36" s="1455">
        <f t="shared" si="6"/>
        <v>1114.5070967741926</v>
      </c>
      <c r="AU36" s="1455">
        <f t="shared" si="6"/>
        <v>0</v>
      </c>
      <c r="AV36" s="1455">
        <f t="shared" si="6"/>
        <v>-2.717741935483871</v>
      </c>
      <c r="AW36" s="1455">
        <f t="shared" si="6"/>
        <v>-1.2764516129032164</v>
      </c>
      <c r="AX36" s="1455">
        <f t="shared" si="6"/>
        <v>0</v>
      </c>
      <c r="AY36" s="1455">
        <f t="shared" si="6"/>
        <v>-3.9941935483870874</v>
      </c>
    </row>
    <row r="37" spans="1:53">
      <c r="A37" s="1080"/>
      <c r="B37" s="1080"/>
      <c r="C37" s="1080"/>
      <c r="D37" s="1080"/>
      <c r="E37" s="1080"/>
      <c r="F37" s="35">
        <f t="shared" ref="F37:K37" si="7">F19-F18</f>
        <v>69.049999999988358</v>
      </c>
      <c r="G37" s="35">
        <f t="shared" si="7"/>
        <v>-53.970000000001164</v>
      </c>
      <c r="H37" s="35">
        <f t="shared" si="7"/>
        <v>59.580000000045402</v>
      </c>
      <c r="I37" s="35">
        <f t="shared" si="7"/>
        <v>17.349999999976717</v>
      </c>
      <c r="J37" s="35">
        <f t="shared" si="7"/>
        <v>261.63000000004831</v>
      </c>
      <c r="K37" s="35">
        <f t="shared" si="7"/>
        <v>134</v>
      </c>
      <c r="L37" s="35"/>
      <c r="M37" s="35"/>
      <c r="AO37" s="1082" t="s">
        <v>110</v>
      </c>
      <c r="AP37" s="1083">
        <v>191</v>
      </c>
      <c r="AQ37" s="1083"/>
      <c r="AR37" s="1083"/>
    </row>
    <row r="38" spans="1:53">
      <c r="A38" s="1080"/>
      <c r="B38" s="1080"/>
      <c r="C38" s="1080"/>
      <c r="D38" s="1080"/>
      <c r="E38" s="1080"/>
      <c r="AO38" s="1083"/>
      <c r="AP38" s="1083">
        <v>88</v>
      </c>
      <c r="AQ38" s="1083"/>
      <c r="AR38" s="1083"/>
    </row>
    <row r="39" spans="1:53">
      <c r="A39" s="1080"/>
      <c r="B39" s="1080"/>
      <c r="C39" s="1080"/>
      <c r="D39" s="1080"/>
      <c r="E39" s="1080"/>
      <c r="AO39" s="1083"/>
      <c r="AP39" s="1084">
        <f>SUM(AP37:AP38)</f>
        <v>279</v>
      </c>
      <c r="AQ39" s="1085" t="s">
        <v>111</v>
      </c>
      <c r="AR39" s="1085">
        <v>335</v>
      </c>
    </row>
    <row r="40" spans="1:53">
      <c r="A40" s="1080"/>
      <c r="B40" s="1080"/>
      <c r="C40" s="1080"/>
      <c r="D40" s="1080"/>
      <c r="E40" s="1080"/>
      <c r="AO40" s="1083"/>
      <c r="AP40" s="1083"/>
      <c r="AQ40" s="1083"/>
      <c r="AR40" s="1083"/>
    </row>
    <row r="41" spans="1:53">
      <c r="A41" s="1080"/>
      <c r="B41" s="1080"/>
      <c r="C41" s="1080"/>
      <c r="D41" s="1080"/>
      <c r="E41" s="1080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N41" s="1044"/>
      <c r="AO41" s="1082" t="s">
        <v>112</v>
      </c>
      <c r="AP41" s="1084">
        <v>168</v>
      </c>
      <c r="AQ41" s="1083"/>
      <c r="AR41" s="1083"/>
    </row>
    <row r="42" spans="1:53">
      <c r="A42" s="1080"/>
      <c r="B42" s="1080"/>
      <c r="C42" s="1080"/>
      <c r="D42" s="1080"/>
      <c r="E42" s="1080"/>
      <c r="AO42" s="1083"/>
      <c r="AP42" s="1083"/>
      <c r="AQ42" s="1085" t="s">
        <v>113</v>
      </c>
      <c r="AR42" s="1083"/>
    </row>
    <row r="43" spans="1:53">
      <c r="A43" s="1080"/>
      <c r="B43" s="1080"/>
      <c r="C43" s="1080"/>
      <c r="D43" s="1080"/>
      <c r="E43" s="1080"/>
      <c r="AO43" s="1083" t="s">
        <v>114</v>
      </c>
      <c r="AP43" s="1083">
        <f>20*38.68</f>
        <v>773.6</v>
      </c>
      <c r="AQ43" s="1083" t="s">
        <v>115</v>
      </c>
      <c r="AR43" s="1083"/>
    </row>
    <row r="44" spans="1:53">
      <c r="A44" s="1080"/>
      <c r="B44" s="1080"/>
      <c r="C44" s="1080"/>
      <c r="D44" s="1080"/>
      <c r="E44" s="1080"/>
    </row>
    <row r="45" spans="1:53">
      <c r="A45" s="1080"/>
      <c r="B45" s="1080"/>
      <c r="C45" s="1080"/>
      <c r="D45" s="1080"/>
      <c r="E45" s="1080"/>
    </row>
    <row r="46" spans="1:53">
      <c r="A46" s="1080"/>
      <c r="B46" s="1080"/>
      <c r="C46" s="1080"/>
      <c r="D46" s="1080"/>
      <c r="E46" s="1080"/>
    </row>
    <row r="47" spans="1:53">
      <c r="A47" s="1080"/>
      <c r="B47" s="1080"/>
      <c r="C47" s="1080"/>
      <c r="D47" s="1080"/>
      <c r="E47" s="1080"/>
    </row>
    <row r="48" spans="1:53">
      <c r="A48" s="1080"/>
      <c r="B48" s="1080"/>
      <c r="C48" s="1080"/>
      <c r="D48" s="1080"/>
      <c r="E48" s="1080"/>
    </row>
    <row r="49" spans="1:5">
      <c r="A49" s="1080"/>
      <c r="B49" s="1080"/>
      <c r="C49" s="1080"/>
      <c r="D49" s="1080"/>
      <c r="E49" s="1080"/>
    </row>
    <row r="50" spans="1:5">
      <c r="A50" s="1080"/>
      <c r="B50" s="1080"/>
      <c r="C50" s="1080"/>
      <c r="D50" s="1080"/>
      <c r="E50" s="1080"/>
    </row>
    <row r="51" spans="1:5">
      <c r="A51" s="1080"/>
      <c r="B51" s="1080"/>
      <c r="C51" s="1080"/>
      <c r="D51" s="1080"/>
      <c r="E51" s="1080"/>
    </row>
    <row r="52" spans="1:5">
      <c r="A52" s="1080"/>
      <c r="B52" s="1080"/>
      <c r="C52" s="1080"/>
      <c r="D52" s="1080"/>
      <c r="E52" s="1080"/>
    </row>
    <row r="53" spans="1:5">
      <c r="A53" s="1080"/>
      <c r="B53" s="1080"/>
      <c r="C53" s="1080"/>
      <c r="D53" s="1080"/>
      <c r="E53" s="1080"/>
    </row>
    <row r="54" spans="1:5">
      <c r="A54" s="1080"/>
      <c r="B54" s="1080"/>
      <c r="C54" s="1080"/>
      <c r="D54" s="1080"/>
      <c r="E54" s="1080"/>
    </row>
    <row r="55" spans="1:5">
      <c r="A55" s="1080"/>
      <c r="B55" s="1080"/>
      <c r="C55" s="1080"/>
      <c r="D55" s="1080"/>
      <c r="E55" s="1080"/>
    </row>
    <row r="56" spans="1:5">
      <c r="A56" s="1080"/>
      <c r="B56" s="1080"/>
      <c r="C56" s="1080"/>
      <c r="D56" s="1080"/>
      <c r="E56" s="1080"/>
    </row>
    <row r="57" spans="1:5">
      <c r="A57" s="1080"/>
      <c r="B57" s="1080"/>
      <c r="C57" s="1080"/>
      <c r="D57" s="1080"/>
      <c r="E57" s="1080"/>
    </row>
    <row r="58" spans="1:5">
      <c r="A58" s="1080"/>
      <c r="B58" s="1080"/>
      <c r="C58" s="1080"/>
      <c r="D58" s="1080"/>
      <c r="E58" s="1080"/>
    </row>
    <row r="59" spans="1:5">
      <c r="A59" s="1080"/>
      <c r="B59" s="1080"/>
      <c r="C59" s="1080"/>
      <c r="D59" s="1080"/>
      <c r="E59" s="1080"/>
    </row>
    <row r="60" spans="1:5">
      <c r="A60" s="1080"/>
      <c r="B60" s="1080"/>
      <c r="C60" s="1080"/>
      <c r="D60" s="1080"/>
      <c r="E60" s="1080"/>
    </row>
    <row r="61" spans="1:5">
      <c r="A61" s="1080"/>
      <c r="B61" s="1080"/>
      <c r="C61" s="1080"/>
      <c r="D61" s="1080"/>
      <c r="E61" s="1080"/>
    </row>
    <row r="62" spans="1:5">
      <c r="A62" s="1080"/>
      <c r="B62" s="1080"/>
      <c r="C62" s="1080"/>
      <c r="D62" s="1080"/>
      <c r="E62" s="1080"/>
    </row>
    <row r="63" spans="1:5">
      <c r="A63" s="1080"/>
      <c r="B63" s="1080"/>
      <c r="C63" s="1080"/>
      <c r="D63" s="1080"/>
      <c r="E63" s="1080"/>
    </row>
    <row r="64" spans="1:5">
      <c r="A64" s="1080"/>
      <c r="B64" s="1080"/>
      <c r="C64" s="1080"/>
      <c r="D64" s="1080"/>
      <c r="E64" s="1080"/>
    </row>
    <row r="65" spans="1:5">
      <c r="A65" s="1080"/>
      <c r="B65" s="1080"/>
      <c r="C65" s="1080"/>
      <c r="D65" s="1080"/>
      <c r="E65" s="1080"/>
    </row>
    <row r="66" spans="1:5">
      <c r="A66" s="1080"/>
      <c r="B66" s="1080"/>
      <c r="C66" s="1080"/>
      <c r="D66" s="1080"/>
      <c r="E66" s="1080"/>
    </row>
    <row r="67" spans="1:5">
      <c r="A67" s="1080"/>
      <c r="B67" s="1080"/>
      <c r="C67" s="1080"/>
      <c r="D67" s="1080"/>
      <c r="E67" s="1080"/>
    </row>
    <row r="68" spans="1:5">
      <c r="A68" s="1080"/>
      <c r="B68" s="1080"/>
      <c r="C68" s="1080"/>
      <c r="D68" s="1080"/>
      <c r="E68" s="1080"/>
    </row>
    <row r="69" spans="1:5">
      <c r="A69" s="1080"/>
      <c r="B69" s="1080"/>
      <c r="C69" s="1080"/>
      <c r="D69" s="1080"/>
      <c r="E69" s="1080"/>
    </row>
    <row r="70" spans="1:5">
      <c r="A70" s="1080"/>
      <c r="B70" s="1080"/>
      <c r="C70" s="1080"/>
      <c r="D70" s="1080"/>
      <c r="E70" s="1080"/>
    </row>
    <row r="71" spans="1:5">
      <c r="A71" s="1080"/>
      <c r="B71" s="1080"/>
      <c r="C71" s="1080"/>
      <c r="D71" s="1080"/>
      <c r="E71" s="1080"/>
    </row>
    <row r="72" spans="1:5">
      <c r="A72" s="1080"/>
      <c r="B72" s="1080"/>
      <c r="C72" s="1080"/>
      <c r="D72" s="1080"/>
      <c r="E72" s="1080"/>
    </row>
    <row r="73" spans="1:5">
      <c r="A73" s="1080"/>
      <c r="B73" s="1080"/>
      <c r="C73" s="1080"/>
      <c r="D73" s="1080"/>
      <c r="E73" s="1080"/>
    </row>
    <row r="74" spans="1:5">
      <c r="A74" s="1080"/>
      <c r="B74" s="1080"/>
      <c r="C74" s="1080"/>
      <c r="D74" s="1080"/>
      <c r="E74" s="1080"/>
    </row>
    <row r="75" spans="1:5">
      <c r="A75" s="1080"/>
      <c r="B75" s="1080"/>
      <c r="C75" s="1080"/>
      <c r="D75" s="1080"/>
      <c r="E75" s="1080"/>
    </row>
    <row r="76" spans="1:5">
      <c r="A76" s="1080"/>
      <c r="B76" s="1080"/>
      <c r="C76" s="1080"/>
      <c r="D76" s="1080"/>
      <c r="E76" s="1080"/>
    </row>
    <row r="77" spans="1:5">
      <c r="A77" s="1080"/>
      <c r="B77" s="1080"/>
      <c r="C77" s="1080"/>
      <c r="D77" s="1080"/>
      <c r="E77" s="1080"/>
    </row>
    <row r="78" spans="1:5">
      <c r="A78" s="1080"/>
      <c r="B78" s="1080"/>
      <c r="C78" s="1080"/>
      <c r="D78" s="1080"/>
      <c r="E78" s="1080"/>
    </row>
    <row r="79" spans="1:5">
      <c r="A79" s="1080"/>
      <c r="B79" s="1080"/>
      <c r="C79" s="1080"/>
      <c r="D79" s="1080"/>
      <c r="E79" s="1080"/>
    </row>
    <row r="80" spans="1:5">
      <c r="A80" s="1080"/>
      <c r="B80" s="1080"/>
      <c r="C80" s="1080"/>
      <c r="D80" s="1080"/>
      <c r="E80" s="1080"/>
    </row>
    <row r="81" spans="1:5">
      <c r="A81" s="1080"/>
      <c r="B81" s="1080"/>
      <c r="C81" s="1080"/>
      <c r="D81" s="1080"/>
      <c r="E81" s="1080"/>
    </row>
    <row r="82" spans="1:5">
      <c r="A82" s="1080"/>
      <c r="B82" s="1080"/>
      <c r="C82" s="1080"/>
      <c r="D82" s="1080"/>
      <c r="E82" s="1080"/>
    </row>
    <row r="83" spans="1:5">
      <c r="A83" s="1080"/>
      <c r="B83" s="1080"/>
      <c r="C83" s="1080"/>
      <c r="D83" s="1080"/>
      <c r="E83" s="1080"/>
    </row>
    <row r="84" spans="1:5">
      <c r="A84" s="1080"/>
      <c r="B84" s="1080"/>
      <c r="C84" s="1080"/>
      <c r="D84" s="1080"/>
      <c r="E84" s="1080"/>
    </row>
    <row r="85" spans="1:5">
      <c r="A85" s="1080"/>
      <c r="B85" s="1080"/>
      <c r="C85" s="1080"/>
      <c r="D85" s="1080"/>
      <c r="E85" s="1080"/>
    </row>
    <row r="86" spans="1:5">
      <c r="A86" s="1080"/>
      <c r="B86" s="1080"/>
      <c r="C86" s="1080"/>
      <c r="D86" s="1080"/>
      <c r="E86" s="1080"/>
    </row>
    <row r="87" spans="1:5">
      <c r="A87" s="1081"/>
      <c r="B87" s="1081"/>
      <c r="C87" s="1081"/>
      <c r="D87" s="1081"/>
      <c r="E87" s="1081"/>
    </row>
    <row r="88" spans="1:5">
      <c r="A88" s="1081"/>
      <c r="B88" s="1081"/>
      <c r="C88" s="1081"/>
      <c r="D88" s="1081"/>
      <c r="E88" s="1081"/>
    </row>
    <row r="89" spans="1:5">
      <c r="A89" s="1081"/>
      <c r="B89" s="1081"/>
      <c r="C89" s="1081"/>
      <c r="D89" s="1081"/>
      <c r="E89" s="1081"/>
    </row>
    <row r="90" spans="1:5">
      <c r="A90" s="1081"/>
      <c r="B90" s="1081"/>
      <c r="C90" s="1081"/>
      <c r="D90" s="1081"/>
      <c r="E90" s="1081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3" zoomScale="40" zoomScaleNormal="61" zoomScaleSheetLayoutView="40" zoomScalePageLayoutView="70" workbookViewId="0">
      <selection activeCell="E187" sqref="E18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44378</v>
      </c>
      <c r="C2" s="1304" t="s">
        <v>68</v>
      </c>
      <c r="D2" s="611">
        <v>0.73</v>
      </c>
      <c r="E2" s="736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2" t="s">
        <v>139</v>
      </c>
      <c r="B15" s="589"/>
      <c r="C15" s="589"/>
      <c r="D15" s="523" t="s">
        <v>140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07"/>
      <c r="C34" s="1307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81" t="s">
        <v>192</v>
      </c>
      <c r="B74" s="1582"/>
      <c r="C74" s="1583"/>
      <c r="D74" s="523" t="s">
        <v>186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v>27551</v>
      </c>
      <c r="F83" s="1387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6" t="s">
        <v>200</v>
      </c>
      <c r="B84" s="571"/>
      <c r="C84" s="571"/>
      <c r="D84" s="478" t="s">
        <v>131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214</v>
      </c>
      <c r="J101" s="552">
        <f>H101/DAY(B2)</f>
        <v>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241</v>
      </c>
      <c r="B134" s="1235"/>
      <c r="C134" s="1235"/>
      <c r="D134" s="524" t="s">
        <v>238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6"/>
      <c r="J134" s="553">
        <f>H134/DAY(B2)</f>
        <v>0</v>
      </c>
      <c r="N134" s="721"/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262</v>
      </c>
      <c r="B161" s="785"/>
      <c r="C161" s="785"/>
      <c r="D161" s="511" t="s">
        <v>186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263</v>
      </c>
      <c r="B162" s="785"/>
      <c r="C162" s="785"/>
      <c r="D162" s="511" t="s">
        <v>186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264</v>
      </c>
      <c r="B163" s="785"/>
      <c r="C163" s="785"/>
      <c r="D163" s="511" t="s">
        <v>186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265</v>
      </c>
      <c r="B164" s="785"/>
      <c r="C164" s="785"/>
      <c r="D164" s="511" t="s">
        <v>186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186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187</v>
      </c>
      <c r="B166" s="604"/>
      <c r="C166" s="604"/>
      <c r="D166" s="511" t="s">
        <v>186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546" t="s">
        <v>98</v>
      </c>
      <c r="B167" s="1546"/>
      <c r="C167" s="1546"/>
      <c r="D167" s="523" t="s">
        <v>186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546" t="s">
        <v>99</v>
      </c>
      <c r="B168" s="1546"/>
      <c r="C168" s="1546"/>
      <c r="D168" s="523" t="s">
        <v>186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546" t="s">
        <v>100</v>
      </c>
      <c r="B169" s="1546"/>
      <c r="C169" s="1546"/>
      <c r="D169" s="523" t="s">
        <v>186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546" t="s">
        <v>101</v>
      </c>
      <c r="B170" s="1546"/>
      <c r="C170" s="1546"/>
      <c r="D170" s="523" t="s">
        <v>186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546" t="s">
        <v>102</v>
      </c>
      <c r="B171" s="1546"/>
      <c r="C171" s="1546"/>
      <c r="D171" s="523" t="s">
        <v>186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4"/>
      <c r="B173" s="1502"/>
      <c r="C173" s="1503"/>
      <c r="D173" s="523"/>
      <c r="E173" s="514"/>
      <c r="F173" s="514"/>
      <c r="G173" s="473"/>
    </row>
    <row r="174" spans="1:15" ht="21.95" customHeight="1">
      <c r="A174" s="1587" t="s">
        <v>350</v>
      </c>
      <c r="B174" s="1550"/>
      <c r="C174" s="784"/>
      <c r="D174" s="1494" t="s">
        <v>186</v>
      </c>
      <c r="E174" s="1495">
        <v>19002</v>
      </c>
      <c r="F174" s="1495">
        <v>19007.5</v>
      </c>
      <c r="G174" s="1496">
        <f>F174-E174</f>
        <v>5.5</v>
      </c>
      <c r="O174" s="377"/>
    </row>
    <row r="175" spans="1:15" ht="21.95" customHeight="1">
      <c r="A175" s="1587" t="s">
        <v>351</v>
      </c>
      <c r="B175" s="1550"/>
      <c r="C175" s="454"/>
      <c r="D175" s="1494" t="s">
        <v>186</v>
      </c>
      <c r="E175" s="1499">
        <v>27630</v>
      </c>
      <c r="F175" s="1499">
        <v>27634</v>
      </c>
      <c r="G175" s="1496">
        <f t="shared" si="28"/>
        <v>4</v>
      </c>
      <c r="O175" s="377"/>
    </row>
    <row r="176" spans="1:15" ht="21.95" customHeight="1">
      <c r="A176" s="1587" t="s">
        <v>350</v>
      </c>
      <c r="B176" s="1550"/>
      <c r="C176" s="454"/>
      <c r="D176" s="1494" t="s">
        <v>186</v>
      </c>
      <c r="E176" s="1495">
        <v>70336</v>
      </c>
      <c r="F176" s="1495">
        <v>70341.899999999994</v>
      </c>
      <c r="G176" s="1496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44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44379</v>
      </c>
      <c r="C2" s="130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2" t="s">
        <v>139</v>
      </c>
      <c r="B15" s="589"/>
      <c r="C15" s="589"/>
      <c r="D15" s="523" t="s">
        <v>140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3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121192.26</v>
      </c>
      <c r="F55" s="1032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649043.47</v>
      </c>
      <c r="F56" s="1032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1505">
        <f>'1'!F105</f>
        <v>7637</v>
      </c>
      <c r="F105" s="1312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263</v>
      </c>
      <c r="B162" s="785"/>
      <c r="C162" s="785"/>
      <c r="D162" s="511" t="s">
        <v>186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264</v>
      </c>
      <c r="B163" s="785"/>
      <c r="C163" s="785"/>
      <c r="D163" s="511" t="s">
        <v>186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265</v>
      </c>
      <c r="B164" s="785"/>
      <c r="C164" s="785"/>
      <c r="D164" s="511" t="s">
        <v>186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546" t="s">
        <v>98</v>
      </c>
      <c r="B167" s="1546"/>
      <c r="C167" s="1546"/>
      <c r="D167" s="523" t="s">
        <v>186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546" t="s">
        <v>99</v>
      </c>
      <c r="B168" s="1546"/>
      <c r="C168" s="1546"/>
      <c r="D168" s="523" t="s">
        <v>186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546" t="s">
        <v>100</v>
      </c>
      <c r="B169" s="1546"/>
      <c r="C169" s="1546"/>
      <c r="D169" s="523" t="s">
        <v>186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546" t="s">
        <v>101</v>
      </c>
      <c r="B170" s="1546"/>
      <c r="C170" s="1546"/>
      <c r="D170" s="523" t="s">
        <v>186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546" t="s">
        <v>102</v>
      </c>
      <c r="B171" s="1546"/>
      <c r="C171" s="1546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87" t="s">
        <v>350</v>
      </c>
      <c r="B173" s="1550"/>
      <c r="C173" s="784"/>
      <c r="D173" s="1494" t="s">
        <v>186</v>
      </c>
      <c r="E173" s="1495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87" t="s">
        <v>351</v>
      </c>
      <c r="B174" s="1550"/>
      <c r="C174" s="454"/>
      <c r="D174" s="1494" t="s">
        <v>186</v>
      </c>
      <c r="E174" s="1499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87" t="s">
        <v>350</v>
      </c>
      <c r="B175" s="1550"/>
      <c r="C175" s="454"/>
      <c r="D175" s="1494" t="s">
        <v>186</v>
      </c>
      <c r="E175" s="1495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129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371</v>
      </c>
      <c r="B2" s="1031">
        <v>44380</v>
      </c>
      <c r="C2" s="1304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133</v>
      </c>
      <c r="B9" s="688"/>
      <c r="C9" s="688"/>
      <c r="D9" s="637" t="s">
        <v>131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134</v>
      </c>
      <c r="B10" s="677"/>
      <c r="C10" s="677"/>
      <c r="D10" s="637" t="s">
        <v>131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136</v>
      </c>
      <c r="B12" s="677"/>
      <c r="C12" s="677"/>
      <c r="D12" s="637" t="s">
        <v>131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137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139</v>
      </c>
      <c r="B15" s="787"/>
      <c r="C15" s="787"/>
      <c r="D15" s="524" t="s">
        <v>140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4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144</v>
      </c>
      <c r="B20" s="693"/>
      <c r="C20" s="693"/>
      <c r="D20" s="637"/>
      <c r="E20" s="637"/>
      <c r="F20" s="523"/>
      <c r="G20" s="1033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549" t="s">
        <v>218</v>
      </c>
      <c r="B105" s="1550"/>
      <c r="C105" s="1300"/>
      <c r="D105" s="622" t="s">
        <v>143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549" t="s">
        <v>76</v>
      </c>
      <c r="B106" s="1550"/>
      <c r="C106" s="1300"/>
      <c r="D106" s="622" t="s">
        <v>143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549" t="s">
        <v>77</v>
      </c>
      <c r="B107" s="1605"/>
      <c r="C107" s="1550"/>
      <c r="D107" s="622" t="s">
        <v>143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55" t="s">
        <v>201</v>
      </c>
      <c r="B108" s="1556"/>
      <c r="C108" s="1300"/>
      <c r="D108" s="622"/>
      <c r="E108" s="455"/>
      <c r="F108" s="659" t="s">
        <v>267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03" t="s">
        <v>78</v>
      </c>
      <c r="B109" s="1604"/>
      <c r="C109" s="1300"/>
      <c r="D109" s="622" t="s">
        <v>143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549" t="s">
        <v>219</v>
      </c>
      <c r="B110" s="1550"/>
      <c r="C110" s="1300"/>
      <c r="D110" s="622" t="s">
        <v>143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549" t="s">
        <v>220</v>
      </c>
      <c r="B111" s="1550"/>
      <c r="C111" s="1300"/>
      <c r="D111" s="622" t="s">
        <v>143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549" t="s">
        <v>221</v>
      </c>
      <c r="B112" s="1550"/>
      <c r="C112" s="1300"/>
      <c r="D112" s="622" t="s">
        <v>143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03" t="s">
        <v>222</v>
      </c>
      <c r="B114" s="1604"/>
      <c r="C114" s="1300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9" t="s">
        <v>223</v>
      </c>
      <c r="B115" s="1550"/>
      <c r="C115" s="1299"/>
      <c r="D115" s="622" t="s">
        <v>143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549" t="s">
        <v>224</v>
      </c>
      <c r="B116" s="1550"/>
      <c r="C116" s="1299"/>
      <c r="D116" s="622" t="s">
        <v>143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549" t="s">
        <v>225</v>
      </c>
      <c r="B117" s="1550"/>
      <c r="C117" s="1299"/>
      <c r="D117" s="622" t="s">
        <v>143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5" t="s">
        <v>201</v>
      </c>
      <c r="B118" s="1556"/>
      <c r="C118" s="1299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47" t="s">
        <v>226</v>
      </c>
      <c r="B119" s="1548"/>
      <c r="C119" s="1299"/>
      <c r="D119" s="624" t="s">
        <v>143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263</v>
      </c>
      <c r="B162" s="785"/>
      <c r="C162" s="785"/>
      <c r="D162" s="511" t="s">
        <v>186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264</v>
      </c>
      <c r="B163" s="785"/>
      <c r="C163" s="785"/>
      <c r="D163" s="511" t="s">
        <v>186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265</v>
      </c>
      <c r="B164" s="785"/>
      <c r="C164" s="785"/>
      <c r="D164" s="511" t="s">
        <v>186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546" t="s">
        <v>98</v>
      </c>
      <c r="B167" s="1546"/>
      <c r="C167" s="1546"/>
      <c r="D167" s="523" t="s">
        <v>186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546" t="s">
        <v>99</v>
      </c>
      <c r="B168" s="1546"/>
      <c r="C168" s="1546"/>
      <c r="D168" s="523" t="s">
        <v>186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546" t="s">
        <v>100</v>
      </c>
      <c r="B169" s="1546"/>
      <c r="C169" s="1546"/>
      <c r="D169" s="523" t="s">
        <v>186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546" t="s">
        <v>101</v>
      </c>
      <c r="B170" s="1546"/>
      <c r="C170" s="1546"/>
      <c r="D170" s="523" t="s">
        <v>186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546" t="s">
        <v>103</v>
      </c>
      <c r="B172" s="1546"/>
      <c r="C172" s="1546"/>
      <c r="D172" s="523" t="s">
        <v>186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6" t="s">
        <v>350</v>
      </c>
      <c r="B174" s="1606"/>
      <c r="C174" s="1506"/>
      <c r="D174" s="1507" t="s">
        <v>186</v>
      </c>
      <c r="E174" s="1508">
        <v>19012.2</v>
      </c>
      <c r="F174" s="1509">
        <v>19017</v>
      </c>
      <c r="G174" s="1510">
        <f t="shared" ref="G174:G176" si="18">F174-E174</f>
        <v>4.7999999999992724</v>
      </c>
      <c r="O174" s="377"/>
    </row>
    <row r="175" spans="1:15" ht="21.95" customHeight="1">
      <c r="A175" s="1606" t="s">
        <v>351</v>
      </c>
      <c r="B175" s="1606"/>
      <c r="C175" s="1506"/>
      <c r="D175" s="1507" t="s">
        <v>186</v>
      </c>
      <c r="E175" s="1511">
        <v>27638</v>
      </c>
      <c r="F175" s="1509">
        <v>27642</v>
      </c>
      <c r="G175" s="1510">
        <f t="shared" si="18"/>
        <v>4</v>
      </c>
      <c r="O175" s="377"/>
    </row>
    <row r="176" spans="1:15" ht="21.95" customHeight="1">
      <c r="A176" s="1606" t="s">
        <v>350</v>
      </c>
      <c r="B176" s="1606"/>
      <c r="C176" s="1506"/>
      <c r="D176" s="1507" t="s">
        <v>186</v>
      </c>
      <c r="E176" s="1508">
        <v>70348.2</v>
      </c>
      <c r="F176" s="1509">
        <v>70354</v>
      </c>
      <c r="G176" s="1510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130" zoomScale="40" zoomScaleNormal="48" zoomScaleSheetLayoutView="40" workbookViewId="0">
      <selection activeCell="G83" sqref="G8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372</v>
      </c>
      <c r="B2" s="1031">
        <v>44381</v>
      </c>
      <c r="C2" s="1304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4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4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132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8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133</v>
      </c>
      <c r="B9" s="688"/>
      <c r="C9" s="688"/>
      <c r="D9" s="637" t="s">
        <v>131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139</v>
      </c>
      <c r="B15" s="787"/>
      <c r="C15" s="787"/>
      <c r="D15" s="524" t="s">
        <v>140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4">
        <f>'3'!F20</f>
        <v>0</v>
      </c>
      <c r="F20" s="637"/>
      <c r="G20" s="1047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2" t="s">
        <v>146</v>
      </c>
      <c r="B22" s="589"/>
      <c r="C22" s="589"/>
      <c r="D22" s="523" t="s">
        <v>147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2" t="s">
        <v>148</v>
      </c>
      <c r="B23" s="589"/>
      <c r="C23" s="589"/>
      <c r="D23" s="523" t="s">
        <v>147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307"/>
      <c r="C34" s="1307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176</v>
      </c>
      <c r="B48" s="1307"/>
      <c r="C48" s="1307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5" t="s">
        <v>196</v>
      </c>
      <c r="B78" s="1298"/>
      <c r="C78" s="1298"/>
      <c r="D78" s="523" t="s">
        <v>186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654">
        <f>'3'!F83</f>
        <v>28306</v>
      </c>
      <c r="F83" s="1402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6" t="s">
        <v>200</v>
      </c>
      <c r="B84" s="571"/>
      <c r="C84" s="571"/>
      <c r="D84" s="478" t="s">
        <v>131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2" t="s">
        <v>209</v>
      </c>
      <c r="B97" s="1303"/>
      <c r="C97" s="1303"/>
      <c r="D97" s="523" t="s">
        <v>143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2" t="s">
        <v>210</v>
      </c>
      <c r="B98" s="1303"/>
      <c r="C98" s="1303"/>
      <c r="D98" s="523" t="s">
        <v>143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2" t="s">
        <v>211</v>
      </c>
      <c r="B99" s="1303"/>
      <c r="C99" s="1303"/>
      <c r="D99" s="523" t="s">
        <v>143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2" t="s">
        <v>212</v>
      </c>
      <c r="B100" s="1303"/>
      <c r="C100" s="1303"/>
      <c r="D100" s="523" t="s">
        <v>143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2" t="s">
        <v>213</v>
      </c>
      <c r="B101" s="1303"/>
      <c r="C101" s="1303"/>
      <c r="D101" s="523" t="s">
        <v>143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301"/>
      <c r="D105" s="622" t="s">
        <v>143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51" t="s">
        <v>76</v>
      </c>
      <c r="B106" s="1552"/>
      <c r="C106" s="1301"/>
      <c r="D106" s="622" t="s">
        <v>143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'3'!F107</f>
        <v>19833</v>
      </c>
      <c r="F107" s="1046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3" t="s">
        <v>201</v>
      </c>
      <c r="B108" s="1554"/>
      <c r="C108" s="1301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57" t="s">
        <v>78</v>
      </c>
      <c r="B109" s="1558"/>
      <c r="C109" s="1301"/>
      <c r="D109" s="622" t="s">
        <v>143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301"/>
      <c r="D110" s="622" t="s">
        <v>143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51" t="s">
        <v>220</v>
      </c>
      <c r="B111" s="1552"/>
      <c r="C111" s="1301"/>
      <c r="D111" s="622" t="s">
        <v>143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51" t="s">
        <v>221</v>
      </c>
      <c r="B112" s="1552"/>
      <c r="C112" s="1301"/>
      <c r="D112" s="622" t="s">
        <v>143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3" t="s">
        <v>109</v>
      </c>
      <c r="B113" s="1554"/>
      <c r="C113" s="1301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57" t="s">
        <v>222</v>
      </c>
      <c r="B114" s="1558"/>
      <c r="C114" s="1301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2" t="s">
        <v>230</v>
      </c>
      <c r="B124" s="1303"/>
      <c r="C124" s="1303"/>
      <c r="D124" s="523" t="s">
        <v>140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2" t="s">
        <v>231</v>
      </c>
      <c r="B125" s="1303"/>
      <c r="C125" s="1303"/>
      <c r="D125" s="523" t="s">
        <v>140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233</v>
      </c>
      <c r="B127" s="1303"/>
      <c r="C127" s="1303"/>
      <c r="D127" s="523" t="s">
        <v>140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234</v>
      </c>
      <c r="B128" s="1303"/>
      <c r="C128" s="1303"/>
      <c r="D128" s="523" t="s">
        <v>140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235</v>
      </c>
      <c r="B129" s="1303"/>
      <c r="C129" s="1303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2" t="s">
        <v>237</v>
      </c>
      <c r="B131" s="1303"/>
      <c r="C131" s="1303"/>
      <c r="D131" s="523" t="s">
        <v>238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2" t="s">
        <v>267</v>
      </c>
      <c r="B132" s="1303"/>
      <c r="C132" s="1303"/>
      <c r="D132" s="523" t="s">
        <v>238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2" t="s">
        <v>240</v>
      </c>
      <c r="B133" s="1303"/>
      <c r="C133" s="1303"/>
      <c r="D133" s="523" t="s">
        <v>238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2" t="s">
        <v>241</v>
      </c>
      <c r="B134" s="1303"/>
      <c r="C134" s="1303"/>
      <c r="D134" s="523" t="s">
        <v>238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2" t="s">
        <v>242</v>
      </c>
      <c r="B135" s="1303"/>
      <c r="C135" s="1303"/>
      <c r="D135" s="523" t="s">
        <v>238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2" t="s">
        <v>243</v>
      </c>
      <c r="B136" s="1303"/>
      <c r="C136" s="1303"/>
      <c r="D136" s="523" t="s">
        <v>238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2" t="s">
        <v>244</v>
      </c>
      <c r="B137" s="1303"/>
      <c r="C137" s="1303"/>
      <c r="D137" s="523" t="s">
        <v>238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2" t="s">
        <v>245</v>
      </c>
      <c r="B138" s="1303"/>
      <c r="C138" s="1303"/>
      <c r="D138" s="523" t="s">
        <v>238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2" t="s">
        <v>246</v>
      </c>
      <c r="B139" s="1303"/>
      <c r="C139" s="1303"/>
      <c r="D139" s="523" t="s">
        <v>238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2" t="s">
        <v>247</v>
      </c>
      <c r="B140" s="1303"/>
      <c r="C140" s="1303"/>
      <c r="D140" s="523" t="s">
        <v>238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2" t="s">
        <v>248</v>
      </c>
      <c r="B141" s="1303"/>
      <c r="C141" s="1303"/>
      <c r="D141" s="523" t="s">
        <v>238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308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263</v>
      </c>
      <c r="B162" s="785"/>
      <c r="C162" s="785"/>
      <c r="D162" s="511" t="s">
        <v>186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264</v>
      </c>
      <c r="B163" s="785"/>
      <c r="C163" s="785"/>
      <c r="D163" s="511" t="s">
        <v>186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265</v>
      </c>
      <c r="B164" s="785"/>
      <c r="C164" s="785"/>
      <c r="D164" s="511" t="s">
        <v>186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186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546" t="s">
        <v>98</v>
      </c>
      <c r="B167" s="1546"/>
      <c r="C167" s="1546"/>
      <c r="D167" s="523" t="s">
        <v>186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546" t="s">
        <v>99</v>
      </c>
      <c r="B168" s="1546"/>
      <c r="C168" s="1546"/>
      <c r="D168" s="523" t="s">
        <v>186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546" t="s">
        <v>100</v>
      </c>
      <c r="B169" s="1546"/>
      <c r="C169" s="1546"/>
      <c r="D169" s="523" t="s">
        <v>186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546" t="s">
        <v>101</v>
      </c>
      <c r="B170" s="1546"/>
      <c r="C170" s="1546"/>
      <c r="D170" s="523" t="s">
        <v>186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6" t="s">
        <v>350</v>
      </c>
      <c r="B173" s="1606"/>
      <c r="C173" s="1506"/>
      <c r="D173" s="1507" t="s">
        <v>186</v>
      </c>
      <c r="E173" s="1513">
        <v>19017</v>
      </c>
      <c r="F173" s="1509">
        <v>19022.2</v>
      </c>
      <c r="G173" s="1510">
        <f t="shared" si="16"/>
        <v>5.2000000000007276</v>
      </c>
      <c r="O173" s="377"/>
    </row>
    <row r="174" spans="1:15" ht="21.95" customHeight="1">
      <c r="A174" s="1606" t="s">
        <v>350</v>
      </c>
      <c r="B174" s="1606"/>
      <c r="C174" s="1506"/>
      <c r="D174" s="1507" t="s">
        <v>186</v>
      </c>
      <c r="E174" s="1513">
        <v>70354</v>
      </c>
      <c r="F174" s="1509">
        <v>70360.899999999994</v>
      </c>
      <c r="G174" s="1510">
        <f t="shared" si="16"/>
        <v>6.8999999999941792</v>
      </c>
      <c r="O174" s="377"/>
    </row>
    <row r="175" spans="1:15" ht="27.75">
      <c r="A175" s="1606" t="s">
        <v>351</v>
      </c>
      <c r="B175" s="1606"/>
      <c r="C175" s="1506"/>
      <c r="D175" s="1507" t="s">
        <v>186</v>
      </c>
      <c r="E175" s="1513">
        <v>27642</v>
      </c>
      <c r="F175" s="1509">
        <v>27648</v>
      </c>
      <c r="G175" s="1510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42" zoomScale="55" zoomScaleNormal="48" zoomScaleSheetLayoutView="55" workbookViewId="0">
      <selection activeCell="F82" sqref="F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373</v>
      </c>
      <c r="B2" s="1031">
        <v>44382</v>
      </c>
      <c r="C2" s="1141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333</v>
      </c>
      <c r="E7" s="633">
        <v>9728.65</v>
      </c>
      <c r="F7" s="1247">
        <v>30608.44</v>
      </c>
      <c r="G7" s="1251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633">
        <v>14988.6</v>
      </c>
      <c r="F8" s="1248">
        <v>35981.21</v>
      </c>
      <c r="G8" s="1251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133</v>
      </c>
      <c r="B9" s="688"/>
      <c r="C9" s="688"/>
      <c r="D9" s="637" t="s">
        <v>131</v>
      </c>
      <c r="E9" s="634">
        <f>'4'!F9</f>
        <v>2117828.81</v>
      </c>
      <c r="F9" s="1244">
        <v>2138025.7000000002</v>
      </c>
      <c r="G9" s="1251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134</v>
      </c>
      <c r="B10" s="677"/>
      <c r="C10" s="677"/>
      <c r="D10" s="637" t="s">
        <v>131</v>
      </c>
      <c r="E10" s="634">
        <f>'4'!F10</f>
        <v>2606.5500000000002</v>
      </c>
      <c r="F10" s="1244">
        <v>2606.5500000000002</v>
      </c>
      <c r="G10" s="1251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633">
        <f>'4'!F11</f>
        <v>37000</v>
      </c>
      <c r="F11" s="1247">
        <v>37000</v>
      </c>
      <c r="G11" s="1251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136</v>
      </c>
      <c r="B12" s="677"/>
      <c r="C12" s="677"/>
      <c r="D12" s="637" t="s">
        <v>131</v>
      </c>
      <c r="E12" s="634">
        <f>'4'!F12</f>
        <v>40010</v>
      </c>
      <c r="F12" s="1244">
        <v>40010</v>
      </c>
      <c r="G12" s="1251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137</v>
      </c>
      <c r="B13" s="693"/>
      <c r="C13" s="693"/>
      <c r="D13" s="637"/>
      <c r="E13" s="633"/>
      <c r="F13" s="1247"/>
      <c r="G13" s="1251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70" t="s">
        <v>138</v>
      </c>
      <c r="B14" s="1571"/>
      <c r="C14" s="1572"/>
      <c r="D14" s="472"/>
      <c r="E14" s="472"/>
      <c r="F14" s="1093"/>
      <c r="G14" s="1254"/>
      <c r="H14" s="472"/>
      <c r="I14" s="472"/>
      <c r="J14" s="551"/>
      <c r="K14" s="429"/>
      <c r="L14" s="377"/>
      <c r="N14" s="382">
        <v>432</v>
      </c>
      <c r="O14" s="382"/>
    </row>
    <row r="15" spans="1:15" s="1518" customFormat="1">
      <c r="A15" s="792" t="s">
        <v>139</v>
      </c>
      <c r="B15" s="793"/>
      <c r="C15" s="793"/>
      <c r="D15" s="524" t="s">
        <v>140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17"/>
      <c r="N15" s="1519"/>
      <c r="O15" s="1519"/>
    </row>
    <row r="16" spans="1:15">
      <c r="A16" s="790"/>
      <c r="B16" s="791"/>
      <c r="C16" s="791"/>
      <c r="D16" s="788"/>
      <c r="E16" s="1250"/>
      <c r="F16" s="1250"/>
      <c r="G16" s="1251"/>
      <c r="H16" s="1252"/>
      <c r="I16" s="1091">
        <f>I15-J15</f>
        <v>-16.291999999992527</v>
      </c>
      <c r="J16" s="12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1093"/>
      <c r="G17" s="1252"/>
      <c r="H17" s="472"/>
      <c r="I17" s="472"/>
      <c r="J17" s="551"/>
      <c r="K17" s="428"/>
      <c r="L17" s="377"/>
      <c r="N17" s="382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1250">
        <f>'4'!F18</f>
        <v>21</v>
      </c>
      <c r="F18" s="1244">
        <v>18</v>
      </c>
      <c r="G18" s="1251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634">
        <f>'4'!F19</f>
        <v>141742</v>
      </c>
      <c r="F19" s="1244">
        <v>141803</v>
      </c>
      <c r="G19" s="1251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144</v>
      </c>
      <c r="B20" s="693"/>
      <c r="C20" s="693"/>
      <c r="D20" s="637"/>
      <c r="E20" s="637"/>
      <c r="F20" s="637"/>
      <c r="G20" s="1255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1040555.8</v>
      </c>
      <c r="F35" s="1237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23687.22</v>
      </c>
      <c r="F36" s="1237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182565.11</v>
      </c>
      <c r="F37" s="1237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205145.89</v>
      </c>
      <c r="F38" s="1238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419927.35</v>
      </c>
      <c r="F39" s="1237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8719.42</v>
      </c>
      <c r="F40" s="1237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348154.91</v>
      </c>
      <c r="F41" s="1237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59210.080000000002</v>
      </c>
      <c r="F42" s="1237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1130805.2</v>
      </c>
      <c r="F43" s="1237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7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7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7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39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1240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7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539312</v>
      </c>
      <c r="F50" s="1237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144639.87</v>
      </c>
      <c r="F51" s="1237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539606.06999999995</v>
      </c>
      <c r="F52" s="1237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434231.59</v>
      </c>
      <c r="F53" s="1237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14967</v>
      </c>
      <c r="F54" s="1237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126957.01</v>
      </c>
      <c r="F55" s="1249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649074.79</v>
      </c>
      <c r="F56" s="1249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7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54606.38</v>
      </c>
      <c r="F58" s="1241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39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39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3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3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'4'!F64</f>
        <v>171516.47</v>
      </c>
      <c r="F64" s="1244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'4'!F65</f>
        <v>172013.01</v>
      </c>
      <c r="F65" s="1245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'4'!F66</f>
        <v>69662.289999999994</v>
      </c>
      <c r="F66" s="1244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'4'!F67</f>
        <v>266903.75</v>
      </c>
      <c r="F67" s="1244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'4'!F68</f>
        <v>85321</v>
      </c>
      <c r="F68" s="1244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'4'!F69</f>
        <v>88541.19</v>
      </c>
      <c r="F69" s="1244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1246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'4'!F72</f>
        <v>856271</v>
      </c>
      <c r="F72" s="1256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'4'!F73</f>
        <v>885978</v>
      </c>
      <c r="F73" s="1257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521">
        <f>'4'!F74</f>
        <v>88700.9</v>
      </c>
      <c r="F74" s="1256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'4'!F75</f>
        <v>16679.98</v>
      </c>
      <c r="F75" s="1258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'4'!F76</f>
        <v>9598</v>
      </c>
      <c r="F76" s="1257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0">
        <f>'4'!F77</f>
        <v>704592</v>
      </c>
      <c r="F77" s="1257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'4'!F78</f>
        <v>675938</v>
      </c>
      <c r="F78" s="1258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'4'!F79</f>
        <v>836021</v>
      </c>
      <c r="F79" s="1258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'4'!F80</f>
        <v>540682.64</v>
      </c>
      <c r="F80" s="1257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'4'!F81</f>
        <v>643654.52</v>
      </c>
      <c r="F81" s="1257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'4'!F82</f>
        <v>108761</v>
      </c>
      <c r="F82" s="1245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'4'!F83</f>
        <v>28619</v>
      </c>
      <c r="F83" s="1239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3" t="s">
        <v>200</v>
      </c>
      <c r="B84" s="571"/>
      <c r="C84" s="571"/>
      <c r="D84" s="478" t="s">
        <v>131</v>
      </c>
      <c r="E84" s="627">
        <f>'4'!F84</f>
        <v>526403</v>
      </c>
      <c r="F84" s="1259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6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'4'!F86</f>
        <v>461920.4</v>
      </c>
      <c r="F86" s="1259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'4'!F87</f>
        <v>82195.7</v>
      </c>
      <c r="F87" s="1259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'4'!F88</f>
        <v>155777.57</v>
      </c>
      <c r="F88" s="1259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27">
        <f>'4'!F89</f>
        <v>65953.899999999994</v>
      </c>
      <c r="F89" s="1259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'4'!F90</f>
        <v>3356</v>
      </c>
      <c r="F90" s="1259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347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1093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'4'!F93</f>
        <v>247830</v>
      </c>
      <c r="F93" s="1244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'4'!F94</f>
        <v>189912</v>
      </c>
      <c r="F94" s="1244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1244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'4'!F96</f>
        <v>416434</v>
      </c>
      <c r="F96" s="1244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'4'!F97</f>
        <v>103264</v>
      </c>
      <c r="F97" s="1244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'4'!F98</f>
        <v>98757</v>
      </c>
      <c r="F98" s="1244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'4'!F99</f>
        <v>150565</v>
      </c>
      <c r="F99" s="1244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'4'!F100</f>
        <v>7845</v>
      </c>
      <c r="F100" s="1244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'4'!F101</f>
        <v>5703</v>
      </c>
      <c r="F101" s="1244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1254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0"/>
      <c r="G103" s="529"/>
      <c r="H103" s="530"/>
      <c r="I103" s="531"/>
      <c r="J103" s="557"/>
      <c r="N103" s="382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1261"/>
      <c r="G104" s="532"/>
      <c r="H104" s="533"/>
      <c r="I104" s="532"/>
      <c r="J104" s="558"/>
      <c r="N104" s="382"/>
      <c r="O104" s="382"/>
    </row>
    <row r="105" spans="1:15" s="442" customFormat="1" ht="27.75">
      <c r="A105" s="1551" t="s">
        <v>218</v>
      </c>
      <c r="B105" s="1552"/>
      <c r="C105" s="1138"/>
      <c r="D105" s="622" t="s">
        <v>143</v>
      </c>
      <c r="E105" s="484">
        <f>'4'!F105</f>
        <v>7697</v>
      </c>
      <c r="F105" s="1261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51" t="s">
        <v>76</v>
      </c>
      <c r="B106" s="1552"/>
      <c r="C106" s="1138"/>
      <c r="D106" s="622" t="s">
        <v>143</v>
      </c>
      <c r="E106" s="484">
        <f>'4'!F106</f>
        <v>36197</v>
      </c>
      <c r="F106" s="1267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84">
        <f>'4'!F107</f>
        <v>19838</v>
      </c>
      <c r="F107" s="1261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3" t="s">
        <v>201</v>
      </c>
      <c r="B108" s="1554"/>
      <c r="C108" s="1138"/>
      <c r="D108" s="622"/>
      <c r="E108" s="484"/>
      <c r="F108" s="1261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57" t="s">
        <v>78</v>
      </c>
      <c r="B109" s="1558"/>
      <c r="C109" s="1138"/>
      <c r="D109" s="622" t="s">
        <v>143</v>
      </c>
      <c r="E109" s="484">
        <f>'4'!F109</f>
        <v>0</v>
      </c>
      <c r="F109" s="1261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51" t="s">
        <v>219</v>
      </c>
      <c r="B110" s="1552"/>
      <c r="C110" s="1138"/>
      <c r="D110" s="622" t="s">
        <v>143</v>
      </c>
      <c r="E110" s="484">
        <f>'4'!F110</f>
        <v>65100</v>
      </c>
      <c r="F110" s="1261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51" t="s">
        <v>220</v>
      </c>
      <c r="B111" s="1552"/>
      <c r="C111" s="1138"/>
      <c r="D111" s="622" t="s">
        <v>143</v>
      </c>
      <c r="E111" s="484">
        <f>'4'!F111</f>
        <v>33302</v>
      </c>
      <c r="F111" s="1261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51" t="s">
        <v>221</v>
      </c>
      <c r="B112" s="1552"/>
      <c r="C112" s="1138"/>
      <c r="D112" s="622" t="s">
        <v>143</v>
      </c>
      <c r="E112" s="484">
        <f>'4'!F112</f>
        <v>4621.3</v>
      </c>
      <c r="F112" s="1261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1261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1261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'4'!F115</f>
        <v>12072</v>
      </c>
      <c r="F115" s="1262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'4'!F116</f>
        <v>8583</v>
      </c>
      <c r="F116" s="1262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484">
        <f>'4'!F117</f>
        <v>0</v>
      </c>
      <c r="F117" s="1262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484"/>
      <c r="F118" s="1262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484">
        <f>'4'!F119</f>
        <v>239</v>
      </c>
      <c r="F119" s="1263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484">
        <f>'4'!F120</f>
        <v>255</v>
      </c>
      <c r="F120" s="1263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484">
        <f>'4'!F121</f>
        <v>102</v>
      </c>
      <c r="F121" s="1262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1264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1093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'4'!F124</f>
        <v>840828.2</v>
      </c>
      <c r="F124" s="1244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'4'!F125</f>
        <v>73583.399999999994</v>
      </c>
      <c r="F125" s="1265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'4'!F126</f>
        <v>148947.49</v>
      </c>
      <c r="F126" s="1244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'4'!F127</f>
        <v>32219.599999999999</v>
      </c>
      <c r="F127" s="1265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'4'!F128</f>
        <v>9025.9</v>
      </c>
      <c r="F128" s="1265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1244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0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'4'!F131</f>
        <v>0</v>
      </c>
      <c r="F131" s="1244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'4'!F132</f>
        <v>0</v>
      </c>
      <c r="F132" s="1244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'4'!F133</f>
        <v>40530</v>
      </c>
      <c r="F133" s="1245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'4'!F134</f>
        <v>300</v>
      </c>
      <c r="F134" s="1265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'4'!F135</f>
        <v>42012.34</v>
      </c>
      <c r="F135" s="1265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'4'!F136</f>
        <v>32874</v>
      </c>
      <c r="F136" s="1265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'4'!F137</f>
        <v>22917.91</v>
      </c>
      <c r="F137" s="1245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'4'!F138</f>
        <v>25091.39</v>
      </c>
      <c r="F138" s="1245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'4'!F139</f>
        <v>70513.62</v>
      </c>
      <c r="F139" s="1245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'4'!F140</f>
        <v>2172.02</v>
      </c>
      <c r="F140" s="1265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'4'!F141</f>
        <v>4637</v>
      </c>
      <c r="F141" s="1244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109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1096"/>
      <c r="G143" s="460">
        <f>G35+G43+G49+G57</f>
        <v>5383.3999999999069</v>
      </c>
      <c r="H143" s="460">
        <f>G143+'4'!H143</f>
        <v>27578.529999999912</v>
      </c>
      <c r="I143" s="480" t="s">
        <v>267</v>
      </c>
      <c r="J143" s="552">
        <f>H143/DAY(B2)</f>
        <v>5515.7059999999819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1239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1247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1247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1247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1247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1247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1247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1247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1247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1247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1266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263</v>
      </c>
      <c r="B162" s="785"/>
      <c r="C162" s="785"/>
      <c r="D162" s="511" t="s">
        <v>186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264</v>
      </c>
      <c r="B163" s="785"/>
      <c r="C163" s="785"/>
      <c r="D163" s="511" t="s">
        <v>186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265</v>
      </c>
      <c r="B164" s="785"/>
      <c r="C164" s="785"/>
      <c r="D164" s="511" t="s">
        <v>186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87" t="s">
        <v>350</v>
      </c>
      <c r="B173" s="1550"/>
      <c r="C173" s="1514"/>
      <c r="D173" s="523" t="s">
        <v>186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87" t="s">
        <v>350</v>
      </c>
      <c r="B174" s="1550"/>
      <c r="C174" s="785"/>
      <c r="D174" s="523" t="s">
        <v>186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5" t="s">
        <v>351</v>
      </c>
      <c r="B175" s="1516"/>
      <c r="C175" s="785"/>
      <c r="D175" s="523" t="s">
        <v>186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163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352</v>
      </c>
      <c r="B2" s="1031">
        <v>44383</v>
      </c>
      <c r="C2" s="1141" t="s">
        <v>68</v>
      </c>
      <c r="D2" s="611">
        <v>0.60399999999999998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132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133</v>
      </c>
      <c r="B9" s="688"/>
      <c r="C9" s="688"/>
      <c r="D9" s="637" t="s">
        <v>131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134</v>
      </c>
      <c r="B10" s="677"/>
      <c r="C10" s="677"/>
      <c r="D10" s="637" t="s">
        <v>131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135</v>
      </c>
      <c r="B11" s="677"/>
      <c r="C11" s="677"/>
      <c r="D11" s="637" t="s">
        <v>131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136</v>
      </c>
      <c r="B12" s="677"/>
      <c r="C12" s="677"/>
      <c r="D12" s="637" t="s">
        <v>131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139</v>
      </c>
      <c r="B15" s="787"/>
      <c r="C15" s="787"/>
      <c r="D15" s="524" t="s">
        <v>140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4"/>
      <c r="H16" s="1051"/>
      <c r="I16" s="487">
        <f>I15-J15</f>
        <v>47.930000000012456</v>
      </c>
      <c r="J16" s="105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8" t="s">
        <v>143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2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649085.55000000005</v>
      </c>
      <c r="F56" s="1055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2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 t="s">
        <v>214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263</v>
      </c>
      <c r="B162" s="785"/>
      <c r="C162" s="785"/>
      <c r="D162" s="511" t="s">
        <v>186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264</v>
      </c>
      <c r="B163" s="785"/>
      <c r="C163" s="785"/>
      <c r="D163" s="511" t="s">
        <v>186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265</v>
      </c>
      <c r="B164" s="785"/>
      <c r="C164" s="785"/>
      <c r="D164" s="511" t="s">
        <v>186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87" t="s">
        <v>350</v>
      </c>
      <c r="B173" s="1550"/>
      <c r="C173" s="785"/>
      <c r="D173" s="523" t="s">
        <v>186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87" t="s">
        <v>350</v>
      </c>
      <c r="B174" s="1550"/>
      <c r="C174" s="785"/>
      <c r="D174" s="523" t="s">
        <v>186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87" t="s">
        <v>351</v>
      </c>
      <c r="B175" s="1550"/>
      <c r="C175" s="785"/>
      <c r="D175" s="523" t="s">
        <v>186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70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353</v>
      </c>
      <c r="B2" s="1031">
        <v>44384</v>
      </c>
      <c r="C2" s="1141" t="s">
        <v>68</v>
      </c>
      <c r="D2" s="611">
        <v>0.53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1" t="s">
        <v>119</v>
      </c>
      <c r="D3" s="612">
        <v>33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214</v>
      </c>
    </row>
    <row r="8" spans="1:16" ht="27.75" thickBot="1">
      <c r="A8" s="682" t="s">
        <v>132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133</v>
      </c>
      <c r="B9" s="688"/>
      <c r="C9" s="688"/>
      <c r="D9" s="637" t="s">
        <v>131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134</v>
      </c>
      <c r="B10" s="677"/>
      <c r="C10" s="677"/>
      <c r="D10" s="637" t="s">
        <v>131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135</v>
      </c>
      <c r="B11" s="677"/>
      <c r="C11" s="677"/>
      <c r="D11" s="637" t="s">
        <v>131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136</v>
      </c>
      <c r="B12" s="677"/>
      <c r="C12" s="677"/>
      <c r="D12" s="637" t="s">
        <v>131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139</v>
      </c>
      <c r="B15" s="793"/>
      <c r="C15" s="793"/>
      <c r="D15" s="524" t="s">
        <v>140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4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3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59210.080000000002</v>
      </c>
      <c r="F42" s="1032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181</v>
      </c>
      <c r="B56" s="1063"/>
      <c r="C56" s="1063"/>
      <c r="D56" s="524" t="s">
        <v>182</v>
      </c>
      <c r="E56" s="510">
        <f>'6'!F56</f>
        <v>649085.55000000005</v>
      </c>
      <c r="F56" s="1032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182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182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182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651" t="s">
        <v>182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651" t="s">
        <v>182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1056">
        <f>'6'!F124</f>
        <v>841355.86</v>
      </c>
      <c r="F124" s="1056">
        <v>841615.84</v>
      </c>
      <c r="G124" s="1057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1056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1056">
        <f>'6'!F126</f>
        <v>149075.91</v>
      </c>
      <c r="F126" s="1062">
        <v>149155.32999999999</v>
      </c>
      <c r="G126" s="1058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1056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1056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1054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1060">
        <f>'6'!F139</f>
        <v>70514.289999999994</v>
      </c>
      <c r="F139" s="1061">
        <v>70514.289999999994</v>
      </c>
      <c r="G139" s="1054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1059">
        <f>'6'!F141</f>
        <v>4637</v>
      </c>
      <c r="F141" s="1056">
        <v>4637</v>
      </c>
      <c r="G141" s="1057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263</v>
      </c>
      <c r="B162" s="785"/>
      <c r="C162" s="785"/>
      <c r="D162" s="511" t="s">
        <v>186</v>
      </c>
      <c r="E162" s="1059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264</v>
      </c>
      <c r="B163" s="785"/>
      <c r="C163" s="785"/>
      <c r="D163" s="511" t="s">
        <v>186</v>
      </c>
      <c r="E163" s="1059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265</v>
      </c>
      <c r="B164" s="785"/>
      <c r="C164" s="785"/>
      <c r="D164" s="511" t="s">
        <v>186</v>
      </c>
      <c r="E164" s="1059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87" t="s">
        <v>350</v>
      </c>
      <c r="B173" s="1550"/>
      <c r="C173" s="785"/>
      <c r="D173" s="523" t="s">
        <v>186</v>
      </c>
      <c r="E173" s="1059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87" t="s">
        <v>350</v>
      </c>
      <c r="B174" s="1550"/>
      <c r="C174" s="785"/>
      <c r="D174" s="523" t="s">
        <v>186</v>
      </c>
      <c r="E174" s="1059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87" t="s">
        <v>351</v>
      </c>
      <c r="B175" s="1550"/>
      <c r="C175" s="785"/>
      <c r="D175" s="523" t="s">
        <v>186</v>
      </c>
      <c r="E175" s="1059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topLeftCell="A153" zoomScale="55" zoomScaleSheetLayoutView="55" workbookViewId="0">
      <selection activeCell="F185" sqref="F18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354</v>
      </c>
      <c r="B2" s="1031">
        <v>44385</v>
      </c>
      <c r="C2" s="1141" t="s">
        <v>68</v>
      </c>
      <c r="D2" s="611">
        <v>0.5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132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133</v>
      </c>
      <c r="B9" s="688"/>
      <c r="C9" s="688"/>
      <c r="D9" s="637" t="s">
        <v>131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134</v>
      </c>
      <c r="B10" s="677"/>
      <c r="C10" s="677"/>
      <c r="D10" s="637" t="s">
        <v>131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135</v>
      </c>
      <c r="B11" s="677"/>
      <c r="C11" s="677"/>
      <c r="D11" s="637" t="s">
        <v>131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136</v>
      </c>
      <c r="B12" s="677"/>
      <c r="C12" s="677"/>
      <c r="D12" s="637" t="s">
        <v>131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137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5" t="s">
        <v>139</v>
      </c>
      <c r="B15" s="666"/>
      <c r="C15" s="666"/>
      <c r="D15" s="667" t="s">
        <v>140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59">
        <f>G15+'7'!H15</f>
        <v>6184.1599999999162</v>
      </c>
      <c r="I15" s="1460">
        <v>800</v>
      </c>
      <c r="J15" s="1461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358143.27</v>
      </c>
      <c r="F41" s="1055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5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5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5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5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5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39" t="s">
        <v>241</v>
      </c>
      <c r="B134" s="1140"/>
      <c r="C134" s="1140"/>
      <c r="D134" s="523" t="s">
        <v>238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263</v>
      </c>
      <c r="B162" s="785"/>
      <c r="C162" s="785"/>
      <c r="D162" s="511" t="s">
        <v>186</v>
      </c>
      <c r="E162" s="1059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264</v>
      </c>
      <c r="B163" s="785"/>
      <c r="C163" s="785"/>
      <c r="D163" s="511" t="s">
        <v>186</v>
      </c>
      <c r="E163" s="1059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265</v>
      </c>
      <c r="B164" s="785"/>
      <c r="C164" s="785"/>
      <c r="D164" s="511" t="s">
        <v>186</v>
      </c>
      <c r="E164" s="1059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186</v>
      </c>
      <c r="E165" s="1059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87" t="s">
        <v>350</v>
      </c>
      <c r="B173" s="1550"/>
      <c r="C173" s="785"/>
      <c r="D173" s="523" t="s">
        <v>186</v>
      </c>
      <c r="E173" s="1059">
        <f>'7'!F173</f>
        <v>19035.3</v>
      </c>
      <c r="F173" s="532">
        <v>19040.3</v>
      </c>
      <c r="G173" s="473">
        <f t="shared" si="16"/>
        <v>5</v>
      </c>
    </row>
    <row r="174" spans="1:7">
      <c r="A174" s="1587" t="s">
        <v>350</v>
      </c>
      <c r="B174" s="1550"/>
      <c r="C174" s="785"/>
      <c r="D174" s="523" t="s">
        <v>186</v>
      </c>
      <c r="E174" s="1059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87" t="s">
        <v>351</v>
      </c>
      <c r="B175" s="1550"/>
      <c r="C175" s="785"/>
      <c r="D175" s="523" t="s">
        <v>186</v>
      </c>
      <c r="E175" s="1059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3" zoomScale="55" zoomScaleNormal="80" zoomScaleSheetLayoutView="55" workbookViewId="0">
      <selection activeCell="I59" sqref="I59:I60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355</v>
      </c>
      <c r="B2" s="1031">
        <v>44386</v>
      </c>
      <c r="C2" s="1141" t="s">
        <v>68</v>
      </c>
      <c r="D2" s="611">
        <v>0.64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1" t="s">
        <v>119</v>
      </c>
      <c r="D3" s="612">
        <v>31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'8'!F7</f>
        <v>93795.56</v>
      </c>
      <c r="F7" s="455">
        <v>116373</v>
      </c>
      <c r="G7" s="678">
        <f>F7-E7</f>
        <v>22577.440000000002</v>
      </c>
      <c r="H7" s="679">
        <f>G7+'8'!H7</f>
        <v>194420.00000000006</v>
      </c>
      <c r="I7" s="680">
        <f>'1'!I7</f>
        <v>12000</v>
      </c>
      <c r="J7" s="681">
        <f>H7/DAY(B2)</f>
        <v>21602.22222222223</v>
      </c>
      <c r="K7" s="549"/>
      <c r="L7" s="377"/>
      <c r="N7" s="382">
        <v>11359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'8'!F8</f>
        <v>99453.79</v>
      </c>
      <c r="F8" s="475">
        <v>122127</v>
      </c>
      <c r="G8" s="689">
        <f>F8-E8</f>
        <v>22673.210000000006</v>
      </c>
      <c r="H8" s="679">
        <f>G8+'8'!H8</f>
        <v>195405</v>
      </c>
      <c r="I8" s="686">
        <v>12000</v>
      </c>
      <c r="J8" s="681">
        <f>H8/DAY(B2)</f>
        <v>21711.666666666668</v>
      </c>
      <c r="K8" s="549"/>
      <c r="L8" s="425"/>
      <c r="M8" s="440"/>
      <c r="N8" s="382">
        <v>11487</v>
      </c>
    </row>
    <row r="9" spans="1:14">
      <c r="A9" s="687" t="s">
        <v>133</v>
      </c>
      <c r="B9" s="688"/>
      <c r="C9" s="688"/>
      <c r="D9" s="637" t="s">
        <v>131</v>
      </c>
      <c r="E9" s="633">
        <f>'8'!F9</f>
        <v>2199177.2999999998</v>
      </c>
      <c r="F9" s="478">
        <v>2221033</v>
      </c>
      <c r="G9" s="702">
        <f t="shared" ref="G9:G12" si="0">F9-E9</f>
        <v>21855.700000000186</v>
      </c>
      <c r="H9" s="679">
        <f>G9+'8'!H9</f>
        <v>190031</v>
      </c>
      <c r="I9" s="690">
        <f>I7-J7</f>
        <v>-9602.2222222222299</v>
      </c>
      <c r="J9" s="681">
        <f>H9/DAY(B2)</f>
        <v>21114.555555555555</v>
      </c>
      <c r="K9" s="428"/>
      <c r="L9" s="377"/>
      <c r="N9" s="382">
        <v>11077</v>
      </c>
    </row>
    <row r="10" spans="1:14">
      <c r="A10" s="676" t="s">
        <v>134</v>
      </c>
      <c r="B10" s="677"/>
      <c r="C10" s="677"/>
      <c r="D10" s="637" t="s">
        <v>131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135</v>
      </c>
      <c r="B11" s="677"/>
      <c r="C11" s="677"/>
      <c r="D11" s="637" t="s">
        <v>131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136</v>
      </c>
      <c r="B12" s="677"/>
      <c r="C12" s="677"/>
      <c r="D12" s="637" t="s">
        <v>131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21855.700000000186</v>
      </c>
      <c r="H13" s="679">
        <f>G13+'8'!H13</f>
        <v>190031</v>
      </c>
      <c r="I13" s="695">
        <f>G7-G13</f>
        <v>721.73999999981606</v>
      </c>
      <c r="J13" s="681">
        <f>H13/DAY(B2)</f>
        <v>21114.555555555555</v>
      </c>
      <c r="K13" s="428"/>
      <c r="L13" s="377"/>
      <c r="N13" s="382">
        <v>11077</v>
      </c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7" t="s">
        <v>139</v>
      </c>
      <c r="B15" s="1178"/>
      <c r="C15" s="1178"/>
      <c r="D15" s="1179" t="s">
        <v>140</v>
      </c>
      <c r="E15" s="700">
        <f>'8'!F15</f>
        <v>1709867.16</v>
      </c>
      <c r="F15" s="700">
        <v>1710698</v>
      </c>
      <c r="G15" s="678">
        <f>(F15-E15)</f>
        <v>830.84000000008382</v>
      </c>
      <c r="H15" s="1172">
        <f>G15+'8'!H15</f>
        <v>7015</v>
      </c>
      <c r="I15" s="1173">
        <v>800</v>
      </c>
      <c r="J15" s="1174">
        <f>H15/DAY(B2)</f>
        <v>779.44444444444446</v>
      </c>
      <c r="K15" s="1166"/>
      <c r="L15" s="1167"/>
      <c r="M15" s="1168"/>
      <c r="N15" s="1169">
        <v>330.54600000008941</v>
      </c>
    </row>
    <row r="16" spans="1:14">
      <c r="A16" s="1170"/>
      <c r="B16" s="1171"/>
      <c r="C16" s="1171"/>
      <c r="D16" s="1164"/>
      <c r="E16" s="1165"/>
      <c r="F16" s="1165"/>
      <c r="G16" s="1175"/>
      <c r="H16" s="1172"/>
      <c r="I16" s="1176">
        <f>I15-J15</f>
        <v>20.555555555555543</v>
      </c>
      <c r="J16" s="1174"/>
      <c r="K16" s="1166"/>
      <c r="L16" s="1167"/>
      <c r="M16" s="1168"/>
      <c r="N16" s="1169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'8'!F18</f>
        <v>10</v>
      </c>
      <c r="F18" s="478">
        <v>13</v>
      </c>
      <c r="G18" s="694">
        <f>F18*10</f>
        <v>130</v>
      </c>
      <c r="H18" s="679">
        <f>G18+'8'!H18</f>
        <v>1160</v>
      </c>
      <c r="I18" s="680">
        <v>65</v>
      </c>
      <c r="J18" s="681">
        <f>H18/DAY(B2)</f>
        <v>128.88888888888889</v>
      </c>
      <c r="K18" s="428"/>
      <c r="L18" s="377"/>
      <c r="N18" s="382">
        <v>0</v>
      </c>
    </row>
    <row r="19" spans="1:14" ht="27.75">
      <c r="A19" s="1607" t="s">
        <v>70</v>
      </c>
      <c r="B19" s="1608"/>
      <c r="C19" s="1609"/>
      <c r="D19" s="637" t="s">
        <v>143</v>
      </c>
      <c r="E19" s="634">
        <f>'8'!F19</f>
        <v>141981</v>
      </c>
      <c r="F19" s="478">
        <v>142042</v>
      </c>
      <c r="G19" s="689">
        <f t="shared" ref="G19" si="1">F19-E19</f>
        <v>61</v>
      </c>
      <c r="H19" s="679">
        <f>G19+'8'!H19</f>
        <v>547</v>
      </c>
      <c r="I19" s="696"/>
      <c r="J19" s="681">
        <f>H19/DAY(B2)</f>
        <v>60.777777777777779</v>
      </c>
      <c r="K19" s="428"/>
      <c r="L19" s="377"/>
      <c r="N19" s="382">
        <v>55</v>
      </c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191</v>
      </c>
      <c r="H20" s="679">
        <f>G20+'8'!H20</f>
        <v>1707</v>
      </c>
      <c r="I20" s="698">
        <f>I18-J20</f>
        <v>-124.66666666666666</v>
      </c>
      <c r="J20" s="681">
        <f>H20/DAY(B2)</f>
        <v>189.66666666666666</v>
      </c>
      <c r="K20" s="428"/>
      <c r="L20" s="377"/>
      <c r="N20" s="382">
        <v>55</v>
      </c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39" t="s">
        <v>148</v>
      </c>
      <c r="B23" s="589"/>
      <c r="C23" s="589"/>
      <c r="D23" s="523" t="s">
        <v>147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22673.210000000006</v>
      </c>
      <c r="F27" s="501">
        <v>9</v>
      </c>
      <c r="G27" s="502">
        <f>E27*F27</f>
        <v>204058.89000000007</v>
      </c>
      <c r="H27" s="460">
        <f>G27+'8'!H27</f>
        <v>1758645</v>
      </c>
      <c r="I27" s="503"/>
      <c r="J27" s="552">
        <f>H27/DAY(B2)</f>
        <v>195405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830.84000000008382</v>
      </c>
      <c r="F28" s="501">
        <v>52</v>
      </c>
      <c r="G28" s="502">
        <f>E28*F28</f>
        <v>43203.680000004359</v>
      </c>
      <c r="H28" s="460">
        <f>G28+'8'!H28</f>
        <v>364780</v>
      </c>
      <c r="I28" s="505"/>
      <c r="J28" s="552">
        <f>H28/DAY(B2)</f>
        <v>40531.111111111109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G30+'8'!H30</f>
        <v>79278</v>
      </c>
      <c r="I30" s="505"/>
      <c r="J30" s="552">
        <f>H30/DAY(B2)</f>
        <v>8808.6666666666661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130</v>
      </c>
      <c r="F31" s="501">
        <v>80</v>
      </c>
      <c r="G31" s="502">
        <f>E31*F31</f>
        <v>10400</v>
      </c>
      <c r="H31" s="460">
        <f>G31+'8'!H31</f>
        <v>87200</v>
      </c>
      <c r="I31" s="505"/>
      <c r="J31" s="552">
        <f>H31/DAY(B2)</f>
        <v>9688.8888888888887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266568.57000000443</v>
      </c>
      <c r="H32" s="460">
        <f>G32+'8'!H32</f>
        <v>2289902.9999999995</v>
      </c>
      <c r="I32" s="509"/>
      <c r="J32" s="552">
        <f>H32/DAY(B2)</f>
        <v>254433.66666666663</v>
      </c>
      <c r="K32" s="373"/>
      <c r="L32" s="443"/>
      <c r="N32" s="382">
        <v>133809.11000000313</v>
      </c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v>1052231.6000000001</v>
      </c>
      <c r="F35" s="510">
        <v>1055491</v>
      </c>
      <c r="G35" s="473">
        <f t="shared" ref="G35:G46" si="3">F35-E35</f>
        <v>3259.3999999999069</v>
      </c>
      <c r="H35" s="460">
        <f>G35+'8'!H35</f>
        <v>26777</v>
      </c>
      <c r="I35" s="455"/>
      <c r="J35" s="552">
        <f>H35/DAY(B2)</f>
        <v>2975.2222222222222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v>26638.62</v>
      </c>
      <c r="F36" s="510">
        <v>27451</v>
      </c>
      <c r="G36" s="473">
        <f t="shared" si="3"/>
        <v>812.38000000000102</v>
      </c>
      <c r="H36" s="460">
        <f>G36+'8'!H36</f>
        <v>6990</v>
      </c>
      <c r="I36" s="455"/>
      <c r="J36" s="552">
        <f>H36/DAY(B2)</f>
        <v>776.66666666666663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v>188689.01</v>
      </c>
      <c r="F37" s="510">
        <v>190295</v>
      </c>
      <c r="G37" s="473">
        <f t="shared" si="3"/>
        <v>1605.9899999999907</v>
      </c>
      <c r="H37" s="460">
        <f>G37+'8'!H37</f>
        <v>13725</v>
      </c>
      <c r="I37" s="455"/>
      <c r="J37" s="552">
        <f>H37/DAY(B2)</f>
        <v>1525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469">
        <v>211263.29</v>
      </c>
      <c r="F38" s="469">
        <v>212858</v>
      </c>
      <c r="G38" s="473">
        <f t="shared" si="3"/>
        <v>1594.7099999999919</v>
      </c>
      <c r="H38" s="460">
        <f>G38+'8'!H38</f>
        <v>14399</v>
      </c>
      <c r="I38" s="455"/>
      <c r="J38" s="552">
        <f>H38/DAY(B2)</f>
        <v>1599.8888888888889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v>434381.19</v>
      </c>
      <c r="F39" s="510">
        <v>437989</v>
      </c>
      <c r="G39" s="473">
        <f t="shared" si="3"/>
        <v>3607.8099999999977</v>
      </c>
      <c r="H39" s="460">
        <f>G39+'8'!H39</f>
        <v>33125</v>
      </c>
      <c r="I39" s="455"/>
      <c r="J39" s="552">
        <f>H39/DAY(B2)</f>
        <v>3680.5555555555557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v>10218.9</v>
      </c>
      <c r="F40" s="510">
        <v>10716</v>
      </c>
      <c r="G40" s="473">
        <f t="shared" si="3"/>
        <v>497.10000000000036</v>
      </c>
      <c r="H40" s="460">
        <f>G40+'8'!H40</f>
        <v>3603</v>
      </c>
      <c r="I40" s="455"/>
      <c r="J40" s="552">
        <f>H40/DAY(B2)</f>
        <v>400.33333333333331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1055">
        <v>359557.35</v>
      </c>
      <c r="F41" s="510">
        <v>361686</v>
      </c>
      <c r="G41" s="473">
        <f t="shared" si="3"/>
        <v>2128.6500000000233</v>
      </c>
      <c r="H41" s="460">
        <f>G41+'8'!H41</f>
        <v>32044</v>
      </c>
      <c r="I41" s="455"/>
      <c r="J41" s="552">
        <f>H41/DAY(B2)</f>
        <v>3560.4444444444443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v>59210.080000000002</v>
      </c>
      <c r="F42" s="510">
        <v>59210</v>
      </c>
      <c r="G42" s="473">
        <f t="shared" si="3"/>
        <v>-8.000000000174623E-2</v>
      </c>
      <c r="H42" s="460">
        <f>G42+'8'!H42</f>
        <v>11.110000000000582</v>
      </c>
      <c r="I42" s="455"/>
      <c r="J42" s="552">
        <f>H42/DAY(B2)</f>
        <v>1.2344444444445091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v>1141436.5</v>
      </c>
      <c r="F43" s="510">
        <v>1144352</v>
      </c>
      <c r="G43" s="473">
        <f t="shared" si="3"/>
        <v>2915.5</v>
      </c>
      <c r="H43" s="460">
        <f>G43+'8'!H43</f>
        <v>23900</v>
      </c>
      <c r="I43" s="455"/>
      <c r="J43" s="552">
        <f>H43/DAY(B2)</f>
        <v>2655.5555555555557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16421.459999999912</v>
      </c>
      <c r="H47" s="460">
        <f>G47+'8'!H47</f>
        <v>155375.10999999999</v>
      </c>
      <c r="I47" s="455"/>
      <c r="J47" s="552">
        <f>H47/DAY(B2)</f>
        <v>17263.90111111111</v>
      </c>
      <c r="K47" s="428"/>
      <c r="L47" s="377"/>
      <c r="N47" s="382">
        <v>9418.6299999999901</v>
      </c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1055">
        <v>260732.13</v>
      </c>
      <c r="F49" s="510">
        <v>260732</v>
      </c>
      <c r="G49" s="473">
        <f t="shared" ref="G49:G58" si="4">F49-E49</f>
        <v>-0.13000000000465661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v>543624.69999999995</v>
      </c>
      <c r="F50" s="510">
        <v>544606</v>
      </c>
      <c r="G50" s="473">
        <f t="shared" si="4"/>
        <v>981.30000000004657</v>
      </c>
      <c r="H50" s="460">
        <f>G50+'8'!H50</f>
        <v>9943</v>
      </c>
      <c r="I50" s="455"/>
      <c r="J50" s="552">
        <f>H50/DAY(B2)</f>
        <v>1104.7777777777778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1055"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1055"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1055"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4"/>
        <v>0</v>
      </c>
      <c r="H54" s="460">
        <f>G54+'8'!H54</f>
        <v>0</v>
      </c>
      <c r="I54" s="455"/>
      <c r="J54" s="552">
        <f>H54/DAY(B2)</f>
        <v>0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653">
        <v>141395.53</v>
      </c>
      <c r="F55" s="653">
        <v>146505</v>
      </c>
      <c r="G55" s="652">
        <f t="shared" si="4"/>
        <v>5109.4700000000012</v>
      </c>
      <c r="H55" s="705">
        <f>G55+'8'!H55</f>
        <v>28869</v>
      </c>
      <c r="I55" s="706"/>
      <c r="J55" s="707">
        <f>H55/DAY(B2)</f>
        <v>3207.6666666666665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653">
        <v>649118.23</v>
      </c>
      <c r="F56" s="653">
        <v>649129</v>
      </c>
      <c r="G56" s="473">
        <f t="shared" si="4"/>
        <v>10.770000000018626</v>
      </c>
      <c r="H56" s="460">
        <f>G56+'8'!H56</f>
        <v>97</v>
      </c>
      <c r="I56" s="455"/>
      <c r="J56" s="552">
        <f>H56/DAY(B2)</f>
        <v>10.777777777777779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1055"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653">
        <v>55203.97</v>
      </c>
      <c r="F58" s="653">
        <v>55395</v>
      </c>
      <c r="G58" s="473">
        <f t="shared" si="4"/>
        <v>191.02999999999884</v>
      </c>
      <c r="H58" s="460">
        <f>G58+'8'!H58</f>
        <v>1409</v>
      </c>
      <c r="I58" s="455"/>
      <c r="J58" s="552">
        <f>H58/DAY(B2)</f>
        <v>156.55555555555554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6292.4400000000605</v>
      </c>
      <c r="H59" s="460">
        <f>G59+'8'!H59</f>
        <v>40317.609999999928</v>
      </c>
      <c r="I59" s="455">
        <f>G7-G60</f>
        <v>-136.45999999997002</v>
      </c>
      <c r="J59" s="552">
        <f>H59/DAY(B2)</f>
        <v>4479.7344444444361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22713.899999999972</v>
      </c>
      <c r="H60" s="460">
        <f>G60+'8'!H60</f>
        <v>195692.71999999994</v>
      </c>
      <c r="I60" s="455">
        <f>G13-G60</f>
        <v>-858.19999999978609</v>
      </c>
      <c r="J60" s="552">
        <f>H60/DAY(B2)</f>
        <v>21743.635555555549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40" t="s">
        <v>98</v>
      </c>
      <c r="B64" s="1541"/>
      <c r="C64" s="1542"/>
      <c r="D64" s="523" t="s">
        <v>186</v>
      </c>
      <c r="E64" s="514">
        <f>'8'!F64</f>
        <v>173248.39</v>
      </c>
      <c r="F64" s="478">
        <v>173664</v>
      </c>
      <c r="G64" s="473">
        <f t="shared" si="5"/>
        <v>415.60999999998603</v>
      </c>
      <c r="H64" s="460">
        <f>G64+'8'!H64</f>
        <v>3642</v>
      </c>
      <c r="I64" s="480"/>
      <c r="J64" s="552">
        <f>H64/DAY(B2)</f>
        <v>404.66666666666669</v>
      </c>
      <c r="K64" s="428"/>
      <c r="L64" s="377"/>
      <c r="N64" s="382">
        <v>161.90400000000227</v>
      </c>
    </row>
    <row r="65" spans="1:14" ht="27.75">
      <c r="A65" s="1540" t="s">
        <v>99</v>
      </c>
      <c r="B65" s="1541"/>
      <c r="C65" s="1542"/>
      <c r="D65" s="523" t="s">
        <v>186</v>
      </c>
      <c r="E65" s="514">
        <f>'8'!F65</f>
        <v>173250.75</v>
      </c>
      <c r="F65" s="651">
        <v>173592</v>
      </c>
      <c r="G65" s="473">
        <f t="shared" si="5"/>
        <v>341.25</v>
      </c>
      <c r="H65" s="460">
        <f>G65+'8'!H65</f>
        <v>3290</v>
      </c>
      <c r="I65" s="489"/>
      <c r="J65" s="552">
        <f>H65/DAY(B2)</f>
        <v>365.55555555555554</v>
      </c>
      <c r="K65" s="428"/>
      <c r="L65" s="377"/>
      <c r="N65" s="382">
        <v>215.74700000000303</v>
      </c>
    </row>
    <row r="66" spans="1:14" ht="27.75">
      <c r="A66" s="1540" t="s">
        <v>100</v>
      </c>
      <c r="B66" s="1541"/>
      <c r="C66" s="1542"/>
      <c r="D66" s="523" t="s">
        <v>186</v>
      </c>
      <c r="E66" s="514">
        <f>'8'!F66</f>
        <v>71312.03</v>
      </c>
      <c r="F66" s="651">
        <v>71709</v>
      </c>
      <c r="G66" s="473">
        <f t="shared" si="5"/>
        <v>396.97000000000116</v>
      </c>
      <c r="H66" s="460">
        <f>G66+'8'!H66</f>
        <v>3739</v>
      </c>
      <c r="I66" s="480"/>
      <c r="J66" s="552">
        <f>H66/DAY(B2)</f>
        <v>415.44444444444446</v>
      </c>
      <c r="K66" s="428"/>
      <c r="L66" s="377"/>
      <c r="N66" s="382">
        <v>243.63500000000204</v>
      </c>
    </row>
    <row r="67" spans="1:14" ht="27.75">
      <c r="A67" s="1540" t="s">
        <v>101</v>
      </c>
      <c r="B67" s="1541"/>
      <c r="C67" s="1542"/>
      <c r="D67" s="523" t="s">
        <v>186</v>
      </c>
      <c r="E67" s="514">
        <f>'8'!F67</f>
        <v>268821.13</v>
      </c>
      <c r="F67" s="478">
        <v>269257</v>
      </c>
      <c r="G67" s="473">
        <f t="shared" si="5"/>
        <v>435.86999999999534</v>
      </c>
      <c r="H67" s="460">
        <f>G67+'8'!H67</f>
        <v>4298</v>
      </c>
      <c r="I67" s="489"/>
      <c r="J67" s="552">
        <f>H67/DAY(B2)</f>
        <v>477.55555555555554</v>
      </c>
      <c r="K67" s="429"/>
      <c r="L67" s="377"/>
      <c r="N67" s="382">
        <v>74.99199999999837</v>
      </c>
    </row>
    <row r="68" spans="1:14" ht="27.75">
      <c r="A68" s="1540" t="s">
        <v>102</v>
      </c>
      <c r="B68" s="1541"/>
      <c r="C68" s="1542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40" t="s">
        <v>103</v>
      </c>
      <c r="B69" s="1541"/>
      <c r="C69" s="1542"/>
      <c r="D69" s="523" t="s">
        <v>186</v>
      </c>
      <c r="E69" s="514">
        <f>'8'!F69</f>
        <v>89459.06</v>
      </c>
      <c r="F69" s="478">
        <v>89745</v>
      </c>
      <c r="G69" s="473">
        <f t="shared" si="5"/>
        <v>285.94000000000233</v>
      </c>
      <c r="H69" s="460">
        <f>G69+'8'!H69</f>
        <v>2230</v>
      </c>
      <c r="I69" s="516"/>
      <c r="J69" s="552">
        <f>H69/DAY(B2)</f>
        <v>247.77777777777777</v>
      </c>
      <c r="K69" s="431"/>
      <c r="L69" s="377"/>
      <c r="N69" s="382">
        <v>12.727999999999156</v>
      </c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'8'!F72</f>
        <v>856316</v>
      </c>
      <c r="F72" s="654">
        <v>856330</v>
      </c>
      <c r="G72" s="473">
        <f t="shared" ref="G72:G84" si="6">F72-E72</f>
        <v>14</v>
      </c>
      <c r="H72" s="460">
        <f>G72+'8'!H72</f>
        <v>108</v>
      </c>
      <c r="I72" s="480"/>
      <c r="J72" s="552">
        <f>H72/DAY(B2)</f>
        <v>12</v>
      </c>
      <c r="K72" s="431"/>
      <c r="L72" s="377"/>
      <c r="N72" s="382">
        <v>11</v>
      </c>
    </row>
    <row r="73" spans="1:14" ht="27.75">
      <c r="A73" s="1540" t="s">
        <v>191</v>
      </c>
      <c r="B73" s="1541"/>
      <c r="C73" s="1542"/>
      <c r="D73" s="523" t="s">
        <v>186</v>
      </c>
      <c r="E73" s="519">
        <f>'8'!F73</f>
        <v>885982</v>
      </c>
      <c r="F73" s="655">
        <v>885983</v>
      </c>
      <c r="G73" s="652">
        <f t="shared" si="6"/>
        <v>1</v>
      </c>
      <c r="H73" s="460">
        <f>G73+'8'!H73</f>
        <v>11</v>
      </c>
      <c r="I73" s="480"/>
      <c r="J73" s="552">
        <f>H73/DAY(B2)</f>
        <v>1.2222222222222223</v>
      </c>
      <c r="K73" s="430"/>
      <c r="L73" s="377"/>
      <c r="N73" s="382">
        <v>2</v>
      </c>
    </row>
    <row r="74" spans="1:14" ht="27.75">
      <c r="A74" s="1540" t="s">
        <v>192</v>
      </c>
      <c r="B74" s="1541"/>
      <c r="C74" s="1542"/>
      <c r="D74" s="523" t="s">
        <v>186</v>
      </c>
      <c r="E74" s="519">
        <f>'8'!F74</f>
        <v>88705.3</v>
      </c>
      <c r="F74" s="654">
        <v>88707</v>
      </c>
      <c r="G74" s="473">
        <f t="shared" si="6"/>
        <v>1.6999999999970896</v>
      </c>
      <c r="H74" s="460">
        <f>G74+'8'!H74</f>
        <v>11</v>
      </c>
      <c r="I74" s="480"/>
      <c r="J74" s="552">
        <f>H74/DAY(B2)</f>
        <v>1.2222222222222223</v>
      </c>
      <c r="K74" s="431"/>
      <c r="L74" s="377"/>
      <c r="N74" s="382">
        <v>11</v>
      </c>
    </row>
    <row r="75" spans="1:14" ht="27.75">
      <c r="A75" s="1543" t="s">
        <v>193</v>
      </c>
      <c r="B75" s="1544"/>
      <c r="C75" s="1545"/>
      <c r="D75" s="523" t="s">
        <v>186</v>
      </c>
      <c r="E75" s="519">
        <f>'8'!F75</f>
        <v>17248.810000000001</v>
      </c>
      <c r="F75" s="655">
        <v>17420</v>
      </c>
      <c r="G75" s="473">
        <f t="shared" si="6"/>
        <v>171.18999999999869</v>
      </c>
      <c r="H75" s="460">
        <f>G75+'8'!H75</f>
        <v>1349</v>
      </c>
      <c r="I75" s="480"/>
      <c r="J75" s="552">
        <f>H75/DAY(B2)</f>
        <v>149.88888888888889</v>
      </c>
      <c r="K75" s="430"/>
      <c r="L75" s="377"/>
      <c r="N75" s="382">
        <v>62</v>
      </c>
    </row>
    <row r="76" spans="1:14" ht="27.75">
      <c r="A76" s="1543" t="s">
        <v>194</v>
      </c>
      <c r="B76" s="1544"/>
      <c r="C76" s="1545"/>
      <c r="D76" s="523" t="s">
        <v>186</v>
      </c>
      <c r="E76" s="519">
        <f>'8'!F76</f>
        <v>9870.58</v>
      </c>
      <c r="F76" s="655">
        <v>9935</v>
      </c>
      <c r="G76" s="473">
        <f t="shared" si="6"/>
        <v>64.420000000000073</v>
      </c>
      <c r="H76" s="460">
        <f>G76+'8'!H76</f>
        <v>599</v>
      </c>
      <c r="I76" s="505"/>
      <c r="J76" s="552">
        <f>H76/DAY(B2)</f>
        <v>66.555555555555557</v>
      </c>
      <c r="K76" s="430"/>
      <c r="L76" s="377"/>
      <c r="N76" s="382">
        <v>4</v>
      </c>
    </row>
    <row r="77" spans="1:14" ht="27.75">
      <c r="A77" s="1540" t="s">
        <v>195</v>
      </c>
      <c r="B77" s="1541"/>
      <c r="C77" s="1542"/>
      <c r="D77" s="523" t="s">
        <v>186</v>
      </c>
      <c r="E77" s="519">
        <f>'8'!F77</f>
        <v>704858</v>
      </c>
      <c r="F77" s="655">
        <v>704946</v>
      </c>
      <c r="G77" s="652">
        <f t="shared" si="6"/>
        <v>88</v>
      </c>
      <c r="H77" s="460">
        <f>G77+'8'!H77</f>
        <v>572</v>
      </c>
      <c r="I77" s="505"/>
      <c r="J77" s="552">
        <f>H77/DAY(B2)</f>
        <v>63.555555555555557</v>
      </c>
      <c r="K77" s="430"/>
      <c r="L77" s="377"/>
      <c r="N77" s="382">
        <v>19</v>
      </c>
    </row>
    <row r="78" spans="1:14" ht="27.75">
      <c r="A78" s="1142" t="s">
        <v>196</v>
      </c>
      <c r="B78" s="1115"/>
      <c r="C78" s="1115"/>
      <c r="D78" s="523" t="s">
        <v>186</v>
      </c>
      <c r="E78" s="519">
        <f>'8'!F78</f>
        <v>676318</v>
      </c>
      <c r="F78" s="656">
        <v>676389</v>
      </c>
      <c r="G78" s="473">
        <f t="shared" si="6"/>
        <v>71</v>
      </c>
      <c r="H78" s="460">
        <f>G78+'8'!H78</f>
        <v>975</v>
      </c>
      <c r="I78" s="505"/>
      <c r="J78" s="552">
        <f>H78/DAY(B2)</f>
        <v>108.33333333333333</v>
      </c>
      <c r="K78" s="430"/>
      <c r="L78" s="377"/>
      <c r="N78" s="382">
        <v>31</v>
      </c>
    </row>
    <row r="79" spans="1:14" ht="27.75">
      <c r="A79" s="1543" t="s">
        <v>91</v>
      </c>
      <c r="B79" s="1544"/>
      <c r="C79" s="1545"/>
      <c r="D79" s="524" t="s">
        <v>186</v>
      </c>
      <c r="E79" s="519">
        <f>'8'!F79</f>
        <v>836612</v>
      </c>
      <c r="F79" s="656">
        <v>836762</v>
      </c>
      <c r="G79" s="473">
        <f t="shared" si="6"/>
        <v>150</v>
      </c>
      <c r="H79" s="460">
        <f>G79+'8'!H79</f>
        <v>1346</v>
      </c>
      <c r="I79" s="505"/>
      <c r="J79" s="552">
        <f>H79/DAY(B2)</f>
        <v>149.55555555555554</v>
      </c>
      <c r="K79" s="430"/>
      <c r="L79" s="377"/>
      <c r="N79" s="382">
        <v>100</v>
      </c>
    </row>
    <row r="80" spans="1:14" ht="27.75">
      <c r="A80" s="1543" t="s">
        <v>197</v>
      </c>
      <c r="B80" s="1544"/>
      <c r="C80" s="1545"/>
      <c r="D80" s="524" t="s">
        <v>186</v>
      </c>
      <c r="E80" s="519">
        <f>'8'!F80</f>
        <v>542254.28</v>
      </c>
      <c r="F80" s="1309">
        <v>542695</v>
      </c>
      <c r="G80" s="473">
        <f t="shared" si="6"/>
        <v>440.71999999997206</v>
      </c>
      <c r="H80" s="460">
        <f>G80+'8'!H80</f>
        <v>3682</v>
      </c>
      <c r="I80" s="505"/>
      <c r="J80" s="552">
        <f>H80/DAY(B2)</f>
        <v>409.11111111111109</v>
      </c>
      <c r="K80" s="430"/>
      <c r="L80" s="377"/>
      <c r="N80" s="382">
        <v>158.95999999996275</v>
      </c>
    </row>
    <row r="81" spans="1:15" ht="27.75">
      <c r="A81" s="1543" t="s">
        <v>198</v>
      </c>
      <c r="B81" s="1544"/>
      <c r="C81" s="1545"/>
      <c r="D81" s="524" t="s">
        <v>186</v>
      </c>
      <c r="E81" s="519">
        <f>'8'!F81</f>
        <v>644437.64</v>
      </c>
      <c r="F81" s="655">
        <v>644662</v>
      </c>
      <c r="G81" s="473">
        <f t="shared" si="6"/>
        <v>224.35999999998603</v>
      </c>
      <c r="H81" s="460">
        <f>G81+'8'!H81</f>
        <v>1677</v>
      </c>
      <c r="I81" s="505"/>
      <c r="J81" s="552">
        <f>H81/DAY(B2)</f>
        <v>186.33333333333334</v>
      </c>
      <c r="K81" s="430"/>
      <c r="L81" s="377"/>
      <c r="N81" s="382">
        <v>79.199999999953434</v>
      </c>
    </row>
    <row r="82" spans="1:15" ht="27.75">
      <c r="A82" s="1543" t="s">
        <v>92</v>
      </c>
      <c r="B82" s="1544"/>
      <c r="C82" s="1545"/>
      <c r="D82" s="485" t="s">
        <v>131</v>
      </c>
      <c r="E82" s="519">
        <f>'8'!F82</f>
        <v>108847.85</v>
      </c>
      <c r="F82" s="651">
        <v>108870</v>
      </c>
      <c r="G82" s="473">
        <f t="shared" si="6"/>
        <v>22.149999999994179</v>
      </c>
      <c r="H82" s="460">
        <f>G82+'8'!H82</f>
        <v>189</v>
      </c>
      <c r="I82" s="486"/>
      <c r="J82" s="552">
        <f>H82/DAY(B2)</f>
        <v>21</v>
      </c>
      <c r="K82" s="430"/>
      <c r="L82" s="377"/>
      <c r="N82" s="382">
        <v>30.149999999994179</v>
      </c>
    </row>
    <row r="83" spans="1:15" ht="27.75">
      <c r="A83" s="1543" t="s">
        <v>199</v>
      </c>
      <c r="B83" s="1544"/>
      <c r="C83" s="1545"/>
      <c r="D83" s="620" t="s">
        <v>131</v>
      </c>
      <c r="E83" s="519">
        <f>'8'!F83</f>
        <v>29478</v>
      </c>
      <c r="F83" s="511">
        <v>29717</v>
      </c>
      <c r="G83" s="473">
        <f t="shared" si="6"/>
        <v>239</v>
      </c>
      <c r="H83" s="460">
        <f>G83+'8'!H83</f>
        <v>2166</v>
      </c>
      <c r="I83" s="481"/>
      <c r="J83" s="552">
        <f>H83/DAY(B2)</f>
        <v>240.66666666666666</v>
      </c>
      <c r="K83" s="429"/>
      <c r="L83" s="377"/>
      <c r="N83" s="382">
        <v>316</v>
      </c>
    </row>
    <row r="84" spans="1:15">
      <c r="A84" s="1143" t="s">
        <v>200</v>
      </c>
      <c r="B84" s="571"/>
      <c r="C84" s="571"/>
      <c r="D84" s="478" t="s">
        <v>131</v>
      </c>
      <c r="E84" s="519">
        <f>'8'!F84</f>
        <v>529638</v>
      </c>
      <c r="F84" s="627">
        <v>530494</v>
      </c>
      <c r="G84" s="473">
        <f t="shared" si="6"/>
        <v>856</v>
      </c>
      <c r="H84" s="460">
        <f>G84+'8'!H84</f>
        <v>7414</v>
      </c>
      <c r="I84" s="481"/>
      <c r="J84" s="552">
        <f>H84/DAY(B2)</f>
        <v>823.77777777777783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2343.5399999999481</v>
      </c>
      <c r="H85" s="460">
        <f>G85+'8'!H85</f>
        <v>20099</v>
      </c>
      <c r="I85" s="481"/>
      <c r="J85" s="552">
        <f>H85/DAY(B2)</f>
        <v>2233.2222222222222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'8'!F86</f>
        <v>462018.92</v>
      </c>
      <c r="F86" s="638">
        <v>462039</v>
      </c>
      <c r="G86" s="705">
        <f t="shared" ref="G86:G91" si="7">F86-E86</f>
        <v>20.080000000016298</v>
      </c>
      <c r="H86" s="460">
        <f>G86+'8'!H86</f>
        <v>49.799999999988358</v>
      </c>
      <c r="I86" s="652"/>
      <c r="J86" s="707">
        <f>H86/DAY(B2)</f>
        <v>5.53333333333204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'8'!F87</f>
        <v>82320</v>
      </c>
      <c r="F87" s="647">
        <v>82351</v>
      </c>
      <c r="G87" s="705">
        <f t="shared" si="7"/>
        <v>31</v>
      </c>
      <c r="H87" s="460">
        <f>G87+'8'!H87</f>
        <v>62.399999999994179</v>
      </c>
      <c r="I87" s="652"/>
      <c r="J87" s="707">
        <f>H87/DAY(B2)</f>
        <v>6.933333333332687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'8'!F88</f>
        <v>156256.66</v>
      </c>
      <c r="F88" s="638">
        <v>156373</v>
      </c>
      <c r="G88" s="705">
        <f t="shared" si="7"/>
        <v>116.33999999999651</v>
      </c>
      <c r="H88" s="460">
        <f>G88+'8'!H88</f>
        <v>267.91000000000349</v>
      </c>
      <c r="I88" s="652"/>
      <c r="J88" s="707">
        <f>H88/DAY(B2)</f>
        <v>29.767777777778164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'8'!F89</f>
        <v>66275.600000000006</v>
      </c>
      <c r="F89" s="647">
        <v>66329</v>
      </c>
      <c r="G89" s="705">
        <f t="shared" si="7"/>
        <v>53.399999999994179</v>
      </c>
      <c r="H89" s="460">
        <f>G89+'8'!H89</f>
        <v>229.5</v>
      </c>
      <c r="I89" s="652"/>
      <c r="J89" s="707">
        <f>H89/DAY(B2)</f>
        <v>25.5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'8'!F90</f>
        <v>3374.9</v>
      </c>
      <c r="F90" s="647">
        <v>3379</v>
      </c>
      <c r="G90" s="705">
        <f t="shared" si="7"/>
        <v>4.0999999999999091</v>
      </c>
      <c r="H90" s="460">
        <f>G90+'8'!H90</f>
        <v>11.099999999999909</v>
      </c>
      <c r="I90" s="652"/>
      <c r="J90" s="707">
        <f>H90/DAY(B2)</f>
        <v>1.2333333333333232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'8'!F91</f>
        <v>28315.7</v>
      </c>
      <c r="F91" s="647">
        <v>28324</v>
      </c>
      <c r="G91" s="705">
        <f t="shared" si="7"/>
        <v>8.2999999999992724</v>
      </c>
      <c r="H91" s="460">
        <f>G91+'8'!H91</f>
        <v>17.240000000001601</v>
      </c>
      <c r="I91" s="652"/>
      <c r="J91" s="707">
        <f>H91/DAY(B2)</f>
        <v>1.9155555555557333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'8'!F93</f>
        <v>248155</v>
      </c>
      <c r="F93" s="478">
        <v>248242</v>
      </c>
      <c r="G93" s="473">
        <f t="shared" ref="G93:G94" si="8">F93-E93</f>
        <v>87</v>
      </c>
      <c r="H93" s="460">
        <f>G93+'8'!H93</f>
        <v>890</v>
      </c>
      <c r="I93" s="480"/>
      <c r="J93" s="552">
        <f>H93/DAY(B2)</f>
        <v>98.888888888888886</v>
      </c>
      <c r="K93" s="429"/>
      <c r="L93" s="377"/>
      <c r="N93" s="382">
        <v>0</v>
      </c>
    </row>
    <row r="94" spans="1:15" ht="27.75">
      <c r="A94" s="1559" t="s">
        <v>206</v>
      </c>
      <c r="B94" s="1560"/>
      <c r="C94" s="1561"/>
      <c r="D94" s="523" t="s">
        <v>143</v>
      </c>
      <c r="E94" s="484">
        <f>'8'!F94</f>
        <v>190361</v>
      </c>
      <c r="F94" s="478">
        <v>190452</v>
      </c>
      <c r="G94" s="473">
        <f t="shared" si="8"/>
        <v>91</v>
      </c>
      <c r="H94" s="460">
        <f>G94+'8'!H94</f>
        <v>998</v>
      </c>
      <c r="I94" s="480"/>
      <c r="J94" s="552">
        <f>H94/DAY(B2)</f>
        <v>110.88888888888889</v>
      </c>
      <c r="K94" s="380"/>
      <c r="L94" s="377"/>
      <c r="N94" s="382">
        <v>71</v>
      </c>
    </row>
    <row r="95" spans="1:15">
      <c r="A95" s="1591" t="s">
        <v>207</v>
      </c>
      <c r="B95" s="1592"/>
      <c r="C95" s="1593"/>
      <c r="D95" s="523"/>
      <c r="E95" s="484">
        <f>'8'!F95</f>
        <v>0</v>
      </c>
      <c r="F95" s="478"/>
      <c r="G95" s="473">
        <f>G93+G94</f>
        <v>178</v>
      </c>
      <c r="H95" s="460">
        <f>G95+'8'!H95</f>
        <v>1702</v>
      </c>
      <c r="I95" s="480"/>
      <c r="J95" s="552">
        <f>H95/DAY(B2)</f>
        <v>189.11111111111111</v>
      </c>
      <c r="K95" s="380"/>
      <c r="L95" s="377"/>
      <c r="N95" s="382">
        <v>71</v>
      </c>
    </row>
    <row r="96" spans="1:15" ht="27.75">
      <c r="A96" s="1559" t="s">
        <v>208</v>
      </c>
      <c r="B96" s="1560"/>
      <c r="C96" s="1561"/>
      <c r="D96" s="523" t="s">
        <v>143</v>
      </c>
      <c r="E96" s="484">
        <f>'8'!F96</f>
        <v>416769</v>
      </c>
      <c r="F96" s="478">
        <v>416862</v>
      </c>
      <c r="G96" s="473">
        <f t="shared" ref="G96:G101" si="9">F96-E96</f>
        <v>93</v>
      </c>
      <c r="H96" s="460">
        <f>G96+'8'!H96</f>
        <v>863</v>
      </c>
      <c r="I96" s="480"/>
      <c r="J96" s="552">
        <f>H96/DAY(B2)</f>
        <v>95.888888888888886</v>
      </c>
      <c r="K96" s="380"/>
      <c r="L96" s="377"/>
      <c r="N96" s="382">
        <v>26</v>
      </c>
    </row>
    <row r="97" spans="1:14" ht="27.75">
      <c r="A97" s="1139" t="s">
        <v>209</v>
      </c>
      <c r="B97" s="1140"/>
      <c r="C97" s="1140"/>
      <c r="D97" s="523" t="s">
        <v>143</v>
      </c>
      <c r="E97" s="484">
        <f>'8'!F97</f>
        <v>103326</v>
      </c>
      <c r="F97" s="478">
        <v>103345</v>
      </c>
      <c r="G97" s="473">
        <f t="shared" si="9"/>
        <v>19</v>
      </c>
      <c r="H97" s="460">
        <f>G97+'8'!H97</f>
        <v>182</v>
      </c>
      <c r="I97" s="480"/>
      <c r="J97" s="552">
        <f>H97/DAY(B2)</f>
        <v>20.222222222222221</v>
      </c>
      <c r="K97" s="427"/>
      <c r="L97" s="377"/>
      <c r="N97" s="382">
        <v>11</v>
      </c>
    </row>
    <row r="98" spans="1:14" ht="27.75">
      <c r="A98" s="1139" t="s">
        <v>210</v>
      </c>
      <c r="B98" s="1140"/>
      <c r="C98" s="1140"/>
      <c r="D98" s="523" t="s">
        <v>143</v>
      </c>
      <c r="E98" s="484">
        <f>'8'!F98</f>
        <v>98842</v>
      </c>
      <c r="F98" s="478">
        <v>98866</v>
      </c>
      <c r="G98" s="473">
        <f t="shared" si="9"/>
        <v>24</v>
      </c>
      <c r="H98" s="460">
        <f>G98+'8'!H98</f>
        <v>209</v>
      </c>
      <c r="I98" s="480"/>
      <c r="J98" s="552">
        <f>H98/DAY(B2)</f>
        <v>23.222222222222221</v>
      </c>
      <c r="K98" s="432"/>
      <c r="L98" s="377"/>
      <c r="N98" s="382">
        <v>9</v>
      </c>
    </row>
    <row r="99" spans="1:14" ht="27.75">
      <c r="A99" s="1139" t="s">
        <v>211</v>
      </c>
      <c r="B99" s="1140"/>
      <c r="C99" s="1140"/>
      <c r="D99" s="523" t="s">
        <v>143</v>
      </c>
      <c r="E99" s="484">
        <f>'8'!F99</f>
        <v>150670</v>
      </c>
      <c r="F99" s="478">
        <v>150684</v>
      </c>
      <c r="G99" s="473">
        <f t="shared" si="9"/>
        <v>14</v>
      </c>
      <c r="H99" s="460">
        <f>G99+'8'!H99</f>
        <v>279</v>
      </c>
      <c r="I99" s="480"/>
      <c r="J99" s="552">
        <f>H99/DAY(B2)</f>
        <v>31</v>
      </c>
      <c r="K99" s="380"/>
      <c r="L99" s="377"/>
      <c r="N99" s="704">
        <v>24</v>
      </c>
    </row>
    <row r="100" spans="1:14" ht="27.75">
      <c r="A100" s="1139" t="s">
        <v>212</v>
      </c>
      <c r="B100" s="1140"/>
      <c r="C100" s="1140"/>
      <c r="D100" s="523" t="s">
        <v>143</v>
      </c>
      <c r="E100" s="484">
        <f>'8'!F100</f>
        <v>7873</v>
      </c>
      <c r="F100" s="478">
        <v>7882</v>
      </c>
      <c r="G100" s="473">
        <f t="shared" si="9"/>
        <v>9</v>
      </c>
      <c r="H100" s="460">
        <f>G100+'8'!H100</f>
        <v>85</v>
      </c>
      <c r="I100" s="480"/>
      <c r="J100" s="552">
        <f>H100/DAY(B2)</f>
        <v>9.4444444444444446</v>
      </c>
      <c r="K100" s="380"/>
      <c r="L100" s="377"/>
      <c r="N100" s="382">
        <v>3</v>
      </c>
    </row>
    <row r="101" spans="1:14" ht="27.75">
      <c r="A101" s="1139" t="s">
        <v>213</v>
      </c>
      <c r="B101" s="1140"/>
      <c r="C101" s="1140"/>
      <c r="D101" s="523" t="s">
        <v>143</v>
      </c>
      <c r="E101" s="484">
        <f>'8'!F101</f>
        <v>5737</v>
      </c>
      <c r="F101" s="478">
        <v>5749</v>
      </c>
      <c r="G101" s="473">
        <f t="shared" si="9"/>
        <v>12</v>
      </c>
      <c r="H101" s="460">
        <f>G101+'8'!H101</f>
        <v>75</v>
      </c>
      <c r="I101" s="480"/>
      <c r="J101" s="552">
        <f>H101/DAY(B2)</f>
        <v>8.3333333333333339</v>
      </c>
      <c r="K101" s="380"/>
      <c r="L101" s="377"/>
      <c r="N101" s="382">
        <v>0</v>
      </c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171</v>
      </c>
      <c r="H102" s="460">
        <f>G102+'8'!H102</f>
        <v>1693</v>
      </c>
      <c r="I102" s="526"/>
      <c r="J102" s="552">
        <f>H102/DAY(B2)</f>
        <v>188.11111111111111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'8'!F105</f>
        <v>7767</v>
      </c>
      <c r="F105" s="658">
        <v>7767</v>
      </c>
      <c r="G105" s="532">
        <f>F105-E105</f>
        <v>0</v>
      </c>
      <c r="H105" s="460">
        <f>G105+'8'!H105</f>
        <v>130</v>
      </c>
      <c r="I105" s="532"/>
      <c r="J105" s="558">
        <f>H105/DAY(B2)</f>
        <v>14.444444444444445</v>
      </c>
      <c r="N105" s="382">
        <v>0</v>
      </c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'8'!F106</f>
        <v>36225</v>
      </c>
      <c r="F106" s="659">
        <v>36232</v>
      </c>
      <c r="G106" s="532">
        <f t="shared" ref="G106:G107" si="10">F106-E106</f>
        <v>7</v>
      </c>
      <c r="H106" s="460">
        <f>G106+'8'!H106</f>
        <v>70</v>
      </c>
      <c r="I106" s="532"/>
      <c r="J106" s="558">
        <f>H106/DAY(B2)</f>
        <v>7.7777777777777777</v>
      </c>
      <c r="N106" s="382">
        <v>0</v>
      </c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'8'!F107</f>
        <v>19853</v>
      </c>
      <c r="F107" s="783">
        <v>19859</v>
      </c>
      <c r="G107" s="532">
        <f t="shared" si="10"/>
        <v>6</v>
      </c>
      <c r="H107" s="460">
        <f>G107+'8'!H107</f>
        <v>37</v>
      </c>
      <c r="I107" s="532"/>
      <c r="J107" s="558">
        <f>H107/DAY(B2)</f>
        <v>4.1111111111111107</v>
      </c>
      <c r="N107" s="382">
        <v>4</v>
      </c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13</v>
      </c>
      <c r="H108" s="460">
        <f>G108+'8'!H108</f>
        <v>237</v>
      </c>
      <c r="I108" s="532"/>
      <c r="J108" s="558">
        <f>H108/DAY(B2)</f>
        <v>26.333333333333332</v>
      </c>
      <c r="N108" s="382">
        <v>4</v>
      </c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'8'!F110</f>
        <v>65473</v>
      </c>
      <c r="F110" s="659">
        <v>65562</v>
      </c>
      <c r="G110" s="532">
        <f>F110-E110</f>
        <v>89</v>
      </c>
      <c r="H110" s="460">
        <f>G110+'8'!H110</f>
        <v>719</v>
      </c>
      <c r="I110" s="532"/>
      <c r="J110" s="558">
        <f>H110/DAY(B2)</f>
        <v>79.888888888888886</v>
      </c>
      <c r="N110" s="382">
        <v>40</v>
      </c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'8'!F111</f>
        <v>33395</v>
      </c>
      <c r="F111" s="659">
        <v>33421</v>
      </c>
      <c r="G111" s="532">
        <f t="shared" ref="G111:G112" si="11">F111-E111</f>
        <v>26</v>
      </c>
      <c r="H111" s="460">
        <f>G111+'8'!H111</f>
        <v>292</v>
      </c>
      <c r="I111" s="532"/>
      <c r="J111" s="558">
        <f>H111/DAY(B2)</f>
        <v>32.444444444444443</v>
      </c>
      <c r="N111" s="382">
        <v>43</v>
      </c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'8'!F112</f>
        <v>4621.3</v>
      </c>
      <c r="F112" s="659">
        <v>4621.3</v>
      </c>
      <c r="G112" s="532">
        <f t="shared" si="11"/>
        <v>0</v>
      </c>
      <c r="H112" s="460">
        <f>G112+'8'!H112</f>
        <v>0.3000000000001819</v>
      </c>
      <c r="I112" s="532"/>
      <c r="J112" s="558">
        <f>H112/DAY(B2)</f>
        <v>3.3333333333353546E-2</v>
      </c>
      <c r="N112" s="382">
        <v>0</v>
      </c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115</v>
      </c>
      <c r="H113" s="460">
        <f>G113+'8'!H113</f>
        <v>1011.3000000000002</v>
      </c>
      <c r="I113" s="532"/>
      <c r="J113" s="558">
        <f>H113/DAY(B2)</f>
        <v>112.36666666666669</v>
      </c>
      <c r="N113" s="382">
        <v>83</v>
      </c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'8'!F115</f>
        <v>12112</v>
      </c>
      <c r="F115" s="659">
        <v>12124</v>
      </c>
      <c r="G115" s="534">
        <f>F115-E115</f>
        <v>12</v>
      </c>
      <c r="H115" s="460">
        <f>G115+'8'!H115</f>
        <v>111</v>
      </c>
      <c r="I115" s="532"/>
      <c r="J115" s="558">
        <f>H115/DAY(B2)</f>
        <v>12.333333333333334</v>
      </c>
      <c r="N115" s="382">
        <v>5</v>
      </c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'8'!F116</f>
        <v>8611</v>
      </c>
      <c r="F116" s="659">
        <v>8617</v>
      </c>
      <c r="G116" s="534">
        <f t="shared" ref="G116:G117" si="12">F116-E116</f>
        <v>6</v>
      </c>
      <c r="H116" s="460">
        <f>G116+'8'!H116</f>
        <v>62</v>
      </c>
      <c r="I116" s="532"/>
      <c r="J116" s="558">
        <f>H116/DAY(B2)</f>
        <v>6.8888888888888893</v>
      </c>
      <c r="N116" s="382">
        <v>3</v>
      </c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18</v>
      </c>
      <c r="H118" s="460">
        <f>G118+'8'!H118</f>
        <v>173</v>
      </c>
      <c r="I118" s="534"/>
      <c r="J118" s="558">
        <f>H118/DAY(B2)</f>
        <v>19.222222222222221</v>
      </c>
      <c r="N118" s="382">
        <v>8</v>
      </c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148</v>
      </c>
      <c r="G119" s="536">
        <f>SUM(G19+G93)</f>
        <v>148</v>
      </c>
      <c r="H119" s="460">
        <f>G119+'8'!H119</f>
        <v>1437</v>
      </c>
      <c r="I119" s="535"/>
      <c r="J119" s="559">
        <f>H119/DAY(B2)</f>
        <v>159.66666666666666</v>
      </c>
      <c r="N119" s="382">
        <v>55</v>
      </c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157</v>
      </c>
      <c r="G120" s="536">
        <f>SUM(G96,G97,G98,G100,G101)</f>
        <v>157</v>
      </c>
      <c r="H120" s="460">
        <f>G120+'8'!H120</f>
        <v>1414</v>
      </c>
      <c r="I120" s="535"/>
      <c r="J120" s="559">
        <f>H120/DAY(B2)</f>
        <v>157.11111111111111</v>
      </c>
      <c r="N120" s="382">
        <v>49</v>
      </c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115</v>
      </c>
      <c r="G121" s="534">
        <f>SUM(G113)</f>
        <v>115</v>
      </c>
      <c r="H121" s="460">
        <f>G121+'8'!H121</f>
        <v>1011.3000000000002</v>
      </c>
      <c r="I121" s="535"/>
      <c r="J121" s="559">
        <f>H121/DAY(B2)</f>
        <v>112.36666666666669</v>
      </c>
      <c r="N121" s="382">
        <v>83</v>
      </c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'8'!F124</f>
        <v>841867.13</v>
      </c>
      <c r="F124" s="478">
        <v>842183</v>
      </c>
      <c r="G124" s="473">
        <f t="shared" ref="G124:G128" si="13">F124-E124</f>
        <v>315.86999999999534</v>
      </c>
      <c r="H124" s="460">
        <f>G124+'8'!H124</f>
        <v>2513</v>
      </c>
      <c r="I124" s="526"/>
      <c r="J124" s="552">
        <f>H124/DAY(B2)</f>
        <v>279.22222222222223</v>
      </c>
      <c r="K124" s="380"/>
      <c r="L124" s="377"/>
      <c r="N124" s="382">
        <v>111.45100000000093</v>
      </c>
    </row>
    <row r="125" spans="1:14" ht="27.75">
      <c r="A125" s="1139" t="s">
        <v>231</v>
      </c>
      <c r="B125" s="1140"/>
      <c r="C125" s="1140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40" t="s">
        <v>232</v>
      </c>
      <c r="B126" s="1541"/>
      <c r="C126" s="1542"/>
      <c r="D126" s="523" t="s">
        <v>140</v>
      </c>
      <c r="E126" s="478">
        <f>'8'!F126</f>
        <v>149241.91</v>
      </c>
      <c r="F126" s="478">
        <v>149340</v>
      </c>
      <c r="G126" s="473">
        <f t="shared" si="13"/>
        <v>98.089999999996508</v>
      </c>
      <c r="H126" s="460">
        <f>G126+'8'!H126</f>
        <v>743</v>
      </c>
      <c r="I126" s="526"/>
      <c r="J126" s="552">
        <f>H126/DAY(B2)</f>
        <v>82.555555555555557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0"/>
      <c r="C127" s="1140"/>
      <c r="D127" s="523" t="s">
        <v>140</v>
      </c>
      <c r="E127" s="478">
        <f>'8'!F127</f>
        <v>32354.2</v>
      </c>
      <c r="F127" s="626">
        <v>32392</v>
      </c>
      <c r="G127" s="473">
        <f t="shared" si="13"/>
        <v>37.799999999999272</v>
      </c>
      <c r="H127" s="460">
        <f>G127+'8'!H127</f>
        <v>321</v>
      </c>
      <c r="I127" s="526"/>
      <c r="J127" s="552">
        <f>H127/DAY(B2)</f>
        <v>35.666666666666664</v>
      </c>
      <c r="K127" s="380"/>
      <c r="L127" s="377"/>
      <c r="N127" s="382">
        <v>0</v>
      </c>
    </row>
    <row r="128" spans="1:14" ht="27.75">
      <c r="A128" s="609" t="s">
        <v>234</v>
      </c>
      <c r="B128" s="1140"/>
      <c r="C128" s="1140"/>
      <c r="D128" s="523" t="s">
        <v>140</v>
      </c>
      <c r="E128" s="478">
        <f>'8'!F128</f>
        <v>9031.2000000000007</v>
      </c>
      <c r="F128" s="626">
        <v>9034</v>
      </c>
      <c r="G128" s="473">
        <f t="shared" si="13"/>
        <v>2.7999999999992724</v>
      </c>
      <c r="H128" s="460">
        <f>G128+'8'!H128</f>
        <v>22</v>
      </c>
      <c r="I128" s="480"/>
      <c r="J128" s="552">
        <f>H128/DAY(B2)</f>
        <v>2.4444444444444446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376.28000000009342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39" t="s">
        <v>239</v>
      </c>
      <c r="B132" s="1140"/>
      <c r="C132" s="1140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39" t="s">
        <v>240</v>
      </c>
      <c r="B133" s="1140"/>
      <c r="C133" s="1140"/>
      <c r="D133" s="523" t="s">
        <v>238</v>
      </c>
      <c r="E133" s="484">
        <f>'8'!F133</f>
        <v>40583.379999999997</v>
      </c>
      <c r="F133" s="626">
        <v>40594</v>
      </c>
      <c r="G133" s="473">
        <f t="shared" si="14"/>
        <v>10.620000000002619</v>
      </c>
      <c r="H133" s="460">
        <f>G133+'8'!H133</f>
        <v>141</v>
      </c>
      <c r="I133" s="480"/>
      <c r="J133" s="552">
        <f>H133/DAY(B2)</f>
        <v>15.666666666666666</v>
      </c>
      <c r="N133" s="382">
        <v>22</v>
      </c>
    </row>
    <row r="134" spans="1:14" ht="27.75">
      <c r="A134" s="1139" t="s">
        <v>241</v>
      </c>
      <c r="B134" s="1140"/>
      <c r="C134" s="1140"/>
      <c r="D134" s="523" t="s">
        <v>238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10.430000000002622</v>
      </c>
      <c r="J134" s="552">
        <f>H134/DAY(B2)</f>
        <v>0</v>
      </c>
      <c r="N134" s="382">
        <v>0</v>
      </c>
    </row>
    <row r="135" spans="1:14" ht="27.75">
      <c r="A135" s="1139" t="s">
        <v>242</v>
      </c>
      <c r="B135" s="1140"/>
      <c r="C135" s="1140"/>
      <c r="D135" s="523" t="s">
        <v>238</v>
      </c>
      <c r="E135" s="484">
        <f>'8'!F135</f>
        <v>42079.15</v>
      </c>
      <c r="F135" s="626">
        <v>42103</v>
      </c>
      <c r="G135" s="473">
        <f t="shared" si="14"/>
        <v>23.849999999998545</v>
      </c>
      <c r="H135" s="460">
        <f>G135+'8'!H135</f>
        <v>131</v>
      </c>
      <c r="I135" s="480"/>
      <c r="J135" s="552">
        <f>H135/DAY(B2)</f>
        <v>14.555555555555555</v>
      </c>
      <c r="N135" s="382">
        <v>0</v>
      </c>
    </row>
    <row r="136" spans="1:14" ht="27.75">
      <c r="A136" s="1139" t="s">
        <v>243</v>
      </c>
      <c r="B136" s="1140"/>
      <c r="C136" s="1140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39" t="s">
        <v>244</v>
      </c>
      <c r="B137" s="1140"/>
      <c r="C137" s="1140"/>
      <c r="D137" s="523" t="s">
        <v>238</v>
      </c>
      <c r="E137" s="484">
        <f>'8'!F137</f>
        <v>22942.28</v>
      </c>
      <c r="F137" s="651">
        <v>22950.35</v>
      </c>
      <c r="G137" s="473">
        <f t="shared" si="14"/>
        <v>8.069999999999709</v>
      </c>
      <c r="H137" s="460">
        <f>G137+'8'!H137</f>
        <v>58.859999999996944</v>
      </c>
      <c r="I137" s="480">
        <f>G135+G136+G137</f>
        <v>31.919999999998254</v>
      </c>
      <c r="J137" s="552">
        <f>H137/DAY(B2)</f>
        <v>6.5399999999996608</v>
      </c>
      <c r="N137" s="382">
        <v>-0.2999999999992724</v>
      </c>
    </row>
    <row r="138" spans="1:14" ht="27.75">
      <c r="A138" s="1139" t="s">
        <v>245</v>
      </c>
      <c r="B138" s="1140"/>
      <c r="C138" s="1140"/>
      <c r="D138" s="523" t="s">
        <v>238</v>
      </c>
      <c r="E138" s="484">
        <f>'8'!F138</f>
        <v>25095.02</v>
      </c>
      <c r="F138" s="651">
        <v>25095.200000000001</v>
      </c>
      <c r="G138" s="473">
        <f t="shared" si="14"/>
        <v>0.18000000000029104</v>
      </c>
      <c r="H138" s="460">
        <f>G138+'8'!H138</f>
        <v>3.8100000000013097</v>
      </c>
      <c r="I138" s="480"/>
      <c r="J138" s="552">
        <f>H138/DAY(B2)</f>
        <v>0.42333333333347883</v>
      </c>
      <c r="N138" s="382">
        <v>0</v>
      </c>
    </row>
    <row r="139" spans="1:14" ht="27.75">
      <c r="A139" s="1139" t="s">
        <v>246</v>
      </c>
      <c r="B139" s="1140"/>
      <c r="C139" s="1140"/>
      <c r="D139" s="523" t="s">
        <v>238</v>
      </c>
      <c r="E139" s="484">
        <f>'8'!F139</f>
        <v>70514.289999999994</v>
      </c>
      <c r="F139" s="651">
        <v>70514.289999999994</v>
      </c>
      <c r="G139" s="473">
        <f t="shared" si="14"/>
        <v>0</v>
      </c>
      <c r="H139" s="460">
        <f>G139+'8'!H139</f>
        <v>0.66999999999825377</v>
      </c>
      <c r="I139" s="480">
        <f>G138+G139</f>
        <v>0.18000000000029104</v>
      </c>
      <c r="J139" s="552">
        <f>H139/DAY(B2)</f>
        <v>7.4444444444250413E-2</v>
      </c>
      <c r="N139" s="382">
        <v>9.7100000000064028</v>
      </c>
    </row>
    <row r="140" spans="1:14" ht="27.75">
      <c r="A140" s="1139" t="s">
        <v>247</v>
      </c>
      <c r="B140" s="1140"/>
      <c r="C140" s="1140"/>
      <c r="D140" s="523" t="s">
        <v>238</v>
      </c>
      <c r="E140" s="484">
        <f>'8'!F140</f>
        <v>2210.52</v>
      </c>
      <c r="F140" s="626">
        <v>2220.31</v>
      </c>
      <c r="G140" s="473">
        <f t="shared" si="14"/>
        <v>9.7899999999999636</v>
      </c>
      <c r="H140" s="460">
        <f>G140+'8'!H140</f>
        <v>91.130000000000109</v>
      </c>
      <c r="I140" s="542"/>
      <c r="J140" s="552">
        <f>H140/DAY(B2)</f>
        <v>10.125555555555568</v>
      </c>
      <c r="N140" s="382">
        <v>0</v>
      </c>
    </row>
    <row r="141" spans="1:14" ht="27.75">
      <c r="A141" s="1139" t="s">
        <v>248</v>
      </c>
      <c r="B141" s="1140"/>
      <c r="C141" s="1140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6174.7699999999022</v>
      </c>
      <c r="H143" s="460">
        <f>G143+'8'!H143</f>
        <v>50677</v>
      </c>
      <c r="I143" s="480"/>
      <c r="J143" s="552">
        <f>H143/DAY(B2)</f>
        <v>5630.7777777777774</v>
      </c>
      <c r="K143" s="380"/>
      <c r="L143" s="377"/>
      <c r="N143" s="382">
        <v>2912.0800000000163</v>
      </c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0.27349292036652079</v>
      </c>
      <c r="H144" s="460">
        <f>G144+'8'!H144</f>
        <v>2.3476796012859604</v>
      </c>
      <c r="I144" s="544"/>
      <c r="J144" s="552">
        <f>H144/DAY(B2)</f>
        <v>0.26085328903177341</v>
      </c>
      <c r="K144" s="380"/>
      <c r="L144" s="377"/>
      <c r="N144" s="382">
        <v>0.25636763799630391</v>
      </c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7248.8100000000413</v>
      </c>
      <c r="H145" s="460">
        <f>G145+'8'!H145</f>
        <v>61021.11</v>
      </c>
      <c r="I145" s="480"/>
      <c r="J145" s="552">
        <f>H145/DAY(B2)</f>
        <v>6780.123333333333</v>
      </c>
      <c r="K145" s="380"/>
      <c r="L145" s="377"/>
      <c r="N145" s="382">
        <v>2876.3199999999779</v>
      </c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0.32106430135569136</v>
      </c>
      <c r="H146" s="460">
        <f>G146+'8'!H146</f>
        <v>2.8213938894446127</v>
      </c>
      <c r="I146" s="544"/>
      <c r="J146" s="552">
        <f>H146/DAY(B2)</f>
        <v>0.3134882099382903</v>
      </c>
      <c r="K146" s="380"/>
      <c r="L146" s="377"/>
      <c r="N146" s="382">
        <v>0.25321947354520452</v>
      </c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3607.8099999999977</v>
      </c>
      <c r="H147" s="460">
        <f>G147+'8'!H147</f>
        <v>33124.669999999984</v>
      </c>
      <c r="I147" s="545"/>
      <c r="J147" s="552">
        <f>H147/DAY(B2)</f>
        <v>3680.518888888887</v>
      </c>
      <c r="K147" s="380"/>
      <c r="L147" s="377"/>
      <c r="N147" s="382">
        <v>2036.5859000000055</v>
      </c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0.15979712491761675</v>
      </c>
      <c r="H148" s="460">
        <f>G148+'8'!H148</f>
        <v>1.5358593191546794</v>
      </c>
      <c r="I148" s="545"/>
      <c r="J148" s="552">
        <f>H148/DAY(B2)</f>
        <v>0.17065103546163105</v>
      </c>
      <c r="N148" s="382">
        <v>0.17929271062593585</v>
      </c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1594.7099999999919</v>
      </c>
      <c r="H149" s="460">
        <f>G149+'8'!H149</f>
        <v>14399.069999999949</v>
      </c>
      <c r="I149" s="480"/>
      <c r="J149" s="552">
        <f>H149/DAY(B2)</f>
        <v>1599.8966666666611</v>
      </c>
      <c r="K149" s="381"/>
      <c r="N149" s="382">
        <v>1071.8899999999849</v>
      </c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7.0632897263816968E-2</v>
      </c>
      <c r="H150" s="460">
        <f>G150+'8'!H150</f>
        <v>0.66639480898645942</v>
      </c>
      <c r="I150" s="545"/>
      <c r="J150" s="552">
        <f>H150/DAY(B2)</f>
        <v>7.4043867665162161E-2</v>
      </c>
      <c r="N150" s="382">
        <v>9.4364820846904202E-2</v>
      </c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1793.6800000000476</v>
      </c>
      <c r="H151" s="460">
        <f>G151+'8'!H151</f>
        <v>16933</v>
      </c>
      <c r="I151" s="545"/>
      <c r="J151" s="552">
        <f>H151/DAY(B2)</f>
        <v>1881.4444444444443</v>
      </c>
      <c r="N151" s="382">
        <v>1124.1299999999901</v>
      </c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7.944567674634713E-2</v>
      </c>
      <c r="H152" s="460">
        <f>G152+'8'!H152</f>
        <v>0.78306151033477833</v>
      </c>
      <c r="I152" s="480"/>
      <c r="J152" s="552">
        <f>H152/DAY(B2)</f>
        <v>8.7006834481642037E-2</v>
      </c>
      <c r="N152" s="382">
        <v>9.8963817237432E-2</v>
      </c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1605.9899999999907</v>
      </c>
      <c r="H153" s="460">
        <f>G153+'8'!H153</f>
        <v>13724.869999999995</v>
      </c>
      <c r="I153" s="480"/>
      <c r="J153" s="552">
        <f>H153/DAY(B2)</f>
        <v>1524.985555555555</v>
      </c>
      <c r="N153" s="382">
        <v>1164.4599999999919</v>
      </c>
    </row>
    <row r="154" spans="1:14" ht="27" customHeight="1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7.1132511037566279E-2</v>
      </c>
      <c r="H154" s="460">
        <f>G154+'8'!H154</f>
        <v>0.63620057794312246</v>
      </c>
      <c r="I154" s="568"/>
      <c r="J154" s="569">
        <f>H154/DAY(B2)</f>
        <v>7.0688953104791383E-2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'8'!F161</f>
        <v>41484.370000000003</v>
      </c>
      <c r="F161" s="658">
        <v>41564</v>
      </c>
      <c r="G161" s="473">
        <f t="shared" ref="G161:G175" si="15">F161-E161</f>
        <v>79.629999999997381</v>
      </c>
    </row>
    <row r="162" spans="1:7">
      <c r="A162" s="784" t="s">
        <v>263</v>
      </c>
      <c r="B162" s="785"/>
      <c r="C162" s="785"/>
      <c r="D162" s="511" t="s">
        <v>186</v>
      </c>
      <c r="E162" s="1059">
        <f>'8'!F162</f>
        <v>111388.93</v>
      </c>
      <c r="F162" s="658">
        <v>111850</v>
      </c>
      <c r="G162" s="473">
        <f t="shared" si="15"/>
        <v>461.07000000000698</v>
      </c>
    </row>
    <row r="163" spans="1:7">
      <c r="A163" s="784" t="s">
        <v>264</v>
      </c>
      <c r="B163" s="785"/>
      <c r="C163" s="785"/>
      <c r="D163" s="511" t="s">
        <v>186</v>
      </c>
      <c r="E163" s="1059">
        <f>'8'!F163</f>
        <v>62879.360000000001</v>
      </c>
      <c r="F163" s="658">
        <v>63083</v>
      </c>
      <c r="G163" s="473">
        <f t="shared" si="15"/>
        <v>203.63999999999942</v>
      </c>
    </row>
    <row r="164" spans="1:7">
      <c r="A164" s="784" t="s">
        <v>265</v>
      </c>
      <c r="B164" s="785"/>
      <c r="C164" s="785"/>
      <c r="D164" s="511" t="s">
        <v>186</v>
      </c>
      <c r="E164" s="1059">
        <f>'8'!F164</f>
        <v>6920.82</v>
      </c>
      <c r="F164" s="658">
        <v>6933</v>
      </c>
      <c r="G164" s="473">
        <f t="shared" si="15"/>
        <v>12.180000000000291</v>
      </c>
    </row>
    <row r="165" spans="1:7">
      <c r="A165" s="786" t="s">
        <v>97</v>
      </c>
      <c r="B165" s="604"/>
      <c r="C165" s="604"/>
      <c r="D165" s="511" t="s">
        <v>186</v>
      </c>
      <c r="E165" s="1059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'8'!F167</f>
        <v>173248.39</v>
      </c>
      <c r="F167" s="514">
        <f t="shared" si="16"/>
        <v>173664</v>
      </c>
      <c r="G167" s="473">
        <f t="shared" si="15"/>
        <v>415.60999999998603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'8'!F168</f>
        <v>173250.75</v>
      </c>
      <c r="F168" s="514">
        <f t="shared" si="16"/>
        <v>173592</v>
      </c>
      <c r="G168" s="473">
        <f t="shared" si="15"/>
        <v>341.25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'8'!F169</f>
        <v>71312.03</v>
      </c>
      <c r="F169" s="514">
        <f t="shared" si="16"/>
        <v>71709</v>
      </c>
      <c r="G169" s="473">
        <f t="shared" si="15"/>
        <v>396.97000000000116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'8'!F170</f>
        <v>268821.13</v>
      </c>
      <c r="F170" s="514">
        <f t="shared" si="16"/>
        <v>269257</v>
      </c>
      <c r="G170" s="473">
        <f t="shared" si="15"/>
        <v>435.86999999999534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46" t="s">
        <v>103</v>
      </c>
      <c r="B172" s="1546"/>
      <c r="C172" s="1546"/>
      <c r="D172" s="523" t="s">
        <v>186</v>
      </c>
      <c r="E172" s="1059">
        <f>'8'!F172</f>
        <v>89459.06</v>
      </c>
      <c r="F172" s="514">
        <f t="shared" si="16"/>
        <v>89745</v>
      </c>
      <c r="G172" s="473">
        <f t="shared" si="15"/>
        <v>285.94000000000233</v>
      </c>
    </row>
    <row r="173" spans="1:7">
      <c r="A173" s="1587" t="s">
        <v>350</v>
      </c>
      <c r="B173" s="1550"/>
      <c r="C173" s="785"/>
      <c r="D173" s="523" t="s">
        <v>186</v>
      </c>
      <c r="E173" s="532">
        <v>19040.3</v>
      </c>
      <c r="F173" s="532">
        <v>19045</v>
      </c>
      <c r="G173" s="473">
        <f t="shared" si="15"/>
        <v>4.7000000000007276</v>
      </c>
    </row>
    <row r="174" spans="1:7">
      <c r="A174" s="1587" t="s">
        <v>350</v>
      </c>
      <c r="B174" s="1550"/>
      <c r="C174" s="785"/>
      <c r="D174" s="523" t="s">
        <v>186</v>
      </c>
      <c r="E174" s="532">
        <v>70386.100000000006</v>
      </c>
      <c r="F174" s="532">
        <v>70393</v>
      </c>
      <c r="G174" s="473">
        <f t="shared" si="15"/>
        <v>6.8999999999941792</v>
      </c>
    </row>
    <row r="175" spans="1:7">
      <c r="A175" s="1587" t="s">
        <v>351</v>
      </c>
      <c r="B175" s="1550"/>
      <c r="C175" s="785"/>
      <c r="D175" s="523" t="s">
        <v>186</v>
      </c>
      <c r="E175" s="532">
        <v>27663.1</v>
      </c>
      <c r="F175" s="532">
        <v>27667</v>
      </c>
      <c r="G175" s="473">
        <f t="shared" si="15"/>
        <v>3.9000000000014552</v>
      </c>
    </row>
    <row r="177" spans="6:6" ht="18.75" customHeight="1"/>
    <row r="178" spans="6:6" ht="18.75" customHeight="1">
      <c r="F178" s="663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44" zoomScale="40" zoomScaleNormal="55" zoomScaleSheetLayoutView="40" workbookViewId="0">
      <selection activeCell="F79" sqref="F7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374</v>
      </c>
      <c r="B2" s="1031">
        <v>44387</v>
      </c>
      <c r="C2" s="1141" t="s">
        <v>68</v>
      </c>
      <c r="D2" s="611">
        <v>0.55000000000000004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0"/>
    </row>
    <row r="3" spans="1:14" s="281" customFormat="1" ht="27">
      <c r="A3" s="570"/>
      <c r="B3" s="614"/>
      <c r="C3" s="1141" t="s">
        <v>119</v>
      </c>
      <c r="D3" s="612">
        <v>32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>
        <v>137397</v>
      </c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'9'!F7</f>
        <v>116373</v>
      </c>
      <c r="F7" s="455">
        <v>137397</v>
      </c>
      <c r="G7" s="678">
        <f>F7-E7</f>
        <v>21024</v>
      </c>
      <c r="H7" s="679">
        <f>G7+'9'!H7</f>
        <v>215444.00000000006</v>
      </c>
      <c r="I7" s="680">
        <v>12000</v>
      </c>
      <c r="J7" s="681">
        <f>H7/DAY(B2)</f>
        <v>21544.400000000005</v>
      </c>
      <c r="K7" s="549"/>
      <c r="L7" s="377"/>
      <c r="N7" s="711"/>
    </row>
    <row r="8" spans="1:14" ht="27.75" thickBot="1">
      <c r="A8" s="682" t="s">
        <v>132</v>
      </c>
      <c r="B8" s="683"/>
      <c r="C8" s="684"/>
      <c r="D8" s="685" t="s">
        <v>25</v>
      </c>
      <c r="E8" s="633">
        <f>'9'!F8</f>
        <v>122127</v>
      </c>
      <c r="F8" s="475">
        <v>143229</v>
      </c>
      <c r="G8" s="689">
        <f>F8-E8</f>
        <v>21102</v>
      </c>
      <c r="H8" s="679">
        <f>G8+'9'!H8</f>
        <v>216507</v>
      </c>
      <c r="I8" s="686">
        <v>12000</v>
      </c>
      <c r="J8" s="681">
        <f>H8/DAY(B2)</f>
        <v>21650.7</v>
      </c>
      <c r="K8" s="549"/>
      <c r="L8" s="425"/>
      <c r="M8" s="440"/>
      <c r="N8" s="712"/>
    </row>
    <row r="9" spans="1:14">
      <c r="A9" s="687" t="s">
        <v>133</v>
      </c>
      <c r="B9" s="688"/>
      <c r="C9" s="688"/>
      <c r="D9" s="637" t="s">
        <v>131</v>
      </c>
      <c r="E9" s="633">
        <f>'9'!F9</f>
        <v>2221033</v>
      </c>
      <c r="F9" s="478">
        <v>2241360</v>
      </c>
      <c r="G9" s="702">
        <f t="shared" ref="G9:G12" si="0">F9-E9</f>
        <v>20327</v>
      </c>
      <c r="H9" s="679">
        <f>G9+'9'!H9</f>
        <v>210358</v>
      </c>
      <c r="I9" s="690">
        <f>I7-J7</f>
        <v>-9544.4000000000051</v>
      </c>
      <c r="J9" s="681">
        <f>H9/DAY(B2)</f>
        <v>21035.8</v>
      </c>
      <c r="K9" s="428"/>
      <c r="L9" s="377"/>
      <c r="N9" s="713"/>
    </row>
    <row r="10" spans="1:14">
      <c r="A10" s="676" t="s">
        <v>134</v>
      </c>
      <c r="B10" s="677"/>
      <c r="C10" s="677"/>
      <c r="D10" s="637" t="s">
        <v>131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135</v>
      </c>
      <c r="B11" s="677"/>
      <c r="C11" s="677"/>
      <c r="D11" s="637" t="s">
        <v>131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136</v>
      </c>
      <c r="B12" s="677"/>
      <c r="C12" s="677"/>
      <c r="D12" s="637" t="s">
        <v>131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20327</v>
      </c>
      <c r="H13" s="679">
        <f>G13+'9'!H13</f>
        <v>210358</v>
      </c>
      <c r="I13" s="695">
        <f>G7-G13</f>
        <v>697</v>
      </c>
      <c r="J13" s="681">
        <f>H13/DAY(B2)</f>
        <v>21035.8</v>
      </c>
      <c r="K13" s="428"/>
      <c r="L13" s="377"/>
      <c r="N13" s="713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139</v>
      </c>
      <c r="B15" s="787"/>
      <c r="C15" s="787"/>
      <c r="D15" s="524" t="s">
        <v>140</v>
      </c>
      <c r="E15" s="485">
        <f>'9'!F15</f>
        <v>1710698</v>
      </c>
      <c r="F15" s="700">
        <v>1711527</v>
      </c>
      <c r="G15" s="664">
        <f>(F15-E15)</f>
        <v>829</v>
      </c>
      <c r="H15" s="486">
        <f>G15+'9'!H15</f>
        <v>7844</v>
      </c>
      <c r="I15" s="474">
        <v>800</v>
      </c>
      <c r="J15" s="553">
        <f>H15/DAY(B2)</f>
        <v>784.4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15.600000000000023</v>
      </c>
      <c r="J16" s="553"/>
      <c r="K16" s="428"/>
      <c r="L16" s="377"/>
      <c r="N16" s="713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07" t="s">
        <v>142</v>
      </c>
      <c r="B18" s="1608"/>
      <c r="C18" s="1609"/>
      <c r="D18" s="637" t="s">
        <v>143</v>
      </c>
      <c r="E18" s="634">
        <f>'9'!F18</f>
        <v>13</v>
      </c>
      <c r="F18" s="478">
        <v>16</v>
      </c>
      <c r="G18" s="694">
        <f>F18*10</f>
        <v>160</v>
      </c>
      <c r="H18" s="679">
        <f>G18+'9'!H18</f>
        <v>1320</v>
      </c>
      <c r="I18" s="680">
        <v>65</v>
      </c>
      <c r="J18" s="681">
        <f>H18/DAY(B2)</f>
        <v>132</v>
      </c>
      <c r="K18" s="428"/>
      <c r="L18" s="377"/>
      <c r="N18" s="713"/>
    </row>
    <row r="19" spans="1:14" ht="27.75">
      <c r="A19" s="1607" t="s">
        <v>70</v>
      </c>
      <c r="B19" s="1608"/>
      <c r="C19" s="1609"/>
      <c r="D19" s="637" t="s">
        <v>143</v>
      </c>
      <c r="E19" s="634">
        <f>'9'!F19</f>
        <v>142042</v>
      </c>
      <c r="F19" s="478">
        <v>142100</v>
      </c>
      <c r="G19" s="689">
        <f t="shared" ref="G19" si="1">F19-E19</f>
        <v>58</v>
      </c>
      <c r="H19" s="679">
        <f>G19+'9'!H19</f>
        <v>605</v>
      </c>
      <c r="I19" s="696"/>
      <c r="J19" s="681">
        <f>H19/DAY(B2)</f>
        <v>60.5</v>
      </c>
      <c r="K19" s="428"/>
      <c r="L19" s="377"/>
      <c r="N19" s="713"/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218</v>
      </c>
      <c r="H20" s="679">
        <f>G20+'9'!H20</f>
        <v>1925</v>
      </c>
      <c r="I20" s="698">
        <f>I18-J20</f>
        <v>-127.5</v>
      </c>
      <c r="J20" s="681">
        <f>H20/DAY(B2)</f>
        <v>192.5</v>
      </c>
      <c r="K20" s="428"/>
      <c r="L20" s="377"/>
      <c r="N20" s="713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39" t="s">
        <v>146</v>
      </c>
      <c r="B22" s="589"/>
      <c r="C22" s="589"/>
      <c r="D22" s="523" t="s">
        <v>147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39" t="s">
        <v>148</v>
      </c>
      <c r="B23" s="589"/>
      <c r="C23" s="589"/>
      <c r="D23" s="523" t="s">
        <v>147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21102</v>
      </c>
      <c r="F27" s="501">
        <v>9</v>
      </c>
      <c r="G27" s="502">
        <f>E27*F27</f>
        <v>189918</v>
      </c>
      <c r="H27" s="460">
        <f>G27+'9'!H27</f>
        <v>1948563</v>
      </c>
      <c r="I27" s="503"/>
      <c r="J27" s="552">
        <f>H27/DAY(B2)</f>
        <v>194856.3</v>
      </c>
      <c r="K27" s="373"/>
      <c r="L27" s="443"/>
      <c r="N27" s="713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829</v>
      </c>
      <c r="F28" s="501">
        <v>52</v>
      </c>
      <c r="G28" s="502">
        <f>E28*F28</f>
        <v>43108</v>
      </c>
      <c r="H28" s="460">
        <f>G28+'9'!H28</f>
        <v>407888</v>
      </c>
      <c r="I28" s="505"/>
      <c r="J28" s="552">
        <f>H28/DAY(B2)</f>
        <v>40788.800000000003</v>
      </c>
      <c r="K28" s="373"/>
      <c r="L28" s="443"/>
      <c r="N28" s="713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G30+'9'!H30</f>
        <v>87746</v>
      </c>
      <c r="I30" s="505"/>
      <c r="J30" s="552">
        <f>H30/DAY(B2)</f>
        <v>8774.6</v>
      </c>
      <c r="K30" s="373"/>
      <c r="L30" s="443"/>
      <c r="N30" s="713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160</v>
      </c>
      <c r="F31" s="501">
        <v>80</v>
      </c>
      <c r="G31" s="502">
        <f>E31*F31</f>
        <v>12800</v>
      </c>
      <c r="H31" s="460">
        <f>G31+'9'!H31</f>
        <v>100000</v>
      </c>
      <c r="I31" s="505"/>
      <c r="J31" s="552">
        <f>H31/DAY(B2)</f>
        <v>10000</v>
      </c>
      <c r="K31" s="373"/>
      <c r="L31" s="443"/>
      <c r="N31" s="713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254294</v>
      </c>
      <c r="H32" s="460">
        <f>G32+'9'!H32</f>
        <v>2544196.9999999995</v>
      </c>
      <c r="I32" s="509"/>
      <c r="J32" s="552">
        <f>H32/DAY(B2)</f>
        <v>254419.69999999995</v>
      </c>
      <c r="K32" s="373"/>
      <c r="L32" s="443"/>
      <c r="N32" s="713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3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1055491</v>
      </c>
      <c r="F35" s="1032">
        <v>1058597</v>
      </c>
      <c r="G35" s="473">
        <f t="shared" ref="G35:G46" si="3">F35-E35</f>
        <v>3106</v>
      </c>
      <c r="H35" s="460">
        <f>G35+'9'!H35</f>
        <v>29883</v>
      </c>
      <c r="I35" s="455"/>
      <c r="J35" s="552">
        <f>H35/DAY(B2)</f>
        <v>2988.3</v>
      </c>
      <c r="K35" s="428"/>
      <c r="L35" s="377"/>
      <c r="N35" s="713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27451</v>
      </c>
      <c r="F36" s="1032">
        <v>28220</v>
      </c>
      <c r="G36" s="473">
        <f t="shared" si="3"/>
        <v>769</v>
      </c>
      <c r="H36" s="460">
        <f>G36+'9'!H36</f>
        <v>7759</v>
      </c>
      <c r="I36" s="455"/>
      <c r="J36" s="552">
        <f>H36/DAY(B2)</f>
        <v>775.9</v>
      </c>
      <c r="K36" s="428"/>
      <c r="L36" s="377"/>
      <c r="N36" s="714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190295</v>
      </c>
      <c r="F37" s="1032">
        <v>191896</v>
      </c>
      <c r="G37" s="473">
        <f t="shared" si="3"/>
        <v>1601</v>
      </c>
      <c r="H37" s="460">
        <f>G37+'9'!H37</f>
        <v>15326</v>
      </c>
      <c r="I37" s="455"/>
      <c r="J37" s="552">
        <f>H37/DAY(B2)</f>
        <v>1532.6</v>
      </c>
      <c r="K37" s="428"/>
      <c r="L37" s="377"/>
      <c r="N37" s="714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212858</v>
      </c>
      <c r="F38" s="467">
        <v>214502</v>
      </c>
      <c r="G38" s="473">
        <f t="shared" si="3"/>
        <v>1644</v>
      </c>
      <c r="H38" s="460">
        <f>G38+'9'!H38</f>
        <v>16043</v>
      </c>
      <c r="I38" s="455"/>
      <c r="J38" s="552">
        <f>H38/DAY(B2)</f>
        <v>1604.3</v>
      </c>
      <c r="K38" s="428"/>
      <c r="L38" s="377"/>
      <c r="N38" s="713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437989</v>
      </c>
      <c r="F39" s="1032">
        <v>441569</v>
      </c>
      <c r="G39" s="473">
        <f t="shared" si="3"/>
        <v>3580</v>
      </c>
      <c r="H39" s="460">
        <f>G39+'9'!H39</f>
        <v>36705</v>
      </c>
      <c r="I39" s="455"/>
      <c r="J39" s="552">
        <f>H39/DAY(B2)</f>
        <v>3670.5</v>
      </c>
      <c r="K39" s="428"/>
      <c r="L39" s="377"/>
      <c r="N39" s="713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10716</v>
      </c>
      <c r="F40" s="1032">
        <v>10933</v>
      </c>
      <c r="G40" s="473">
        <f t="shared" si="3"/>
        <v>217</v>
      </c>
      <c r="H40" s="460">
        <f>G40+'9'!H40</f>
        <v>3820</v>
      </c>
      <c r="I40" s="455"/>
      <c r="J40" s="552">
        <f>H40/DAY(B2)</f>
        <v>382</v>
      </c>
      <c r="K40" s="429"/>
      <c r="L40" s="377"/>
      <c r="N40" s="713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361686</v>
      </c>
      <c r="F41" s="1032">
        <v>362199</v>
      </c>
      <c r="G41" s="473">
        <f>F41-E41</f>
        <v>513</v>
      </c>
      <c r="H41" s="460">
        <f>G41+'9'!H41</f>
        <v>32557</v>
      </c>
      <c r="I41" s="455"/>
      <c r="J41" s="552">
        <f>H41/DAY(B2)</f>
        <v>3255.7</v>
      </c>
      <c r="K41" s="428"/>
      <c r="L41" s="377"/>
      <c r="N41" s="713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</v>
      </c>
      <c r="F42" s="1032">
        <v>59210</v>
      </c>
      <c r="G42" s="473">
        <f t="shared" si="3"/>
        <v>0</v>
      </c>
      <c r="H42" s="460">
        <f>G42+'9'!H42</f>
        <v>11.110000000000582</v>
      </c>
      <c r="I42" s="455"/>
      <c r="J42" s="552">
        <f>H42/DAY(B2)</f>
        <v>1.1110000000000582</v>
      </c>
      <c r="K42" s="428"/>
      <c r="L42" s="377"/>
      <c r="N42" s="713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1144352</v>
      </c>
      <c r="F43" s="1032">
        <v>1146895</v>
      </c>
      <c r="G43" s="473">
        <f t="shared" si="3"/>
        <v>2543</v>
      </c>
      <c r="H43" s="460">
        <f>G43+'9'!H43</f>
        <v>26443</v>
      </c>
      <c r="I43" s="455"/>
      <c r="J43" s="552">
        <f>H43/DAY(B2)</f>
        <v>2644.3</v>
      </c>
      <c r="K43" s="428"/>
      <c r="L43" s="377"/>
      <c r="N43" s="713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13973</v>
      </c>
      <c r="H47" s="460">
        <f>G47+'9'!H47</f>
        <v>169348.11</v>
      </c>
      <c r="I47" s="455"/>
      <c r="J47" s="552">
        <f>H47/DAY(B2)</f>
        <v>16934.810999999998</v>
      </c>
      <c r="K47" s="428"/>
      <c r="L47" s="377"/>
      <c r="N47" s="713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</v>
      </c>
      <c r="F49" s="510">
        <v>260764</v>
      </c>
      <c r="G49" s="473">
        <f t="shared" ref="G49:G58" si="4">F49-E49</f>
        <v>32</v>
      </c>
      <c r="H49" s="460">
        <f>G49+'9'!H49</f>
        <v>32</v>
      </c>
      <c r="I49" s="455"/>
      <c r="J49" s="552">
        <f>H49/DAY(B2)</f>
        <v>3.2</v>
      </c>
      <c r="K49" s="428"/>
      <c r="L49" s="377"/>
      <c r="N49" s="713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544606</v>
      </c>
      <c r="F50" s="1032">
        <v>545699</v>
      </c>
      <c r="G50" s="473">
        <f t="shared" si="4"/>
        <v>1093</v>
      </c>
      <c r="H50" s="460">
        <f>G50+'9'!H50</f>
        <v>11036</v>
      </c>
      <c r="I50" s="455"/>
      <c r="J50" s="552">
        <f>H50/DAY(B2)</f>
        <v>1103.5999999999999</v>
      </c>
      <c r="K50" s="428"/>
      <c r="L50" s="377"/>
      <c r="N50" s="713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14967</v>
      </c>
      <c r="F54" s="510">
        <v>14967</v>
      </c>
      <c r="G54" s="473">
        <f t="shared" si="4"/>
        <v>0</v>
      </c>
      <c r="H54" s="460">
        <f>G54+'9'!H54</f>
        <v>0</v>
      </c>
      <c r="I54" s="455"/>
      <c r="J54" s="552">
        <f>H54/DAY(B2)</f>
        <v>0</v>
      </c>
      <c r="K54" s="428"/>
      <c r="L54" s="377"/>
      <c r="N54" s="713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146505</v>
      </c>
      <c r="F55" s="653">
        <v>152079</v>
      </c>
      <c r="G55" s="652">
        <f t="shared" si="4"/>
        <v>5574</v>
      </c>
      <c r="H55" s="705">
        <f>G55+'9'!H55</f>
        <v>34443</v>
      </c>
      <c r="I55" s="706"/>
      <c r="J55" s="707">
        <f>H55/DAY(B2)</f>
        <v>3444.3</v>
      </c>
      <c r="K55" s="428"/>
      <c r="L55" s="377"/>
      <c r="N55" s="713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649129</v>
      </c>
      <c r="F56" s="653">
        <v>649139</v>
      </c>
      <c r="G56" s="473">
        <f t="shared" si="4"/>
        <v>10</v>
      </c>
      <c r="H56" s="460">
        <f>G56+'9'!H56</f>
        <v>107</v>
      </c>
      <c r="I56" s="455"/>
      <c r="J56" s="552">
        <f>H56/DAY(B2)</f>
        <v>10.7</v>
      </c>
      <c r="K56" s="427"/>
      <c r="L56" s="377"/>
      <c r="N56" s="713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55395</v>
      </c>
      <c r="F58" s="653">
        <v>55589</v>
      </c>
      <c r="G58" s="473">
        <f t="shared" si="4"/>
        <v>194</v>
      </c>
      <c r="H58" s="460">
        <f>G58+'9'!H58</f>
        <v>1603</v>
      </c>
      <c r="I58" s="455"/>
      <c r="J58" s="552">
        <f>H58/DAY(B2)</f>
        <v>160.30000000000001</v>
      </c>
      <c r="K58" s="428"/>
      <c r="L58" s="377"/>
      <c r="N58" s="713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6903.3300000000163</v>
      </c>
      <c r="H59" s="460">
        <f>G59+'9'!H59</f>
        <v>47220.939999999944</v>
      </c>
      <c r="I59" s="455">
        <f>G7-G60</f>
        <v>147.6699999999837</v>
      </c>
      <c r="J59" s="552">
        <f>H59/DAY(B2)</f>
        <v>4722.0939999999946</v>
      </c>
      <c r="K59" s="428"/>
      <c r="L59" s="377"/>
      <c r="N59" s="713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20876.330000000016</v>
      </c>
      <c r="H60" s="460">
        <f>G60+'9'!H60</f>
        <v>216569.04999999996</v>
      </c>
      <c r="I60" s="455">
        <f>G13-G60</f>
        <v>-549.3300000000163</v>
      </c>
      <c r="J60" s="552">
        <f>H60/DAY(B2)</f>
        <v>21656.904999999995</v>
      </c>
      <c r="K60" s="428"/>
      <c r="L60" s="377"/>
      <c r="N60" s="713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40" t="s">
        <v>98</v>
      </c>
      <c r="B64" s="1541"/>
      <c r="C64" s="1542"/>
      <c r="D64" s="523" t="s">
        <v>186</v>
      </c>
      <c r="E64" s="514">
        <f>'9'!F64</f>
        <v>173664</v>
      </c>
      <c r="F64" s="478">
        <v>174038</v>
      </c>
      <c r="G64" s="473">
        <f t="shared" si="5"/>
        <v>374</v>
      </c>
      <c r="H64" s="460">
        <f>G64+'9'!H64</f>
        <v>4016</v>
      </c>
      <c r="I64" s="480"/>
      <c r="J64" s="552">
        <f>H64/DAY(B2)</f>
        <v>401.6</v>
      </c>
      <c r="K64" s="428"/>
      <c r="L64" s="377"/>
      <c r="N64" s="713"/>
    </row>
    <row r="65" spans="1:14" ht="27.75">
      <c r="A65" s="1540" t="s">
        <v>99</v>
      </c>
      <c r="B65" s="1541"/>
      <c r="C65" s="1542"/>
      <c r="D65" s="523" t="s">
        <v>186</v>
      </c>
      <c r="E65" s="514">
        <f>'9'!F65</f>
        <v>173592</v>
      </c>
      <c r="F65" s="651">
        <v>173988</v>
      </c>
      <c r="G65" s="473">
        <f t="shared" si="5"/>
        <v>396</v>
      </c>
      <c r="H65" s="460">
        <f>G65+'9'!H65</f>
        <v>3686</v>
      </c>
      <c r="I65" s="489"/>
      <c r="J65" s="552">
        <f>H65/DAY(B2)</f>
        <v>368.6</v>
      </c>
      <c r="K65" s="428"/>
      <c r="L65" s="377"/>
      <c r="N65" s="713"/>
    </row>
    <row r="66" spans="1:14" ht="27.75">
      <c r="A66" s="1540" t="s">
        <v>100</v>
      </c>
      <c r="B66" s="1541"/>
      <c r="C66" s="1542"/>
      <c r="D66" s="523" t="s">
        <v>186</v>
      </c>
      <c r="E66" s="514">
        <f>'9'!F66</f>
        <v>71709</v>
      </c>
      <c r="F66" s="478">
        <v>72110</v>
      </c>
      <c r="G66" s="473">
        <f t="shared" si="5"/>
        <v>401</v>
      </c>
      <c r="H66" s="460">
        <f>G66+'9'!H66</f>
        <v>4140</v>
      </c>
      <c r="I66" s="480"/>
      <c r="J66" s="552">
        <f>H66/DAY(B2)</f>
        <v>414</v>
      </c>
      <c r="K66" s="428"/>
      <c r="L66" s="377"/>
      <c r="N66" s="713"/>
    </row>
    <row r="67" spans="1:14" ht="27.75">
      <c r="A67" s="1540" t="s">
        <v>101</v>
      </c>
      <c r="B67" s="1541"/>
      <c r="C67" s="1542"/>
      <c r="D67" s="523" t="s">
        <v>186</v>
      </c>
      <c r="E67" s="514">
        <f>'9'!F67</f>
        <v>269257</v>
      </c>
      <c r="F67" s="478">
        <v>269697</v>
      </c>
      <c r="G67" s="473">
        <f t="shared" si="5"/>
        <v>440</v>
      </c>
      <c r="H67" s="460">
        <f>G67+'9'!H67</f>
        <v>4738</v>
      </c>
      <c r="I67" s="489"/>
      <c r="J67" s="552">
        <f>H67/DAY(B2)</f>
        <v>473.8</v>
      </c>
      <c r="K67" s="429"/>
      <c r="L67" s="377"/>
      <c r="N67" s="713"/>
    </row>
    <row r="68" spans="1:14" ht="27.75">
      <c r="A68" s="1540" t="s">
        <v>102</v>
      </c>
      <c r="B68" s="1541"/>
      <c r="C68" s="1542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40" t="s">
        <v>103</v>
      </c>
      <c r="B69" s="1541"/>
      <c r="C69" s="1542"/>
      <c r="D69" s="523" t="s">
        <v>186</v>
      </c>
      <c r="E69" s="514">
        <f>'9'!F69</f>
        <v>89745</v>
      </c>
      <c r="F69" s="478">
        <v>90002</v>
      </c>
      <c r="G69" s="473">
        <f t="shared" si="5"/>
        <v>257</v>
      </c>
      <c r="H69" s="460">
        <f>G69+'9'!H69</f>
        <v>2487</v>
      </c>
      <c r="I69" s="516"/>
      <c r="J69" s="552">
        <f>H69/DAY(B2)</f>
        <v>248.7</v>
      </c>
      <c r="K69" s="431"/>
      <c r="L69" s="377"/>
      <c r="N69" s="713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3"/>
    </row>
    <row r="72" spans="1:14" ht="27.75">
      <c r="A72" s="1540" t="s">
        <v>190</v>
      </c>
      <c r="B72" s="1541"/>
      <c r="C72" s="1542"/>
      <c r="D72" s="523" t="s">
        <v>186</v>
      </c>
      <c r="E72" s="519">
        <f>'9'!F72</f>
        <v>856330</v>
      </c>
      <c r="F72" s="654">
        <v>856340</v>
      </c>
      <c r="G72" s="473">
        <f t="shared" ref="G72:G84" si="6">F72-E72</f>
        <v>10</v>
      </c>
      <c r="H72" s="460">
        <f>G72+'9'!H72</f>
        <v>118</v>
      </c>
      <c r="I72" s="480"/>
      <c r="J72" s="552">
        <f>H72/DAY(B2)</f>
        <v>11.8</v>
      </c>
      <c r="K72" s="431"/>
      <c r="L72" s="377"/>
      <c r="N72" s="713"/>
    </row>
    <row r="73" spans="1:14" ht="27.75">
      <c r="A73" s="1540" t="s">
        <v>191</v>
      </c>
      <c r="B73" s="1541"/>
      <c r="C73" s="1542"/>
      <c r="D73" s="523" t="s">
        <v>186</v>
      </c>
      <c r="E73" s="519">
        <f>'9'!F73</f>
        <v>885983</v>
      </c>
      <c r="F73" s="655">
        <v>885985</v>
      </c>
      <c r="G73" s="652">
        <f t="shared" si="6"/>
        <v>2</v>
      </c>
      <c r="H73" s="460">
        <f>G73+'9'!H73</f>
        <v>13</v>
      </c>
      <c r="I73" s="480"/>
      <c r="J73" s="552">
        <f>H73/DAY(B2)</f>
        <v>1.3</v>
      </c>
      <c r="K73" s="430"/>
      <c r="L73" s="377"/>
      <c r="N73" s="713"/>
    </row>
    <row r="74" spans="1:14" ht="27.75">
      <c r="A74" s="1540" t="s">
        <v>192</v>
      </c>
      <c r="B74" s="1541"/>
      <c r="C74" s="1542"/>
      <c r="D74" s="523" t="s">
        <v>186</v>
      </c>
      <c r="E74" s="519">
        <f>'9'!F74</f>
        <v>88707</v>
      </c>
      <c r="F74" s="654">
        <v>88708</v>
      </c>
      <c r="G74" s="473">
        <f t="shared" si="6"/>
        <v>1</v>
      </c>
      <c r="H74" s="460">
        <f>G74+'9'!H74</f>
        <v>12</v>
      </c>
      <c r="I74" s="480"/>
      <c r="J74" s="552">
        <f>H74/DAY(B2)</f>
        <v>1.2</v>
      </c>
      <c r="K74" s="431"/>
      <c r="L74" s="377"/>
      <c r="N74" s="713"/>
    </row>
    <row r="75" spans="1:14" ht="27.75">
      <c r="A75" s="1543" t="s">
        <v>193</v>
      </c>
      <c r="B75" s="1544"/>
      <c r="C75" s="1545"/>
      <c r="D75" s="523" t="s">
        <v>186</v>
      </c>
      <c r="E75" s="519">
        <f>'9'!F75</f>
        <v>17420</v>
      </c>
      <c r="F75" s="655">
        <v>17590</v>
      </c>
      <c r="G75" s="473">
        <f t="shared" si="6"/>
        <v>170</v>
      </c>
      <c r="H75" s="460">
        <f>G75+'9'!H75</f>
        <v>1519</v>
      </c>
      <c r="I75" s="480"/>
      <c r="J75" s="552">
        <f>H75/DAY(B2)</f>
        <v>151.9</v>
      </c>
      <c r="K75" s="430"/>
      <c r="L75" s="377"/>
      <c r="N75" s="713"/>
    </row>
    <row r="76" spans="1:14" ht="27.75">
      <c r="A76" s="1543" t="s">
        <v>194</v>
      </c>
      <c r="B76" s="1544"/>
      <c r="C76" s="1545"/>
      <c r="D76" s="523" t="s">
        <v>186</v>
      </c>
      <c r="E76" s="519">
        <f>'9'!F76</f>
        <v>9935</v>
      </c>
      <c r="F76" s="655">
        <v>9998</v>
      </c>
      <c r="G76" s="473">
        <f t="shared" si="6"/>
        <v>63</v>
      </c>
      <c r="H76" s="460">
        <f>G76+'9'!H76</f>
        <v>662</v>
      </c>
      <c r="I76" s="505"/>
      <c r="J76" s="552">
        <f>H76/DAY(B2)</f>
        <v>66.2</v>
      </c>
      <c r="K76" s="430"/>
      <c r="L76" s="377"/>
      <c r="N76" s="713"/>
    </row>
    <row r="77" spans="1:14" ht="27.75">
      <c r="A77" s="1540" t="s">
        <v>195</v>
      </c>
      <c r="B77" s="1541"/>
      <c r="C77" s="1542"/>
      <c r="D77" s="523" t="s">
        <v>186</v>
      </c>
      <c r="E77" s="519">
        <f>'9'!F77</f>
        <v>704946</v>
      </c>
      <c r="F77" s="655">
        <v>705006</v>
      </c>
      <c r="G77" s="652">
        <f t="shared" si="6"/>
        <v>60</v>
      </c>
      <c r="H77" s="460">
        <f>G77+'9'!H77</f>
        <v>632</v>
      </c>
      <c r="I77" s="505"/>
      <c r="J77" s="552">
        <f>H77/DAY(B2)</f>
        <v>63.2</v>
      </c>
      <c r="K77" s="430"/>
      <c r="L77" s="377"/>
      <c r="N77" s="713"/>
    </row>
    <row r="78" spans="1:14" ht="27.75">
      <c r="A78" s="1142" t="s">
        <v>196</v>
      </c>
      <c r="B78" s="1115"/>
      <c r="C78" s="1115"/>
      <c r="D78" s="523" t="s">
        <v>186</v>
      </c>
      <c r="E78" s="519">
        <f>'9'!F78</f>
        <v>676389</v>
      </c>
      <c r="F78" s="656">
        <v>676448</v>
      </c>
      <c r="G78" s="473">
        <f t="shared" si="6"/>
        <v>59</v>
      </c>
      <c r="H78" s="460">
        <f>G78+'9'!H78</f>
        <v>1034</v>
      </c>
      <c r="I78" s="505"/>
      <c r="J78" s="552">
        <f>H78/DAY(B2)</f>
        <v>103.4</v>
      </c>
      <c r="K78" s="430"/>
      <c r="L78" s="377"/>
      <c r="N78" s="713"/>
    </row>
    <row r="79" spans="1:14" ht="27.75">
      <c r="A79" s="1543" t="s">
        <v>91</v>
      </c>
      <c r="B79" s="1544"/>
      <c r="C79" s="1545"/>
      <c r="D79" s="524" t="s">
        <v>186</v>
      </c>
      <c r="E79" s="519">
        <f>'9'!F79</f>
        <v>836762</v>
      </c>
      <c r="F79" s="656">
        <v>836924</v>
      </c>
      <c r="G79" s="473">
        <f t="shared" si="6"/>
        <v>162</v>
      </c>
      <c r="H79" s="460">
        <f>G79+'9'!H79</f>
        <v>1508</v>
      </c>
      <c r="I79" s="505"/>
      <c r="J79" s="552">
        <f>H79/DAY(B2)</f>
        <v>150.80000000000001</v>
      </c>
      <c r="K79" s="430"/>
      <c r="L79" s="377"/>
      <c r="N79" s="713"/>
    </row>
    <row r="80" spans="1:14" ht="27.75">
      <c r="A80" s="1543" t="s">
        <v>197</v>
      </c>
      <c r="B80" s="1544"/>
      <c r="C80" s="1545"/>
      <c r="D80" s="524" t="s">
        <v>186</v>
      </c>
      <c r="E80" s="519">
        <f>'9'!F80</f>
        <v>542695</v>
      </c>
      <c r="F80" s="655">
        <v>543101</v>
      </c>
      <c r="G80" s="473">
        <f>F80-E80</f>
        <v>406</v>
      </c>
      <c r="H80" s="460">
        <f>G80+'9'!H80</f>
        <v>4088</v>
      </c>
      <c r="I80" s="505"/>
      <c r="J80" s="552">
        <f>H80/DAY(B2)</f>
        <v>408.8</v>
      </c>
      <c r="K80" s="430"/>
      <c r="L80" s="377"/>
      <c r="N80" s="713"/>
    </row>
    <row r="81" spans="1:15" ht="27.75">
      <c r="A81" s="1543" t="s">
        <v>198</v>
      </c>
      <c r="B81" s="1544"/>
      <c r="C81" s="1545"/>
      <c r="D81" s="524" t="s">
        <v>186</v>
      </c>
      <c r="E81" s="519">
        <f>'9'!F81</f>
        <v>644662</v>
      </c>
      <c r="F81" s="655">
        <v>644878</v>
      </c>
      <c r="G81" s="473">
        <f t="shared" si="6"/>
        <v>216</v>
      </c>
      <c r="H81" s="460">
        <f>G81+'9'!H81</f>
        <v>1893</v>
      </c>
      <c r="I81" s="505"/>
      <c r="J81" s="552">
        <f>H81/DAY(B2)</f>
        <v>189.3</v>
      </c>
      <c r="K81" s="430"/>
      <c r="L81" s="377"/>
      <c r="N81" s="713"/>
    </row>
    <row r="82" spans="1:15" ht="27.75">
      <c r="A82" s="1543" t="s">
        <v>92</v>
      </c>
      <c r="B82" s="1544"/>
      <c r="C82" s="1545"/>
      <c r="D82" s="485" t="s">
        <v>131</v>
      </c>
      <c r="E82" s="519">
        <f>'9'!F82</f>
        <v>108870</v>
      </c>
      <c r="F82" s="651">
        <v>108883</v>
      </c>
      <c r="G82" s="473">
        <f t="shared" si="6"/>
        <v>13</v>
      </c>
      <c r="H82" s="460">
        <f>G82+'9'!H82</f>
        <v>202</v>
      </c>
      <c r="I82" s="486"/>
      <c r="J82" s="552">
        <f>H82/DAY(B2)</f>
        <v>20.2</v>
      </c>
      <c r="K82" s="430"/>
      <c r="L82" s="377"/>
      <c r="N82" s="713"/>
    </row>
    <row r="83" spans="1:15" ht="27.75">
      <c r="A83" s="1543" t="s">
        <v>199</v>
      </c>
      <c r="B83" s="1544"/>
      <c r="C83" s="1545"/>
      <c r="D83" s="620" t="s">
        <v>131</v>
      </c>
      <c r="E83" s="519">
        <f>'9'!F83</f>
        <v>29717</v>
      </c>
      <c r="F83" s="511">
        <v>29944</v>
      </c>
      <c r="G83" s="473">
        <f t="shared" si="6"/>
        <v>227</v>
      </c>
      <c r="H83" s="460">
        <f>G83+'9'!H83</f>
        <v>2393</v>
      </c>
      <c r="I83" s="481"/>
      <c r="J83" s="552">
        <f>H83/DAY(B2)</f>
        <v>239.3</v>
      </c>
      <c r="K83" s="429"/>
      <c r="L83" s="377"/>
      <c r="N83" s="713"/>
    </row>
    <row r="84" spans="1:15">
      <c r="A84" s="1143" t="s">
        <v>200</v>
      </c>
      <c r="B84" s="571"/>
      <c r="C84" s="571"/>
      <c r="D84" s="478" t="s">
        <v>131</v>
      </c>
      <c r="E84" s="519">
        <f>'9'!F84</f>
        <v>530494</v>
      </c>
      <c r="F84" s="627">
        <v>531279</v>
      </c>
      <c r="G84" s="473">
        <f t="shared" si="6"/>
        <v>785</v>
      </c>
      <c r="H84" s="460">
        <f>G84+'9'!H84</f>
        <v>8199</v>
      </c>
      <c r="I84" s="481"/>
      <c r="J84" s="552">
        <f>H84/DAY(B2)</f>
        <v>819.9</v>
      </c>
      <c r="K84" s="380"/>
      <c r="L84" s="377"/>
      <c r="N84" s="713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2174</v>
      </c>
      <c r="H85" s="460">
        <f>G85+'9'!H85</f>
        <v>22273</v>
      </c>
      <c r="I85" s="481"/>
      <c r="J85" s="552">
        <f>H85/DAY(B2)</f>
        <v>2227.3000000000002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'9'!F86</f>
        <v>462039</v>
      </c>
      <c r="F86" s="647">
        <v>462062</v>
      </c>
      <c r="G86" s="705">
        <f t="shared" ref="G86:G91" si="7">F86-E86</f>
        <v>23</v>
      </c>
      <c r="H86" s="460">
        <f>G86+'9'!H86</f>
        <v>72.799999999988358</v>
      </c>
      <c r="I86" s="652"/>
      <c r="J86" s="707">
        <f>H86/DAY(B2)</f>
        <v>7.2799999999988358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'9'!F87</f>
        <v>82351</v>
      </c>
      <c r="F87" s="647">
        <v>82366</v>
      </c>
      <c r="G87" s="705">
        <f t="shared" si="7"/>
        <v>15</v>
      </c>
      <c r="H87" s="460">
        <f>G87+'9'!H87</f>
        <v>77.399999999994179</v>
      </c>
      <c r="I87" s="652"/>
      <c r="J87" s="707">
        <f>H87/DAY(B2)</f>
        <v>7.7399999999994176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'9'!F88</f>
        <v>156373</v>
      </c>
      <c r="F88" s="638">
        <v>156490</v>
      </c>
      <c r="G88" s="705">
        <f t="shared" si="7"/>
        <v>117</v>
      </c>
      <c r="H88" s="460">
        <f>G88+'9'!H88</f>
        <v>384.91000000000349</v>
      </c>
      <c r="I88" s="652"/>
      <c r="J88" s="707">
        <f>H88/DAY(B2)</f>
        <v>38.491000000000348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'9'!F89</f>
        <v>66329</v>
      </c>
      <c r="F89" s="647">
        <v>66344</v>
      </c>
      <c r="G89" s="705">
        <f t="shared" si="7"/>
        <v>15</v>
      </c>
      <c r="H89" s="460">
        <f>G89+'9'!H89</f>
        <v>244.5</v>
      </c>
      <c r="I89" s="652"/>
      <c r="J89" s="707">
        <f>H89/DAY(B2)</f>
        <v>24.45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'9'!F90</f>
        <v>3379</v>
      </c>
      <c r="F90" s="647">
        <v>3380</v>
      </c>
      <c r="G90" s="705">
        <f t="shared" si="7"/>
        <v>1</v>
      </c>
      <c r="H90" s="460">
        <f>G90+'9'!H90</f>
        <v>12.099999999999909</v>
      </c>
      <c r="I90" s="652"/>
      <c r="J90" s="707">
        <f>H90/DAY(B2)</f>
        <v>1.2099999999999909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'9'!F91</f>
        <v>28324</v>
      </c>
      <c r="F91" s="647">
        <v>28331</v>
      </c>
      <c r="G91" s="705">
        <f t="shared" si="7"/>
        <v>7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59" t="s">
        <v>205</v>
      </c>
      <c r="B93" s="1560"/>
      <c r="C93" s="1561"/>
      <c r="D93" s="523" t="s">
        <v>143</v>
      </c>
      <c r="E93" s="484">
        <f>'9'!F93</f>
        <v>248242</v>
      </c>
      <c r="F93" s="478">
        <v>248363</v>
      </c>
      <c r="G93" s="473">
        <f t="shared" ref="G93:G94" si="8">F93-E93</f>
        <v>121</v>
      </c>
      <c r="H93" s="460">
        <f>G93+'9'!H93</f>
        <v>1011</v>
      </c>
      <c r="I93" s="480"/>
      <c r="J93" s="552">
        <f>H93/DAY(B2)</f>
        <v>101.1</v>
      </c>
      <c r="K93" s="429"/>
      <c r="L93" s="377"/>
      <c r="N93" s="713"/>
    </row>
    <row r="94" spans="1:15" ht="27.75">
      <c r="A94" s="1559" t="s">
        <v>206</v>
      </c>
      <c r="B94" s="1560"/>
      <c r="C94" s="1561"/>
      <c r="D94" s="523" t="s">
        <v>143</v>
      </c>
      <c r="E94" s="484">
        <f>'9'!F94</f>
        <v>190452</v>
      </c>
      <c r="F94" s="478">
        <v>190548</v>
      </c>
      <c r="G94" s="473">
        <f t="shared" si="8"/>
        <v>96</v>
      </c>
      <c r="H94" s="460">
        <f>G94+'9'!H94</f>
        <v>1094</v>
      </c>
      <c r="I94" s="480"/>
      <c r="J94" s="552">
        <f>H94/DAY(B2)</f>
        <v>109.4</v>
      </c>
      <c r="K94" s="380"/>
      <c r="L94" s="377"/>
      <c r="N94" s="713"/>
    </row>
    <row r="95" spans="1:15">
      <c r="A95" s="1591" t="s">
        <v>207</v>
      </c>
      <c r="B95" s="1592"/>
      <c r="C95" s="1593"/>
      <c r="D95" s="523"/>
      <c r="E95" s="484"/>
      <c r="F95" s="478"/>
      <c r="G95" s="473">
        <f>G93+G94</f>
        <v>217</v>
      </c>
      <c r="H95" s="460">
        <f>G95+'9'!H95</f>
        <v>1919</v>
      </c>
      <c r="I95" s="480"/>
      <c r="J95" s="552">
        <f>H95/DAY(B2)</f>
        <v>191.9</v>
      </c>
      <c r="K95" s="380"/>
      <c r="L95" s="377"/>
      <c r="N95" s="713"/>
    </row>
    <row r="96" spans="1:15" ht="27.75">
      <c r="A96" s="1559" t="s">
        <v>208</v>
      </c>
      <c r="B96" s="1560"/>
      <c r="C96" s="1561"/>
      <c r="D96" s="523" t="s">
        <v>143</v>
      </c>
      <c r="E96" s="484">
        <f>'9'!F96</f>
        <v>416862</v>
      </c>
      <c r="F96" s="478">
        <v>416938</v>
      </c>
      <c r="G96" s="473">
        <f t="shared" ref="G96:G101" si="9">F96-E96</f>
        <v>76</v>
      </c>
      <c r="H96" s="460">
        <f>G96+'9'!H96</f>
        <v>939</v>
      </c>
      <c r="I96" s="480"/>
      <c r="J96" s="552">
        <f>H96/DAY(B2)</f>
        <v>93.9</v>
      </c>
      <c r="K96" s="380"/>
      <c r="L96" s="377"/>
      <c r="N96" s="713"/>
    </row>
    <row r="97" spans="1:14" ht="27.75">
      <c r="A97" s="1139" t="s">
        <v>209</v>
      </c>
      <c r="B97" s="1140"/>
      <c r="C97" s="1140"/>
      <c r="D97" s="523" t="s">
        <v>143</v>
      </c>
      <c r="E97" s="484">
        <f>'9'!F97</f>
        <v>103345</v>
      </c>
      <c r="F97" s="478">
        <v>103371</v>
      </c>
      <c r="G97" s="473">
        <f t="shared" si="9"/>
        <v>26</v>
      </c>
      <c r="H97" s="460">
        <f>G97+'9'!H97</f>
        <v>208</v>
      </c>
      <c r="I97" s="480"/>
      <c r="J97" s="552">
        <f>H97/DAY(B2)</f>
        <v>20.8</v>
      </c>
      <c r="K97" s="427"/>
      <c r="L97" s="377"/>
      <c r="N97" s="713"/>
    </row>
    <row r="98" spans="1:14" ht="27.75">
      <c r="A98" s="1139" t="s">
        <v>210</v>
      </c>
      <c r="B98" s="1140"/>
      <c r="C98" s="1140"/>
      <c r="D98" s="523" t="s">
        <v>143</v>
      </c>
      <c r="E98" s="484">
        <f>'9'!F98</f>
        <v>98866</v>
      </c>
      <c r="F98" s="478">
        <v>98901</v>
      </c>
      <c r="G98" s="473">
        <f t="shared" si="9"/>
        <v>35</v>
      </c>
      <c r="H98" s="460">
        <f>G98+'9'!H98</f>
        <v>244</v>
      </c>
      <c r="I98" s="480"/>
      <c r="J98" s="552">
        <f>H98/DAY(B2)</f>
        <v>24.4</v>
      </c>
      <c r="K98" s="432"/>
      <c r="L98" s="377"/>
      <c r="N98" s="713"/>
    </row>
    <row r="99" spans="1:14" ht="27.75">
      <c r="A99" s="1139" t="s">
        <v>211</v>
      </c>
      <c r="B99" s="1140"/>
      <c r="C99" s="1140"/>
      <c r="D99" s="523" t="s">
        <v>143</v>
      </c>
      <c r="E99" s="484">
        <f>'9'!F99</f>
        <v>150684</v>
      </c>
      <c r="F99" s="478">
        <v>150709</v>
      </c>
      <c r="G99" s="473">
        <f t="shared" si="9"/>
        <v>25</v>
      </c>
      <c r="H99" s="460">
        <f>G99+'9'!H99</f>
        <v>304</v>
      </c>
      <c r="I99" s="480"/>
      <c r="J99" s="552">
        <f>H99/DAY(B2)</f>
        <v>30.4</v>
      </c>
      <c r="K99" s="380"/>
      <c r="L99" s="377"/>
      <c r="N99" s="715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'9'!F100</f>
        <v>7882</v>
      </c>
      <c r="F100" s="478">
        <v>7901</v>
      </c>
      <c r="G100" s="473">
        <f t="shared" si="9"/>
        <v>19</v>
      </c>
      <c r="H100" s="460">
        <f>G100+'9'!H100</f>
        <v>104</v>
      </c>
      <c r="I100" s="480"/>
      <c r="J100" s="552">
        <f>H100/DAY(B2)</f>
        <v>10.4</v>
      </c>
      <c r="K100" s="380"/>
      <c r="L100" s="377"/>
      <c r="N100" s="713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'9'!F101</f>
        <v>5749</v>
      </c>
      <c r="F101" s="478">
        <v>5773</v>
      </c>
      <c r="G101" s="473">
        <f t="shared" si="9"/>
        <v>24</v>
      </c>
      <c r="H101" s="460">
        <f>G101+'9'!H101</f>
        <v>99</v>
      </c>
      <c r="I101" s="480"/>
      <c r="J101" s="552">
        <f>H101/DAY(B2)</f>
        <v>9.9</v>
      </c>
      <c r="K101" s="380"/>
      <c r="L101" s="377"/>
      <c r="N101" s="713"/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205</v>
      </c>
      <c r="H102" s="460">
        <f>G102+'9'!H102</f>
        <v>1898</v>
      </c>
      <c r="I102" s="526"/>
      <c r="J102" s="552">
        <f>H102/DAY(B2)</f>
        <v>189.8</v>
      </c>
      <c r="K102" s="380"/>
      <c r="L102" s="377"/>
      <c r="N102" s="713"/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'9'!F105</f>
        <v>7767</v>
      </c>
      <c r="F105" s="658">
        <v>7767</v>
      </c>
      <c r="G105" s="473">
        <f t="shared" ref="G105" si="10">F105-E105</f>
        <v>0</v>
      </c>
      <c r="H105" s="460">
        <f>G105+'9'!H105</f>
        <v>130</v>
      </c>
      <c r="I105" s="532"/>
      <c r="J105" s="558">
        <f>H105/DAY(B2)</f>
        <v>13</v>
      </c>
      <c r="N105" s="713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'9'!F106</f>
        <v>36232</v>
      </c>
      <c r="F106" s="659">
        <v>36243</v>
      </c>
      <c r="G106" s="532">
        <f t="shared" ref="G106:G107" si="11">F106-E106</f>
        <v>11</v>
      </c>
      <c r="H106" s="460">
        <f>G106+'9'!H106</f>
        <v>81</v>
      </c>
      <c r="I106" s="532"/>
      <c r="J106" s="558">
        <f>H106/DAY(B2)</f>
        <v>8.1</v>
      </c>
      <c r="N106" s="713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'9'!F107</f>
        <v>19859</v>
      </c>
      <c r="F107" s="659">
        <v>19864</v>
      </c>
      <c r="G107" s="532">
        <f t="shared" si="11"/>
        <v>5</v>
      </c>
      <c r="H107" s="460">
        <f>G107+'9'!H107</f>
        <v>42</v>
      </c>
      <c r="I107" s="532"/>
      <c r="J107" s="558">
        <f>H107/DAY(B2)</f>
        <v>4.2</v>
      </c>
      <c r="N107" s="713"/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16</v>
      </c>
      <c r="H108" s="460">
        <f>G108+'9'!H108</f>
        <v>253</v>
      </c>
      <c r="I108" s="532"/>
      <c r="J108" s="558">
        <f>H108/DAY(B2)</f>
        <v>25.3</v>
      </c>
      <c r="N108" s="713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'9'!F110</f>
        <v>65562</v>
      </c>
      <c r="F110" s="659">
        <v>65649</v>
      </c>
      <c r="G110" s="532">
        <f>F110-E110</f>
        <v>87</v>
      </c>
      <c r="H110" s="460">
        <f>G110+'9'!H110</f>
        <v>806</v>
      </c>
      <c r="I110" s="532"/>
      <c r="J110" s="558">
        <f>H110/DAY(B2)</f>
        <v>80.599999999999994</v>
      </c>
      <c r="N110" s="713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'9'!F111</f>
        <v>33421</v>
      </c>
      <c r="F111" s="659">
        <v>33435</v>
      </c>
      <c r="G111" s="532">
        <f t="shared" ref="G111:G112" si="12">F111-E111</f>
        <v>14</v>
      </c>
      <c r="H111" s="460">
        <f>G111+'9'!H111</f>
        <v>306</v>
      </c>
      <c r="I111" s="532"/>
      <c r="J111" s="558">
        <f>H111/DAY(B2)</f>
        <v>30.6</v>
      </c>
      <c r="N111" s="713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'9'!F112</f>
        <v>4621.3</v>
      </c>
      <c r="F112" s="659">
        <v>4621.3</v>
      </c>
      <c r="G112" s="532">
        <f t="shared" si="12"/>
        <v>0</v>
      </c>
      <c r="H112" s="460">
        <f>G112+'9'!H112</f>
        <v>0.3000000000001819</v>
      </c>
      <c r="I112" s="532"/>
      <c r="J112" s="558">
        <f>H112/DAY(B2)</f>
        <v>3.0000000000018189E-2</v>
      </c>
      <c r="N112" s="713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101</v>
      </c>
      <c r="H113" s="460">
        <f>G113+'9'!H113</f>
        <v>1112.3000000000002</v>
      </c>
      <c r="I113" s="532"/>
      <c r="J113" s="558">
        <f>H113/DAY(B2)</f>
        <v>111.23000000000002</v>
      </c>
      <c r="N113" s="713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'9'!F115</f>
        <v>12124</v>
      </c>
      <c r="F115" s="659">
        <v>12146</v>
      </c>
      <c r="G115" s="534">
        <f>F115-E115</f>
        <v>22</v>
      </c>
      <c r="H115" s="460">
        <f>G115+'9'!H115</f>
        <v>133</v>
      </c>
      <c r="I115" s="532"/>
      <c r="J115" s="558">
        <f>H115/DAY(B2)</f>
        <v>13.3</v>
      </c>
      <c r="N115" s="713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'9'!F116</f>
        <v>8617</v>
      </c>
      <c r="F116" s="659">
        <v>8639</v>
      </c>
      <c r="G116" s="534">
        <f t="shared" ref="G116:G117" si="13">F116-E116</f>
        <v>22</v>
      </c>
      <c r="H116" s="460">
        <f>G116+'9'!H116</f>
        <v>84</v>
      </c>
      <c r="I116" s="532"/>
      <c r="J116" s="558">
        <f>H116/DAY(B2)</f>
        <v>8.4</v>
      </c>
      <c r="N116" s="713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44</v>
      </c>
      <c r="H118" s="460">
        <f>G118+'9'!H118</f>
        <v>217</v>
      </c>
      <c r="I118" s="534"/>
      <c r="J118" s="558">
        <f>H118/DAY(B2)</f>
        <v>21.7</v>
      </c>
      <c r="N118" s="713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179</v>
      </c>
      <c r="G119" s="536">
        <f>SUM(G19+G93)</f>
        <v>179</v>
      </c>
      <c r="H119" s="460">
        <f>G119+'9'!H119</f>
        <v>1616</v>
      </c>
      <c r="I119" s="535"/>
      <c r="J119" s="559">
        <f>H119/DAY(B2)</f>
        <v>161.6</v>
      </c>
      <c r="N119" s="713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180</v>
      </c>
      <c r="G120" s="536">
        <f>SUM(G96,G97,G98,G100,G101)</f>
        <v>180</v>
      </c>
      <c r="H120" s="460">
        <f>G120+'9'!H120</f>
        <v>1594</v>
      </c>
      <c r="I120" s="535"/>
      <c r="J120" s="559">
        <f>H120/DAY(B2)</f>
        <v>159.4</v>
      </c>
      <c r="N120" s="713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101</v>
      </c>
      <c r="G121" s="534">
        <f>SUM(G113)</f>
        <v>101</v>
      </c>
      <c r="H121" s="460">
        <f>G121+'9'!H121</f>
        <v>1112.3000000000002</v>
      </c>
      <c r="I121" s="535"/>
      <c r="J121" s="559">
        <f>H121/DAY(B2)</f>
        <v>111.23000000000002</v>
      </c>
      <c r="N121" s="713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3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'9'!F124</f>
        <v>842183</v>
      </c>
      <c r="F124" s="478">
        <v>842406</v>
      </c>
      <c r="G124" s="473">
        <f t="shared" ref="G124:G128" si="14">F124-E124</f>
        <v>223</v>
      </c>
      <c r="H124" s="460">
        <f>G124+'9'!H124</f>
        <v>2736</v>
      </c>
      <c r="I124" s="526"/>
      <c r="J124" s="552">
        <f>H124/DAY(B2)</f>
        <v>273.60000000000002</v>
      </c>
      <c r="K124" s="380"/>
      <c r="L124" s="377"/>
      <c r="N124" s="713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4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'9'!F126</f>
        <v>149340</v>
      </c>
      <c r="F126" s="478">
        <v>149442</v>
      </c>
      <c r="G126" s="473">
        <f t="shared" si="14"/>
        <v>102</v>
      </c>
      <c r="H126" s="460">
        <f>G126+'9'!H126</f>
        <v>845</v>
      </c>
      <c r="I126" s="526"/>
      <c r="J126" s="552">
        <f>H126/DAY(B2)</f>
        <v>84.5</v>
      </c>
      <c r="K126" s="380"/>
      <c r="L126" s="377"/>
      <c r="N126" s="713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'9'!F127</f>
        <v>32392</v>
      </c>
      <c r="F127" s="626">
        <v>32436</v>
      </c>
      <c r="G127" s="473">
        <f t="shared" si="14"/>
        <v>44</v>
      </c>
      <c r="H127" s="460">
        <f>G127+'9'!H127</f>
        <v>365</v>
      </c>
      <c r="I127" s="526"/>
      <c r="J127" s="552">
        <f>H127/DAY(B2)</f>
        <v>36.5</v>
      </c>
      <c r="K127" s="380"/>
      <c r="L127" s="377"/>
      <c r="N127" s="713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'9'!F128</f>
        <v>9034</v>
      </c>
      <c r="F128" s="626">
        <v>9042</v>
      </c>
      <c r="G128" s="473">
        <f t="shared" si="14"/>
        <v>8</v>
      </c>
      <c r="H128" s="460">
        <f>G128+'9'!H128</f>
        <v>30</v>
      </c>
      <c r="I128" s="480"/>
      <c r="J128" s="552">
        <f>H128/DAY(B2)</f>
        <v>3</v>
      </c>
      <c r="K128" s="380"/>
      <c r="L128" s="377"/>
      <c r="N128" s="713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452</v>
      </c>
      <c r="H129" s="460"/>
      <c r="I129" s="480"/>
      <c r="J129" s="552"/>
      <c r="K129" s="364"/>
      <c r="L129" s="292"/>
      <c r="N129" s="713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'9'!F131</f>
        <v>0</v>
      </c>
      <c r="F131" s="478">
        <v>0</v>
      </c>
      <c r="G131" s="473">
        <f t="shared" ref="G131:G141" si="15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'9'!F132</f>
        <v>0</v>
      </c>
      <c r="F132" s="478">
        <v>0</v>
      </c>
      <c r="G132" s="473">
        <f t="shared" si="15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'9'!F133</f>
        <v>40594</v>
      </c>
      <c r="F133" s="1375">
        <v>40597</v>
      </c>
      <c r="G133" s="1376">
        <f t="shared" si="15"/>
        <v>3</v>
      </c>
      <c r="H133" s="460">
        <f>G133+'9'!H133</f>
        <v>144</v>
      </c>
      <c r="I133" s="480"/>
      <c r="J133" s="552">
        <f>H133/DAY(B2)</f>
        <v>14.4</v>
      </c>
      <c r="N133" s="713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'9'!F134</f>
        <v>300</v>
      </c>
      <c r="F134" s="1375">
        <v>300</v>
      </c>
      <c r="G134" s="1376">
        <f t="shared" si="15"/>
        <v>0</v>
      </c>
      <c r="H134" s="460">
        <f>G134+'9'!H134</f>
        <v>0</v>
      </c>
      <c r="I134" s="480">
        <f>G131+G132+G133+G134</f>
        <v>3</v>
      </c>
      <c r="J134" s="552">
        <f>H134/DAY(B2)</f>
        <v>0</v>
      </c>
      <c r="N134" s="713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'9'!F135</f>
        <v>42103</v>
      </c>
      <c r="F135" s="1375">
        <v>42127</v>
      </c>
      <c r="G135" s="1376">
        <f t="shared" si="15"/>
        <v>24</v>
      </c>
      <c r="H135" s="460">
        <f>G135+'9'!H135</f>
        <v>155</v>
      </c>
      <c r="I135" s="480"/>
      <c r="J135" s="552">
        <f>H135/DAY(B2)</f>
        <v>15.5</v>
      </c>
      <c r="N135" s="713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'9'!F136</f>
        <v>32874.050000000003</v>
      </c>
      <c r="F136" s="1375">
        <v>32874.050000000003</v>
      </c>
      <c r="G136" s="1376">
        <f t="shared" si="15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'9'!F137</f>
        <v>22950.35</v>
      </c>
      <c r="F137" s="1375">
        <v>22956.86</v>
      </c>
      <c r="G137" s="1376">
        <f t="shared" si="15"/>
        <v>6.5100000000020373</v>
      </c>
      <c r="H137" s="460">
        <f>G137+'9'!H137</f>
        <v>65.369999999998981</v>
      </c>
      <c r="I137" s="480">
        <f>G135+G136+G137</f>
        <v>30.510000000002037</v>
      </c>
      <c r="J137" s="552">
        <f>H137/DAY(B2)</f>
        <v>6.5369999999998978</v>
      </c>
      <c r="N137" s="713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'9'!F138</f>
        <v>25095.200000000001</v>
      </c>
      <c r="F138" s="1375">
        <v>25095.200000000001</v>
      </c>
      <c r="G138" s="1376">
        <f t="shared" si="15"/>
        <v>0</v>
      </c>
      <c r="H138" s="460">
        <f>G138+'9'!H138</f>
        <v>3.8100000000013097</v>
      </c>
      <c r="I138" s="480"/>
      <c r="J138" s="552">
        <f>H138/DAY(B2)</f>
        <v>0.38100000000013096</v>
      </c>
      <c r="N138" s="713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'9'!F139</f>
        <v>70514.289999999994</v>
      </c>
      <c r="F139" s="1375">
        <v>70514.289999999994</v>
      </c>
      <c r="G139" s="1376">
        <f t="shared" si="15"/>
        <v>0</v>
      </c>
      <c r="H139" s="460">
        <f>G139+'9'!H139</f>
        <v>0.66999999999825377</v>
      </c>
      <c r="I139" s="480">
        <f>G138+G139</f>
        <v>0</v>
      </c>
      <c r="J139" s="552">
        <f>H139/DAY(B2)</f>
        <v>6.699999999982538E-2</v>
      </c>
      <c r="N139" s="713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'9'!F140</f>
        <v>2220.31</v>
      </c>
      <c r="F140" s="1375">
        <v>2230.46</v>
      </c>
      <c r="G140" s="1376">
        <f t="shared" si="15"/>
        <v>10.150000000000091</v>
      </c>
      <c r="H140" s="460">
        <f>G140+'9'!H140</f>
        <v>101.2800000000002</v>
      </c>
      <c r="I140" s="542"/>
      <c r="J140" s="552">
        <f>H140/DAY(B2)</f>
        <v>10.12800000000002</v>
      </c>
      <c r="N140" s="713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'9'!F141</f>
        <v>4636.88</v>
      </c>
      <c r="F141" s="1375">
        <v>4636.88</v>
      </c>
      <c r="G141" s="1376">
        <f t="shared" si="15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5681</v>
      </c>
      <c r="H143" s="460">
        <f>G143+'9'!H143</f>
        <v>56358</v>
      </c>
      <c r="I143" s="480"/>
      <c r="J143" s="552">
        <f>H143/DAY(B2)</f>
        <v>5635.8</v>
      </c>
      <c r="K143" s="380"/>
      <c r="L143" s="377"/>
      <c r="N143" s="713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0.27021499238964991</v>
      </c>
      <c r="H144" s="460">
        <f>G144+'9'!H144</f>
        <v>2.6178945936756102</v>
      </c>
      <c r="I144" s="544"/>
      <c r="J144" s="552">
        <f>H144/DAY(B2)</f>
        <v>0.26178945936756104</v>
      </c>
      <c r="K144" s="380"/>
      <c r="L144" s="377"/>
      <c r="N144" s="713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6097</v>
      </c>
      <c r="H145" s="460">
        <f>G145+'9'!H145</f>
        <v>67118.11</v>
      </c>
      <c r="I145" s="480"/>
      <c r="J145" s="552">
        <f>H145/DAY(B2)</f>
        <v>6711.8109999999997</v>
      </c>
      <c r="K145" s="380"/>
      <c r="L145" s="377"/>
      <c r="N145" s="713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0.29000190258751901</v>
      </c>
      <c r="H146" s="460">
        <f>G146+'9'!H146</f>
        <v>3.1113957920321318</v>
      </c>
      <c r="I146" s="544"/>
      <c r="J146" s="552">
        <f>H146/DAY(B2)</f>
        <v>0.31113957920321317</v>
      </c>
      <c r="K146" s="380"/>
      <c r="L146" s="377"/>
      <c r="N146" s="713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3580.3300000000163</v>
      </c>
      <c r="H147" s="460">
        <f>G147+'9'!H147</f>
        <v>36705</v>
      </c>
      <c r="I147" s="545"/>
      <c r="J147" s="552">
        <f>H147/DAY(B2)</f>
        <v>3670.5</v>
      </c>
      <c r="K147" s="380"/>
      <c r="L147" s="377"/>
      <c r="N147" s="713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0.17029727929984856</v>
      </c>
      <c r="H148" s="460">
        <f>G148+'9'!H148</f>
        <v>1.7061565984545279</v>
      </c>
      <c r="I148" s="545"/>
      <c r="J148" s="552">
        <f>H148/DAY(B2)</f>
        <v>0.17061565984545279</v>
      </c>
      <c r="N148" s="713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1644</v>
      </c>
      <c r="H149" s="460">
        <f>G149+'9'!H149</f>
        <v>16043.069999999949</v>
      </c>
      <c r="I149" s="480"/>
      <c r="J149" s="552">
        <f>H149/DAY(B2)</f>
        <v>1604.3069999999948</v>
      </c>
      <c r="K149" s="381"/>
      <c r="N149" s="713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7.8196347031963473E-2</v>
      </c>
      <c r="H150" s="460">
        <f>G150+'9'!H150</f>
        <v>0.74459115601842285</v>
      </c>
      <c r="I150" s="545"/>
      <c r="J150" s="552">
        <f>H150/DAY(B2)</f>
        <v>7.4459115601842291E-2</v>
      </c>
      <c r="N150" s="713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1862</v>
      </c>
      <c r="H151" s="460">
        <f>G151+'9'!H151</f>
        <v>18795</v>
      </c>
      <c r="I151" s="545"/>
      <c r="J151" s="552">
        <f>H151/DAY(B2)</f>
        <v>1879.5</v>
      </c>
      <c r="N151" s="713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8.8565449010654496E-2</v>
      </c>
      <c r="H152" s="460">
        <f>G152+'9'!H152</f>
        <v>0.87162695934543288</v>
      </c>
      <c r="I152" s="480"/>
      <c r="J152" s="552">
        <f>H152/DAY(B2)</f>
        <v>8.7162695934543288E-2</v>
      </c>
      <c r="N152" s="713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1601</v>
      </c>
      <c r="H153" s="460">
        <f>G153+'9'!H153</f>
        <v>15325.869999999995</v>
      </c>
      <c r="I153" s="480"/>
      <c r="J153" s="552">
        <f>H153/DAY(B2)</f>
        <v>1532.5869999999995</v>
      </c>
      <c r="N153" s="713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7.6151065449010652E-2</v>
      </c>
      <c r="H154" s="567">
        <f>G154+'9'!H154</f>
        <v>0.71235164339213308</v>
      </c>
      <c r="I154" s="568"/>
      <c r="J154" s="569">
        <f>H154/DAY(B2)</f>
        <v>7.1235164339213314E-2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262</v>
      </c>
      <c r="B161" s="785"/>
      <c r="C161" s="785"/>
      <c r="D161" s="511" t="s">
        <v>186</v>
      </c>
      <c r="E161" s="1059">
        <f>'9'!F161</f>
        <v>41564</v>
      </c>
      <c r="F161" s="658">
        <v>41644</v>
      </c>
      <c r="G161" s="473">
        <f>F161-E161</f>
        <v>80</v>
      </c>
    </row>
    <row r="162" spans="1:8">
      <c r="A162" s="784" t="s">
        <v>263</v>
      </c>
      <c r="B162" s="785"/>
      <c r="C162" s="785"/>
      <c r="D162" s="511" t="s">
        <v>186</v>
      </c>
      <c r="E162" s="1059">
        <f>'9'!F162</f>
        <v>111850</v>
      </c>
      <c r="F162" s="658">
        <v>112299</v>
      </c>
      <c r="G162" s="473">
        <f t="shared" ref="G162:G175" si="16">F162-E162</f>
        <v>449</v>
      </c>
    </row>
    <row r="163" spans="1:8">
      <c r="A163" s="784" t="s">
        <v>264</v>
      </c>
      <c r="B163" s="785"/>
      <c r="C163" s="785"/>
      <c r="D163" s="511" t="s">
        <v>186</v>
      </c>
      <c r="E163" s="1059">
        <f>'9'!F163</f>
        <v>63083</v>
      </c>
      <c r="F163" s="658">
        <v>63285</v>
      </c>
      <c r="G163" s="473">
        <f t="shared" si="16"/>
        <v>202</v>
      </c>
      <c r="H163" s="514"/>
    </row>
    <row r="164" spans="1:8">
      <c r="A164" s="784" t="s">
        <v>265</v>
      </c>
      <c r="B164" s="785"/>
      <c r="C164" s="785"/>
      <c r="D164" s="511" t="s">
        <v>186</v>
      </c>
      <c r="E164" s="1059">
        <f>'9'!F164</f>
        <v>6933</v>
      </c>
      <c r="F164" s="658">
        <v>6945</v>
      </c>
      <c r="G164" s="473">
        <f t="shared" si="16"/>
        <v>12</v>
      </c>
    </row>
    <row r="165" spans="1:8">
      <c r="A165" s="786" t="s">
        <v>97</v>
      </c>
      <c r="B165" s="604"/>
      <c r="C165" s="604"/>
      <c r="D165" s="511" t="s">
        <v>186</v>
      </c>
      <c r="E165" s="1059">
        <f>'9'!F165</f>
        <v>0</v>
      </c>
      <c r="F165" s="514">
        <f>F62</f>
        <v>0</v>
      </c>
      <c r="G165" s="473">
        <f t="shared" si="16"/>
        <v>0</v>
      </c>
    </row>
    <row r="166" spans="1:8" ht="34.5" customHeight="1">
      <c r="A166" s="786" t="s">
        <v>187</v>
      </c>
      <c r="B166" s="604"/>
      <c r="C166" s="604"/>
      <c r="D166" s="511" t="s">
        <v>186</v>
      </c>
      <c r="E166" s="1059">
        <f>'9'!F166</f>
        <v>0</v>
      </c>
      <c r="F166" s="514">
        <f t="shared" ref="F166:F172" si="17">F63</f>
        <v>0</v>
      </c>
      <c r="G166" s="473">
        <f t="shared" si="16"/>
        <v>0</v>
      </c>
    </row>
    <row r="167" spans="1:8" ht="31.5" customHeight="1">
      <c r="A167" s="1546" t="s">
        <v>98</v>
      </c>
      <c r="B167" s="1546"/>
      <c r="C167" s="1546"/>
      <c r="D167" s="523" t="s">
        <v>186</v>
      </c>
      <c r="E167" s="1059">
        <f>'9'!F167</f>
        <v>173664</v>
      </c>
      <c r="F167" s="514">
        <f t="shared" si="17"/>
        <v>174038</v>
      </c>
      <c r="G167" s="473">
        <f t="shared" si="16"/>
        <v>374</v>
      </c>
    </row>
    <row r="168" spans="1:8" ht="21.75" customHeight="1">
      <c r="A168" s="1546" t="s">
        <v>99</v>
      </c>
      <c r="B168" s="1546"/>
      <c r="C168" s="1546"/>
      <c r="D168" s="523" t="s">
        <v>186</v>
      </c>
      <c r="E168" s="1059">
        <f>'9'!F168</f>
        <v>173592</v>
      </c>
      <c r="F168" s="514">
        <f t="shared" si="17"/>
        <v>173988</v>
      </c>
      <c r="G168" s="473">
        <f t="shared" si="16"/>
        <v>396</v>
      </c>
    </row>
    <row r="169" spans="1:8" ht="27.75" customHeight="1">
      <c r="A169" s="1546" t="s">
        <v>100</v>
      </c>
      <c r="B169" s="1546"/>
      <c r="C169" s="1546"/>
      <c r="D169" s="523" t="s">
        <v>186</v>
      </c>
      <c r="E169" s="1059">
        <f>'9'!F169</f>
        <v>71709</v>
      </c>
      <c r="F169" s="514">
        <f t="shared" si="17"/>
        <v>72110</v>
      </c>
      <c r="G169" s="473">
        <f t="shared" si="16"/>
        <v>401</v>
      </c>
    </row>
    <row r="170" spans="1:8" ht="21.75" customHeight="1">
      <c r="A170" s="1546" t="s">
        <v>101</v>
      </c>
      <c r="B170" s="1546"/>
      <c r="C170" s="1546"/>
      <c r="D170" s="523" t="s">
        <v>186</v>
      </c>
      <c r="E170" s="1059">
        <f>'9'!F170</f>
        <v>269257</v>
      </c>
      <c r="F170" s="514">
        <f t="shared" si="17"/>
        <v>269697</v>
      </c>
      <c r="G170" s="473">
        <f t="shared" si="16"/>
        <v>440</v>
      </c>
    </row>
    <row r="171" spans="1:8" ht="27.75" customHeight="1">
      <c r="A171" s="1546" t="s">
        <v>102</v>
      </c>
      <c r="B171" s="1546"/>
      <c r="C171" s="1546"/>
      <c r="D171" s="523" t="s">
        <v>186</v>
      </c>
      <c r="E171" s="1059">
        <f>'9'!F171</f>
        <v>85321</v>
      </c>
      <c r="F171" s="514">
        <f t="shared" si="17"/>
        <v>85321</v>
      </c>
      <c r="G171" s="473">
        <f t="shared" si="16"/>
        <v>0</v>
      </c>
    </row>
    <row r="172" spans="1:8" ht="27.75">
      <c r="A172" s="1546" t="s">
        <v>103</v>
      </c>
      <c r="B172" s="1546"/>
      <c r="C172" s="1546"/>
      <c r="D172" s="523" t="s">
        <v>186</v>
      </c>
      <c r="E172" s="1059">
        <f>'9'!F172</f>
        <v>89745</v>
      </c>
      <c r="F172" s="514">
        <f t="shared" si="17"/>
        <v>90002</v>
      </c>
      <c r="G172" s="473">
        <f t="shared" si="16"/>
        <v>257</v>
      </c>
    </row>
    <row r="173" spans="1:8">
      <c r="A173" s="1587" t="s">
        <v>350</v>
      </c>
      <c r="B173" s="1550"/>
      <c r="C173" s="785"/>
      <c r="D173" s="523" t="s">
        <v>186</v>
      </c>
      <c r="E173" s="532">
        <v>19045</v>
      </c>
      <c r="F173" s="532">
        <v>19049</v>
      </c>
      <c r="G173" s="473">
        <f t="shared" si="16"/>
        <v>4</v>
      </c>
    </row>
    <row r="174" spans="1:8">
      <c r="A174" s="1587" t="s">
        <v>350</v>
      </c>
      <c r="B174" s="1550"/>
      <c r="C174" s="785"/>
      <c r="D174" s="523" t="s">
        <v>186</v>
      </c>
      <c r="E174" s="532">
        <v>70393</v>
      </c>
      <c r="F174" s="532">
        <v>70399</v>
      </c>
      <c r="G174" s="473">
        <f t="shared" si="16"/>
        <v>6</v>
      </c>
    </row>
    <row r="175" spans="1:8">
      <c r="A175" s="1587" t="s">
        <v>351</v>
      </c>
      <c r="B175" s="1550"/>
      <c r="C175" s="785"/>
      <c r="D175" s="523" t="s">
        <v>186</v>
      </c>
      <c r="E175" s="532">
        <v>27667</v>
      </c>
      <c r="F175" s="532">
        <v>27672</v>
      </c>
      <c r="G175" s="473">
        <f t="shared" si="16"/>
        <v>5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3">
        <v>34070</v>
      </c>
      <c r="G181" s="537">
        <f t="shared" ref="G181:G182" si="18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3">
        <v>18171</v>
      </c>
      <c r="G182" s="537">
        <f t="shared" si="18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3">
        <v>20656</v>
      </c>
      <c r="G186" s="537">
        <f t="shared" ref="G186:G187" si="19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3">
        <v>2801</v>
      </c>
      <c r="G187" s="537">
        <f t="shared" si="19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3">
        <v>5849</v>
      </c>
      <c r="G191" s="537">
        <f t="shared" ref="G191:G192" si="20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20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3">
        <f>SUM(G93+G19)</f>
        <v>179</v>
      </c>
      <c r="G195" s="537">
        <f>F195+'[3]9'!I145</f>
        <v>179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3">
        <f>SUM(G96:G98,G190:G192)</f>
        <v>144</v>
      </c>
      <c r="G197" s="537">
        <f>F197+'[3]9'!I147</f>
        <v>144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3">
        <f>H189+H140</f>
        <v>101.2800000000002</v>
      </c>
      <c r="G199" s="537">
        <f>SUM(G99,G185:G187)</f>
        <v>76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132" zoomScale="40" zoomScaleNormal="40" workbookViewId="0">
      <selection activeCell="F73" sqref="F73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6" customWidth="1"/>
    <col min="6" max="6" width="30" style="1447" customWidth="1"/>
    <col min="7" max="7" width="28.88671875" style="1446" customWidth="1"/>
    <col min="8" max="8" width="39.21875" style="1448" customWidth="1"/>
    <col min="9" max="9" width="16.109375" style="1446" customWidth="1"/>
    <col min="10" max="10" width="24" style="144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375</v>
      </c>
      <c r="B2" s="1031">
        <v>44388</v>
      </c>
      <c r="C2" s="1141" t="s">
        <v>68</v>
      </c>
      <c r="D2" s="611">
        <v>0.85</v>
      </c>
      <c r="E2" s="1377"/>
      <c r="F2" s="1377"/>
      <c r="G2" s="1377" t="s">
        <v>117</v>
      </c>
      <c r="H2" s="1377" t="s">
        <v>6</v>
      </c>
      <c r="I2" s="1377" t="s">
        <v>8</v>
      </c>
      <c r="J2" s="1378" t="s">
        <v>118</v>
      </c>
      <c r="N2" s="717"/>
    </row>
    <row r="3" spans="1:16" s="281" customFormat="1" ht="27">
      <c r="A3" s="570"/>
      <c r="B3" s="614"/>
      <c r="C3" s="1141" t="s">
        <v>119</v>
      </c>
      <c r="D3" s="612">
        <v>29</v>
      </c>
      <c r="E3" s="1610" t="s">
        <v>120</v>
      </c>
      <c r="F3" s="1611"/>
      <c r="G3" s="1379"/>
      <c r="H3" s="1380"/>
      <c r="I3" s="1380"/>
      <c r="J3" s="1381"/>
      <c r="K3" s="371"/>
      <c r="L3" s="292"/>
      <c r="N3" s="717"/>
    </row>
    <row r="4" spans="1:16" s="281" customFormat="1" ht="27">
      <c r="A4" s="576"/>
      <c r="B4" s="616"/>
      <c r="C4" s="1141" t="s">
        <v>121</v>
      </c>
      <c r="D4" s="611">
        <v>0.8</v>
      </c>
      <c r="E4" s="1382"/>
      <c r="F4" s="1382"/>
      <c r="G4" s="1382"/>
      <c r="H4" s="1382"/>
      <c r="I4" s="1383"/>
      <c r="J4" s="1381"/>
      <c r="K4" s="372"/>
      <c r="L4" s="292"/>
      <c r="N4" s="717"/>
    </row>
    <row r="5" spans="1:16">
      <c r="A5" s="577" t="s">
        <v>122</v>
      </c>
      <c r="B5" s="459"/>
      <c r="C5" s="459"/>
      <c r="D5" s="511" t="s">
        <v>123</v>
      </c>
      <c r="E5" s="1384" t="s">
        <v>124</v>
      </c>
      <c r="F5" s="1384" t="s">
        <v>111</v>
      </c>
      <c r="G5" s="1385" t="s">
        <v>125</v>
      </c>
      <c r="H5" s="1384" t="s">
        <v>126</v>
      </c>
      <c r="I5" s="1107" t="s">
        <v>127</v>
      </c>
      <c r="J5" s="1386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1387"/>
      <c r="F6" s="1387"/>
      <c r="G6" s="1387"/>
      <c r="H6" s="627"/>
      <c r="I6" s="627"/>
      <c r="J6" s="1388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1389">
        <f>'10'!F7</f>
        <v>137397</v>
      </c>
      <c r="F7" s="455">
        <v>160128.5</v>
      </c>
      <c r="G7" s="1390">
        <f>F7-E7</f>
        <v>22731.5</v>
      </c>
      <c r="H7" s="749">
        <f>G7+'10'!H7</f>
        <v>238175.50000000006</v>
      </c>
      <c r="I7" s="1391">
        <v>12000</v>
      </c>
      <c r="J7" s="1392">
        <f>H7/DAY(B2)</f>
        <v>21652.318181818187</v>
      </c>
      <c r="K7" s="549"/>
      <c r="L7" s="377"/>
      <c r="N7" s="718"/>
      <c r="P7" s="721"/>
    </row>
    <row r="8" spans="1:16" ht="27.75" thickBot="1">
      <c r="A8" s="682" t="s">
        <v>132</v>
      </c>
      <c r="B8" s="683"/>
      <c r="C8" s="684"/>
      <c r="D8" s="685" t="s">
        <v>25</v>
      </c>
      <c r="E8" s="1389">
        <f>'10'!F8</f>
        <v>143229</v>
      </c>
      <c r="F8" s="475">
        <v>166058.97</v>
      </c>
      <c r="G8" s="1390">
        <f t="shared" ref="G8:G12" si="0">F8-E8</f>
        <v>22829.97</v>
      </c>
      <c r="H8" s="749">
        <f>G8+'10'!H8</f>
        <v>239336.97</v>
      </c>
      <c r="I8" s="1393">
        <v>12000</v>
      </c>
      <c r="J8" s="1392">
        <f>H8/DAY(B2)</f>
        <v>21757.906363636364</v>
      </c>
      <c r="K8" s="549"/>
      <c r="L8" s="425"/>
      <c r="M8" s="440"/>
      <c r="N8" s="718"/>
      <c r="P8" s="382"/>
    </row>
    <row r="9" spans="1:16">
      <c r="A9" s="687" t="s">
        <v>133</v>
      </c>
      <c r="B9" s="688"/>
      <c r="C9" s="688"/>
      <c r="D9" s="637" t="s">
        <v>131</v>
      </c>
      <c r="E9" s="1389">
        <f>'10'!F9</f>
        <v>2241360</v>
      </c>
      <c r="F9" s="651">
        <v>2263382.5</v>
      </c>
      <c r="G9" s="1394">
        <f t="shared" si="0"/>
        <v>22022.5</v>
      </c>
      <c r="H9" s="749">
        <f>G9+'10'!H9</f>
        <v>232380.5</v>
      </c>
      <c r="I9" s="749">
        <f>I7-J7</f>
        <v>-9652.3181818181874</v>
      </c>
      <c r="J9" s="1392">
        <f>H9/DAY(B2)</f>
        <v>21125.5</v>
      </c>
      <c r="K9" s="428"/>
      <c r="L9" s="377"/>
      <c r="N9" s="718"/>
      <c r="P9" s="382"/>
    </row>
    <row r="10" spans="1:16">
      <c r="A10" s="676" t="s">
        <v>134</v>
      </c>
      <c r="B10" s="677"/>
      <c r="C10" s="677"/>
      <c r="D10" s="637" t="s">
        <v>131</v>
      </c>
      <c r="E10" s="1389">
        <f>'10'!F10</f>
        <v>2606.5500000000002</v>
      </c>
      <c r="F10" s="651">
        <v>2606.5500000000002</v>
      </c>
      <c r="G10" s="1390">
        <f t="shared" si="0"/>
        <v>0</v>
      </c>
      <c r="H10" s="749">
        <f>G10+'10'!H10</f>
        <v>0</v>
      </c>
      <c r="I10" s="1395"/>
      <c r="J10" s="1392">
        <f>H10/DAY(B2)</f>
        <v>0</v>
      </c>
      <c r="K10" s="428"/>
      <c r="L10" s="377"/>
      <c r="N10" s="718"/>
      <c r="P10" s="382"/>
    </row>
    <row r="11" spans="1:16">
      <c r="A11" s="676" t="s">
        <v>135</v>
      </c>
      <c r="B11" s="677"/>
      <c r="C11" s="677"/>
      <c r="D11" s="637" t="s">
        <v>131</v>
      </c>
      <c r="E11" s="1389">
        <f>'10'!F11</f>
        <v>37000</v>
      </c>
      <c r="F11" s="706">
        <v>37000</v>
      </c>
      <c r="G11" s="1390">
        <f t="shared" si="0"/>
        <v>0</v>
      </c>
      <c r="H11" s="749">
        <f>G11+'10'!H11</f>
        <v>0</v>
      </c>
      <c r="I11" s="1395"/>
      <c r="J11" s="1392">
        <f>H11/DAY(B2)</f>
        <v>0</v>
      </c>
      <c r="K11" s="428"/>
      <c r="L11" s="377"/>
      <c r="N11" s="718"/>
      <c r="P11" s="382"/>
    </row>
    <row r="12" spans="1:16">
      <c r="A12" s="676" t="s">
        <v>136</v>
      </c>
      <c r="B12" s="677"/>
      <c r="C12" s="677"/>
      <c r="D12" s="637" t="s">
        <v>131</v>
      </c>
      <c r="E12" s="1389">
        <f>'10'!F12</f>
        <v>40010</v>
      </c>
      <c r="F12" s="651">
        <v>40010</v>
      </c>
      <c r="G12" s="1390">
        <f t="shared" si="0"/>
        <v>0</v>
      </c>
      <c r="H12" s="749">
        <f>G12+'10'!H12</f>
        <v>0</v>
      </c>
      <c r="I12" s="1395"/>
      <c r="J12" s="1392">
        <f>H12/DAY(B2)</f>
        <v>0</v>
      </c>
      <c r="K12" s="428"/>
      <c r="L12" s="377"/>
      <c r="N12" s="718"/>
      <c r="P12" s="382"/>
    </row>
    <row r="13" spans="1:16">
      <c r="A13" s="692" t="s">
        <v>137</v>
      </c>
      <c r="B13" s="693"/>
      <c r="C13" s="693"/>
      <c r="D13" s="637"/>
      <c r="E13" s="1389"/>
      <c r="F13" s="706"/>
      <c r="G13" s="1390">
        <f>G9+G10+G11+G12</f>
        <v>22022.5</v>
      </c>
      <c r="H13" s="749">
        <f>G13+'9'!H13</f>
        <v>212053.5</v>
      </c>
      <c r="I13" s="1389">
        <f>G7-G13</f>
        <v>709</v>
      </c>
      <c r="J13" s="1392">
        <f>H13/DAY(B2)</f>
        <v>19277.590909090908</v>
      </c>
      <c r="K13" s="428"/>
      <c r="L13" s="377"/>
      <c r="N13" s="718"/>
      <c r="P13" s="382"/>
    </row>
    <row r="14" spans="1:16">
      <c r="A14" s="1570" t="s">
        <v>138</v>
      </c>
      <c r="B14" s="1571"/>
      <c r="C14" s="1572"/>
      <c r="D14" s="472"/>
      <c r="E14" s="627"/>
      <c r="F14" s="627"/>
      <c r="G14" s="647"/>
      <c r="H14" s="627"/>
      <c r="I14" s="627"/>
      <c r="J14" s="1388"/>
      <c r="K14" s="429"/>
      <c r="L14" s="377"/>
      <c r="N14" s="718"/>
      <c r="P14" s="382"/>
    </row>
    <row r="15" spans="1:16">
      <c r="A15" s="792" t="s">
        <v>139</v>
      </c>
      <c r="B15" s="793"/>
      <c r="C15" s="793"/>
      <c r="D15" s="524" t="s">
        <v>140</v>
      </c>
      <c r="E15" s="651">
        <f>'10'!F15</f>
        <v>1711527</v>
      </c>
      <c r="F15" s="700">
        <v>1712513.41</v>
      </c>
      <c r="G15" s="652">
        <f>(F15-E15)</f>
        <v>986.40999999991618</v>
      </c>
      <c r="H15" s="705">
        <f>G15+'10'!H15</f>
        <v>8830.4099999999162</v>
      </c>
      <c r="I15" s="1397">
        <v>800</v>
      </c>
      <c r="J15" s="707">
        <f>H15/DAY(B2)</f>
        <v>802.76454545453782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6"/>
      <c r="H16" s="705"/>
      <c r="I16" s="706">
        <f>I15-J15</f>
        <v>-2.7645454545378243</v>
      </c>
      <c r="J16" s="707"/>
      <c r="K16" s="428"/>
      <c r="L16" s="377"/>
      <c r="N16" s="718"/>
      <c r="P16" s="382"/>
    </row>
    <row r="17" spans="1:16">
      <c r="A17" s="1570" t="s">
        <v>141</v>
      </c>
      <c r="B17" s="1571"/>
      <c r="C17" s="1572"/>
      <c r="D17" s="472"/>
      <c r="E17" s="627"/>
      <c r="F17" s="627"/>
      <c r="G17" s="749"/>
      <c r="H17" s="627"/>
      <c r="I17" s="627"/>
      <c r="J17" s="1388"/>
      <c r="K17" s="428"/>
      <c r="L17" s="377"/>
      <c r="N17" s="718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5">
        <f>'10'!F18</f>
        <v>16</v>
      </c>
      <c r="F18" s="651">
        <v>18</v>
      </c>
      <c r="G18" s="1390">
        <f>F18*10</f>
        <v>180</v>
      </c>
      <c r="H18" s="749">
        <f>G18+'10'!H18</f>
        <v>1500</v>
      </c>
      <c r="I18" s="1391">
        <v>65</v>
      </c>
      <c r="J18" s="1392">
        <f>H18/DAY(B2)</f>
        <v>136.36363636363637</v>
      </c>
      <c r="K18" s="428"/>
      <c r="L18" s="377"/>
      <c r="N18" s="718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5">
        <f>'10'!F19</f>
        <v>142100</v>
      </c>
      <c r="F19" s="651">
        <v>142160</v>
      </c>
      <c r="G19" s="1390">
        <f t="shared" ref="G19" si="1">F19-E19</f>
        <v>60</v>
      </c>
      <c r="H19" s="749">
        <f>G19+'10'!H19</f>
        <v>665</v>
      </c>
      <c r="I19" s="1398"/>
      <c r="J19" s="1392">
        <f>H19/DAY(B2)</f>
        <v>60.454545454545453</v>
      </c>
      <c r="K19" s="428"/>
      <c r="L19" s="377"/>
      <c r="N19" s="718"/>
      <c r="P19" s="382"/>
    </row>
    <row r="20" spans="1:16">
      <c r="A20" s="692" t="s">
        <v>144</v>
      </c>
      <c r="B20" s="693"/>
      <c r="C20" s="693"/>
      <c r="D20" s="637"/>
      <c r="E20" s="647"/>
      <c r="F20" s="627"/>
      <c r="G20" s="1399">
        <f>G18+G19</f>
        <v>240</v>
      </c>
      <c r="H20" s="749">
        <f>G20+'10'!H20</f>
        <v>2165</v>
      </c>
      <c r="I20" s="1400">
        <f>I18-J20</f>
        <v>-131.81818181818181</v>
      </c>
      <c r="J20" s="1392">
        <f>H20/DAY(B2)</f>
        <v>196.81818181818181</v>
      </c>
      <c r="K20" s="428"/>
      <c r="L20" s="377"/>
      <c r="N20" s="718"/>
      <c r="P20" s="382"/>
    </row>
    <row r="21" spans="1:16">
      <c r="A21" s="1570" t="s">
        <v>145</v>
      </c>
      <c r="B21" s="1571"/>
      <c r="C21" s="1572"/>
      <c r="D21" s="472"/>
      <c r="E21" s="627"/>
      <c r="F21" s="627"/>
      <c r="G21" s="647"/>
      <c r="H21" s="627"/>
      <c r="I21" s="627"/>
      <c r="J21" s="1388"/>
      <c r="K21" s="428"/>
      <c r="L21" s="377"/>
      <c r="N21" s="718"/>
      <c r="P21" s="382"/>
    </row>
    <row r="22" spans="1:16">
      <c r="A22" s="1139" t="s">
        <v>146</v>
      </c>
      <c r="B22" s="589"/>
      <c r="C22" s="589"/>
      <c r="D22" s="523" t="s">
        <v>147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1"/>
      <c r="J22" s="707">
        <f>H22/DAY(B2)</f>
        <v>0</v>
      </c>
      <c r="K22" s="428"/>
      <c r="L22" s="377"/>
      <c r="N22" s="718"/>
      <c r="P22" s="382"/>
    </row>
    <row r="23" spans="1:16">
      <c r="A23" s="1139" t="s">
        <v>148</v>
      </c>
      <c r="B23" s="589"/>
      <c r="C23" s="589"/>
      <c r="D23" s="523" t="s">
        <v>147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1"/>
      <c r="J23" s="707">
        <f>H23/DAY(B2)</f>
        <v>0</v>
      </c>
      <c r="K23" s="428"/>
      <c r="L23" s="377"/>
      <c r="N23" s="718"/>
      <c r="P23" s="382"/>
    </row>
    <row r="24" spans="1:16">
      <c r="A24" s="590" t="s">
        <v>149</v>
      </c>
      <c r="B24" s="591"/>
      <c r="C24" s="591"/>
      <c r="D24" s="511" t="s">
        <v>147</v>
      </c>
      <c r="E24" s="1401">
        <f>'10'!F24</f>
        <v>4970</v>
      </c>
      <c r="F24" s="651">
        <v>4970</v>
      </c>
      <c r="G24" s="652">
        <v>0</v>
      </c>
      <c r="H24" s="705">
        <f>G24+'10'!H24</f>
        <v>0</v>
      </c>
      <c r="I24" s="1071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75" t="s">
        <v>150</v>
      </c>
      <c r="B25" s="1576"/>
      <c r="C25" s="1577"/>
      <c r="D25" s="471"/>
      <c r="E25" s="1387"/>
      <c r="F25" s="1387"/>
      <c r="G25" s="1402"/>
      <c r="H25" s="1107"/>
      <c r="I25" s="1403"/>
      <c r="J25" s="1404"/>
      <c r="K25" s="373"/>
      <c r="L25" s="443"/>
      <c r="N25" s="71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05"/>
      <c r="F26" s="706"/>
      <c r="G26" s="1406"/>
      <c r="H26" s="705"/>
      <c r="I26" s="1407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08">
        <f>G8</f>
        <v>22829.97</v>
      </c>
      <c r="F27" s="1409">
        <v>9</v>
      </c>
      <c r="G27" s="1410">
        <f>E27*F27</f>
        <v>205469.73</v>
      </c>
      <c r="H27" s="705">
        <f>G27+'10'!H27</f>
        <v>2154032.73</v>
      </c>
      <c r="I27" s="1411"/>
      <c r="J27" s="707">
        <f>H27/DAY(B2)</f>
        <v>195821.15727272726</v>
      </c>
      <c r="K27" s="373"/>
      <c r="L27" s="443"/>
      <c r="N27" s="71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08">
        <f>G15</f>
        <v>986.40999999991618</v>
      </c>
      <c r="F28" s="501">
        <v>52</v>
      </c>
      <c r="G28" s="1410">
        <f>E28*F28</f>
        <v>51293.319999995641</v>
      </c>
      <c r="H28" s="705">
        <f>G28+'10'!H28</f>
        <v>459181.31999999564</v>
      </c>
      <c r="I28" s="1412"/>
      <c r="J28" s="707">
        <f>H28/DAY(B2)</f>
        <v>41743.75636363597</v>
      </c>
      <c r="K28" s="373"/>
      <c r="L28" s="443"/>
      <c r="N28" s="71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08">
        <f>G24</f>
        <v>0</v>
      </c>
      <c r="F29" s="1409">
        <v>69</v>
      </c>
      <c r="G29" s="1410">
        <f>E29*F29</f>
        <v>0</v>
      </c>
      <c r="H29" s="705">
        <f>G29+'10'!H29</f>
        <v>0</v>
      </c>
      <c r="I29" s="1412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08">
        <f>G19</f>
        <v>60</v>
      </c>
      <c r="F30" s="1409">
        <v>146</v>
      </c>
      <c r="G30" s="1410">
        <f>E30*F30</f>
        <v>8760</v>
      </c>
      <c r="H30" s="705">
        <f>G30+'10'!H30</f>
        <v>96506</v>
      </c>
      <c r="I30" s="1412"/>
      <c r="J30" s="707">
        <f>H30/DAY(B2)</f>
        <v>8773.2727272727279</v>
      </c>
      <c r="K30" s="373"/>
      <c r="L30" s="443"/>
      <c r="N30" s="71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08">
        <f>G18</f>
        <v>180</v>
      </c>
      <c r="F31" s="1409">
        <v>80</v>
      </c>
      <c r="G31" s="1410">
        <f>E31*F31</f>
        <v>14400</v>
      </c>
      <c r="H31" s="705">
        <f>G31+'10'!H31</f>
        <v>114400</v>
      </c>
      <c r="I31" s="1412"/>
      <c r="J31" s="707">
        <f>H31/DAY(B2)</f>
        <v>10400</v>
      </c>
      <c r="K31" s="373"/>
      <c r="L31" s="443"/>
      <c r="N31" s="718"/>
      <c r="P31" s="382"/>
    </row>
    <row r="32" spans="1:16" s="442" customFormat="1" ht="27.75">
      <c r="A32" s="595" t="s">
        <v>160</v>
      </c>
      <c r="B32" s="596"/>
      <c r="C32" s="597"/>
      <c r="D32" s="507"/>
      <c r="E32" s="1413"/>
      <c r="F32" s="627"/>
      <c r="G32" s="1414">
        <f>G27+G28+G29+G30+G31</f>
        <v>279923.04999999562</v>
      </c>
      <c r="H32" s="705">
        <f>G32+'10'!H32</f>
        <v>2824120.0499999952</v>
      </c>
      <c r="I32" s="1415"/>
      <c r="J32" s="707">
        <f>H32/DAY(B2)</f>
        <v>256738.18636363593</v>
      </c>
      <c r="K32" s="373"/>
      <c r="L32" s="443"/>
      <c r="N32" s="718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P33" s="382"/>
    </row>
    <row r="34" spans="1:16">
      <c r="A34" s="598" t="s">
        <v>162</v>
      </c>
      <c r="B34" s="1144"/>
      <c r="C34" s="1144"/>
      <c r="D34" s="472"/>
      <c r="E34" s="1387"/>
      <c r="F34" s="1387"/>
      <c r="G34" s="627"/>
      <c r="H34" s="627"/>
      <c r="I34" s="627"/>
      <c r="J34" s="1388"/>
      <c r="K34" s="428"/>
      <c r="L34" s="377"/>
      <c r="N34" s="718"/>
      <c r="P34" s="382"/>
    </row>
    <row r="35" spans="1:16">
      <c r="A35" s="578" t="s">
        <v>163</v>
      </c>
      <c r="B35" s="579"/>
      <c r="C35" s="579"/>
      <c r="D35" s="523" t="s">
        <v>131</v>
      </c>
      <c r="E35" s="653">
        <f>'10'!F35</f>
        <v>1058597</v>
      </c>
      <c r="F35" s="653">
        <v>1058597.3</v>
      </c>
      <c r="G35" s="652">
        <f t="shared" ref="G35:G46" si="3">F35-E35</f>
        <v>0.30000000004656613</v>
      </c>
      <c r="H35" s="705">
        <f>G35+'10'!H35</f>
        <v>29883.300000000047</v>
      </c>
      <c r="I35" s="706"/>
      <c r="J35" s="707">
        <f>H35/DAY(B2)</f>
        <v>2716.6636363636408</v>
      </c>
      <c r="K35" s="428"/>
      <c r="L35" s="377"/>
      <c r="N35" s="718"/>
      <c r="P35" s="382"/>
    </row>
    <row r="36" spans="1:16">
      <c r="A36" s="578" t="s">
        <v>164</v>
      </c>
      <c r="B36" s="579"/>
      <c r="C36" s="579"/>
      <c r="D36" s="523" t="s">
        <v>131</v>
      </c>
      <c r="E36" s="653">
        <f>'10'!F36</f>
        <v>28220</v>
      </c>
      <c r="F36" s="653">
        <v>29233.21</v>
      </c>
      <c r="G36" s="652">
        <f t="shared" si="3"/>
        <v>1013.2099999999991</v>
      </c>
      <c r="H36" s="705">
        <f>G36+'10'!H36</f>
        <v>8772.2099999999991</v>
      </c>
      <c r="I36" s="706"/>
      <c r="J36" s="707">
        <f>H36/DAY(B2)</f>
        <v>797.47363636363627</v>
      </c>
      <c r="K36" s="428"/>
      <c r="L36" s="377"/>
      <c r="N36" s="719"/>
      <c r="P36" s="382"/>
    </row>
    <row r="37" spans="1:16">
      <c r="A37" s="578" t="s">
        <v>165</v>
      </c>
      <c r="B37" s="579"/>
      <c r="C37" s="579"/>
      <c r="D37" s="523" t="s">
        <v>131</v>
      </c>
      <c r="E37" s="653">
        <f>'10'!F37</f>
        <v>191896</v>
      </c>
      <c r="F37" s="653">
        <v>193485.75</v>
      </c>
      <c r="G37" s="652">
        <f t="shared" si="3"/>
        <v>1589.75</v>
      </c>
      <c r="H37" s="705">
        <f>G37+'10'!H37</f>
        <v>16915.75</v>
      </c>
      <c r="I37" s="706"/>
      <c r="J37" s="707">
        <f>H37/DAY(B2)</f>
        <v>1537.7954545454545</v>
      </c>
      <c r="K37" s="428"/>
      <c r="L37" s="377"/>
      <c r="N37" s="719"/>
      <c r="P37" s="382"/>
    </row>
    <row r="38" spans="1:16">
      <c r="A38" s="578" t="s">
        <v>166</v>
      </c>
      <c r="B38" s="579"/>
      <c r="C38" s="579"/>
      <c r="D38" s="523" t="s">
        <v>131</v>
      </c>
      <c r="E38" s="653">
        <f>'10'!F38</f>
        <v>214502</v>
      </c>
      <c r="F38" s="1384">
        <v>216163.79</v>
      </c>
      <c r="G38" s="652">
        <f t="shared" si="3"/>
        <v>1661.7900000000081</v>
      </c>
      <c r="H38" s="705">
        <f>G38+'10'!H38</f>
        <v>17704.790000000008</v>
      </c>
      <c r="I38" s="706"/>
      <c r="J38" s="707">
        <f>H38/DAY(B2)</f>
        <v>1609.5263636363643</v>
      </c>
      <c r="K38" s="428"/>
      <c r="L38" s="377"/>
      <c r="N38" s="718"/>
      <c r="P38" s="382"/>
    </row>
    <row r="39" spans="1:16">
      <c r="A39" s="578" t="s">
        <v>167</v>
      </c>
      <c r="B39" s="579"/>
      <c r="C39" s="579"/>
      <c r="D39" s="523" t="s">
        <v>131</v>
      </c>
      <c r="E39" s="653">
        <f>'10'!F39</f>
        <v>441569</v>
      </c>
      <c r="F39" s="653">
        <v>445178.67</v>
      </c>
      <c r="G39" s="652">
        <f t="shared" si="3"/>
        <v>3609.6699999999837</v>
      </c>
      <c r="H39" s="705">
        <f>G39+'10'!H39</f>
        <v>40314.669999999984</v>
      </c>
      <c r="I39" s="706"/>
      <c r="J39" s="707">
        <f>H39/DAY(B2)</f>
        <v>3664.9699999999984</v>
      </c>
      <c r="K39" s="428"/>
      <c r="L39" s="377"/>
      <c r="N39" s="718"/>
      <c r="P39" s="382"/>
    </row>
    <row r="40" spans="1:16">
      <c r="A40" s="599" t="s">
        <v>168</v>
      </c>
      <c r="B40" s="600"/>
      <c r="C40" s="600"/>
      <c r="D40" s="523" t="s">
        <v>131</v>
      </c>
      <c r="E40" s="653">
        <f>'10'!F40</f>
        <v>10933</v>
      </c>
      <c r="F40" s="653">
        <v>11205.44</v>
      </c>
      <c r="G40" s="652">
        <f t="shared" si="3"/>
        <v>272.44000000000051</v>
      </c>
      <c r="H40" s="705">
        <f>G40+'10'!H40</f>
        <v>4092.4400000000005</v>
      </c>
      <c r="I40" s="706"/>
      <c r="J40" s="707">
        <f>H40/DAY(B2)</f>
        <v>372.04</v>
      </c>
      <c r="K40" s="429"/>
      <c r="L40" s="377"/>
      <c r="N40" s="718"/>
      <c r="P40" s="382"/>
    </row>
    <row r="41" spans="1:16">
      <c r="A41" s="578" t="s">
        <v>169</v>
      </c>
      <c r="B41" s="579"/>
      <c r="C41" s="579"/>
      <c r="D41" s="523" t="s">
        <v>131</v>
      </c>
      <c r="E41" s="653">
        <f>'10'!F41</f>
        <v>362199</v>
      </c>
      <c r="F41" s="653">
        <v>364063.91</v>
      </c>
      <c r="G41" s="652">
        <f t="shared" si="3"/>
        <v>1864.9099999999744</v>
      </c>
      <c r="H41" s="705">
        <f>G41+'10'!H41</f>
        <v>34421.909999999974</v>
      </c>
      <c r="I41" s="706"/>
      <c r="J41" s="707">
        <f>H41/DAY(B2)</f>
        <v>3129.2645454545432</v>
      </c>
      <c r="K41" s="428"/>
      <c r="L41" s="377"/>
      <c r="N41" s="718"/>
      <c r="P41" s="721"/>
    </row>
    <row r="42" spans="1:16">
      <c r="A42" s="578" t="s">
        <v>170</v>
      </c>
      <c r="B42" s="579"/>
      <c r="C42" s="579"/>
      <c r="D42" s="523" t="s">
        <v>131</v>
      </c>
      <c r="E42" s="653">
        <f>'10'!F42</f>
        <v>59210</v>
      </c>
      <c r="F42" s="653">
        <v>59210.080000000002</v>
      </c>
      <c r="G42" s="652">
        <f t="shared" si="3"/>
        <v>8.000000000174623E-2</v>
      </c>
      <c r="H42" s="705">
        <f>G42+'10'!H42</f>
        <v>11.190000000002328</v>
      </c>
      <c r="I42" s="706"/>
      <c r="J42" s="707">
        <f>H42/DAY(B2)</f>
        <v>1.0172727272729389</v>
      </c>
      <c r="K42" s="428"/>
      <c r="L42" s="377"/>
      <c r="N42" s="718"/>
      <c r="P42" s="382"/>
    </row>
    <row r="43" spans="1:16">
      <c r="A43" s="578" t="s">
        <v>171</v>
      </c>
      <c r="B43" s="579"/>
      <c r="C43" s="579"/>
      <c r="D43" s="523" t="s">
        <v>131</v>
      </c>
      <c r="E43" s="653">
        <f>'10'!F43</f>
        <v>1146895</v>
      </c>
      <c r="F43" s="653">
        <v>1149837.3999999999</v>
      </c>
      <c r="G43" s="652">
        <f>F43-E43</f>
        <v>2942.3999999999069</v>
      </c>
      <c r="H43" s="705">
        <f>G43+'10'!H43</f>
        <v>29385.399999999907</v>
      </c>
      <c r="I43" s="706"/>
      <c r="J43" s="707">
        <f>H43/DAY(B2)</f>
        <v>2671.3999999999915</v>
      </c>
      <c r="K43" s="428"/>
      <c r="L43" s="377"/>
      <c r="N43" s="718"/>
      <c r="P43" s="382"/>
    </row>
    <row r="44" spans="1:16">
      <c r="A44" s="578" t="s">
        <v>172</v>
      </c>
      <c r="B44" s="579"/>
      <c r="C44" s="579"/>
      <c r="D44" s="523" t="s">
        <v>131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173</v>
      </c>
      <c r="B45" s="579"/>
      <c r="C45" s="579"/>
      <c r="D45" s="523" t="s">
        <v>131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174</v>
      </c>
      <c r="B46" s="579"/>
      <c r="C46" s="579"/>
      <c r="D46" s="523" t="s">
        <v>131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175</v>
      </c>
      <c r="B47" s="586"/>
      <c r="C47" s="586"/>
      <c r="D47" s="470"/>
      <c r="E47" s="1387"/>
      <c r="F47" s="1387"/>
      <c r="G47" s="652">
        <f>G35+G36+G37+G38+G39+G40+G41+G42+G43+G44+G45+G46</f>
        <v>12955.039999999921</v>
      </c>
      <c r="H47" s="705">
        <f>G47+'10'!H47</f>
        <v>182303.14999999991</v>
      </c>
      <c r="I47" s="706"/>
      <c r="J47" s="707">
        <f>H47/DAY(B2)</f>
        <v>16573.013636363627</v>
      </c>
      <c r="K47" s="428"/>
      <c r="L47" s="377"/>
      <c r="N47" s="718"/>
      <c r="P47" s="382"/>
    </row>
    <row r="48" spans="1:16">
      <c r="A48" s="598" t="s">
        <v>176</v>
      </c>
      <c r="B48" s="1144"/>
      <c r="C48" s="1144"/>
      <c r="D48" s="472"/>
      <c r="E48" s="1387"/>
      <c r="F48" s="1387"/>
      <c r="G48" s="627"/>
      <c r="H48" s="627"/>
      <c r="I48" s="627"/>
      <c r="J48" s="1388"/>
      <c r="K48" s="428"/>
      <c r="L48" s="377"/>
      <c r="N48" s="718"/>
      <c r="P48" s="382"/>
    </row>
    <row r="49" spans="1:16">
      <c r="A49" s="578" t="s">
        <v>163</v>
      </c>
      <c r="B49" s="601"/>
      <c r="C49" s="601"/>
      <c r="D49" s="523" t="s">
        <v>131</v>
      </c>
      <c r="E49" s="653">
        <f>'10'!F49</f>
        <v>260764</v>
      </c>
      <c r="F49" s="653">
        <v>263719.73</v>
      </c>
      <c r="G49" s="652">
        <f t="shared" ref="G49:G58" si="4">F49-E49</f>
        <v>2955.7299999999814</v>
      </c>
      <c r="H49" s="705">
        <f>G49+'9'!H49</f>
        <v>2955.7299999999814</v>
      </c>
      <c r="I49" s="706"/>
      <c r="J49" s="707">
        <f>H49/DAY(B2)</f>
        <v>268.70272727272555</v>
      </c>
      <c r="K49" s="428"/>
      <c r="L49" s="377"/>
      <c r="N49" s="718"/>
      <c r="P49" s="382"/>
    </row>
    <row r="50" spans="1:16">
      <c r="A50" s="578" t="s">
        <v>177</v>
      </c>
      <c r="B50" s="601"/>
      <c r="C50" s="601"/>
      <c r="D50" s="523" t="s">
        <v>131</v>
      </c>
      <c r="E50" s="653">
        <f>'10'!F50</f>
        <v>545699</v>
      </c>
      <c r="F50" s="653">
        <v>546915.55000000005</v>
      </c>
      <c r="G50" s="652">
        <f t="shared" si="4"/>
        <v>1216.5500000000466</v>
      </c>
      <c r="H50" s="705">
        <f>G50+'9'!H50</f>
        <v>11159.550000000047</v>
      </c>
      <c r="I50" s="706"/>
      <c r="J50" s="707">
        <f>H50/DAY(B2)</f>
        <v>1014.5045454545497</v>
      </c>
      <c r="K50" s="428"/>
      <c r="L50" s="377"/>
      <c r="N50" s="718"/>
      <c r="P50" s="382"/>
    </row>
    <row r="51" spans="1:16">
      <c r="A51" s="578" t="s">
        <v>165</v>
      </c>
      <c r="B51" s="601"/>
      <c r="C51" s="601"/>
      <c r="D51" s="523" t="s">
        <v>131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178</v>
      </c>
      <c r="B52" s="601"/>
      <c r="C52" s="601"/>
      <c r="D52" s="523" t="s">
        <v>131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167</v>
      </c>
      <c r="B53" s="601"/>
      <c r="C53" s="601"/>
      <c r="D53" s="523" t="s">
        <v>131</v>
      </c>
      <c r="E53" s="653">
        <f>'10'!F53</f>
        <v>434232</v>
      </c>
      <c r="F53" s="653">
        <v>434231.59</v>
      </c>
      <c r="G53" s="652">
        <f t="shared" si="4"/>
        <v>-0.40999999997438863</v>
      </c>
      <c r="H53" s="705">
        <f>G53+'9'!H53</f>
        <v>-0.73999999999068677</v>
      </c>
      <c r="I53" s="706"/>
      <c r="J53" s="707">
        <f>H53/DAY(B2)</f>
        <v>-6.727272727188062E-2</v>
      </c>
      <c r="K53" s="428"/>
      <c r="L53" s="377"/>
      <c r="N53" s="718"/>
      <c r="P53" s="382"/>
    </row>
    <row r="54" spans="1:16">
      <c r="A54" s="578" t="s">
        <v>179</v>
      </c>
      <c r="B54" s="601"/>
      <c r="C54" s="601"/>
      <c r="D54" s="523" t="s">
        <v>131</v>
      </c>
      <c r="E54" s="653">
        <f>'10'!F54</f>
        <v>14967</v>
      </c>
      <c r="F54" s="653">
        <v>14967</v>
      </c>
      <c r="G54" s="652">
        <f t="shared" si="4"/>
        <v>0</v>
      </c>
      <c r="H54" s="705">
        <f>G54+'9'!H54</f>
        <v>0</v>
      </c>
      <c r="I54" s="706"/>
      <c r="J54" s="707">
        <f>H54/DAY(B2)</f>
        <v>0</v>
      </c>
      <c r="K54" s="428"/>
      <c r="L54" s="377"/>
      <c r="N54" s="718"/>
      <c r="P54" s="382"/>
    </row>
    <row r="55" spans="1:16">
      <c r="A55" s="578" t="s">
        <v>180</v>
      </c>
      <c r="B55" s="601"/>
      <c r="C55" s="601"/>
      <c r="D55" s="523" t="s">
        <v>131</v>
      </c>
      <c r="E55" s="653">
        <f>'10'!F55</f>
        <v>152079</v>
      </c>
      <c r="F55" s="653">
        <v>157337.92000000001</v>
      </c>
      <c r="G55" s="652">
        <f t="shared" si="4"/>
        <v>5258.9200000000128</v>
      </c>
      <c r="H55" s="705">
        <f>G55+'9'!H55</f>
        <v>34127.920000000013</v>
      </c>
      <c r="I55" s="706"/>
      <c r="J55" s="707">
        <f>H55/DAY(B2)</f>
        <v>3102.5381818181831</v>
      </c>
      <c r="K55" s="428"/>
      <c r="L55" s="377"/>
      <c r="N55" s="718"/>
      <c r="P55" s="382"/>
    </row>
    <row r="56" spans="1:16">
      <c r="A56" s="578" t="s">
        <v>181</v>
      </c>
      <c r="B56" s="601"/>
      <c r="C56" s="601"/>
      <c r="D56" s="523" t="s">
        <v>182</v>
      </c>
      <c r="E56" s="653">
        <f>'10'!F56</f>
        <v>649139</v>
      </c>
      <c r="F56" s="653">
        <v>649149.15</v>
      </c>
      <c r="G56" s="652">
        <f t="shared" si="4"/>
        <v>10.150000000023283</v>
      </c>
      <c r="H56" s="705">
        <f>G56+'9'!H56</f>
        <v>107.15000000002328</v>
      </c>
      <c r="I56" s="706"/>
      <c r="J56" s="707">
        <f>H56/DAY(B2)</f>
        <v>9.7409090909112077</v>
      </c>
      <c r="K56" s="427"/>
      <c r="L56" s="377"/>
      <c r="N56" s="718"/>
      <c r="P56" s="382"/>
    </row>
    <row r="57" spans="1:16">
      <c r="A57" s="578" t="s">
        <v>171</v>
      </c>
      <c r="B57" s="601"/>
      <c r="C57" s="601"/>
      <c r="D57" s="523" t="s">
        <v>131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183</v>
      </c>
      <c r="B58" s="601"/>
      <c r="C58" s="601"/>
      <c r="D58" s="523" t="s">
        <v>131</v>
      </c>
      <c r="E58" s="653">
        <f>'10'!F58</f>
        <v>55589</v>
      </c>
      <c r="F58" s="653">
        <v>55811.06</v>
      </c>
      <c r="G58" s="652">
        <f t="shared" si="4"/>
        <v>222.05999999999767</v>
      </c>
      <c r="H58" s="705">
        <f>G58+'9'!H58</f>
        <v>1631.0599999999977</v>
      </c>
      <c r="I58" s="706"/>
      <c r="J58" s="707">
        <f>H58/DAY(B2)</f>
        <v>148.27818181818159</v>
      </c>
      <c r="K58" s="428"/>
      <c r="L58" s="377"/>
      <c r="N58" s="718"/>
      <c r="P58" s="382"/>
    </row>
    <row r="59" spans="1:16">
      <c r="A59" s="585" t="s">
        <v>175</v>
      </c>
      <c r="B59" s="586"/>
      <c r="C59" s="586"/>
      <c r="D59" s="511"/>
      <c r="E59" s="1387"/>
      <c r="F59" s="1387"/>
      <c r="G59" s="652">
        <f>G49+G50+G51+G52+G53+G54+G55+G56+G57+G58</f>
        <v>9663.0000000000873</v>
      </c>
      <c r="H59" s="705">
        <f>G59+'9'!H59</f>
        <v>49980.610000000015</v>
      </c>
      <c r="I59" s="706">
        <f>G7-G60</f>
        <v>113.45999999999185</v>
      </c>
      <c r="J59" s="707">
        <f>H59/DAY(B2)</f>
        <v>4543.6918181818191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184</v>
      </c>
      <c r="E60" s="1387"/>
      <c r="F60" s="1387"/>
      <c r="G60" s="652">
        <f>G47+G59</f>
        <v>22618.040000000008</v>
      </c>
      <c r="H60" s="705">
        <f>G60+'10'!H60</f>
        <v>239187.08999999997</v>
      </c>
      <c r="I60" s="706">
        <f>G13-G60</f>
        <v>-595.54000000000815</v>
      </c>
      <c r="J60" s="707">
        <f>H60/DAY(B2)</f>
        <v>21744.280909090907</v>
      </c>
      <c r="K60" s="428"/>
      <c r="L60" s="377"/>
      <c r="N60" s="718"/>
      <c r="P60" s="382"/>
    </row>
    <row r="61" spans="1:16">
      <c r="A61" s="602" t="s">
        <v>185</v>
      </c>
      <c r="B61" s="453"/>
      <c r="C61" s="453"/>
      <c r="D61" s="513"/>
      <c r="E61" s="1416"/>
      <c r="F61" s="1416"/>
      <c r="G61" s="1417"/>
      <c r="H61" s="1417"/>
      <c r="I61" s="1417"/>
      <c r="J61" s="1418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186</v>
      </c>
      <c r="E62" s="1107">
        <f>'10'!F62</f>
        <v>0</v>
      </c>
      <c r="F62" s="1107">
        <v>0</v>
      </c>
      <c r="G62" s="652">
        <f t="shared" ref="G62:G69" si="5">F62-E62</f>
        <v>0</v>
      </c>
      <c r="H62" s="705">
        <f>G62+'10'!H62</f>
        <v>1.9999999967694748E-3</v>
      </c>
      <c r="I62" s="1419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187</v>
      </c>
      <c r="B63" s="604"/>
      <c r="C63" s="604"/>
      <c r="D63" s="511" t="s">
        <v>186</v>
      </c>
      <c r="E63" s="1107">
        <f>'10'!F63</f>
        <v>0</v>
      </c>
      <c r="F63" s="1107">
        <v>0</v>
      </c>
      <c r="G63" s="652">
        <f t="shared" si="5"/>
        <v>0</v>
      </c>
      <c r="H63" s="705">
        <f>G63+'10'!H63</f>
        <v>0</v>
      </c>
      <c r="I63" s="1419"/>
      <c r="J63" s="707">
        <f>H63/DAY(B2)</f>
        <v>0</v>
      </c>
      <c r="K63" s="428"/>
      <c r="L63" s="377"/>
      <c r="N63" s="718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107">
        <f>'10'!F64</f>
        <v>174038</v>
      </c>
      <c r="F64" s="651">
        <v>174412.43</v>
      </c>
      <c r="G64" s="652">
        <f t="shared" si="5"/>
        <v>374.42999999999302</v>
      </c>
      <c r="H64" s="705">
        <f>G64+'10'!H64</f>
        <v>4390.429999999993</v>
      </c>
      <c r="I64" s="1071"/>
      <c r="J64" s="707">
        <f>H64/DAY(B2)</f>
        <v>399.12999999999937</v>
      </c>
      <c r="K64" s="428"/>
      <c r="L64" s="377"/>
      <c r="N64" s="718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1107">
        <f>'10'!F65</f>
        <v>173988</v>
      </c>
      <c r="F65" s="651">
        <v>174374.93</v>
      </c>
      <c r="G65" s="652">
        <f t="shared" si="5"/>
        <v>386.92999999999302</v>
      </c>
      <c r="H65" s="705">
        <f>G65+'10'!H65</f>
        <v>4072.929999999993</v>
      </c>
      <c r="I65" s="732"/>
      <c r="J65" s="707">
        <f>H65/DAY(B2)</f>
        <v>370.266363636363</v>
      </c>
      <c r="K65" s="428"/>
      <c r="L65" s="377"/>
      <c r="N65" s="718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1107">
        <f>'10'!F66</f>
        <v>72110</v>
      </c>
      <c r="F66" s="651">
        <v>72541.13</v>
      </c>
      <c r="G66" s="652">
        <f t="shared" si="5"/>
        <v>431.13000000000466</v>
      </c>
      <c r="H66" s="705">
        <f>G66+'10'!H66</f>
        <v>4571.1300000000047</v>
      </c>
      <c r="I66" s="1071"/>
      <c r="J66" s="707">
        <f>H66/DAY(B2)</f>
        <v>415.55727272727313</v>
      </c>
      <c r="K66" s="428"/>
      <c r="L66" s="377"/>
      <c r="N66" s="718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1107">
        <f>'10'!F67</f>
        <v>269697</v>
      </c>
      <c r="F67" s="651">
        <v>270132.69</v>
      </c>
      <c r="G67" s="652">
        <f t="shared" si="5"/>
        <v>435.69000000000233</v>
      </c>
      <c r="H67" s="705">
        <f>G67+'10'!H67</f>
        <v>5173.6900000000023</v>
      </c>
      <c r="I67" s="732"/>
      <c r="J67" s="707">
        <f>H67/DAY(B2)</f>
        <v>470.33545454545475</v>
      </c>
      <c r="K67" s="429"/>
      <c r="L67" s="377"/>
      <c r="N67" s="718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1107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20"/>
      <c r="J68" s="707">
        <f>H68/DAY(B2)</f>
        <v>0</v>
      </c>
      <c r="K68" s="430"/>
      <c r="L68" s="377"/>
      <c r="N68" s="718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1107">
        <f>'10'!F69</f>
        <v>90002</v>
      </c>
      <c r="F69" s="651">
        <v>90283</v>
      </c>
      <c r="G69" s="652">
        <f t="shared" si="5"/>
        <v>281</v>
      </c>
      <c r="H69" s="705">
        <f>G69+'10'!H69</f>
        <v>2768</v>
      </c>
      <c r="I69" s="1420"/>
      <c r="J69" s="707">
        <f>H69/DAY(B2)</f>
        <v>251.63636363636363</v>
      </c>
      <c r="K69" s="431"/>
      <c r="L69" s="377"/>
      <c r="N69" s="718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1421"/>
      <c r="F70" s="1421"/>
      <c r="G70" s="1421"/>
      <c r="H70" s="705">
        <f>G70+'10'!H70</f>
        <v>0</v>
      </c>
      <c r="I70" s="1421"/>
      <c r="J70" s="1422">
        <f>H70/DAY(B2)</f>
        <v>0</v>
      </c>
      <c r="K70" s="431"/>
      <c r="L70" s="377"/>
      <c r="N70" s="718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20">
        <f>'10'!F72</f>
        <v>856340</v>
      </c>
      <c r="F72" s="655">
        <v>856351</v>
      </c>
      <c r="G72" s="652">
        <f t="shared" ref="G72:G84" si="6">F72-E72</f>
        <v>11</v>
      </c>
      <c r="H72" s="705">
        <f>G72+'10'!H72</f>
        <v>129</v>
      </c>
      <c r="I72" s="1071"/>
      <c r="J72" s="707">
        <f>H72/DAY(B2)</f>
        <v>11.727272727272727</v>
      </c>
      <c r="K72" s="431"/>
      <c r="L72" s="377"/>
      <c r="N72" s="718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20">
        <f>'10'!F73</f>
        <v>885985</v>
      </c>
      <c r="F73" s="655">
        <v>885986</v>
      </c>
      <c r="G73" s="652">
        <f t="shared" si="6"/>
        <v>1</v>
      </c>
      <c r="H73" s="705">
        <f>G73+'10'!H73</f>
        <v>14</v>
      </c>
      <c r="I73" s="1071"/>
      <c r="J73" s="707">
        <f>H73/DAY(B2)</f>
        <v>1.2727272727272727</v>
      </c>
      <c r="K73" s="430"/>
      <c r="L73" s="377"/>
      <c r="N73" s="718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20">
        <f>'10'!F74</f>
        <v>88708</v>
      </c>
      <c r="F74" s="655">
        <v>88709.6</v>
      </c>
      <c r="G74" s="652">
        <f t="shared" si="6"/>
        <v>1.6000000000058208</v>
      </c>
      <c r="H74" s="705">
        <f>G74+'10'!H74</f>
        <v>13.600000000005821</v>
      </c>
      <c r="I74" s="1071"/>
      <c r="J74" s="707">
        <f>H74/DAY(B2)</f>
        <v>1.2363636363641655</v>
      </c>
      <c r="K74" s="431"/>
      <c r="L74" s="377"/>
      <c r="N74" s="718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20">
        <f>'10'!F75</f>
        <v>17590</v>
      </c>
      <c r="F75" s="655">
        <v>17740.29</v>
      </c>
      <c r="G75" s="652">
        <f t="shared" si="6"/>
        <v>150.29000000000087</v>
      </c>
      <c r="H75" s="705">
        <f>G75+'10'!H75</f>
        <v>1669.2900000000009</v>
      </c>
      <c r="I75" s="1071"/>
      <c r="J75" s="707">
        <f>H75/DAY(B2)</f>
        <v>151.75363636363645</v>
      </c>
      <c r="K75" s="430"/>
      <c r="L75" s="377"/>
      <c r="N75" s="718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20">
        <f>'10'!F76</f>
        <v>9998</v>
      </c>
      <c r="F76" s="655">
        <v>10058.290000000001</v>
      </c>
      <c r="G76" s="652">
        <f t="shared" si="6"/>
        <v>60.290000000000873</v>
      </c>
      <c r="H76" s="705">
        <f>G76+'10'!H76</f>
        <v>722.29000000000087</v>
      </c>
      <c r="I76" s="1412"/>
      <c r="J76" s="707">
        <f>H76/DAY(B2)</f>
        <v>65.662727272727352</v>
      </c>
      <c r="K76" s="430"/>
      <c r="L76" s="377"/>
      <c r="N76" s="718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20">
        <f>'10'!F77</f>
        <v>705006</v>
      </c>
      <c r="F77" s="655">
        <v>705058</v>
      </c>
      <c r="G77" s="652">
        <f t="shared" si="6"/>
        <v>52</v>
      </c>
      <c r="H77" s="705">
        <f>G77+'10'!H77</f>
        <v>684</v>
      </c>
      <c r="I77" s="1412"/>
      <c r="J77" s="707">
        <f>H77/DAY(B2)</f>
        <v>62.18181818181818</v>
      </c>
      <c r="K77" s="430"/>
      <c r="L77" s="377"/>
      <c r="N77" s="718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20">
        <f>'10'!F78</f>
        <v>676448</v>
      </c>
      <c r="F78" s="655">
        <v>676509</v>
      </c>
      <c r="G78" s="652">
        <f t="shared" si="6"/>
        <v>61</v>
      </c>
      <c r="H78" s="705">
        <f>G78+'10'!H78</f>
        <v>1095</v>
      </c>
      <c r="I78" s="1412"/>
      <c r="J78" s="707">
        <f>H78/DAY(B2)</f>
        <v>99.545454545454547</v>
      </c>
      <c r="K78" s="430"/>
      <c r="L78" s="377"/>
      <c r="N78" s="718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20">
        <f>'10'!F79</f>
        <v>836924</v>
      </c>
      <c r="F79" s="655">
        <v>837068</v>
      </c>
      <c r="G79" s="652">
        <f t="shared" si="6"/>
        <v>144</v>
      </c>
      <c r="H79" s="705">
        <f>G79+'10'!H79</f>
        <v>1652</v>
      </c>
      <c r="I79" s="1412"/>
      <c r="J79" s="707">
        <f>H79/DAY(B2)</f>
        <v>150.18181818181819</v>
      </c>
      <c r="K79" s="430"/>
      <c r="L79" s="377"/>
      <c r="N79" s="718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20">
        <f>'10'!F80</f>
        <v>543101</v>
      </c>
      <c r="F80" s="655">
        <v>543549.16</v>
      </c>
      <c r="G80" s="652">
        <f t="shared" si="6"/>
        <v>448.1600000000326</v>
      </c>
      <c r="H80" s="705">
        <f>G80+'10'!H80</f>
        <v>4536.1600000000326</v>
      </c>
      <c r="I80" s="1412"/>
      <c r="J80" s="707">
        <f>H80/DAY(B2)</f>
        <v>412.37818181818477</v>
      </c>
      <c r="K80" s="430"/>
      <c r="L80" s="377"/>
      <c r="N80" s="718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20">
        <f>'10'!F81</f>
        <v>644878</v>
      </c>
      <c r="F81" s="655">
        <v>645157</v>
      </c>
      <c r="G81" s="652">
        <f t="shared" si="6"/>
        <v>279</v>
      </c>
      <c r="H81" s="705">
        <f>G81+'10'!H81</f>
        <v>2172</v>
      </c>
      <c r="I81" s="1412"/>
      <c r="J81" s="707">
        <f>H81/DAY(B2)</f>
        <v>197.45454545454547</v>
      </c>
      <c r="K81" s="430"/>
      <c r="L81" s="377"/>
      <c r="N81" s="718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20">
        <f>'10'!F82</f>
        <v>108883</v>
      </c>
      <c r="F82" s="651">
        <v>108911.61</v>
      </c>
      <c r="G82" s="652">
        <f t="shared" si="6"/>
        <v>28.610000000000582</v>
      </c>
      <c r="H82" s="705">
        <f>G82+'10'!H82</f>
        <v>230.61000000000058</v>
      </c>
      <c r="I82" s="705"/>
      <c r="J82" s="707">
        <f>H82/DAY(B2)</f>
        <v>20.964545454545508</v>
      </c>
      <c r="K82" s="430"/>
      <c r="L82" s="377"/>
      <c r="N82" s="718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20">
        <f>'10'!F83</f>
        <v>29944</v>
      </c>
      <c r="F83" s="1387">
        <v>30206</v>
      </c>
      <c r="G83" s="652">
        <f t="shared" si="6"/>
        <v>262</v>
      </c>
      <c r="H83" s="705">
        <f>G83+'10'!H83</f>
        <v>2655</v>
      </c>
      <c r="I83" s="652"/>
      <c r="J83" s="707">
        <f>H83/DAY(B2)</f>
        <v>241.36363636363637</v>
      </c>
      <c r="K83" s="429"/>
      <c r="L83" s="377"/>
      <c r="N83" s="718"/>
      <c r="P83" s="382"/>
    </row>
    <row r="84" spans="1:16">
      <c r="A84" s="1143" t="s">
        <v>200</v>
      </c>
      <c r="B84" s="571"/>
      <c r="C84" s="571"/>
      <c r="D84" s="478" t="s">
        <v>131</v>
      </c>
      <c r="E84" s="520">
        <f>'10'!F84</f>
        <v>531279</v>
      </c>
      <c r="F84" s="627">
        <v>532063</v>
      </c>
      <c r="G84" s="652">
        <f t="shared" si="6"/>
        <v>784</v>
      </c>
      <c r="H84" s="705">
        <f>G84+'10'!H84</f>
        <v>8983</v>
      </c>
      <c r="I84" s="652"/>
      <c r="J84" s="707">
        <f>H84/DAY(B2)</f>
        <v>816.63636363636363</v>
      </c>
      <c r="K84" s="380"/>
      <c r="L84" s="377"/>
      <c r="N84" s="718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5">
        <f xml:space="preserve"> SUM(G71:G84)</f>
        <v>2282.9500000000407</v>
      </c>
      <c r="H85" s="705">
        <f>G85+'10'!H85</f>
        <v>24555.950000000041</v>
      </c>
      <c r="I85" s="652"/>
      <c r="J85" s="707">
        <f>H85/DAY(B2)</f>
        <v>2232.3590909090944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'10'!F86</f>
        <v>462062</v>
      </c>
      <c r="F86" s="647">
        <v>462111.8</v>
      </c>
      <c r="G86" s="705">
        <f>F86-E86</f>
        <v>49.799999999988358</v>
      </c>
      <c r="H86" s="705">
        <f t="shared" ref="H86:H88" si="7">G86</f>
        <v>49.799999999988358</v>
      </c>
      <c r="I86" s="652"/>
      <c r="J86" s="707">
        <f>H86/DAY(B2)</f>
        <v>4.5272727272716686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'10'!F87</f>
        <v>82366</v>
      </c>
      <c r="F87" s="647">
        <v>82377.3</v>
      </c>
      <c r="G87" s="705">
        <f t="shared" ref="G87:G91" si="8">F87-E87</f>
        <v>11.30000000000291</v>
      </c>
      <c r="H87" s="705">
        <f t="shared" si="7"/>
        <v>11.30000000000291</v>
      </c>
      <c r="I87" s="652"/>
      <c r="J87" s="707">
        <f>H87/DAY(B2)</f>
        <v>1.0272727272729918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'10'!F88</f>
        <v>156490</v>
      </c>
      <c r="F88" s="647">
        <v>156526.41</v>
      </c>
      <c r="G88" s="705">
        <f t="shared" si="8"/>
        <v>36.410000000003492</v>
      </c>
      <c r="H88" s="705">
        <f t="shared" si="7"/>
        <v>36.410000000003492</v>
      </c>
      <c r="I88" s="652"/>
      <c r="J88" s="707">
        <f>H88/DAY(B2)</f>
        <v>3.3100000000003176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'10'!F89</f>
        <v>66344</v>
      </c>
      <c r="F89" s="647">
        <v>66357.600000000006</v>
      </c>
      <c r="G89" s="705">
        <f t="shared" si="8"/>
        <v>13.600000000005821</v>
      </c>
      <c r="H89" s="705">
        <f>G89</f>
        <v>13.600000000005821</v>
      </c>
      <c r="I89" s="652"/>
      <c r="J89" s="707">
        <f>H89/DAY(B2)</f>
        <v>1.2363636363641655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'10'!F90</f>
        <v>3380</v>
      </c>
      <c r="F90" s="647">
        <v>3381.4</v>
      </c>
      <c r="G90" s="705">
        <f t="shared" si="8"/>
        <v>1.4000000000000909</v>
      </c>
      <c r="H90" s="705">
        <f>G90</f>
        <v>1.4000000000000909</v>
      </c>
      <c r="I90" s="652"/>
      <c r="J90" s="707">
        <f>H90/DAY(B2)</f>
        <v>0.12727272727273553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'10'!F91</f>
        <v>28331</v>
      </c>
      <c r="F91" s="647">
        <v>28334.9</v>
      </c>
      <c r="G91" s="705">
        <f t="shared" si="8"/>
        <v>3.9000000000014552</v>
      </c>
      <c r="H91" s="705">
        <f>G91</f>
        <v>3.9000000000014552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627"/>
      <c r="F92" s="627"/>
      <c r="G92" s="749"/>
      <c r="H92" s="627"/>
      <c r="I92" s="627"/>
      <c r="J92" s="1388"/>
      <c r="K92" s="380"/>
      <c r="L92" s="378"/>
      <c r="N92" s="718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541">
        <f>'10'!F93</f>
        <v>248363</v>
      </c>
      <c r="F93" s="651">
        <v>248492</v>
      </c>
      <c r="G93" s="652">
        <f t="shared" ref="G93:G94" si="9">F93-E93</f>
        <v>129</v>
      </c>
      <c r="H93" s="705">
        <f>G93+'10'!H93</f>
        <v>1140</v>
      </c>
      <c r="I93" s="1071"/>
      <c r="J93" s="707">
        <f>H93/DAY(B2)</f>
        <v>103.63636363636364</v>
      </c>
      <c r="K93" s="429"/>
      <c r="L93" s="377"/>
      <c r="N93" s="718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541">
        <f>'10'!F94</f>
        <v>190548</v>
      </c>
      <c r="F94" s="651">
        <v>190711</v>
      </c>
      <c r="G94" s="652">
        <f t="shared" si="9"/>
        <v>163</v>
      </c>
      <c r="H94" s="705">
        <f>G94+'10'!H94</f>
        <v>1257</v>
      </c>
      <c r="I94" s="1071"/>
      <c r="J94" s="707">
        <f>H94/DAY(B2)</f>
        <v>114.27272727272727</v>
      </c>
      <c r="K94" s="380"/>
      <c r="L94" s="377"/>
      <c r="N94" s="718"/>
      <c r="P94" s="382"/>
    </row>
    <row r="95" spans="1:16">
      <c r="A95" s="1591" t="s">
        <v>207</v>
      </c>
      <c r="B95" s="1592"/>
      <c r="C95" s="1593"/>
      <c r="D95" s="523"/>
      <c r="E95" s="541">
        <f>'10'!F95</f>
        <v>0</v>
      </c>
      <c r="F95" s="651"/>
      <c r="G95" s="652">
        <f>G93+G94</f>
        <v>292</v>
      </c>
      <c r="H95" s="705">
        <f>G95+'10'!H95</f>
        <v>2211</v>
      </c>
      <c r="I95" s="1071"/>
      <c r="J95" s="707">
        <f>H95/DAY(B2)</f>
        <v>201</v>
      </c>
      <c r="K95" s="380"/>
      <c r="L95" s="377"/>
      <c r="N95" s="718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541">
        <f>'10'!F96</f>
        <v>416938</v>
      </c>
      <c r="F96" s="651">
        <v>417015</v>
      </c>
      <c r="G96" s="652">
        <f t="shared" ref="G96:G101" si="10">F96-E96</f>
        <v>77</v>
      </c>
      <c r="H96" s="705">
        <f>G96+'10'!H96</f>
        <v>1016</v>
      </c>
      <c r="I96" s="1071"/>
      <c r="J96" s="707">
        <f>H96/DAY(B2)</f>
        <v>92.36363636363636</v>
      </c>
      <c r="K96" s="380"/>
      <c r="L96" s="377"/>
      <c r="N96" s="718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541">
        <f>'10'!F97</f>
        <v>103371</v>
      </c>
      <c r="F97" s="651">
        <v>103403</v>
      </c>
      <c r="G97" s="652">
        <f t="shared" si="10"/>
        <v>32</v>
      </c>
      <c r="H97" s="705">
        <f>G97+'10'!H97</f>
        <v>240</v>
      </c>
      <c r="I97" s="1071"/>
      <c r="J97" s="707">
        <f>H97/DAY(B2)</f>
        <v>21.818181818181817</v>
      </c>
      <c r="K97" s="427"/>
      <c r="L97" s="377"/>
      <c r="N97" s="718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541">
        <f>'10'!F98</f>
        <v>98901</v>
      </c>
      <c r="F98" s="651">
        <v>98942</v>
      </c>
      <c r="G98" s="652">
        <f t="shared" si="10"/>
        <v>41</v>
      </c>
      <c r="H98" s="705">
        <f>G98+'10'!H98</f>
        <v>285</v>
      </c>
      <c r="I98" s="1071"/>
      <c r="J98" s="707">
        <f>H98/DAY(B2)</f>
        <v>25.90909090909091</v>
      </c>
      <c r="K98" s="432"/>
      <c r="L98" s="377"/>
      <c r="N98" s="718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541">
        <f>'10'!F99</f>
        <v>150709</v>
      </c>
      <c r="F99" s="651">
        <v>150726</v>
      </c>
      <c r="G99" s="652">
        <f t="shared" si="10"/>
        <v>17</v>
      </c>
      <c r="H99" s="705">
        <f>G99+'10'!H99</f>
        <v>321</v>
      </c>
      <c r="I99" s="1071"/>
      <c r="J99" s="707">
        <f>H99/DAY(B2)</f>
        <v>29.181818181818183</v>
      </c>
      <c r="K99" s="380"/>
      <c r="L99" s="377"/>
      <c r="N99" s="720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541">
        <f>'10'!F100</f>
        <v>7901</v>
      </c>
      <c r="F100" s="651">
        <v>7916</v>
      </c>
      <c r="G100" s="652">
        <f t="shared" si="10"/>
        <v>15</v>
      </c>
      <c r="H100" s="705">
        <f>G100+'10'!H100</f>
        <v>119</v>
      </c>
      <c r="I100" s="1071"/>
      <c r="J100" s="707">
        <f>H100/DAY(B2)</f>
        <v>10.818181818181818</v>
      </c>
      <c r="K100" s="380"/>
      <c r="L100" s="377"/>
      <c r="N100" s="718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541">
        <f>'10'!F101</f>
        <v>5773</v>
      </c>
      <c r="F101" s="651">
        <v>5785</v>
      </c>
      <c r="G101" s="652">
        <f t="shared" si="10"/>
        <v>12</v>
      </c>
      <c r="H101" s="705">
        <f>G101+'10'!H101</f>
        <v>111</v>
      </c>
      <c r="I101" s="1071"/>
      <c r="J101" s="707">
        <f>H101/DAY(B2)</f>
        <v>10.090909090909092</v>
      </c>
      <c r="K101" s="380"/>
      <c r="L101" s="377"/>
      <c r="N101" s="718"/>
      <c r="P101" s="382"/>
    </row>
    <row r="102" spans="1:16">
      <c r="A102" s="1591" t="s">
        <v>215</v>
      </c>
      <c r="B102" s="1592"/>
      <c r="C102" s="1593"/>
      <c r="D102" s="524"/>
      <c r="E102" s="541"/>
      <c r="F102" s="627"/>
      <c r="G102" s="749">
        <f>SUM(G96:G101)</f>
        <v>194</v>
      </c>
      <c r="H102" s="705">
        <f>G102+'10'!H102</f>
        <v>2092</v>
      </c>
      <c r="I102" s="1423"/>
      <c r="J102" s="707">
        <f>H102/DAY(B2)</f>
        <v>190.18181818181819</v>
      </c>
      <c r="K102" s="380"/>
      <c r="L102" s="377"/>
      <c r="N102" s="718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4"/>
      <c r="G103" s="1425"/>
      <c r="H103" s="1426"/>
      <c r="I103" s="1427"/>
      <c r="J103" s="1428"/>
      <c r="N103" s="718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541">
        <f>'10'!F105</f>
        <v>7767</v>
      </c>
      <c r="F105" s="659">
        <v>7767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541">
        <f>'10'!F106</f>
        <v>36243</v>
      </c>
      <c r="F106" s="659">
        <v>36255</v>
      </c>
      <c r="G106" s="534">
        <f t="shared" ref="G106:G107" si="11">F106-E106</f>
        <v>12</v>
      </c>
      <c r="H106" s="536">
        <f>SUM(G106+'1'!G77)</f>
        <v>65</v>
      </c>
      <c r="I106" s="534"/>
      <c r="J106" s="559">
        <f>H106/DAY(B2)</f>
        <v>5.9090909090909092</v>
      </c>
      <c r="N106" s="718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541">
        <f>'10'!F107</f>
        <v>19864</v>
      </c>
      <c r="F107" s="659">
        <v>19869</v>
      </c>
      <c r="G107" s="534">
        <f t="shared" si="11"/>
        <v>5</v>
      </c>
      <c r="H107" s="536">
        <f>SUM(G107+'1'!G78)</f>
        <v>119</v>
      </c>
      <c r="I107" s="534"/>
      <c r="J107" s="559">
        <f>H107/DAY(B2)</f>
        <v>10.818181818181818</v>
      </c>
      <c r="N107" s="718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541"/>
      <c r="F108" s="659"/>
      <c r="G108" s="534">
        <f>SUM(G105:G107)</f>
        <v>17</v>
      </c>
      <c r="H108" s="536">
        <f>SUM(G108+'1'!G79)</f>
        <v>170</v>
      </c>
      <c r="I108" s="534"/>
      <c r="J108" s="559">
        <f>H108/DAY(B2)</f>
        <v>15.454545454545455</v>
      </c>
      <c r="N108" s="718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541">
        <f>'10'!F110</f>
        <v>65649</v>
      </c>
      <c r="F110" s="659">
        <v>65714</v>
      </c>
      <c r="G110" s="534">
        <f>F110-E110</f>
        <v>65</v>
      </c>
      <c r="H110" s="536">
        <f>SUM(G110+'1'!G81)</f>
        <v>196.64000000001397</v>
      </c>
      <c r="I110" s="534"/>
      <c r="J110" s="559">
        <f>H110/DAY(B2)</f>
        <v>17.876363636364907</v>
      </c>
      <c r="N110" s="718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541">
        <f>'10'!F111</f>
        <v>33435</v>
      </c>
      <c r="F111" s="659">
        <v>33459</v>
      </c>
      <c r="G111" s="534">
        <f t="shared" ref="G111:G112" si="12">F111-E111</f>
        <v>24</v>
      </c>
      <c r="H111" s="536">
        <f>SUM(G111+'1'!G82)</f>
        <v>48.899999999994179</v>
      </c>
      <c r="I111" s="534"/>
      <c r="J111" s="559">
        <f>H111/DAY(B2)</f>
        <v>4.445454545454016</v>
      </c>
      <c r="N111" s="718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541">
        <f>'10'!F112</f>
        <v>4621.3</v>
      </c>
      <c r="F112" s="659">
        <v>4621.3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541"/>
      <c r="F113" s="659"/>
      <c r="G113" s="534">
        <f>SUM(G110:G112)</f>
        <v>89</v>
      </c>
      <c r="H113" s="536">
        <f>SUM(G113+'1'!G84)</f>
        <v>905</v>
      </c>
      <c r="I113" s="534"/>
      <c r="J113" s="559">
        <f>H113/DAY(B2)</f>
        <v>82.272727272727266</v>
      </c>
      <c r="N113" s="718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541">
        <f>'10'!F115</f>
        <v>12146</v>
      </c>
      <c r="F115" s="659">
        <v>12163</v>
      </c>
      <c r="G115" s="534">
        <f>F115-E115</f>
        <v>17</v>
      </c>
      <c r="H115" s="536">
        <f>SUM(G115+'1'!G92)</f>
        <v>17</v>
      </c>
      <c r="I115" s="534"/>
      <c r="J115" s="559">
        <f>H115/DAY(B2)</f>
        <v>1.5454545454545454</v>
      </c>
      <c r="N115" s="718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541">
        <f>'10'!F116</f>
        <v>8639</v>
      </c>
      <c r="F116" s="659">
        <v>8648</v>
      </c>
      <c r="G116" s="534">
        <f t="shared" ref="G116:G117" si="13">F116-E116</f>
        <v>9</v>
      </c>
      <c r="H116" s="536">
        <f>SUM(G116+'1'!G93)</f>
        <v>98</v>
      </c>
      <c r="I116" s="534"/>
      <c r="J116" s="559">
        <f>H116/DAY(B2)</f>
        <v>8.9090909090909083</v>
      </c>
      <c r="N116" s="718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26</v>
      </c>
      <c r="H118" s="536">
        <f>SUM(G118+'1'!G96)</f>
        <v>112</v>
      </c>
      <c r="I118" s="534"/>
      <c r="J118" s="559">
        <f>H118/DAY(B2)</f>
        <v>10.181818181818182</v>
      </c>
      <c r="N118" s="718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189</v>
      </c>
      <c r="G119" s="536">
        <f>SUM(G19+G93)</f>
        <v>189</v>
      </c>
      <c r="H119" s="536">
        <f>SUM(G119+'1'!G97)</f>
        <v>206</v>
      </c>
      <c r="I119" s="535"/>
      <c r="J119" s="559">
        <f>H119/DAY(B2)</f>
        <v>18.727272727272727</v>
      </c>
      <c r="N119" s="718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177</v>
      </c>
      <c r="G120" s="536">
        <f>SUM(G96,G97,G98,G100,G101)</f>
        <v>177</v>
      </c>
      <c r="H120" s="536">
        <f>SUM(G120+'1'!G99)</f>
        <v>227</v>
      </c>
      <c r="I120" s="535"/>
      <c r="J120" s="559">
        <f>H120/DAY(B2)</f>
        <v>20.636363636363637</v>
      </c>
      <c r="N120" s="718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89</v>
      </c>
      <c r="G121" s="534">
        <f>SUM(G113)</f>
        <v>89</v>
      </c>
      <c r="H121" s="536">
        <f>SUM(G121+'1'!G101)</f>
        <v>94</v>
      </c>
      <c r="I121" s="535"/>
      <c r="J121" s="559">
        <f>H121/DAY(B2)</f>
        <v>8.545454545454545</v>
      </c>
      <c r="N121" s="718"/>
      <c r="P121" s="382"/>
    </row>
    <row r="122" spans="1:16" s="442" customFormat="1" ht="27.75">
      <c r="A122" s="1549"/>
      <c r="B122" s="1550"/>
      <c r="C122" s="1137"/>
      <c r="D122" s="560"/>
      <c r="E122" s="1429"/>
      <c r="F122" s="1430" t="s">
        <v>214</v>
      </c>
      <c r="G122" s="1429"/>
      <c r="H122" s="1431"/>
      <c r="I122" s="1429"/>
      <c r="J122" s="1432"/>
      <c r="N122" s="718"/>
      <c r="P122" s="382"/>
    </row>
    <row r="123" spans="1:16">
      <c r="A123" s="1588" t="s">
        <v>229</v>
      </c>
      <c r="B123" s="1589"/>
      <c r="C123" s="1590"/>
      <c r="D123" s="472"/>
      <c r="E123" s="627"/>
      <c r="F123" s="627"/>
      <c r="G123" s="647"/>
      <c r="H123" s="647"/>
      <c r="I123" s="647"/>
      <c r="J123" s="1433"/>
      <c r="K123" s="380"/>
      <c r="L123" s="377"/>
      <c r="N123" s="718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651">
        <f>'10'!F124</f>
        <v>842406</v>
      </c>
      <c r="F124" s="651">
        <v>842701.88</v>
      </c>
      <c r="G124" s="652">
        <f t="shared" ref="G124:G128" si="14">F124-E124</f>
        <v>295.88000000000466</v>
      </c>
      <c r="H124" s="705">
        <f>G124+'10'!H124</f>
        <v>3031.8800000000047</v>
      </c>
      <c r="I124" s="1423"/>
      <c r="J124" s="707">
        <f>H124/DAY(B2)</f>
        <v>275.62545454545494</v>
      </c>
      <c r="K124" s="380"/>
      <c r="L124" s="377"/>
      <c r="N124" s="718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3"/>
      <c r="J125" s="707">
        <f>H125/DAY(B2)</f>
        <v>0</v>
      </c>
      <c r="K125" s="380"/>
      <c r="L125" s="377"/>
      <c r="N125" s="718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651">
        <f>'10'!F126</f>
        <v>149442</v>
      </c>
      <c r="F126" s="651">
        <v>149531.91</v>
      </c>
      <c r="G126" s="652">
        <f t="shared" si="14"/>
        <v>89.910000000003492</v>
      </c>
      <c r="H126" s="705">
        <f>G126+'10'!H126</f>
        <v>934.91000000000349</v>
      </c>
      <c r="I126" s="1423"/>
      <c r="J126" s="707">
        <f>H126/DAY(B2)</f>
        <v>84.991818181818502</v>
      </c>
      <c r="K126" s="380"/>
      <c r="L126" s="377"/>
      <c r="N126" s="718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51">
        <f>'10'!F127</f>
        <v>32436</v>
      </c>
      <c r="F127" s="651">
        <v>32482.799999999999</v>
      </c>
      <c r="G127" s="652">
        <f t="shared" si="14"/>
        <v>46.799999999999272</v>
      </c>
      <c r="H127" s="705">
        <f>G127+'10'!H127</f>
        <v>411.79999999999927</v>
      </c>
      <c r="I127" s="1423"/>
      <c r="J127" s="707">
        <f>H127/DAY(B2)</f>
        <v>37.436363636363573</v>
      </c>
      <c r="K127" s="380"/>
      <c r="L127" s="377"/>
      <c r="N127" s="718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51">
        <f>'10'!F128</f>
        <v>9042</v>
      </c>
      <c r="F128" s="651">
        <v>9046.7000000000007</v>
      </c>
      <c r="G128" s="652">
        <f t="shared" si="14"/>
        <v>4.7000000000007276</v>
      </c>
      <c r="H128" s="705">
        <f>G128+'10'!H128</f>
        <v>34.700000000000728</v>
      </c>
      <c r="I128" s="1071"/>
      <c r="J128" s="707">
        <f>H128/DAY(B2)</f>
        <v>3.1545454545455205</v>
      </c>
      <c r="K128" s="380"/>
      <c r="L128" s="377"/>
      <c r="N128" s="718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651"/>
      <c r="F129" s="651"/>
      <c r="G129" s="652">
        <f>G15-SUM(G124:G128)</f>
        <v>549.11999999990803</v>
      </c>
      <c r="H129" s="705"/>
      <c r="I129" s="1071"/>
      <c r="J129" s="707"/>
      <c r="K129" s="364"/>
      <c r="L129" s="292"/>
      <c r="N129" s="718"/>
      <c r="P129" s="382"/>
    </row>
    <row r="130" spans="1:16">
      <c r="A130" s="610" t="s">
        <v>236</v>
      </c>
      <c r="B130" s="458"/>
      <c r="C130" s="458"/>
      <c r="D130" s="471"/>
      <c r="E130" s="1387"/>
      <c r="F130" s="1387"/>
      <c r="G130" s="1434"/>
      <c r="H130" s="1434"/>
      <c r="I130" s="1434"/>
      <c r="J130" s="1435"/>
      <c r="N130" s="718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1"/>
      <c r="J131" s="707">
        <f>H131/DAY(B2)</f>
        <v>0</v>
      </c>
      <c r="N131" s="718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1"/>
      <c r="J132" s="707">
        <f>H132/DAY(B2)</f>
        <v>0</v>
      </c>
      <c r="N132" s="718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'10'!F133</f>
        <v>40597</v>
      </c>
      <c r="F133" s="651">
        <v>40605.550000000003</v>
      </c>
      <c r="G133" s="652">
        <f t="shared" si="15"/>
        <v>8.5500000000029104</v>
      </c>
      <c r="H133" s="705">
        <f>G133+'10'!H133</f>
        <v>152.55000000000291</v>
      </c>
      <c r="I133" s="1071"/>
      <c r="J133" s="707">
        <f>H133/DAY(B2)</f>
        <v>13.868181818182082</v>
      </c>
      <c r="N133" s="718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1">
        <f>G131+G132+G133+G134</f>
        <v>8.5500000000029104</v>
      </c>
      <c r="J134" s="707">
        <f>H134/DAY(B2)</f>
        <v>0</v>
      </c>
      <c r="N134" s="718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541">
        <f>'10'!F135</f>
        <v>42127</v>
      </c>
      <c r="F135" s="651">
        <v>42151.42</v>
      </c>
      <c r="G135" s="652">
        <f t="shared" si="15"/>
        <v>24.419999999998254</v>
      </c>
      <c r="H135" s="705">
        <f>G135+'10'!H135</f>
        <v>179.41999999999825</v>
      </c>
      <c r="I135" s="1071"/>
      <c r="J135" s="707">
        <f>H135/DAY(B2)</f>
        <v>16.310909090908932</v>
      </c>
      <c r="N135" s="718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'10'!F136</f>
        <v>32874.050000000003</v>
      </c>
      <c r="F136" s="651">
        <v>32874.050000000003</v>
      </c>
      <c r="G136" s="652">
        <f t="shared" si="15"/>
        <v>0</v>
      </c>
      <c r="H136" s="705">
        <f>G136+'10'!H136</f>
        <v>5.0000000002910383E-2</v>
      </c>
      <c r="I136" s="1071"/>
      <c r="J136" s="707">
        <f>H136/DAY(B2)</f>
        <v>4.5454545457191261E-3</v>
      </c>
      <c r="N136" s="718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'10'!F137</f>
        <v>22956.86</v>
      </c>
      <c r="F137" s="651">
        <v>22963.85</v>
      </c>
      <c r="G137" s="652">
        <f t="shared" si="15"/>
        <v>6.9899999999979627</v>
      </c>
      <c r="H137" s="705">
        <f>G137+'10'!H137</f>
        <v>72.359999999996944</v>
      </c>
      <c r="I137" s="1071">
        <f>G135+G136+G137</f>
        <v>31.409999999996217</v>
      </c>
      <c r="J137" s="707">
        <f>H137/DAY(B2)</f>
        <v>6.5781818181815401</v>
      </c>
      <c r="N137" s="718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'10'!F138</f>
        <v>25095.200000000001</v>
      </c>
      <c r="F138" s="651">
        <v>25099.16</v>
      </c>
      <c r="G138" s="652">
        <f t="shared" si="15"/>
        <v>3.9599999999991269</v>
      </c>
      <c r="H138" s="705">
        <f>G138+'10'!H138</f>
        <v>7.7700000000004366</v>
      </c>
      <c r="I138" s="1071"/>
      <c r="J138" s="707">
        <f>H138/DAY(B2)</f>
        <v>0.70636363636367605</v>
      </c>
      <c r="N138" s="718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'10'!F139</f>
        <v>70514.289999999994</v>
      </c>
      <c r="F139" s="651">
        <v>70514.289999999994</v>
      </c>
      <c r="G139" s="652">
        <f t="shared" si="15"/>
        <v>0</v>
      </c>
      <c r="H139" s="705">
        <f>G139+'10'!H139</f>
        <v>0.66999999999825377</v>
      </c>
      <c r="I139" s="1071">
        <f>G138+G139</f>
        <v>3.9599999999991269</v>
      </c>
      <c r="J139" s="707">
        <f>H139/DAY(B2)</f>
        <v>6.0909090908932158E-2</v>
      </c>
      <c r="N139" s="718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541">
        <f>'10'!F140</f>
        <v>2230.46</v>
      </c>
      <c r="F140" s="651">
        <v>2241.3000000000002</v>
      </c>
      <c r="G140" s="652">
        <f t="shared" si="15"/>
        <v>10.840000000000146</v>
      </c>
      <c r="H140" s="705">
        <f>G140+'10'!H140</f>
        <v>112.12000000000035</v>
      </c>
      <c r="I140" s="535"/>
      <c r="J140" s="707">
        <f>H140/DAY(B2)</f>
        <v>10.192727272727304</v>
      </c>
      <c r="N140" s="718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62" t="s">
        <v>249</v>
      </c>
      <c r="B142" s="1563"/>
      <c r="C142" s="1145"/>
      <c r="D142" s="472"/>
      <c r="E142" s="627"/>
      <c r="F142" s="627"/>
      <c r="G142" s="647"/>
      <c r="H142" s="647"/>
      <c r="I142" s="647"/>
      <c r="J142" s="1433"/>
      <c r="K142" s="380"/>
      <c r="L142" s="377"/>
      <c r="N142" s="718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627"/>
      <c r="F143" s="627"/>
      <c r="G143" s="705">
        <f>G35+G43+G49+G57</f>
        <v>5898.4299999999348</v>
      </c>
      <c r="H143" s="705">
        <f>G143+'10'!H143</f>
        <v>62256.429999999935</v>
      </c>
      <c r="I143" s="1071"/>
      <c r="J143" s="707">
        <f>H143/DAY(B2)</f>
        <v>5659.6754545454487</v>
      </c>
      <c r="K143" s="380"/>
      <c r="L143" s="377"/>
      <c r="N143" s="718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1387"/>
      <c r="F144" s="1387"/>
      <c r="G144" s="1436">
        <f>G143/G7</f>
        <v>0.25948265622593913</v>
      </c>
      <c r="H144" s="705">
        <f>G144+'10'!H144</f>
        <v>2.8773772499015493</v>
      </c>
      <c r="I144" s="544"/>
      <c r="J144" s="707">
        <f>H144/DAY(B2)</f>
        <v>0.26157974999104994</v>
      </c>
      <c r="K144" s="380"/>
      <c r="L144" s="377"/>
      <c r="N144" s="718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706"/>
      <c r="F145" s="706"/>
      <c r="G145" s="705">
        <f>G41+G42+G55+G56</f>
        <v>7134.0600000000122</v>
      </c>
      <c r="H145" s="705">
        <f>G145+'10'!H145</f>
        <v>74252.170000000013</v>
      </c>
      <c r="I145" s="1071"/>
      <c r="J145" s="707">
        <f>H145/DAY(B2)</f>
        <v>6750.1972727272741</v>
      </c>
      <c r="K145" s="380"/>
      <c r="L145" s="377"/>
      <c r="N145" s="718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706"/>
      <c r="F146" s="706"/>
      <c r="G146" s="1436">
        <f>G145/G7</f>
        <v>0.31384026571057838</v>
      </c>
      <c r="H146" s="705">
        <f>G146+'10'!H146</f>
        <v>3.4252360577427101</v>
      </c>
      <c r="I146" s="544"/>
      <c r="J146" s="707">
        <f>H146/DAY(B2)</f>
        <v>0.31138509615842819</v>
      </c>
      <c r="K146" s="380"/>
      <c r="L146" s="377"/>
      <c r="N146" s="718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706"/>
      <c r="F147" s="706"/>
      <c r="G147" s="705">
        <f>G39+G53</f>
        <v>3609.2600000000093</v>
      </c>
      <c r="H147" s="705">
        <f>G147+'10'!H147</f>
        <v>40314.260000000009</v>
      </c>
      <c r="I147" s="1437"/>
      <c r="J147" s="707">
        <f>H147/DAY(B2)</f>
        <v>3664.9327272727282</v>
      </c>
      <c r="K147" s="380"/>
      <c r="L147" s="377"/>
      <c r="N147" s="718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706"/>
      <c r="F148" s="706"/>
      <c r="G148" s="1436">
        <f>G147/G7</f>
        <v>0.15877790730924088</v>
      </c>
      <c r="H148" s="705">
        <f>G148+'10'!H148</f>
        <v>1.8649345057637687</v>
      </c>
      <c r="I148" s="1437"/>
      <c r="J148" s="707">
        <f>H148/DAY(B2)</f>
        <v>0.16953950052397898</v>
      </c>
      <c r="N148" s="718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706"/>
      <c r="F149" s="706"/>
      <c r="G149" s="705">
        <f>G38+G52</f>
        <v>1661.7900000000081</v>
      </c>
      <c r="H149" s="705">
        <f>G149+'10'!H149</f>
        <v>17704.859999999957</v>
      </c>
      <c r="I149" s="1071"/>
      <c r="J149" s="707">
        <f>H149/DAY(B2)</f>
        <v>1609.5327272727234</v>
      </c>
      <c r="K149" s="381"/>
      <c r="N149" s="718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706"/>
      <c r="F150" s="706" t="s">
        <v>214</v>
      </c>
      <c r="G150" s="1436">
        <f>G149/G7</f>
        <v>7.3105162439786556E-2</v>
      </c>
      <c r="H150" s="705">
        <f>G150+'10'!H150</f>
        <v>0.81769631845820945</v>
      </c>
      <c r="I150" s="1437"/>
      <c r="J150" s="707">
        <f>H150/DAY(B2)</f>
        <v>7.4336028950746313E-2</v>
      </c>
      <c r="N150" s="718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706"/>
      <c r="F151" s="706"/>
      <c r="G151" s="705">
        <f>G36+G50</f>
        <v>2229.7600000000457</v>
      </c>
      <c r="H151" s="705">
        <f>G151+'10'!H151</f>
        <v>21024.760000000046</v>
      </c>
      <c r="I151" s="1437"/>
      <c r="J151" s="707">
        <f>H151/DAY(B2)</f>
        <v>1911.3418181818224</v>
      </c>
      <c r="N151" s="718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706"/>
      <c r="F152" s="706"/>
      <c r="G152" s="1436">
        <f>G151/G7</f>
        <v>9.8091195037724996E-2</v>
      </c>
      <c r="H152" s="705">
        <f>G152+'10'!H152</f>
        <v>0.96971815438315789</v>
      </c>
      <c r="I152" s="1071"/>
      <c r="J152" s="707">
        <f>H152/DAY(B2)</f>
        <v>8.815619585301436E-2</v>
      </c>
      <c r="N152" s="718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706"/>
      <c r="F153" s="706"/>
      <c r="G153" s="705">
        <f>G37+G51</f>
        <v>1589.75</v>
      </c>
      <c r="H153" s="705">
        <f>G153+'10'!H153</f>
        <v>16915.619999999995</v>
      </c>
      <c r="I153" s="1071"/>
      <c r="J153" s="707"/>
      <c r="N153" s="718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1438"/>
      <c r="F154" s="1438"/>
      <c r="G154" s="1439">
        <f>G153/G7</f>
        <v>6.9935991905505576E-2</v>
      </c>
      <c r="H154" s="705">
        <f>G154+'10'!H154</f>
        <v>0.78228763529763867</v>
      </c>
      <c r="I154" s="1440"/>
      <c r="J154" s="1441">
        <f>H154/DAY(B2)</f>
        <v>7.111705775433079E-2</v>
      </c>
      <c r="N154" s="718"/>
      <c r="P154" s="382"/>
    </row>
    <row r="155" spans="1:16">
      <c r="A155" s="466"/>
      <c r="B155" s="456"/>
      <c r="C155" s="456"/>
      <c r="D155" s="546"/>
      <c r="E155" s="1442"/>
      <c r="F155" s="1443"/>
      <c r="G155" s="1442"/>
      <c r="H155" s="1444"/>
      <c r="I155" s="1442"/>
      <c r="J155" s="1445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651">
        <f>'10'!F161</f>
        <v>41644</v>
      </c>
      <c r="F161" s="659">
        <v>41724.85</v>
      </c>
      <c r="G161" s="652">
        <f t="shared" ref="G161:G175" si="16">F161-E161</f>
        <v>80.849999999998545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651">
        <f>'10'!F162</f>
        <v>112299</v>
      </c>
      <c r="F162" s="659">
        <v>112729.08</v>
      </c>
      <c r="G162" s="652">
        <f t="shared" si="16"/>
        <v>430.08000000000175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651">
        <f>'10'!F163</f>
        <v>63285</v>
      </c>
      <c r="F163" s="659">
        <v>63485.3</v>
      </c>
      <c r="G163" s="652">
        <f t="shared" si="16"/>
        <v>200.30000000000291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651">
        <f>'10'!F164</f>
        <v>6945</v>
      </c>
      <c r="F164" s="659">
        <v>6956.47</v>
      </c>
      <c r="G164" s="652">
        <f t="shared" si="16"/>
        <v>11.470000000000255</v>
      </c>
      <c r="N164" s="718"/>
    </row>
    <row r="165" spans="1:14" ht="37.5" customHeight="1">
      <c r="A165" s="786" t="s">
        <v>97</v>
      </c>
      <c r="B165" s="604"/>
      <c r="C165" s="604"/>
      <c r="D165" s="511" t="s">
        <v>186</v>
      </c>
      <c r="E165" s="651">
        <f>'10'!F165</f>
        <v>0</v>
      </c>
      <c r="F165" s="1107">
        <f>F62</f>
        <v>0</v>
      </c>
      <c r="G165" s="652">
        <f t="shared" si="16"/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651">
        <f>'10'!F166</f>
        <v>0</v>
      </c>
      <c r="F166" s="1107">
        <f>F63</f>
        <v>0</v>
      </c>
      <c r="G166" s="652">
        <f t="shared" si="16"/>
        <v>0</v>
      </c>
      <c r="H166" s="1448" t="s">
        <v>272</v>
      </c>
      <c r="N166" s="718"/>
    </row>
    <row r="167" spans="1:14" ht="35.25" customHeight="1">
      <c r="A167" s="1546" t="s">
        <v>98</v>
      </c>
      <c r="B167" s="1546"/>
      <c r="C167" s="1546"/>
      <c r="D167" s="523" t="s">
        <v>186</v>
      </c>
      <c r="E167" s="651">
        <f>'10'!F167</f>
        <v>174038</v>
      </c>
      <c r="F167" s="1107">
        <f t="shared" ref="F167:F172" si="17">F64</f>
        <v>174412.43</v>
      </c>
      <c r="G167" s="652">
        <f t="shared" si="16"/>
        <v>374.42999999999302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651">
        <f>'10'!F168</f>
        <v>173988</v>
      </c>
      <c r="F168" s="1107">
        <f t="shared" si="17"/>
        <v>174374.93</v>
      </c>
      <c r="G168" s="652">
        <f t="shared" si="16"/>
        <v>386.92999999999302</v>
      </c>
      <c r="N168" s="718"/>
    </row>
    <row r="169" spans="1:14" ht="40.5" customHeight="1">
      <c r="A169" s="1546" t="s">
        <v>100</v>
      </c>
      <c r="B169" s="1546"/>
      <c r="C169" s="1546"/>
      <c r="D169" s="523" t="s">
        <v>186</v>
      </c>
      <c r="E169" s="651">
        <f>'10'!F169</f>
        <v>72110</v>
      </c>
      <c r="F169" s="1107">
        <f t="shared" si="17"/>
        <v>72541.13</v>
      </c>
      <c r="G169" s="652">
        <f t="shared" si="16"/>
        <v>431.13000000000466</v>
      </c>
      <c r="N169" s="718"/>
    </row>
    <row r="170" spans="1:14" ht="30.75" customHeight="1">
      <c r="A170" s="1546" t="s">
        <v>101</v>
      </c>
      <c r="B170" s="1546"/>
      <c r="C170" s="1546"/>
      <c r="D170" s="523" t="s">
        <v>186</v>
      </c>
      <c r="E170" s="651">
        <f>'10'!F170</f>
        <v>269697</v>
      </c>
      <c r="F170" s="1107">
        <f t="shared" si="17"/>
        <v>270132.69</v>
      </c>
      <c r="G170" s="652">
        <f t="shared" si="16"/>
        <v>435.69000000000233</v>
      </c>
      <c r="N170" s="718"/>
    </row>
    <row r="171" spans="1:14" ht="30.75" customHeight="1">
      <c r="A171" s="1546" t="s">
        <v>102</v>
      </c>
      <c r="B171" s="1546"/>
      <c r="C171" s="1546"/>
      <c r="D171" s="523" t="s">
        <v>186</v>
      </c>
      <c r="E171" s="651">
        <f>'10'!F171</f>
        <v>85321</v>
      </c>
      <c r="F171" s="1107">
        <f t="shared" si="17"/>
        <v>85321</v>
      </c>
      <c r="G171" s="652">
        <f t="shared" si="16"/>
        <v>0</v>
      </c>
      <c r="N171" s="718"/>
    </row>
    <row r="172" spans="1:14" ht="28.5" customHeight="1">
      <c r="A172" s="1546" t="s">
        <v>103</v>
      </c>
      <c r="B172" s="1546"/>
      <c r="C172" s="1546"/>
      <c r="D172" s="523" t="s">
        <v>186</v>
      </c>
      <c r="E172" s="651">
        <f>'10'!F172</f>
        <v>90002</v>
      </c>
      <c r="F172" s="1107">
        <f t="shared" si="17"/>
        <v>90283</v>
      </c>
      <c r="G172" s="652">
        <f t="shared" si="16"/>
        <v>281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651">
        <f>'10'!F173</f>
        <v>19049</v>
      </c>
      <c r="F173" s="532">
        <v>19053</v>
      </c>
      <c r="G173" s="652">
        <f t="shared" si="16"/>
        <v>4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651">
        <f>'10'!F174</f>
        <v>70399</v>
      </c>
      <c r="F174" s="532">
        <v>70406</v>
      </c>
      <c r="G174" s="652">
        <f t="shared" si="16"/>
        <v>7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651">
        <f>'10'!F175</f>
        <v>27672</v>
      </c>
      <c r="F175" s="532">
        <v>27678.400000000001</v>
      </c>
      <c r="G175" s="652">
        <f t="shared" si="16"/>
        <v>6.4000000000014552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44.2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21.75" customHeight="1">
      <c r="N194" s="718"/>
    </row>
    <row r="195" spans="14:14" ht="36.75" customHeight="1">
      <c r="N195" s="718"/>
    </row>
    <row r="196" spans="14:14">
      <c r="N196" s="718"/>
    </row>
    <row r="197" spans="14:14">
      <c r="N197" s="718"/>
    </row>
    <row r="198" spans="14:14">
      <c r="N198" s="718"/>
    </row>
    <row r="199" spans="14:14">
      <c r="N199" s="718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36" zoomScale="40" zoomScaleNormal="75" zoomScaleSheetLayoutView="40" workbookViewId="0">
      <selection activeCell="F173" sqref="F173:F1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80"/>
    <col min="16" max="17" width="22.33203125" style="441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361</v>
      </c>
      <c r="B2" s="1031">
        <v>44359</v>
      </c>
      <c r="C2" s="1141" t="s">
        <v>68</v>
      </c>
      <c r="D2" s="611">
        <v>0.47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1181"/>
      <c r="P2" s="710"/>
      <c r="Q2" s="710"/>
    </row>
    <row r="3" spans="1:17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81"/>
      <c r="P3" s="710"/>
      <c r="Q3" s="710"/>
    </row>
    <row r="4" spans="1:17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81"/>
      <c r="P4" s="710"/>
      <c r="Q4" s="710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'11'!F7</f>
        <v>160128.5</v>
      </c>
      <c r="F7" s="455">
        <v>181256.02</v>
      </c>
      <c r="G7" s="678">
        <f>F7-E7</f>
        <v>21127.51999999999</v>
      </c>
      <c r="H7" s="679">
        <f>G7+'11'!H7</f>
        <v>259303.02000000005</v>
      </c>
      <c r="I7" s="680">
        <f>'1'!I7</f>
        <v>12000</v>
      </c>
      <c r="J7" s="681">
        <f>H7/DAY(B2)</f>
        <v>21608.585000000003</v>
      </c>
      <c r="K7" s="549"/>
      <c r="L7" s="377"/>
      <c r="N7" s="718"/>
      <c r="O7" s="727"/>
      <c r="P7" s="711"/>
    </row>
    <row r="8" spans="1:17" ht="27.75" thickBot="1">
      <c r="A8" s="682" t="s">
        <v>132</v>
      </c>
      <c r="B8" s="683"/>
      <c r="C8" s="684"/>
      <c r="D8" s="685" t="s">
        <v>25</v>
      </c>
      <c r="E8" s="633">
        <f>'11'!F8</f>
        <v>166058.97</v>
      </c>
      <c r="F8" s="475">
        <v>187298.87</v>
      </c>
      <c r="G8" s="689">
        <f>F8-E8</f>
        <v>21239.899999999994</v>
      </c>
      <c r="H8" s="679">
        <f>G8+'11'!H8</f>
        <v>260576.87</v>
      </c>
      <c r="I8" s="686">
        <f>'1'!I8</f>
        <v>12000</v>
      </c>
      <c r="J8" s="681">
        <f>H8/DAY(B2)</f>
        <v>21714.739166666666</v>
      </c>
      <c r="K8" s="549"/>
      <c r="L8" s="425"/>
      <c r="M8" s="440"/>
      <c r="N8" s="718"/>
      <c r="O8" s="727"/>
      <c r="P8" s="713"/>
    </row>
    <row r="9" spans="1:17">
      <c r="A9" s="687" t="s">
        <v>133</v>
      </c>
      <c r="B9" s="688"/>
      <c r="C9" s="688"/>
      <c r="D9" s="637" t="s">
        <v>131</v>
      </c>
      <c r="E9" s="633">
        <f>'11'!F9</f>
        <v>2263382.5</v>
      </c>
      <c r="F9" s="478">
        <v>2283832.2999999998</v>
      </c>
      <c r="G9" s="702">
        <f t="shared" ref="G9:G12" si="0">F9-E9</f>
        <v>20449.799999999814</v>
      </c>
      <c r="H9" s="679">
        <f>G9+'11'!H9</f>
        <v>252830.29999999981</v>
      </c>
      <c r="I9" s="690">
        <f>I7-J7</f>
        <v>-9608.5850000000028</v>
      </c>
      <c r="J9" s="681">
        <f>H9/DAY(B2)</f>
        <v>21069.191666666651</v>
      </c>
      <c r="K9" s="428"/>
      <c r="L9" s="377"/>
      <c r="N9" s="718"/>
      <c r="O9" s="727"/>
      <c r="P9" s="713"/>
    </row>
    <row r="10" spans="1:17">
      <c r="A10" s="676" t="s">
        <v>134</v>
      </c>
      <c r="B10" s="677"/>
      <c r="C10" s="677"/>
      <c r="D10" s="637" t="s">
        <v>131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20449.799999999814</v>
      </c>
      <c r="H13" s="679">
        <f>G13+'11'!H13</f>
        <v>232503.29999999981</v>
      </c>
      <c r="I13" s="695">
        <f>G7-G13</f>
        <v>677.72000000017579</v>
      </c>
      <c r="J13" s="681">
        <f>H13/DAY(B2)</f>
        <v>19375.274999999983</v>
      </c>
      <c r="K13" s="428"/>
      <c r="L13" s="377"/>
      <c r="N13" s="718"/>
      <c r="O13" s="727"/>
      <c r="P13" s="713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139</v>
      </c>
      <c r="B15" s="793"/>
      <c r="C15" s="793"/>
      <c r="D15" s="524" t="s">
        <v>140</v>
      </c>
      <c r="E15" s="485">
        <f>'11'!F15</f>
        <v>1712513.41</v>
      </c>
      <c r="F15" s="700">
        <v>1713428.2</v>
      </c>
      <c r="G15" s="664">
        <f>(F15-E15)</f>
        <v>914.79000000003725</v>
      </c>
      <c r="H15" s="486">
        <f>G15+'11'!H15</f>
        <v>9745.1999999999534</v>
      </c>
      <c r="I15" s="474">
        <v>800</v>
      </c>
      <c r="J15" s="553">
        <f>H15/DAY(B2)</f>
        <v>812.09999999999616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-12.099999999996157</v>
      </c>
      <c r="J16" s="553"/>
      <c r="K16" s="428"/>
      <c r="L16" s="377"/>
      <c r="N16" s="718"/>
      <c r="O16" s="727"/>
      <c r="P16" s="713"/>
    </row>
    <row r="17" spans="1:17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07" t="s">
        <v>142</v>
      </c>
      <c r="B18" s="1608"/>
      <c r="C18" s="1609"/>
      <c r="D18" s="637" t="s">
        <v>143</v>
      </c>
      <c r="E18" s="634">
        <f>'11'!F18</f>
        <v>18</v>
      </c>
      <c r="F18" s="478">
        <v>12</v>
      </c>
      <c r="G18" s="694">
        <f>F18*10</f>
        <v>120</v>
      </c>
      <c r="H18" s="679">
        <f>G18+'11'!H18</f>
        <v>1620</v>
      </c>
      <c r="I18" s="680">
        <f>'1'!I18</f>
        <v>65</v>
      </c>
      <c r="J18" s="681">
        <f>H18/DAY(B2)</f>
        <v>135</v>
      </c>
      <c r="K18" s="428"/>
      <c r="L18" s="377"/>
      <c r="N18" s="718"/>
      <c r="O18" s="727"/>
      <c r="P18" s="713"/>
    </row>
    <row r="19" spans="1:17" ht="27.75">
      <c r="A19" s="1607" t="s">
        <v>70</v>
      </c>
      <c r="B19" s="1608"/>
      <c r="C19" s="1609"/>
      <c r="D19" s="637" t="s">
        <v>143</v>
      </c>
      <c r="E19" s="634">
        <f>'11'!F19</f>
        <v>142160</v>
      </c>
      <c r="F19" s="478">
        <v>142226</v>
      </c>
      <c r="G19" s="689">
        <f t="shared" ref="G19" si="1">F19-E19</f>
        <v>66</v>
      </c>
      <c r="H19" s="679">
        <f>G19+'11'!H19</f>
        <v>731</v>
      </c>
      <c r="I19" s="696"/>
      <c r="J19" s="681">
        <f>H19/DAY(B2)</f>
        <v>60.916666666666664</v>
      </c>
      <c r="K19" s="428"/>
      <c r="L19" s="377"/>
      <c r="N19" s="718"/>
      <c r="O19" s="727"/>
      <c r="P19" s="713"/>
    </row>
    <row r="20" spans="1:17">
      <c r="A20" s="692" t="s">
        <v>144</v>
      </c>
      <c r="B20" s="693"/>
      <c r="C20" s="693"/>
      <c r="D20" s="637"/>
      <c r="E20" s="637"/>
      <c r="F20" s="709"/>
      <c r="G20" s="697">
        <f>G18+G19</f>
        <v>186</v>
      </c>
      <c r="H20" s="679">
        <f>G20+'11'!H20</f>
        <v>2351</v>
      </c>
      <c r="I20" s="698">
        <f>I18-J20</f>
        <v>-130.91666666666666</v>
      </c>
      <c r="J20" s="681">
        <f>H20/DAY(B2)</f>
        <v>195.91666666666666</v>
      </c>
      <c r="K20" s="428"/>
      <c r="L20" s="377"/>
      <c r="N20" s="718"/>
      <c r="O20" s="727"/>
      <c r="P20" s="713"/>
    </row>
    <row r="21" spans="1:17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39" t="s">
        <v>146</v>
      </c>
      <c r="B22" s="589"/>
      <c r="C22" s="589"/>
      <c r="D22" s="523" t="s">
        <v>147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39" t="s">
        <v>148</v>
      </c>
      <c r="B23" s="589"/>
      <c r="C23" s="589"/>
      <c r="D23" s="523" t="s">
        <v>147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21239.899999999994</v>
      </c>
      <c r="F27" s="501">
        <v>9</v>
      </c>
      <c r="G27" s="502">
        <f>E27*F27</f>
        <v>191159.09999999995</v>
      </c>
      <c r="H27" s="460">
        <f>G27+'11'!H27</f>
        <v>2345191.83</v>
      </c>
      <c r="I27" s="503"/>
      <c r="J27" s="552">
        <f>H27/DAY(B2)</f>
        <v>195432.6525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699">
        <f>G15</f>
        <v>914.79000000003725</v>
      </c>
      <c r="F28" s="501">
        <v>52</v>
      </c>
      <c r="G28" s="502">
        <f>E28*F28</f>
        <v>47569.080000001937</v>
      </c>
      <c r="H28" s="460">
        <f>G28+'11'!H28</f>
        <v>506750.39999999758</v>
      </c>
      <c r="I28" s="505"/>
      <c r="J28" s="552">
        <f>H28/DAY(B2)</f>
        <v>42229.199999999801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699">
        <f>G19</f>
        <v>66</v>
      </c>
      <c r="F30" s="501">
        <v>146</v>
      </c>
      <c r="G30" s="502">
        <f>E30*F30</f>
        <v>9636</v>
      </c>
      <c r="H30" s="460">
        <f>G30+'11'!H30</f>
        <v>106142</v>
      </c>
      <c r="I30" s="505"/>
      <c r="J30" s="552">
        <f>H30/DAY(B2)</f>
        <v>8845.1666666666661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G31+'11'!H31</f>
        <v>124000</v>
      </c>
      <c r="I31" s="505"/>
      <c r="J31" s="552">
        <f>H31/DAY(B2)</f>
        <v>10333.333333333334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257964.18000000188</v>
      </c>
      <c r="H32" s="460">
        <f>G32+'11'!H32</f>
        <v>3082084.2299999972</v>
      </c>
      <c r="I32" s="509"/>
      <c r="J32" s="552">
        <f>H32/DAY(B2)</f>
        <v>256840.35249999978</v>
      </c>
      <c r="K32" s="373"/>
      <c r="L32" s="443"/>
      <c r="N32" s="718"/>
      <c r="O32" s="727"/>
      <c r="P32" s="713"/>
      <c r="Q32" s="445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7"/>
      <c r="P33" s="713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1058597.3</v>
      </c>
      <c r="F35" s="510">
        <v>1058597.3</v>
      </c>
      <c r="G35" s="473">
        <f t="shared" ref="G35:G46" si="3">F35-E35</f>
        <v>0</v>
      </c>
      <c r="H35" s="460">
        <f>G35+'11'!H35</f>
        <v>29883.300000000047</v>
      </c>
      <c r="I35" s="455"/>
      <c r="J35" s="552">
        <f>H35/DAY(B2)</f>
        <v>2490.2750000000037</v>
      </c>
      <c r="K35" s="428"/>
      <c r="L35" s="377"/>
      <c r="N35" s="718"/>
      <c r="O35" s="727"/>
      <c r="P35" s="713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29233.21</v>
      </c>
      <c r="F36" s="510">
        <v>29928.98</v>
      </c>
      <c r="G36" s="473">
        <f t="shared" si="3"/>
        <v>695.77000000000044</v>
      </c>
      <c r="H36" s="460">
        <f>G36+'11'!H36</f>
        <v>9467.98</v>
      </c>
      <c r="I36" s="455"/>
      <c r="J36" s="552">
        <f>H36/DAY(B2)</f>
        <v>788.99833333333333</v>
      </c>
      <c r="K36" s="428"/>
      <c r="L36" s="377"/>
      <c r="N36" s="719"/>
      <c r="O36" s="727"/>
      <c r="P36" s="713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193485.75</v>
      </c>
      <c r="F37" s="510">
        <v>195080.87</v>
      </c>
      <c r="G37" s="473">
        <f t="shared" si="3"/>
        <v>1595.1199999999953</v>
      </c>
      <c r="H37" s="460">
        <f>G37+'11'!H37</f>
        <v>18510.869999999995</v>
      </c>
      <c r="I37" s="455"/>
      <c r="J37" s="552">
        <f>H37/DAY(B2)</f>
        <v>1542.5724999999995</v>
      </c>
      <c r="K37" s="428"/>
      <c r="L37" s="377"/>
      <c r="N37" s="719"/>
      <c r="O37" s="727"/>
      <c r="P37" s="713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216163.79</v>
      </c>
      <c r="F38" s="469">
        <v>217758.99</v>
      </c>
      <c r="G38" s="473">
        <f t="shared" si="3"/>
        <v>1595.1999999999825</v>
      </c>
      <c r="H38" s="460">
        <f>G38+'11'!H38</f>
        <v>19299.989999999991</v>
      </c>
      <c r="I38" s="455"/>
      <c r="J38" s="552">
        <f>H38/DAY(B2)</f>
        <v>1608.3324999999993</v>
      </c>
      <c r="K38" s="428"/>
      <c r="L38" s="377"/>
      <c r="N38" s="718"/>
      <c r="O38" s="727"/>
      <c r="P38" s="713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445178.67</v>
      </c>
      <c r="F39" s="510">
        <v>448890</v>
      </c>
      <c r="G39" s="473">
        <f t="shared" si="3"/>
        <v>3711.3300000000163</v>
      </c>
      <c r="H39" s="460">
        <f>G39+'11'!H39</f>
        <v>44026</v>
      </c>
      <c r="I39" s="455"/>
      <c r="J39" s="552">
        <f>H39/DAY(B2)</f>
        <v>3668.8333333333335</v>
      </c>
      <c r="K39" s="428"/>
      <c r="L39" s="377"/>
      <c r="N39" s="718"/>
      <c r="O39" s="727"/>
      <c r="P39" s="713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11205.44</v>
      </c>
      <c r="F40" s="510">
        <v>11681.01</v>
      </c>
      <c r="G40" s="473">
        <f t="shared" si="3"/>
        <v>475.56999999999971</v>
      </c>
      <c r="H40" s="460">
        <f>G40+'11'!H40</f>
        <v>4568.01</v>
      </c>
      <c r="I40" s="455"/>
      <c r="J40" s="552">
        <f>H40/DAY(B2)</f>
        <v>380.66750000000002</v>
      </c>
      <c r="K40" s="429"/>
      <c r="L40" s="377"/>
      <c r="N40" s="718"/>
      <c r="O40" s="727"/>
      <c r="P40" s="713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364063.91</v>
      </c>
      <c r="F41" s="510">
        <v>364063.91</v>
      </c>
      <c r="G41" s="473">
        <f>F41-E41</f>
        <v>0</v>
      </c>
      <c r="H41" s="460">
        <f>G41+'11'!H41</f>
        <v>34421.909999999974</v>
      </c>
      <c r="I41" s="455"/>
      <c r="J41" s="552">
        <f>H41/DAY(B2)</f>
        <v>2868.492499999998</v>
      </c>
      <c r="K41" s="428"/>
      <c r="L41" s="377"/>
      <c r="N41" s="718"/>
      <c r="O41" s="727"/>
      <c r="P41" s="713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59210.080000000002</v>
      </c>
      <c r="F42" s="510">
        <v>60020.6</v>
      </c>
      <c r="G42" s="473">
        <f t="shared" si="3"/>
        <v>810.5199999999968</v>
      </c>
      <c r="H42" s="460">
        <f>G42+'11'!H42</f>
        <v>821.70999999999913</v>
      </c>
      <c r="I42" s="455"/>
      <c r="J42" s="552">
        <f>H42/DAY(B2)</f>
        <v>68.475833333333256</v>
      </c>
      <c r="K42" s="428"/>
      <c r="L42" s="377"/>
      <c r="N42" s="718"/>
      <c r="O42" s="727"/>
      <c r="P42" s="713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1149837.3999999999</v>
      </c>
      <c r="F43" s="510">
        <v>1152400.6000000001</v>
      </c>
      <c r="G43" s="473">
        <f t="shared" si="3"/>
        <v>2563.2000000001863</v>
      </c>
      <c r="H43" s="460">
        <f>G43+'11'!H43</f>
        <v>31948.600000000093</v>
      </c>
      <c r="I43" s="455"/>
      <c r="J43" s="552">
        <f>H43/DAY(B2)</f>
        <v>2662.3833333333409</v>
      </c>
      <c r="K43" s="428"/>
      <c r="L43" s="377"/>
      <c r="N43" s="718"/>
      <c r="O43" s="727"/>
      <c r="P43" s="713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11446.710000000177</v>
      </c>
      <c r="H47" s="460">
        <f>G47+'11'!H47</f>
        <v>193749.86000000007</v>
      </c>
      <c r="I47" s="455"/>
      <c r="J47" s="552">
        <f>H47/DAY(B2)</f>
        <v>16145.821666666672</v>
      </c>
      <c r="K47" s="428"/>
      <c r="L47" s="377"/>
      <c r="N47" s="718"/>
      <c r="O47" s="727"/>
      <c r="P47" s="713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263719.73</v>
      </c>
      <c r="F49" s="510">
        <v>266721.13</v>
      </c>
      <c r="G49" s="473">
        <f t="shared" ref="G49:G57" si="4">F49-E49</f>
        <v>3001.4000000000233</v>
      </c>
      <c r="H49" s="460">
        <f>G49+'11'!H49</f>
        <v>5957.1300000000047</v>
      </c>
      <c r="I49" s="455"/>
      <c r="J49" s="552">
        <f>H49/DAY(B2)</f>
        <v>496.42750000000041</v>
      </c>
      <c r="K49" s="428"/>
      <c r="L49" s="377"/>
      <c r="N49" s="718"/>
      <c r="O49" s="727"/>
      <c r="P49" s="713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546915.55000000005</v>
      </c>
      <c r="F50" s="510">
        <v>548019.11</v>
      </c>
      <c r="G50" s="473">
        <f t="shared" si="4"/>
        <v>1103.5599999999395</v>
      </c>
      <c r="H50" s="460">
        <f>G50+'11'!H50</f>
        <v>12263.109999999986</v>
      </c>
      <c r="I50" s="455"/>
      <c r="J50" s="552">
        <f>H50/DAY(B2)</f>
        <v>1021.9258333333322</v>
      </c>
      <c r="K50" s="428"/>
      <c r="L50" s="377"/>
      <c r="N50" s="718"/>
      <c r="O50" s="727"/>
      <c r="P50" s="713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434231.59</v>
      </c>
      <c r="F53" s="510">
        <v>434232</v>
      </c>
      <c r="G53" s="473">
        <f t="shared" si="4"/>
        <v>0.40999999997438863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14967</v>
      </c>
      <c r="F54" s="510">
        <v>14967</v>
      </c>
      <c r="G54" s="473">
        <f t="shared" si="4"/>
        <v>0</v>
      </c>
      <c r="H54" s="460">
        <f>G54+'11'!H54</f>
        <v>0</v>
      </c>
      <c r="I54" s="455"/>
      <c r="J54" s="552">
        <f>H54/DAY(B2)</f>
        <v>0</v>
      </c>
      <c r="K54" s="428"/>
      <c r="L54" s="377"/>
      <c r="N54" s="718"/>
      <c r="O54" s="727"/>
      <c r="P54" s="713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157337.92000000001</v>
      </c>
      <c r="F55" s="653">
        <v>162722</v>
      </c>
      <c r="G55" s="652">
        <f t="shared" si="4"/>
        <v>5384.0799999999872</v>
      </c>
      <c r="H55" s="705">
        <f>G55+'11'!H55</f>
        <v>39512</v>
      </c>
      <c r="I55" s="706"/>
      <c r="J55" s="707">
        <f>H55/DAY(B2)</f>
        <v>3292.6666666666665</v>
      </c>
      <c r="K55" s="428"/>
      <c r="L55" s="377"/>
      <c r="N55" s="718"/>
      <c r="O55" s="727"/>
      <c r="P55" s="713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649149.15</v>
      </c>
      <c r="F56" s="653">
        <v>649158.79</v>
      </c>
      <c r="G56" s="473">
        <f t="shared" si="4"/>
        <v>9.6400000000139698</v>
      </c>
      <c r="H56" s="460">
        <f>G56+'11'!H56</f>
        <v>116.79000000003725</v>
      </c>
      <c r="I56" s="455"/>
      <c r="J56" s="552">
        <f>H56/DAY(B2)</f>
        <v>9.732500000003105</v>
      </c>
      <c r="K56" s="427"/>
      <c r="L56" s="377"/>
      <c r="N56" s="718"/>
      <c r="O56" s="727"/>
      <c r="P56" s="713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55811.06</v>
      </c>
      <c r="F58" s="653">
        <v>56042.16</v>
      </c>
      <c r="G58" s="473">
        <f>F58-E58</f>
        <v>231.10000000000582</v>
      </c>
      <c r="H58" s="460">
        <f>G58+'11'!H58</f>
        <v>1862.1600000000035</v>
      </c>
      <c r="I58" s="455"/>
      <c r="J58" s="552">
        <f>H58/DAY(B2)</f>
        <v>155.18000000000029</v>
      </c>
      <c r="K58" s="428"/>
      <c r="L58" s="377"/>
      <c r="N58" s="718"/>
      <c r="O58" s="727"/>
      <c r="P58" s="713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9730.1899999999441</v>
      </c>
      <c r="H59" s="460">
        <f>G59+'11'!H59</f>
        <v>59710.799999999959</v>
      </c>
      <c r="I59" s="455">
        <f>G7-G60</f>
        <v>-49.380000000131986</v>
      </c>
      <c r="J59" s="552">
        <f>H59/DAY(B2)</f>
        <v>4975.8999999999969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21176.900000000122</v>
      </c>
      <c r="H60" s="460">
        <f>G60+'11'!H60</f>
        <v>260363.99000000008</v>
      </c>
      <c r="I60" s="455">
        <f>G13-G60</f>
        <v>-727.10000000030777</v>
      </c>
      <c r="J60" s="552">
        <f>H60/DAY(B2)</f>
        <v>21696.999166666672</v>
      </c>
      <c r="K60" s="428"/>
      <c r="L60" s="377"/>
      <c r="N60" s="718"/>
      <c r="O60" s="727"/>
      <c r="P60" s="713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40" t="s">
        <v>98</v>
      </c>
      <c r="B64" s="1541"/>
      <c r="C64" s="1542"/>
      <c r="D64" s="523" t="s">
        <v>186</v>
      </c>
      <c r="E64" s="514">
        <f>'11'!F64</f>
        <v>174412.43</v>
      </c>
      <c r="F64" s="478">
        <v>174787.25</v>
      </c>
      <c r="G64" s="473">
        <f t="shared" si="5"/>
        <v>374.82000000000698</v>
      </c>
      <c r="H64" s="460">
        <f>G64+'11'!H64</f>
        <v>4765.25</v>
      </c>
      <c r="I64" s="480"/>
      <c r="J64" s="552">
        <f>H64/DAY(B2)</f>
        <v>397.10416666666669</v>
      </c>
      <c r="K64" s="428"/>
      <c r="L64" s="377"/>
      <c r="N64" s="718"/>
      <c r="O64" s="727"/>
      <c r="P64" s="713"/>
    </row>
    <row r="65" spans="1:16" ht="27.75">
      <c r="A65" s="1540" t="s">
        <v>99</v>
      </c>
      <c r="B65" s="1541"/>
      <c r="C65" s="1542"/>
      <c r="D65" s="523" t="s">
        <v>186</v>
      </c>
      <c r="E65" s="514">
        <f>'11'!F65</f>
        <v>174374.93</v>
      </c>
      <c r="F65" s="651">
        <v>174756.89</v>
      </c>
      <c r="G65" s="473">
        <f t="shared" si="5"/>
        <v>381.96000000002095</v>
      </c>
      <c r="H65" s="460">
        <f>G65+'11'!H65</f>
        <v>4454.890000000014</v>
      </c>
      <c r="I65" s="489"/>
      <c r="J65" s="552">
        <f>H65/DAY(B2)</f>
        <v>371.24083333333448</v>
      </c>
      <c r="K65" s="428"/>
      <c r="L65" s="377"/>
      <c r="N65" s="718"/>
      <c r="O65" s="727"/>
      <c r="P65" s="713"/>
    </row>
    <row r="66" spans="1:16" ht="27.75">
      <c r="A66" s="1540" t="s">
        <v>100</v>
      </c>
      <c r="B66" s="1541"/>
      <c r="C66" s="1542"/>
      <c r="D66" s="523" t="s">
        <v>186</v>
      </c>
      <c r="E66" s="514">
        <f>'11'!F66</f>
        <v>72541.13</v>
      </c>
      <c r="F66" s="478">
        <v>72962.960000000006</v>
      </c>
      <c r="G66" s="473">
        <f t="shared" si="5"/>
        <v>421.83000000000175</v>
      </c>
      <c r="H66" s="460">
        <f>G66+'11'!H66</f>
        <v>4992.9600000000064</v>
      </c>
      <c r="I66" s="480"/>
      <c r="J66" s="552">
        <f>H66/DAY(B2)</f>
        <v>416.08000000000055</v>
      </c>
      <c r="K66" s="428"/>
      <c r="L66" s="377"/>
      <c r="N66" s="718"/>
      <c r="O66" s="727"/>
      <c r="P66" s="713"/>
    </row>
    <row r="67" spans="1:16" ht="27.75">
      <c r="A67" s="1540" t="s">
        <v>101</v>
      </c>
      <c r="B67" s="1541"/>
      <c r="C67" s="1542"/>
      <c r="D67" s="523" t="s">
        <v>186</v>
      </c>
      <c r="E67" s="514">
        <f>'11'!F67</f>
        <v>270132.69</v>
      </c>
      <c r="F67" s="478">
        <v>270573.67</v>
      </c>
      <c r="G67" s="473">
        <f t="shared" si="5"/>
        <v>440.97999999998137</v>
      </c>
      <c r="H67" s="460">
        <f>G67+'11'!H67</f>
        <v>5614.6699999999837</v>
      </c>
      <c r="I67" s="489"/>
      <c r="J67" s="552">
        <f>H67/DAY(B2)</f>
        <v>467.88916666666529</v>
      </c>
      <c r="K67" s="429"/>
      <c r="L67" s="377"/>
      <c r="N67" s="718"/>
      <c r="O67" s="727"/>
      <c r="P67" s="713"/>
    </row>
    <row r="68" spans="1:16" ht="27.75">
      <c r="A68" s="1540" t="s">
        <v>102</v>
      </c>
      <c r="B68" s="1541"/>
      <c r="C68" s="1542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40" t="s">
        <v>103</v>
      </c>
      <c r="B69" s="1541"/>
      <c r="C69" s="1542"/>
      <c r="D69" s="523" t="s">
        <v>186</v>
      </c>
      <c r="E69" s="514">
        <f>'11'!F69</f>
        <v>90283</v>
      </c>
      <c r="F69" s="478">
        <v>90565.99</v>
      </c>
      <c r="G69" s="473">
        <f t="shared" si="5"/>
        <v>282.99000000000524</v>
      </c>
      <c r="H69" s="460">
        <f>G69+'11'!H69</f>
        <v>3050.9900000000052</v>
      </c>
      <c r="I69" s="516"/>
      <c r="J69" s="552">
        <f>H69/DAY(B2)</f>
        <v>254.24916666666709</v>
      </c>
      <c r="K69" s="431"/>
      <c r="L69" s="377"/>
      <c r="N69" s="718"/>
      <c r="O69" s="727"/>
      <c r="P69" s="713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7"/>
      <c r="P71" s="713"/>
    </row>
    <row r="72" spans="1:16" ht="27.75">
      <c r="A72" s="1540" t="s">
        <v>190</v>
      </c>
      <c r="B72" s="1541"/>
      <c r="C72" s="1542"/>
      <c r="D72" s="523" t="s">
        <v>186</v>
      </c>
      <c r="E72" s="519">
        <f>'11'!F72</f>
        <v>856351</v>
      </c>
      <c r="F72" s="654">
        <v>856364</v>
      </c>
      <c r="G72" s="473">
        <f t="shared" ref="G72:G84" si="6">F72-E72</f>
        <v>13</v>
      </c>
      <c r="H72" s="460">
        <f>G72+'11'!H72</f>
        <v>142</v>
      </c>
      <c r="I72" s="480"/>
      <c r="J72" s="552">
        <f>H72/DAY(B2)</f>
        <v>11.833333333333334</v>
      </c>
      <c r="K72" s="431"/>
      <c r="L72" s="377"/>
      <c r="N72" s="718"/>
      <c r="O72" s="727"/>
      <c r="P72" s="713"/>
    </row>
    <row r="73" spans="1:16" ht="27.75">
      <c r="A73" s="1540" t="s">
        <v>191</v>
      </c>
      <c r="B73" s="1541"/>
      <c r="C73" s="1542"/>
      <c r="D73" s="523" t="s">
        <v>186</v>
      </c>
      <c r="E73" s="519">
        <f>'11'!F73</f>
        <v>885986</v>
      </c>
      <c r="F73" s="655">
        <v>885987</v>
      </c>
      <c r="G73" s="652">
        <f t="shared" si="6"/>
        <v>1</v>
      </c>
      <c r="H73" s="460">
        <f>G73+'11'!H73</f>
        <v>15</v>
      </c>
      <c r="I73" s="480"/>
      <c r="J73" s="552">
        <f>H73/DAY(B2)</f>
        <v>1.25</v>
      </c>
      <c r="K73" s="430"/>
      <c r="L73" s="377"/>
      <c r="N73" s="718"/>
      <c r="O73" s="727"/>
      <c r="P73" s="713"/>
    </row>
    <row r="74" spans="1:16" ht="27.75">
      <c r="A74" s="1540" t="s">
        <v>192</v>
      </c>
      <c r="B74" s="1541"/>
      <c r="C74" s="1542"/>
      <c r="D74" s="523" t="s">
        <v>186</v>
      </c>
      <c r="E74" s="519">
        <f>'11'!F74</f>
        <v>88709.6</v>
      </c>
      <c r="F74" s="655">
        <v>88711.3</v>
      </c>
      <c r="G74" s="473">
        <f t="shared" si="6"/>
        <v>1.6999999999970896</v>
      </c>
      <c r="H74" s="460">
        <f>G74+'11'!H74</f>
        <v>15.30000000000291</v>
      </c>
      <c r="I74" s="480"/>
      <c r="J74" s="552">
        <f>H74/DAY(B2)</f>
        <v>1.2750000000002426</v>
      </c>
      <c r="K74" s="431"/>
      <c r="L74" s="377"/>
      <c r="N74" s="718"/>
      <c r="O74" s="727"/>
      <c r="P74" s="713"/>
    </row>
    <row r="75" spans="1:16" ht="27.75">
      <c r="A75" s="1543" t="s">
        <v>193</v>
      </c>
      <c r="B75" s="1544"/>
      <c r="C75" s="1545"/>
      <c r="D75" s="523" t="s">
        <v>186</v>
      </c>
      <c r="E75" s="519">
        <f>'11'!F75</f>
        <v>17740.29</v>
      </c>
      <c r="F75" s="655">
        <v>17885.84</v>
      </c>
      <c r="G75" s="473">
        <f t="shared" si="6"/>
        <v>145.54999999999927</v>
      </c>
      <c r="H75" s="460">
        <f>G75+'11'!H75</f>
        <v>1814.8400000000001</v>
      </c>
      <c r="I75" s="480"/>
      <c r="J75" s="552">
        <f>H75/DAY(B2)</f>
        <v>151.23666666666668</v>
      </c>
      <c r="K75" s="430"/>
      <c r="L75" s="377"/>
      <c r="N75" s="718"/>
      <c r="O75" s="727"/>
      <c r="P75" s="713"/>
    </row>
    <row r="76" spans="1:16" ht="27.75">
      <c r="A76" s="1543" t="s">
        <v>194</v>
      </c>
      <c r="B76" s="1544"/>
      <c r="C76" s="1545"/>
      <c r="D76" s="523" t="s">
        <v>186</v>
      </c>
      <c r="E76" s="519">
        <f>'11'!F76</f>
        <v>10058.290000000001</v>
      </c>
      <c r="F76" s="655">
        <v>10124.290000000001</v>
      </c>
      <c r="G76" s="473">
        <f t="shared" si="6"/>
        <v>66</v>
      </c>
      <c r="H76" s="460">
        <f>G76+'11'!H76</f>
        <v>788.29000000000087</v>
      </c>
      <c r="I76" s="505"/>
      <c r="J76" s="552">
        <f>H76/DAY(B2)</f>
        <v>65.690833333333401</v>
      </c>
      <c r="K76" s="430"/>
      <c r="L76" s="377"/>
      <c r="N76" s="718"/>
      <c r="O76" s="727"/>
      <c r="P76" s="713"/>
    </row>
    <row r="77" spans="1:16" ht="27.75">
      <c r="A77" s="1540" t="s">
        <v>195</v>
      </c>
      <c r="B77" s="1541"/>
      <c r="C77" s="1542"/>
      <c r="D77" s="523" t="s">
        <v>186</v>
      </c>
      <c r="E77" s="519">
        <f>'11'!F77</f>
        <v>705058</v>
      </c>
      <c r="F77" s="655">
        <v>705111</v>
      </c>
      <c r="G77" s="652">
        <f t="shared" si="6"/>
        <v>53</v>
      </c>
      <c r="H77" s="460">
        <f>G77+'11'!H77</f>
        <v>737</v>
      </c>
      <c r="I77" s="505"/>
      <c r="J77" s="552">
        <f>H77/DAY(B2)</f>
        <v>61.416666666666664</v>
      </c>
      <c r="K77" s="430"/>
      <c r="L77" s="377"/>
      <c r="N77" s="718"/>
      <c r="O77" s="727"/>
      <c r="P77" s="713"/>
    </row>
    <row r="78" spans="1:16" ht="27.75">
      <c r="A78" s="1142" t="s">
        <v>196</v>
      </c>
      <c r="B78" s="1115"/>
      <c r="C78" s="1115"/>
      <c r="D78" s="523" t="s">
        <v>186</v>
      </c>
      <c r="E78" s="519">
        <f>'11'!F78</f>
        <v>676509</v>
      </c>
      <c r="F78" s="656">
        <v>676565</v>
      </c>
      <c r="G78" s="473">
        <f t="shared" si="6"/>
        <v>56</v>
      </c>
      <c r="H78" s="460">
        <f>G78+'11'!H78</f>
        <v>1151</v>
      </c>
      <c r="I78" s="505"/>
      <c r="J78" s="552">
        <f>H78/DAY(B2)</f>
        <v>95.916666666666671</v>
      </c>
      <c r="K78" s="430"/>
      <c r="L78" s="377"/>
      <c r="N78" s="718"/>
      <c r="O78" s="727"/>
      <c r="P78" s="713"/>
    </row>
    <row r="79" spans="1:16" ht="27.75">
      <c r="A79" s="1543" t="s">
        <v>91</v>
      </c>
      <c r="B79" s="1544"/>
      <c r="C79" s="1545"/>
      <c r="D79" s="524" t="s">
        <v>186</v>
      </c>
      <c r="E79" s="519">
        <f>'11'!F79</f>
        <v>837068</v>
      </c>
      <c r="F79" s="656">
        <v>837223</v>
      </c>
      <c r="G79" s="473">
        <f t="shared" si="6"/>
        <v>155</v>
      </c>
      <c r="H79" s="460">
        <f>G79+'11'!H79</f>
        <v>1807</v>
      </c>
      <c r="I79" s="505"/>
      <c r="J79" s="552">
        <f>H79/DAY(B2)</f>
        <v>150.58333333333334</v>
      </c>
      <c r="K79" s="430"/>
      <c r="L79" s="377"/>
      <c r="N79" s="718"/>
      <c r="O79" s="727"/>
      <c r="P79" s="713"/>
    </row>
    <row r="80" spans="1:16" ht="27.75">
      <c r="A80" s="1543" t="s">
        <v>197</v>
      </c>
      <c r="B80" s="1544"/>
      <c r="C80" s="1545"/>
      <c r="D80" s="524" t="s">
        <v>186</v>
      </c>
      <c r="E80" s="519">
        <f>'11'!F80</f>
        <v>543549.16</v>
      </c>
      <c r="F80" s="655">
        <v>543968.04</v>
      </c>
      <c r="G80" s="473">
        <f t="shared" si="6"/>
        <v>418.88000000000466</v>
      </c>
      <c r="H80" s="460">
        <f>G80+'11'!H80</f>
        <v>4955.0400000000373</v>
      </c>
      <c r="I80" s="505"/>
      <c r="J80" s="552">
        <f>H80/DAY(B2)</f>
        <v>412.92000000000309</v>
      </c>
      <c r="K80" s="430"/>
      <c r="L80" s="377"/>
      <c r="N80" s="718"/>
      <c r="O80" s="727"/>
      <c r="P80" s="713"/>
    </row>
    <row r="81" spans="1:17" ht="27.75">
      <c r="A81" s="1543" t="s">
        <v>198</v>
      </c>
      <c r="B81" s="1544"/>
      <c r="C81" s="1545"/>
      <c r="D81" s="524" t="s">
        <v>186</v>
      </c>
      <c r="E81" s="519">
        <f>'11'!F81</f>
        <v>645157</v>
      </c>
      <c r="F81" s="655">
        <v>645289.31999999995</v>
      </c>
      <c r="G81" s="473">
        <f t="shared" si="6"/>
        <v>132.31999999994878</v>
      </c>
      <c r="H81" s="460">
        <f>G81+'11'!H81</f>
        <v>2304.3199999999488</v>
      </c>
      <c r="I81" s="505"/>
      <c r="J81" s="552">
        <f>H81/DAY(B2)</f>
        <v>192.02666666666241</v>
      </c>
      <c r="K81" s="430"/>
      <c r="L81" s="377"/>
      <c r="N81" s="718"/>
      <c r="O81" s="727"/>
      <c r="P81" s="713"/>
    </row>
    <row r="82" spans="1:17" ht="27.75">
      <c r="A82" s="1543" t="s">
        <v>92</v>
      </c>
      <c r="B82" s="1544"/>
      <c r="C82" s="1545"/>
      <c r="D82" s="485" t="s">
        <v>131</v>
      </c>
      <c r="E82" s="519">
        <f>'11'!F82</f>
        <v>108911.61</v>
      </c>
      <c r="F82" s="651">
        <v>108925.77</v>
      </c>
      <c r="G82" s="473">
        <f t="shared" si="6"/>
        <v>14.160000000003492</v>
      </c>
      <c r="H82" s="460">
        <f>G82+'11'!H82</f>
        <v>244.77000000000407</v>
      </c>
      <c r="I82" s="486"/>
      <c r="J82" s="552">
        <f>H82/DAY(B2)</f>
        <v>20.397500000000338</v>
      </c>
      <c r="K82" s="430"/>
      <c r="L82" s="377"/>
      <c r="N82" s="718"/>
      <c r="O82" s="727"/>
      <c r="P82" s="713"/>
    </row>
    <row r="83" spans="1:17" ht="27.75">
      <c r="A83" s="1543" t="s">
        <v>199</v>
      </c>
      <c r="B83" s="1544"/>
      <c r="C83" s="1545"/>
      <c r="D83" s="620" t="s">
        <v>131</v>
      </c>
      <c r="E83" s="519">
        <f>'11'!F83</f>
        <v>30206</v>
      </c>
      <c r="F83" s="511">
        <v>30443</v>
      </c>
      <c r="G83" s="473">
        <f t="shared" si="6"/>
        <v>237</v>
      </c>
      <c r="H83" s="460">
        <f>G83+'11'!H83</f>
        <v>2892</v>
      </c>
      <c r="I83" s="481"/>
      <c r="J83" s="552">
        <f>H83/DAY(B2)</f>
        <v>241</v>
      </c>
      <c r="K83" s="429"/>
      <c r="L83" s="377"/>
      <c r="N83" s="718"/>
      <c r="O83" s="727"/>
      <c r="P83" s="713"/>
    </row>
    <row r="84" spans="1:17">
      <c r="A84" s="1143" t="s">
        <v>200</v>
      </c>
      <c r="B84" s="571"/>
      <c r="C84" s="571"/>
      <c r="D84" s="478" t="s">
        <v>131</v>
      </c>
      <c r="E84" s="519">
        <f>'11'!F84</f>
        <v>532063</v>
      </c>
      <c r="F84" s="627">
        <v>532830</v>
      </c>
      <c r="G84" s="473">
        <f t="shared" si="6"/>
        <v>767</v>
      </c>
      <c r="H84" s="460">
        <f>G84+'11'!H84</f>
        <v>9750</v>
      </c>
      <c r="I84" s="481"/>
      <c r="J84" s="552">
        <f>H84/DAY(B2)</f>
        <v>812.5</v>
      </c>
      <c r="K84" s="380"/>
      <c r="L84" s="377"/>
      <c r="N84" s="718"/>
      <c r="O84" s="727"/>
      <c r="P84" s="713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2060.6099999999533</v>
      </c>
      <c r="H85" s="460">
        <f>G85+'11'!H85</f>
        <v>26616.559999999994</v>
      </c>
      <c r="I85" s="481"/>
      <c r="J85" s="552">
        <f>H85/DAY(B2)</f>
        <v>2218.0466666666662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182</v>
      </c>
      <c r="E86" s="627">
        <f>'11'!F86</f>
        <v>462111.8</v>
      </c>
      <c r="F86" s="647">
        <v>462143.64</v>
      </c>
      <c r="G86" s="705">
        <f t="shared" ref="G86:G91" si="7">F86-E86</f>
        <v>31.840000000025611</v>
      </c>
      <c r="H86" s="705">
        <f t="shared" ref="H86:H88" si="8">G86</f>
        <v>31.840000000025611</v>
      </c>
      <c r="I86" s="652"/>
      <c r="J86" s="707">
        <f>H86/DAY(B2)</f>
        <v>2.6533333333354676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182</v>
      </c>
      <c r="E87" s="627">
        <f>'11'!F87</f>
        <v>82377.3</v>
      </c>
      <c r="F87" s="647">
        <v>82402.100000000006</v>
      </c>
      <c r="G87" s="705">
        <f t="shared" si="7"/>
        <v>24.80000000000291</v>
      </c>
      <c r="H87" s="705">
        <f t="shared" si="8"/>
        <v>24.80000000000291</v>
      </c>
      <c r="I87" s="652"/>
      <c r="J87" s="707">
        <f>H87/DAY(B2)</f>
        <v>2.0666666666669093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182</v>
      </c>
      <c r="E88" s="627">
        <f>'11'!F88</f>
        <v>156526.41</v>
      </c>
      <c r="F88" s="647">
        <v>156638.73000000001</v>
      </c>
      <c r="G88" s="705">
        <f t="shared" si="7"/>
        <v>112.32000000000698</v>
      </c>
      <c r="H88" s="705">
        <f t="shared" si="8"/>
        <v>112.32000000000698</v>
      </c>
      <c r="I88" s="652"/>
      <c r="J88" s="707">
        <f>H88/DAY(B2)</f>
        <v>9.3600000000005821</v>
      </c>
      <c r="K88" s="733"/>
      <c r="L88" s="734"/>
      <c r="O88" s="713"/>
    </row>
    <row r="89" spans="1:17" s="735" customFormat="1">
      <c r="A89" s="730" t="s">
        <v>203</v>
      </c>
      <c r="B89" s="731"/>
      <c r="C89" s="731"/>
      <c r="D89" s="732" t="s">
        <v>182</v>
      </c>
      <c r="E89" s="627">
        <f>'11'!F89</f>
        <v>66357.600000000006</v>
      </c>
      <c r="F89" s="647">
        <v>66382.8</v>
      </c>
      <c r="G89" s="705">
        <f t="shared" si="7"/>
        <v>25.19999999999709</v>
      </c>
      <c r="H89" s="705">
        <f>G89</f>
        <v>25.19999999999709</v>
      </c>
      <c r="I89" s="652"/>
      <c r="J89" s="707">
        <f>H89/DAY(B2)</f>
        <v>2.0999999999997576</v>
      </c>
      <c r="K89" s="733"/>
      <c r="L89" s="734"/>
      <c r="N89" s="777"/>
      <c r="O89" s="713"/>
    </row>
    <row r="90" spans="1:17" s="735" customFormat="1">
      <c r="A90" s="730" t="s">
        <v>203</v>
      </c>
      <c r="B90" s="731"/>
      <c r="C90" s="731"/>
      <c r="D90" s="732" t="s">
        <v>182</v>
      </c>
      <c r="E90" s="627">
        <f>'11'!F90</f>
        <v>3381.4</v>
      </c>
      <c r="F90" s="647">
        <v>3385.2</v>
      </c>
      <c r="G90" s="705">
        <f t="shared" si="7"/>
        <v>3.7999999999997272</v>
      </c>
      <c r="H90" s="705">
        <f>G90</f>
        <v>3.7999999999997272</v>
      </c>
      <c r="I90" s="652"/>
      <c r="J90" s="707">
        <f>H90/DAY(B2)</f>
        <v>0.31666666666664395</v>
      </c>
      <c r="K90" s="733"/>
      <c r="L90" s="734"/>
      <c r="N90" s="777"/>
      <c r="O90" s="713"/>
    </row>
    <row r="91" spans="1:17" s="735" customFormat="1">
      <c r="A91" s="730" t="s">
        <v>347</v>
      </c>
      <c r="B91" s="731"/>
      <c r="C91" s="731"/>
      <c r="D91" s="732"/>
      <c r="E91" s="627">
        <f>'11'!F91</f>
        <v>28334.9</v>
      </c>
      <c r="F91" s="647">
        <v>28345</v>
      </c>
      <c r="G91" s="705">
        <f t="shared" si="7"/>
        <v>10.099999999998545</v>
      </c>
      <c r="H91" s="705">
        <f>G91</f>
        <v>10.099999999998545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59" t="s">
        <v>205</v>
      </c>
      <c r="B93" s="1560"/>
      <c r="C93" s="1561"/>
      <c r="D93" s="523" t="s">
        <v>143</v>
      </c>
      <c r="E93" s="484">
        <f>'11'!F93</f>
        <v>248492</v>
      </c>
      <c r="F93" s="478">
        <v>248587</v>
      </c>
      <c r="G93" s="473">
        <f t="shared" ref="G93:G94" si="9">F93-E93</f>
        <v>95</v>
      </c>
      <c r="H93" s="460">
        <f>G93+'11'!H93</f>
        <v>1235</v>
      </c>
      <c r="I93" s="480"/>
      <c r="J93" s="552">
        <f>H93/DAY(B2)</f>
        <v>102.91666666666667</v>
      </c>
      <c r="K93" s="429"/>
      <c r="L93" s="377"/>
      <c r="N93" s="718"/>
      <c r="O93" s="727"/>
      <c r="P93" s="713"/>
    </row>
    <row r="94" spans="1:17" ht="27.75">
      <c r="A94" s="1559" t="s">
        <v>206</v>
      </c>
      <c r="B94" s="1560"/>
      <c r="C94" s="1561"/>
      <c r="D94" s="523" t="s">
        <v>143</v>
      </c>
      <c r="E94" s="484">
        <f>'11'!F94</f>
        <v>190711</v>
      </c>
      <c r="F94" s="478">
        <v>190842</v>
      </c>
      <c r="G94" s="473">
        <f t="shared" si="9"/>
        <v>131</v>
      </c>
      <c r="H94" s="460">
        <f>G94+'11'!H94</f>
        <v>1388</v>
      </c>
      <c r="I94" s="480"/>
      <c r="J94" s="552">
        <f>H94/DAY(B2)</f>
        <v>115.66666666666667</v>
      </c>
      <c r="K94" s="380"/>
      <c r="L94" s="377"/>
      <c r="N94" s="718"/>
      <c r="O94" s="727"/>
      <c r="P94" s="713"/>
    </row>
    <row r="95" spans="1:17">
      <c r="A95" s="1591" t="s">
        <v>207</v>
      </c>
      <c r="B95" s="1592"/>
      <c r="C95" s="1593"/>
      <c r="D95" s="523"/>
      <c r="E95" s="484">
        <f>'11'!F95</f>
        <v>0</v>
      </c>
      <c r="F95" s="478"/>
      <c r="G95" s="473">
        <f>G93+G94</f>
        <v>226</v>
      </c>
      <c r="H95" s="460">
        <f>G95+'11'!H95</f>
        <v>2437</v>
      </c>
      <c r="I95" s="480"/>
      <c r="J95" s="552">
        <f>H95/DAY(B2)</f>
        <v>203.08333333333334</v>
      </c>
      <c r="K95" s="380"/>
      <c r="L95" s="377"/>
      <c r="N95" s="718"/>
      <c r="O95" s="727"/>
      <c r="P95" s="713"/>
    </row>
    <row r="96" spans="1:17" ht="27.75">
      <c r="A96" s="1559" t="s">
        <v>208</v>
      </c>
      <c r="B96" s="1560"/>
      <c r="C96" s="1561"/>
      <c r="D96" s="523" t="s">
        <v>143</v>
      </c>
      <c r="E96" s="484">
        <f>'11'!F96</f>
        <v>417015</v>
      </c>
      <c r="F96" s="478">
        <v>417106</v>
      </c>
      <c r="G96" s="473">
        <f t="shared" ref="G96:G101" si="10">F96-E96</f>
        <v>91</v>
      </c>
      <c r="H96" s="460">
        <f>G96+'11'!H96</f>
        <v>1107</v>
      </c>
      <c r="I96" s="480"/>
      <c r="J96" s="552">
        <f>H96/DAY(B2)</f>
        <v>92.25</v>
      </c>
      <c r="K96" s="380"/>
      <c r="L96" s="377"/>
      <c r="N96" s="718"/>
      <c r="O96" s="727"/>
      <c r="P96" s="713"/>
    </row>
    <row r="97" spans="1:17" ht="27.75">
      <c r="A97" s="1139" t="s">
        <v>209</v>
      </c>
      <c r="B97" s="1140"/>
      <c r="C97" s="1140"/>
      <c r="D97" s="523" t="s">
        <v>143</v>
      </c>
      <c r="E97" s="484">
        <f>'11'!F97</f>
        <v>103403</v>
      </c>
      <c r="F97" s="478">
        <v>103425</v>
      </c>
      <c r="G97" s="473">
        <f t="shared" si="10"/>
        <v>22</v>
      </c>
      <c r="H97" s="460">
        <f>G97+'11'!H97</f>
        <v>262</v>
      </c>
      <c r="I97" s="480"/>
      <c r="J97" s="552">
        <f>H97/DAY(B2)</f>
        <v>21.833333333333332</v>
      </c>
      <c r="K97" s="427"/>
      <c r="L97" s="377"/>
      <c r="N97" s="718"/>
      <c r="O97" s="727"/>
      <c r="P97" s="713"/>
    </row>
    <row r="98" spans="1:17" ht="27.75">
      <c r="A98" s="1139" t="s">
        <v>210</v>
      </c>
      <c r="B98" s="1140"/>
      <c r="C98" s="1140"/>
      <c r="D98" s="523" t="s">
        <v>143</v>
      </c>
      <c r="E98" s="484">
        <f>'11'!F98</f>
        <v>98942</v>
      </c>
      <c r="F98" s="478">
        <v>98963</v>
      </c>
      <c r="G98" s="473">
        <f t="shared" si="10"/>
        <v>21</v>
      </c>
      <c r="H98" s="460">
        <f>G98+'11'!H98</f>
        <v>306</v>
      </c>
      <c r="I98" s="480"/>
      <c r="J98" s="552">
        <f>H98/DAY(B2)</f>
        <v>25.5</v>
      </c>
      <c r="K98" s="432"/>
      <c r="L98" s="377"/>
      <c r="N98" s="718"/>
      <c r="O98" s="727"/>
      <c r="P98" s="713"/>
    </row>
    <row r="99" spans="1:17" ht="27.75">
      <c r="A99" s="1139" t="s">
        <v>211</v>
      </c>
      <c r="B99" s="1140"/>
      <c r="C99" s="1140"/>
      <c r="D99" s="523" t="s">
        <v>143</v>
      </c>
      <c r="E99" s="484">
        <f>'11'!F99</f>
        <v>150726</v>
      </c>
      <c r="F99" s="478">
        <v>150797</v>
      </c>
      <c r="G99" s="473">
        <f t="shared" si="10"/>
        <v>71</v>
      </c>
      <c r="H99" s="460">
        <f>G99+'11'!H99</f>
        <v>392</v>
      </c>
      <c r="I99" s="480"/>
      <c r="J99" s="552">
        <f>H99/DAY(B2)</f>
        <v>32.666666666666664</v>
      </c>
      <c r="K99" s="380"/>
      <c r="L99" s="377"/>
      <c r="N99" s="720"/>
      <c r="O99" s="727"/>
      <c r="P99" s="713"/>
    </row>
    <row r="100" spans="1:17" ht="27.75">
      <c r="A100" s="1139" t="s">
        <v>212</v>
      </c>
      <c r="B100" s="1140"/>
      <c r="C100" s="1140"/>
      <c r="D100" s="523" t="s">
        <v>143</v>
      </c>
      <c r="E100" s="484">
        <f>'11'!F100</f>
        <v>7916</v>
      </c>
      <c r="F100" s="478">
        <v>7930</v>
      </c>
      <c r="G100" s="473">
        <f t="shared" si="10"/>
        <v>14</v>
      </c>
      <c r="H100" s="460">
        <f>G100+'11'!H100</f>
        <v>133</v>
      </c>
      <c r="I100" s="480"/>
      <c r="J100" s="552">
        <f>H100/DAY(B2)</f>
        <v>11.083333333333334</v>
      </c>
      <c r="K100" s="380"/>
      <c r="L100" s="377"/>
      <c r="N100" s="718"/>
      <c r="O100" s="727"/>
      <c r="P100" s="713"/>
    </row>
    <row r="101" spans="1:17" ht="27.75">
      <c r="A101" s="1139" t="s">
        <v>213</v>
      </c>
      <c r="B101" s="1140"/>
      <c r="C101" s="1140"/>
      <c r="D101" s="523" t="s">
        <v>143</v>
      </c>
      <c r="E101" s="484">
        <f>'11'!F101</f>
        <v>5785</v>
      </c>
      <c r="F101" s="478">
        <v>5796</v>
      </c>
      <c r="G101" s="473">
        <f t="shared" si="10"/>
        <v>11</v>
      </c>
      <c r="H101" s="460">
        <f>G101+'11'!H101</f>
        <v>122</v>
      </c>
      <c r="I101" s="480"/>
      <c r="J101" s="552">
        <f>H101/DAY(B2)</f>
        <v>10.166666666666666</v>
      </c>
      <c r="K101" s="380"/>
      <c r="L101" s="377"/>
      <c r="N101" s="718"/>
      <c r="O101" s="727"/>
      <c r="P101" s="713"/>
    </row>
    <row r="102" spans="1:17">
      <c r="A102" s="1591" t="s">
        <v>215</v>
      </c>
      <c r="B102" s="1592"/>
      <c r="C102" s="1593"/>
      <c r="D102" s="524"/>
      <c r="E102" s="484"/>
      <c r="F102" s="524"/>
      <c r="G102" s="525">
        <f>SUM(G96:G101)</f>
        <v>230</v>
      </c>
      <c r="H102" s="460">
        <f>G102+'11'!H102</f>
        <v>2322</v>
      </c>
      <c r="I102" s="526"/>
      <c r="J102" s="552">
        <f>H102/DAY(B2)</f>
        <v>193.5</v>
      </c>
      <c r="K102" s="380"/>
      <c r="L102" s="377"/>
      <c r="N102" s="718"/>
      <c r="O102" s="727"/>
      <c r="P102" s="713"/>
    </row>
    <row r="103" spans="1:17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51" t="s">
        <v>218</v>
      </c>
      <c r="B105" s="1552"/>
      <c r="C105" s="1138"/>
      <c r="D105" s="622" t="s">
        <v>143</v>
      </c>
      <c r="E105" s="484">
        <f>'11'!F105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51" t="s">
        <v>76</v>
      </c>
      <c r="B106" s="1552"/>
      <c r="C106" s="1138"/>
      <c r="D106" s="622" t="s">
        <v>143</v>
      </c>
      <c r="E106" s="484">
        <f>'11'!F106</f>
        <v>36255</v>
      </c>
      <c r="F106" s="659">
        <v>36269</v>
      </c>
      <c r="G106" s="532">
        <f t="shared" ref="G106:G107" si="11">F106-E106</f>
        <v>14</v>
      </c>
      <c r="H106" s="533">
        <f>SUM(G106+'1'!G77)</f>
        <v>67</v>
      </c>
      <c r="I106" s="532"/>
      <c r="J106" s="558">
        <f>H106/DAY(B2)</f>
        <v>5.583333333333333</v>
      </c>
      <c r="N106" s="718"/>
      <c r="O106" s="727"/>
      <c r="P106" s="713"/>
      <c r="Q106" s="445"/>
    </row>
    <row r="107" spans="1:17" s="442" customFormat="1" ht="27.75">
      <c r="A107" s="1551" t="s">
        <v>77</v>
      </c>
      <c r="B107" s="1596"/>
      <c r="C107" s="1552"/>
      <c r="D107" s="622" t="s">
        <v>143</v>
      </c>
      <c r="E107" s="484">
        <f>'11'!F107</f>
        <v>19869</v>
      </c>
      <c r="F107" s="659">
        <v>19874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9.9166666666666661</v>
      </c>
      <c r="N107" s="718"/>
      <c r="O107" s="727"/>
      <c r="P107" s="713"/>
      <c r="Q107" s="445"/>
    </row>
    <row r="108" spans="1:17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14.333333333333334</v>
      </c>
      <c r="N108" s="718"/>
      <c r="O108" s="727"/>
      <c r="P108" s="713"/>
      <c r="Q108" s="445"/>
    </row>
    <row r="109" spans="1:17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51" t="s">
        <v>219</v>
      </c>
      <c r="B110" s="1552"/>
      <c r="C110" s="1138"/>
      <c r="D110" s="622" t="s">
        <v>143</v>
      </c>
      <c r="E110" s="484">
        <f>'11'!F110</f>
        <v>65714</v>
      </c>
      <c r="F110" s="659">
        <v>65778</v>
      </c>
      <c r="G110" s="532">
        <f>F110-E110</f>
        <v>64</v>
      </c>
      <c r="H110" s="533">
        <f>SUM(G110+'1'!G81)</f>
        <v>195.64000000001397</v>
      </c>
      <c r="I110" s="532"/>
      <c r="J110" s="558">
        <f>H110/DAY(B2)</f>
        <v>16.303333333334496</v>
      </c>
      <c r="N110" s="718"/>
      <c r="O110" s="727"/>
      <c r="P110" s="713"/>
      <c r="Q110" s="445"/>
    </row>
    <row r="111" spans="1:17" s="442" customFormat="1" ht="27.75">
      <c r="A111" s="1551" t="s">
        <v>220</v>
      </c>
      <c r="B111" s="1552"/>
      <c r="C111" s="1138"/>
      <c r="D111" s="622" t="s">
        <v>143</v>
      </c>
      <c r="E111" s="484">
        <f>'11'!F111</f>
        <v>33459</v>
      </c>
      <c r="F111" s="659">
        <v>33529</v>
      </c>
      <c r="G111" s="532">
        <f t="shared" ref="G111:G112" si="12">F111-E111</f>
        <v>70</v>
      </c>
      <c r="H111" s="533">
        <f>SUM(G111+'1'!G82)</f>
        <v>94.899999999994179</v>
      </c>
      <c r="I111" s="532"/>
      <c r="J111" s="558">
        <f>H111/DAY(B2)</f>
        <v>7.9083333333328483</v>
      </c>
      <c r="N111" s="718"/>
      <c r="O111" s="727"/>
      <c r="P111" s="713"/>
      <c r="Q111" s="445"/>
    </row>
    <row r="112" spans="1:17" s="442" customFormat="1" ht="27.75">
      <c r="A112" s="1551" t="s">
        <v>221</v>
      </c>
      <c r="B112" s="1552"/>
      <c r="C112" s="1138"/>
      <c r="D112" s="622" t="s">
        <v>143</v>
      </c>
      <c r="E112" s="484">
        <f>'11'!F112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134</v>
      </c>
      <c r="H113" s="533">
        <f>SUM(G113+'1'!G84)</f>
        <v>950</v>
      </c>
      <c r="I113" s="532"/>
      <c r="J113" s="558">
        <f>H113/DAY(B2)</f>
        <v>79.166666666666671</v>
      </c>
      <c r="N113" s="718"/>
      <c r="O113" s="727"/>
      <c r="P113" s="713"/>
      <c r="Q113" s="445"/>
    </row>
    <row r="114" spans="1:17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51" t="s">
        <v>223</v>
      </c>
      <c r="B115" s="1552"/>
      <c r="C115" s="574"/>
      <c r="D115" s="622" t="s">
        <v>143</v>
      </c>
      <c r="E115" s="484">
        <f>'11'!F115</f>
        <v>12163</v>
      </c>
      <c r="F115" s="659">
        <v>12179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1.3333333333333333</v>
      </c>
      <c r="N115" s="718"/>
      <c r="O115" s="727"/>
      <c r="P115" s="713"/>
      <c r="Q115" s="445"/>
    </row>
    <row r="116" spans="1:17" s="442" customFormat="1" ht="27.75">
      <c r="A116" s="1551" t="s">
        <v>224</v>
      </c>
      <c r="B116" s="1552"/>
      <c r="C116" s="574"/>
      <c r="D116" s="622" t="s">
        <v>143</v>
      </c>
      <c r="E116" s="484">
        <f>'11'!F116</f>
        <v>8648</v>
      </c>
      <c r="F116" s="659">
        <v>8659</v>
      </c>
      <c r="G116" s="534">
        <f t="shared" ref="G116:G117" si="13">F116-E116</f>
        <v>11</v>
      </c>
      <c r="H116" s="533">
        <f>SUM(G116+'1'!G93)</f>
        <v>100</v>
      </c>
      <c r="I116" s="532"/>
      <c r="J116" s="558">
        <f>H116/DAY(B2)</f>
        <v>8.3333333333333339</v>
      </c>
      <c r="N116" s="718"/>
      <c r="O116" s="727"/>
      <c r="P116" s="713"/>
      <c r="Q116" s="445"/>
    </row>
    <row r="117" spans="1:17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27</v>
      </c>
      <c r="H118" s="533">
        <f>SUM(G118+'1'!G96)</f>
        <v>113</v>
      </c>
      <c r="I118" s="534"/>
      <c r="J118" s="558">
        <f>H118/DAY(B2)</f>
        <v>9.4166666666666661</v>
      </c>
      <c r="N118" s="718"/>
      <c r="O118" s="727"/>
      <c r="P118" s="713"/>
    </row>
    <row r="119" spans="1:17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161</v>
      </c>
      <c r="G119" s="536">
        <f>SUM(G19+G93)</f>
        <v>161</v>
      </c>
      <c r="H119" s="533">
        <f>SUM(G119+'1'!G97)</f>
        <v>178</v>
      </c>
      <c r="I119" s="535"/>
      <c r="J119" s="559">
        <f>H119/DAY(B2)</f>
        <v>14.833333333333334</v>
      </c>
      <c r="N119" s="718"/>
      <c r="O119" s="727"/>
      <c r="P119" s="713"/>
    </row>
    <row r="120" spans="1:17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17.416666666666668</v>
      </c>
      <c r="N120" s="718"/>
      <c r="O120" s="727"/>
      <c r="P120" s="713"/>
    </row>
    <row r="121" spans="1:17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134</v>
      </c>
      <c r="G121" s="534">
        <f>SUM(G113)</f>
        <v>134</v>
      </c>
      <c r="H121" s="533">
        <f>SUM(G121+'1'!G101)</f>
        <v>139</v>
      </c>
      <c r="I121" s="535"/>
      <c r="J121" s="559">
        <f>H121/DAY(B2)</f>
        <v>11.583333333333334</v>
      </c>
      <c r="N121" s="718"/>
      <c r="O121" s="727"/>
      <c r="P121" s="713"/>
    </row>
    <row r="122" spans="1:17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39" t="s">
        <v>230</v>
      </c>
      <c r="B124" s="1140"/>
      <c r="C124" s="1140"/>
      <c r="D124" s="523" t="s">
        <v>140</v>
      </c>
      <c r="E124" s="478">
        <f>'11'!F124</f>
        <v>842701.88</v>
      </c>
      <c r="F124" s="478">
        <v>842969.01</v>
      </c>
      <c r="G124" s="473">
        <f t="shared" ref="G124:G128" si="14">F124-E124</f>
        <v>267.13000000000466</v>
      </c>
      <c r="H124" s="460">
        <f>G124+'11'!H124</f>
        <v>3299.0100000000093</v>
      </c>
      <c r="I124" s="526"/>
      <c r="J124" s="552">
        <f>H124/DAY(B2)</f>
        <v>274.91750000000076</v>
      </c>
      <c r="K124" s="380"/>
      <c r="L124" s="377"/>
      <c r="N124" s="718"/>
      <c r="O124" s="727"/>
      <c r="P124" s="713"/>
    </row>
    <row r="125" spans="1:17" ht="27.75">
      <c r="A125" s="1139" t="s">
        <v>231</v>
      </c>
      <c r="B125" s="1140"/>
      <c r="C125" s="1140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40" t="s">
        <v>232</v>
      </c>
      <c r="B126" s="1541"/>
      <c r="C126" s="1542"/>
      <c r="D126" s="523" t="s">
        <v>140</v>
      </c>
      <c r="E126" s="478">
        <f>'11'!F126</f>
        <v>149531.91</v>
      </c>
      <c r="F126" s="478">
        <v>149636.23000000001</v>
      </c>
      <c r="G126" s="473">
        <f t="shared" si="14"/>
        <v>104.32000000000698</v>
      </c>
      <c r="H126" s="460">
        <f>G126+'11'!H126</f>
        <v>1039.2300000000105</v>
      </c>
      <c r="I126" s="526"/>
      <c r="J126" s="552">
        <f>H126/DAY(B2)</f>
        <v>86.602500000000873</v>
      </c>
      <c r="K126" s="380"/>
      <c r="L126" s="377"/>
      <c r="N126" s="718"/>
      <c r="O126" s="727"/>
      <c r="P126" s="713"/>
    </row>
    <row r="127" spans="1:17" ht="27.75">
      <c r="A127" s="609" t="s">
        <v>233</v>
      </c>
      <c r="B127" s="1140"/>
      <c r="C127" s="1140"/>
      <c r="D127" s="523" t="s">
        <v>140</v>
      </c>
      <c r="E127" s="626">
        <f>'11'!F127</f>
        <v>32482.799999999999</v>
      </c>
      <c r="F127" s="626">
        <v>32518.2</v>
      </c>
      <c r="G127" s="473">
        <f t="shared" si="14"/>
        <v>35.400000000001455</v>
      </c>
      <c r="H127" s="460">
        <f>G127+'11'!H127</f>
        <v>447.20000000000073</v>
      </c>
      <c r="I127" s="526"/>
      <c r="J127" s="552">
        <f>H127/DAY(B2)</f>
        <v>37.26666666666673</v>
      </c>
      <c r="K127" s="380"/>
      <c r="L127" s="377"/>
      <c r="N127" s="718"/>
      <c r="O127" s="727"/>
      <c r="P127" s="713"/>
    </row>
    <row r="128" spans="1:17" ht="27.75">
      <c r="A128" s="609" t="s">
        <v>234</v>
      </c>
      <c r="B128" s="1140"/>
      <c r="C128" s="1140"/>
      <c r="D128" s="523" t="s">
        <v>140</v>
      </c>
      <c r="E128" s="626">
        <f>'11'!F128</f>
        <v>9046.7000000000007</v>
      </c>
      <c r="F128" s="626">
        <v>9050.9</v>
      </c>
      <c r="G128" s="473">
        <f t="shared" si="14"/>
        <v>4.1999999999989086</v>
      </c>
      <c r="H128" s="460">
        <f>G128+'11'!H128</f>
        <v>38.899999999999636</v>
      </c>
      <c r="I128" s="480"/>
      <c r="J128" s="552">
        <f>H128/DAY(B2)</f>
        <v>3.2416666666666365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504.14000000001943</v>
      </c>
      <c r="H129" s="460">
        <f>H15-SUM(H124:H128)</f>
        <v>4921.2599999999275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39" t="s">
        <v>237</v>
      </c>
      <c r="B131" s="1140"/>
      <c r="C131" s="1140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39" t="s">
        <v>239</v>
      </c>
      <c r="B132" s="1140"/>
      <c r="C132" s="1140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39" t="s">
        <v>240</v>
      </c>
      <c r="B133" s="1140"/>
      <c r="C133" s="1140"/>
      <c r="D133" s="523" t="s">
        <v>238</v>
      </c>
      <c r="E133" s="541">
        <f>'11'!F133</f>
        <v>40605.550000000003</v>
      </c>
      <c r="F133" s="651">
        <v>40605.550000000003</v>
      </c>
      <c r="G133" s="473">
        <f t="shared" si="15"/>
        <v>0</v>
      </c>
      <c r="H133" s="460">
        <f>G133+'11'!H133</f>
        <v>152.55000000000291</v>
      </c>
      <c r="I133" s="480"/>
      <c r="J133" s="552">
        <f>H133/DAY(B2)</f>
        <v>12.712500000000242</v>
      </c>
      <c r="N133" s="718"/>
      <c r="O133" s="727"/>
      <c r="P133" s="713"/>
    </row>
    <row r="134" spans="1:17" ht="27.75">
      <c r="A134" s="1139" t="s">
        <v>241</v>
      </c>
      <c r="B134" s="1140"/>
      <c r="C134" s="1140"/>
      <c r="D134" s="523" t="s">
        <v>238</v>
      </c>
      <c r="E134" s="701">
        <f>'11'!F134</f>
        <v>300</v>
      </c>
      <c r="F134" s="626">
        <v>304.57</v>
      </c>
      <c r="G134" s="473">
        <f t="shared" si="15"/>
        <v>4.5699999999999932</v>
      </c>
      <c r="H134" s="460">
        <f>G134+'11'!H134</f>
        <v>4.5699999999999932</v>
      </c>
      <c r="I134" s="480">
        <f>G131+G132+G133+G134</f>
        <v>4.5699999999999932</v>
      </c>
      <c r="J134" s="552">
        <f>H134/DAY(B2)</f>
        <v>0.38083333333333275</v>
      </c>
      <c r="N134" s="718"/>
      <c r="O134" s="727"/>
      <c r="P134" s="713"/>
    </row>
    <row r="135" spans="1:17" ht="27.75">
      <c r="A135" s="1139" t="s">
        <v>242</v>
      </c>
      <c r="B135" s="1140"/>
      <c r="C135" s="1140"/>
      <c r="D135" s="523" t="s">
        <v>238</v>
      </c>
      <c r="E135" s="701">
        <f>'11'!F135</f>
        <v>42151.42</v>
      </c>
      <c r="F135" s="626">
        <v>42175.3</v>
      </c>
      <c r="G135" s="473">
        <f t="shared" si="15"/>
        <v>23.880000000004657</v>
      </c>
      <c r="H135" s="460">
        <f>G135+'11'!H135</f>
        <v>203.30000000000291</v>
      </c>
      <c r="I135" s="480"/>
      <c r="J135" s="552">
        <f>H135/DAY(B2)</f>
        <v>16.941666666666908</v>
      </c>
      <c r="N135" s="718"/>
      <c r="O135" s="727"/>
      <c r="P135" s="713"/>
    </row>
    <row r="136" spans="1:17" ht="27.75">
      <c r="A136" s="1139" t="s">
        <v>243</v>
      </c>
      <c r="B136" s="1140"/>
      <c r="C136" s="1140"/>
      <c r="D136" s="523" t="s">
        <v>238</v>
      </c>
      <c r="E136" s="522">
        <f>'11'!F136</f>
        <v>32874.050000000003</v>
      </c>
      <c r="F136" s="651">
        <v>32874.050000000003</v>
      </c>
      <c r="G136" s="473">
        <f t="shared" si="15"/>
        <v>0</v>
      </c>
      <c r="H136" s="460">
        <f>G136+'11'!H136</f>
        <v>5.0000000002910383E-2</v>
      </c>
      <c r="I136" s="480"/>
      <c r="J136" s="552">
        <f>H136/DAY(B2)</f>
        <v>4.1666666669091983E-3</v>
      </c>
      <c r="N136" s="718"/>
      <c r="O136" s="727"/>
      <c r="P136" s="713"/>
    </row>
    <row r="137" spans="1:17" ht="27.75">
      <c r="A137" s="1139" t="s">
        <v>244</v>
      </c>
      <c r="B137" s="1140"/>
      <c r="C137" s="1140"/>
      <c r="D137" s="523" t="s">
        <v>238</v>
      </c>
      <c r="E137" s="541">
        <f>'11'!F137</f>
        <v>22963.85</v>
      </c>
      <c r="F137" s="651">
        <v>22972.33</v>
      </c>
      <c r="G137" s="473">
        <f t="shared" si="15"/>
        <v>8.4800000000032014</v>
      </c>
      <c r="H137" s="460">
        <f>G137+'11'!H137</f>
        <v>80.840000000000146</v>
      </c>
      <c r="I137" s="480">
        <f>G135+G136+G137</f>
        <v>32.360000000007858</v>
      </c>
      <c r="J137" s="552">
        <f>H137/DAY(B2)</f>
        <v>6.7366666666666788</v>
      </c>
      <c r="N137" s="718"/>
      <c r="O137" s="727"/>
      <c r="P137" s="713"/>
    </row>
    <row r="138" spans="1:17" ht="27.75">
      <c r="A138" s="1139" t="s">
        <v>245</v>
      </c>
      <c r="B138" s="1140"/>
      <c r="C138" s="1140"/>
      <c r="D138" s="523" t="s">
        <v>238</v>
      </c>
      <c r="E138" s="541">
        <f>'11'!F138</f>
        <v>25099.16</v>
      </c>
      <c r="F138" s="651">
        <v>25099.16</v>
      </c>
      <c r="G138" s="473">
        <f t="shared" si="15"/>
        <v>0</v>
      </c>
      <c r="H138" s="460">
        <f>G138+'11'!H138</f>
        <v>7.7700000000004366</v>
      </c>
      <c r="I138" s="480"/>
      <c r="J138" s="552">
        <f>H138/DAY(B2)</f>
        <v>0.64750000000003638</v>
      </c>
      <c r="N138" s="718"/>
      <c r="O138" s="727"/>
      <c r="P138" s="713"/>
    </row>
    <row r="139" spans="1:17" ht="27.75">
      <c r="A139" s="1139" t="s">
        <v>246</v>
      </c>
      <c r="B139" s="1140"/>
      <c r="C139" s="1140"/>
      <c r="D139" s="523" t="s">
        <v>238</v>
      </c>
      <c r="E139" s="541">
        <f>'11'!F139</f>
        <v>70514.289999999994</v>
      </c>
      <c r="F139" s="651">
        <v>70514.289999999994</v>
      </c>
      <c r="G139" s="473">
        <f t="shared" si="15"/>
        <v>0</v>
      </c>
      <c r="H139" s="460">
        <f>G139+'11'!H139</f>
        <v>0.66999999999825377</v>
      </c>
      <c r="I139" s="480">
        <f>G138+G139</f>
        <v>0</v>
      </c>
      <c r="J139" s="552">
        <f>H139/DAY(B2)</f>
        <v>5.5833333333187816E-2</v>
      </c>
      <c r="N139" s="718"/>
      <c r="O139" s="727"/>
      <c r="P139" s="713"/>
    </row>
    <row r="140" spans="1:17" ht="27.75">
      <c r="A140" s="1139" t="s">
        <v>247</v>
      </c>
      <c r="B140" s="1140"/>
      <c r="C140" s="1140"/>
      <c r="D140" s="523" t="s">
        <v>238</v>
      </c>
      <c r="E140" s="701">
        <f>'11'!F140</f>
        <v>2241.3000000000002</v>
      </c>
      <c r="F140" s="626">
        <v>2247.77</v>
      </c>
      <c r="G140" s="473">
        <f t="shared" si="15"/>
        <v>6.4699999999997999</v>
      </c>
      <c r="H140" s="460">
        <f>G140+'11'!H140</f>
        <v>118.59000000000015</v>
      </c>
      <c r="I140" s="542"/>
      <c r="J140" s="552">
        <f>H140/DAY(B2)</f>
        <v>9.8825000000000127</v>
      </c>
      <c r="N140" s="718"/>
      <c r="O140" s="727"/>
      <c r="P140" s="713"/>
    </row>
    <row r="141" spans="1:17" ht="27.75">
      <c r="A141" s="1139" t="s">
        <v>248</v>
      </c>
      <c r="B141" s="1140"/>
      <c r="C141" s="1140"/>
      <c r="D141" s="523" t="s">
        <v>238</v>
      </c>
      <c r="E141" s="484">
        <f>'11'!F141</f>
        <v>4636.88</v>
      </c>
      <c r="F141" s="478">
        <v>4640.12</v>
      </c>
      <c r="G141" s="473">
        <f t="shared" si="15"/>
        <v>3.2399999999997817</v>
      </c>
      <c r="H141" s="460">
        <f>G141+'11'!H141</f>
        <v>3.1199999999998909</v>
      </c>
      <c r="I141" s="542"/>
      <c r="J141" s="552">
        <f>H141/DAY(B2)</f>
        <v>0.25999999999999091</v>
      </c>
      <c r="N141" s="718"/>
      <c r="O141" s="727"/>
      <c r="P141" s="713"/>
    </row>
    <row r="142" spans="1:17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5564.6000000002095</v>
      </c>
      <c r="H143" s="460">
        <f>G143+'11'!H143</f>
        <v>67821.030000000144</v>
      </c>
      <c r="I143" s="480"/>
      <c r="J143" s="552">
        <f>H143/DAY(B2)</f>
        <v>5651.7525000000123</v>
      </c>
      <c r="K143" s="380"/>
      <c r="L143" s="377"/>
      <c r="N143" s="718"/>
      <c r="O143" s="727"/>
      <c r="P143" s="713"/>
    </row>
    <row r="144" spans="1:17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0.26338159897613217</v>
      </c>
      <c r="H144" s="460">
        <f>G144+'11'!H144</f>
        <v>3.1407588488776814</v>
      </c>
      <c r="I144" s="544"/>
      <c r="J144" s="552">
        <f>H144/DAY(B2)</f>
        <v>0.26172990407314012</v>
      </c>
      <c r="K144" s="380"/>
      <c r="L144" s="377"/>
      <c r="N144" s="718"/>
      <c r="O144" s="727"/>
      <c r="P144" s="713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6204.239999999998</v>
      </c>
      <c r="H145" s="460">
        <f>G145+'11'!H145</f>
        <v>80456.41</v>
      </c>
      <c r="I145" s="480"/>
      <c r="J145" s="552">
        <f>H145/DAY(B2)</f>
        <v>6704.7008333333333</v>
      </c>
      <c r="K145" s="380"/>
      <c r="L145" s="377"/>
      <c r="N145" s="718"/>
      <c r="O145" s="727"/>
      <c r="P145" s="713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0.29365680401675165</v>
      </c>
      <c r="H146" s="460">
        <f>G146+'11'!H146</f>
        <v>3.7188928617594619</v>
      </c>
      <c r="I146" s="544"/>
      <c r="J146" s="552">
        <f>H146/DAY(B2)</f>
        <v>0.30990773847995517</v>
      </c>
      <c r="K146" s="380"/>
      <c r="L146" s="377"/>
      <c r="N146" s="718"/>
      <c r="O146" s="727"/>
      <c r="P146" s="713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3711.7399999999907</v>
      </c>
      <c r="H147" s="460">
        <f>G147+'11'!H147</f>
        <v>44026</v>
      </c>
      <c r="I147" s="545"/>
      <c r="J147" s="552">
        <f>H147/DAY(B2)</f>
        <v>3668.8333333333335</v>
      </c>
      <c r="K147" s="380"/>
      <c r="L147" s="377"/>
      <c r="N147" s="718"/>
      <c r="O147" s="727"/>
      <c r="P147" s="713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0.17568271145879841</v>
      </c>
      <c r="H148" s="460">
        <f>G148+'11'!H148</f>
        <v>2.0406172172225672</v>
      </c>
      <c r="I148" s="545"/>
      <c r="J148" s="552">
        <f>H148/DAY(B2)</f>
        <v>0.17005143476854725</v>
      </c>
      <c r="N148" s="718"/>
      <c r="O148" s="727"/>
      <c r="P148" s="713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1595.1999999999825</v>
      </c>
      <c r="H149" s="460">
        <f>G149+'11'!H149</f>
        <v>19300.059999999939</v>
      </c>
      <c r="I149" s="480"/>
      <c r="J149" s="552">
        <f>H149/DAY(B2)</f>
        <v>1608.3383333333284</v>
      </c>
      <c r="K149" s="381"/>
      <c r="N149" s="718"/>
      <c r="O149" s="727"/>
      <c r="P149" s="713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7.5503419237089031E-2</v>
      </c>
      <c r="H150" s="460">
        <f>G150+'11'!H150</f>
        <v>0.89319973769529848</v>
      </c>
      <c r="I150" s="545"/>
      <c r="J150" s="552">
        <f>H150/DAY(B2)</f>
        <v>7.4433311474608202E-2</v>
      </c>
      <c r="N150" s="718"/>
      <c r="O150" s="727"/>
      <c r="P150" s="713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1799.3299999999399</v>
      </c>
      <c r="H151" s="460">
        <f>G151+'11'!H151</f>
        <v>22824.089999999986</v>
      </c>
      <c r="I151" s="545"/>
      <c r="J151" s="552">
        <f>H151/DAY(B2)</f>
        <v>1902.0074999999988</v>
      </c>
      <c r="N151" s="718"/>
      <c r="O151" s="727"/>
      <c r="P151" s="713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8.516522526069982E-2</v>
      </c>
      <c r="H152" s="460">
        <f>G152+'11'!H152</f>
        <v>1.0548833796438577</v>
      </c>
      <c r="I152" s="480"/>
      <c r="J152" s="552">
        <f>H152/DAY(B2)</f>
        <v>8.7906948303654808E-2</v>
      </c>
      <c r="N152" s="718"/>
      <c r="O152" s="727"/>
      <c r="P152" s="713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1595.1199999999953</v>
      </c>
      <c r="H153" s="460">
        <f>G153+'11'!H153</f>
        <v>18510.739999999991</v>
      </c>
      <c r="I153" s="480"/>
      <c r="J153" s="552">
        <f>H153/DAY(B2)</f>
        <v>1542.5616666666658</v>
      </c>
      <c r="N153" s="718"/>
      <c r="O153" s="727"/>
      <c r="P153" s="713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7.5499632706536132E-2</v>
      </c>
      <c r="H154" s="460">
        <f>G154+'11'!H154</f>
        <v>0.85778726800417482</v>
      </c>
      <c r="I154" s="568"/>
      <c r="J154" s="569">
        <f>H154/DAY(B2)</f>
        <v>7.1482272333681235E-2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541">
        <f>'11'!F161</f>
        <v>41724.85</v>
      </c>
      <c r="F161" s="658">
        <v>41804.980000000003</v>
      </c>
      <c r="G161" s="473">
        <f t="shared" ref="G161:G164" si="16">F161-E161</f>
        <v>80.130000000004657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541">
        <f>'11'!F162</f>
        <v>112729.08</v>
      </c>
      <c r="F162" s="658">
        <v>113183.84</v>
      </c>
      <c r="G162" s="473">
        <f t="shared" si="16"/>
        <v>454.75999999999476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541">
        <f>'11'!F163</f>
        <v>63485.3</v>
      </c>
      <c r="F163" s="658">
        <v>63686.52</v>
      </c>
      <c r="G163" s="473">
        <f t="shared" si="16"/>
        <v>201.21999999999389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541">
        <f>'11'!F164</f>
        <v>6956.47</v>
      </c>
      <c r="F164" s="658">
        <v>6967.86</v>
      </c>
      <c r="G164" s="473">
        <f t="shared" si="16"/>
        <v>11.389999999999418</v>
      </c>
      <c r="N164" s="718"/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5" si="17">F165-E165</f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546" t="s">
        <v>98</v>
      </c>
      <c r="B167" s="1546"/>
      <c r="C167" s="1546"/>
      <c r="D167" s="523" t="s">
        <v>186</v>
      </c>
      <c r="E167" s="514">
        <f t="shared" si="18"/>
        <v>174412.43</v>
      </c>
      <c r="F167" s="514">
        <f t="shared" si="19"/>
        <v>174787.25</v>
      </c>
      <c r="G167" s="473">
        <f t="shared" si="17"/>
        <v>374.82000000000698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514">
        <f t="shared" si="18"/>
        <v>174374.93</v>
      </c>
      <c r="F168" s="514">
        <f t="shared" si="19"/>
        <v>174756.89</v>
      </c>
      <c r="G168" s="473">
        <f t="shared" si="17"/>
        <v>381.96000000002095</v>
      </c>
      <c r="N168" s="718"/>
    </row>
    <row r="169" spans="1:14" ht="41.25" customHeight="1">
      <c r="A169" s="1546" t="s">
        <v>100</v>
      </c>
      <c r="B169" s="1546"/>
      <c r="C169" s="1546"/>
      <c r="D169" s="523" t="s">
        <v>186</v>
      </c>
      <c r="E169" s="514">
        <f t="shared" si="18"/>
        <v>72541.13</v>
      </c>
      <c r="F169" s="514">
        <f t="shared" si="19"/>
        <v>72962.960000000006</v>
      </c>
      <c r="G169" s="473">
        <f t="shared" si="17"/>
        <v>421.83000000000175</v>
      </c>
      <c r="N169" s="718"/>
    </row>
    <row r="170" spans="1:14" ht="26.25" customHeight="1">
      <c r="A170" s="1546" t="s">
        <v>101</v>
      </c>
      <c r="B170" s="1546"/>
      <c r="C170" s="1546"/>
      <c r="D170" s="523" t="s">
        <v>186</v>
      </c>
      <c r="E170" s="514">
        <f t="shared" si="18"/>
        <v>270132.69</v>
      </c>
      <c r="F170" s="514">
        <f t="shared" si="19"/>
        <v>270573.67</v>
      </c>
      <c r="G170" s="473">
        <f t="shared" si="17"/>
        <v>440.97999999998137</v>
      </c>
      <c r="N170" s="718"/>
    </row>
    <row r="171" spans="1:14" ht="24" customHeight="1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90283</v>
      </c>
      <c r="F172" s="514">
        <f t="shared" si="19"/>
        <v>90565.99</v>
      </c>
      <c r="G172" s="473">
        <f t="shared" si="17"/>
        <v>282.99000000000524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41">
        <f>'11'!F173</f>
        <v>19053</v>
      </c>
      <c r="F173" s="532">
        <v>19057.599999999999</v>
      </c>
      <c r="G173" s="473">
        <f t="shared" si="17"/>
        <v>4.5999999999985448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541">
        <f>'11'!F174</f>
        <v>70406</v>
      </c>
      <c r="F174" s="532">
        <v>70411.899999999994</v>
      </c>
      <c r="G174" s="473">
        <f t="shared" si="17"/>
        <v>5.8999999999941792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541">
        <f>'11'!F175</f>
        <v>27678.400000000001</v>
      </c>
      <c r="F175" s="532">
        <v>27684.7</v>
      </c>
      <c r="G175" s="473">
        <f t="shared" si="17"/>
        <v>6.2999999999992724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8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>
      <c r="N199" s="718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G126" sqref="G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356</v>
      </c>
      <c r="B2" s="1031">
        <v>44390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41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'12'!F7</f>
        <v>181256.02</v>
      </c>
      <c r="F7" s="455">
        <f>E7+21500</f>
        <v>202756.02</v>
      </c>
      <c r="G7" s="678">
        <f>F7-E7</f>
        <v>21500</v>
      </c>
      <c r="H7" s="679">
        <f>G7+'12'!H7</f>
        <v>280803.02</v>
      </c>
      <c r="I7" s="680">
        <f>'1'!I7</f>
        <v>12000</v>
      </c>
      <c r="J7" s="681">
        <f>H7/DAY(B2)</f>
        <v>21600.232307692309</v>
      </c>
      <c r="K7" s="549"/>
      <c r="L7" s="377"/>
      <c r="N7" s="729">
        <f>G7/G8</f>
        <v>0.9948453131217786</v>
      </c>
      <c r="O7" s="725">
        <f>F7+200</f>
        <v>202956.02</v>
      </c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'12'!F8</f>
        <v>187298.87</v>
      </c>
      <c r="F8" s="475">
        <v>208910.27</v>
      </c>
      <c r="G8" s="689">
        <f>F8-E8</f>
        <v>21611.399999999994</v>
      </c>
      <c r="H8" s="679">
        <f>G8+'12'!H8</f>
        <v>282188.27</v>
      </c>
      <c r="I8" s="686">
        <f>'1'!I8</f>
        <v>12000</v>
      </c>
      <c r="J8" s="681">
        <f>H8/DAY(B2)</f>
        <v>21706.79</v>
      </c>
      <c r="K8" s="549"/>
      <c r="L8" s="425"/>
      <c r="M8" s="440"/>
      <c r="N8" s="718"/>
      <c r="O8" s="725">
        <f>F8+200</f>
        <v>209110.27</v>
      </c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'12'!F9</f>
        <v>2283832.2999999998</v>
      </c>
      <c r="F9" s="478">
        <v>2304587</v>
      </c>
      <c r="G9" s="702">
        <f t="shared" ref="G9:G12" si="0">F9-E9</f>
        <v>20754.700000000186</v>
      </c>
      <c r="H9" s="679">
        <f>G9+'12'!H9</f>
        <v>273585</v>
      </c>
      <c r="I9" s="690">
        <f>I7-J7</f>
        <v>-9600.2323076923094</v>
      </c>
      <c r="J9" s="681">
        <f>H9/DAY(B2)</f>
        <v>21045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20754.700000000186</v>
      </c>
      <c r="H13" s="679">
        <f>G13+'12'!H13</f>
        <v>253258</v>
      </c>
      <c r="I13" s="695">
        <f>G7-G13</f>
        <v>745.29999999981374</v>
      </c>
      <c r="J13" s="681">
        <f>H13/DAY(B2)</f>
        <v>19481.384615384617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'12'!F15</f>
        <v>1713428.2</v>
      </c>
      <c r="F15" s="700">
        <v>1714372</v>
      </c>
      <c r="G15" s="664">
        <f>(F15-E15)</f>
        <v>943.80000000004657</v>
      </c>
      <c r="H15" s="486">
        <f>G15+'12'!H15</f>
        <v>10689</v>
      </c>
      <c r="I15" s="474">
        <v>800</v>
      </c>
      <c r="J15" s="553">
        <f>H15/DAY(B2)</f>
        <v>822.23076923076928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-22.230769230769283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'12'!F18</f>
        <v>12</v>
      </c>
      <c r="F18" s="478">
        <v>14</v>
      </c>
      <c r="G18" s="694">
        <f>F18*10</f>
        <v>140</v>
      </c>
      <c r="H18" s="679">
        <f>G18+'12'!H18</f>
        <v>1760</v>
      </c>
      <c r="I18" s="680">
        <f>'1'!I18</f>
        <v>65</v>
      </c>
      <c r="J18" s="681">
        <f>H18/DAY(B2)</f>
        <v>135.38461538461539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'12'!F19</f>
        <v>142226</v>
      </c>
      <c r="F19" s="478">
        <v>142288</v>
      </c>
      <c r="G19" s="689">
        <f t="shared" ref="G19" si="1">F19-E19</f>
        <v>62</v>
      </c>
      <c r="H19" s="679">
        <f>G19+'12'!H19</f>
        <v>793</v>
      </c>
      <c r="I19" s="696"/>
      <c r="J19" s="681">
        <f>H19/DAY(B2)</f>
        <v>61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202</v>
      </c>
      <c r="H20" s="679">
        <f>G20+'12'!H20</f>
        <v>2553</v>
      </c>
      <c r="I20" s="698">
        <f>I18-J20</f>
        <v>-131.38461538461539</v>
      </c>
      <c r="J20" s="681">
        <f>H20/DAY(B2)</f>
        <v>196.38461538461539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39" t="s">
        <v>146</v>
      </c>
      <c r="B22" s="589"/>
      <c r="C22" s="589"/>
      <c r="D22" s="523" t="s">
        <v>147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39" t="s">
        <v>148</v>
      </c>
      <c r="B23" s="589"/>
      <c r="C23" s="589"/>
      <c r="D23" s="523" t="s">
        <v>147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21611.399999999994</v>
      </c>
      <c r="F27" s="501">
        <v>9</v>
      </c>
      <c r="G27" s="502">
        <f>E27*F27</f>
        <v>194502.59999999995</v>
      </c>
      <c r="H27" s="460">
        <f>G27+'12'!H27</f>
        <v>2539694.4300000002</v>
      </c>
      <c r="I27" s="503"/>
      <c r="J27" s="552">
        <f>H27/DAY(B2)</f>
        <v>195361.11000000002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943.80000000004657</v>
      </c>
      <c r="F28" s="501">
        <v>52</v>
      </c>
      <c r="G28" s="502">
        <f>E28*F28</f>
        <v>49077.600000002421</v>
      </c>
      <c r="H28" s="460">
        <f>G28+'12'!H28</f>
        <v>555828</v>
      </c>
      <c r="I28" s="505"/>
      <c r="J28" s="552">
        <f>H28/DAY(B2)</f>
        <v>42756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G30+'12'!H30</f>
        <v>115194</v>
      </c>
      <c r="I30" s="505"/>
      <c r="J30" s="552">
        <f>H30/DAY(B2)</f>
        <v>8861.0769230769238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G31+'12'!H31</f>
        <v>135200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263832.2000000024</v>
      </c>
      <c r="H32" s="460">
        <f>G32+'12'!H32</f>
        <v>3345916.4299999997</v>
      </c>
      <c r="I32" s="509"/>
      <c r="J32" s="552">
        <f>H32/DAY(B2)</f>
        <v>257378.18692307689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1058597.3</v>
      </c>
      <c r="F35" s="510">
        <v>1058597</v>
      </c>
      <c r="G35" s="473">
        <f t="shared" ref="G35:G46" si="3">F35-E35</f>
        <v>-0.30000000004656613</v>
      </c>
      <c r="H35" s="460">
        <f>G35+'12'!H35</f>
        <v>29883</v>
      </c>
      <c r="I35" s="455"/>
      <c r="J35" s="552">
        <f>H35/DAY(B2)</f>
        <v>2298.6923076923076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29928.98</v>
      </c>
      <c r="F36" s="510">
        <v>30898</v>
      </c>
      <c r="G36" s="473">
        <f t="shared" si="3"/>
        <v>969.02000000000044</v>
      </c>
      <c r="H36" s="460">
        <f>G36+'12'!H36</f>
        <v>10437</v>
      </c>
      <c r="I36" s="455"/>
      <c r="J36" s="552">
        <f>H36/DAY(B2)</f>
        <v>802.84615384615381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195080.87</v>
      </c>
      <c r="F37" s="510">
        <v>196658</v>
      </c>
      <c r="G37" s="473">
        <f t="shared" si="3"/>
        <v>1577.1300000000047</v>
      </c>
      <c r="H37" s="460">
        <f>G37+'12'!H37</f>
        <v>20088</v>
      </c>
      <c r="I37" s="455"/>
      <c r="J37" s="552">
        <f>H37/DAY(B2)</f>
        <v>1545.2307692307693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217758.99</v>
      </c>
      <c r="F38" s="469">
        <v>219391</v>
      </c>
      <c r="G38" s="473">
        <f t="shared" si="3"/>
        <v>1632.0100000000093</v>
      </c>
      <c r="H38" s="460">
        <f>G38+'12'!H38</f>
        <v>20932</v>
      </c>
      <c r="I38" s="455"/>
      <c r="J38" s="552">
        <f>H38/DAY(B2)</f>
        <v>1610.1538461538462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448890</v>
      </c>
      <c r="F39" s="510">
        <v>452616</v>
      </c>
      <c r="G39" s="473">
        <f t="shared" si="3"/>
        <v>3726</v>
      </c>
      <c r="H39" s="460">
        <f>G39+'12'!H39</f>
        <v>47752</v>
      </c>
      <c r="I39" s="455"/>
      <c r="J39" s="552">
        <f>H39/DAY(B2)</f>
        <v>3673.2307692307691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11681.01</v>
      </c>
      <c r="F40" s="510">
        <v>12032</v>
      </c>
      <c r="G40" s="473">
        <f t="shared" si="3"/>
        <v>350.98999999999978</v>
      </c>
      <c r="H40" s="460">
        <f>G40+'12'!H40</f>
        <v>4919</v>
      </c>
      <c r="I40" s="455"/>
      <c r="J40" s="552">
        <f>H40/DAY(B2)</f>
        <v>378.38461538461536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364063.91</v>
      </c>
      <c r="F41" s="510">
        <v>364063.91</v>
      </c>
      <c r="G41" s="473">
        <f t="shared" si="3"/>
        <v>0</v>
      </c>
      <c r="H41" s="460">
        <f>G41+'12'!H41</f>
        <v>34421.909999999974</v>
      </c>
      <c r="I41" s="455"/>
      <c r="J41" s="552">
        <f>H41/DAY(B2)</f>
        <v>2647.8392307692288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60020.6</v>
      </c>
      <c r="F42" s="510">
        <v>62568.2</v>
      </c>
      <c r="G42" s="473">
        <f t="shared" si="3"/>
        <v>2547.5999999999985</v>
      </c>
      <c r="H42" s="460">
        <f>G42+'12'!H42</f>
        <v>3369.3099999999977</v>
      </c>
      <c r="I42" s="455"/>
      <c r="J42" s="552">
        <f>H42/DAY(B2)</f>
        <v>259.17769230769215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1152400.6000000001</v>
      </c>
      <c r="F43" s="510">
        <v>1154953</v>
      </c>
      <c r="G43" s="473">
        <f t="shared" si="3"/>
        <v>2552.3999999999069</v>
      </c>
      <c r="H43" s="460">
        <f>G43+'12'!H43</f>
        <v>34501</v>
      </c>
      <c r="I43" s="455"/>
      <c r="J43" s="552">
        <f>H43/DAY(B2)</f>
        <v>2653.9230769230771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13354.849999999873</v>
      </c>
      <c r="H47" s="460">
        <f>G47+'12'!H47</f>
        <v>207104.70999999993</v>
      </c>
      <c r="I47" s="455"/>
      <c r="J47" s="552">
        <f>H47/DAY(B2)</f>
        <v>15931.131538461534</v>
      </c>
      <c r="K47" s="428"/>
      <c r="L47" s="377"/>
      <c r="N47" s="718"/>
      <c r="O47" s="725"/>
      <c r="P47" s="382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266721.13</v>
      </c>
      <c r="F49" s="510">
        <v>269621</v>
      </c>
      <c r="G49" s="473">
        <f t="shared" ref="G49:G58" si="4">F49-E49</f>
        <v>2899.8699999999953</v>
      </c>
      <c r="H49" s="460">
        <f>G49+'12'!H49</f>
        <v>8857</v>
      </c>
      <c r="I49" s="455"/>
      <c r="J49" s="552">
        <f>H49/DAY(B2)</f>
        <v>681.30769230769226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548019.11</v>
      </c>
      <c r="F50" s="510">
        <v>549182</v>
      </c>
      <c r="G50" s="473">
        <f t="shared" si="4"/>
        <v>1162.890000000014</v>
      </c>
      <c r="H50" s="460">
        <f>G50+'12'!H50</f>
        <v>13426</v>
      </c>
      <c r="I50" s="455"/>
      <c r="J50" s="552">
        <f>H50/DAY(B2)</f>
        <v>1032.7692307692307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14967</v>
      </c>
      <c r="F54" s="510">
        <v>14967</v>
      </c>
      <c r="G54" s="473">
        <f t="shared" si="4"/>
        <v>0</v>
      </c>
      <c r="H54" s="460">
        <f>G54+'12'!H54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162722</v>
      </c>
      <c r="F55" s="653">
        <v>166357</v>
      </c>
      <c r="G55" s="652">
        <f t="shared" si="4"/>
        <v>3635</v>
      </c>
      <c r="H55" s="705">
        <f>G55+'12'!H55</f>
        <v>43147</v>
      </c>
      <c r="I55" s="706"/>
      <c r="J55" s="707">
        <f>H55/DAY(B2)</f>
        <v>3319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649158.79</v>
      </c>
      <c r="F56" s="653">
        <v>649168</v>
      </c>
      <c r="G56" s="473">
        <f t="shared" si="4"/>
        <v>9.2099999999627471</v>
      </c>
      <c r="H56" s="460">
        <f>G56+'12'!H56</f>
        <v>126</v>
      </c>
      <c r="I56" s="455"/>
      <c r="J56" s="552">
        <f>H56/DAY(B2)</f>
        <v>9.6923076923076916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56042.16</v>
      </c>
      <c r="F58" s="653">
        <v>56249</v>
      </c>
      <c r="G58" s="473">
        <f t="shared" si="4"/>
        <v>206.83999999999651</v>
      </c>
      <c r="H58" s="460">
        <f>G58+'12'!H58</f>
        <v>2069</v>
      </c>
      <c r="I58" s="455"/>
      <c r="J58" s="552">
        <f>H58/DAY(B2)</f>
        <v>159.15384615384616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7914.1399999999685</v>
      </c>
      <c r="H59" s="460">
        <f>G59+'12'!H59</f>
        <v>67624.93999999993</v>
      </c>
      <c r="I59" s="455">
        <f>G7-G60</f>
        <v>231.01000000015847</v>
      </c>
      <c r="J59" s="552">
        <f>H59/DAY(B2)</f>
        <v>5201.9184615384565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21268.989999999842</v>
      </c>
      <c r="H60" s="460">
        <f>G60+'12'!H60</f>
        <v>281632.97999999992</v>
      </c>
      <c r="I60" s="455">
        <f>G13-G60</f>
        <v>-514.28999999965527</v>
      </c>
      <c r="J60" s="552">
        <f>H60/DAY(B2)</f>
        <v>21664.075384615378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'12'!F64</f>
        <v>174787.25</v>
      </c>
      <c r="F64" s="478">
        <v>175161</v>
      </c>
      <c r="G64" s="473">
        <f t="shared" si="5"/>
        <v>373.75</v>
      </c>
      <c r="H64" s="460">
        <f>G64+'12'!H64</f>
        <v>5139</v>
      </c>
      <c r="I64" s="480"/>
      <c r="J64" s="552">
        <f>H64/DAY(B2)</f>
        <v>395.30769230769232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'12'!F65</f>
        <v>174756.89</v>
      </c>
      <c r="F65" s="651">
        <v>175162</v>
      </c>
      <c r="G65" s="473">
        <f t="shared" si="5"/>
        <v>405.10999999998603</v>
      </c>
      <c r="H65" s="460">
        <f>G65+'12'!H65</f>
        <v>4860</v>
      </c>
      <c r="I65" s="489"/>
      <c r="J65" s="552">
        <f>H65/DAY(B2)</f>
        <v>373.84615384615387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'12'!F66</f>
        <v>72962.960000000006</v>
      </c>
      <c r="F66" s="478">
        <v>73368</v>
      </c>
      <c r="G66" s="473">
        <f t="shared" si="5"/>
        <v>405.0399999999936</v>
      </c>
      <c r="H66" s="460">
        <f>G66+'12'!H66</f>
        <v>5398</v>
      </c>
      <c r="I66" s="480"/>
      <c r="J66" s="552">
        <f>H66/DAY(B2)</f>
        <v>415.23076923076923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'12'!F67</f>
        <v>270573.67</v>
      </c>
      <c r="F67" s="478">
        <v>271039</v>
      </c>
      <c r="G67" s="473">
        <f t="shared" si="5"/>
        <v>465.3300000000163</v>
      </c>
      <c r="H67" s="460">
        <f>G67+'12'!H67</f>
        <v>6080</v>
      </c>
      <c r="I67" s="489"/>
      <c r="J67" s="552">
        <f>H67/DAY(B2)</f>
        <v>467.69230769230768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'12'!F69</f>
        <v>90565.99</v>
      </c>
      <c r="F69" s="478">
        <v>90847</v>
      </c>
      <c r="G69" s="473">
        <f t="shared" si="5"/>
        <v>281.00999999999476</v>
      </c>
      <c r="H69" s="460">
        <f>G69+'12'!H69</f>
        <v>3332</v>
      </c>
      <c r="I69" s="516"/>
      <c r="J69" s="552">
        <f>H69/DAY(B2)</f>
        <v>256.30769230769232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'12'!F72</f>
        <v>856364</v>
      </c>
      <c r="F72" s="654">
        <v>856377</v>
      </c>
      <c r="G72" s="473">
        <f t="shared" ref="G72:G84" si="6">F72-E72</f>
        <v>13</v>
      </c>
      <c r="H72" s="460">
        <f>G72+'12'!H72</f>
        <v>155</v>
      </c>
      <c r="I72" s="480"/>
      <c r="J72" s="552">
        <f>H72/DAY(B2)</f>
        <v>11.923076923076923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'12'!F73</f>
        <v>885987</v>
      </c>
      <c r="F73" s="655">
        <v>885989</v>
      </c>
      <c r="G73" s="652">
        <f t="shared" si="6"/>
        <v>2</v>
      </c>
      <c r="H73" s="460">
        <f>G73+'12'!H73</f>
        <v>17</v>
      </c>
      <c r="I73" s="480"/>
      <c r="J73" s="552">
        <f>H73/DAY(B2)</f>
        <v>1.3076923076923077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'12'!F74</f>
        <v>88711.3</v>
      </c>
      <c r="F74" s="655">
        <v>88713</v>
      </c>
      <c r="G74" s="473">
        <f t="shared" si="6"/>
        <v>1.6999999999970896</v>
      </c>
      <c r="H74" s="460">
        <f>G74+'12'!H74</f>
        <v>17</v>
      </c>
      <c r="I74" s="480"/>
      <c r="J74" s="552">
        <f>H74/DAY(B2)</f>
        <v>1.3076923076923077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'12'!F75</f>
        <v>17885.84</v>
      </c>
      <c r="F75" s="655">
        <v>18041</v>
      </c>
      <c r="G75" s="473">
        <f t="shared" si="6"/>
        <v>155.15999999999985</v>
      </c>
      <c r="H75" s="460">
        <f>G75+'12'!H75</f>
        <v>1970</v>
      </c>
      <c r="I75" s="480"/>
      <c r="J75" s="552">
        <f>H75/DAY(B2)</f>
        <v>151.53846153846155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'12'!F76</f>
        <v>10124.290000000001</v>
      </c>
      <c r="F76" s="655">
        <v>10189</v>
      </c>
      <c r="G76" s="473">
        <f t="shared" si="6"/>
        <v>64.709999999999127</v>
      </c>
      <c r="H76" s="460">
        <f>G76+'12'!H76</f>
        <v>853</v>
      </c>
      <c r="I76" s="505"/>
      <c r="J76" s="552">
        <f>H76/DAY(B2)</f>
        <v>65.615384615384613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'12'!F77</f>
        <v>705111</v>
      </c>
      <c r="F77" s="655">
        <v>705164</v>
      </c>
      <c r="G77" s="652">
        <f t="shared" si="6"/>
        <v>53</v>
      </c>
      <c r="H77" s="460">
        <f>G77+'12'!H77</f>
        <v>790</v>
      </c>
      <c r="I77" s="505"/>
      <c r="J77" s="552">
        <f>H77/DAY(B2)</f>
        <v>60.769230769230766</v>
      </c>
      <c r="K77" s="430"/>
      <c r="L77" s="377"/>
      <c r="N77" s="718"/>
      <c r="O77" s="725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19">
        <f>'12'!F78</f>
        <v>676565</v>
      </c>
      <c r="F78" s="656">
        <v>676658</v>
      </c>
      <c r="G78" s="473">
        <f t="shared" si="6"/>
        <v>93</v>
      </c>
      <c r="H78" s="460">
        <f>G78+'12'!H78</f>
        <v>1244</v>
      </c>
      <c r="I78" s="505"/>
      <c r="J78" s="552">
        <f>H78/DAY(B2)</f>
        <v>95.692307692307693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'12'!F79</f>
        <v>837223</v>
      </c>
      <c r="F79" s="656">
        <v>837398</v>
      </c>
      <c r="G79" s="473">
        <f t="shared" si="6"/>
        <v>175</v>
      </c>
      <c r="H79" s="460">
        <f>G79+'12'!H79</f>
        <v>1982</v>
      </c>
      <c r="I79" s="505"/>
      <c r="J79" s="552">
        <f>H79/DAY(B2)</f>
        <v>152.46153846153845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'12'!F80</f>
        <v>543968.04</v>
      </c>
      <c r="F80" s="655">
        <v>544373</v>
      </c>
      <c r="G80" s="473">
        <f t="shared" si="6"/>
        <v>404.95999999996275</v>
      </c>
      <c r="H80" s="460">
        <f>G80+'12'!H80</f>
        <v>5360</v>
      </c>
      <c r="I80" s="505"/>
      <c r="J80" s="552">
        <f>H80/DAY(B2)</f>
        <v>412.30769230769232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'12'!F81</f>
        <v>645289.31999999995</v>
      </c>
      <c r="F81" s="655">
        <v>645443</v>
      </c>
      <c r="G81" s="473">
        <f t="shared" si="6"/>
        <v>153.68000000005122</v>
      </c>
      <c r="H81" s="460">
        <f>G81+'12'!H81</f>
        <v>2458</v>
      </c>
      <c r="I81" s="505"/>
      <c r="J81" s="552">
        <f>H81/DAY(B2)</f>
        <v>189.07692307692307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'12'!F82</f>
        <v>108925.77</v>
      </c>
      <c r="F82" s="651">
        <v>108956</v>
      </c>
      <c r="G82" s="473">
        <f t="shared" si="6"/>
        <v>30.229999999995925</v>
      </c>
      <c r="H82" s="460">
        <f>G82+'12'!H82</f>
        <v>275</v>
      </c>
      <c r="I82" s="486"/>
      <c r="J82" s="552">
        <f>H82/DAY(B2)</f>
        <v>21.153846153846153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'12'!F83</f>
        <v>30443</v>
      </c>
      <c r="F83" s="511">
        <v>30675</v>
      </c>
      <c r="G83" s="473">
        <f t="shared" si="6"/>
        <v>232</v>
      </c>
      <c r="H83" s="460">
        <f>G83+'12'!H83</f>
        <v>3124</v>
      </c>
      <c r="I83" s="481"/>
      <c r="J83" s="552">
        <f>H83/DAY(B2)</f>
        <v>240.30769230769232</v>
      </c>
      <c r="K83" s="429"/>
      <c r="L83" s="377"/>
      <c r="N83" s="718"/>
      <c r="O83" s="725"/>
      <c r="P83" s="382"/>
    </row>
    <row r="84" spans="1:16">
      <c r="A84" s="1143" t="s">
        <v>200</v>
      </c>
      <c r="B84" s="571"/>
      <c r="C84" s="571"/>
      <c r="D84" s="478" t="s">
        <v>131</v>
      </c>
      <c r="E84" s="519">
        <f>'12'!F84</f>
        <v>532830</v>
      </c>
      <c r="F84" s="627">
        <v>533617</v>
      </c>
      <c r="G84" s="473">
        <f t="shared" si="6"/>
        <v>787</v>
      </c>
      <c r="H84" s="460">
        <f>G84+'12'!H84</f>
        <v>10537</v>
      </c>
      <c r="I84" s="481"/>
      <c r="J84" s="552">
        <f>H84/DAY(B2)</f>
        <v>810.53846153846155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2165.440000000006</v>
      </c>
      <c r="H85" s="460">
        <f>G85+'12'!H85</f>
        <v>28782</v>
      </c>
      <c r="I85" s="481"/>
      <c r="J85" s="552">
        <f>H85/DAY(B2)</f>
        <v>2214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'12'!F86</f>
        <v>462143.64</v>
      </c>
      <c r="F86" s="647">
        <v>462161</v>
      </c>
      <c r="G86" s="705">
        <f t="shared" ref="G86:G91" si="7">F86-E86</f>
        <v>17.35999999998603</v>
      </c>
      <c r="H86" s="705">
        <f t="shared" ref="H86:H88" si="8">G86</f>
        <v>17.35999999998603</v>
      </c>
      <c r="I86" s="652"/>
      <c r="J86" s="707">
        <f>H86/DAY(B2)</f>
        <v>1.3353846153835407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'12'!F87</f>
        <v>82402.100000000006</v>
      </c>
      <c r="F87" s="647">
        <v>82429</v>
      </c>
      <c r="G87" s="705">
        <f t="shared" si="7"/>
        <v>26.899999999994179</v>
      </c>
      <c r="H87" s="705">
        <f t="shared" si="8"/>
        <v>26.899999999994179</v>
      </c>
      <c r="I87" s="652"/>
      <c r="J87" s="707">
        <f>H87/DAY(B2)</f>
        <v>2.0692307692303213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'12'!F88</f>
        <v>156638.73000000001</v>
      </c>
      <c r="F88" s="647">
        <v>156787</v>
      </c>
      <c r="G88" s="705">
        <f t="shared" si="7"/>
        <v>148.26999999998952</v>
      </c>
      <c r="H88" s="705">
        <f t="shared" si="8"/>
        <v>148.26999999998952</v>
      </c>
      <c r="I88" s="652"/>
      <c r="J88" s="707">
        <f>H88/DAY(B2)</f>
        <v>11.405384615383809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'12'!F89</f>
        <v>66382.8</v>
      </c>
      <c r="F89" s="647">
        <v>66419</v>
      </c>
      <c r="G89" s="705">
        <f t="shared" si="7"/>
        <v>36.19999999999709</v>
      </c>
      <c r="H89" s="705">
        <f>G89</f>
        <v>36.19999999999709</v>
      </c>
      <c r="I89" s="652"/>
      <c r="J89" s="707">
        <f>H89/DAY(B2)</f>
        <v>2.7846153846151607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'12'!F90</f>
        <v>3385.2</v>
      </c>
      <c r="F90" s="647">
        <v>3388</v>
      </c>
      <c r="G90" s="705">
        <f t="shared" si="7"/>
        <v>2.8000000000001819</v>
      </c>
      <c r="H90" s="705">
        <f>G90</f>
        <v>2.8000000000001819</v>
      </c>
      <c r="I90" s="652"/>
      <c r="J90" s="707">
        <f>H90/DAY(B2)</f>
        <v>0.21538461538462939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'12'!F91</f>
        <v>28345</v>
      </c>
      <c r="F91" s="647">
        <v>28354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'12'!F93</f>
        <v>248587</v>
      </c>
      <c r="F93" s="478">
        <v>248678</v>
      </c>
      <c r="G93" s="473">
        <f t="shared" ref="G93:G94" si="9">F93-E93</f>
        <v>91</v>
      </c>
      <c r="H93" s="460">
        <f>G93+'12'!H93</f>
        <v>1326</v>
      </c>
      <c r="I93" s="480"/>
      <c r="J93" s="552">
        <f>H93/DAY(B2)</f>
        <v>102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'12'!F94</f>
        <v>190842</v>
      </c>
      <c r="F94" s="478">
        <v>190948</v>
      </c>
      <c r="G94" s="473">
        <f t="shared" si="9"/>
        <v>106</v>
      </c>
      <c r="H94" s="460">
        <f>G94+'12'!H94</f>
        <v>1494</v>
      </c>
      <c r="I94" s="480"/>
      <c r="J94" s="552">
        <f>H94/DAY(B2)</f>
        <v>114.92307692307692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'12'!F95</f>
        <v>0</v>
      </c>
      <c r="F95" s="478"/>
      <c r="G95" s="473">
        <f>G93+G94</f>
        <v>197</v>
      </c>
      <c r="H95" s="460">
        <f>G95+'12'!H95</f>
        <v>2634</v>
      </c>
      <c r="I95" s="480"/>
      <c r="J95" s="552">
        <f>H95/DAY(B2)</f>
        <v>202.61538461538461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'12'!F96</f>
        <v>417106</v>
      </c>
      <c r="F96" s="478">
        <v>417207</v>
      </c>
      <c r="G96" s="473">
        <f t="shared" ref="G96:G101" si="10">F96-E96</f>
        <v>101</v>
      </c>
      <c r="H96" s="460">
        <f>G96+'12'!H96</f>
        <v>1208</v>
      </c>
      <c r="I96" s="480"/>
      <c r="J96" s="552">
        <f>H96/DAY(B2)</f>
        <v>92.92307692307692</v>
      </c>
      <c r="K96" s="380"/>
      <c r="L96" s="377"/>
      <c r="N96" s="718"/>
      <c r="O96" s="725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484">
        <f>'12'!F97</f>
        <v>103425</v>
      </c>
      <c r="F97" s="478">
        <v>103440</v>
      </c>
      <c r="G97" s="473">
        <f t="shared" si="10"/>
        <v>15</v>
      </c>
      <c r="H97" s="460">
        <f>G97+'12'!H97</f>
        <v>277</v>
      </c>
      <c r="I97" s="480"/>
      <c r="J97" s="552">
        <f>H97/DAY(B2)</f>
        <v>21.307692307692307</v>
      </c>
      <c r="K97" s="427"/>
      <c r="L97" s="377"/>
      <c r="N97" s="718"/>
      <c r="O97" s="725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484">
        <f>'12'!F98</f>
        <v>98963</v>
      </c>
      <c r="F98" s="478">
        <v>98987</v>
      </c>
      <c r="G98" s="473">
        <f t="shared" si="10"/>
        <v>24</v>
      </c>
      <c r="H98" s="460">
        <f>G98+'12'!H98</f>
        <v>330</v>
      </c>
      <c r="I98" s="480"/>
      <c r="J98" s="552">
        <f>H98/DAY(B2)</f>
        <v>25.384615384615383</v>
      </c>
      <c r="K98" s="432"/>
      <c r="L98" s="377"/>
      <c r="N98" s="718"/>
      <c r="O98" s="725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484">
        <f>'12'!F99</f>
        <v>150797</v>
      </c>
      <c r="F99" s="478">
        <v>150814</v>
      </c>
      <c r="G99" s="473">
        <f t="shared" si="10"/>
        <v>17</v>
      </c>
      <c r="H99" s="460">
        <f>G99+'12'!H99</f>
        <v>409</v>
      </c>
      <c r="I99" s="480"/>
      <c r="J99" s="552">
        <f>H99/DAY(B2)</f>
        <v>31.46153846153846</v>
      </c>
      <c r="K99" s="380"/>
      <c r="L99" s="377"/>
      <c r="N99" s="720"/>
      <c r="O99" s="725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484">
        <f>'12'!F100</f>
        <v>7930</v>
      </c>
      <c r="F100" s="478">
        <v>7938</v>
      </c>
      <c r="G100" s="473">
        <f t="shared" si="10"/>
        <v>8</v>
      </c>
      <c r="H100" s="460">
        <f>G100+'12'!H100</f>
        <v>141</v>
      </c>
      <c r="I100" s="480"/>
      <c r="J100" s="552">
        <f>H100/DAY(B2)</f>
        <v>10.846153846153847</v>
      </c>
      <c r="K100" s="380"/>
      <c r="L100" s="377"/>
      <c r="N100" s="718"/>
      <c r="O100" s="725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484">
        <f>'12'!F101</f>
        <v>5796</v>
      </c>
      <c r="F101" s="626">
        <v>5807</v>
      </c>
      <c r="G101" s="473">
        <f t="shared" si="10"/>
        <v>11</v>
      </c>
      <c r="H101" s="460">
        <f>G101+'12'!H101</f>
        <v>133</v>
      </c>
      <c r="I101" s="480"/>
      <c r="J101" s="552">
        <f>H101/DAY(B2)</f>
        <v>10.23076923076923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176</v>
      </c>
      <c r="H102" s="460">
        <f>G102+'12'!H102</f>
        <v>2498</v>
      </c>
      <c r="I102" s="526"/>
      <c r="J102" s="552">
        <f>H102/DAY(B2)</f>
        <v>192.15384615384616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484">
        <f>'12'!F105</f>
        <v>7767</v>
      </c>
      <c r="F105" s="659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659">
        <v>36269</v>
      </c>
      <c r="F106" s="659">
        <v>36292</v>
      </c>
      <c r="G106" s="532">
        <f t="shared" ref="G106:G107" si="11">F106-E106</f>
        <v>23</v>
      </c>
      <c r="H106" s="533">
        <f>SUM(G106+'1'!G77)</f>
        <v>76</v>
      </c>
      <c r="I106" s="532"/>
      <c r="J106" s="558">
        <f>H106/DAY(B2)</f>
        <v>5.8461538461538458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'12'!F107</f>
        <v>19874</v>
      </c>
      <c r="F107" s="659">
        <v>19879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28</v>
      </c>
      <c r="H108" s="533">
        <f>SUM(G108+'1'!G79)</f>
        <v>181</v>
      </c>
      <c r="I108" s="532"/>
      <c r="J108" s="558">
        <f>H108/DAY(B2)</f>
        <v>13.923076923076923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484">
        <f>'12'!F110</f>
        <v>65778</v>
      </c>
      <c r="F110" s="659">
        <v>65843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15.126153846154921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484">
        <f>'12'!F111</f>
        <v>33529</v>
      </c>
      <c r="F111" s="659">
        <v>33555</v>
      </c>
      <c r="G111" s="532">
        <f t="shared" ref="G111:G112" si="12">F111-E111</f>
        <v>26</v>
      </c>
      <c r="H111" s="533">
        <f>SUM(G111+'1'!G82)</f>
        <v>50.899999999994179</v>
      </c>
      <c r="I111" s="532"/>
      <c r="J111" s="558">
        <f>H111/DAY(B2)</f>
        <v>3.9153846153841676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484">
        <f>'12'!F112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91</v>
      </c>
      <c r="H113" s="533">
        <f>SUM(G113+'1'!G84)</f>
        <v>907</v>
      </c>
      <c r="I113" s="532"/>
      <c r="J113" s="558">
        <f>H113/DAY(B2)</f>
        <v>69.769230769230774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'12'!F115</f>
        <v>12179</v>
      </c>
      <c r="F115" s="659">
        <v>12190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0.84615384615384615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'12'!F116</f>
        <v>8659</v>
      </c>
      <c r="F116" s="659">
        <v>8663</v>
      </c>
      <c r="G116" s="534">
        <f t="shared" ref="G116:G117" si="13">F116-E116</f>
        <v>4</v>
      </c>
      <c r="H116" s="533">
        <f>SUM(G116+'1'!G93)</f>
        <v>93</v>
      </c>
      <c r="I116" s="532"/>
      <c r="J116" s="558">
        <f>H116/DAY(B2)</f>
        <v>7.1538461538461542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15</v>
      </c>
      <c r="H118" s="533">
        <f>SUM(G118+'1'!G96)</f>
        <v>101</v>
      </c>
      <c r="I118" s="534"/>
      <c r="J118" s="558">
        <f>H118/DAY(B2)</f>
        <v>7.7692307692307692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153</v>
      </c>
      <c r="G119" s="536">
        <f>SUM(G19+G93)</f>
        <v>153</v>
      </c>
      <c r="H119" s="533">
        <f>SUM(G119+'1'!G97)</f>
        <v>170</v>
      </c>
      <c r="I119" s="535"/>
      <c r="J119" s="559">
        <f>H119/DAY(B2)</f>
        <v>13.076923076923077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16.076923076923077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91</v>
      </c>
      <c r="G121" s="534">
        <f>SUM(G113)</f>
        <v>91</v>
      </c>
      <c r="H121" s="533">
        <f>SUM(G121+'1'!G101)</f>
        <v>96</v>
      </c>
      <c r="I121" s="535"/>
      <c r="J121" s="559">
        <f>H121/DAY(B2)</f>
        <v>7.384615384615385</v>
      </c>
      <c r="N121" s="718"/>
      <c r="O121" s="725"/>
      <c r="P121" s="382"/>
    </row>
    <row r="122" spans="1:16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478">
        <f>'12'!F124</f>
        <v>842969.01</v>
      </c>
      <c r="F124" s="478">
        <v>843224</v>
      </c>
      <c r="G124" s="473">
        <f t="shared" ref="G124:G128" si="14">F124-E124</f>
        <v>254.98999999999069</v>
      </c>
      <c r="H124" s="460">
        <f>G124+'12'!H124</f>
        <v>3554</v>
      </c>
      <c r="I124" s="526"/>
      <c r="J124" s="552">
        <f>H124/DAY(B2)</f>
        <v>273.38461538461536</v>
      </c>
      <c r="K124" s="380"/>
      <c r="L124" s="377"/>
      <c r="N124" s="718"/>
      <c r="O124" s="725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'12'!F126</f>
        <v>149636.23000000001</v>
      </c>
      <c r="F126" s="478">
        <v>149731</v>
      </c>
      <c r="G126" s="473">
        <f t="shared" si="14"/>
        <v>94.769999999989523</v>
      </c>
      <c r="H126" s="460">
        <f>G126+'12'!H126</f>
        <v>1134</v>
      </c>
      <c r="I126" s="526"/>
      <c r="J126" s="552">
        <f>H126/DAY(B2)</f>
        <v>87.230769230769226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26">
        <f>'12'!F127</f>
        <v>32518.2</v>
      </c>
      <c r="F127" s="626">
        <v>32560</v>
      </c>
      <c r="G127" s="473">
        <f t="shared" si="14"/>
        <v>41.799999999999272</v>
      </c>
      <c r="H127" s="460">
        <f>G127+'12'!H127</f>
        <v>489</v>
      </c>
      <c r="I127" s="526"/>
      <c r="J127" s="552">
        <f>H127/DAY(B2)</f>
        <v>37.615384615384613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26">
        <f>'12'!F128</f>
        <v>9050.9</v>
      </c>
      <c r="F128" s="626">
        <v>9057</v>
      </c>
      <c r="G128" s="473">
        <f t="shared" si="14"/>
        <v>6.1000000000003638</v>
      </c>
      <c r="H128" s="460">
        <f>G128+'12'!H128</f>
        <v>45</v>
      </c>
      <c r="I128" s="480"/>
      <c r="J128" s="552">
        <f>H128/DAY(B2)</f>
        <v>3.4615384615384617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546.14000000006672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'12'!F133</f>
        <v>40605.550000000003</v>
      </c>
      <c r="F133" s="651">
        <v>40605.550000000003</v>
      </c>
      <c r="G133" s="473">
        <f t="shared" si="15"/>
        <v>0</v>
      </c>
      <c r="H133" s="460">
        <f>G133+'12'!H133</f>
        <v>152.55000000000291</v>
      </c>
      <c r="I133" s="480"/>
      <c r="J133" s="552">
        <f>H133/DAY(B2)</f>
        <v>11.734615384615608</v>
      </c>
      <c r="N133" s="718"/>
      <c r="O133" s="725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701">
        <f>'12'!F134</f>
        <v>304.57</v>
      </c>
      <c r="F134" s="626">
        <v>317</v>
      </c>
      <c r="G134" s="473">
        <f t="shared" si="15"/>
        <v>12.430000000000007</v>
      </c>
      <c r="H134" s="460">
        <f>G134+'12'!H134</f>
        <v>17</v>
      </c>
      <c r="I134" s="480">
        <f>G131+G132+G133+G134</f>
        <v>12.430000000000007</v>
      </c>
      <c r="J134" s="552">
        <f>H134/DAY(B2)</f>
        <v>1.3076923076923077</v>
      </c>
      <c r="N134" s="718"/>
      <c r="O134" s="725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701">
        <f>'12'!F135</f>
        <v>42175.3</v>
      </c>
      <c r="F135" s="626">
        <v>42192</v>
      </c>
      <c r="G135" s="473">
        <f t="shared" si="15"/>
        <v>16.69999999999709</v>
      </c>
      <c r="H135" s="460">
        <f>G135+'12'!H135</f>
        <v>220</v>
      </c>
      <c r="I135" s="480"/>
      <c r="J135" s="552">
        <f>H135/DAY(B2)</f>
        <v>16.923076923076923</v>
      </c>
      <c r="N135" s="718"/>
      <c r="O135" s="725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'12'!F136</f>
        <v>32874.050000000003</v>
      </c>
      <c r="F136" s="651">
        <v>32874</v>
      </c>
      <c r="G136" s="473">
        <f t="shared" si="15"/>
        <v>-5.0000000002910383E-2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'12'!F137</f>
        <v>22972.33</v>
      </c>
      <c r="F137" s="651">
        <v>22982.78</v>
      </c>
      <c r="G137" s="473">
        <f t="shared" si="15"/>
        <v>10.44999999999709</v>
      </c>
      <c r="H137" s="460">
        <f>G137+'12'!H137</f>
        <v>91.289999999997235</v>
      </c>
      <c r="I137" s="480">
        <f>G135+G136+G137</f>
        <v>27.099999999991269</v>
      </c>
      <c r="J137" s="552">
        <f>H137/DAY(B2)</f>
        <v>7.0223076923074794</v>
      </c>
      <c r="N137" s="718"/>
      <c r="O137" s="725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'12'!F138</f>
        <v>25099.16</v>
      </c>
      <c r="F138" s="651">
        <v>25099.16</v>
      </c>
      <c r="G138" s="473">
        <f t="shared" si="15"/>
        <v>0</v>
      </c>
      <c r="H138" s="460">
        <f>G138+'12'!H138</f>
        <v>7.7700000000004366</v>
      </c>
      <c r="I138" s="480"/>
      <c r="J138" s="552">
        <f>H138/DAY(B2)</f>
        <v>0.59769230769234127</v>
      </c>
      <c r="N138" s="718"/>
      <c r="O138" s="725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'12'!F139</f>
        <v>70514.289999999994</v>
      </c>
      <c r="F139" s="651">
        <v>70514.289999999994</v>
      </c>
      <c r="G139" s="473">
        <f t="shared" si="15"/>
        <v>0</v>
      </c>
      <c r="H139" s="460">
        <f>G139+'12'!H139</f>
        <v>0.66999999999825377</v>
      </c>
      <c r="I139" s="480">
        <f>G138+G139</f>
        <v>0</v>
      </c>
      <c r="J139" s="552">
        <f>H139/DAY(B2)</f>
        <v>5.153846153832721E-2</v>
      </c>
      <c r="N139" s="718"/>
      <c r="O139" s="725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701">
        <f>'12'!F140</f>
        <v>2247.77</v>
      </c>
      <c r="F140" s="626">
        <v>2247.77</v>
      </c>
      <c r="G140" s="473">
        <f t="shared" si="15"/>
        <v>0</v>
      </c>
      <c r="H140" s="460">
        <f>G140+'12'!H140</f>
        <v>118.59000000000015</v>
      </c>
      <c r="I140" s="542"/>
      <c r="J140" s="552">
        <f>H140/DAY(B2)</f>
        <v>9.1223076923077038</v>
      </c>
      <c r="N140" s="718"/>
      <c r="O140" s="725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484">
        <f>'12'!F141</f>
        <v>4640.12</v>
      </c>
      <c r="F141" s="478">
        <v>4648.96</v>
      </c>
      <c r="G141" s="473">
        <f t="shared" si="15"/>
        <v>8.8400000000001455</v>
      </c>
      <c r="H141" s="460">
        <f>G141+'12'!H141</f>
        <v>11.960000000000036</v>
      </c>
      <c r="I141" s="542"/>
      <c r="J141" s="552">
        <f>H141/DAY(B2)</f>
        <v>0.92000000000000282</v>
      </c>
      <c r="N141" s="718"/>
      <c r="O141" s="725"/>
      <c r="P141" s="382"/>
    </row>
    <row r="142" spans="1:16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5452.2999999998556</v>
      </c>
      <c r="H143" s="460">
        <f>G143+'12'!H143</f>
        <v>73273.33</v>
      </c>
      <c r="I143" s="480"/>
      <c r="J143" s="552">
        <f>H143/DAY(B2)</f>
        <v>5636.41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0.25359534883720258</v>
      </c>
      <c r="H144" s="460">
        <f>G144+'12'!H144</f>
        <v>3.3943541977148839</v>
      </c>
      <c r="I144" s="544"/>
      <c r="J144" s="552">
        <f>H144/DAY(B2)</f>
        <v>0.26110416905499106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6191.8099999999613</v>
      </c>
      <c r="H145" s="460">
        <f>G145+'12'!H145</f>
        <v>86648.219999999972</v>
      </c>
      <c r="I145" s="480"/>
      <c r="J145" s="552">
        <f>H145/DAY(B2)</f>
        <v>6665.2476923076902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0.28799116279069586</v>
      </c>
      <c r="H146" s="460">
        <f>G146+'12'!H146</f>
        <v>4.0068840245501578</v>
      </c>
      <c r="I146" s="544"/>
      <c r="J146" s="552">
        <f>H146/DAY(B2)</f>
        <v>0.30822184804231983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3726</v>
      </c>
      <c r="H147" s="460">
        <f>G147+'12'!H147</f>
        <v>47752</v>
      </c>
      <c r="I147" s="545"/>
      <c r="J147" s="552">
        <f>H147/DAY(B2)</f>
        <v>3673.2307692307691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0.17330232558139536</v>
      </c>
      <c r="H148" s="460">
        <f>G148+'12'!H148</f>
        <v>2.2139195428039624</v>
      </c>
      <c r="I148" s="545"/>
      <c r="J148" s="552">
        <f>H148/DAY(B2)</f>
        <v>0.17030150329261248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1632.0100000000093</v>
      </c>
      <c r="H149" s="460">
        <f>G149+'12'!H149</f>
        <v>20932.069999999949</v>
      </c>
      <c r="I149" s="480"/>
      <c r="J149" s="552">
        <f>H149/DAY(B2)</f>
        <v>1610.1592307692267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7.5907441860465552E-2</v>
      </c>
      <c r="H150" s="460">
        <f>G150+'12'!H150</f>
        <v>0.96910717955576398</v>
      </c>
      <c r="I150" s="545"/>
      <c r="J150" s="552">
        <f>H150/DAY(B2)</f>
        <v>7.454670611967415E-2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2131.9100000000144</v>
      </c>
      <c r="H151" s="460">
        <f>G151+'12'!H151</f>
        <v>24956</v>
      </c>
      <c r="I151" s="545"/>
      <c r="J151" s="552">
        <f>H151/DAY(B2)</f>
        <v>1919.6923076923076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9.9158604651163454E-2</v>
      </c>
      <c r="H152" s="460">
        <f>G152+'12'!H152</f>
        <v>1.1540419842950211</v>
      </c>
      <c r="I152" s="480"/>
      <c r="J152" s="552">
        <f>H152/DAY(B2)</f>
        <v>8.8772460330386244E-2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1577.1300000000047</v>
      </c>
      <c r="H153" s="460">
        <f>G153+'12'!H153</f>
        <v>20087.869999999995</v>
      </c>
      <c r="I153" s="480"/>
      <c r="J153" s="552">
        <f>H153/DAY(B2)</f>
        <v>1545.2207692307688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7.335488372093045E-2</v>
      </c>
      <c r="H154" s="460">
        <f>G154+'12'!H154</f>
        <v>0.93114215172510528</v>
      </c>
      <c r="I154" s="568"/>
      <c r="J154" s="569">
        <f>H154/DAY(B2)</f>
        <v>7.1626319363469637E-2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'12'!F161</f>
        <v>41804.980000000003</v>
      </c>
      <c r="F161" s="803">
        <v>41887</v>
      </c>
      <c r="G161" s="473">
        <f t="shared" ref="G161:G164" si="16">F161-E161</f>
        <v>82.019999999996799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'12'!F162</f>
        <v>113183.84</v>
      </c>
      <c r="F162" s="803">
        <v>113702</v>
      </c>
      <c r="G162" s="473">
        <f t="shared" si="16"/>
        <v>518.16000000000349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'12'!F163</f>
        <v>63686.52</v>
      </c>
      <c r="F163" s="803">
        <v>63893</v>
      </c>
      <c r="G163" s="473">
        <f t="shared" si="16"/>
        <v>206.4800000000032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'12'!F164</f>
        <v>6967.86</v>
      </c>
      <c r="F164" s="803">
        <v>6978</v>
      </c>
      <c r="G164" s="473">
        <f t="shared" si="16"/>
        <v>10.140000000000327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7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174787.25</v>
      </c>
      <c r="F167" s="514">
        <f t="shared" si="19"/>
        <v>175161</v>
      </c>
      <c r="G167" s="473">
        <f t="shared" si="17"/>
        <v>373.75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174756.89</v>
      </c>
      <c r="F168" s="514">
        <f t="shared" si="19"/>
        <v>175162</v>
      </c>
      <c r="G168" s="473">
        <f t="shared" si="17"/>
        <v>405.10999999998603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72962.960000000006</v>
      </c>
      <c r="F169" s="514">
        <f t="shared" si="19"/>
        <v>73368</v>
      </c>
      <c r="G169" s="473">
        <f t="shared" si="17"/>
        <v>405.0399999999936</v>
      </c>
      <c r="N169" s="718"/>
    </row>
    <row r="170" spans="1:14" ht="26.25" customHeight="1">
      <c r="A170" s="1612" t="s">
        <v>101</v>
      </c>
      <c r="B170" s="1612"/>
      <c r="C170" s="1612"/>
      <c r="D170" s="524" t="s">
        <v>186</v>
      </c>
      <c r="E170" s="514">
        <f t="shared" si="18"/>
        <v>270573.67</v>
      </c>
      <c r="F170" s="514">
        <f t="shared" si="19"/>
        <v>271039</v>
      </c>
      <c r="G170" s="473">
        <f t="shared" si="17"/>
        <v>465.3300000000163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90565.99</v>
      </c>
      <c r="F172" s="514">
        <f t="shared" si="19"/>
        <v>90847</v>
      </c>
      <c r="G172" s="473">
        <f t="shared" si="17"/>
        <v>281.00999999999476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87" t="s">
        <v>351</v>
      </c>
      <c r="B174" s="1550"/>
      <c r="C174" s="785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v>19057.599999999999</v>
      </c>
      <c r="F175" s="532">
        <v>19062</v>
      </c>
      <c r="G175" s="473">
        <f t="shared" si="17"/>
        <v>4.4000000000014552</v>
      </c>
      <c r="N175" s="718"/>
    </row>
    <row r="176" spans="1:14">
      <c r="A176" s="1587" t="s">
        <v>350</v>
      </c>
      <c r="B176" s="1550"/>
      <c r="C176" s="785"/>
      <c r="D176" s="523" t="s">
        <v>186</v>
      </c>
      <c r="E176" s="532">
        <v>70411.899999999994</v>
      </c>
      <c r="F176" s="532">
        <v>70418</v>
      </c>
      <c r="G176" s="473">
        <f t="shared" si="17"/>
        <v>6.1000000000058208</v>
      </c>
      <c r="N176" s="718"/>
    </row>
    <row r="177" spans="1:14" ht="18.75" customHeight="1">
      <c r="A177" s="1587" t="s">
        <v>351</v>
      </c>
      <c r="B177" s="1550"/>
      <c r="C177" s="785"/>
      <c r="D177" s="523" t="s">
        <v>186</v>
      </c>
      <c r="E177" s="532">
        <v>27684.7</v>
      </c>
      <c r="F177" s="532">
        <v>27691</v>
      </c>
      <c r="G177" s="473">
        <f t="shared" si="17"/>
        <v>6.2999999999992724</v>
      </c>
      <c r="N177" s="718"/>
    </row>
    <row r="178" spans="1:14" ht="18.75" customHeight="1">
      <c r="N178" s="718"/>
    </row>
    <row r="179" spans="1:14" ht="18.75" customHeight="1">
      <c r="N179" s="718"/>
    </row>
    <row r="180" spans="1:14" ht="18" customHeight="1">
      <c r="N180" s="718"/>
    </row>
    <row r="181" spans="1:14" ht="18.75" customHeight="1">
      <c r="N181" s="718"/>
    </row>
    <row r="182" spans="1:14" ht="18.75" customHeight="1">
      <c r="N182" s="718"/>
    </row>
    <row r="183" spans="1:14" ht="18" customHeight="1">
      <c r="N183" s="718"/>
    </row>
    <row r="184" spans="1:14" ht="18" customHeight="1">
      <c r="N184" s="718"/>
    </row>
    <row r="185" spans="1:14" ht="18" customHeight="1">
      <c r="N185" s="718"/>
    </row>
    <row r="186" spans="1:14" ht="18" customHeight="1">
      <c r="N186" s="718"/>
    </row>
    <row r="187" spans="1:14" ht="18" customHeight="1">
      <c r="N187" s="718"/>
    </row>
    <row r="188" spans="1:14" ht="18" customHeight="1">
      <c r="N188" s="718"/>
    </row>
    <row r="189" spans="1:14" ht="18" customHeight="1">
      <c r="N189" s="718"/>
    </row>
    <row r="190" spans="1:14" ht="18.75" customHeight="1">
      <c r="N190" s="718"/>
    </row>
    <row r="191" spans="1:14" ht="18.75" customHeight="1">
      <c r="N191" s="718"/>
    </row>
    <row r="192" spans="1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61" zoomScale="55" zoomScaleSheetLayoutView="55" workbookViewId="0">
      <selection activeCell="J32" sqref="J32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269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274</v>
      </c>
      <c r="B2" s="1031">
        <v>44391</v>
      </c>
      <c r="C2" s="1190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0" t="s">
        <v>119</v>
      </c>
      <c r="D3" s="612">
        <v>28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0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'13'!F7</f>
        <v>202756.02</v>
      </c>
      <c r="F7" s="455">
        <v>224806.45</v>
      </c>
      <c r="G7" s="678">
        <f>F7-E7</f>
        <v>22050.430000000022</v>
      </c>
      <c r="H7" s="679">
        <f>G7+'13'!H7</f>
        <v>302853.45000000007</v>
      </c>
      <c r="I7" s="680">
        <f>'1'!I7</f>
        <v>12000</v>
      </c>
      <c r="J7" s="681">
        <f>H7/DAY(B2)</f>
        <v>21632.389285714289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'13'!F8</f>
        <v>208910.27</v>
      </c>
      <c r="F8" s="475">
        <v>231082.51</v>
      </c>
      <c r="G8" s="689">
        <f>F8-E8</f>
        <v>22172.24000000002</v>
      </c>
      <c r="H8" s="679">
        <f>G8+'13'!H8</f>
        <v>304360.51</v>
      </c>
      <c r="I8" s="686">
        <f>'1'!I8</f>
        <v>12000</v>
      </c>
      <c r="J8" s="681">
        <f>H8/DAY(B2)</f>
        <v>21740.036428571428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'13'!F9</f>
        <v>2304587</v>
      </c>
      <c r="F9" s="478">
        <v>2325986.1</v>
      </c>
      <c r="G9" s="702">
        <f t="shared" ref="G9:G12" si="0">F9-E9</f>
        <v>21399.100000000093</v>
      </c>
      <c r="H9" s="679">
        <f>G9+'13'!H9</f>
        <v>294984.10000000009</v>
      </c>
      <c r="I9" s="690">
        <f>I7-J7</f>
        <v>-9632.3892857142891</v>
      </c>
      <c r="J9" s="681">
        <f>H9/DAY(B2)</f>
        <v>21070.292857142864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267</v>
      </c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21399.100000000093</v>
      </c>
      <c r="H13" s="679">
        <f>G13+'13'!H13</f>
        <v>274657.10000000009</v>
      </c>
      <c r="I13" s="695">
        <f>G7-G13</f>
        <v>651.32999999992899</v>
      </c>
      <c r="J13" s="681">
        <f>H13/DAY(B2)</f>
        <v>19618.364285714291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'13'!F15</f>
        <v>1714372</v>
      </c>
      <c r="F15" s="700">
        <v>1715169.81</v>
      </c>
      <c r="G15" s="664">
        <f>(F15-E15)</f>
        <v>797.81000000005588</v>
      </c>
      <c r="H15" s="486">
        <f>G15+'13'!H15</f>
        <v>11486.810000000056</v>
      </c>
      <c r="I15" s="474">
        <v>800</v>
      </c>
      <c r="J15" s="553">
        <f>H15/DAY(B2)</f>
        <v>820.48642857143261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-20.486428571432612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'13'!F18</f>
        <v>14</v>
      </c>
      <c r="F18" s="478">
        <v>14</v>
      </c>
      <c r="G18" s="694">
        <f>F18*10</f>
        <v>140</v>
      </c>
      <c r="H18" s="679">
        <f>G18+'13'!H18</f>
        <v>1900</v>
      </c>
      <c r="I18" s="680">
        <f>'1'!I18</f>
        <v>65</v>
      </c>
      <c r="J18" s="681">
        <f>H18/DAY(B2)</f>
        <v>135.71428571428572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'13'!F19</f>
        <v>142288</v>
      </c>
      <c r="F19" s="478">
        <v>142353</v>
      </c>
      <c r="G19" s="689">
        <f t="shared" ref="G19" si="1">F19-E19</f>
        <v>65</v>
      </c>
      <c r="H19" s="679">
        <f>G19+'13'!H19</f>
        <v>858</v>
      </c>
      <c r="I19" s="696"/>
      <c r="J19" s="681">
        <f>H19/DAY(B2)</f>
        <v>61.285714285714285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205</v>
      </c>
      <c r="H20" s="679">
        <f>G20+'13'!H20</f>
        <v>2758</v>
      </c>
      <c r="I20" s="698">
        <f>I18-J20</f>
        <v>-132</v>
      </c>
      <c r="J20" s="681">
        <f>H20/DAY(B2)</f>
        <v>197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3" t="s">
        <v>146</v>
      </c>
      <c r="B22" s="589"/>
      <c r="C22" s="589"/>
      <c r="D22" s="523" t="s">
        <v>147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3" t="s">
        <v>148</v>
      </c>
      <c r="B23" s="589"/>
      <c r="C23" s="589"/>
      <c r="D23" s="523" t="s">
        <v>147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22172.24000000002</v>
      </c>
      <c r="F27" s="501">
        <v>9</v>
      </c>
      <c r="G27" s="502">
        <f>E27*F27</f>
        <v>199550.16000000018</v>
      </c>
      <c r="H27" s="460">
        <f>G27+'13'!H27</f>
        <v>2739244.5900000003</v>
      </c>
      <c r="I27" s="503"/>
      <c r="J27" s="552">
        <f>H27/DAY(B2)</f>
        <v>195660.32785714287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797.81000000005588</v>
      </c>
      <c r="F28" s="501">
        <v>52</v>
      </c>
      <c r="G28" s="502">
        <f>E28*F28</f>
        <v>41486.120000002906</v>
      </c>
      <c r="H28" s="460">
        <f>G28+'13'!H28</f>
        <v>597314.12000000291</v>
      </c>
      <c r="I28" s="505"/>
      <c r="J28" s="552">
        <f>H28/DAY(B2)</f>
        <v>42665.294285714495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G30+'13'!H30</f>
        <v>124684</v>
      </c>
      <c r="I30" s="505"/>
      <c r="J30" s="552">
        <f>H30/DAY(B2)</f>
        <v>8906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G31+'13'!H31</f>
        <v>146400</v>
      </c>
      <c r="I31" s="505"/>
      <c r="J31" s="552">
        <f>H31/DAY(B2)</f>
        <v>10457.142857142857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261726.28000000308</v>
      </c>
      <c r="H32" s="460">
        <f>G32+'13'!H32</f>
        <v>3607642.7100000028</v>
      </c>
      <c r="I32" s="509"/>
      <c r="J32" s="552">
        <f>H32/DAY(B2)</f>
        <v>257688.76500000019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85"/>
      <c r="C34" s="118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1058597</v>
      </c>
      <c r="F35" s="510">
        <v>1058597.3</v>
      </c>
      <c r="G35" s="473">
        <f t="shared" ref="G35:G46" si="3">F35-E35</f>
        <v>0.30000000004656613</v>
      </c>
      <c r="H35" s="460">
        <f>G35+'13'!H35</f>
        <v>29883.300000000047</v>
      </c>
      <c r="I35" s="455"/>
      <c r="J35" s="552">
        <f>H35/DAY(B2)</f>
        <v>2134.5214285714319</v>
      </c>
      <c r="K35" s="428"/>
      <c r="L35" s="377"/>
      <c r="N35" s="718"/>
      <c r="O35" s="726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30898</v>
      </c>
      <c r="F36" s="510">
        <v>31848.38</v>
      </c>
      <c r="G36" s="473">
        <f t="shared" si="3"/>
        <v>950.38000000000102</v>
      </c>
      <c r="H36" s="460">
        <f>G36+'13'!H36</f>
        <v>11387.380000000001</v>
      </c>
      <c r="I36" s="455"/>
      <c r="J36" s="552">
        <f>H36/DAY(B2)</f>
        <v>813.38428571428574</v>
      </c>
      <c r="K36" s="428"/>
      <c r="L36" s="377"/>
      <c r="N36" s="719"/>
      <c r="O36" s="726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196658</v>
      </c>
      <c r="F37" s="510">
        <v>198307.35</v>
      </c>
      <c r="G37" s="473">
        <f t="shared" si="3"/>
        <v>1649.3500000000058</v>
      </c>
      <c r="H37" s="460">
        <f>G37+'13'!H37</f>
        <v>21737.350000000006</v>
      </c>
      <c r="I37" s="455"/>
      <c r="J37" s="552">
        <f>H37/DAY(B2)</f>
        <v>1552.6678571428577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219391</v>
      </c>
      <c r="F38" s="469">
        <v>220976.79</v>
      </c>
      <c r="G38" s="473">
        <f t="shared" si="3"/>
        <v>1585.7900000000081</v>
      </c>
      <c r="H38" s="460">
        <f>G38+'13'!H38</f>
        <v>22517.790000000008</v>
      </c>
      <c r="I38" s="455"/>
      <c r="J38" s="552">
        <f>H38/DAY(B2)</f>
        <v>1608.4135714285719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452616</v>
      </c>
      <c r="F39" s="510">
        <v>456332.87</v>
      </c>
      <c r="G39" s="473">
        <f t="shared" si="3"/>
        <v>3716.8699999999953</v>
      </c>
      <c r="H39" s="460">
        <f>G39+'13'!H39</f>
        <v>51468.869999999995</v>
      </c>
      <c r="I39" s="455"/>
      <c r="J39" s="552">
        <f>H39/DAY(B2)</f>
        <v>3676.3478571428568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12032</v>
      </c>
      <c r="F40" s="510">
        <v>12406.06</v>
      </c>
      <c r="G40" s="473">
        <f t="shared" si="3"/>
        <v>374.05999999999949</v>
      </c>
      <c r="H40" s="460">
        <f>G40+'13'!H40</f>
        <v>5293.0599999999995</v>
      </c>
      <c r="I40" s="455"/>
      <c r="J40" s="552">
        <f>H40/DAY(B2)</f>
        <v>378.07571428571424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364063.91</v>
      </c>
      <c r="F41" s="510">
        <v>364063.91</v>
      </c>
      <c r="G41" s="473">
        <f t="shared" si="3"/>
        <v>0</v>
      </c>
      <c r="H41" s="460">
        <f>G41+'13'!H41</f>
        <v>34421.909999999974</v>
      </c>
      <c r="I41" s="455"/>
      <c r="J41" s="552">
        <f>H41/DAY(B2)</f>
        <v>2458.7078571428551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62568.2</v>
      </c>
      <c r="F42" s="510">
        <v>67406.11</v>
      </c>
      <c r="G42" s="473">
        <f t="shared" si="3"/>
        <v>4837.9100000000035</v>
      </c>
      <c r="H42" s="460">
        <f>G42+'13'!H42</f>
        <v>8207.2200000000012</v>
      </c>
      <c r="I42" s="455"/>
      <c r="J42" s="552">
        <f>H42/DAY(B2)</f>
        <v>586.23000000000013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1154953</v>
      </c>
      <c r="F43" s="510">
        <v>1157593.3</v>
      </c>
      <c r="G43" s="473">
        <f t="shared" si="3"/>
        <v>2640.3000000000466</v>
      </c>
      <c r="H43" s="460">
        <f>G43+'13'!H43</f>
        <v>37141.300000000047</v>
      </c>
      <c r="I43" s="455"/>
      <c r="J43" s="552">
        <f>H43/DAY(B2)</f>
        <v>2652.9500000000035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15754.960000000106</v>
      </c>
      <c r="H47" s="460">
        <f>G47+'13'!H47</f>
        <v>222859.67000000004</v>
      </c>
      <c r="I47" s="455"/>
      <c r="J47" s="552">
        <f>H47/DAY(B2)</f>
        <v>15918.547857142859</v>
      </c>
      <c r="K47" s="428"/>
      <c r="L47" s="377"/>
      <c r="N47" s="718"/>
      <c r="O47" s="725"/>
      <c r="P47" s="382"/>
    </row>
    <row r="48" spans="1:16">
      <c r="A48" s="598" t="s">
        <v>176</v>
      </c>
      <c r="B48" s="1185"/>
      <c r="C48" s="118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269621</v>
      </c>
      <c r="F49" s="510">
        <v>272499.17</v>
      </c>
      <c r="G49" s="473">
        <f t="shared" ref="G49:G58" si="4">F49-E49</f>
        <v>2878.1699999999837</v>
      </c>
      <c r="H49" s="460">
        <f>G49+'13'!H49</f>
        <v>11735.169999999984</v>
      </c>
      <c r="I49" s="455"/>
      <c r="J49" s="552">
        <f>H49/DAY(B2)</f>
        <v>838.22642857142739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549182</v>
      </c>
      <c r="F50" s="510">
        <v>550963.56999999995</v>
      </c>
      <c r="G50" s="473">
        <f t="shared" si="4"/>
        <v>1781.5699999999488</v>
      </c>
      <c r="H50" s="460">
        <f>G50+'13'!H50</f>
        <v>15207.569999999949</v>
      </c>
      <c r="I50" s="455"/>
      <c r="J50" s="552">
        <f>H50/DAY(B2)</f>
        <v>1086.2549999999962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434231.59</v>
      </c>
      <c r="G53" s="473">
        <f t="shared" si="4"/>
        <v>-0.40999999997438863</v>
      </c>
      <c r="H53" s="460">
        <f>G53+'13'!H53</f>
        <v>-0.73999999999068677</v>
      </c>
      <c r="I53" s="455"/>
      <c r="J53" s="552">
        <f>H53/DAY(B2)</f>
        <v>-5.2857142856477628E-2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14967</v>
      </c>
      <c r="F54" s="510">
        <v>14967</v>
      </c>
      <c r="G54" s="473">
        <f t="shared" si="4"/>
        <v>0</v>
      </c>
      <c r="H54" s="460">
        <f>G54+'13'!H54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166357</v>
      </c>
      <c r="F55" s="653">
        <v>167631.28</v>
      </c>
      <c r="G55" s="652">
        <f t="shared" si="4"/>
        <v>1274.2799999999988</v>
      </c>
      <c r="H55" s="705">
        <f>G55+'13'!H55</f>
        <v>44421.279999999999</v>
      </c>
      <c r="I55" s="706"/>
      <c r="J55" s="707">
        <f>H55/DAY(B2)</f>
        <v>3172.9485714285715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649168</v>
      </c>
      <c r="F56" s="653">
        <v>649178.35</v>
      </c>
      <c r="G56" s="473">
        <f t="shared" si="4"/>
        <v>10.349999999976717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56249</v>
      </c>
      <c r="F58" s="653">
        <v>56413.38</v>
      </c>
      <c r="G58" s="473">
        <f t="shared" si="4"/>
        <v>164.37999999999738</v>
      </c>
      <c r="H58" s="460">
        <f>G58+'13'!H58</f>
        <v>2233.3799999999974</v>
      </c>
      <c r="I58" s="455"/>
      <c r="J58" s="552">
        <f>H58/DAY(B2)</f>
        <v>159.52714285714268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6108.339999999931</v>
      </c>
      <c r="H59" s="460">
        <f>G59+'13'!H59</f>
        <v>73733.279999999853</v>
      </c>
      <c r="I59" s="455">
        <f>G7-G60</f>
        <v>187.12999999998283</v>
      </c>
      <c r="J59" s="552">
        <f>H59/DAY(B2)</f>
        <v>5266.6628571428464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21863.300000000039</v>
      </c>
      <c r="H60" s="460">
        <f>G60+'13'!H60</f>
        <v>303496.27999999997</v>
      </c>
      <c r="I60" s="455">
        <f>G13-G60</f>
        <v>-464.19999999994616</v>
      </c>
      <c r="J60" s="552">
        <f>H60/DAY(B2)</f>
        <v>21678.305714285711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'13'!F64</f>
        <v>175161</v>
      </c>
      <c r="F64" s="478">
        <v>175521.13</v>
      </c>
      <c r="G64" s="473">
        <f t="shared" si="5"/>
        <v>360.13000000000466</v>
      </c>
      <c r="H64" s="460">
        <f>G64+'13'!H64</f>
        <v>5499.1300000000047</v>
      </c>
      <c r="I64" s="480"/>
      <c r="J64" s="552">
        <f>H64/DAY(B2)</f>
        <v>392.79500000000036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'13'!F65</f>
        <v>175162</v>
      </c>
      <c r="F65" s="651">
        <v>175559.63</v>
      </c>
      <c r="G65" s="473">
        <f t="shared" si="5"/>
        <v>397.63000000000466</v>
      </c>
      <c r="H65" s="460">
        <f>G65+'13'!H65</f>
        <v>5257.6300000000047</v>
      </c>
      <c r="I65" s="489"/>
      <c r="J65" s="552">
        <f>H65/DAY(B2)</f>
        <v>375.54500000000036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'13'!F66</f>
        <v>73368</v>
      </c>
      <c r="F66" s="478">
        <v>73756.42</v>
      </c>
      <c r="G66" s="473">
        <f t="shared" si="5"/>
        <v>388.41999999999825</v>
      </c>
      <c r="H66" s="460">
        <f>G66+'13'!H66</f>
        <v>5786.4199999999983</v>
      </c>
      <c r="I66" s="480"/>
      <c r="J66" s="552">
        <f>H66/DAY(B2)</f>
        <v>413.31571428571414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'13'!F67</f>
        <v>271039</v>
      </c>
      <c r="F67" s="478">
        <v>271550.77</v>
      </c>
      <c r="G67" s="473">
        <f t="shared" si="5"/>
        <v>511.77000000001863</v>
      </c>
      <c r="H67" s="460">
        <f>G67+'13'!H67</f>
        <v>6591.7700000000186</v>
      </c>
      <c r="I67" s="489"/>
      <c r="J67" s="552">
        <f>H67/DAY(B2)</f>
        <v>470.84071428571559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'13'!F69</f>
        <v>90847</v>
      </c>
      <c r="F69" s="478">
        <v>91122.4</v>
      </c>
      <c r="G69" s="473">
        <f t="shared" si="5"/>
        <v>275.39999999999418</v>
      </c>
      <c r="H69" s="460">
        <f>G69+'13'!H69</f>
        <v>3607.3999999999942</v>
      </c>
      <c r="I69" s="516"/>
      <c r="J69" s="552">
        <f>H69/DAY(B2)</f>
        <v>257.67142857142818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'13'!F72</f>
        <v>856377</v>
      </c>
      <c r="F72" s="654">
        <v>856391</v>
      </c>
      <c r="G72" s="473">
        <f t="shared" ref="G72" si="6">F72-E72</f>
        <v>14</v>
      </c>
      <c r="H72" s="460">
        <f>G72+'12'!H72</f>
        <v>156</v>
      </c>
      <c r="I72" s="480"/>
      <c r="J72" s="552">
        <f>H72/DAY(B2)</f>
        <v>11.142857142857142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'13'!F73</f>
        <v>885989</v>
      </c>
      <c r="F73" s="655">
        <v>885990</v>
      </c>
      <c r="G73" s="652">
        <f t="shared" ref="G73:G84" si="7">F73-E73</f>
        <v>1</v>
      </c>
      <c r="H73" s="460">
        <f>G73+'13'!H72</f>
        <v>156</v>
      </c>
      <c r="I73" s="480"/>
      <c r="J73" s="552">
        <f>H73/DAY(B2)</f>
        <v>11.142857142857142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17</v>
      </c>
      <c r="I74" s="480"/>
      <c r="J74" s="552">
        <f>H74/DAY(B2)</f>
        <v>1.2142857142857142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'13'!F75</f>
        <v>18041</v>
      </c>
      <c r="F75" s="655">
        <v>18188.93</v>
      </c>
      <c r="G75" s="473">
        <f t="shared" si="7"/>
        <v>147.93000000000029</v>
      </c>
      <c r="H75" s="460">
        <f>G75+'13'!H75</f>
        <v>2117.9300000000003</v>
      </c>
      <c r="I75" s="480"/>
      <c r="J75" s="552">
        <f>H75/DAY(B2)</f>
        <v>151.28071428571431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'13'!F76</f>
        <v>10189</v>
      </c>
      <c r="F76" s="655">
        <v>10250.98</v>
      </c>
      <c r="G76" s="473">
        <f t="shared" si="7"/>
        <v>61.979999999999563</v>
      </c>
      <c r="H76" s="460">
        <f>G76+'13'!H75</f>
        <v>2031.9799999999996</v>
      </c>
      <c r="I76" s="505"/>
      <c r="J76" s="552">
        <f>H76/DAY(B2)</f>
        <v>145.14142857142855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'13'!F77</f>
        <v>705164</v>
      </c>
      <c r="F77" s="655">
        <v>705216</v>
      </c>
      <c r="G77" s="652">
        <f t="shared" si="7"/>
        <v>52</v>
      </c>
      <c r="H77" s="460">
        <f>G77+'13'!H77</f>
        <v>842</v>
      </c>
      <c r="I77" s="505"/>
      <c r="J77" s="552">
        <f>H77/DAY(B2)</f>
        <v>60.142857142857146</v>
      </c>
      <c r="K77" s="430"/>
      <c r="L77" s="377"/>
      <c r="N77" s="718"/>
      <c r="O77" s="725"/>
      <c r="P77" s="382"/>
    </row>
    <row r="78" spans="1:16" ht="27.75">
      <c r="A78" s="1186" t="s">
        <v>196</v>
      </c>
      <c r="B78" s="1182"/>
      <c r="C78" s="1182"/>
      <c r="D78" s="523" t="s">
        <v>186</v>
      </c>
      <c r="E78" s="519">
        <f>'13'!F78</f>
        <v>676658</v>
      </c>
      <c r="F78" s="656">
        <v>676794</v>
      </c>
      <c r="G78" s="473">
        <f t="shared" si="7"/>
        <v>136</v>
      </c>
      <c r="H78" s="460">
        <f>G78+'13'!H78</f>
        <v>1380</v>
      </c>
      <c r="I78" s="505"/>
      <c r="J78" s="552">
        <f>H78/DAY(B2)</f>
        <v>98.571428571428569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'13'!F79</f>
        <v>837398</v>
      </c>
      <c r="F79" s="656">
        <v>837571</v>
      </c>
      <c r="G79" s="473">
        <f t="shared" si="7"/>
        <v>173</v>
      </c>
      <c r="H79" s="460">
        <f>G79+'13'!H78</f>
        <v>1417</v>
      </c>
      <c r="I79" s="505"/>
      <c r="J79" s="552">
        <f>H79/DAY(B2)</f>
        <v>101.21428571428571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'13'!F80</f>
        <v>544373</v>
      </c>
      <c r="F80" s="655">
        <v>544859.80000000005</v>
      </c>
      <c r="G80" s="473">
        <f t="shared" si="7"/>
        <v>486.80000000004657</v>
      </c>
      <c r="H80" s="460">
        <f>G80+'13'!H79</f>
        <v>2468.8000000000466</v>
      </c>
      <c r="I80" s="505"/>
      <c r="J80" s="552">
        <f>H80/DAY(B2)</f>
        <v>176.34285714286048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'13'!F81</f>
        <v>645443</v>
      </c>
      <c r="F81" s="655">
        <v>645639.04</v>
      </c>
      <c r="G81" s="473">
        <f t="shared" si="7"/>
        <v>196.04000000003725</v>
      </c>
      <c r="H81" s="460">
        <f>G81+'13'!H81</f>
        <v>2654.0400000000373</v>
      </c>
      <c r="I81" s="505"/>
      <c r="J81" s="552">
        <f>H81/DAY(B2)</f>
        <v>189.57428571428838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'13'!F82</f>
        <v>108956</v>
      </c>
      <c r="F82" s="651">
        <v>108969.5</v>
      </c>
      <c r="G82" s="473">
        <f t="shared" si="7"/>
        <v>13.5</v>
      </c>
      <c r="H82" s="460">
        <f>G82+'13'!H82</f>
        <v>288.5</v>
      </c>
      <c r="I82" s="486"/>
      <c r="J82" s="552">
        <f>H82/DAY(B2)</f>
        <v>20.607142857142858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'13'!F83</f>
        <v>30675</v>
      </c>
      <c r="F83" s="511">
        <v>30921</v>
      </c>
      <c r="G83" s="473">
        <f t="shared" si="7"/>
        <v>246</v>
      </c>
      <c r="H83" s="460">
        <f>G83+'13'!H83</f>
        <v>3370</v>
      </c>
      <c r="I83" s="481"/>
      <c r="J83" s="552">
        <f>H83/DAY(B2)</f>
        <v>240.71428571428572</v>
      </c>
      <c r="K83" s="429"/>
      <c r="L83" s="377"/>
      <c r="N83" s="718"/>
      <c r="O83" s="725"/>
      <c r="P83" s="382"/>
    </row>
    <row r="84" spans="1:16">
      <c r="A84" s="1189" t="s">
        <v>200</v>
      </c>
      <c r="B84" s="571"/>
      <c r="C84" s="571"/>
      <c r="D84" s="478" t="s">
        <v>131</v>
      </c>
      <c r="E84" s="519">
        <f>'13'!F84</f>
        <v>533617</v>
      </c>
      <c r="F84" s="627">
        <v>534382</v>
      </c>
      <c r="G84" s="473">
        <f t="shared" si="7"/>
        <v>765</v>
      </c>
      <c r="H84" s="460">
        <f>G84+'13'!H84</f>
        <v>11302</v>
      </c>
      <c r="I84" s="481"/>
      <c r="J84" s="552">
        <f>H84/DAY(B2)</f>
        <v>807.28571428571433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2293.2500000000837</v>
      </c>
      <c r="H85" s="460">
        <f>G85+'13'!H85</f>
        <v>31075.250000000084</v>
      </c>
      <c r="I85" s="481"/>
      <c r="J85" s="552">
        <f>H85/DAY(B2)</f>
        <v>2219.6607142857201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'13'!F86</f>
        <v>462161</v>
      </c>
      <c r="F86" s="647">
        <v>462192.76</v>
      </c>
      <c r="G86" s="705">
        <f t="shared" ref="G86:G91" si="8">F86-E86</f>
        <v>31.760000000009313</v>
      </c>
      <c r="H86" s="705">
        <f t="shared" ref="H86:H88" si="9">G86</f>
        <v>31.760000000009313</v>
      </c>
      <c r="I86" s="652"/>
      <c r="J86" s="707">
        <f>H86/DAY(B2)</f>
        <v>2.2685714285720939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'13'!F87</f>
        <v>82429</v>
      </c>
      <c r="F87" s="647">
        <v>82461.8</v>
      </c>
      <c r="G87" s="705">
        <f t="shared" si="8"/>
        <v>32.80000000000291</v>
      </c>
      <c r="H87" s="705">
        <f t="shared" si="9"/>
        <v>32.80000000000291</v>
      </c>
      <c r="I87" s="652"/>
      <c r="J87" s="707">
        <f>H87/DAY(B2)</f>
        <v>2.3428571428573508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'13'!F88</f>
        <v>156787</v>
      </c>
      <c r="F88" s="647">
        <v>156926.53</v>
      </c>
      <c r="G88" s="705">
        <f t="shared" si="8"/>
        <v>139.52999999999884</v>
      </c>
      <c r="H88" s="705">
        <f t="shared" si="9"/>
        <v>139.52999999999884</v>
      </c>
      <c r="I88" s="652"/>
      <c r="J88" s="707">
        <f>H88/DAY(B2)</f>
        <v>9.966428571428489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'13'!F89</f>
        <v>66419</v>
      </c>
      <c r="F89" s="647">
        <v>66438.8</v>
      </c>
      <c r="G89" s="705">
        <f t="shared" si="8"/>
        <v>19.80000000000291</v>
      </c>
      <c r="H89" s="705">
        <f>G89</f>
        <v>19.80000000000291</v>
      </c>
      <c r="I89" s="652"/>
      <c r="J89" s="707">
        <f>H89/DAY(B2)</f>
        <v>1.4142857142859222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'13'!F90</f>
        <v>3388</v>
      </c>
      <c r="F90" s="647">
        <v>3391.2</v>
      </c>
      <c r="G90" s="705">
        <f t="shared" si="8"/>
        <v>3.1999999999998181</v>
      </c>
      <c r="H90" s="705">
        <f>G90</f>
        <v>3.1999999999998181</v>
      </c>
      <c r="I90" s="652"/>
      <c r="J90" s="707">
        <f>H90/DAY(B2)</f>
        <v>0.22857142857141557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'13'!F91</f>
        <v>28354</v>
      </c>
      <c r="F91" s="647">
        <v>28362.57</v>
      </c>
      <c r="G91" s="705">
        <f t="shared" si="8"/>
        <v>8.569999999999709</v>
      </c>
      <c r="H91" s="705">
        <f>G91</f>
        <v>8.569999999999709</v>
      </c>
      <c r="I91" s="652"/>
      <c r="J91" s="707">
        <f>H91/DAY(B2)</f>
        <v>0.61214285714283634</v>
      </c>
      <c r="K91" s="733"/>
      <c r="L91" s="734"/>
      <c r="N91" s="777"/>
      <c r="O91" s="382"/>
    </row>
    <row r="92" spans="1:16" s="379" customFormat="1">
      <c r="A92" s="606" t="s">
        <v>204</v>
      </c>
      <c r="B92" s="1187"/>
      <c r="C92" s="1187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'13'!F93</f>
        <v>248678</v>
      </c>
      <c r="F93" s="478">
        <v>248765</v>
      </c>
      <c r="G93" s="473">
        <f t="shared" ref="G93:G94" si="10">F93-E93</f>
        <v>87</v>
      </c>
      <c r="H93" s="460">
        <f>G93+'13'!H93</f>
        <v>1413</v>
      </c>
      <c r="I93" s="480"/>
      <c r="J93" s="552">
        <f>H93/DAY(B2)</f>
        <v>100.92857142857143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'13'!F94</f>
        <v>190948</v>
      </c>
      <c r="F94" s="651">
        <v>191047</v>
      </c>
      <c r="G94" s="473">
        <f t="shared" si="10"/>
        <v>99</v>
      </c>
      <c r="H94" s="460">
        <f>G94+'13'!H94</f>
        <v>1593</v>
      </c>
      <c r="I94" s="480"/>
      <c r="J94" s="552">
        <f>H94/DAY(B2)</f>
        <v>113.78571428571429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'13'!F95</f>
        <v>0</v>
      </c>
      <c r="F95" s="478"/>
      <c r="G95" s="473">
        <f>G93+G94</f>
        <v>186</v>
      </c>
      <c r="H95" s="460">
        <f>G95+'13'!H95</f>
        <v>2820</v>
      </c>
      <c r="I95" s="480"/>
      <c r="J95" s="552">
        <f>H95/DAY(B2)</f>
        <v>201.42857142857142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'13'!F96</f>
        <v>417207</v>
      </c>
      <c r="F96" s="478">
        <v>417281</v>
      </c>
      <c r="G96" s="473">
        <f t="shared" ref="G96:G101" si="11">F96-E96</f>
        <v>74</v>
      </c>
      <c r="H96" s="460">
        <f>G96+'13'!H96</f>
        <v>1282</v>
      </c>
      <c r="I96" s="480"/>
      <c r="J96" s="552">
        <f>H96/DAY(B2)</f>
        <v>91.571428571428569</v>
      </c>
      <c r="K96" s="380"/>
      <c r="L96" s="377"/>
      <c r="N96" s="718"/>
      <c r="O96" s="725"/>
      <c r="P96" s="382"/>
    </row>
    <row r="97" spans="1:16" ht="27.75">
      <c r="A97" s="1183" t="s">
        <v>209</v>
      </c>
      <c r="B97" s="1184"/>
      <c r="C97" s="1184"/>
      <c r="D97" s="523" t="s">
        <v>143</v>
      </c>
      <c r="E97" s="484">
        <f>'13'!F97</f>
        <v>103440</v>
      </c>
      <c r="F97" s="478">
        <v>103464</v>
      </c>
      <c r="G97" s="473">
        <f t="shared" si="11"/>
        <v>24</v>
      </c>
      <c r="H97" s="460">
        <f>G97+'13'!H97</f>
        <v>301</v>
      </c>
      <c r="I97" s="480"/>
      <c r="J97" s="552">
        <f>H97/DAY(B2)</f>
        <v>21.5</v>
      </c>
      <c r="K97" s="427"/>
      <c r="L97" s="377"/>
      <c r="N97" s="718"/>
      <c r="O97" s="725"/>
      <c r="P97" s="382"/>
    </row>
    <row r="98" spans="1:16" ht="27.75">
      <c r="A98" s="1183" t="s">
        <v>210</v>
      </c>
      <c r="B98" s="1184"/>
      <c r="C98" s="1184"/>
      <c r="D98" s="523" t="s">
        <v>143</v>
      </c>
      <c r="E98" s="484">
        <f>'13'!F98</f>
        <v>98987</v>
      </c>
      <c r="F98" s="478">
        <v>99009</v>
      </c>
      <c r="G98" s="473">
        <f t="shared" si="11"/>
        <v>22</v>
      </c>
      <c r="H98" s="460">
        <f>G98+'13'!H98</f>
        <v>352</v>
      </c>
      <c r="I98" s="480"/>
      <c r="J98" s="552">
        <f>H98/DAY(B2)</f>
        <v>25.142857142857142</v>
      </c>
      <c r="K98" s="432"/>
      <c r="L98" s="377"/>
      <c r="N98" s="718"/>
      <c r="O98" s="725"/>
      <c r="P98" s="382"/>
    </row>
    <row r="99" spans="1:16" ht="27.75">
      <c r="A99" s="1183" t="s">
        <v>211</v>
      </c>
      <c r="B99" s="1184"/>
      <c r="C99" s="1184"/>
      <c r="D99" s="523" t="s">
        <v>143</v>
      </c>
      <c r="E99" s="484">
        <f>'13'!F99</f>
        <v>150814</v>
      </c>
      <c r="F99" s="478">
        <v>150836</v>
      </c>
      <c r="G99" s="473">
        <f t="shared" si="11"/>
        <v>22</v>
      </c>
      <c r="H99" s="460">
        <f>G99+'13'!H99</f>
        <v>431</v>
      </c>
      <c r="I99" s="480"/>
      <c r="J99" s="552">
        <f>H99/DAY(B2)</f>
        <v>30.785714285714285</v>
      </c>
      <c r="K99" s="380"/>
      <c r="L99" s="377"/>
      <c r="N99" s="720"/>
      <c r="O99" s="725"/>
      <c r="P99" s="382"/>
    </row>
    <row r="100" spans="1:16" ht="27.75">
      <c r="A100" s="1183" t="s">
        <v>212</v>
      </c>
      <c r="B100" s="1184"/>
      <c r="C100" s="1184"/>
      <c r="D100" s="523" t="s">
        <v>143</v>
      </c>
      <c r="E100" s="484">
        <f>'13'!F100</f>
        <v>7938</v>
      </c>
      <c r="F100" s="478">
        <v>7946</v>
      </c>
      <c r="G100" s="473">
        <f t="shared" si="11"/>
        <v>8</v>
      </c>
      <c r="H100" s="460">
        <f>G100+'13'!H100</f>
        <v>149</v>
      </c>
      <c r="I100" s="480"/>
      <c r="J100" s="552">
        <f>H100/DAY(B2)</f>
        <v>10.642857142857142</v>
      </c>
      <c r="K100" s="380"/>
      <c r="L100" s="377"/>
      <c r="N100" s="718"/>
      <c r="O100" s="725"/>
      <c r="P100" s="382"/>
    </row>
    <row r="101" spans="1:16" ht="27.75">
      <c r="A101" s="1183" t="s">
        <v>213</v>
      </c>
      <c r="B101" s="1184"/>
      <c r="C101" s="1184"/>
      <c r="D101" s="523" t="s">
        <v>143</v>
      </c>
      <c r="E101" s="484">
        <f>'13'!F101</f>
        <v>5807</v>
      </c>
      <c r="F101" s="478">
        <v>5823</v>
      </c>
      <c r="G101" s="473">
        <f t="shared" si="11"/>
        <v>16</v>
      </c>
      <c r="H101" s="460">
        <f>G101+'13'!H101</f>
        <v>149</v>
      </c>
      <c r="I101" s="480"/>
      <c r="J101" s="552">
        <f>H101/DAY(B2)</f>
        <v>10.642857142857142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166</v>
      </c>
      <c r="H102" s="460">
        <f>G102+'13'!H102</f>
        <v>2664</v>
      </c>
      <c r="I102" s="526"/>
      <c r="J102" s="552">
        <f>H102/DAY(B2)</f>
        <v>190.28571428571428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1059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88"/>
      <c r="D105" s="622" t="s">
        <v>143</v>
      </c>
      <c r="E105" s="484">
        <f>'13'!F105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88"/>
      <c r="D106" s="622" t="s">
        <v>143</v>
      </c>
      <c r="E106" s="484">
        <f>'13'!F106</f>
        <v>36292</v>
      </c>
      <c r="F106" s="659">
        <v>36302</v>
      </c>
      <c r="G106" s="532">
        <f t="shared" ref="G106:G107" si="12">F106-E106</f>
        <v>10</v>
      </c>
      <c r="H106" s="533">
        <f>SUM(G106+'1'!G77)</f>
        <v>63</v>
      </c>
      <c r="I106" s="532"/>
      <c r="J106" s="558">
        <f>H106/DAY(B2)</f>
        <v>4.5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'13'!F107</f>
        <v>19879</v>
      </c>
      <c r="F107" s="659">
        <v>19883</v>
      </c>
      <c r="G107" s="532">
        <f t="shared" si="12"/>
        <v>4</v>
      </c>
      <c r="H107" s="533">
        <f>SUM(G107+'1'!G78)</f>
        <v>118</v>
      </c>
      <c r="I107" s="532"/>
      <c r="J107" s="558">
        <f>H107/DAY(B2)</f>
        <v>8.4285714285714288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88"/>
      <c r="D108" s="622"/>
      <c r="E108" s="484">
        <f>'13'!F108</f>
        <v>0</v>
      </c>
      <c r="F108" s="659"/>
      <c r="G108" s="532">
        <f>SUM(G105:G107)</f>
        <v>14</v>
      </c>
      <c r="H108" s="533">
        <f>SUM(G108+'1'!G79)</f>
        <v>167</v>
      </c>
      <c r="I108" s="532"/>
      <c r="J108" s="558">
        <f>H108/DAY(B2)</f>
        <v>11.928571428571429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88"/>
      <c r="D109" s="622" t="s">
        <v>143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88"/>
      <c r="D110" s="622" t="s">
        <v>143</v>
      </c>
      <c r="E110" s="484">
        <f>'13'!F110</f>
        <v>65843</v>
      </c>
      <c r="F110" s="659">
        <v>65908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14.045714285715283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88"/>
      <c r="D111" s="622" t="s">
        <v>143</v>
      </c>
      <c r="E111" s="484">
        <f>'13'!F111</f>
        <v>33555</v>
      </c>
      <c r="F111" s="659">
        <v>33568</v>
      </c>
      <c r="G111" s="532">
        <f t="shared" ref="G111:G112" si="13">F111-E111</f>
        <v>13</v>
      </c>
      <c r="H111" s="533">
        <f>SUM(G111+'1'!G82)</f>
        <v>37.899999999994179</v>
      </c>
      <c r="I111" s="532"/>
      <c r="J111" s="558">
        <f>H111/DAY(B2)</f>
        <v>2.7071428571424412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88"/>
      <c r="D112" s="622" t="s">
        <v>143</v>
      </c>
      <c r="E112" s="484">
        <f>'13'!F112</f>
        <v>4621.3</v>
      </c>
      <c r="F112" s="659">
        <v>4621.3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88"/>
      <c r="D113" s="622"/>
      <c r="E113" s="484">
        <f>'13'!F113</f>
        <v>0</v>
      </c>
      <c r="F113" s="659"/>
      <c r="G113" s="532">
        <f>SUM(G110:G112)</f>
        <v>78</v>
      </c>
      <c r="H113" s="533">
        <f>SUM(G113+'1'!G84)</f>
        <v>894</v>
      </c>
      <c r="I113" s="532"/>
      <c r="J113" s="558">
        <f>H113/DAY(B2)</f>
        <v>63.857142857142854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88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'13'!F115</f>
        <v>12190</v>
      </c>
      <c r="F115" s="659">
        <v>12200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'13'!F116</f>
        <v>8663</v>
      </c>
      <c r="F116" s="659">
        <v>8679</v>
      </c>
      <c r="G116" s="534">
        <f t="shared" ref="G116:G117" si="14">F116-E116</f>
        <v>16</v>
      </c>
      <c r="H116" s="533">
        <f>SUM(G116+'1'!G93)</f>
        <v>105</v>
      </c>
      <c r="I116" s="532"/>
      <c r="J116" s="558">
        <f>H116/DAY(B2)</f>
        <v>7.5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26</v>
      </c>
      <c r="H118" s="533">
        <f>SUM(G118+'1'!G96)</f>
        <v>112</v>
      </c>
      <c r="I118" s="534"/>
      <c r="J118" s="558">
        <f>H118/DAY(B2)</f>
        <v>8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1"/>
      <c r="D119" s="624" t="s">
        <v>143</v>
      </c>
      <c r="E119" s="536"/>
      <c r="F119" s="660"/>
      <c r="G119" s="536">
        <f>SUM(G19+G93)</f>
        <v>152</v>
      </c>
      <c r="H119" s="533">
        <f>SUM(G119+'1'!G97)</f>
        <v>169</v>
      </c>
      <c r="I119" s="535"/>
      <c r="J119" s="559">
        <f>H119/DAY(B2)</f>
        <v>12.071428571428571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1"/>
      <c r="D120" s="624" t="s">
        <v>143</v>
      </c>
      <c r="E120" s="536"/>
      <c r="F120" s="660">
        <f>SUM(G96,G97,G98,G100,G101)</f>
        <v>144</v>
      </c>
      <c r="G120" s="536">
        <f>SUM(G96,G97,G98,G100,G101)</f>
        <v>144</v>
      </c>
      <c r="H120" s="533">
        <f>SUM(G120+'1'!G99)</f>
        <v>194</v>
      </c>
      <c r="I120" s="535"/>
      <c r="J120" s="559">
        <f>H120/DAY(B2)</f>
        <v>13.857142857142858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1"/>
      <c r="D121" s="624" t="s">
        <v>143</v>
      </c>
      <c r="E121" s="534"/>
      <c r="F121" s="659">
        <f>SUM(G113)</f>
        <v>78</v>
      </c>
      <c r="G121" s="534">
        <f>SUM(G113)</f>
        <v>78</v>
      </c>
      <c r="H121" s="533">
        <f>SUM(G121+'1'!G101)</f>
        <v>83</v>
      </c>
      <c r="I121" s="535"/>
      <c r="J121" s="559">
        <f>H121/DAY(B2)</f>
        <v>5.9285714285714288</v>
      </c>
      <c r="N121" s="718"/>
      <c r="O121" s="725"/>
      <c r="P121" s="382"/>
    </row>
    <row r="122" spans="1:16" s="442" customFormat="1" ht="27.75">
      <c r="A122" s="1549"/>
      <c r="B122" s="1550"/>
      <c r="C122" s="1192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3" t="s">
        <v>230</v>
      </c>
      <c r="B124" s="1184"/>
      <c r="C124" s="1184"/>
      <c r="D124" s="523" t="s">
        <v>140</v>
      </c>
      <c r="E124" s="478">
        <f>'13'!F124</f>
        <v>843224</v>
      </c>
      <c r="F124" s="478">
        <v>843475.74</v>
      </c>
      <c r="G124" s="473">
        <f t="shared" ref="G124:G128" si="15">F124-E124</f>
        <v>251.73999999999069</v>
      </c>
      <c r="H124" s="460">
        <f>G124+'13'!H124</f>
        <v>3805.7399999999907</v>
      </c>
      <c r="I124" s="526"/>
      <c r="J124" s="552">
        <f>H124/DAY(B2)</f>
        <v>271.83857142857079</v>
      </c>
      <c r="K124" s="380"/>
      <c r="L124" s="377"/>
      <c r="N124" s="718"/>
      <c r="O124" s="725"/>
      <c r="P124" s="382"/>
    </row>
    <row r="125" spans="1:16" ht="27.75">
      <c r="A125" s="1183" t="s">
        <v>231</v>
      </c>
      <c r="B125" s="1184"/>
      <c r="C125" s="1184"/>
      <c r="D125" s="523" t="s">
        <v>140</v>
      </c>
      <c r="E125" s="626">
        <f>'13'!F125</f>
        <v>73583</v>
      </c>
      <c r="F125" s="626">
        <v>73583.399999999994</v>
      </c>
      <c r="G125" s="473">
        <f>F125-E125</f>
        <v>0.39999999999417923</v>
      </c>
      <c r="H125" s="460">
        <f>G125+'13'!H125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'13'!F126</f>
        <v>149731</v>
      </c>
      <c r="F126" s="478">
        <v>149850.19</v>
      </c>
      <c r="G126" s="473">
        <f t="shared" si="15"/>
        <v>119.19000000000233</v>
      </c>
      <c r="H126" s="460">
        <f>G126+'13'!H126</f>
        <v>1253.1900000000023</v>
      </c>
      <c r="I126" s="526"/>
      <c r="J126" s="552">
        <f>H126/DAY(B2)</f>
        <v>89.513571428571595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84"/>
      <c r="C127" s="1184"/>
      <c r="D127" s="523" t="s">
        <v>140</v>
      </c>
      <c r="E127" s="626">
        <f>'13'!F127</f>
        <v>32560</v>
      </c>
      <c r="F127" s="626">
        <v>32605.3</v>
      </c>
      <c r="G127" s="473">
        <f t="shared" si="15"/>
        <v>45.299999999999272</v>
      </c>
      <c r="H127" s="460">
        <f>G127+'13'!H127</f>
        <v>534.29999999999927</v>
      </c>
      <c r="I127" s="526"/>
      <c r="J127" s="552">
        <f>H127/DAY(B2)</f>
        <v>38.164285714285661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84"/>
      <c r="C128" s="1184"/>
      <c r="D128" s="523" t="s">
        <v>140</v>
      </c>
      <c r="E128" s="626">
        <f>'13'!F128</f>
        <v>9057</v>
      </c>
      <c r="F128" s="626">
        <v>9060.7000000000007</v>
      </c>
      <c r="G128" s="473">
        <f t="shared" si="15"/>
        <v>3.7000000000007276</v>
      </c>
      <c r="H128" s="460">
        <f>G128+'13'!H128</f>
        <v>48.700000000000728</v>
      </c>
      <c r="I128" s="480"/>
      <c r="J128" s="552">
        <f>H128/DAY(B2)</f>
        <v>3.4785714285714806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84"/>
      <c r="C129" s="1184"/>
      <c r="D129" s="523"/>
      <c r="E129" s="478"/>
      <c r="F129" s="478"/>
      <c r="G129" s="473">
        <f>G15-SUM(G124:G128)</f>
        <v>377.48000000006869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3" t="s">
        <v>237</v>
      </c>
      <c r="B131" s="1184"/>
      <c r="C131" s="1184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3" t="s">
        <v>239</v>
      </c>
      <c r="B132" s="1184"/>
      <c r="C132" s="1184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3" t="s">
        <v>240</v>
      </c>
      <c r="B133" s="1184"/>
      <c r="C133" s="1184"/>
      <c r="D133" s="523" t="s">
        <v>238</v>
      </c>
      <c r="E133" s="541">
        <f>'13'!F133</f>
        <v>40605.550000000003</v>
      </c>
      <c r="F133" s="651">
        <v>40605.550000000003</v>
      </c>
      <c r="G133" s="473">
        <f t="shared" si="16"/>
        <v>0</v>
      </c>
      <c r="H133" s="460">
        <f>G133+'13'!H133</f>
        <v>152.55000000000291</v>
      </c>
      <c r="I133" s="480"/>
      <c r="J133" s="552">
        <f>H133/DAY(B2)</f>
        <v>10.89642857142878</v>
      </c>
      <c r="N133" s="718"/>
      <c r="O133" s="725"/>
      <c r="P133" s="382"/>
    </row>
    <row r="134" spans="1:16" ht="27.75">
      <c r="A134" s="1183" t="s">
        <v>241</v>
      </c>
      <c r="B134" s="1184"/>
      <c r="C134" s="1184"/>
      <c r="D134" s="523" t="s">
        <v>238</v>
      </c>
      <c r="E134" s="701">
        <f>'13'!F134</f>
        <v>317</v>
      </c>
      <c r="F134" s="626">
        <v>341.29</v>
      </c>
      <c r="G134" s="473">
        <f t="shared" si="16"/>
        <v>24.29000000000002</v>
      </c>
      <c r="H134" s="460">
        <f>G134+'13'!H134</f>
        <v>41.29000000000002</v>
      </c>
      <c r="I134" s="480">
        <f>G131+G132+G133+G134</f>
        <v>24.29000000000002</v>
      </c>
      <c r="J134" s="552">
        <f>H134/DAY(B2)</f>
        <v>2.9492857142857156</v>
      </c>
      <c r="N134" s="718"/>
      <c r="O134" s="725"/>
      <c r="P134" s="382"/>
    </row>
    <row r="135" spans="1:16" ht="27.75">
      <c r="A135" s="1183" t="s">
        <v>242</v>
      </c>
      <c r="B135" s="1184"/>
      <c r="C135" s="1184"/>
      <c r="D135" s="523" t="s">
        <v>238</v>
      </c>
      <c r="E135" s="701">
        <f>'13'!F135</f>
        <v>42192</v>
      </c>
      <c r="F135" s="626">
        <v>42199.46</v>
      </c>
      <c r="G135" s="473">
        <f t="shared" si="16"/>
        <v>7.4599999999991269</v>
      </c>
      <c r="H135" s="460">
        <f>G135+'13'!H135</f>
        <v>227.45999999999913</v>
      </c>
      <c r="I135" s="480"/>
      <c r="J135" s="552">
        <f>H135/DAY(B2)</f>
        <v>16.247142857142794</v>
      </c>
      <c r="N135" s="718"/>
      <c r="O135" s="725"/>
      <c r="P135" s="382"/>
    </row>
    <row r="136" spans="1:16" ht="27.75">
      <c r="A136" s="1183" t="s">
        <v>243</v>
      </c>
      <c r="B136" s="1184"/>
      <c r="C136" s="1184"/>
      <c r="D136" s="523" t="s">
        <v>238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3" t="s">
        <v>244</v>
      </c>
      <c r="B137" s="1184"/>
      <c r="C137" s="1184"/>
      <c r="D137" s="523" t="s">
        <v>238</v>
      </c>
      <c r="E137" s="541">
        <f>'13'!F137</f>
        <v>22982.78</v>
      </c>
      <c r="F137" s="651">
        <v>22988.18</v>
      </c>
      <c r="G137" s="473">
        <f t="shared" si="16"/>
        <v>5.4000000000014552</v>
      </c>
      <c r="H137" s="460">
        <f>G137+'13'!H137</f>
        <v>96.68999999999869</v>
      </c>
      <c r="I137" s="480">
        <f>G135+G136+G137</f>
        <v>12.860000000000582</v>
      </c>
      <c r="J137" s="552">
        <f>H137/DAY(B2)</f>
        <v>6.9064285714284779</v>
      </c>
      <c r="N137" s="718"/>
      <c r="O137" s="725"/>
      <c r="P137" s="382"/>
    </row>
    <row r="138" spans="1:16" ht="27.75">
      <c r="A138" s="1183" t="s">
        <v>245</v>
      </c>
      <c r="B138" s="1184"/>
      <c r="C138" s="1184"/>
      <c r="D138" s="523" t="s">
        <v>238</v>
      </c>
      <c r="E138" s="541">
        <f>'13'!F138</f>
        <v>25099.16</v>
      </c>
      <c r="F138" s="651">
        <v>25099.16</v>
      </c>
      <c r="G138" s="473">
        <f t="shared" si="16"/>
        <v>0</v>
      </c>
      <c r="H138" s="460">
        <f>G138+'13'!H138</f>
        <v>7.7700000000004366</v>
      </c>
      <c r="I138" s="480"/>
      <c r="J138" s="552">
        <f>H138/DAY(B2)</f>
        <v>0.55500000000003114</v>
      </c>
      <c r="N138" s="718"/>
      <c r="O138" s="725"/>
      <c r="P138" s="382"/>
    </row>
    <row r="139" spans="1:16" ht="27.75">
      <c r="A139" s="1183" t="s">
        <v>246</v>
      </c>
      <c r="B139" s="1184"/>
      <c r="C139" s="1184"/>
      <c r="D139" s="523" t="s">
        <v>238</v>
      </c>
      <c r="E139" s="541">
        <f>'13'!F139</f>
        <v>70514.289999999994</v>
      </c>
      <c r="F139" s="651">
        <v>70516.600000000006</v>
      </c>
      <c r="G139" s="473">
        <f t="shared" si="16"/>
        <v>2.3100000000122236</v>
      </c>
      <c r="H139" s="460">
        <f>G139+'13'!H139</f>
        <v>2.9800000000104774</v>
      </c>
      <c r="I139" s="480">
        <f>G138+G139</f>
        <v>2.3100000000122236</v>
      </c>
      <c r="J139" s="552">
        <f>H139/DAY(B2)</f>
        <v>0.21285714285789123</v>
      </c>
      <c r="N139" s="718"/>
      <c r="O139" s="725"/>
      <c r="P139" s="382"/>
    </row>
    <row r="140" spans="1:16" ht="27.75">
      <c r="A140" s="1183" t="s">
        <v>247</v>
      </c>
      <c r="B140" s="1184"/>
      <c r="C140" s="1184"/>
      <c r="D140" s="523" t="s">
        <v>238</v>
      </c>
      <c r="E140" s="701">
        <f>'13'!F140</f>
        <v>2247.77</v>
      </c>
      <c r="F140" s="626">
        <v>2247.77</v>
      </c>
      <c r="G140" s="473">
        <f t="shared" si="16"/>
        <v>0</v>
      </c>
      <c r="H140" s="460">
        <f>G140+'13'!H140</f>
        <v>118.59000000000015</v>
      </c>
      <c r="I140" s="542"/>
      <c r="J140" s="552">
        <f>H140/DAY(B2)</f>
        <v>8.4707142857142959</v>
      </c>
      <c r="N140" s="718"/>
      <c r="O140" s="725"/>
      <c r="P140" s="382"/>
    </row>
    <row r="141" spans="1:16" ht="27.75">
      <c r="A141" s="1183" t="s">
        <v>248</v>
      </c>
      <c r="B141" s="1184"/>
      <c r="C141" s="1184"/>
      <c r="D141" s="523" t="s">
        <v>238</v>
      </c>
      <c r="E141" s="484">
        <f>'13'!F141</f>
        <v>4648.96</v>
      </c>
      <c r="F141" s="478">
        <v>4657.72</v>
      </c>
      <c r="G141" s="473">
        <f t="shared" si="16"/>
        <v>8.7600000000002183</v>
      </c>
      <c r="H141" s="460">
        <f>G141+'13'!H141</f>
        <v>20.720000000000255</v>
      </c>
      <c r="I141" s="542"/>
      <c r="J141" s="552">
        <f>H141/DAY(B2)</f>
        <v>1.4800000000000182</v>
      </c>
      <c r="N141" s="718"/>
      <c r="O141" s="725"/>
      <c r="P141" s="382"/>
    </row>
    <row r="142" spans="1:16">
      <c r="A142" s="1562" t="s">
        <v>249</v>
      </c>
      <c r="B142" s="1563"/>
      <c r="C142" s="118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5518.7700000000768</v>
      </c>
      <c r="H143" s="460">
        <f>G143+'13'!H143</f>
        <v>78792.100000000079</v>
      </c>
      <c r="I143" s="480"/>
      <c r="J143" s="552">
        <f>H143/DAY(B2)</f>
        <v>5628.0071428571482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0.25027947300801262</v>
      </c>
      <c r="H144" s="460">
        <f>G144+'13'!H144</f>
        <v>3.6446336707228966</v>
      </c>
      <c r="I144" s="544"/>
      <c r="J144" s="552">
        <f>H144/DAY(B2)</f>
        <v>0.26033097648020692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6122.539999999979</v>
      </c>
      <c r="H145" s="460">
        <f>G145+'13'!H145</f>
        <v>92770.759999999951</v>
      </c>
      <c r="I145" s="480"/>
      <c r="J145" s="552">
        <f>H145/DAY(B2)</f>
        <v>6626.4828571428534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0.27766079845154823</v>
      </c>
      <c r="H146" s="460">
        <f>G146+'13'!H146</f>
        <v>4.2845448230017062</v>
      </c>
      <c r="I146" s="544"/>
      <c r="J146" s="552">
        <f>H146/DAY(B2)</f>
        <v>0.30603891592869331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3716.460000000021</v>
      </c>
      <c r="H147" s="460">
        <f>G147+'13'!H147</f>
        <v>51468.460000000021</v>
      </c>
      <c r="I147" s="545"/>
      <c r="J147" s="552">
        <f>H147/DAY(B2)</f>
        <v>3676.3185714285728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0.16854365198320473</v>
      </c>
      <c r="H148" s="460">
        <f>G148+'13'!H148</f>
        <v>2.3824631947871673</v>
      </c>
      <c r="I148" s="545"/>
      <c r="J148" s="552">
        <f>H148/DAY(B2)</f>
        <v>0.17017594248479767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1585.7900000000081</v>
      </c>
      <c r="H149" s="460">
        <f>G149+'13'!H149</f>
        <v>22517.859999999957</v>
      </c>
      <c r="I149" s="480"/>
      <c r="J149" s="552">
        <f>H149/DAY(B2)</f>
        <v>1608.4185714285684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7.1916511378689971E-2</v>
      </c>
      <c r="H150" s="460">
        <f>G150+'13'!H150</f>
        <v>1.0410236909344539</v>
      </c>
      <c r="I150" s="545"/>
      <c r="J150" s="552">
        <f>H150/DAY(B2)</f>
        <v>7.4358835066746704E-2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2731.9499999999498</v>
      </c>
      <c r="H151" s="460">
        <f>G151+'13'!H151</f>
        <v>27687.94999999995</v>
      </c>
      <c r="I151" s="545"/>
      <c r="J151" s="552">
        <f>H151/DAY(B2)</f>
        <v>1977.7107142857108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0.12389554308010987</v>
      </c>
      <c r="H152" s="460">
        <f>G152+'13'!H152</f>
        <v>1.277937527375131</v>
      </c>
      <c r="I152" s="480"/>
      <c r="J152" s="552">
        <f>H152/DAY(B2)</f>
        <v>9.1281251955366502E-2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1649.3500000000058</v>
      </c>
      <c r="H153" s="460">
        <f>G153+'13'!H153</f>
        <v>21737.22</v>
      </c>
      <c r="I153" s="480"/>
      <c r="J153" s="552">
        <f>H153/DAY(B2)</f>
        <v>1552.6585714285716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7.4798994849533729E-2</v>
      </c>
      <c r="H154" s="460">
        <f>G154+'13'!H154</f>
        <v>1.0059411465746391</v>
      </c>
      <c r="I154" s="568"/>
      <c r="J154" s="569">
        <f>H154/DAY(B2)</f>
        <v>7.1852939041045644E-2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'13'!F161</f>
        <v>41887</v>
      </c>
      <c r="F161" s="803">
        <v>41964.81</v>
      </c>
      <c r="G161" s="473">
        <f t="shared" ref="G161:G164" si="17">F161-E161</f>
        <v>77.809999999997672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'13'!F162</f>
        <v>113702</v>
      </c>
      <c r="F162" s="803">
        <v>114233.7</v>
      </c>
      <c r="G162" s="473">
        <f t="shared" si="17"/>
        <v>531.69999999999709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'13'!F163</f>
        <v>63893</v>
      </c>
      <c r="F163" s="803">
        <v>64099.199999999997</v>
      </c>
      <c r="G163" s="473">
        <f t="shared" si="17"/>
        <v>206.19999999999709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'13'!F164</f>
        <v>6978</v>
      </c>
      <c r="F164" s="803">
        <v>6989.21</v>
      </c>
      <c r="G164" s="473">
        <f t="shared" si="17"/>
        <v>11.210000000000036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5" si="18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14">
        <f t="shared" si="19"/>
        <v>175161</v>
      </c>
      <c r="F167" s="514">
        <f t="shared" si="20"/>
        <v>175521.13</v>
      </c>
      <c r="G167" s="473">
        <f t="shared" si="18"/>
        <v>360.13000000000466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14">
        <f t="shared" si="19"/>
        <v>175162</v>
      </c>
      <c r="F168" s="514">
        <f t="shared" si="20"/>
        <v>175559.63</v>
      </c>
      <c r="G168" s="473">
        <f t="shared" si="18"/>
        <v>397.63000000000466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14">
        <f t="shared" si="19"/>
        <v>73368</v>
      </c>
      <c r="F169" s="514">
        <f t="shared" si="20"/>
        <v>73756.42</v>
      </c>
      <c r="G169" s="473">
        <f t="shared" si="18"/>
        <v>388.41999999999825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14">
        <f t="shared" si="19"/>
        <v>271039</v>
      </c>
      <c r="F170" s="514">
        <f t="shared" si="20"/>
        <v>271550.77</v>
      </c>
      <c r="G170" s="473">
        <f t="shared" si="18"/>
        <v>511.77000000001863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9"/>
        <v>90847</v>
      </c>
      <c r="F172" s="514">
        <f t="shared" si="20"/>
        <v>91122.4</v>
      </c>
      <c r="G172" s="473">
        <f t="shared" si="18"/>
        <v>275.39999999999418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f>'13'!F175</f>
        <v>19062</v>
      </c>
      <c r="F173" s="532">
        <v>19067.400000000001</v>
      </c>
      <c r="G173" s="473">
        <f t="shared" si="18"/>
        <v>5.4000000000014552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532">
        <f>'13'!F176</f>
        <v>70418</v>
      </c>
      <c r="F174" s="532">
        <v>70423.7</v>
      </c>
      <c r="G174" s="473">
        <f t="shared" si="18"/>
        <v>5.6999999999970896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532">
        <f>'13'!F177</f>
        <v>27691</v>
      </c>
      <c r="F175" s="532">
        <v>27698</v>
      </c>
      <c r="G175" s="473">
        <f t="shared" si="18"/>
        <v>7</v>
      </c>
      <c r="N175" s="718"/>
    </row>
    <row r="176" spans="1:14" ht="22.5" customHeight="1">
      <c r="N176" s="718"/>
    </row>
    <row r="177" spans="14:14" ht="22.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80" zoomScaleSheetLayoutView="55" workbookViewId="0">
      <selection activeCell="A78" sqref="A78:XFD7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274</v>
      </c>
      <c r="B2" s="1031">
        <v>44392</v>
      </c>
      <c r="C2" s="1199" t="s">
        <v>68</v>
      </c>
      <c r="D2" s="611">
        <v>0.47020000000000001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9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9" t="s">
        <v>121</v>
      </c>
      <c r="D4" s="611">
        <v>0.93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'14'!F7</f>
        <v>224806.45</v>
      </c>
      <c r="F7" s="455">
        <v>247258.39</v>
      </c>
      <c r="G7" s="678">
        <f t="shared" ref="G7:G12" si="0">F7-E7</f>
        <v>22451.940000000002</v>
      </c>
      <c r="H7" s="679">
        <f>G7+'14'!H7</f>
        <v>325305.39000000007</v>
      </c>
      <c r="I7" s="680">
        <f>'1'!I7</f>
        <v>12000</v>
      </c>
      <c r="J7" s="681">
        <f>H7/DAY(B2)</f>
        <v>21687.026000000005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'14'!F8</f>
        <v>231082.51</v>
      </c>
      <c r="F8" s="475">
        <v>253628.81</v>
      </c>
      <c r="G8" s="689">
        <f t="shared" si="0"/>
        <v>22546.299999999988</v>
      </c>
      <c r="H8" s="679">
        <f>G8+'14'!H8</f>
        <v>326906.81</v>
      </c>
      <c r="I8" s="686">
        <f>'1'!I8</f>
        <v>12000</v>
      </c>
      <c r="J8" s="681">
        <f>H8/DAY(B2)</f>
        <v>21793.787333333334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'14'!F9</f>
        <v>2325986.1</v>
      </c>
      <c r="F9" s="478">
        <v>2347719.9</v>
      </c>
      <c r="G9" s="702">
        <f t="shared" si="0"/>
        <v>21733.799999999814</v>
      </c>
      <c r="H9" s="679">
        <f>G9+'14'!H9</f>
        <v>316717.89999999991</v>
      </c>
      <c r="I9" s="690">
        <f>I7-J7</f>
        <v>-9687.0260000000053</v>
      </c>
      <c r="J9" s="681">
        <f>H9/DAY(B2)</f>
        <v>21114.526666666661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21733.799999999814</v>
      </c>
      <c r="H13" s="679">
        <f>G13+'14'!H13</f>
        <v>296390.89999999991</v>
      </c>
      <c r="I13" s="695">
        <f>G7-G13</f>
        <v>718.14000000018859</v>
      </c>
      <c r="J13" s="681">
        <f>H13/DAY(B2)</f>
        <v>19759.393333333326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'14'!F15</f>
        <v>1715169.81</v>
      </c>
      <c r="F15" s="700">
        <v>1716117.6229999999</v>
      </c>
      <c r="G15" s="664">
        <f>(F15-E15)</f>
        <v>947.81299999984913</v>
      </c>
      <c r="H15" s="486">
        <f>G15+'14'!H15</f>
        <v>12434.622999999905</v>
      </c>
      <c r="I15" s="474">
        <v>800</v>
      </c>
      <c r="J15" s="553">
        <f>H15/DAY(B2)</f>
        <v>828.97486666666032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-28.974866666660319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'14'!F18</f>
        <v>14</v>
      </c>
      <c r="F18" s="478">
        <v>12</v>
      </c>
      <c r="G18" s="694">
        <f>F18*10</f>
        <v>120</v>
      </c>
      <c r="H18" s="679">
        <f>G18+'14'!H18</f>
        <v>2020</v>
      </c>
      <c r="I18" s="680">
        <f>'1'!I18</f>
        <v>65</v>
      </c>
      <c r="J18" s="681">
        <f>H18/DAY(B2)</f>
        <v>134.66666666666666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'14'!F19</f>
        <v>142353</v>
      </c>
      <c r="F19" s="478">
        <v>142417</v>
      </c>
      <c r="G19" s="689">
        <f t="shared" ref="G19" si="1">F19-E19</f>
        <v>64</v>
      </c>
      <c r="H19" s="679">
        <f>G19+'14'!H19</f>
        <v>922</v>
      </c>
      <c r="I19" s="696"/>
      <c r="J19" s="681">
        <f>H19/DAY(B2)</f>
        <v>61.466666666666669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184</v>
      </c>
      <c r="H20" s="679">
        <f>G20+'14'!H20</f>
        <v>2942</v>
      </c>
      <c r="I20" s="698">
        <f>I18-J20</f>
        <v>-131.13333333333333</v>
      </c>
      <c r="J20" s="681">
        <f>H20/DAY(B2)</f>
        <v>196.13333333333333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7" t="s">
        <v>146</v>
      </c>
      <c r="B22" s="589"/>
      <c r="C22" s="589"/>
      <c r="D22" s="523" t="s">
        <v>147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7" t="s">
        <v>148</v>
      </c>
      <c r="B23" s="589"/>
      <c r="C23" s="589"/>
      <c r="D23" s="523" t="s">
        <v>147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22546.299999999988</v>
      </c>
      <c r="F27" s="501">
        <v>9</v>
      </c>
      <c r="G27" s="502">
        <f>E27*F27</f>
        <v>202916.6999999999</v>
      </c>
      <c r="H27" s="460">
        <f>G27+'14'!H27</f>
        <v>2942161.29</v>
      </c>
      <c r="I27" s="503"/>
      <c r="J27" s="552">
        <f>H27/DAY(B2)</f>
        <v>196144.08600000001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947.81299999984913</v>
      </c>
      <c r="F28" s="501">
        <v>52</v>
      </c>
      <c r="G28" s="502">
        <f>E28*F28</f>
        <v>49286.275999992155</v>
      </c>
      <c r="H28" s="460">
        <f>G28+'14'!H28</f>
        <v>646600.39599999506</v>
      </c>
      <c r="I28" s="505"/>
      <c r="J28" s="552">
        <f>H28/DAY(B2)</f>
        <v>43106.693066666339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64</v>
      </c>
      <c r="F30" s="501">
        <v>146</v>
      </c>
      <c r="G30" s="502">
        <f>E30*F30</f>
        <v>9344</v>
      </c>
      <c r="H30" s="460">
        <f>G30+'14'!H30</f>
        <v>134028</v>
      </c>
      <c r="I30" s="505"/>
      <c r="J30" s="552">
        <f>H30/DAY(B2)</f>
        <v>8935.2000000000007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G31+'14'!H31</f>
        <v>156000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271146.97599999205</v>
      </c>
      <c r="H32" s="460">
        <f>G32+'14'!H32</f>
        <v>3878789.6859999946</v>
      </c>
      <c r="I32" s="460"/>
      <c r="J32" s="552">
        <f>H32/DAY(B2)</f>
        <v>258585.9790666663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2"/>
      <c r="C34" s="120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1058597.3</v>
      </c>
      <c r="F35" s="510">
        <v>1058597.3</v>
      </c>
      <c r="G35" s="473">
        <f t="shared" ref="G35:G46" si="3">F35-E35</f>
        <v>0</v>
      </c>
      <c r="H35" s="460">
        <f>G35+'14'!H35</f>
        <v>29883.300000000047</v>
      </c>
      <c r="I35" s="455"/>
      <c r="J35" s="552">
        <f>H35/DAY(B2)</f>
        <v>1992.2200000000032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31848.38</v>
      </c>
      <c r="F36" s="510">
        <v>32955.25</v>
      </c>
      <c r="G36" s="473">
        <f t="shared" si="3"/>
        <v>1106.869999999999</v>
      </c>
      <c r="H36" s="460">
        <f>G36+'14'!H36</f>
        <v>12494.25</v>
      </c>
      <c r="I36" s="455"/>
      <c r="J36" s="552">
        <f>H36/DAY(B2)</f>
        <v>832.95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198307.35</v>
      </c>
      <c r="F37" s="510">
        <v>199902.73</v>
      </c>
      <c r="G37" s="473">
        <f t="shared" si="3"/>
        <v>1595.3800000000047</v>
      </c>
      <c r="H37" s="460">
        <f>G37+'14'!H37</f>
        <v>23332.73000000001</v>
      </c>
      <c r="I37" s="455"/>
      <c r="J37" s="552">
        <f>H37/DAY(B2)</f>
        <v>1555.515333333334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220976.79</v>
      </c>
      <c r="F38" s="469">
        <v>222622.23</v>
      </c>
      <c r="G38" s="473">
        <f t="shared" si="3"/>
        <v>1645.4400000000023</v>
      </c>
      <c r="H38" s="460">
        <f>G38+'14'!H38</f>
        <v>24163.23000000001</v>
      </c>
      <c r="I38" s="455"/>
      <c r="J38" s="552">
        <f>H38/DAY(B2)</f>
        <v>1610.8820000000007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456332.87</v>
      </c>
      <c r="F39" s="510">
        <v>460066.27</v>
      </c>
      <c r="G39" s="473">
        <f t="shared" si="3"/>
        <v>3733.4000000000233</v>
      </c>
      <c r="H39" s="460">
        <f>G39+'14'!H39</f>
        <v>55202.270000000019</v>
      </c>
      <c r="I39" s="455"/>
      <c r="J39" s="552">
        <f>H39/DAY(B2)</f>
        <v>3680.1513333333346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12406.06</v>
      </c>
      <c r="F40" s="510">
        <v>12883.71</v>
      </c>
      <c r="G40" s="473">
        <f t="shared" si="3"/>
        <v>477.64999999999964</v>
      </c>
      <c r="H40" s="460">
        <f>G40+'14'!H40</f>
        <v>5770.7099999999991</v>
      </c>
      <c r="I40" s="455"/>
      <c r="J40" s="552">
        <f>H40/DAY(B2)</f>
        <v>384.71399999999994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364063.91</v>
      </c>
      <c r="F41" s="510">
        <v>365502.35</v>
      </c>
      <c r="G41" s="473">
        <f t="shared" si="3"/>
        <v>1438.4400000000023</v>
      </c>
      <c r="H41" s="460">
        <f>G41+'14'!H41</f>
        <v>35860.349999999977</v>
      </c>
      <c r="I41" s="455"/>
      <c r="J41" s="552">
        <f>H41/DAY(B2)</f>
        <v>2390.6899999999982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67406.11</v>
      </c>
      <c r="F42" s="510">
        <v>72340.44</v>
      </c>
      <c r="G42" s="473">
        <f t="shared" si="3"/>
        <v>4934.3300000000017</v>
      </c>
      <c r="H42" s="460">
        <f>G42+'14'!H42</f>
        <v>13141.550000000003</v>
      </c>
      <c r="I42" s="455"/>
      <c r="J42" s="552">
        <f>H42/DAY(B2)</f>
        <v>876.10333333333358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1157593.3</v>
      </c>
      <c r="F43" s="510">
        <v>1160367.6000000001</v>
      </c>
      <c r="G43" s="473">
        <f t="shared" si="3"/>
        <v>2774.3000000000466</v>
      </c>
      <c r="H43" s="460">
        <f>G43+'14'!H43</f>
        <v>39915.600000000093</v>
      </c>
      <c r="I43" s="455"/>
      <c r="J43" s="552">
        <f>H43/DAY(B2)</f>
        <v>2661.0400000000063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17705.810000000078</v>
      </c>
      <c r="H47" s="460">
        <f>G47+'14'!H47</f>
        <v>240565.48000000013</v>
      </c>
      <c r="I47" s="455"/>
      <c r="J47" s="552">
        <f>H47/DAY(B2)</f>
        <v>16037.698666666674</v>
      </c>
      <c r="K47" s="428"/>
      <c r="L47" s="377"/>
      <c r="N47" s="718"/>
      <c r="O47" s="725"/>
      <c r="P47" s="382"/>
    </row>
    <row r="48" spans="1:16">
      <c r="A48" s="598" t="s">
        <v>176</v>
      </c>
      <c r="B48" s="1202"/>
      <c r="C48" s="120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272499.17</v>
      </c>
      <c r="F49" s="510">
        <v>275446.69</v>
      </c>
      <c r="G49" s="473">
        <f t="shared" ref="G49:G58" si="4">F49-E49</f>
        <v>2947.5200000000186</v>
      </c>
      <c r="H49" s="460">
        <f>G49+'14'!H49</f>
        <v>14682.690000000002</v>
      </c>
      <c r="I49" s="455"/>
      <c r="J49" s="552">
        <f>H49/DAY(B2)</f>
        <v>978.84600000000012</v>
      </c>
      <c r="K49" s="428">
        <f>E49+242</f>
        <v>272741.17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550963.56999999995</v>
      </c>
      <c r="F50" s="510">
        <v>552413.27</v>
      </c>
      <c r="G50" s="473">
        <f t="shared" si="4"/>
        <v>1449.7000000000698</v>
      </c>
      <c r="H50" s="460">
        <f>G50+'14'!H50</f>
        <v>16657.270000000019</v>
      </c>
      <c r="I50" s="455"/>
      <c r="J50" s="552">
        <f>H50/DAY(B2)</f>
        <v>1110.4846666666679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434231.59</v>
      </c>
      <c r="F53" s="510">
        <v>434232</v>
      </c>
      <c r="G53" s="473">
        <f t="shared" si="4"/>
        <v>0.40999999997438863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14967</v>
      </c>
      <c r="F54" s="510">
        <v>14967</v>
      </c>
      <c r="G54" s="473">
        <f t="shared" si="4"/>
        <v>0</v>
      </c>
      <c r="H54" s="460">
        <f>G54+'14'!H54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167631.28</v>
      </c>
      <c r="F55" s="653">
        <v>167631.28</v>
      </c>
      <c r="G55" s="652">
        <f t="shared" si="4"/>
        <v>0</v>
      </c>
      <c r="H55" s="705">
        <f>G55+'14'!H55</f>
        <v>44421.279999999999</v>
      </c>
      <c r="I55" s="706"/>
      <c r="J55" s="707">
        <f>H55/DAY(B2)</f>
        <v>2961.4186666666665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649178.35</v>
      </c>
      <c r="F56" s="653">
        <v>649189.75</v>
      </c>
      <c r="G56" s="473">
        <f t="shared" si="4"/>
        <v>11.400000000023283</v>
      </c>
      <c r="H56" s="460">
        <f>G56+'14'!H56</f>
        <v>147.75</v>
      </c>
      <c r="I56" s="455"/>
      <c r="J56" s="552">
        <f>H56/DAY(B2)</f>
        <v>9.85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56413.38</v>
      </c>
      <c r="F58" s="653">
        <v>56608.81</v>
      </c>
      <c r="G58" s="473">
        <f t="shared" si="4"/>
        <v>195.43000000000029</v>
      </c>
      <c r="H58" s="460">
        <f>G58+'14'!H58</f>
        <v>2428.8099999999977</v>
      </c>
      <c r="I58" s="455"/>
      <c r="J58" s="552">
        <f>H58/DAY(B2)</f>
        <v>161.92066666666651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4604.3900000001377</v>
      </c>
      <c r="H59" s="460">
        <f>G59+'14'!H59</f>
        <v>78337.669999999984</v>
      </c>
      <c r="I59" s="455">
        <f>G7-G60</f>
        <v>141.73999999978696</v>
      </c>
      <c r="J59" s="552">
        <f>H59/DAY(B2)</f>
        <v>5222.511333333332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22310.200000000215</v>
      </c>
      <c r="H60" s="460">
        <f>G60+'14'!H60</f>
        <v>325806.48000000021</v>
      </c>
      <c r="I60" s="455">
        <f>G13-G60</f>
        <v>-576.40000000040163</v>
      </c>
      <c r="J60" s="552">
        <f>H60/DAY(B2)</f>
        <v>21720.432000000015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'14'!F64</f>
        <v>175521.13</v>
      </c>
      <c r="F64" s="478">
        <v>175929.51</v>
      </c>
      <c r="G64" s="473">
        <f t="shared" si="5"/>
        <v>408.38000000000466</v>
      </c>
      <c r="H64" s="460">
        <f>G64+'14'!H64</f>
        <v>5907.5100000000093</v>
      </c>
      <c r="I64" s="480"/>
      <c r="J64" s="552">
        <f>H64/DAY(B2)</f>
        <v>393.83400000000063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'14'!F65</f>
        <v>175559.63</v>
      </c>
      <c r="F65" s="651">
        <v>175940.77</v>
      </c>
      <c r="G65" s="473">
        <f t="shared" si="5"/>
        <v>381.13999999998487</v>
      </c>
      <c r="H65" s="460">
        <f>G65+'14'!H65</f>
        <v>5638.7699999999895</v>
      </c>
      <c r="I65" s="489"/>
      <c r="J65" s="552">
        <f>H65/DAY(B2)</f>
        <v>375.91799999999932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'14'!F66</f>
        <v>73756.42</v>
      </c>
      <c r="F66" s="478">
        <v>74144.679999999993</v>
      </c>
      <c r="G66" s="473">
        <f t="shared" si="5"/>
        <v>388.25999999999476</v>
      </c>
      <c r="H66" s="460">
        <f>G66+'14'!H66</f>
        <v>6174.679999999993</v>
      </c>
      <c r="I66" s="480"/>
      <c r="J66" s="552">
        <f>H66/DAY(B2)</f>
        <v>411.64533333333287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'14'!F67</f>
        <v>271550.77</v>
      </c>
      <c r="F67" s="478">
        <v>272023.17</v>
      </c>
      <c r="G67" s="473">
        <f t="shared" si="5"/>
        <v>472.39999999996508</v>
      </c>
      <c r="H67" s="460">
        <f>G67+'14'!H67</f>
        <v>7064.1699999999837</v>
      </c>
      <c r="I67" s="489"/>
      <c r="J67" s="552">
        <f>H67/DAY(B2)</f>
        <v>470.94466666666557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'14'!F69</f>
        <v>91122.4</v>
      </c>
      <c r="F69" s="478">
        <v>91422.25</v>
      </c>
      <c r="G69" s="473">
        <f t="shared" si="5"/>
        <v>299.85000000000582</v>
      </c>
      <c r="H69" s="460">
        <f>G69+'14'!H69</f>
        <v>3907.25</v>
      </c>
      <c r="I69" s="516"/>
      <c r="J69" s="552">
        <f>H69/DAY(B2)</f>
        <v>260.48333333333335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'14'!F72</f>
        <v>856391</v>
      </c>
      <c r="F72" s="654">
        <v>856404</v>
      </c>
      <c r="G72" s="473">
        <f t="shared" ref="G72:G84" si="6">F72-E72</f>
        <v>13</v>
      </c>
      <c r="H72" s="460">
        <f>G72+'14'!H72</f>
        <v>169</v>
      </c>
      <c r="I72" s="480"/>
      <c r="J72" s="552">
        <f>H72/DAY(B2)</f>
        <v>11.266666666666667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'14'!F73</f>
        <v>885990</v>
      </c>
      <c r="F73" s="655">
        <v>885992</v>
      </c>
      <c r="G73" s="652">
        <f t="shared" si="6"/>
        <v>2</v>
      </c>
      <c r="H73" s="460">
        <f>G73+'14'!H73</f>
        <v>158</v>
      </c>
      <c r="I73" s="480"/>
      <c r="J73" s="552">
        <f>H73/DAY(B2)</f>
        <v>10.533333333333333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18</v>
      </c>
      <c r="I74" s="480"/>
      <c r="J74" s="552">
        <f>H74/DAY(B2)</f>
        <v>1.2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'14'!F75</f>
        <v>18188.93</v>
      </c>
      <c r="F75" s="655">
        <v>18343.7</v>
      </c>
      <c r="G75" s="473">
        <f t="shared" si="6"/>
        <v>154.77000000000044</v>
      </c>
      <c r="H75" s="460">
        <f>G75+'14'!H75</f>
        <v>2272.7000000000007</v>
      </c>
      <c r="I75" s="480"/>
      <c r="J75" s="552">
        <f>H75/DAY(B2)</f>
        <v>151.51333333333338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'14'!F76</f>
        <v>10250.98</v>
      </c>
      <c r="F76" s="655">
        <v>10318.15</v>
      </c>
      <c r="G76" s="473">
        <f t="shared" si="6"/>
        <v>67.170000000000073</v>
      </c>
      <c r="H76" s="460">
        <f>G76+'14'!H76</f>
        <v>2099.1499999999996</v>
      </c>
      <c r="I76" s="505"/>
      <c r="J76" s="552">
        <f>H76/DAY(B2)</f>
        <v>139.9433333333333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'14'!F77</f>
        <v>705216</v>
      </c>
      <c r="F77" s="655">
        <v>705280</v>
      </c>
      <c r="G77" s="652">
        <f t="shared" si="6"/>
        <v>64</v>
      </c>
      <c r="H77" s="460">
        <f>G77+'14'!H77</f>
        <v>906</v>
      </c>
      <c r="I77" s="505"/>
      <c r="J77" s="552">
        <f>H77/DAY(B2)</f>
        <v>60.4</v>
      </c>
      <c r="K77" s="430"/>
      <c r="L77" s="377"/>
      <c r="N77" s="718"/>
      <c r="O77" s="725"/>
      <c r="P77" s="382"/>
    </row>
    <row r="78" spans="1:16" ht="27.75">
      <c r="A78" s="1200" t="s">
        <v>196</v>
      </c>
      <c r="B78" s="1193"/>
      <c r="C78" s="1193"/>
      <c r="D78" s="523" t="s">
        <v>186</v>
      </c>
      <c r="E78" s="519">
        <f>'14'!F78</f>
        <v>676794</v>
      </c>
      <c r="F78" s="656">
        <v>676894</v>
      </c>
      <c r="G78" s="473">
        <f t="shared" si="6"/>
        <v>100</v>
      </c>
      <c r="H78" s="460">
        <f>G78+'14'!H78</f>
        <v>1480</v>
      </c>
      <c r="I78" s="505"/>
      <c r="J78" s="552">
        <f>H78/DAY(B2)</f>
        <v>98.666666666666671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'14'!F79</f>
        <v>837571</v>
      </c>
      <c r="F79" s="656">
        <v>837747</v>
      </c>
      <c r="G79" s="473">
        <f t="shared" si="6"/>
        <v>176</v>
      </c>
      <c r="H79" s="460">
        <f>G79+'14'!H79</f>
        <v>1593</v>
      </c>
      <c r="I79" s="505"/>
      <c r="J79" s="552">
        <f>H79/DAY(B2)</f>
        <v>106.2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'14'!F80</f>
        <v>544859.80000000005</v>
      </c>
      <c r="F80" s="655">
        <v>545325.48</v>
      </c>
      <c r="G80" s="473">
        <f t="shared" si="6"/>
        <v>465.67999999993481</v>
      </c>
      <c r="H80" s="460">
        <f>G80+'14'!H80</f>
        <v>2934.4799999999814</v>
      </c>
      <c r="I80" s="505"/>
      <c r="J80" s="552">
        <f>H80/DAY(B2)</f>
        <v>195.63199999999875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'14'!F81</f>
        <v>645639.04</v>
      </c>
      <c r="F81" s="655">
        <v>645815.61</v>
      </c>
      <c r="G81" s="473">
        <f t="shared" si="6"/>
        <v>176.56999999994878</v>
      </c>
      <c r="H81" s="460">
        <f>G81+'14'!H81</f>
        <v>2830.609999999986</v>
      </c>
      <c r="I81" s="505"/>
      <c r="J81" s="552">
        <f>H81/DAY(B2)</f>
        <v>188.7073333333324</v>
      </c>
      <c r="K81" s="430"/>
      <c r="L81" s="377"/>
      <c r="N81" s="718"/>
      <c r="O81" s="725"/>
      <c r="P81" s="382"/>
    </row>
    <row r="82" spans="1:16" s="775" customFormat="1" ht="27.75">
      <c r="A82" s="1613" t="s">
        <v>92</v>
      </c>
      <c r="B82" s="1614"/>
      <c r="C82" s="1615"/>
      <c r="D82" s="485" t="s">
        <v>131</v>
      </c>
      <c r="E82" s="519">
        <f>'14'!F82</f>
        <v>108969.5</v>
      </c>
      <c r="F82" s="485">
        <v>108998.19</v>
      </c>
      <c r="G82" s="473">
        <f t="shared" si="6"/>
        <v>28.690000000002328</v>
      </c>
      <c r="H82" s="486">
        <f>G82+'14'!H82</f>
        <v>317.19000000000233</v>
      </c>
      <c r="I82" s="486"/>
      <c r="J82" s="553">
        <f>H82/DAY(B2)</f>
        <v>21.146000000000154</v>
      </c>
      <c r="K82" s="1215"/>
      <c r="L82" s="1216"/>
      <c r="N82" s="722"/>
      <c r="O82" s="726"/>
      <c r="P82" s="721"/>
    </row>
    <row r="83" spans="1:16" s="775" customFormat="1" ht="27.75">
      <c r="A83" s="1616" t="s">
        <v>199</v>
      </c>
      <c r="B83" s="1617"/>
      <c r="C83" s="1618"/>
      <c r="D83" s="1310" t="s">
        <v>131</v>
      </c>
      <c r="E83" s="782">
        <f>'14'!F83</f>
        <v>30921</v>
      </c>
      <c r="F83" s="1310">
        <v>31137</v>
      </c>
      <c r="G83" s="773">
        <f t="shared" si="6"/>
        <v>216</v>
      </c>
      <c r="H83" s="479">
        <f>G83+'14'!H83</f>
        <v>3586</v>
      </c>
      <c r="I83" s="773"/>
      <c r="J83" s="774">
        <f>H83/DAY(B2)</f>
        <v>239.06666666666666</v>
      </c>
      <c r="K83" s="1311"/>
      <c r="L83" s="1216"/>
      <c r="N83" s="722"/>
      <c r="O83" s="726"/>
      <c r="P83" s="721"/>
    </row>
    <row r="84" spans="1:16">
      <c r="A84" s="1201" t="s">
        <v>200</v>
      </c>
      <c r="B84" s="571"/>
      <c r="C84" s="571"/>
      <c r="D84" s="478" t="s">
        <v>131</v>
      </c>
      <c r="E84" s="519">
        <f>'14'!F84</f>
        <v>534382</v>
      </c>
      <c r="F84" s="627">
        <v>535125</v>
      </c>
      <c r="G84" s="473">
        <f t="shared" si="6"/>
        <v>743</v>
      </c>
      <c r="H84" s="460">
        <f>G84+'14'!H84</f>
        <v>12045</v>
      </c>
      <c r="I84" s="481"/>
      <c r="J84" s="552">
        <f>H84/DAY(B2)</f>
        <v>803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2207.8799999998864</v>
      </c>
      <c r="H85" s="460">
        <f>G85+'14'!H85</f>
        <v>33283.129999999968</v>
      </c>
      <c r="I85" s="481"/>
      <c r="J85" s="552">
        <f>H85/DAY(B2)</f>
        <v>2218.8753333333311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'14'!F86</f>
        <v>462192.76</v>
      </c>
      <c r="F86" s="647">
        <v>462201.64</v>
      </c>
      <c r="G86" s="705">
        <f t="shared" ref="G86:G91" si="7">F86-E86</f>
        <v>8.8800000000046566</v>
      </c>
      <c r="H86" s="705">
        <f t="shared" ref="H86:H88" si="8">G86</f>
        <v>8.8800000000046566</v>
      </c>
      <c r="I86" s="652"/>
      <c r="J86" s="707">
        <f>H86/DAY(B2)</f>
        <v>0.59200000000031039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'14'!F87</f>
        <v>82461.8</v>
      </c>
      <c r="F87" s="647">
        <v>82498</v>
      </c>
      <c r="G87" s="705">
        <f t="shared" si="7"/>
        <v>36.19999999999709</v>
      </c>
      <c r="H87" s="705">
        <f t="shared" si="8"/>
        <v>36.19999999999709</v>
      </c>
      <c r="I87" s="652"/>
      <c r="J87" s="707">
        <f>H87/DAY(B2)</f>
        <v>2.4133333333331395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'14'!F88</f>
        <v>156926.53</v>
      </c>
      <c r="F88" s="1462">
        <v>156997.01</v>
      </c>
      <c r="G88" s="705">
        <f t="shared" si="7"/>
        <v>70.480000000010477</v>
      </c>
      <c r="H88" s="705">
        <f t="shared" si="8"/>
        <v>70.480000000010477</v>
      </c>
      <c r="I88" s="652"/>
      <c r="J88" s="707">
        <f>H88/DAY(B2)</f>
        <v>4.6986666666673651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'14'!F89</f>
        <v>66438.8</v>
      </c>
      <c r="F89" s="647">
        <v>66482.100000000006</v>
      </c>
      <c r="G89" s="705">
        <f t="shared" si="7"/>
        <v>43.30000000000291</v>
      </c>
      <c r="H89" s="705">
        <f>G89</f>
        <v>43.30000000000291</v>
      </c>
      <c r="I89" s="652"/>
      <c r="J89" s="707">
        <f>H89/DAY(B2)</f>
        <v>2.8866666666668608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'14'!F90</f>
        <v>3391.2</v>
      </c>
      <c r="F90" s="647">
        <v>3398.3</v>
      </c>
      <c r="G90" s="705">
        <f t="shared" si="7"/>
        <v>7.1000000000003638</v>
      </c>
      <c r="H90" s="705">
        <f>G90</f>
        <v>7.1000000000003638</v>
      </c>
      <c r="I90" s="652"/>
      <c r="J90" s="707">
        <f>H90/DAY(B2)</f>
        <v>0.47333333333335759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'14'!F91</f>
        <v>28362.57</v>
      </c>
      <c r="F91" s="647">
        <v>28375.08</v>
      </c>
      <c r="G91" s="705">
        <f t="shared" si="7"/>
        <v>12.510000000002037</v>
      </c>
      <c r="H91" s="705">
        <f>G91</f>
        <v>12.510000000002037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3"/>
      <c r="C92" s="120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'14'!F93</f>
        <v>248765</v>
      </c>
      <c r="F93" s="478">
        <v>248840</v>
      </c>
      <c r="G93" s="473">
        <f t="shared" ref="G93:G94" si="9">F93-E93</f>
        <v>75</v>
      </c>
      <c r="H93" s="460">
        <f>G93+'14'!H93</f>
        <v>1488</v>
      </c>
      <c r="I93" s="480"/>
      <c r="J93" s="552">
        <f>H93/DAY(B2)</f>
        <v>99.2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'14'!F94</f>
        <v>191047</v>
      </c>
      <c r="F94" s="478">
        <v>191194</v>
      </c>
      <c r="G94" s="473">
        <f t="shared" si="9"/>
        <v>147</v>
      </c>
      <c r="H94" s="460">
        <f>G94+'14'!H94</f>
        <v>1740</v>
      </c>
      <c r="I94" s="480"/>
      <c r="J94" s="552">
        <f>H94/DAY(B2)</f>
        <v>116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/>
      <c r="F95" s="478"/>
      <c r="G95" s="473">
        <f>G93+G94</f>
        <v>222</v>
      </c>
      <c r="H95" s="460">
        <f>G95+'14'!H95</f>
        <v>3042</v>
      </c>
      <c r="I95" s="480"/>
      <c r="J95" s="552">
        <f>H95/DAY(B2)</f>
        <v>202.8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'14'!F96</f>
        <v>417281</v>
      </c>
      <c r="F96" s="478">
        <v>417359</v>
      </c>
      <c r="G96" s="473">
        <f t="shared" ref="G96:G101" si="10">F96-E96</f>
        <v>78</v>
      </c>
      <c r="H96" s="460">
        <f>G96+'14'!H96</f>
        <v>1360</v>
      </c>
      <c r="I96" s="480"/>
      <c r="J96" s="552">
        <f>H96/DAY(B2)</f>
        <v>90.666666666666671</v>
      </c>
      <c r="K96" s="380"/>
      <c r="L96" s="377"/>
      <c r="N96" s="718"/>
      <c r="O96" s="725"/>
      <c r="P96" s="382"/>
    </row>
    <row r="97" spans="1:16" ht="27.75">
      <c r="A97" s="1197" t="s">
        <v>209</v>
      </c>
      <c r="B97" s="1198"/>
      <c r="C97" s="1198"/>
      <c r="D97" s="523" t="s">
        <v>143</v>
      </c>
      <c r="E97" s="484">
        <f>'14'!F97</f>
        <v>103464</v>
      </c>
      <c r="F97" s="478">
        <v>103485</v>
      </c>
      <c r="G97" s="473">
        <f t="shared" si="10"/>
        <v>21</v>
      </c>
      <c r="H97" s="460">
        <f>G97+'14'!H97</f>
        <v>322</v>
      </c>
      <c r="I97" s="480"/>
      <c r="J97" s="552">
        <f>H97/DAY(B2)</f>
        <v>21.466666666666665</v>
      </c>
      <c r="K97" s="427"/>
      <c r="L97" s="377"/>
      <c r="N97" s="718"/>
      <c r="O97" s="725"/>
      <c r="P97" s="382"/>
    </row>
    <row r="98" spans="1:16" ht="27.75">
      <c r="A98" s="1197" t="s">
        <v>210</v>
      </c>
      <c r="B98" s="1198"/>
      <c r="C98" s="1198"/>
      <c r="D98" s="523" t="s">
        <v>143</v>
      </c>
      <c r="E98" s="484">
        <f>'14'!F98</f>
        <v>99009</v>
      </c>
      <c r="F98" s="478">
        <v>99035</v>
      </c>
      <c r="G98" s="473">
        <f t="shared" si="10"/>
        <v>26</v>
      </c>
      <c r="H98" s="460">
        <f>G98+'14'!H98</f>
        <v>378</v>
      </c>
      <c r="I98" s="480"/>
      <c r="J98" s="552">
        <f>H98/DAY(B2)</f>
        <v>25.2</v>
      </c>
      <c r="K98" s="432"/>
      <c r="L98" s="377"/>
      <c r="N98" s="718"/>
      <c r="O98" s="725"/>
      <c r="P98" s="382"/>
    </row>
    <row r="99" spans="1:16" ht="27.75">
      <c r="A99" s="1197" t="s">
        <v>211</v>
      </c>
      <c r="B99" s="1198"/>
      <c r="C99" s="1198"/>
      <c r="D99" s="523" t="s">
        <v>143</v>
      </c>
      <c r="E99" s="484">
        <f>'14'!F99</f>
        <v>150836</v>
      </c>
      <c r="F99" s="478">
        <v>150872</v>
      </c>
      <c r="G99" s="473">
        <f t="shared" si="10"/>
        <v>36</v>
      </c>
      <c r="H99" s="460">
        <f>G99+'14'!H99</f>
        <v>467</v>
      </c>
      <c r="I99" s="480"/>
      <c r="J99" s="552">
        <f>H99/DAY(B2)</f>
        <v>31.133333333333333</v>
      </c>
      <c r="K99" s="380"/>
      <c r="L99" s="377"/>
      <c r="N99" s="720"/>
      <c r="O99" s="725"/>
      <c r="P99" s="382"/>
    </row>
    <row r="100" spans="1:16" ht="27.75">
      <c r="A100" s="1197" t="s">
        <v>212</v>
      </c>
      <c r="B100" s="1198"/>
      <c r="C100" s="1198"/>
      <c r="D100" s="523" t="s">
        <v>143</v>
      </c>
      <c r="E100" s="484">
        <f>'14'!F100</f>
        <v>7946</v>
      </c>
      <c r="F100" s="478">
        <v>7957</v>
      </c>
      <c r="G100" s="473">
        <f t="shared" si="10"/>
        <v>11</v>
      </c>
      <c r="H100" s="460">
        <f>G100+'14'!H100</f>
        <v>160</v>
      </c>
      <c r="I100" s="480"/>
      <c r="J100" s="552">
        <f>H100/DAY(B2)</f>
        <v>10.666666666666666</v>
      </c>
      <c r="K100" s="380"/>
      <c r="L100" s="377"/>
      <c r="N100" s="718"/>
      <c r="O100" s="725"/>
      <c r="P100" s="382"/>
    </row>
    <row r="101" spans="1:16" ht="27.75">
      <c r="A101" s="1197" t="s">
        <v>213</v>
      </c>
      <c r="B101" s="1198"/>
      <c r="C101" s="1198"/>
      <c r="D101" s="523" t="s">
        <v>143</v>
      </c>
      <c r="E101" s="484">
        <f>'14'!F101</f>
        <v>5823</v>
      </c>
      <c r="F101" s="478">
        <v>5833</v>
      </c>
      <c r="G101" s="473">
        <f t="shared" si="10"/>
        <v>10</v>
      </c>
      <c r="H101" s="460">
        <f>G101+'14'!H101</f>
        <v>159</v>
      </c>
      <c r="I101" s="480"/>
      <c r="J101" s="552">
        <f>H101/DAY(B2)</f>
        <v>10.6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182</v>
      </c>
      <c r="H102" s="460">
        <f>G102+'14'!H102</f>
        <v>2846</v>
      </c>
      <c r="I102" s="526"/>
      <c r="J102" s="552">
        <f>H102/DAY(B2)</f>
        <v>189.73333333333332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96"/>
      <c r="D105" s="622" t="s">
        <v>143</v>
      </c>
      <c r="E105" s="484">
        <f>'14'!F105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96"/>
      <c r="D106" s="622" t="s">
        <v>143</v>
      </c>
      <c r="E106" s="484">
        <f>'14'!F106</f>
        <v>36302</v>
      </c>
      <c r="F106" s="659">
        <v>36310</v>
      </c>
      <c r="G106" s="532">
        <f t="shared" ref="G106:G107" si="11">F106-E106</f>
        <v>8</v>
      </c>
      <c r="H106" s="533">
        <f>SUM(G106+'1'!G77)</f>
        <v>61</v>
      </c>
      <c r="I106" s="532"/>
      <c r="J106" s="558">
        <f>H106/DAY(B2)</f>
        <v>4.0666666666666664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'14'!F107</f>
        <v>19883</v>
      </c>
      <c r="F107" s="659">
        <v>19887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7.8666666666666663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96"/>
      <c r="D108" s="622"/>
      <c r="E108" s="484">
        <f>'14'!F108</f>
        <v>0</v>
      </c>
      <c r="F108" s="659"/>
      <c r="G108" s="532">
        <f>SUM(G105:G107)</f>
        <v>12</v>
      </c>
      <c r="H108" s="533">
        <f>SUM(G108+'1'!G79)</f>
        <v>165</v>
      </c>
      <c r="I108" s="532"/>
      <c r="J108" s="558">
        <f>H108/DAY(B2)</f>
        <v>11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96"/>
      <c r="D109" s="622" t="s">
        <v>143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96"/>
      <c r="D110" s="622" t="s">
        <v>143</v>
      </c>
      <c r="E110" s="484">
        <f>'14'!F110</f>
        <v>65908</v>
      </c>
      <c r="F110" s="659">
        <v>65973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13.109333333334265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96"/>
      <c r="D111" s="622" t="s">
        <v>143</v>
      </c>
      <c r="E111" s="484">
        <f>'14'!F111</f>
        <v>33568</v>
      </c>
      <c r="F111" s="659">
        <v>33575</v>
      </c>
      <c r="G111" s="532">
        <f t="shared" ref="G111:G112" si="12">F111-E111</f>
        <v>7</v>
      </c>
      <c r="H111" s="533">
        <f>SUM(G111+'1'!G82)</f>
        <v>31.899999999994179</v>
      </c>
      <c r="I111" s="532"/>
      <c r="J111" s="558">
        <f>H111/DAY(B2)</f>
        <v>2.1266666666662788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96"/>
      <c r="D112" s="622" t="s">
        <v>143</v>
      </c>
      <c r="E112" s="484">
        <f>'14'!F112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96"/>
      <c r="D113" s="622"/>
      <c r="E113" s="484">
        <f>'14'!F113</f>
        <v>0</v>
      </c>
      <c r="F113" s="659"/>
      <c r="G113" s="532">
        <f>SUM(G110:G112)</f>
        <v>72</v>
      </c>
      <c r="H113" s="533">
        <f>SUM(G113+'1'!G84)</f>
        <v>888</v>
      </c>
      <c r="I113" s="532"/>
      <c r="J113" s="558">
        <f>H113/DAY(B2)</f>
        <v>59.2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96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'14'!F115</f>
        <v>12200</v>
      </c>
      <c r="F115" s="659">
        <v>12214</v>
      </c>
      <c r="G115" s="534">
        <f>F115-E115</f>
        <v>14</v>
      </c>
      <c r="H115" s="533">
        <f>SUM(G115+'1'!G92)</f>
        <v>14</v>
      </c>
      <c r="I115" s="532"/>
      <c r="J115" s="558">
        <f>H115/DAY(B2)</f>
        <v>0.93333333333333335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'14'!F116</f>
        <v>8679</v>
      </c>
      <c r="F116" s="659">
        <v>8687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6.4666666666666668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22</v>
      </c>
      <c r="H118" s="533">
        <f>SUM(G118+'1'!G96)</f>
        <v>108</v>
      </c>
      <c r="I118" s="534"/>
      <c r="J118" s="558">
        <f>H118/DAY(B2)</f>
        <v>7.2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4"/>
      <c r="D119" s="624" t="s">
        <v>143</v>
      </c>
      <c r="E119" s="536"/>
      <c r="F119" s="660">
        <f>SUM(G19+G93)</f>
        <v>139</v>
      </c>
      <c r="G119" s="536">
        <f>SUM(G19+G93)</f>
        <v>139</v>
      </c>
      <c r="H119" s="533">
        <f>SUM(G119+'1'!G97)</f>
        <v>156</v>
      </c>
      <c r="I119" s="535"/>
      <c r="J119" s="559">
        <f>H119/DAY(B2)</f>
        <v>10.4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4"/>
      <c r="D120" s="624" t="s">
        <v>143</v>
      </c>
      <c r="E120" s="536"/>
      <c r="F120" s="660">
        <f>SUM(G96,G97,G98,G100,G101)</f>
        <v>146</v>
      </c>
      <c r="G120" s="536">
        <f>SUM(G96,G97,G98,G100,G101)</f>
        <v>146</v>
      </c>
      <c r="H120" s="533">
        <f>SUM(G120+'1'!G99)</f>
        <v>196</v>
      </c>
      <c r="I120" s="535"/>
      <c r="J120" s="559">
        <f>H120/DAY(B2)</f>
        <v>13.066666666666666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4"/>
      <c r="D121" s="624" t="s">
        <v>143</v>
      </c>
      <c r="E121" s="534"/>
      <c r="F121" s="659">
        <f>SUM(G113)</f>
        <v>72</v>
      </c>
      <c r="G121" s="534">
        <f>SUM(G113)</f>
        <v>72</v>
      </c>
      <c r="H121" s="533">
        <f>SUM(G121+'1'!G101)</f>
        <v>77</v>
      </c>
      <c r="I121" s="535"/>
      <c r="J121" s="559">
        <f>H121/DAY(B2)</f>
        <v>5.1333333333333337</v>
      </c>
      <c r="N121" s="718"/>
      <c r="O121" s="725"/>
      <c r="P121" s="382"/>
    </row>
    <row r="122" spans="1:16" s="442" customFormat="1" ht="27.75">
      <c r="A122" s="1549"/>
      <c r="B122" s="1550"/>
      <c r="C122" s="1195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7" t="s">
        <v>230</v>
      </c>
      <c r="B124" s="1198"/>
      <c r="C124" s="1198"/>
      <c r="D124" s="523" t="s">
        <v>140</v>
      </c>
      <c r="E124" s="478">
        <f>'14'!F124</f>
        <v>843475.74</v>
      </c>
      <c r="F124" s="478">
        <v>843729.17</v>
      </c>
      <c r="G124" s="473">
        <f>F124-E124</f>
        <v>253.43000000005122</v>
      </c>
      <c r="H124" s="460">
        <f>G124+'14'!H124</f>
        <v>4059.1700000000419</v>
      </c>
      <c r="I124" s="526"/>
      <c r="J124" s="552">
        <f>H124/DAY(B2)</f>
        <v>270.61133333333612</v>
      </c>
      <c r="K124" s="380"/>
      <c r="L124" s="377"/>
      <c r="N124" s="718"/>
      <c r="O124" s="725"/>
      <c r="P124" s="382"/>
    </row>
    <row r="125" spans="1:16" ht="27.75">
      <c r="A125" s="1197" t="s">
        <v>231</v>
      </c>
      <c r="B125" s="1198"/>
      <c r="C125" s="1198"/>
      <c r="D125" s="523" t="s">
        <v>140</v>
      </c>
      <c r="E125" s="626">
        <f>'14'!F125</f>
        <v>73583.399999999994</v>
      </c>
      <c r="F125" s="626">
        <v>73583.399999999994</v>
      </c>
      <c r="G125" s="473">
        <f t="shared" ref="G125:G128" si="14">F125-E125</f>
        <v>0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'14'!F126</f>
        <v>149850.19</v>
      </c>
      <c r="F126" s="478">
        <v>149972.35</v>
      </c>
      <c r="G126" s="473">
        <f t="shared" si="14"/>
        <v>122.16000000000349</v>
      </c>
      <c r="H126" s="460">
        <f>G126+'14'!H126</f>
        <v>1375.3500000000058</v>
      </c>
      <c r="I126" s="526"/>
      <c r="J126" s="552">
        <f>H126/DAY(B2)</f>
        <v>91.690000000000381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98"/>
      <c r="C127" s="1198"/>
      <c r="D127" s="523" t="s">
        <v>140</v>
      </c>
      <c r="E127" s="626">
        <f>'14'!F127</f>
        <v>32605.3</v>
      </c>
      <c r="F127" s="626">
        <v>32643.200000000001</v>
      </c>
      <c r="G127" s="473">
        <f t="shared" si="14"/>
        <v>37.900000000001455</v>
      </c>
      <c r="H127" s="460">
        <f>G127+'14'!H127</f>
        <v>572.20000000000073</v>
      </c>
      <c r="I127" s="526"/>
      <c r="J127" s="552">
        <f>H127/DAY(B2)</f>
        <v>38.146666666666718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98"/>
      <c r="C128" s="1198"/>
      <c r="D128" s="523" t="s">
        <v>140</v>
      </c>
      <c r="E128" s="626">
        <f>'14'!F128</f>
        <v>9060.7000000000007</v>
      </c>
      <c r="F128" s="626">
        <v>9066.4</v>
      </c>
      <c r="G128" s="473">
        <f t="shared" si="14"/>
        <v>5.6999999999989086</v>
      </c>
      <c r="H128" s="460">
        <f>G128+'14'!H128</f>
        <v>54.399999999999636</v>
      </c>
      <c r="I128" s="480"/>
      <c r="J128" s="552">
        <f>H128/DAY(B2)</f>
        <v>3.6266666666666425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98"/>
      <c r="C129" s="1198"/>
      <c r="D129" s="523"/>
      <c r="E129" s="478"/>
      <c r="F129" s="478"/>
      <c r="G129" s="473">
        <f>G15-SUM(G124:G128)</f>
        <v>528.62299999979405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7" t="s">
        <v>237</v>
      </c>
      <c r="B131" s="1198"/>
      <c r="C131" s="1198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7" t="s">
        <v>239</v>
      </c>
      <c r="B132" s="1198"/>
      <c r="C132" s="1198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7" t="s">
        <v>240</v>
      </c>
      <c r="B133" s="1198"/>
      <c r="C133" s="1198"/>
      <c r="D133" s="523" t="s">
        <v>238</v>
      </c>
      <c r="E133" s="484">
        <f>'14'!F133</f>
        <v>40605.550000000003</v>
      </c>
      <c r="F133" s="651">
        <v>40612.1</v>
      </c>
      <c r="G133" s="473">
        <f t="shared" si="15"/>
        <v>6.5499999999956344</v>
      </c>
      <c r="H133" s="460">
        <f>G133+'14'!H133</f>
        <v>159.09999999999854</v>
      </c>
      <c r="I133" s="480"/>
      <c r="J133" s="552">
        <f>H133/DAY(B2)</f>
        <v>10.60666666666657</v>
      </c>
      <c r="N133" s="718"/>
      <c r="O133" s="725"/>
      <c r="P133" s="382"/>
    </row>
    <row r="134" spans="1:16" ht="27.75">
      <c r="A134" s="1197" t="s">
        <v>241</v>
      </c>
      <c r="B134" s="1198"/>
      <c r="C134" s="1198"/>
      <c r="D134" s="523" t="s">
        <v>238</v>
      </c>
      <c r="E134" s="484">
        <f>'14'!F134</f>
        <v>341.29</v>
      </c>
      <c r="F134" s="626">
        <v>365.24</v>
      </c>
      <c r="G134" s="473">
        <f t="shared" si="15"/>
        <v>23.949999999999989</v>
      </c>
      <c r="H134" s="460">
        <f>G134+'14'!H134</f>
        <v>65.240000000000009</v>
      </c>
      <c r="I134" s="480">
        <f>G131+G132+G133+G134</f>
        <v>30.499999999995623</v>
      </c>
      <c r="J134" s="552">
        <f>H134/DAY(B2)</f>
        <v>4.3493333333333339</v>
      </c>
      <c r="N134" s="718"/>
      <c r="O134" s="725"/>
      <c r="P134" s="382"/>
    </row>
    <row r="135" spans="1:16" ht="27.75">
      <c r="A135" s="1197" t="s">
        <v>242</v>
      </c>
      <c r="B135" s="1198"/>
      <c r="C135" s="1198"/>
      <c r="D135" s="523" t="s">
        <v>238</v>
      </c>
      <c r="E135" s="484">
        <f>'14'!F135</f>
        <v>42199.46</v>
      </c>
      <c r="F135" s="626">
        <v>42199.46</v>
      </c>
      <c r="G135" s="473">
        <f t="shared" si="15"/>
        <v>0</v>
      </c>
      <c r="H135" s="460">
        <f>G135+'14'!H135</f>
        <v>227.45999999999913</v>
      </c>
      <c r="I135" s="480"/>
      <c r="J135" s="552">
        <f>H135/DAY(B2)</f>
        <v>15.163999999999941</v>
      </c>
      <c r="N135" s="718"/>
      <c r="O135" s="725"/>
      <c r="P135" s="382"/>
    </row>
    <row r="136" spans="1:16" ht="27.75">
      <c r="A136" s="1197" t="s">
        <v>243</v>
      </c>
      <c r="B136" s="1198"/>
      <c r="C136" s="1198"/>
      <c r="D136" s="523" t="s">
        <v>238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7" t="s">
        <v>244</v>
      </c>
      <c r="B137" s="1198"/>
      <c r="C137" s="1198"/>
      <c r="D137" s="523" t="s">
        <v>238</v>
      </c>
      <c r="E137" s="484">
        <f>'14'!F137</f>
        <v>22988.18</v>
      </c>
      <c r="F137" s="651">
        <v>22997.77</v>
      </c>
      <c r="G137" s="473">
        <f t="shared" si="15"/>
        <v>9.5900000000001455</v>
      </c>
      <c r="H137" s="460">
        <f>G137+'14'!H137</f>
        <v>106.27999999999884</v>
      </c>
      <c r="I137" s="480">
        <f>G135+G136+G137</f>
        <v>9.5900000000001455</v>
      </c>
      <c r="J137" s="552">
        <f>H137/DAY(B2)</f>
        <v>7.0853333333332555</v>
      </c>
      <c r="N137" s="718"/>
      <c r="O137" s="725"/>
      <c r="P137" s="382"/>
    </row>
    <row r="138" spans="1:16" ht="27.75">
      <c r="A138" s="1197" t="s">
        <v>245</v>
      </c>
      <c r="B138" s="1198"/>
      <c r="C138" s="1198"/>
      <c r="D138" s="523" t="s">
        <v>238</v>
      </c>
      <c r="E138" s="484">
        <f>'14'!F138</f>
        <v>25099.16</v>
      </c>
      <c r="F138" s="651">
        <v>25099.16</v>
      </c>
      <c r="G138" s="473">
        <f t="shared" si="15"/>
        <v>0</v>
      </c>
      <c r="H138" s="460">
        <f>G138+'14'!H138</f>
        <v>7.7700000000004366</v>
      </c>
      <c r="I138" s="480"/>
      <c r="J138" s="552">
        <f>H138/DAY(B2)</f>
        <v>0.5180000000000291</v>
      </c>
      <c r="N138" s="718"/>
      <c r="O138" s="725"/>
      <c r="P138" s="382"/>
    </row>
    <row r="139" spans="1:16" ht="27.75">
      <c r="A139" s="1197" t="s">
        <v>246</v>
      </c>
      <c r="B139" s="1198"/>
      <c r="C139" s="1198"/>
      <c r="D139" s="523" t="s">
        <v>238</v>
      </c>
      <c r="E139" s="484">
        <f>'14'!F139</f>
        <v>70516.600000000006</v>
      </c>
      <c r="F139" s="651">
        <v>70516.600000000006</v>
      </c>
      <c r="G139" s="473">
        <f t="shared" si="15"/>
        <v>0</v>
      </c>
      <c r="H139" s="460">
        <f>G139+'14'!H139</f>
        <v>2.9800000000104774</v>
      </c>
      <c r="I139" s="480">
        <f>G138+G139</f>
        <v>0</v>
      </c>
      <c r="J139" s="552">
        <f>H139/DAY(B2)</f>
        <v>0.19866666666736515</v>
      </c>
      <c r="N139" s="718"/>
      <c r="O139" s="725"/>
      <c r="P139" s="382"/>
    </row>
    <row r="140" spans="1:16" ht="27.75">
      <c r="A140" s="1197" t="s">
        <v>247</v>
      </c>
      <c r="B140" s="1198"/>
      <c r="C140" s="1198"/>
      <c r="D140" s="523" t="s">
        <v>238</v>
      </c>
      <c r="E140" s="484">
        <f>'14'!F140</f>
        <v>2247.77</v>
      </c>
      <c r="F140" s="626">
        <v>2247.77</v>
      </c>
      <c r="G140" s="473">
        <f t="shared" si="15"/>
        <v>0</v>
      </c>
      <c r="H140" s="460">
        <f>G140+'14'!H140</f>
        <v>118.59000000000015</v>
      </c>
      <c r="I140" s="542"/>
      <c r="J140" s="552">
        <f>H140/DAY(B2)</f>
        <v>7.9060000000000095</v>
      </c>
      <c r="N140" s="718"/>
      <c r="O140" s="725"/>
      <c r="P140" s="382"/>
    </row>
    <row r="141" spans="1:16" ht="27.75">
      <c r="A141" s="1197" t="s">
        <v>248</v>
      </c>
      <c r="B141" s="1198"/>
      <c r="C141" s="1198"/>
      <c r="D141" s="523" t="s">
        <v>238</v>
      </c>
      <c r="E141" s="484">
        <f>'14'!F141</f>
        <v>4657.72</v>
      </c>
      <c r="F141" s="478">
        <v>4666.72</v>
      </c>
      <c r="G141" s="473">
        <f t="shared" si="15"/>
        <v>9</v>
      </c>
      <c r="H141" s="460">
        <f>G141+'14'!H141</f>
        <v>29.720000000000255</v>
      </c>
      <c r="I141" s="542"/>
      <c r="J141" s="552">
        <f>H141/DAY(B2)</f>
        <v>1.9813333333333503</v>
      </c>
      <c r="N141" s="718"/>
      <c r="O141" s="725"/>
      <c r="P141" s="382"/>
    </row>
    <row r="142" spans="1:16">
      <c r="A142" s="1562" t="s">
        <v>249</v>
      </c>
      <c r="B142" s="1563"/>
      <c r="C142" s="120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5721.8200000000652</v>
      </c>
      <c r="H143" s="460">
        <f>G143+'14'!H143</f>
        <v>84513.920000000144</v>
      </c>
      <c r="I143" s="480"/>
      <c r="J143" s="552">
        <f>H143/DAY(B2)</f>
        <v>5634.2613333333429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0.25484746529698837</v>
      </c>
      <c r="H144" s="460">
        <f>G144+'14'!H144</f>
        <v>3.8994811360198849</v>
      </c>
      <c r="I144" s="544"/>
      <c r="J144" s="552">
        <f>H144/DAY(B2)</f>
        <v>0.25996540906799231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6384.1700000000274</v>
      </c>
      <c r="H145" s="460">
        <f>G145+'14'!H145</f>
        <v>99154.929999999978</v>
      </c>
      <c r="I145" s="480"/>
      <c r="J145" s="552">
        <f>H145/DAY(B2)</f>
        <v>6610.3286666666654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0.28434825676534087</v>
      </c>
      <c r="H146" s="460">
        <f>G146+'14'!H146</f>
        <v>4.5688930797670473</v>
      </c>
      <c r="I146" s="544"/>
      <c r="J146" s="552">
        <f>H146/DAY(B2)</f>
        <v>0.30459287198446983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3733.8099999999977</v>
      </c>
      <c r="H147" s="460">
        <f>G147+'14'!H147</f>
        <v>55202.270000000019</v>
      </c>
      <c r="I147" s="545"/>
      <c r="J147" s="552">
        <f>H147/DAY(B2)</f>
        <v>3680.1513333333346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0.16630233289417296</v>
      </c>
      <c r="H148" s="460">
        <f>G148+'14'!H148</f>
        <v>2.5487655276813403</v>
      </c>
      <c r="I148" s="545"/>
      <c r="J148" s="552">
        <f>H148/DAY(B2)</f>
        <v>0.16991770184542268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1645.3700000000536</v>
      </c>
      <c r="H149" s="460">
        <f>G149+'14'!H149</f>
        <v>24163.23000000001</v>
      </c>
      <c r="I149" s="480"/>
      <c r="J149" s="552">
        <f>H149/DAY(B2)</f>
        <v>1610.8820000000007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7.3284090372593785E-2</v>
      </c>
      <c r="H150" s="460">
        <f>G150+'14'!H150</f>
        <v>1.1143077813070477</v>
      </c>
      <c r="I150" s="545"/>
      <c r="J150" s="552">
        <f>H150/DAY(B2)</f>
        <v>7.4287185420469845E-2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2556.5700000000688</v>
      </c>
      <c r="H151" s="460">
        <f>G151+'14'!H151</f>
        <v>30244.520000000019</v>
      </c>
      <c r="I151" s="545"/>
      <c r="J151" s="552">
        <f>H151/DAY(B2)</f>
        <v>2016.3013333333345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0.11386855657017027</v>
      </c>
      <c r="H152" s="460">
        <f>G152+'14'!H152</f>
        <v>1.3918060839453013</v>
      </c>
      <c r="I152" s="480"/>
      <c r="J152" s="552">
        <f>H152/DAY(B2)</f>
        <v>9.278707226302009E-2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1595.3800000000047</v>
      </c>
      <c r="H153" s="460">
        <f>G153+'14'!H153</f>
        <v>23332.600000000006</v>
      </c>
      <c r="I153" s="480"/>
      <c r="J153" s="552">
        <f>H153/DAY(B2)</f>
        <v>1555.5066666666671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7.1057556718929604E-2</v>
      </c>
      <c r="H154" s="460">
        <f>G154+'14'!H154</f>
        <v>1.0769987032935686</v>
      </c>
      <c r="I154" s="568"/>
      <c r="J154" s="569">
        <f>H154/DAY(B2)</f>
        <v>7.1799913552904576E-2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'14'!F161</f>
        <v>41964.81</v>
      </c>
      <c r="F161" s="803">
        <v>42045.26</v>
      </c>
      <c r="G161" s="473">
        <f t="shared" ref="G161:G164" si="16">F161-E161</f>
        <v>80.450000000004366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'14'!F162</f>
        <v>114233.7</v>
      </c>
      <c r="F162" s="803">
        <v>114691.19</v>
      </c>
      <c r="G162" s="473">
        <f t="shared" si="16"/>
        <v>457.49000000000524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'14'!F163</f>
        <v>64099.199999999997</v>
      </c>
      <c r="F163" s="803">
        <v>64304.480000000003</v>
      </c>
      <c r="G163" s="473">
        <f t="shared" si="16"/>
        <v>205.28000000000611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'14'!F164</f>
        <v>6989.21</v>
      </c>
      <c r="F164" s="803">
        <v>6998.14</v>
      </c>
      <c r="G164" s="473">
        <f t="shared" si="16"/>
        <v>8.930000000000291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175521.13</v>
      </c>
      <c r="F167" s="514">
        <f t="shared" ref="F167:F172" si="19">F64</f>
        <v>175929.51</v>
      </c>
      <c r="G167" s="473">
        <f t="shared" si="17"/>
        <v>408.38000000000466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175559.63</v>
      </c>
      <c r="F168" s="514">
        <f t="shared" si="19"/>
        <v>175940.77</v>
      </c>
      <c r="G168" s="473">
        <f t="shared" si="17"/>
        <v>381.13999999998487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73756.42</v>
      </c>
      <c r="F169" s="514">
        <f t="shared" si="19"/>
        <v>74144.679999999993</v>
      </c>
      <c r="G169" s="473">
        <f t="shared" si="17"/>
        <v>388.25999999999476</v>
      </c>
      <c r="N169" s="718"/>
    </row>
    <row r="170" spans="1:14" ht="23.25" customHeight="1">
      <c r="A170" s="1612" t="s">
        <v>101</v>
      </c>
      <c r="B170" s="1612"/>
      <c r="C170" s="1612"/>
      <c r="D170" s="524" t="s">
        <v>186</v>
      </c>
      <c r="E170" s="514">
        <f t="shared" si="18"/>
        <v>271550.77</v>
      </c>
      <c r="F170" s="514">
        <f t="shared" si="19"/>
        <v>272023.17</v>
      </c>
      <c r="G170" s="473">
        <f t="shared" si="17"/>
        <v>472.39999999996508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91122.4</v>
      </c>
      <c r="F172" s="514">
        <f t="shared" si="19"/>
        <v>91422.25</v>
      </c>
      <c r="G172" s="473">
        <f t="shared" si="17"/>
        <v>299.85000000000582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87" t="s">
        <v>351</v>
      </c>
      <c r="B174" s="1550"/>
      <c r="C174" s="785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:14" ht="18.75" customHeight="1">
      <c r="N177" s="718"/>
    </row>
    <row r="178" spans="1:14">
      <c r="A178" s="1587" t="s">
        <v>350</v>
      </c>
      <c r="B178" s="1550"/>
      <c r="C178" s="785"/>
      <c r="D178" s="523" t="s">
        <v>186</v>
      </c>
      <c r="E178" s="532">
        <f>'14'!F173</f>
        <v>19067.400000000001</v>
      </c>
      <c r="F178" s="532">
        <v>19072</v>
      </c>
      <c r="G178" s="473">
        <f t="shared" ref="G178:G180" si="20">F178-E178</f>
        <v>4.5999999999985448</v>
      </c>
      <c r="N178" s="718"/>
    </row>
    <row r="179" spans="1:14">
      <c r="A179" s="1587" t="s">
        <v>350</v>
      </c>
      <c r="B179" s="1550"/>
      <c r="C179" s="785"/>
      <c r="D179" s="523" t="s">
        <v>186</v>
      </c>
      <c r="E179" s="532">
        <f>'14'!F174</f>
        <v>70423.7</v>
      </c>
      <c r="F179" s="532">
        <v>70429.3</v>
      </c>
      <c r="G179" s="473">
        <f t="shared" si="20"/>
        <v>5.6000000000058208</v>
      </c>
      <c r="N179" s="718"/>
    </row>
    <row r="180" spans="1:14">
      <c r="A180" s="1587" t="s">
        <v>351</v>
      </c>
      <c r="B180" s="1550"/>
      <c r="C180" s="785"/>
      <c r="D180" s="523" t="s">
        <v>186</v>
      </c>
      <c r="E180" s="532">
        <f>'14'!F175</f>
        <v>27698</v>
      </c>
      <c r="F180" s="532">
        <v>27704.6</v>
      </c>
      <c r="G180" s="473">
        <f t="shared" si="20"/>
        <v>6.5999999999985448</v>
      </c>
      <c r="N180" s="718"/>
    </row>
    <row r="181" spans="1:14" ht="27" customHeight="1">
      <c r="N181" s="718"/>
    </row>
    <row r="182" spans="1:14" ht="27" customHeight="1">
      <c r="N182" s="718"/>
    </row>
    <row r="183" spans="1:14" ht="27" customHeight="1">
      <c r="N183" s="718"/>
    </row>
    <row r="184" spans="1:14" ht="27" customHeight="1">
      <c r="N184" s="718"/>
    </row>
    <row r="185" spans="1:14" ht="27" customHeight="1">
      <c r="N185" s="718"/>
    </row>
    <row r="186" spans="1:14" ht="27" customHeight="1">
      <c r="N186" s="718"/>
    </row>
    <row r="187" spans="1:14" ht="27" customHeight="1">
      <c r="N187" s="718"/>
    </row>
    <row r="188" spans="1:14" ht="27" customHeight="1">
      <c r="N188" s="718"/>
    </row>
    <row r="189" spans="1:14" ht="27" customHeight="1">
      <c r="N189" s="718"/>
    </row>
    <row r="190" spans="1:14" ht="27" customHeight="1">
      <c r="N190" s="718"/>
    </row>
    <row r="191" spans="1:14" ht="27" customHeight="1">
      <c r="N191" s="718"/>
    </row>
    <row r="192" spans="1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>
      <c r="N199" s="718"/>
    </row>
    <row r="200" spans="14:14" ht="27" customHeight="1">
      <c r="N200" s="718"/>
    </row>
    <row r="201" spans="14:14" ht="27" customHeight="1">
      <c r="N201" s="718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90" zoomScaleSheetLayoutView="55" workbookViewId="0">
      <selection activeCell="A110" sqref="A110:XFD110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357</v>
      </c>
      <c r="B2" s="1031">
        <v>44393</v>
      </c>
      <c r="C2" s="1212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12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'15'!F7</f>
        <v>247258.39</v>
      </c>
      <c r="F7" s="455">
        <v>269331.73</v>
      </c>
      <c r="G7" s="678">
        <f>F7-E7</f>
        <v>22073.339999999967</v>
      </c>
      <c r="H7" s="679">
        <f>G7+'15'!H7</f>
        <v>347378.73000000004</v>
      </c>
      <c r="I7" s="680">
        <f>'1'!I7</f>
        <v>12000</v>
      </c>
      <c r="J7" s="681">
        <f>H7/DAY(B2)</f>
        <v>21711.170625000002</v>
      </c>
      <c r="K7" s="549">
        <f>'1'!E7-'16'!F7</f>
        <v>652621.27</v>
      </c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'15'!F8</f>
        <v>253628.81</v>
      </c>
      <c r="F8" s="475">
        <v>275803.39</v>
      </c>
      <c r="G8" s="689">
        <f>F8-E8</f>
        <v>22174.580000000016</v>
      </c>
      <c r="H8" s="679">
        <f>G8+'15'!H8</f>
        <v>349081.39</v>
      </c>
      <c r="I8" s="686">
        <f>'1'!I8</f>
        <v>12000</v>
      </c>
      <c r="J8" s="681">
        <f>H8/DAY(B2)</f>
        <v>21817.586875000001</v>
      </c>
      <c r="K8" s="549">
        <f>'1'!E8-'16'!F8</f>
        <v>650918.61</v>
      </c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'15'!F9</f>
        <v>2347719.9</v>
      </c>
      <c r="F9" s="478">
        <v>2369088.7000000002</v>
      </c>
      <c r="G9" s="702">
        <f t="shared" ref="G9:G12" si="0">F9-E9</f>
        <v>21368.800000000279</v>
      </c>
      <c r="H9" s="679">
        <f>G9+'15'!H9</f>
        <v>338086.70000000019</v>
      </c>
      <c r="I9" s="690">
        <f>I7-J7</f>
        <v>-9711.1706250000025</v>
      </c>
      <c r="J9" s="681">
        <f>H9/DAY(B2)</f>
        <v>21130.418750000012</v>
      </c>
      <c r="K9" s="428">
        <f>'1'!E9-'16'!F9</f>
        <v>-338086.70000000019</v>
      </c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'15'!F10</f>
        <v>2606.5500000000002</v>
      </c>
      <c r="F10" s="478">
        <v>2606.5500000000002</v>
      </c>
      <c r="G10" s="689">
        <f t="shared" si="0"/>
        <v>0</v>
      </c>
      <c r="H10" s="679">
        <f>G10+'15'!H10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22174.580000000016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21368.800000000279</v>
      </c>
      <c r="H13" s="679">
        <f>G13+'15'!H13</f>
        <v>317759.70000000019</v>
      </c>
      <c r="I13" s="695">
        <f>G7-G13</f>
        <v>704.53999999968801</v>
      </c>
      <c r="J13" s="681">
        <f>H13/DAY(B2)</f>
        <v>19859.981250000012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'15'!F15</f>
        <v>1716117.6229999999</v>
      </c>
      <c r="F15" s="700">
        <v>1716954.88</v>
      </c>
      <c r="G15" s="664">
        <f>(F15-E15)</f>
        <v>837.25699999998324</v>
      </c>
      <c r="H15" s="486">
        <f>G15+'15'!H15</f>
        <v>13271.879999999888</v>
      </c>
      <c r="I15" s="474">
        <f>'1'!I15</f>
        <v>800</v>
      </c>
      <c r="J15" s="553">
        <f>H15/DAY(B2)</f>
        <v>829.49249999999302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69"/>
      <c r="H16" s="486"/>
      <c r="I16" s="482">
        <f>I15-J15</f>
        <v>-29.492499999993015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'15'!F18</f>
        <v>12</v>
      </c>
      <c r="F18" s="478">
        <v>11</v>
      </c>
      <c r="G18" s="694">
        <f>F18*10</f>
        <v>110</v>
      </c>
      <c r="H18" s="679">
        <f>G18+'15'!H18</f>
        <v>2130</v>
      </c>
      <c r="I18" s="680">
        <f>'1'!I18</f>
        <v>65</v>
      </c>
      <c r="J18" s="681">
        <f>H18/DAY(B2)</f>
        <v>133.125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'15'!F19</f>
        <v>142417</v>
      </c>
      <c r="F19" s="478">
        <v>142477</v>
      </c>
      <c r="G19" s="689">
        <f t="shared" ref="G19" si="1">F19-E19</f>
        <v>60</v>
      </c>
      <c r="H19" s="679">
        <f>G19+'15'!H19</f>
        <v>982</v>
      </c>
      <c r="I19" s="696"/>
      <c r="J19" s="681">
        <f>H19/DAY(B2)</f>
        <v>61.375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170</v>
      </c>
      <c r="H20" s="679">
        <f>G20+'15'!H20</f>
        <v>3112</v>
      </c>
      <c r="I20" s="698">
        <f>I18-J20</f>
        <v>-129.5</v>
      </c>
      <c r="J20" s="681">
        <f>H20/DAY(B2)</f>
        <v>194.5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5" t="s">
        <v>146</v>
      </c>
      <c r="B22" s="589"/>
      <c r="C22" s="589"/>
      <c r="D22" s="523" t="s">
        <v>147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5" t="s">
        <v>148</v>
      </c>
      <c r="B23" s="589"/>
      <c r="C23" s="589"/>
      <c r="D23" s="523" t="s">
        <v>147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22174.580000000016</v>
      </c>
      <c r="F27" s="501">
        <v>9</v>
      </c>
      <c r="G27" s="502">
        <f>E27*F27</f>
        <v>199571.22000000015</v>
      </c>
      <c r="H27" s="460">
        <f>G27+'15'!H27</f>
        <v>3141732.5100000002</v>
      </c>
      <c r="I27" s="503"/>
      <c r="J27" s="552">
        <f>H27/DAY(B2)</f>
        <v>196358.28187500002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837.25699999998324</v>
      </c>
      <c r="F28" s="501">
        <v>52</v>
      </c>
      <c r="G28" s="502">
        <f>E28*F28</f>
        <v>43537.363999999128</v>
      </c>
      <c r="H28" s="460">
        <f>G28+'15'!H28</f>
        <v>690137.75999999419</v>
      </c>
      <c r="I28" s="505"/>
      <c r="J28" s="552">
        <f>H28/DAY(B2)</f>
        <v>43133.609999999637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460">
        <f>G30+'15'!H30</f>
        <v>142788</v>
      </c>
      <c r="I30" s="505"/>
      <c r="J30" s="552">
        <f>H30/DAY(B2)</f>
        <v>8924.25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G31+'15'!H31</f>
        <v>164800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260668.58399999927</v>
      </c>
      <c r="H32" s="460">
        <f>G32+'15'!H32</f>
        <v>4139458.269999994</v>
      </c>
      <c r="I32" s="509"/>
      <c r="J32" s="552">
        <f>H32/DAY(B2)</f>
        <v>258716.14187499962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1058597.3</v>
      </c>
      <c r="F35" s="510">
        <v>1058597.3</v>
      </c>
      <c r="G35" s="473">
        <f t="shared" ref="G35:G46" si="3">F35-E35</f>
        <v>0</v>
      </c>
      <c r="H35" s="460">
        <f>G35+'15'!H35</f>
        <v>29883.300000000047</v>
      </c>
      <c r="I35" s="455"/>
      <c r="J35" s="552">
        <f>H35/DAY(B2)</f>
        <v>1867.7062500000029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32955.25</v>
      </c>
      <c r="F36" s="510">
        <v>33958.83</v>
      </c>
      <c r="G36" s="473">
        <f t="shared" si="3"/>
        <v>1003.5800000000017</v>
      </c>
      <c r="H36" s="460">
        <f>G36+'15'!H36</f>
        <v>13497.830000000002</v>
      </c>
      <c r="I36" s="455"/>
      <c r="J36" s="552">
        <f>H36/DAY(B2)</f>
        <v>843.61437500000011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199902.73</v>
      </c>
      <c r="F37" s="510">
        <v>201544.9</v>
      </c>
      <c r="G37" s="473">
        <f t="shared" si="3"/>
        <v>1642.1699999999837</v>
      </c>
      <c r="H37" s="460">
        <f>G37+'15'!H37</f>
        <v>24974.899999999994</v>
      </c>
      <c r="I37" s="455"/>
      <c r="J37" s="552">
        <f>H37/DAY(B2)</f>
        <v>1560.9312499999996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222622.23</v>
      </c>
      <c r="F38" s="469">
        <v>224250.57</v>
      </c>
      <c r="G38" s="473">
        <f t="shared" si="3"/>
        <v>1628.3399999999965</v>
      </c>
      <c r="H38" s="460">
        <f>G38+'15'!H38</f>
        <v>25791.570000000007</v>
      </c>
      <c r="I38" s="455"/>
      <c r="J38" s="552">
        <f>H38/DAY(B2)</f>
        <v>1611.9731250000004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460066.27</v>
      </c>
      <c r="F39" s="510">
        <v>463842.9</v>
      </c>
      <c r="G39" s="473">
        <f t="shared" si="3"/>
        <v>3776.6300000000047</v>
      </c>
      <c r="H39" s="460">
        <f>G39+'15'!H39</f>
        <v>58978.900000000023</v>
      </c>
      <c r="I39" s="455"/>
      <c r="J39" s="552">
        <f>H39/DAY(B2)</f>
        <v>3686.1812500000015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12883.71</v>
      </c>
      <c r="F40" s="510">
        <v>13152.74</v>
      </c>
      <c r="G40" s="473">
        <f t="shared" si="3"/>
        <v>269.03000000000065</v>
      </c>
      <c r="H40" s="460">
        <f>G40+'15'!H40</f>
        <v>6039.74</v>
      </c>
      <c r="I40" s="455"/>
      <c r="J40" s="552">
        <f>H40/DAY(B2)</f>
        <v>377.48374999999999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365502.35</v>
      </c>
      <c r="F41" s="510">
        <v>365502.35</v>
      </c>
      <c r="G41" s="473">
        <f t="shared" si="3"/>
        <v>0</v>
      </c>
      <c r="H41" s="460">
        <f>G41+'15'!H41</f>
        <v>35860.349999999977</v>
      </c>
      <c r="I41" s="455"/>
      <c r="J41" s="552">
        <f>H41/DAY(B2)</f>
        <v>2241.2718749999985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72340.44</v>
      </c>
      <c r="F42" s="510">
        <v>76541.78</v>
      </c>
      <c r="G42" s="473">
        <f>F42-E42</f>
        <v>4201.3399999999965</v>
      </c>
      <c r="H42" s="460">
        <f>G42+'15'!H42</f>
        <v>17342.89</v>
      </c>
      <c r="I42" s="455"/>
      <c r="J42" s="552">
        <f>H42/DAY(B2)</f>
        <v>1083.930625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1160367.6000000001</v>
      </c>
      <c r="F43" s="510">
        <v>1162991.5</v>
      </c>
      <c r="G43" s="473">
        <f t="shared" si="3"/>
        <v>2623.8999999999069</v>
      </c>
      <c r="H43" s="460">
        <f>G43+'15'!H43</f>
        <v>42539.5</v>
      </c>
      <c r="I43" s="455"/>
      <c r="J43" s="552">
        <f>H43/DAY(B2)</f>
        <v>2658.71875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15144.989999999891</v>
      </c>
      <c r="H47" s="460">
        <f>G47+'15'!H47</f>
        <v>255710.47000000003</v>
      </c>
      <c r="I47" s="455"/>
      <c r="J47" s="552">
        <f>H47/DAY(B2)</f>
        <v>15981.904375000002</v>
      </c>
      <c r="K47" s="428"/>
      <c r="L47" s="377"/>
      <c r="N47" s="718"/>
      <c r="O47" s="725"/>
      <c r="P47" s="382"/>
    </row>
    <row r="48" spans="1:16">
      <c r="A48" s="598" t="s">
        <v>176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275446.69</v>
      </c>
      <c r="F49" s="510">
        <v>278602.17</v>
      </c>
      <c r="G49" s="473">
        <f t="shared" ref="G49:G58" si="4">F49-E49</f>
        <v>3155.4799999999814</v>
      </c>
      <c r="H49" s="460">
        <f>G49+'15'!H49</f>
        <v>17838.169999999984</v>
      </c>
      <c r="I49" s="455"/>
      <c r="J49" s="552">
        <f>H49/DAY(B2)</f>
        <v>1114.885624999999</v>
      </c>
      <c r="K49" s="428">
        <f>E49+244</f>
        <v>275690.69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552413.27</v>
      </c>
      <c r="F50" s="1055">
        <v>553515.43000000005</v>
      </c>
      <c r="G50" s="473">
        <f t="shared" si="4"/>
        <v>1102.1600000000326</v>
      </c>
      <c r="H50" s="460">
        <f>G50+'15'!H50</f>
        <v>17759.430000000051</v>
      </c>
      <c r="I50" s="455"/>
      <c r="J50" s="552">
        <f>H50/DAY(B2)</f>
        <v>1109.9643750000032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0.27000000000043656</v>
      </c>
      <c r="I54" s="455"/>
      <c r="J54" s="552">
        <f>H54/DAY(B2)</f>
        <v>1.6875000000027285E-2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167631.28</v>
      </c>
      <c r="F55" s="653">
        <v>169786.79</v>
      </c>
      <c r="G55" s="652">
        <f t="shared" si="4"/>
        <v>2155.5100000000093</v>
      </c>
      <c r="H55" s="705">
        <f>G55+'15'!H55</f>
        <v>46576.790000000008</v>
      </c>
      <c r="I55" s="706"/>
      <c r="J55" s="707">
        <f>H55/DAY(B2)</f>
        <v>2911.0493750000005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649189.75</v>
      </c>
      <c r="F56" s="653">
        <v>649199.91</v>
      </c>
      <c r="G56" s="473">
        <f t="shared" si="4"/>
        <v>10.160000000032596</v>
      </c>
      <c r="H56" s="460">
        <f>G56+'15'!H56</f>
        <v>157.9100000000326</v>
      </c>
      <c r="I56" s="455"/>
      <c r="J56" s="552">
        <f>H56/DAY(B2)</f>
        <v>9.8693750000020373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56608.81</v>
      </c>
      <c r="F58" s="653">
        <v>56816.19</v>
      </c>
      <c r="G58" s="473">
        <f t="shared" si="4"/>
        <v>207.38000000000466</v>
      </c>
      <c r="H58" s="460">
        <f>G58+'15'!H58</f>
        <v>2636.1900000000023</v>
      </c>
      <c r="I58" s="455"/>
      <c r="J58" s="552">
        <f>H58/DAY(B2)</f>
        <v>164.76187500000015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6630.6200000000354</v>
      </c>
      <c r="H59" s="460">
        <f>G59+'15'!H59</f>
        <v>84968.290000000023</v>
      </c>
      <c r="I59" s="455">
        <f>G7-G60</f>
        <v>297.73000000003958</v>
      </c>
      <c r="J59" s="552">
        <f>H59/DAY(B2)</f>
        <v>5310.5181250000014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21775.609999999928</v>
      </c>
      <c r="H60" s="460">
        <f>G60+'15'!H60</f>
        <v>347582.09000000014</v>
      </c>
      <c r="I60" s="455">
        <f>G13-G60</f>
        <v>-406.80999999964843</v>
      </c>
      <c r="J60" s="552">
        <f>H60/DAY(B2)</f>
        <v>21723.880625000009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'15'!F64</f>
        <v>175929.51</v>
      </c>
      <c r="F64" s="626">
        <v>176328.81</v>
      </c>
      <c r="G64" s="773">
        <f t="shared" si="5"/>
        <v>399.29999999998836</v>
      </c>
      <c r="H64" s="460">
        <f>G64+'15'!H64</f>
        <v>6306.8099999999977</v>
      </c>
      <c r="I64" s="480"/>
      <c r="J64" s="552">
        <f>H64/DAY(B2)</f>
        <v>394.17562499999985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'15'!F65</f>
        <v>175940.77</v>
      </c>
      <c r="F65" s="651">
        <v>176333.07</v>
      </c>
      <c r="G65" s="473">
        <f t="shared" si="5"/>
        <v>392.30000000001746</v>
      </c>
      <c r="H65" s="460">
        <f>G65+'15'!H65</f>
        <v>6031.070000000007</v>
      </c>
      <c r="I65" s="489"/>
      <c r="J65" s="552">
        <f>H65/DAY(B2)</f>
        <v>376.94187500000044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'15'!F66</f>
        <v>74144.679999999993</v>
      </c>
      <c r="F66" s="478">
        <v>74541.64</v>
      </c>
      <c r="G66" s="473">
        <f t="shared" si="5"/>
        <v>396.9600000000064</v>
      </c>
      <c r="H66" s="460">
        <f>G66+'15'!H66</f>
        <v>6571.6399999999994</v>
      </c>
      <c r="I66" s="480"/>
      <c r="J66" s="552">
        <f>H66/DAY(B2)</f>
        <v>410.72749999999996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'15'!F67</f>
        <v>272023.17</v>
      </c>
      <c r="F67" s="478">
        <v>272493.05</v>
      </c>
      <c r="G67" s="473">
        <f t="shared" si="5"/>
        <v>469.88000000000466</v>
      </c>
      <c r="H67" s="460">
        <f>G67+'15'!H67</f>
        <v>7534.0499999999884</v>
      </c>
      <c r="I67" s="489"/>
      <c r="J67" s="552">
        <f>H67/DAY(B2)</f>
        <v>470.87812499999927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'15'!F69</f>
        <v>91422.25</v>
      </c>
      <c r="F69" s="478">
        <v>91726.12</v>
      </c>
      <c r="G69" s="473">
        <f t="shared" si="5"/>
        <v>303.86999999999534</v>
      </c>
      <c r="H69" s="460">
        <f>G69+'15'!H69</f>
        <v>4211.1199999999953</v>
      </c>
      <c r="I69" s="516"/>
      <c r="J69" s="552">
        <f>H69/DAY(B2)</f>
        <v>263.19499999999971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'15'!F72</f>
        <v>856404</v>
      </c>
      <c r="F72" s="654">
        <v>856417</v>
      </c>
      <c r="G72" s="473">
        <f t="shared" ref="G72:G84" si="6">F72-E72</f>
        <v>13</v>
      </c>
      <c r="H72" s="460">
        <f>G72+'15'!H72</f>
        <v>182</v>
      </c>
      <c r="I72" s="480"/>
      <c r="J72" s="552">
        <f>H72/DAY(B2)</f>
        <v>11.375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'15'!F73</f>
        <v>885992</v>
      </c>
      <c r="F73" s="655">
        <v>885994</v>
      </c>
      <c r="G73" s="652">
        <f t="shared" si="6"/>
        <v>2</v>
      </c>
      <c r="H73" s="460">
        <f>G73+'15'!H73</f>
        <v>160</v>
      </c>
      <c r="I73" s="480"/>
      <c r="J73" s="552">
        <f>H73/DAY(B2)</f>
        <v>10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'15'!F74</f>
        <v>88680</v>
      </c>
      <c r="F74" s="655">
        <v>88714.6</v>
      </c>
      <c r="G74" s="473">
        <f t="shared" si="6"/>
        <v>34.600000000005821</v>
      </c>
      <c r="H74" s="460">
        <f>G74+'15'!H74</f>
        <v>52.600000000005821</v>
      </c>
      <c r="I74" s="480"/>
      <c r="J74" s="552">
        <f>H74/DAY(B2)</f>
        <v>3.2875000000003638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'15'!F75</f>
        <v>18343.7</v>
      </c>
      <c r="F75" s="655">
        <v>18527.59</v>
      </c>
      <c r="G75" s="473">
        <f t="shared" si="6"/>
        <v>183.88999999999942</v>
      </c>
      <c r="H75" s="460">
        <f>G75+'15'!H75</f>
        <v>2456.59</v>
      </c>
      <c r="I75" s="480"/>
      <c r="J75" s="552">
        <f>H75/DAY(B2)</f>
        <v>153.53687500000001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'15'!F76</f>
        <v>10318.15</v>
      </c>
      <c r="F76" s="655">
        <v>10388.01</v>
      </c>
      <c r="G76" s="473">
        <f t="shared" si="6"/>
        <v>69.860000000000582</v>
      </c>
      <c r="H76" s="460">
        <f>G76+'15'!H76</f>
        <v>2169.0100000000002</v>
      </c>
      <c r="I76" s="505"/>
      <c r="J76" s="552">
        <f>H76/DAY(B2)</f>
        <v>135.56312500000001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'15'!F77</f>
        <v>705280</v>
      </c>
      <c r="F77" s="655">
        <v>705350</v>
      </c>
      <c r="G77" s="652">
        <f t="shared" si="6"/>
        <v>70</v>
      </c>
      <c r="H77" s="460">
        <f>G77+'15'!H77</f>
        <v>976</v>
      </c>
      <c r="I77" s="505"/>
      <c r="J77" s="552">
        <f>H77/DAY(B2)</f>
        <v>61</v>
      </c>
      <c r="K77" s="430"/>
      <c r="L77" s="377"/>
      <c r="N77" s="718"/>
      <c r="O77" s="725"/>
      <c r="P77" s="382"/>
    </row>
    <row r="78" spans="1:16" ht="27.75">
      <c r="A78" s="1208" t="s">
        <v>196</v>
      </c>
      <c r="B78" s="1204"/>
      <c r="C78" s="1204"/>
      <c r="D78" s="523" t="s">
        <v>186</v>
      </c>
      <c r="E78" s="519">
        <f>'15'!F78</f>
        <v>676894</v>
      </c>
      <c r="F78" s="656">
        <v>676996</v>
      </c>
      <c r="G78" s="473">
        <f t="shared" si="6"/>
        <v>102</v>
      </c>
      <c r="H78" s="460">
        <f>G78+'15'!H78</f>
        <v>1582</v>
      </c>
      <c r="I78" s="505"/>
      <c r="J78" s="552">
        <f>H78/DAY(B2)</f>
        <v>98.875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'15'!F79</f>
        <v>837747</v>
      </c>
      <c r="F79" s="656">
        <v>837913</v>
      </c>
      <c r="G79" s="473">
        <f t="shared" si="6"/>
        <v>166</v>
      </c>
      <c r="H79" s="460">
        <f>G79+'15'!H79</f>
        <v>1759</v>
      </c>
      <c r="I79" s="505"/>
      <c r="J79" s="552">
        <f>H79/DAY(B2)</f>
        <v>109.9375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'15'!F80</f>
        <v>545325.48</v>
      </c>
      <c r="F80" s="1309">
        <v>545786.76</v>
      </c>
      <c r="G80" s="473">
        <f t="shared" si="6"/>
        <v>461.28000000002794</v>
      </c>
      <c r="H80" s="460">
        <f>G80+'15'!H80</f>
        <v>3395.7600000000093</v>
      </c>
      <c r="I80" s="505"/>
      <c r="J80" s="552">
        <f>H80/DAY(B2)</f>
        <v>212.23500000000058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'15'!F81</f>
        <v>645815.61</v>
      </c>
      <c r="F81" s="655">
        <v>645997.07999999996</v>
      </c>
      <c r="G81" s="473">
        <f t="shared" si="6"/>
        <v>181.46999999997206</v>
      </c>
      <c r="H81" s="460">
        <f>G81+'15'!H81</f>
        <v>3012.0799999999581</v>
      </c>
      <c r="I81" s="505"/>
      <c r="J81" s="552">
        <f>H81/DAY(B2)</f>
        <v>188.25499999999738</v>
      </c>
      <c r="K81" s="430"/>
      <c r="L81" s="377"/>
      <c r="N81" s="718"/>
      <c r="O81" s="725"/>
      <c r="P81" s="382"/>
    </row>
    <row r="82" spans="1:16" s="441" customFormat="1" ht="27.75">
      <c r="A82" s="1619" t="s">
        <v>92</v>
      </c>
      <c r="B82" s="1620"/>
      <c r="C82" s="1621"/>
      <c r="D82" s="651" t="s">
        <v>131</v>
      </c>
      <c r="E82" s="520">
        <f>'15'!F82</f>
        <v>108998.19</v>
      </c>
      <c r="F82" s="651">
        <v>109014.88</v>
      </c>
      <c r="G82" s="652">
        <f t="shared" si="6"/>
        <v>16.690000000002328</v>
      </c>
      <c r="H82" s="705">
        <f>G82+'15'!H82</f>
        <v>333.88000000000466</v>
      </c>
      <c r="I82" s="705"/>
      <c r="J82" s="707">
        <f>H82/DAY(B2)</f>
        <v>20.867500000000291</v>
      </c>
      <c r="K82" s="1313"/>
      <c r="L82" s="1105"/>
      <c r="N82" s="718"/>
      <c r="O82" s="727"/>
      <c r="P82" s="713"/>
    </row>
    <row r="83" spans="1:16" ht="27.75">
      <c r="A83" s="1543" t="s">
        <v>199</v>
      </c>
      <c r="B83" s="1544"/>
      <c r="C83" s="1545"/>
      <c r="D83" s="620" t="s">
        <v>131</v>
      </c>
      <c r="E83" s="519">
        <f>'15'!F83</f>
        <v>31137</v>
      </c>
      <c r="F83" s="511">
        <v>31313</v>
      </c>
      <c r="G83" s="473">
        <f t="shared" si="6"/>
        <v>176</v>
      </c>
      <c r="H83" s="460">
        <f>G83+'15'!H83</f>
        <v>3762</v>
      </c>
      <c r="I83" s="481"/>
      <c r="J83" s="552">
        <f>H83/DAY(B2)</f>
        <v>235.125</v>
      </c>
      <c r="K83" s="429"/>
      <c r="L83" s="377"/>
      <c r="N83" s="718"/>
      <c r="O83" s="725"/>
      <c r="P83" s="382"/>
    </row>
    <row r="84" spans="1:16">
      <c r="A84" s="1211" t="s">
        <v>200</v>
      </c>
      <c r="B84" s="571"/>
      <c r="C84" s="571"/>
      <c r="D84" s="478" t="s">
        <v>131</v>
      </c>
      <c r="E84" s="519">
        <f>'15'!F84</f>
        <v>535125</v>
      </c>
      <c r="F84" s="627">
        <v>535859</v>
      </c>
      <c r="G84" s="473">
        <f t="shared" si="6"/>
        <v>734</v>
      </c>
      <c r="H84" s="460">
        <f>G84+'15'!H84</f>
        <v>12779</v>
      </c>
      <c r="I84" s="481"/>
      <c r="J84" s="552">
        <f>H84/DAY(B2)</f>
        <v>798.6875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2210.7900000000081</v>
      </c>
      <c r="H85" s="460">
        <f>G85+'15'!H85</f>
        <v>35493.919999999976</v>
      </c>
      <c r="I85" s="481"/>
      <c r="J85" s="552">
        <f>H85/DAY(B2)</f>
        <v>2218.3699999999985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'15'!F86</f>
        <v>462201.64</v>
      </c>
      <c r="F86" s="1462">
        <v>462211.88</v>
      </c>
      <c r="G86" s="705">
        <f t="shared" ref="G86:G91" si="7">F86-E86</f>
        <v>10.239999999990687</v>
      </c>
      <c r="H86" s="705">
        <f t="shared" ref="H86:H88" si="8">G86</f>
        <v>10.239999999990687</v>
      </c>
      <c r="I86" s="652"/>
      <c r="J86" s="707">
        <f>H86/DAY(B2)</f>
        <v>0.63999999999941792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'15'!F87</f>
        <v>82498</v>
      </c>
      <c r="F87" s="647">
        <v>82523.399999999994</v>
      </c>
      <c r="G87" s="705">
        <f t="shared" si="7"/>
        <v>25.399999999994179</v>
      </c>
      <c r="H87" s="705">
        <f t="shared" si="8"/>
        <v>25.399999999994179</v>
      </c>
      <c r="I87" s="652"/>
      <c r="J87" s="707">
        <f>H87/DAY(B2)</f>
        <v>1.5874999999996362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'15'!F88</f>
        <v>156997.01</v>
      </c>
      <c r="F88" s="1462">
        <v>157124.66</v>
      </c>
      <c r="G88" s="705">
        <f t="shared" si="7"/>
        <v>127.64999999999418</v>
      </c>
      <c r="H88" s="705">
        <f t="shared" si="8"/>
        <v>127.64999999999418</v>
      </c>
      <c r="I88" s="652"/>
      <c r="J88" s="707">
        <f>H88/DAY(B2)</f>
        <v>7.9781249999996362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'15'!F89</f>
        <v>66482.100000000006</v>
      </c>
      <c r="F89" s="647">
        <v>66543.199999999997</v>
      </c>
      <c r="G89" s="705">
        <f t="shared" si="7"/>
        <v>61.099999999991269</v>
      </c>
      <c r="H89" s="705">
        <f>G89</f>
        <v>61.099999999991269</v>
      </c>
      <c r="I89" s="652"/>
      <c r="J89" s="707">
        <f>H89/DAY(B2)</f>
        <v>3.8187499999994543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'15'!F90</f>
        <v>3398.3</v>
      </c>
      <c r="F90" s="647">
        <v>3404.9</v>
      </c>
      <c r="G90" s="705">
        <f t="shared" si="7"/>
        <v>6.5999999999999091</v>
      </c>
      <c r="H90" s="705">
        <f>G90</f>
        <v>6.5999999999999091</v>
      </c>
      <c r="I90" s="652"/>
      <c r="J90" s="707">
        <f>H90/DAY(B2)</f>
        <v>0.41249999999999432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'15'!F91</f>
        <v>28375.08</v>
      </c>
      <c r="F91" s="647">
        <v>28384.31</v>
      </c>
      <c r="G91" s="705">
        <f t="shared" si="7"/>
        <v>9.2299999999995634</v>
      </c>
      <c r="H91" s="705">
        <f>G91</f>
        <v>9.2299999999995634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9"/>
      <c r="C92" s="1209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'15'!F93</f>
        <v>248840</v>
      </c>
      <c r="F93" s="478">
        <v>248943</v>
      </c>
      <c r="G93" s="473">
        <f t="shared" ref="G93:G94" si="9">F93-E93</f>
        <v>103</v>
      </c>
      <c r="H93" s="460">
        <f>G93+'15'!H93</f>
        <v>1591</v>
      </c>
      <c r="I93" s="480"/>
      <c r="J93" s="552">
        <f>H93/DAY(B2)</f>
        <v>99.4375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'15'!F94</f>
        <v>191194</v>
      </c>
      <c r="F94" s="478">
        <v>191265</v>
      </c>
      <c r="G94" s="473">
        <f t="shared" si="9"/>
        <v>71</v>
      </c>
      <c r="H94" s="460">
        <f>G94+'15'!H94</f>
        <v>1811</v>
      </c>
      <c r="I94" s="480"/>
      <c r="J94" s="552">
        <f>H94/DAY(B2)</f>
        <v>113.1875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'15'!F95</f>
        <v>0</v>
      </c>
      <c r="F95" s="478">
        <v>0</v>
      </c>
      <c r="G95" s="473">
        <f>G93+G94</f>
        <v>174</v>
      </c>
      <c r="H95" s="460">
        <f>G95+'15'!H95</f>
        <v>3216</v>
      </c>
      <c r="I95" s="480"/>
      <c r="J95" s="552">
        <f>H95/DAY(B2)</f>
        <v>201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'15'!F96</f>
        <v>417359</v>
      </c>
      <c r="F96" s="478">
        <v>417455</v>
      </c>
      <c r="G96" s="473">
        <f t="shared" ref="G96:G101" si="10">F96-E96</f>
        <v>96</v>
      </c>
      <c r="H96" s="460">
        <f>G96+'15'!H96</f>
        <v>1456</v>
      </c>
      <c r="I96" s="480"/>
      <c r="J96" s="552">
        <f>H96/DAY(B2)</f>
        <v>91</v>
      </c>
      <c r="K96" s="380"/>
      <c r="L96" s="377"/>
      <c r="N96" s="718"/>
      <c r="O96" s="725"/>
      <c r="P96" s="382"/>
    </row>
    <row r="97" spans="1:16" ht="27.75">
      <c r="A97" s="1205" t="s">
        <v>209</v>
      </c>
      <c r="B97" s="1206"/>
      <c r="C97" s="1206"/>
      <c r="D97" s="523" t="s">
        <v>143</v>
      </c>
      <c r="E97" s="484">
        <f>'15'!F97</f>
        <v>103485</v>
      </c>
      <c r="F97" s="478">
        <v>103511</v>
      </c>
      <c r="G97" s="473">
        <f t="shared" si="10"/>
        <v>26</v>
      </c>
      <c r="H97" s="460">
        <f>G97+'15'!H97</f>
        <v>348</v>
      </c>
      <c r="I97" s="480"/>
      <c r="J97" s="552">
        <f>H97/DAY(B2)</f>
        <v>21.75</v>
      </c>
      <c r="K97" s="427"/>
      <c r="L97" s="377"/>
      <c r="N97" s="718"/>
      <c r="O97" s="725"/>
      <c r="P97" s="382"/>
    </row>
    <row r="98" spans="1:16" ht="27.75">
      <c r="A98" s="1205" t="s">
        <v>210</v>
      </c>
      <c r="B98" s="1206"/>
      <c r="C98" s="1206"/>
      <c r="D98" s="523" t="s">
        <v>143</v>
      </c>
      <c r="E98" s="484">
        <f>'15'!F98</f>
        <v>99035</v>
      </c>
      <c r="F98" s="478">
        <v>99060</v>
      </c>
      <c r="G98" s="473">
        <f t="shared" si="10"/>
        <v>25</v>
      </c>
      <c r="H98" s="460">
        <f>G98+'15'!H98</f>
        <v>403</v>
      </c>
      <c r="I98" s="480"/>
      <c r="J98" s="552">
        <f>H98/DAY(B2)</f>
        <v>25.1875</v>
      </c>
      <c r="K98" s="432"/>
      <c r="L98" s="377"/>
      <c r="N98" s="718">
        <v>96617</v>
      </c>
      <c r="O98" s="725"/>
      <c r="P98" s="382"/>
    </row>
    <row r="99" spans="1:16" ht="27.75">
      <c r="A99" s="1205" t="s">
        <v>211</v>
      </c>
      <c r="B99" s="1206"/>
      <c r="C99" s="1206"/>
      <c r="D99" s="523" t="s">
        <v>143</v>
      </c>
      <c r="E99" s="484">
        <f>'15'!F99</f>
        <v>150872</v>
      </c>
      <c r="F99" s="478">
        <v>150885</v>
      </c>
      <c r="G99" s="473">
        <f t="shared" si="10"/>
        <v>13</v>
      </c>
      <c r="H99" s="460">
        <f>G99+'15'!H99</f>
        <v>480</v>
      </c>
      <c r="I99" s="480"/>
      <c r="J99" s="552">
        <f>H99/DAY(B2)</f>
        <v>30</v>
      </c>
      <c r="K99" s="380"/>
      <c r="L99" s="377"/>
      <c r="N99" s="720"/>
      <c r="O99" s="725"/>
      <c r="P99" s="382"/>
    </row>
    <row r="100" spans="1:16" ht="27.75">
      <c r="A100" s="1205" t="s">
        <v>212</v>
      </c>
      <c r="B100" s="1206"/>
      <c r="C100" s="1206"/>
      <c r="D100" s="523" t="s">
        <v>143</v>
      </c>
      <c r="E100" s="484">
        <f>'15'!F100</f>
        <v>7957</v>
      </c>
      <c r="F100" s="478">
        <v>7966</v>
      </c>
      <c r="G100" s="473">
        <f t="shared" si="10"/>
        <v>9</v>
      </c>
      <c r="H100" s="460">
        <f>G100+'15'!H100</f>
        <v>169</v>
      </c>
      <c r="I100" s="480"/>
      <c r="J100" s="552">
        <f>H100/DAY(B2)</f>
        <v>10.5625</v>
      </c>
      <c r="K100" s="380"/>
      <c r="L100" s="377"/>
      <c r="N100" s="718"/>
      <c r="O100" s="725"/>
      <c r="P100" s="382"/>
    </row>
    <row r="101" spans="1:16" ht="27.75">
      <c r="A101" s="1205" t="s">
        <v>213</v>
      </c>
      <c r="B101" s="1206"/>
      <c r="C101" s="1206"/>
      <c r="D101" s="523" t="s">
        <v>143</v>
      </c>
      <c r="E101" s="484">
        <f>'15'!F101</f>
        <v>5833</v>
      </c>
      <c r="F101" s="478">
        <v>5841</v>
      </c>
      <c r="G101" s="473">
        <f t="shared" si="10"/>
        <v>8</v>
      </c>
      <c r="H101" s="460">
        <f>G101+'15'!H101</f>
        <v>167</v>
      </c>
      <c r="I101" s="480"/>
      <c r="J101" s="552">
        <f>H101/DAY(B2)</f>
        <v>10.4375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177</v>
      </c>
      <c r="H102" s="460">
        <f>G102+'15'!H102</f>
        <v>3023</v>
      </c>
      <c r="I102" s="526"/>
      <c r="J102" s="552">
        <f>H102/DAY(B2)</f>
        <v>188.9375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10"/>
      <c r="D105" s="622" t="s">
        <v>143</v>
      </c>
      <c r="E105" s="484">
        <f>'15'!F105</f>
        <v>7767</v>
      </c>
      <c r="F105" s="1312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10"/>
      <c r="D106" s="622" t="s">
        <v>143</v>
      </c>
      <c r="E106" s="484">
        <f>'15'!F106</f>
        <v>36310</v>
      </c>
      <c r="F106" s="659">
        <v>36321</v>
      </c>
      <c r="G106" s="532">
        <f t="shared" ref="G106:G107" si="11">F106-E106</f>
        <v>11</v>
      </c>
      <c r="H106" s="533">
        <f>SUM(G106+'1'!G77)</f>
        <v>64</v>
      </c>
      <c r="I106" s="532"/>
      <c r="J106" s="558">
        <f>H106/DAY(B2)</f>
        <v>4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'15'!F107</f>
        <v>19887</v>
      </c>
      <c r="F107" s="659">
        <v>19893</v>
      </c>
      <c r="G107" s="532">
        <f t="shared" si="11"/>
        <v>6</v>
      </c>
      <c r="H107" s="533">
        <f>SUM(G107+'1'!G78)</f>
        <v>120</v>
      </c>
      <c r="I107" s="532"/>
      <c r="J107" s="558">
        <f>H107/DAY(B2)</f>
        <v>7.5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10"/>
      <c r="D108" s="622"/>
      <c r="E108" s="484">
        <f>'15'!F108</f>
        <v>0</v>
      </c>
      <c r="F108" s="659"/>
      <c r="G108" s="532">
        <f>SUM(G105:G107)</f>
        <v>17</v>
      </c>
      <c r="H108" s="533">
        <f>SUM(G108+'1'!G79)</f>
        <v>170</v>
      </c>
      <c r="I108" s="532"/>
      <c r="J108" s="558">
        <f>H108/DAY(B2)</f>
        <v>10.625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10"/>
      <c r="D109" s="622" t="s">
        <v>143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10"/>
      <c r="D110" s="622" t="s">
        <v>143</v>
      </c>
      <c r="E110" s="484">
        <f>'15'!F110</f>
        <v>65973</v>
      </c>
      <c r="F110" s="659">
        <v>66039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12.352500000000873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10"/>
      <c r="D111" s="622" t="s">
        <v>143</v>
      </c>
      <c r="E111" s="484">
        <f>'15'!F111</f>
        <v>33575</v>
      </c>
      <c r="F111" s="659">
        <v>33603</v>
      </c>
      <c r="G111" s="532">
        <f t="shared" ref="G111:G112" si="12">F111-E111</f>
        <v>28</v>
      </c>
      <c r="H111" s="533">
        <f>SUM(G111+'1'!G82)</f>
        <v>52.899999999994179</v>
      </c>
      <c r="I111" s="532"/>
      <c r="J111" s="558">
        <f>H111/DAY(B2)</f>
        <v>3.3062499999996362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10"/>
      <c r="D112" s="622" t="s">
        <v>143</v>
      </c>
      <c r="E112" s="484">
        <f>'15'!F112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10"/>
      <c r="D113" s="622"/>
      <c r="E113" s="484">
        <f>'15'!F113</f>
        <v>0</v>
      </c>
      <c r="F113" s="659"/>
      <c r="G113" s="532">
        <f>SUM(G110:G112)</f>
        <v>94</v>
      </c>
      <c r="H113" s="533">
        <f>SUM(G113+'1'!G84)</f>
        <v>910</v>
      </c>
      <c r="I113" s="532"/>
      <c r="J113" s="558">
        <f>H113/DAY(B2)</f>
        <v>56.875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10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'15'!F115</f>
        <v>12214</v>
      </c>
      <c r="F115" s="659">
        <v>12226</v>
      </c>
      <c r="G115" s="534">
        <f>F115-E115</f>
        <v>12</v>
      </c>
      <c r="H115" s="533">
        <f>SUM(G115+'1'!G92)</f>
        <v>12</v>
      </c>
      <c r="I115" s="532"/>
      <c r="J115" s="558">
        <f>H115/DAY(B2)</f>
        <v>0.75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'15'!F116</f>
        <v>8687</v>
      </c>
      <c r="F116" s="659">
        <v>8694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19</v>
      </c>
      <c r="H118" s="533">
        <f>SUM(G118+'1'!G96)</f>
        <v>105</v>
      </c>
      <c r="I118" s="534"/>
      <c r="J118" s="558">
        <f>H118/DAY(B2)</f>
        <v>6.5625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3"/>
      <c r="D119" s="624" t="s">
        <v>143</v>
      </c>
      <c r="E119" s="536"/>
      <c r="F119" s="660">
        <f>SUM(G19+G93)</f>
        <v>163</v>
      </c>
      <c r="G119" s="536">
        <f>SUM(G19+G93)</f>
        <v>163</v>
      </c>
      <c r="H119" s="533">
        <f>SUM(G119+'1'!G97)</f>
        <v>180</v>
      </c>
      <c r="I119" s="535"/>
      <c r="J119" s="559">
        <f>H119/DAY(B2)</f>
        <v>11.25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3"/>
      <c r="D120" s="624" t="s">
        <v>143</v>
      </c>
      <c r="E120" s="536"/>
      <c r="F120" s="660">
        <f>SUM(G96,G97,G98,G100,G101)</f>
        <v>164</v>
      </c>
      <c r="G120" s="536">
        <f>SUM(G96,G97,G98,G100,G101)</f>
        <v>164</v>
      </c>
      <c r="H120" s="533">
        <f>SUM(G120+'1'!G99)</f>
        <v>214</v>
      </c>
      <c r="I120" s="535"/>
      <c r="J120" s="559">
        <f>H120/DAY(B2)</f>
        <v>13.375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3"/>
      <c r="D121" s="624" t="s">
        <v>143</v>
      </c>
      <c r="E121" s="534"/>
      <c r="F121" s="659">
        <f>SUM(G113)</f>
        <v>94</v>
      </c>
      <c r="G121" s="534">
        <f>SUM(G113)</f>
        <v>94</v>
      </c>
      <c r="H121" s="533">
        <f>SUM(G121+'1'!G101)</f>
        <v>99</v>
      </c>
      <c r="I121" s="535"/>
      <c r="J121" s="559">
        <f>H121/DAY(B2)</f>
        <v>6.1875</v>
      </c>
      <c r="N121" s="718"/>
      <c r="O121" s="725"/>
      <c r="P121" s="382"/>
    </row>
    <row r="122" spans="1:16" s="442" customFormat="1" ht="27.75">
      <c r="A122" s="1549"/>
      <c r="B122" s="1550"/>
      <c r="C122" s="1214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5" t="s">
        <v>230</v>
      </c>
      <c r="B124" s="1206"/>
      <c r="C124" s="1206"/>
      <c r="D124" s="523" t="s">
        <v>140</v>
      </c>
      <c r="E124" s="478">
        <f>'15'!F124</f>
        <v>843729.17</v>
      </c>
      <c r="F124" s="478">
        <v>843994.51</v>
      </c>
      <c r="G124" s="473">
        <f t="shared" ref="G124:G128" si="14">F124-E124</f>
        <v>265.3399999999674</v>
      </c>
      <c r="H124" s="460">
        <f>G124+'15'!H124</f>
        <v>4324.5100000000093</v>
      </c>
      <c r="I124" s="526"/>
      <c r="J124" s="552">
        <f>H124/DAY(B2)</f>
        <v>270.28187500000058</v>
      </c>
      <c r="K124" s="380"/>
      <c r="L124" s="377"/>
      <c r="N124" s="718"/>
      <c r="O124" s="725"/>
      <c r="P124" s="382"/>
    </row>
    <row r="125" spans="1:16" ht="27.75">
      <c r="A125" s="1205" t="s">
        <v>231</v>
      </c>
      <c r="B125" s="1206"/>
      <c r="C125" s="1206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'15'!F126</f>
        <v>149972.35</v>
      </c>
      <c r="F126" s="478">
        <v>150071.53</v>
      </c>
      <c r="G126" s="473">
        <f t="shared" si="14"/>
        <v>99.179999999993015</v>
      </c>
      <c r="H126" s="460">
        <f>G126+'15'!H126</f>
        <v>1474.5299999999988</v>
      </c>
      <c r="I126" s="526"/>
      <c r="J126" s="552">
        <f>H126/DAY(B2)</f>
        <v>92.158124999999927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06"/>
      <c r="C127" s="1206"/>
      <c r="D127" s="523" t="s">
        <v>140</v>
      </c>
      <c r="E127" s="626">
        <f>'15'!F127</f>
        <v>32643.200000000001</v>
      </c>
      <c r="F127" s="626">
        <v>32684.2</v>
      </c>
      <c r="G127" s="473">
        <f t="shared" si="14"/>
        <v>41</v>
      </c>
      <c r="H127" s="460">
        <f>G127+'15'!H127</f>
        <v>613.20000000000073</v>
      </c>
      <c r="I127" s="526"/>
      <c r="J127" s="552">
        <f>H127/DAY(B2)</f>
        <v>38.325000000000045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06"/>
      <c r="C128" s="1206"/>
      <c r="D128" s="523" t="s">
        <v>140</v>
      </c>
      <c r="E128" s="626">
        <f>'15'!F128</f>
        <v>9066.4</v>
      </c>
      <c r="F128" s="626">
        <v>9073.4</v>
      </c>
      <c r="G128" s="473">
        <f t="shared" si="14"/>
        <v>7</v>
      </c>
      <c r="H128" s="460">
        <f>G128+'15'!H128</f>
        <v>61.399999999999636</v>
      </c>
      <c r="I128" s="480"/>
      <c r="J128" s="552">
        <f>H128/DAY(B2)</f>
        <v>3.8374999999999773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06"/>
      <c r="C129" s="1206"/>
      <c r="D129" s="523"/>
      <c r="E129" s="478"/>
      <c r="F129" s="478"/>
      <c r="G129" s="473">
        <f>G15-SUM(G124:G128)</f>
        <v>424.73700000002282</v>
      </c>
      <c r="H129" s="460">
        <f>G129+'15'!H129</f>
        <v>424.73700000002282</v>
      </c>
      <c r="I129" s="480"/>
      <c r="J129" s="552">
        <f>H129/DAY(B2)</f>
        <v>26.546062500001426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5" t="s">
        <v>237</v>
      </c>
      <c r="B131" s="1206"/>
      <c r="C131" s="1206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5" t="s">
        <v>239</v>
      </c>
      <c r="B132" s="1206"/>
      <c r="C132" s="1206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5" t="s">
        <v>240</v>
      </c>
      <c r="B133" s="1206"/>
      <c r="C133" s="1206"/>
      <c r="D133" s="523" t="s">
        <v>238</v>
      </c>
      <c r="E133" s="541">
        <f>'15'!F133</f>
        <v>40612.1</v>
      </c>
      <c r="F133" s="651">
        <v>40612.1</v>
      </c>
      <c r="G133" s="473">
        <f t="shared" si="15"/>
        <v>0</v>
      </c>
      <c r="H133" s="460">
        <f>G133+'15'!H133</f>
        <v>159.09999999999854</v>
      </c>
      <c r="I133" s="480"/>
      <c r="J133" s="552">
        <f>H133/DAY(B2)</f>
        <v>9.9437499999999091</v>
      </c>
      <c r="N133" s="718"/>
      <c r="O133" s="725"/>
      <c r="P133" s="382"/>
    </row>
    <row r="134" spans="1:16" ht="27.75">
      <c r="A134" s="1205" t="s">
        <v>241</v>
      </c>
      <c r="B134" s="1206"/>
      <c r="C134" s="1206"/>
      <c r="D134" s="523" t="s">
        <v>238</v>
      </c>
      <c r="E134" s="701">
        <f>'15'!F134</f>
        <v>365.24</v>
      </c>
      <c r="F134" s="626">
        <v>384.48</v>
      </c>
      <c r="G134" s="473">
        <f t="shared" si="15"/>
        <v>19.240000000000009</v>
      </c>
      <c r="H134" s="460">
        <f>G134+'15'!H134</f>
        <v>84.480000000000018</v>
      </c>
      <c r="I134" s="480">
        <f>G131+G132+G133+G134</f>
        <v>19.240000000000009</v>
      </c>
      <c r="J134" s="552">
        <f>H134/DAY(B2)</f>
        <v>5.2800000000000011</v>
      </c>
      <c r="N134" s="718"/>
      <c r="O134" s="725"/>
      <c r="P134" s="382"/>
    </row>
    <row r="135" spans="1:16" ht="27.75">
      <c r="A135" s="1205" t="s">
        <v>242</v>
      </c>
      <c r="B135" s="1206"/>
      <c r="C135" s="1206"/>
      <c r="D135" s="523" t="s">
        <v>238</v>
      </c>
      <c r="E135" s="701">
        <f>'15'!F135</f>
        <v>42199.46</v>
      </c>
      <c r="F135" s="626">
        <v>42209</v>
      </c>
      <c r="G135" s="473">
        <f t="shared" si="15"/>
        <v>9.5400000000008731</v>
      </c>
      <c r="H135" s="460">
        <f>G135+'15'!H135</f>
        <v>237</v>
      </c>
      <c r="I135" s="480"/>
      <c r="J135" s="552">
        <f>H135/DAY(B2)</f>
        <v>14.8125</v>
      </c>
      <c r="N135" s="718"/>
      <c r="O135" s="725"/>
      <c r="P135" s="382"/>
    </row>
    <row r="136" spans="1:16" ht="27.75">
      <c r="A136" s="1205" t="s">
        <v>243</v>
      </c>
      <c r="B136" s="1206"/>
      <c r="C136" s="1206"/>
      <c r="D136" s="523" t="s">
        <v>238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5" t="s">
        <v>244</v>
      </c>
      <c r="B137" s="1206"/>
      <c r="C137" s="1206"/>
      <c r="D137" s="523" t="s">
        <v>238</v>
      </c>
      <c r="E137" s="541">
        <f>'15'!F137</f>
        <v>22997.77</v>
      </c>
      <c r="F137" s="651">
        <v>23005.79</v>
      </c>
      <c r="G137" s="473">
        <f t="shared" si="15"/>
        <v>8.0200000000004366</v>
      </c>
      <c r="H137" s="460">
        <f>G137+'15'!H137</f>
        <v>114.29999999999927</v>
      </c>
      <c r="I137" s="480">
        <f>G135+G136+G137</f>
        <v>17.56000000000131</v>
      </c>
      <c r="J137" s="552">
        <f>H137/DAY(B2)</f>
        <v>7.1437499999999545</v>
      </c>
      <c r="N137" s="718"/>
      <c r="O137" s="725"/>
      <c r="P137" s="382"/>
    </row>
    <row r="138" spans="1:16" ht="27.75">
      <c r="A138" s="1205" t="s">
        <v>245</v>
      </c>
      <c r="B138" s="1206"/>
      <c r="C138" s="1206"/>
      <c r="D138" s="523" t="s">
        <v>238</v>
      </c>
      <c r="E138" s="541">
        <f>'15'!F138</f>
        <v>25099.16</v>
      </c>
      <c r="F138" s="651">
        <v>25099.16</v>
      </c>
      <c r="G138" s="473">
        <f t="shared" si="15"/>
        <v>0</v>
      </c>
      <c r="H138" s="460">
        <f>G138+'15'!H138</f>
        <v>7.7700000000004366</v>
      </c>
      <c r="I138" s="480"/>
      <c r="J138" s="552">
        <f>H138/DAY(B2)</f>
        <v>0.48562500000002728</v>
      </c>
      <c r="N138" s="718"/>
      <c r="O138" s="725"/>
      <c r="P138" s="382"/>
    </row>
    <row r="139" spans="1:16" ht="27.75">
      <c r="A139" s="1205" t="s">
        <v>246</v>
      </c>
      <c r="B139" s="1206"/>
      <c r="C139" s="1206"/>
      <c r="D139" s="523" t="s">
        <v>238</v>
      </c>
      <c r="E139" s="541">
        <f>'15'!F139</f>
        <v>70516.600000000006</v>
      </c>
      <c r="F139" s="651">
        <v>70516.600000000006</v>
      </c>
      <c r="G139" s="473">
        <f t="shared" si="15"/>
        <v>0</v>
      </c>
      <c r="H139" s="460">
        <f>G139+'15'!H139</f>
        <v>2.9800000000104774</v>
      </c>
      <c r="I139" s="480">
        <f>G138+G139</f>
        <v>0</v>
      </c>
      <c r="J139" s="552">
        <f>H139/DAY(B2)</f>
        <v>0.18625000000065484</v>
      </c>
      <c r="N139" s="718"/>
      <c r="O139" s="725"/>
      <c r="P139" s="382"/>
    </row>
    <row r="140" spans="1:16" ht="27.75">
      <c r="A140" s="1205" t="s">
        <v>247</v>
      </c>
      <c r="B140" s="1206"/>
      <c r="C140" s="1206"/>
      <c r="D140" s="523" t="s">
        <v>238</v>
      </c>
      <c r="E140" s="701">
        <f>'15'!F140</f>
        <v>2247.77</v>
      </c>
      <c r="F140" s="626">
        <v>2247.77</v>
      </c>
      <c r="G140" s="473">
        <f t="shared" si="15"/>
        <v>0</v>
      </c>
      <c r="H140" s="460">
        <f>G140+'15'!H140</f>
        <v>118.59000000000015</v>
      </c>
      <c r="I140" s="542"/>
      <c r="J140" s="552">
        <f>H140/DAY(B2)</f>
        <v>7.4118750000000091</v>
      </c>
      <c r="N140" s="718"/>
      <c r="O140" s="725"/>
      <c r="P140" s="382"/>
    </row>
    <row r="141" spans="1:16" ht="27.75">
      <c r="A141" s="1205" t="s">
        <v>248</v>
      </c>
      <c r="B141" s="1206"/>
      <c r="C141" s="1206"/>
      <c r="D141" s="523" t="s">
        <v>238</v>
      </c>
      <c r="E141" s="484">
        <f>'15'!F141</f>
        <v>4666.72</v>
      </c>
      <c r="F141" s="478">
        <v>4675.7700000000004</v>
      </c>
      <c r="G141" s="473">
        <f t="shared" si="15"/>
        <v>9.0500000000001819</v>
      </c>
      <c r="H141" s="460">
        <f>G141+'15'!H141</f>
        <v>38.770000000000437</v>
      </c>
      <c r="I141" s="542"/>
      <c r="J141" s="552">
        <f>H141/DAY(B2)</f>
        <v>2.4231250000000273</v>
      </c>
      <c r="N141" s="718"/>
      <c r="O141" s="725"/>
      <c r="P141" s="382"/>
    </row>
    <row r="142" spans="1:16">
      <c r="A142" s="1562" t="s">
        <v>307</v>
      </c>
      <c r="B142" s="1563"/>
      <c r="C142" s="120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5779.3799999998882</v>
      </c>
      <c r="H143" s="460">
        <f>G143+'15'!H143</f>
        <v>90293.300000000032</v>
      </c>
      <c r="I143" s="480"/>
      <c r="J143" s="552">
        <f>H143/DAY(B2)</f>
        <v>5643.331250000002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0.26182625737654097</v>
      </c>
      <c r="H144" s="460">
        <f>G144+'15'!H144</f>
        <v>4.1613073933964255</v>
      </c>
      <c r="I144" s="544"/>
      <c r="J144" s="552">
        <f>H144/DAY(B2)</f>
        <v>0.2600817120872766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6367.0100000000384</v>
      </c>
      <c r="H145" s="460">
        <f>G145+'15'!H145</f>
        <v>105521.94000000002</v>
      </c>
      <c r="I145" s="480"/>
      <c r="J145" s="552">
        <f>H145/DAY(B2)</f>
        <v>6595.1212500000011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0.28844796482997354</v>
      </c>
      <c r="H146" s="460">
        <f>G146+'15'!H146</f>
        <v>4.8573410445970211</v>
      </c>
      <c r="I146" s="544"/>
      <c r="J146" s="552">
        <f>H146/DAY(B2)</f>
        <v>0.30358381528731382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3776.2200000000303</v>
      </c>
      <c r="H147" s="460">
        <f>G147+'15'!H147</f>
        <v>58978.490000000049</v>
      </c>
      <c r="I147" s="545"/>
      <c r="J147" s="552">
        <f>H147/DAY(B2)</f>
        <v>3686.1556250000031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0.17107605826757691</v>
      </c>
      <c r="H148" s="460">
        <f>G148+'15'!H148</f>
        <v>2.7198415859489171</v>
      </c>
      <c r="I148" s="545"/>
      <c r="J148" s="552">
        <f>H148/DAY(B2)</f>
        <v>0.16999009912180732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1628.4099999999453</v>
      </c>
      <c r="H149" s="460">
        <f>G149+'15'!H149</f>
        <v>25791.639999999956</v>
      </c>
      <c r="I149" s="480"/>
      <c r="J149" s="552">
        <f>H149/DAY(B2)</f>
        <v>1611.9774999999972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7.3772704991630064E-2</v>
      </c>
      <c r="H150" s="460">
        <f>G150+'15'!H150</f>
        <v>1.1880804862986778</v>
      </c>
      <c r="I150" s="545"/>
      <c r="J150" s="552">
        <f>H150/DAY(B2)</f>
        <v>7.4255030393667362E-2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2105.7400000000343</v>
      </c>
      <c r="H151" s="460">
        <f>G151+'15'!H151</f>
        <v>32350.260000000053</v>
      </c>
      <c r="I151" s="545"/>
      <c r="J151" s="552">
        <f>H151/DAY(B2)</f>
        <v>2021.8912500000033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9.539743418984338E-2</v>
      </c>
      <c r="H152" s="460">
        <f>G152+'15'!H152</f>
        <v>1.4872035181351446</v>
      </c>
      <c r="I152" s="480"/>
      <c r="J152" s="552">
        <f>H152/DAY(B2)</f>
        <v>9.2950219883446539E-2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1642.1699999999837</v>
      </c>
      <c r="H153" s="460">
        <f>G153+'15'!H153</f>
        <v>24974.76999999999</v>
      </c>
      <c r="I153" s="480"/>
      <c r="J153" s="552">
        <f>H153/DAY(B2)</f>
        <v>1560.9231249999993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7.4396081426734068E-2</v>
      </c>
      <c r="H154" s="460">
        <f>G154+'15'!H154</f>
        <v>1.1513947847203028</v>
      </c>
      <c r="I154" s="568"/>
      <c r="J154" s="569">
        <f>H154/DAY(B2)</f>
        <v>7.1962174045018923E-2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'15'!F161</f>
        <v>42045.26</v>
      </c>
      <c r="F161" s="803">
        <v>42126.62</v>
      </c>
      <c r="G161" s="473">
        <f t="shared" ref="G161:G164" si="16">F161-E161</f>
        <v>81.360000000000582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'15'!F162</f>
        <v>114691.19</v>
      </c>
      <c r="F162" s="803">
        <v>115140.88</v>
      </c>
      <c r="G162" s="473">
        <f t="shared" si="16"/>
        <v>449.69000000000233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'15'!F163</f>
        <v>64304.480000000003</v>
      </c>
      <c r="F163" s="783">
        <v>64518.62</v>
      </c>
      <c r="G163" s="473">
        <f t="shared" si="16"/>
        <v>214.13999999999942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'15'!F164</f>
        <v>6998.14</v>
      </c>
      <c r="F164" s="803">
        <v>7006.85</v>
      </c>
      <c r="G164" s="473">
        <f t="shared" si="16"/>
        <v>8.7100000000000364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'15'!F167</f>
        <v>175929.51</v>
      </c>
      <c r="F167" s="514">
        <f t="shared" si="18"/>
        <v>176328.81</v>
      </c>
      <c r="G167" s="473">
        <f t="shared" si="17"/>
        <v>399.29999999998836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'15'!F168</f>
        <v>175940.77</v>
      </c>
      <c r="F168" s="514">
        <f t="shared" si="18"/>
        <v>176333.07</v>
      </c>
      <c r="G168" s="473">
        <f t="shared" si="17"/>
        <v>392.30000000001746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'15'!F169</f>
        <v>74144.679999999993</v>
      </c>
      <c r="F169" s="514">
        <f t="shared" si="18"/>
        <v>74541.64</v>
      </c>
      <c r="G169" s="473">
        <f t="shared" si="17"/>
        <v>396.9600000000064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'15'!F170</f>
        <v>272023.17</v>
      </c>
      <c r="F170" s="514">
        <f t="shared" si="18"/>
        <v>272493.05</v>
      </c>
      <c r="G170" s="473">
        <f t="shared" si="17"/>
        <v>469.88000000000466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'15'!F172</f>
        <v>91422.25</v>
      </c>
      <c r="F172" s="514">
        <f t="shared" si="18"/>
        <v>91726.12</v>
      </c>
      <c r="G172" s="473">
        <f t="shared" si="17"/>
        <v>303.86999999999534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2716.2100000000146</v>
      </c>
      <c r="N173" s="718"/>
    </row>
    <row r="174" spans="1:14">
      <c r="N174" s="718"/>
    </row>
    <row r="175" spans="1:14">
      <c r="A175" s="1587" t="s">
        <v>350</v>
      </c>
      <c r="B175" s="1550"/>
      <c r="C175" s="785"/>
      <c r="D175" s="523" t="s">
        <v>186</v>
      </c>
      <c r="N175" s="718"/>
    </row>
    <row r="176" spans="1:14">
      <c r="A176" s="1587" t="s">
        <v>351</v>
      </c>
      <c r="B176" s="1550"/>
      <c r="C176" s="785"/>
      <c r="D176" s="523" t="s">
        <v>186</v>
      </c>
      <c r="N176" s="718"/>
    </row>
    <row r="177" spans="1:14" ht="18.75" customHeight="1">
      <c r="N177" s="718"/>
    </row>
    <row r="178" spans="1:14">
      <c r="A178" s="1587" t="s">
        <v>350</v>
      </c>
      <c r="B178" s="1550"/>
      <c r="C178" s="785"/>
      <c r="D178" s="523" t="s">
        <v>186</v>
      </c>
      <c r="E178" s="532">
        <f>'15'!F178</f>
        <v>19072</v>
      </c>
      <c r="F178" s="532">
        <v>19077.2</v>
      </c>
      <c r="G178" s="473">
        <f t="shared" ref="G178:G180" si="19">F178-E178</f>
        <v>5.2000000000007276</v>
      </c>
      <c r="N178" s="718"/>
    </row>
    <row r="179" spans="1:14">
      <c r="A179" s="1587" t="s">
        <v>350</v>
      </c>
      <c r="B179" s="1550"/>
      <c r="C179" s="785"/>
      <c r="D179" s="523" t="s">
        <v>186</v>
      </c>
      <c r="E179" s="532">
        <f>'15'!F179</f>
        <v>70429.3</v>
      </c>
      <c r="F179" s="532">
        <v>70435.8</v>
      </c>
      <c r="G179" s="473">
        <f t="shared" si="19"/>
        <v>6.5</v>
      </c>
      <c r="N179" s="718"/>
    </row>
    <row r="180" spans="1:14">
      <c r="A180" s="1587" t="s">
        <v>351</v>
      </c>
      <c r="B180" s="1550"/>
      <c r="C180" s="785"/>
      <c r="D180" s="523" t="s">
        <v>186</v>
      </c>
      <c r="E180" s="532">
        <f>'15'!F180</f>
        <v>27704.6</v>
      </c>
      <c r="F180" s="532">
        <v>27712</v>
      </c>
      <c r="G180" s="473">
        <f t="shared" si="19"/>
        <v>7.4000000000014552</v>
      </c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>
      <c r="N199" s="718"/>
    </row>
    <row r="200" spans="14:14" ht="23.25" customHeight="1">
      <c r="N200" s="718"/>
    </row>
    <row r="201" spans="14:14" ht="23.25" customHeight="1">
      <c r="N201" s="71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75" sqref="F17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358</v>
      </c>
      <c r="B2" s="1031">
        <v>44394</v>
      </c>
      <c r="C2" s="122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2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'16'!F7</f>
        <v>269331.73</v>
      </c>
      <c r="F7" s="455">
        <v>294110.21000000002</v>
      </c>
      <c r="G7" s="678">
        <f>F7-E7</f>
        <v>24778.48000000004</v>
      </c>
      <c r="H7" s="679">
        <f>G7+'16'!H7</f>
        <v>372157.21000000008</v>
      </c>
      <c r="I7" s="680">
        <f>'1'!I7</f>
        <v>12000</v>
      </c>
      <c r="J7" s="681">
        <f>H7/DAY(B2)</f>
        <v>21891.600588235298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'16'!F8</f>
        <v>275803.39</v>
      </c>
      <c r="F8" s="475">
        <v>300718.13</v>
      </c>
      <c r="G8" s="689">
        <f>F8-E8</f>
        <v>24914.739999999991</v>
      </c>
      <c r="H8" s="679">
        <f>G8+'16'!H8</f>
        <v>373996.13</v>
      </c>
      <c r="I8" s="686">
        <f>'1'!I8</f>
        <v>12000</v>
      </c>
      <c r="J8" s="681">
        <f>H8/DAY(B2)</f>
        <v>21999.772352941178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'16'!F9</f>
        <v>2369088.7000000002</v>
      </c>
      <c r="F9" s="478">
        <v>2393068.2999999998</v>
      </c>
      <c r="G9" s="702">
        <f t="shared" ref="G9:G12" si="0">F9-E9</f>
        <v>23979.599999999627</v>
      </c>
      <c r="H9" s="679">
        <f>G9+'16'!H9</f>
        <v>362066.29999999981</v>
      </c>
      <c r="I9" s="690">
        <f>I7-J7</f>
        <v>-9891.6005882352983</v>
      </c>
      <c r="J9" s="681">
        <f>H9/DAY(B2)</f>
        <v>21298.017647058812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'16'!F10</f>
        <v>2606.5500000000002</v>
      </c>
      <c r="F10" s="478">
        <v>2606.85</v>
      </c>
      <c r="G10" s="689">
        <f t="shared" si="0"/>
        <v>0.29999999999972715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24048.739999999991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23979.899999999627</v>
      </c>
      <c r="H13" s="679">
        <f>G13+'16'!H13</f>
        <v>341739.5999999998</v>
      </c>
      <c r="I13" s="695">
        <f>G7-G13</f>
        <v>798.58000000041284</v>
      </c>
      <c r="J13" s="681">
        <f>H13/DAY(B2)</f>
        <v>20102.329411764695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'16'!F15</f>
        <v>1716954.88</v>
      </c>
      <c r="F15" s="700">
        <v>1717936.541</v>
      </c>
      <c r="G15" s="664">
        <f>(F15-E15)</f>
        <v>981.66100000008009</v>
      </c>
      <c r="H15" s="486">
        <f>G15+'16'!H15</f>
        <v>14253.540999999968</v>
      </c>
      <c r="I15" s="474">
        <f>'1'!I15</f>
        <v>800</v>
      </c>
      <c r="J15" s="553">
        <f>H15/DAY(B2)</f>
        <v>838.44358823529228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-38.443588235292282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'16'!F18</f>
        <v>11</v>
      </c>
      <c r="F18" s="478">
        <v>14</v>
      </c>
      <c r="G18" s="694">
        <f>F18*10</f>
        <v>140</v>
      </c>
      <c r="H18" s="679">
        <f>G18+'16'!H18</f>
        <v>2270</v>
      </c>
      <c r="I18" s="680">
        <f>'1'!I18</f>
        <v>65</v>
      </c>
      <c r="J18" s="681">
        <f>H18/DAY(B2)</f>
        <v>133.52941176470588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'16'!F19</f>
        <v>142477</v>
      </c>
      <c r="F19" s="478">
        <v>142538</v>
      </c>
      <c r="G19" s="689">
        <f>F19-E19</f>
        <v>61</v>
      </c>
      <c r="H19" s="679">
        <f>G19+'16'!H19</f>
        <v>1043</v>
      </c>
      <c r="I19" s="696"/>
      <c r="J19" s="681">
        <f>H19/DAY(B2)</f>
        <v>61.352941176470587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201</v>
      </c>
      <c r="H20" s="679">
        <f>G20+'16'!H20</f>
        <v>3313</v>
      </c>
      <c r="I20" s="698">
        <f>I18-J20</f>
        <v>-129.88235294117646</v>
      </c>
      <c r="J20" s="681">
        <f>H20/DAY(B2)</f>
        <v>194.88235294117646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2" t="s">
        <v>146</v>
      </c>
      <c r="B22" s="589"/>
      <c r="C22" s="589"/>
      <c r="D22" s="523" t="s">
        <v>147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2" t="s">
        <v>148</v>
      </c>
      <c r="B23" s="589"/>
      <c r="C23" s="589"/>
      <c r="D23" s="523" t="s">
        <v>147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24914.739999999991</v>
      </c>
      <c r="F27" s="501">
        <v>9</v>
      </c>
      <c r="G27" s="502">
        <f>E27*F27</f>
        <v>224232.65999999992</v>
      </c>
      <c r="H27" s="460">
        <f>G27+'16'!H27</f>
        <v>3365965.17</v>
      </c>
      <c r="I27" s="503"/>
      <c r="J27" s="552">
        <f>H27/DAY(B2)</f>
        <v>197997.95117647058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981.66100000008009</v>
      </c>
      <c r="F28" s="501">
        <v>52</v>
      </c>
      <c r="G28" s="502">
        <f>E28*F28</f>
        <v>51046.372000004165</v>
      </c>
      <c r="H28" s="460">
        <f>G28+'16'!H28</f>
        <v>741184.13199999835</v>
      </c>
      <c r="I28" s="505"/>
      <c r="J28" s="552">
        <f>H28/DAY(B2)</f>
        <v>43599.066588235197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G30+'16'!H30</f>
        <v>151694</v>
      </c>
      <c r="I30" s="505"/>
      <c r="J30" s="552">
        <f>H30/DAY(B2)</f>
        <v>8923.176470588236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G31+'16'!H31</f>
        <v>176000</v>
      </c>
      <c r="I31" s="505"/>
      <c r="J31" s="552"/>
      <c r="K31" s="373">
        <f>E31*80%</f>
        <v>112</v>
      </c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295385.03200000408</v>
      </c>
      <c r="H32" s="460">
        <f>G32+'16'!H32</f>
        <v>4434843.3019999983</v>
      </c>
      <c r="I32" s="509"/>
      <c r="J32" s="552">
        <f>H32/DAY(B2)</f>
        <v>260873.13541176461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27"/>
      <c r="C34" s="122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1058597.3</v>
      </c>
      <c r="F35" s="510">
        <v>1058597.3</v>
      </c>
      <c r="G35" s="473">
        <f t="shared" ref="G35:G46" si="1">F35-E35</f>
        <v>0</v>
      </c>
      <c r="H35" s="460">
        <f>G35+'16'!H35</f>
        <v>29883.300000000047</v>
      </c>
      <c r="I35" s="455"/>
      <c r="J35" s="552">
        <f>H35/DAY(B2)</f>
        <v>1757.8411764705909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33958.83</v>
      </c>
      <c r="F36" s="510">
        <v>35090.65</v>
      </c>
      <c r="G36" s="473">
        <f t="shared" si="1"/>
        <v>1131.8199999999997</v>
      </c>
      <c r="H36" s="460">
        <f>G36+'16'!H36</f>
        <v>14629.650000000001</v>
      </c>
      <c r="I36" s="455"/>
      <c r="J36" s="552">
        <f>H36/DAY(B2)</f>
        <v>860.56764705882358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201544.9</v>
      </c>
      <c r="F37" s="510">
        <v>203201.45</v>
      </c>
      <c r="G37" s="473">
        <f t="shared" si="1"/>
        <v>1656.5500000000175</v>
      </c>
      <c r="H37" s="460">
        <f>G37+'16'!H37</f>
        <v>26631.450000000012</v>
      </c>
      <c r="I37" s="455"/>
      <c r="J37" s="552">
        <f>H37/DAY(B2)</f>
        <v>1566.5558823529418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224250.57</v>
      </c>
      <c r="F38" s="469">
        <v>226010.49</v>
      </c>
      <c r="G38" s="473">
        <f t="shared" si="1"/>
        <v>1759.9199999999837</v>
      </c>
      <c r="H38" s="460">
        <f>G38+'16'!H38</f>
        <v>27551.489999999991</v>
      </c>
      <c r="I38" s="455"/>
      <c r="J38" s="552">
        <f>H38/DAY(B2)</f>
        <v>1620.6758823529406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463842.9</v>
      </c>
      <c r="F39" s="510">
        <v>467561.43</v>
      </c>
      <c r="G39" s="473">
        <f>F39-E39</f>
        <v>3718.5299999999697</v>
      </c>
      <c r="H39" s="460">
        <f>G39+'16'!H39</f>
        <v>62697.429999999993</v>
      </c>
      <c r="I39" s="455"/>
      <c r="J39" s="552">
        <f>H39/DAY(B2)</f>
        <v>3688.0841176470585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13152.74</v>
      </c>
      <c r="F40" s="510">
        <v>13572.19</v>
      </c>
      <c r="G40" s="473">
        <f t="shared" si="1"/>
        <v>419.45000000000073</v>
      </c>
      <c r="H40" s="460">
        <f>G40+'16'!H40</f>
        <v>6459.1900000000005</v>
      </c>
      <c r="I40" s="455"/>
      <c r="J40" s="552">
        <f>H40/DAY(B2)</f>
        <v>379.95235294117651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365502.35</v>
      </c>
      <c r="F41" s="510">
        <v>365502.35</v>
      </c>
      <c r="G41" s="473">
        <f t="shared" si="1"/>
        <v>0</v>
      </c>
      <c r="H41" s="460">
        <f>G41+'16'!H41</f>
        <v>35860.349999999977</v>
      </c>
      <c r="I41" s="455"/>
      <c r="J41" s="552">
        <f>H41/DAY(B2)</f>
        <v>2109.4323529411749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76541.78</v>
      </c>
      <c r="F42" s="510">
        <v>79273.179999999993</v>
      </c>
      <c r="G42" s="473">
        <f>F42-E42</f>
        <v>2731.3999999999942</v>
      </c>
      <c r="H42" s="460">
        <f>G42+'16'!H42</f>
        <v>20074.289999999994</v>
      </c>
      <c r="I42" s="455"/>
      <c r="J42" s="552">
        <f>H42/DAY(B2)</f>
        <v>1180.8405882352938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1162991.5</v>
      </c>
      <c r="F43" s="510">
        <v>1166088.8999999999</v>
      </c>
      <c r="G43" s="473">
        <f t="shared" si="1"/>
        <v>3097.3999999999069</v>
      </c>
      <c r="H43" s="460">
        <f>G43+'16'!H43</f>
        <v>45636.899999999907</v>
      </c>
      <c r="I43" s="455"/>
      <c r="J43" s="552">
        <f>H43/DAY(B2)</f>
        <v>2684.5235294117592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14515.069999999872</v>
      </c>
      <c r="H47" s="460">
        <f>G47+'16'!H47</f>
        <v>270225.53999999992</v>
      </c>
      <c r="I47" s="455"/>
      <c r="J47" s="552">
        <f>H47/DAY(B2)</f>
        <v>15895.619999999995</v>
      </c>
      <c r="K47" s="428"/>
      <c r="L47" s="377"/>
      <c r="N47" s="718"/>
      <c r="O47" s="725"/>
      <c r="P47" s="382"/>
    </row>
    <row r="48" spans="1:16">
      <c r="A48" s="598" t="s">
        <v>176</v>
      </c>
      <c r="B48" s="1227"/>
      <c r="C48" s="122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278602.17</v>
      </c>
      <c r="F49" s="510">
        <v>281872.59000000003</v>
      </c>
      <c r="G49" s="473">
        <f t="shared" ref="G49:G58" si="2">F49-E49</f>
        <v>3270.4200000000419</v>
      </c>
      <c r="H49" s="460">
        <f>G49+'16'!H49</f>
        <v>21108.590000000026</v>
      </c>
      <c r="I49" s="455"/>
      <c r="J49" s="552">
        <f>H49/DAY(B2)</f>
        <v>1241.6817647058838</v>
      </c>
      <c r="K49" s="428">
        <f>E49+242</f>
        <v>278844.17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553515.43000000005</v>
      </c>
      <c r="F50" s="510">
        <v>554815.87</v>
      </c>
      <c r="G50" s="473">
        <f t="shared" si="2"/>
        <v>1300.4399999999441</v>
      </c>
      <c r="H50" s="460">
        <f>G50+'16'!H50</f>
        <v>19059.869999999995</v>
      </c>
      <c r="I50" s="455"/>
      <c r="J50" s="552">
        <f>H50/DAY(B2)</f>
        <v>1121.1688235294114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144639.87</v>
      </c>
      <c r="G51" s="473">
        <f t="shared" si="2"/>
        <v>0</v>
      </c>
      <c r="H51" s="460">
        <f>G51+'16'!H51</f>
        <v>-0.13000000000465661</v>
      </c>
      <c r="I51" s="455"/>
      <c r="J51" s="552">
        <f>H51/DAY(B2)</f>
        <v>-7.6470588238033302E-3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0.27000000000043656</v>
      </c>
      <c r="I54" s="455"/>
      <c r="J54" s="552">
        <f>H54/DAY(B2)</f>
        <v>1.588235294120215E-2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169786.79</v>
      </c>
      <c r="F55" s="653">
        <v>175178.35</v>
      </c>
      <c r="G55" s="652">
        <f t="shared" si="2"/>
        <v>5391.5599999999977</v>
      </c>
      <c r="H55" s="705">
        <f>G55+'16'!H55</f>
        <v>51968.350000000006</v>
      </c>
      <c r="I55" s="706"/>
      <c r="J55" s="707">
        <f>H55/DAY(B2)</f>
        <v>3056.9617647058826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649199.91</v>
      </c>
      <c r="F56" s="653">
        <v>649210.35</v>
      </c>
      <c r="G56" s="473">
        <f>F56-E56</f>
        <v>10.439999999944121</v>
      </c>
      <c r="H56" s="460">
        <f>G56+'16'!H56</f>
        <v>168.34999999997672</v>
      </c>
      <c r="I56" s="455"/>
      <c r="J56" s="552">
        <f>H56/DAY(B2)</f>
        <v>9.9029411764692181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56816.19</v>
      </c>
      <c r="F58" s="653">
        <v>57008.56</v>
      </c>
      <c r="G58" s="473">
        <f t="shared" si="2"/>
        <v>192.36999999999534</v>
      </c>
      <c r="H58" s="460">
        <f>G58+'16'!H58</f>
        <v>2828.5599999999977</v>
      </c>
      <c r="I58" s="455"/>
      <c r="J58" s="552">
        <f>H58/DAY(B2)</f>
        <v>166.38588235294105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10165.629999999888</v>
      </c>
      <c r="H59" s="460">
        <f>G59+'16'!H59</f>
        <v>95133.919999999911</v>
      </c>
      <c r="I59" s="455">
        <f>G7-G60</f>
        <v>97.78000000027896</v>
      </c>
      <c r="J59" s="552">
        <f>H59/DAY(B2)</f>
        <v>5596.112941176465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24680.699999999761</v>
      </c>
      <c r="H60" s="460">
        <f>G60+'16'!H60</f>
        <v>372262.78999999992</v>
      </c>
      <c r="I60" s="455">
        <f>G13-G60</f>
        <v>-700.80000000013388</v>
      </c>
      <c r="J60" s="552">
        <f>H60/DAY(B2)</f>
        <v>21897.811176470583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'16'!F64</f>
        <v>176328.81</v>
      </c>
      <c r="F64" s="626">
        <v>176694.07</v>
      </c>
      <c r="G64" s="773">
        <f t="shared" si="3"/>
        <v>365.26000000000931</v>
      </c>
      <c r="H64" s="460">
        <f>G64+'16'!H64</f>
        <v>6672.070000000007</v>
      </c>
      <c r="I64" s="480"/>
      <c r="J64" s="552">
        <f>H64/DAY(B2)</f>
        <v>392.47470588235336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'16'!F65</f>
        <v>176333.07</v>
      </c>
      <c r="F65" s="651">
        <v>176719.61</v>
      </c>
      <c r="G65" s="473">
        <f t="shared" si="3"/>
        <v>386.53999999997905</v>
      </c>
      <c r="H65" s="460">
        <f>G65+'16'!H65</f>
        <v>6417.609999999986</v>
      </c>
      <c r="I65" s="489"/>
      <c r="J65" s="552">
        <f>H65/DAY(B2)</f>
        <v>377.50647058823449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'16'!F66</f>
        <v>74541.64</v>
      </c>
      <c r="F66" s="478">
        <v>74932.600000000006</v>
      </c>
      <c r="G66" s="473">
        <f t="shared" si="3"/>
        <v>390.9600000000064</v>
      </c>
      <c r="H66" s="460">
        <f>G66+'16'!H66</f>
        <v>6962.6000000000058</v>
      </c>
      <c r="I66" s="480"/>
      <c r="J66" s="552">
        <f>H66/DAY(B2)</f>
        <v>409.56470588235328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'16'!F67</f>
        <v>272493.05</v>
      </c>
      <c r="F67" s="478">
        <v>272970.90999999997</v>
      </c>
      <c r="G67" s="473">
        <f t="shared" si="3"/>
        <v>477.85999999998603</v>
      </c>
      <c r="H67" s="460">
        <f>G67+'16'!H67</f>
        <v>8011.9099999999744</v>
      </c>
      <c r="I67" s="489"/>
      <c r="J67" s="552">
        <f>H67/DAY(B2)</f>
        <v>471.28882352941025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'16'!F69</f>
        <v>91726.12</v>
      </c>
      <c r="F69" s="478">
        <v>92028.09</v>
      </c>
      <c r="G69" s="473">
        <f t="shared" si="3"/>
        <v>301.97000000000116</v>
      </c>
      <c r="H69" s="460">
        <f>G69+'16'!H69</f>
        <v>4513.0899999999965</v>
      </c>
      <c r="I69" s="516"/>
      <c r="J69" s="552">
        <f>H69/DAY(B2)</f>
        <v>265.47588235294097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>
        <v>855695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'16'!F72</f>
        <v>856417</v>
      </c>
      <c r="F72" s="654">
        <v>856430</v>
      </c>
      <c r="G72" s="473">
        <f t="shared" ref="G72:G84" si="4">F72-E72</f>
        <v>13</v>
      </c>
      <c r="H72" s="460">
        <f>G72+'16'!H72</f>
        <v>195</v>
      </c>
      <c r="I72" s="480"/>
      <c r="J72" s="552">
        <f>H72/DAY(B2)</f>
        <v>11.470588235294118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'16'!F73</f>
        <v>885994</v>
      </c>
      <c r="F73" s="655">
        <v>885995</v>
      </c>
      <c r="G73" s="652">
        <f t="shared" si="4"/>
        <v>1</v>
      </c>
      <c r="H73" s="460">
        <f>G73+'16'!H73</f>
        <v>161</v>
      </c>
      <c r="I73" s="480"/>
      <c r="J73" s="552">
        <f>H73/DAY(B2)</f>
        <v>9.4705882352941178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'16'!F74</f>
        <v>88714.6</v>
      </c>
      <c r="F74" s="655">
        <v>88715.6</v>
      </c>
      <c r="G74" s="473">
        <f t="shared" si="4"/>
        <v>1</v>
      </c>
      <c r="H74" s="460">
        <f>G74+'16'!H74</f>
        <v>53.600000000005821</v>
      </c>
      <c r="I74" s="480"/>
      <c r="J74" s="552">
        <f>H74/DAY(B2)</f>
        <v>3.1529411764709305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'16'!F75</f>
        <v>18527.59</v>
      </c>
      <c r="F75" s="655">
        <v>18704.3</v>
      </c>
      <c r="G75" s="473">
        <f t="shared" si="4"/>
        <v>176.70999999999913</v>
      </c>
      <c r="H75" s="460">
        <f>G75+'16'!H75</f>
        <v>2633.2999999999993</v>
      </c>
      <c r="I75" s="480"/>
      <c r="J75" s="552">
        <f>H75/DAY(B2)</f>
        <v>154.89999999999995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'16'!F76</f>
        <v>10388.01</v>
      </c>
      <c r="F76" s="655">
        <v>10453.129999999999</v>
      </c>
      <c r="G76" s="473">
        <f t="shared" si="4"/>
        <v>65.119999999998981</v>
      </c>
      <c r="H76" s="460">
        <f>G76+'16'!H76</f>
        <v>2234.1299999999992</v>
      </c>
      <c r="I76" s="505"/>
      <c r="J76" s="552">
        <f>H76/DAY(B2)</f>
        <v>131.41941176470584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'16'!F77</f>
        <v>705350</v>
      </c>
      <c r="F77" s="655">
        <v>705415</v>
      </c>
      <c r="G77" s="652">
        <f t="shared" si="4"/>
        <v>65</v>
      </c>
      <c r="H77" s="460">
        <f>G77+'16'!H77</f>
        <v>1041</v>
      </c>
      <c r="I77" s="505"/>
      <c r="J77" s="552">
        <f>H77/DAY(B2)</f>
        <v>61.235294117647058</v>
      </c>
      <c r="K77" s="430"/>
      <c r="L77" s="377"/>
      <c r="N77" s="718"/>
      <c r="O77" s="725"/>
      <c r="P77" s="382"/>
    </row>
    <row r="78" spans="1:16" ht="27.75">
      <c r="A78" s="1225" t="s">
        <v>196</v>
      </c>
      <c r="B78" s="1218"/>
      <c r="C78" s="1218"/>
      <c r="D78" s="523" t="s">
        <v>186</v>
      </c>
      <c r="E78" s="519">
        <f>'16'!F78</f>
        <v>676996</v>
      </c>
      <c r="F78" s="656">
        <v>677096</v>
      </c>
      <c r="G78" s="473">
        <f>F78-E78</f>
        <v>100</v>
      </c>
      <c r="H78" s="460">
        <f>G78+'16'!H78</f>
        <v>1682</v>
      </c>
      <c r="I78" s="505"/>
      <c r="J78" s="552">
        <f>H78/DAY(B2)</f>
        <v>98.941176470588232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'16'!F79</f>
        <v>837913</v>
      </c>
      <c r="F79" s="656">
        <v>838112</v>
      </c>
      <c r="G79" s="473">
        <f t="shared" si="4"/>
        <v>199</v>
      </c>
      <c r="H79" s="460">
        <f>G79+'16'!H79</f>
        <v>1958</v>
      </c>
      <c r="I79" s="505"/>
      <c r="J79" s="552">
        <f>H79/DAY(B2)</f>
        <v>115.17647058823529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'16'!F80</f>
        <v>545786.76</v>
      </c>
      <c r="F80" s="655">
        <v>546263.31999999995</v>
      </c>
      <c r="G80" s="473">
        <f t="shared" si="4"/>
        <v>476.55999999993946</v>
      </c>
      <c r="H80" s="460">
        <f>G80+'16'!H80</f>
        <v>3872.3199999999488</v>
      </c>
      <c r="I80" s="505"/>
      <c r="J80" s="552">
        <f>H80/DAY(B2)</f>
        <v>227.78352941176169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'16'!F81</f>
        <v>645997.07999999996</v>
      </c>
      <c r="F81" s="655">
        <v>646228.28</v>
      </c>
      <c r="G81" s="473">
        <f t="shared" si="4"/>
        <v>231.20000000006985</v>
      </c>
      <c r="H81" s="460">
        <f>G81+'16'!H81</f>
        <v>3243.2800000000279</v>
      </c>
      <c r="I81" s="505"/>
      <c r="J81" s="552">
        <f>H81/DAY(B2)</f>
        <v>190.78117647058988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'16'!F82</f>
        <v>109014.88</v>
      </c>
      <c r="F82" s="626">
        <v>109042.25</v>
      </c>
      <c r="G82" s="773">
        <f t="shared" si="4"/>
        <v>27.369999999995343</v>
      </c>
      <c r="H82" s="479">
        <f>G82+'16'!H82</f>
        <v>361.25</v>
      </c>
      <c r="I82" s="479"/>
      <c r="J82" s="774">
        <f>H82/DAY(B2)</f>
        <v>21.25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'16'!F83</f>
        <v>31313</v>
      </c>
      <c r="F83" s="511">
        <v>31589</v>
      </c>
      <c r="G83" s="473">
        <f t="shared" si="4"/>
        <v>276</v>
      </c>
      <c r="H83" s="460">
        <f>G83+'16'!H83</f>
        <v>4038</v>
      </c>
      <c r="I83" s="481"/>
      <c r="J83" s="552">
        <f>H83/DAY(B2)</f>
        <v>237.52941176470588</v>
      </c>
      <c r="K83" s="429"/>
      <c r="L83" s="377"/>
      <c r="N83" s="718"/>
      <c r="O83" s="725"/>
      <c r="P83" s="382"/>
    </row>
    <row r="84" spans="1:16">
      <c r="A84" s="1226" t="s">
        <v>200</v>
      </c>
      <c r="B84" s="571"/>
      <c r="C84" s="571"/>
      <c r="D84" s="478" t="s">
        <v>131</v>
      </c>
      <c r="E84" s="519">
        <f>'16'!F84</f>
        <v>535859</v>
      </c>
      <c r="F84" s="627">
        <v>536537</v>
      </c>
      <c r="G84" s="473">
        <f t="shared" si="4"/>
        <v>678</v>
      </c>
      <c r="H84" s="460">
        <f>G84+'16'!H84</f>
        <v>13457</v>
      </c>
      <c r="I84" s="481"/>
      <c r="J84" s="552">
        <f>H84/DAY(B2)</f>
        <v>791.58823529411768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2309.9600000000028</v>
      </c>
      <c r="H85" s="460">
        <f>G85+'16'!H85</f>
        <v>37803.879999999976</v>
      </c>
      <c r="I85" s="481"/>
      <c r="J85" s="552">
        <f>H85/DAY(B2)</f>
        <v>2223.7576470588219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'16'!F86</f>
        <v>462211.88</v>
      </c>
      <c r="F86" s="1462">
        <v>462229.84</v>
      </c>
      <c r="G86" s="705">
        <f t="shared" ref="G86:G91" si="5">F86-E86</f>
        <v>17.960000000020955</v>
      </c>
      <c r="H86" s="705">
        <f t="shared" ref="H86:H88" si="6">G86</f>
        <v>17.960000000020955</v>
      </c>
      <c r="I86" s="652"/>
      <c r="J86" s="707">
        <f>H86/DAY(B2)</f>
        <v>1.0564705882365268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'16'!F87</f>
        <v>82523.399999999994</v>
      </c>
      <c r="F87" s="647">
        <v>82543</v>
      </c>
      <c r="G87" s="705">
        <f t="shared" si="5"/>
        <v>19.600000000005821</v>
      </c>
      <c r="H87" s="705">
        <f t="shared" si="6"/>
        <v>19.600000000005821</v>
      </c>
      <c r="I87" s="652"/>
      <c r="J87" s="707">
        <f>H87/DAY(B2)</f>
        <v>1.1529411764709305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'16'!F88</f>
        <v>157124.66</v>
      </c>
      <c r="F88" s="647">
        <v>157245.72</v>
      </c>
      <c r="G88" s="705">
        <f t="shared" si="5"/>
        <v>121.05999999999767</v>
      </c>
      <c r="H88" s="705">
        <f t="shared" si="6"/>
        <v>121.05999999999767</v>
      </c>
      <c r="I88" s="652"/>
      <c r="J88" s="707">
        <f>H88/DAY(B2)</f>
        <v>7.1211764705880984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'16'!F89</f>
        <v>66543.199999999997</v>
      </c>
      <c r="F89" s="647">
        <v>66560.800000000003</v>
      </c>
      <c r="G89" s="705">
        <f t="shared" si="5"/>
        <v>17.600000000005821</v>
      </c>
      <c r="H89" s="705">
        <f>G89</f>
        <v>17.600000000005821</v>
      </c>
      <c r="I89" s="652"/>
      <c r="J89" s="707">
        <f>H89/DAY(B2)</f>
        <v>1.0352941176474013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'16'!F90</f>
        <v>3404.9</v>
      </c>
      <c r="F90" s="647">
        <v>3407</v>
      </c>
      <c r="G90" s="705">
        <f t="shared" si="5"/>
        <v>2.0999999999999091</v>
      </c>
      <c r="H90" s="705">
        <f>G90</f>
        <v>2.0999999999999091</v>
      </c>
      <c r="I90" s="652"/>
      <c r="J90" s="707">
        <f>H90/DAY(B2)</f>
        <v>0.12352941176470053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'16'!F91</f>
        <v>28384.31</v>
      </c>
      <c r="F91" s="647">
        <v>28391.759999999998</v>
      </c>
      <c r="G91" s="705">
        <f t="shared" si="5"/>
        <v>7.4499999999970896</v>
      </c>
      <c r="H91" s="705">
        <f>G91</f>
        <v>7.4499999999970896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28"/>
      <c r="C92" s="1228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'16'!F93</f>
        <v>248943</v>
      </c>
      <c r="F93" s="478">
        <v>249044</v>
      </c>
      <c r="G93" s="473">
        <f t="shared" ref="G93:G94" si="7">F93-E93</f>
        <v>101</v>
      </c>
      <c r="H93" s="460">
        <f>G93+'16'!H93</f>
        <v>1692</v>
      </c>
      <c r="I93" s="480"/>
      <c r="J93" s="552">
        <f>H93/DAY(B2)</f>
        <v>99.529411764705884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'16'!F94</f>
        <v>191265</v>
      </c>
      <c r="F94" s="478">
        <v>191455</v>
      </c>
      <c r="G94" s="473">
        <f t="shared" si="7"/>
        <v>190</v>
      </c>
      <c r="H94" s="460">
        <f>G94+'16'!H94</f>
        <v>2001</v>
      </c>
      <c r="I94" s="480"/>
      <c r="J94" s="552">
        <f>H94/DAY(B2)</f>
        <v>117.70588235294117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'16'!F95</f>
        <v>0</v>
      </c>
      <c r="F95" s="478"/>
      <c r="G95" s="473">
        <f>G93+G94</f>
        <v>291</v>
      </c>
      <c r="H95" s="460">
        <f>G95+'16'!H95</f>
        <v>3507</v>
      </c>
      <c r="I95" s="480"/>
      <c r="J95" s="552">
        <f>H95/DAY(B2)</f>
        <v>206.29411764705881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'16'!F96</f>
        <v>417455</v>
      </c>
      <c r="F96" s="478">
        <v>417544</v>
      </c>
      <c r="G96" s="473">
        <f t="shared" ref="G96:G101" si="8">F96-E96</f>
        <v>89</v>
      </c>
      <c r="H96" s="460">
        <f>G96+'16'!H96</f>
        <v>1545</v>
      </c>
      <c r="I96" s="480"/>
      <c r="J96" s="552">
        <f>H96/DAY(B2)</f>
        <v>90.882352941176464</v>
      </c>
      <c r="K96" s="380"/>
      <c r="L96" s="377"/>
      <c r="N96" s="718"/>
      <c r="O96" s="725"/>
      <c r="P96" s="382"/>
    </row>
    <row r="97" spans="1:16" ht="27.75">
      <c r="A97" s="1222" t="s">
        <v>209</v>
      </c>
      <c r="B97" s="1223"/>
      <c r="C97" s="1223"/>
      <c r="D97" s="523" t="s">
        <v>143</v>
      </c>
      <c r="E97" s="484">
        <f>'16'!F97</f>
        <v>103511</v>
      </c>
      <c r="F97" s="478">
        <v>103541</v>
      </c>
      <c r="G97" s="473">
        <f t="shared" si="8"/>
        <v>30</v>
      </c>
      <c r="H97" s="460">
        <f>G97+'16'!H97</f>
        <v>378</v>
      </c>
      <c r="I97" s="480"/>
      <c r="J97" s="552">
        <f>H97/DAY(B2)</f>
        <v>22.235294117647058</v>
      </c>
      <c r="K97" s="427"/>
      <c r="L97" s="377"/>
      <c r="N97" s="718"/>
      <c r="O97" s="725"/>
      <c r="P97" s="382"/>
    </row>
    <row r="98" spans="1:16" ht="27.75">
      <c r="A98" s="1222" t="s">
        <v>210</v>
      </c>
      <c r="B98" s="1223"/>
      <c r="C98" s="1223"/>
      <c r="D98" s="523" t="s">
        <v>143</v>
      </c>
      <c r="E98" s="484">
        <f>'16'!F98</f>
        <v>99060</v>
      </c>
      <c r="F98" s="478">
        <v>99090</v>
      </c>
      <c r="G98" s="473">
        <f t="shared" si="8"/>
        <v>30</v>
      </c>
      <c r="H98" s="460">
        <f>G98+'16'!H98</f>
        <v>433</v>
      </c>
      <c r="I98" s="480"/>
      <c r="J98" s="552">
        <f>H98/DAY(B2)</f>
        <v>25.470588235294116</v>
      </c>
      <c r="K98" s="432"/>
      <c r="L98" s="377"/>
      <c r="N98" s="718"/>
      <c r="O98" s="725"/>
      <c r="P98" s="382"/>
    </row>
    <row r="99" spans="1:16" ht="27.75">
      <c r="A99" s="1222" t="s">
        <v>211</v>
      </c>
      <c r="B99" s="1223"/>
      <c r="C99" s="1223"/>
      <c r="D99" s="523" t="s">
        <v>143</v>
      </c>
      <c r="E99" s="484">
        <f>'16'!F99</f>
        <v>150885</v>
      </c>
      <c r="F99" s="478">
        <v>150908</v>
      </c>
      <c r="G99" s="473">
        <f t="shared" si="8"/>
        <v>23</v>
      </c>
      <c r="H99" s="460">
        <f>G99+'16'!H99</f>
        <v>503</v>
      </c>
      <c r="I99" s="480"/>
      <c r="J99" s="552">
        <f>H99/DAY(B2)</f>
        <v>29.588235294117649</v>
      </c>
      <c r="K99" s="380"/>
      <c r="L99" s="377"/>
      <c r="N99" s="720"/>
      <c r="O99" s="725"/>
      <c r="P99" s="382"/>
    </row>
    <row r="100" spans="1:16" ht="27.75">
      <c r="A100" s="1222" t="s">
        <v>212</v>
      </c>
      <c r="B100" s="1223"/>
      <c r="C100" s="1223"/>
      <c r="D100" s="523" t="s">
        <v>143</v>
      </c>
      <c r="E100" s="484">
        <f>'16'!F100</f>
        <v>7966</v>
      </c>
      <c r="F100" s="478">
        <v>7981</v>
      </c>
      <c r="G100" s="473">
        <f t="shared" si="8"/>
        <v>15</v>
      </c>
      <c r="H100" s="460">
        <f>G100+'16'!H100</f>
        <v>184</v>
      </c>
      <c r="I100" s="480"/>
      <c r="J100" s="552">
        <f>H100/DAY(B2)</f>
        <v>10.823529411764707</v>
      </c>
      <c r="K100" s="380"/>
      <c r="L100" s="377"/>
      <c r="N100" s="718"/>
      <c r="O100" s="725"/>
      <c r="P100" s="382"/>
    </row>
    <row r="101" spans="1:16" ht="27.75">
      <c r="A101" s="1222" t="s">
        <v>213</v>
      </c>
      <c r="B101" s="1223"/>
      <c r="C101" s="1223"/>
      <c r="D101" s="523" t="s">
        <v>143</v>
      </c>
      <c r="E101" s="484">
        <f>'16'!F101</f>
        <v>5841</v>
      </c>
      <c r="F101" s="478">
        <v>5848</v>
      </c>
      <c r="G101" s="473">
        <f t="shared" si="8"/>
        <v>7</v>
      </c>
      <c r="H101" s="460">
        <f>G101+'16'!H101</f>
        <v>174</v>
      </c>
      <c r="I101" s="480"/>
      <c r="J101" s="552">
        <f>H101/DAY(B2)</f>
        <v>10.235294117647058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194</v>
      </c>
      <c r="H102" s="460">
        <f>G102+'16'!H102</f>
        <v>3217</v>
      </c>
      <c r="I102" s="526"/>
      <c r="J102" s="552">
        <f>H102/DAY(B2)</f>
        <v>189.23529411764707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21"/>
      <c r="D105" s="622" t="s">
        <v>143</v>
      </c>
      <c r="E105" s="484">
        <f>'16'!F105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4.0811764705881881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21"/>
      <c r="D106" s="622" t="s">
        <v>143</v>
      </c>
      <c r="E106" s="484">
        <f>'16'!F106</f>
        <v>36321</v>
      </c>
      <c r="F106" s="659">
        <v>36332</v>
      </c>
      <c r="G106" s="532">
        <f t="shared" ref="G106:G107" si="9">F106-E106</f>
        <v>11</v>
      </c>
      <c r="H106" s="533">
        <f>SUM(G106+'1'!G77)</f>
        <v>64</v>
      </c>
      <c r="I106" s="532"/>
      <c r="J106" s="558">
        <f>H106/DAY(B2)</f>
        <v>3.7647058823529411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'16'!F107</f>
        <v>19893</v>
      </c>
      <c r="F107" s="783">
        <v>19897</v>
      </c>
      <c r="G107" s="532">
        <f t="shared" si="9"/>
        <v>4</v>
      </c>
      <c r="H107" s="533">
        <f>SUM(G107+'1'!G78)</f>
        <v>118</v>
      </c>
      <c r="I107" s="532"/>
      <c r="J107" s="558">
        <f>H107/DAY(B2)</f>
        <v>6.9411764705882355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21"/>
      <c r="D108" s="622"/>
      <c r="E108" s="484">
        <f>'16'!F108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9.882352941176471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21"/>
      <c r="D109" s="622" t="s">
        <v>143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21"/>
      <c r="D110" s="622" t="s">
        <v>143</v>
      </c>
      <c r="E110" s="484">
        <f>'16'!F110</f>
        <v>66039</v>
      </c>
      <c r="F110" s="659">
        <v>66105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11.625882352941998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21"/>
      <c r="D111" s="622" t="s">
        <v>143</v>
      </c>
      <c r="E111" s="484">
        <f>'16'!F111</f>
        <v>33603</v>
      </c>
      <c r="F111" s="659">
        <v>33629</v>
      </c>
      <c r="G111" s="532">
        <f t="shared" ref="G111:G112" si="10">F111-E111</f>
        <v>26</v>
      </c>
      <c r="H111" s="533">
        <f>SUM(G111+'1'!G82)</f>
        <v>50.899999999994179</v>
      </c>
      <c r="I111" s="532"/>
      <c r="J111" s="558">
        <f>H111/DAY(B2)</f>
        <v>2.9941176470584812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21"/>
      <c r="D112" s="622" t="s">
        <v>143</v>
      </c>
      <c r="E112" s="484">
        <f>'16'!F112</f>
        <v>4621.3</v>
      </c>
      <c r="F112" s="659">
        <v>4621.3</v>
      </c>
      <c r="G112" s="532">
        <f t="shared" si="10"/>
        <v>0</v>
      </c>
      <c r="H112" s="533">
        <f>SUM(G112+'1'!G83)</f>
        <v>351</v>
      </c>
      <c r="I112" s="532"/>
      <c r="J112" s="558">
        <f>H112/DAY(B2)</f>
        <v>20.647058823529413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21"/>
      <c r="D113" s="622"/>
      <c r="E113" s="484">
        <f>'16'!F113</f>
        <v>0</v>
      </c>
      <c r="F113" s="659"/>
      <c r="G113" s="532">
        <f>SUM(G110:G112)</f>
        <v>92</v>
      </c>
      <c r="H113" s="533">
        <f>SUM(G113+'1'!G84)</f>
        <v>908</v>
      </c>
      <c r="I113" s="532"/>
      <c r="J113" s="558">
        <f>H113/DAY(B2)</f>
        <v>53.411764705882355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21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'16'!F115</f>
        <v>12226</v>
      </c>
      <c r="F115" s="659">
        <v>12242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0.94117647058823528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'16'!F116</f>
        <v>8694</v>
      </c>
      <c r="F116" s="659">
        <v>8702</v>
      </c>
      <c r="G116" s="534">
        <f t="shared" ref="G116:G117" si="11">F116-E116</f>
        <v>8</v>
      </c>
      <c r="H116" s="533">
        <f>SUM(G116+'1'!G93)</f>
        <v>97</v>
      </c>
      <c r="I116" s="532"/>
      <c r="J116" s="558">
        <f>H116/DAY(B2)</f>
        <v>5.7058823529411766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24</v>
      </c>
      <c r="H118" s="533">
        <f>SUM(G118+'1'!G96)</f>
        <v>110</v>
      </c>
      <c r="I118" s="534"/>
      <c r="J118" s="558">
        <f>H118/DAY(B2)</f>
        <v>6.4705882352941178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9"/>
      <c r="D119" s="624" t="s">
        <v>143</v>
      </c>
      <c r="E119" s="536"/>
      <c r="F119" s="660">
        <f>SUM(G19+G93)</f>
        <v>162</v>
      </c>
      <c r="G119" s="536">
        <f>SUM(G19+G93)</f>
        <v>162</v>
      </c>
      <c r="H119" s="533">
        <f>SUM(G119+'1'!G97)</f>
        <v>179</v>
      </c>
      <c r="I119" s="535"/>
      <c r="J119" s="559">
        <f>H119/DAY(B2)</f>
        <v>10.529411764705882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9"/>
      <c r="D120" s="624" t="s">
        <v>143</v>
      </c>
      <c r="E120" s="536"/>
      <c r="F120" s="660">
        <f>SUM(G96,G97,G98,G100,G101)</f>
        <v>171</v>
      </c>
      <c r="G120" s="536">
        <f>SUM(G96,G97,G98,G100,G101)</f>
        <v>171</v>
      </c>
      <c r="H120" s="533">
        <f>SUM(G120+'1'!G99)</f>
        <v>221</v>
      </c>
      <c r="I120" s="535"/>
      <c r="J120" s="559">
        <f>H120/DAY(B2)</f>
        <v>13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9"/>
      <c r="D121" s="624" t="s">
        <v>143</v>
      </c>
      <c r="E121" s="534"/>
      <c r="F121" s="659">
        <f>SUM(G113)</f>
        <v>92</v>
      </c>
      <c r="G121" s="534">
        <f>SUM(G113)</f>
        <v>92</v>
      </c>
      <c r="H121" s="533">
        <f>SUM(G121+'1'!G101)</f>
        <v>97</v>
      </c>
      <c r="I121" s="535"/>
      <c r="J121" s="559">
        <f>H121/DAY(B2)</f>
        <v>5.7058823529411766</v>
      </c>
      <c r="N121" s="718"/>
      <c r="O121" s="725"/>
      <c r="P121" s="382"/>
    </row>
    <row r="122" spans="1:16" s="442" customFormat="1" ht="27.75">
      <c r="A122" s="1549"/>
      <c r="B122" s="1550"/>
      <c r="C122" s="1220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2" t="s">
        <v>230</v>
      </c>
      <c r="B124" s="1223"/>
      <c r="C124" s="1223"/>
      <c r="D124" s="523" t="s">
        <v>140</v>
      </c>
      <c r="E124" s="478">
        <f>'16'!F124</f>
        <v>843994.51</v>
      </c>
      <c r="F124" s="478">
        <v>844283.53</v>
      </c>
      <c r="G124" s="473">
        <f t="shared" ref="G124:G128" si="12">F124-E124</f>
        <v>289.02000000001863</v>
      </c>
      <c r="H124" s="460">
        <f>G124+'16'!H124</f>
        <v>4613.5300000000279</v>
      </c>
      <c r="I124" s="526"/>
      <c r="J124" s="552">
        <f>H124/DAY(B2)</f>
        <v>271.38411764706046</v>
      </c>
      <c r="K124" s="380"/>
      <c r="L124" s="377"/>
      <c r="N124" s="718"/>
      <c r="O124" s="725"/>
      <c r="P124" s="382"/>
    </row>
    <row r="125" spans="1:16" ht="27.75">
      <c r="A125" s="1222" t="s">
        <v>231</v>
      </c>
      <c r="B125" s="1223"/>
      <c r="C125" s="1223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'16'!F126</f>
        <v>150071.53</v>
      </c>
      <c r="F126" s="478">
        <v>150185.73000000001</v>
      </c>
      <c r="G126" s="473">
        <f t="shared" si="12"/>
        <v>114.20000000001164</v>
      </c>
      <c r="H126" s="460">
        <f>G126+'16'!H126</f>
        <v>1588.7300000000105</v>
      </c>
      <c r="I126" s="526"/>
      <c r="J126" s="552">
        <f>H126/DAY(B2)</f>
        <v>93.454705882353551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23"/>
      <c r="C127" s="1223"/>
      <c r="D127" s="523" t="s">
        <v>140</v>
      </c>
      <c r="E127" s="626">
        <f>'16'!F127</f>
        <v>32684.2</v>
      </c>
      <c r="F127" s="626">
        <v>32725.200000000001</v>
      </c>
      <c r="G127" s="473">
        <f t="shared" si="12"/>
        <v>41</v>
      </c>
      <c r="H127" s="460">
        <f>G127+'16'!H127</f>
        <v>654.20000000000073</v>
      </c>
      <c r="I127" s="526"/>
      <c r="J127" s="552">
        <f>H127/DAY(B2)</f>
        <v>38.482352941176515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23"/>
      <c r="C128" s="1223"/>
      <c r="D128" s="523" t="s">
        <v>140</v>
      </c>
      <c r="E128" s="626">
        <f>'16'!F128</f>
        <v>9073.4</v>
      </c>
      <c r="F128" s="626">
        <v>9080.1</v>
      </c>
      <c r="G128" s="473">
        <f t="shared" si="12"/>
        <v>6.7000000000007276</v>
      </c>
      <c r="H128" s="460">
        <f>G128+'16'!H128</f>
        <v>68.100000000000364</v>
      </c>
      <c r="I128" s="480"/>
      <c r="J128" s="552">
        <f>H128/DAY(B2)</f>
        <v>4.0058823529411978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23"/>
      <c r="C129" s="1223"/>
      <c r="D129" s="523"/>
      <c r="E129" s="478"/>
      <c r="F129" s="478"/>
      <c r="G129" s="473">
        <f>G15-SUM(G124:G128)</f>
        <v>530.7410000000491</v>
      </c>
      <c r="H129" s="460">
        <f>G129+'16'!H129</f>
        <v>955.47800000007192</v>
      </c>
      <c r="I129" s="480"/>
      <c r="J129" s="552">
        <f>H129/DAY(B2)</f>
        <v>56.204588235298345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2" t="s">
        <v>237</v>
      </c>
      <c r="B131" s="1223"/>
      <c r="C131" s="1223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2" t="s">
        <v>239</v>
      </c>
      <c r="B132" s="1223"/>
      <c r="C132" s="1223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2" t="s">
        <v>240</v>
      </c>
      <c r="B133" s="1223"/>
      <c r="C133" s="1223"/>
      <c r="D133" s="523" t="s">
        <v>238</v>
      </c>
      <c r="E133" s="541">
        <f>'16'!F133</f>
        <v>40612.1</v>
      </c>
      <c r="F133" s="651">
        <v>40612.1</v>
      </c>
      <c r="G133" s="473">
        <f>F133-E133</f>
        <v>0</v>
      </c>
      <c r="H133" s="460">
        <f>G133+'16'!H133</f>
        <v>159.09999999999854</v>
      </c>
      <c r="I133" s="480"/>
      <c r="J133" s="552">
        <f>H133/DAY(B2)</f>
        <v>9.3588235294116799</v>
      </c>
      <c r="N133" s="718"/>
      <c r="O133" s="725"/>
      <c r="P133" s="382"/>
    </row>
    <row r="134" spans="1:16" ht="27.75">
      <c r="A134" s="1222" t="s">
        <v>241</v>
      </c>
      <c r="B134" s="1223"/>
      <c r="C134" s="1223"/>
      <c r="D134" s="523" t="s">
        <v>238</v>
      </c>
      <c r="E134" s="701">
        <f>'16'!F134</f>
        <v>384.48</v>
      </c>
      <c r="F134" s="626">
        <v>397.13</v>
      </c>
      <c r="G134" s="473">
        <f t="shared" si="13"/>
        <v>12.649999999999977</v>
      </c>
      <c r="H134" s="460">
        <f>G134+'16'!H134</f>
        <v>97.13</v>
      </c>
      <c r="I134" s="480">
        <f>G131+G132+G133+G134</f>
        <v>12.649999999999977</v>
      </c>
      <c r="J134" s="552">
        <f>H134/DAY(B2)</f>
        <v>5.7135294117647053</v>
      </c>
      <c r="N134" s="718"/>
      <c r="O134" s="725"/>
      <c r="P134" s="382"/>
    </row>
    <row r="135" spans="1:16" ht="27.75">
      <c r="A135" s="1222" t="s">
        <v>242</v>
      </c>
      <c r="B135" s="1223"/>
      <c r="C135" s="1223"/>
      <c r="D135" s="523" t="s">
        <v>238</v>
      </c>
      <c r="E135" s="701">
        <f>'16'!F135</f>
        <v>42209</v>
      </c>
      <c r="F135" s="626">
        <v>42233.09</v>
      </c>
      <c r="G135" s="473">
        <f t="shared" si="13"/>
        <v>24.089999999996508</v>
      </c>
      <c r="H135" s="460">
        <f>G135+'16'!H135</f>
        <v>261.08999999999651</v>
      </c>
      <c r="I135" s="480"/>
      <c r="J135" s="552">
        <f>H135/DAY(B2)</f>
        <v>15.358235294117442</v>
      </c>
      <c r="N135" s="718"/>
      <c r="O135" s="725"/>
      <c r="P135" s="382"/>
    </row>
    <row r="136" spans="1:16" ht="27.75">
      <c r="A136" s="1222" t="s">
        <v>243</v>
      </c>
      <c r="B136" s="1223"/>
      <c r="C136" s="1223"/>
      <c r="D136" s="523" t="s">
        <v>238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2" t="s">
        <v>244</v>
      </c>
      <c r="B137" s="1223"/>
      <c r="C137" s="1223"/>
      <c r="D137" s="523" t="s">
        <v>238</v>
      </c>
      <c r="E137" s="541">
        <f>'16'!F137</f>
        <v>23005.79</v>
      </c>
      <c r="F137" s="651">
        <v>23014.9</v>
      </c>
      <c r="G137" s="473">
        <f t="shared" si="13"/>
        <v>9.1100000000005821</v>
      </c>
      <c r="H137" s="460">
        <f>G137+'16'!H137</f>
        <v>123.40999999999985</v>
      </c>
      <c r="I137" s="480">
        <f>G135+G136+G137</f>
        <v>33.19999999999709</v>
      </c>
      <c r="J137" s="552">
        <f>H137/DAY(B2)</f>
        <v>7.2594117647058738</v>
      </c>
      <c r="N137" s="718"/>
      <c r="O137" s="725"/>
      <c r="P137" s="382"/>
    </row>
    <row r="138" spans="1:16" ht="27.75">
      <c r="A138" s="1222" t="s">
        <v>245</v>
      </c>
      <c r="B138" s="1223"/>
      <c r="C138" s="1223"/>
      <c r="D138" s="523" t="s">
        <v>238</v>
      </c>
      <c r="E138" s="541">
        <f>'16'!F138</f>
        <v>25099.16</v>
      </c>
      <c r="F138" s="651">
        <v>25099.16</v>
      </c>
      <c r="G138" s="473">
        <f t="shared" si="13"/>
        <v>0</v>
      </c>
      <c r="H138" s="460">
        <f>G138+'16'!H138</f>
        <v>7.7700000000004366</v>
      </c>
      <c r="I138" s="480"/>
      <c r="J138" s="552">
        <f>H138/DAY(B2)</f>
        <v>0.45705882352943744</v>
      </c>
      <c r="N138" s="718"/>
      <c r="O138" s="725"/>
      <c r="P138" s="382"/>
    </row>
    <row r="139" spans="1:16" ht="27.75">
      <c r="A139" s="1222" t="s">
        <v>246</v>
      </c>
      <c r="B139" s="1223"/>
      <c r="C139" s="1223"/>
      <c r="D139" s="523" t="s">
        <v>238</v>
      </c>
      <c r="E139" s="541">
        <f>'16'!F139</f>
        <v>70516.600000000006</v>
      </c>
      <c r="F139" s="651">
        <v>70516.600000000006</v>
      </c>
      <c r="G139" s="473">
        <f t="shared" si="13"/>
        <v>0</v>
      </c>
      <c r="H139" s="460">
        <f>G139+'16'!H139</f>
        <v>2.9800000000104774</v>
      </c>
      <c r="I139" s="480">
        <f>G138+G139</f>
        <v>0</v>
      </c>
      <c r="J139" s="552">
        <f>H139/DAY(B2)</f>
        <v>0.17529411764767514</v>
      </c>
      <c r="N139" s="718"/>
      <c r="O139" s="725"/>
      <c r="P139" s="382"/>
    </row>
    <row r="140" spans="1:16" ht="27.75">
      <c r="A140" s="1222" t="s">
        <v>247</v>
      </c>
      <c r="B140" s="1223"/>
      <c r="C140" s="1223"/>
      <c r="D140" s="523" t="s">
        <v>238</v>
      </c>
      <c r="E140" s="701">
        <f>'16'!F140</f>
        <v>2247.77</v>
      </c>
      <c r="F140" s="626">
        <v>2247.77</v>
      </c>
      <c r="G140" s="473">
        <f t="shared" si="13"/>
        <v>0</v>
      </c>
      <c r="H140" s="460">
        <f>G140+'16'!H140</f>
        <v>118.59000000000015</v>
      </c>
      <c r="I140" s="542"/>
      <c r="J140" s="552">
        <f>H140/DAY(B2)</f>
        <v>6.9758823529411851</v>
      </c>
      <c r="N140" s="718"/>
      <c r="O140" s="725"/>
      <c r="P140" s="382"/>
    </row>
    <row r="141" spans="1:16" ht="27.75">
      <c r="A141" s="1222" t="s">
        <v>248</v>
      </c>
      <c r="B141" s="1223"/>
      <c r="C141" s="1223"/>
      <c r="D141" s="523" t="s">
        <v>238</v>
      </c>
      <c r="E141" s="484">
        <f>'16'!F141</f>
        <v>4675.7700000000004</v>
      </c>
      <c r="F141" s="478">
        <v>4685.83</v>
      </c>
      <c r="G141" s="473">
        <f t="shared" si="13"/>
        <v>10.059999999999491</v>
      </c>
      <c r="H141" s="460">
        <f>G141+'16'!H141</f>
        <v>48.829999999999927</v>
      </c>
      <c r="I141" s="542"/>
      <c r="J141" s="552">
        <f>H141/DAY(B2)</f>
        <v>2.8723529411764663</v>
      </c>
      <c r="N141" s="718"/>
      <c r="O141" s="725"/>
      <c r="P141" s="382"/>
    </row>
    <row r="142" spans="1:16">
      <c r="A142" s="1562" t="s">
        <v>249</v>
      </c>
      <c r="B142" s="1563"/>
      <c r="C142" s="12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v>3349</v>
      </c>
      <c r="H143" s="460">
        <f>G143+'16'!H143</f>
        <v>93642.300000000032</v>
      </c>
      <c r="I143" s="480"/>
      <c r="J143" s="552">
        <f>H143/DAY(B2)</f>
        <v>5508.3705882352961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0.13515760450197084</v>
      </c>
      <c r="H144" s="460">
        <f>G144+'16'!H144</f>
        <v>4.2964649978983962</v>
      </c>
      <c r="I144" s="544"/>
      <c r="J144" s="552">
        <f>H144/DAY(B2)</f>
        <v>0.2527332351704939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8133.399999999936</v>
      </c>
      <c r="H145" s="460">
        <f>G145+'16'!H145</f>
        <v>113655.33999999995</v>
      </c>
      <c r="I145" s="480"/>
      <c r="J145" s="552">
        <f>H145/DAY(B2)</f>
        <v>6685.6082352941148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0.32824450894485552</v>
      </c>
      <c r="H146" s="460">
        <f>G146+'16'!H146</f>
        <v>5.1855855535418769</v>
      </c>
      <c r="I146" s="544"/>
      <c r="J146" s="552">
        <f>H146/DAY(B2)</f>
        <v>0.30503444432599275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3718.9299999999348</v>
      </c>
      <c r="H147" s="460">
        <f>G147+'16'!H147</f>
        <v>62697.419999999984</v>
      </c>
      <c r="I147" s="545"/>
      <c r="J147" s="552">
        <f>H147/DAY(B2)</f>
        <v>3688.0835294117637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0.15008709170215159</v>
      </c>
      <c r="H148" s="460">
        <f>G148+'16'!H148</f>
        <v>2.8699286776510688</v>
      </c>
      <c r="I148" s="545"/>
      <c r="J148" s="552">
        <f>H148/DAY(B2)</f>
        <v>0.16881933397947463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1759.9199999999837</v>
      </c>
      <c r="H149" s="460">
        <f>G149+'16'!H149</f>
        <v>27551.559999999939</v>
      </c>
      <c r="I149" s="480"/>
      <c r="J149" s="552">
        <f>H149/DAY(B2)</f>
        <v>1620.6799999999964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7.1026148496597885E-2</v>
      </c>
      <c r="H150" s="460">
        <f>G150+'16'!H150</f>
        <v>1.2591066347952757</v>
      </c>
      <c r="I150" s="545"/>
      <c r="J150" s="552">
        <f>H150/DAY(B2)</f>
        <v>7.4065096164427982E-2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2432.2599999999438</v>
      </c>
      <c r="H151" s="460">
        <f>G151+'16'!H151</f>
        <v>34782.519999999997</v>
      </c>
      <c r="I151" s="545"/>
      <c r="J151" s="552">
        <f>H151/DAY(B2)</f>
        <v>2046.0305882352939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9.8160177702584658E-2</v>
      </c>
      <c r="H152" s="460">
        <f>G152+'16'!H152</f>
        <v>1.5853636958377293</v>
      </c>
      <c r="I152" s="480"/>
      <c r="J152" s="552">
        <f>H152/DAY(B2)</f>
        <v>9.3256687990454668E-2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1656.5500000000175</v>
      </c>
      <c r="H153" s="460">
        <f>G153+'16'!H153</f>
        <v>26631.320000000007</v>
      </c>
      <c r="I153" s="480"/>
      <c r="J153" s="552">
        <f>H153/DAY(B2)</f>
        <v>1566.5482352941181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6.6854383319719962E-2</v>
      </c>
      <c r="H154" s="460">
        <f>G154+'16'!H154</f>
        <v>1.2182491680400227</v>
      </c>
      <c r="I154" s="568"/>
      <c r="J154" s="569">
        <f>H154/DAY(B2)</f>
        <v>7.1661715767060152E-2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'16'!F161</f>
        <v>42126.62</v>
      </c>
      <c r="F161" s="803">
        <v>42207.75</v>
      </c>
      <c r="G161" s="473">
        <f t="shared" ref="G161:G164" si="14">F161-E161</f>
        <v>81.129999999997381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'16'!F162</f>
        <v>115140.88</v>
      </c>
      <c r="F162" s="803">
        <v>115588.27</v>
      </c>
      <c r="G162" s="473">
        <f t="shared" si="14"/>
        <v>447.38999999999942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'16'!F163</f>
        <v>64518.62</v>
      </c>
      <c r="F163" s="783">
        <v>64721.63</v>
      </c>
      <c r="G163" s="473">
        <f t="shared" si="14"/>
        <v>203.00999999999476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'16'!F164</f>
        <v>7006.85</v>
      </c>
      <c r="F164" s="803">
        <v>7017.85</v>
      </c>
      <c r="G164" s="473">
        <f t="shared" si="14"/>
        <v>11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 t="shared" si="16"/>
        <v>176328.81</v>
      </c>
      <c r="F167" s="514">
        <f t="shared" si="17"/>
        <v>176694.07</v>
      </c>
      <c r="G167" s="473">
        <f t="shared" si="15"/>
        <v>365.26000000000931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 t="shared" si="16"/>
        <v>176333.07</v>
      </c>
      <c r="F168" s="514">
        <f>F65</f>
        <v>176719.61</v>
      </c>
      <c r="G168" s="473">
        <f t="shared" si="15"/>
        <v>386.53999999997905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 t="shared" si="16"/>
        <v>74541.64</v>
      </c>
      <c r="F169" s="514">
        <f t="shared" si="17"/>
        <v>74932.600000000006</v>
      </c>
      <c r="G169" s="473">
        <f t="shared" si="15"/>
        <v>390.9600000000064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 t="shared" si="16"/>
        <v>272493.05</v>
      </c>
      <c r="F170" s="514">
        <f t="shared" si="17"/>
        <v>272970.90999999997</v>
      </c>
      <c r="G170" s="473">
        <f t="shared" si="15"/>
        <v>477.85999999998603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 t="shared" si="16"/>
        <v>91726.12</v>
      </c>
      <c r="F172" s="514">
        <f t="shared" si="17"/>
        <v>92028.09</v>
      </c>
      <c r="G172" s="473">
        <f t="shared" si="15"/>
        <v>301.97000000000116</v>
      </c>
      <c r="N172" s="718"/>
    </row>
    <row r="173" spans="1:14" ht="18.75" customHeight="1">
      <c r="N173" s="718"/>
    </row>
    <row r="174" spans="1:14">
      <c r="A174" s="1587" t="s">
        <v>350</v>
      </c>
      <c r="B174" s="1550"/>
      <c r="C174" s="785"/>
      <c r="D174" s="523" t="s">
        <v>186</v>
      </c>
      <c r="E174" s="532">
        <f>'16'!F178</f>
        <v>19077.2</v>
      </c>
      <c r="F174" s="532">
        <v>19082.099999999999</v>
      </c>
      <c r="G174" s="473">
        <f t="shared" ref="G174:G176" si="18">F174-E174</f>
        <v>4.8999999999978172</v>
      </c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f>'16'!F179</f>
        <v>70435.8</v>
      </c>
      <c r="F175" s="532">
        <v>70442</v>
      </c>
      <c r="G175" s="473">
        <f t="shared" si="18"/>
        <v>6.1999999999970896</v>
      </c>
      <c r="N175" s="718"/>
    </row>
    <row r="176" spans="1:14">
      <c r="A176" s="1587" t="s">
        <v>351</v>
      </c>
      <c r="B176" s="1550"/>
      <c r="C176" s="785"/>
      <c r="D176" s="523" t="s">
        <v>186</v>
      </c>
      <c r="E176" s="532">
        <f>'16'!F180</f>
        <v>27712</v>
      </c>
      <c r="F176" s="532">
        <v>27717.200000000001</v>
      </c>
      <c r="G176" s="473">
        <f t="shared" si="18"/>
        <v>5.2000000000007276</v>
      </c>
      <c r="N176" s="718"/>
    </row>
    <row r="177" spans="14:14" ht="18.75" customHeight="1">
      <c r="N177" s="718"/>
    </row>
    <row r="178" spans="14:14" ht="17.2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7.25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7.25" customHeight="1">
      <c r="N184" s="718"/>
    </row>
    <row r="185" spans="14:14" ht="17.25" customHeight="1">
      <c r="N185" s="718"/>
    </row>
    <row r="186" spans="14:14" ht="17.25" customHeight="1">
      <c r="N186" s="718"/>
    </row>
    <row r="187" spans="14:14" ht="17.25" customHeight="1">
      <c r="N187" s="718"/>
    </row>
    <row r="188" spans="14:14" ht="17.25" customHeight="1">
      <c r="N188" s="718"/>
    </row>
    <row r="189" spans="14:14" ht="17.25" customHeight="1">
      <c r="N189" s="718"/>
    </row>
    <row r="190" spans="14:14" ht="17.2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Normal="68" zoomScaleSheetLayoutView="55" workbookViewId="0">
      <selection activeCell="F148" sqref="F14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359</v>
      </c>
      <c r="B2" s="1031">
        <v>44395</v>
      </c>
      <c r="C2" s="1321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321" t="s">
        <v>119</v>
      </c>
      <c r="D3" s="612">
        <v>29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2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'17'!F7</f>
        <v>294110.21000000002</v>
      </c>
      <c r="F7" s="455">
        <v>319948.33</v>
      </c>
      <c r="G7" s="678">
        <f>F7-E7</f>
        <v>25838.119999999995</v>
      </c>
      <c r="H7" s="679">
        <f>G7+'17'!H7</f>
        <v>397995.33000000007</v>
      </c>
      <c r="I7" s="680">
        <f>'1'!I7</f>
        <v>12000</v>
      </c>
      <c r="J7" s="681">
        <f>H7/DAY(B2)</f>
        <v>22110.851666666669</v>
      </c>
      <c r="K7" s="549"/>
      <c r="L7" s="377"/>
      <c r="N7" s="1520">
        <f>G7-'17'!G7</f>
        <v>1059.6399999999558</v>
      </c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'17'!F8</f>
        <v>300718.13</v>
      </c>
      <c r="F8" s="475">
        <v>326669.21000000002</v>
      </c>
      <c r="G8" s="689">
        <f>F8-E8</f>
        <v>25951.080000000016</v>
      </c>
      <c r="H8" s="679">
        <f>G8+'17'!H8</f>
        <v>399947.21</v>
      </c>
      <c r="I8" s="686">
        <f>'1'!I8</f>
        <v>12000</v>
      </c>
      <c r="J8" s="681">
        <f>H8/DAY(B2)</f>
        <v>22219.289444444446</v>
      </c>
      <c r="K8" s="549"/>
      <c r="L8" s="425"/>
      <c r="M8" s="440"/>
      <c r="N8" s="1520">
        <f>G8-'17'!G8</f>
        <v>1036.3400000000256</v>
      </c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'17'!F9</f>
        <v>2393068.2999999998</v>
      </c>
      <c r="F9" s="478">
        <v>2418094.1</v>
      </c>
      <c r="G9" s="702">
        <f t="shared" ref="G9:G12" si="0">F9-E9</f>
        <v>25025.800000000279</v>
      </c>
      <c r="H9" s="679">
        <f>G9+'17'!H9</f>
        <v>387092.10000000009</v>
      </c>
      <c r="I9" s="690">
        <f>I7-J7</f>
        <v>-10110.851666666669</v>
      </c>
      <c r="J9" s="681">
        <f>H9/DAY(B2)</f>
        <v>21505.116666666672</v>
      </c>
      <c r="K9" s="428"/>
      <c r="L9" s="377"/>
      <c r="N9" s="1520">
        <f>G9-'17'!G9</f>
        <v>1046.2000000006519</v>
      </c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1520">
        <f>G10-'17'!G10</f>
        <v>-0.29999999999972715</v>
      </c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1520">
        <f>G11-'17'!G11</f>
        <v>0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1520">
        <f>G12-'17'!G12</f>
        <v>0</v>
      </c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25025.800000000279</v>
      </c>
      <c r="H13" s="679">
        <f>G13+'17'!H13</f>
        <v>366765.40000000008</v>
      </c>
      <c r="I13" s="695">
        <f>G7-G13</f>
        <v>812.31999999971595</v>
      </c>
      <c r="J13" s="681">
        <f>H13/DAY(B2)</f>
        <v>20375.855555555561</v>
      </c>
      <c r="K13" s="428"/>
      <c r="L13" s="377"/>
      <c r="N13" s="1520">
        <f>G13-'17'!G13</f>
        <v>1045.9000000006527</v>
      </c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'17'!F15</f>
        <v>1717936.541</v>
      </c>
      <c r="F15" s="700">
        <v>1718845.42</v>
      </c>
      <c r="G15" s="664">
        <f>(F15-E15)</f>
        <v>908.87899999995716</v>
      </c>
      <c r="H15" s="486">
        <f>G15+'17'!H15</f>
        <v>15162.419999999925</v>
      </c>
      <c r="I15" s="474">
        <f>'1'!I15</f>
        <v>800</v>
      </c>
      <c r="J15" s="553">
        <f>H15/DAY(B2)</f>
        <v>842.35666666666248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-42.356666666662477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'17'!F18</f>
        <v>14</v>
      </c>
      <c r="F18" s="478">
        <v>17</v>
      </c>
      <c r="G18" s="694">
        <f>F18*10</f>
        <v>170</v>
      </c>
      <c r="H18" s="679">
        <f>G18+'17'!H18</f>
        <v>2440</v>
      </c>
      <c r="I18" s="680">
        <f>'1'!I18</f>
        <v>65</v>
      </c>
      <c r="J18" s="681">
        <f>H18/DAY(B2)</f>
        <v>135.55555555555554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'17'!F19</f>
        <v>142538</v>
      </c>
      <c r="F19" s="478">
        <v>142547</v>
      </c>
      <c r="G19" s="689">
        <f t="shared" ref="G19" si="1">F19-E19</f>
        <v>9</v>
      </c>
      <c r="H19" s="679">
        <f>G19+'17'!H19</f>
        <v>1052</v>
      </c>
      <c r="I19" s="696"/>
      <c r="J19" s="681">
        <f>H19/DAY(B2)</f>
        <v>58.444444444444443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179</v>
      </c>
      <c r="H20" s="679">
        <f>G20+'17'!H20</f>
        <v>3492</v>
      </c>
      <c r="I20" s="698">
        <f>I18-J20</f>
        <v>-129</v>
      </c>
      <c r="J20" s="681">
        <f>H20/DAY(B2)</f>
        <v>194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19" t="s">
        <v>146</v>
      </c>
      <c r="B22" s="589"/>
      <c r="C22" s="589"/>
      <c r="D22" s="523" t="s">
        <v>147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19" t="s">
        <v>148</v>
      </c>
      <c r="B23" s="589"/>
      <c r="C23" s="589"/>
      <c r="D23" s="523" t="s">
        <v>147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25951.080000000016</v>
      </c>
      <c r="F27" s="501">
        <v>9</v>
      </c>
      <c r="G27" s="502">
        <f>E27*F27</f>
        <v>233559.72000000015</v>
      </c>
      <c r="H27" s="460">
        <f>G27+'17'!H27</f>
        <v>3599524.89</v>
      </c>
      <c r="I27" s="503"/>
      <c r="J27" s="552">
        <f>H27/DAY(B2)</f>
        <v>199973.60500000001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908.87899999995716</v>
      </c>
      <c r="F28" s="501">
        <v>52</v>
      </c>
      <c r="G28" s="502">
        <f>E28*F28</f>
        <v>47261.707999997772</v>
      </c>
      <c r="H28" s="460">
        <f>G28+'17'!H28</f>
        <v>788445.83999999613</v>
      </c>
      <c r="I28" s="505"/>
      <c r="J28" s="552">
        <f>H28/DAY(B2)</f>
        <v>43802.546666666451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9</v>
      </c>
      <c r="F30" s="501">
        <v>146</v>
      </c>
      <c r="G30" s="502">
        <f>E30*F30</f>
        <v>1314</v>
      </c>
      <c r="H30" s="460">
        <f>G30+'17'!H30</f>
        <v>153008</v>
      </c>
      <c r="I30" s="505"/>
      <c r="J30" s="552">
        <f>H30/DAY(B2)</f>
        <v>8500.4444444444453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170</v>
      </c>
      <c r="F31" s="501">
        <v>80</v>
      </c>
      <c r="G31" s="502">
        <f>E31*F31</f>
        <v>13600</v>
      </c>
      <c r="H31" s="460">
        <f>G31+'17'!H31</f>
        <v>189600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295735.42799999792</v>
      </c>
      <c r="H32" s="460">
        <f>G32+'17'!H32</f>
        <v>4730578.7299999958</v>
      </c>
      <c r="I32" s="509"/>
      <c r="J32" s="552">
        <f>H32/DAY(B2)</f>
        <v>262809.92944444419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324"/>
      <c r="C34" s="132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1058597.3</v>
      </c>
      <c r="F35" s="510">
        <v>1058597.3</v>
      </c>
      <c r="G35" s="473">
        <f>F35-E35</f>
        <v>0</v>
      </c>
      <c r="H35" s="460">
        <f>G35+'17'!H35</f>
        <v>29883.300000000047</v>
      </c>
      <c r="I35" s="455"/>
      <c r="J35" s="552">
        <f>H35/DAY(B2)</f>
        <v>1660.1833333333359</v>
      </c>
      <c r="K35" s="428"/>
      <c r="L35" s="377"/>
      <c r="N35" s="1520">
        <f>G35-'17'!G35</f>
        <v>0</v>
      </c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35090.65</v>
      </c>
      <c r="F36" s="510">
        <v>36282.28</v>
      </c>
      <c r="G36" s="473">
        <f t="shared" ref="G36:G46" si="3">F36-E36</f>
        <v>1191.6299999999974</v>
      </c>
      <c r="H36" s="460">
        <f>G36+'17'!H36</f>
        <v>15821.279999999999</v>
      </c>
      <c r="I36" s="455"/>
      <c r="J36" s="552">
        <f>H36/DAY(B2)</f>
        <v>878.95999999999992</v>
      </c>
      <c r="K36" s="428"/>
      <c r="L36" s="377"/>
      <c r="N36" s="1520">
        <f>G36-'17'!G36</f>
        <v>59.809999999997672</v>
      </c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203201.45</v>
      </c>
      <c r="F37" s="510">
        <v>205047.97</v>
      </c>
      <c r="G37" s="473">
        <f>F37-E37</f>
        <v>1846.5199999999895</v>
      </c>
      <c r="H37" s="460">
        <f>G37+'17'!H37</f>
        <v>28477.97</v>
      </c>
      <c r="I37" s="455"/>
      <c r="J37" s="552">
        <f>H37/DAY(B2)</f>
        <v>1582.1094444444445</v>
      </c>
      <c r="K37" s="428"/>
      <c r="L37" s="377"/>
      <c r="N37" s="1520">
        <f>G37-'17'!G37</f>
        <v>189.96999999997206</v>
      </c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226010.49</v>
      </c>
      <c r="F38" s="469">
        <v>227851.47</v>
      </c>
      <c r="G38" s="473">
        <f t="shared" si="3"/>
        <v>1840.9800000000105</v>
      </c>
      <c r="H38" s="460">
        <f>G38+'17'!H38</f>
        <v>29392.47</v>
      </c>
      <c r="I38" s="455"/>
      <c r="J38" s="552">
        <f>H38/DAY(B2)</f>
        <v>1632.915</v>
      </c>
      <c r="K38" s="428"/>
      <c r="L38" s="377"/>
      <c r="N38" s="1520">
        <f>G38-'17'!G38</f>
        <v>81.060000000026776</v>
      </c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467561.43</v>
      </c>
      <c r="F39" s="510">
        <v>471312.67</v>
      </c>
      <c r="G39" s="473">
        <f>F39-E39</f>
        <v>3751.2399999999907</v>
      </c>
      <c r="H39" s="460">
        <f>G39+'17'!H39</f>
        <v>66448.669999999984</v>
      </c>
      <c r="I39" s="455"/>
      <c r="J39" s="552">
        <f>H39/DAY(B2)</f>
        <v>3691.592777777777</v>
      </c>
      <c r="K39" s="428"/>
      <c r="L39" s="377"/>
      <c r="N39" s="1520">
        <f>G39-'17'!G39</f>
        <v>32.710000000020955</v>
      </c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13572.19</v>
      </c>
      <c r="F40" s="510">
        <v>14254.8</v>
      </c>
      <c r="G40" s="473">
        <f t="shared" si="3"/>
        <v>682.60999999999876</v>
      </c>
      <c r="H40" s="460">
        <f>G40+'17'!H40</f>
        <v>7141.7999999999993</v>
      </c>
      <c r="I40" s="455"/>
      <c r="J40" s="552">
        <f>H40/DAY(B2)</f>
        <v>396.76666666666665</v>
      </c>
      <c r="K40" s="429"/>
      <c r="L40" s="377"/>
      <c r="N40" s="1520">
        <f>G40-'17'!G40</f>
        <v>263.15999999999804</v>
      </c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365502.35</v>
      </c>
      <c r="F41" s="510">
        <v>365502.35</v>
      </c>
      <c r="G41" s="473">
        <f t="shared" si="3"/>
        <v>0</v>
      </c>
      <c r="H41" s="460">
        <f>G41+'17'!H41</f>
        <v>35860.349999999977</v>
      </c>
      <c r="I41" s="455"/>
      <c r="J41" s="552">
        <f>H41/DAY(B2)</f>
        <v>1992.2416666666654</v>
      </c>
      <c r="K41" s="428"/>
      <c r="L41" s="377"/>
      <c r="N41" s="1520">
        <f>G41-'17'!G41</f>
        <v>0</v>
      </c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79273.179999999993</v>
      </c>
      <c r="F42" s="510">
        <v>82013.91</v>
      </c>
      <c r="G42" s="473">
        <f t="shared" si="3"/>
        <v>2740.7300000000105</v>
      </c>
      <c r="H42" s="460">
        <f>G42+'17'!H42</f>
        <v>22815.020000000004</v>
      </c>
      <c r="I42" s="455"/>
      <c r="J42" s="552">
        <f>H42/DAY(B2)</f>
        <v>1267.5011111111114</v>
      </c>
      <c r="K42" s="428"/>
      <c r="L42" s="377"/>
      <c r="N42" s="1520">
        <f>G42-'17'!G42</f>
        <v>9.3300000000162981</v>
      </c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1166088.8999999999</v>
      </c>
      <c r="F43" s="510">
        <v>1169234.1000000001</v>
      </c>
      <c r="G43" s="473">
        <f t="shared" si="3"/>
        <v>3145.2000000001863</v>
      </c>
      <c r="H43" s="460">
        <f>G43+'17'!H43</f>
        <v>48782.100000000093</v>
      </c>
      <c r="I43" s="455"/>
      <c r="J43" s="552">
        <f>H43/DAY(B2)</f>
        <v>2710.1166666666718</v>
      </c>
      <c r="K43" s="428"/>
      <c r="L43" s="377"/>
      <c r="N43" s="1520">
        <f>G43-'17'!G43</f>
        <v>47.800000000279397</v>
      </c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1520">
        <f>G44-'17'!G44</f>
        <v>0</v>
      </c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1520">
        <f>G45-'17'!G45</f>
        <v>0</v>
      </c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1520">
        <f>G46-'17'!G46</f>
        <v>-5.0000000000011369E-2</v>
      </c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15198.860000000184</v>
      </c>
      <c r="H47" s="460">
        <f>G47+'17'!H47</f>
        <v>285424.40000000008</v>
      </c>
      <c r="I47" s="455"/>
      <c r="J47" s="552">
        <f>H47/DAY(B2)</f>
        <v>15856.911111111116</v>
      </c>
      <c r="K47" s="428"/>
      <c r="L47" s="377"/>
      <c r="N47" s="1520">
        <f>G47-'17'!G47</f>
        <v>683.79000000031192</v>
      </c>
      <c r="O47" s="725"/>
      <c r="P47" s="382"/>
    </row>
    <row r="48" spans="1:16">
      <c r="A48" s="598" t="s">
        <v>176</v>
      </c>
      <c r="B48" s="1324"/>
      <c r="C48" s="1324"/>
      <c r="D48" s="472"/>
      <c r="E48" s="471"/>
      <c r="F48" s="471"/>
      <c r="G48" s="472"/>
      <c r="H48" s="472"/>
      <c r="I48" s="472"/>
      <c r="J48" s="551"/>
      <c r="K48" s="428"/>
      <c r="L48" s="377"/>
      <c r="N48" s="1520">
        <f>G48-'17'!G48</f>
        <v>0</v>
      </c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281872.59000000003</v>
      </c>
      <c r="F49" s="510">
        <v>285357.39799999999</v>
      </c>
      <c r="G49" s="473">
        <f t="shared" ref="G49:G58" si="4">F49-E49</f>
        <v>3484.8079999999609</v>
      </c>
      <c r="H49" s="460">
        <f>G49+'17'!H49</f>
        <v>24593.397999999986</v>
      </c>
      <c r="I49" s="455"/>
      <c r="J49" s="552">
        <f>H49/DAY(B2)</f>
        <v>1366.2998888888881</v>
      </c>
      <c r="K49" s="428">
        <f>E49+247</f>
        <v>282119.59000000003</v>
      </c>
      <c r="L49" s="377"/>
      <c r="N49" s="1520">
        <f>G49-'17'!G49</f>
        <v>214.38799999991897</v>
      </c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554815.87</v>
      </c>
      <c r="F50" s="510">
        <v>556528.06999999995</v>
      </c>
      <c r="G50" s="473">
        <f t="shared" si="4"/>
        <v>1712.1999999999534</v>
      </c>
      <c r="H50" s="460">
        <f>G50+'17'!H50</f>
        <v>20772.069999999949</v>
      </c>
      <c r="I50" s="455"/>
      <c r="J50" s="552">
        <f>H50/DAY(B2)</f>
        <v>1154.003888888886</v>
      </c>
      <c r="K50" s="428"/>
      <c r="L50" s="377"/>
      <c r="N50" s="1520">
        <f>G50-'17'!G50</f>
        <v>411.76000000000931</v>
      </c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144639.87</v>
      </c>
      <c r="F51" s="510">
        <v>144639.87</v>
      </c>
      <c r="G51" s="473">
        <f t="shared" si="4"/>
        <v>0</v>
      </c>
      <c r="H51" s="460">
        <f>G51+'17'!H51</f>
        <v>-0.13000000000465661</v>
      </c>
      <c r="I51" s="455"/>
      <c r="J51" s="552">
        <f>H51/DAY(B2)</f>
        <v>-7.2222222224809229E-3</v>
      </c>
      <c r="K51" s="428"/>
      <c r="L51" s="377"/>
      <c r="N51" s="1520">
        <f>G51-'17'!G51</f>
        <v>0</v>
      </c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539606.06999999995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1520">
        <f>G52-'17'!G52</f>
        <v>0</v>
      </c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1520">
        <f>G53-'17'!G53</f>
        <v>-0.79999999993015081</v>
      </c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0.3500000000003638</v>
      </c>
      <c r="I54" s="455"/>
      <c r="J54" s="552">
        <f>H54/DAY(B2)</f>
        <v>1.9444444444464654E-2</v>
      </c>
      <c r="K54" s="428"/>
      <c r="L54" s="377"/>
      <c r="N54" s="1520">
        <f>G54-'17'!G54</f>
        <v>7.999999999992724E-2</v>
      </c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175178.35</v>
      </c>
      <c r="F55" s="653">
        <v>180567.19</v>
      </c>
      <c r="G55" s="652">
        <f t="shared" si="4"/>
        <v>5388.8399999999965</v>
      </c>
      <c r="H55" s="705">
        <f>G55+'17'!H55</f>
        <v>57357.19</v>
      </c>
      <c r="I55" s="706"/>
      <c r="J55" s="707">
        <f>H55/DAY(B2)</f>
        <v>3186.5105555555556</v>
      </c>
      <c r="K55" s="428"/>
      <c r="L55" s="377"/>
      <c r="N55" s="1520">
        <f>G55-'17'!G55</f>
        <v>-2.7200000000011642</v>
      </c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649210.35</v>
      </c>
      <c r="F56" s="653">
        <v>649210.35</v>
      </c>
      <c r="G56" s="473">
        <f t="shared" si="4"/>
        <v>0</v>
      </c>
      <c r="H56" s="460">
        <f>G56+'17'!H56</f>
        <v>168.34999999997672</v>
      </c>
      <c r="I56" s="455"/>
      <c r="J56" s="552">
        <f>H56/DAY(B2)</f>
        <v>9.3527777777764847</v>
      </c>
      <c r="K56" s="427"/>
      <c r="L56" s="377"/>
      <c r="N56" s="1520">
        <f>G56-'17'!G56</f>
        <v>-10.439999999944121</v>
      </c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1520">
        <f>G57-'17'!G57</f>
        <v>0</v>
      </c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57008.56</v>
      </c>
      <c r="F58" s="653">
        <v>57200.13</v>
      </c>
      <c r="G58" s="473">
        <f t="shared" si="4"/>
        <v>191.56999999999971</v>
      </c>
      <c r="H58" s="460">
        <f>G58+'17'!H58</f>
        <v>3020.1299999999974</v>
      </c>
      <c r="I58" s="455"/>
      <c r="J58" s="552">
        <f>H58/DAY(B2)</f>
        <v>167.78499999999985</v>
      </c>
      <c r="K58" s="428"/>
      <c r="L58" s="377"/>
      <c r="N58" s="1520">
        <f>G58-'17'!G58</f>
        <v>-0.79999999999563443</v>
      </c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10777.097999999945</v>
      </c>
      <c r="H59" s="460">
        <f>G59+'17'!H59</f>
        <v>105911.01799999985</v>
      </c>
      <c r="I59" s="455">
        <f>G7-G60</f>
        <v>-137.83800000013434</v>
      </c>
      <c r="J59" s="552">
        <f>H59/DAY(B2)</f>
        <v>5883.9454444444364</v>
      </c>
      <c r="K59" s="428"/>
      <c r="L59" s="377"/>
      <c r="N59" s="1520">
        <f>G59-'17'!G59</f>
        <v>611.46800000005715</v>
      </c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25975.95800000013</v>
      </c>
      <c r="H60" s="460">
        <f>G60+'17'!H60</f>
        <v>398238.74800000002</v>
      </c>
      <c r="I60" s="455">
        <f>G13-G60</f>
        <v>-950.15799999985029</v>
      </c>
      <c r="J60" s="552">
        <f>H60/DAY(B2)</f>
        <v>22124.374888888891</v>
      </c>
      <c r="K60" s="428"/>
      <c r="L60" s="377"/>
      <c r="N60" s="1520">
        <f>G60-'17'!G60</f>
        <v>1295.2580000003691</v>
      </c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'17'!F64</f>
        <v>176694.07</v>
      </c>
      <c r="F64" s="626">
        <v>177066.15</v>
      </c>
      <c r="G64" s="773">
        <f t="shared" si="5"/>
        <v>372.07999999998719</v>
      </c>
      <c r="H64" s="460">
        <f>G64+'17'!H64</f>
        <v>7044.1499999999942</v>
      </c>
      <c r="I64" s="480"/>
      <c r="J64" s="552">
        <f>H64/DAY(B2)</f>
        <v>391.34166666666636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'17'!F65</f>
        <v>176719.61</v>
      </c>
      <c r="F65" s="651">
        <v>177128.03</v>
      </c>
      <c r="G65" s="473">
        <f t="shared" si="5"/>
        <v>408.42000000001281</v>
      </c>
      <c r="H65" s="460">
        <f>G65+'17'!H65</f>
        <v>6826.0299999999988</v>
      </c>
      <c r="I65" s="489"/>
      <c r="J65" s="552">
        <f>H65/DAY(B2)</f>
        <v>379.22388888888884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'17'!F66</f>
        <v>74932.600000000006</v>
      </c>
      <c r="F66" s="478">
        <v>75359.899999999994</v>
      </c>
      <c r="G66" s="473">
        <f t="shared" si="5"/>
        <v>427.29999999998836</v>
      </c>
      <c r="H66" s="460">
        <f>G66+'17'!H66</f>
        <v>7389.8999999999942</v>
      </c>
      <c r="I66" s="480"/>
      <c r="J66" s="552">
        <f>H66/DAY(B2)</f>
        <v>410.54999999999967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'17'!F67</f>
        <v>272970.90999999997</v>
      </c>
      <c r="F67" s="478">
        <v>273443.11</v>
      </c>
      <c r="G67" s="473">
        <f t="shared" si="5"/>
        <v>472.20000000001164</v>
      </c>
      <c r="H67" s="460">
        <f>G67+'17'!H67</f>
        <v>8484.109999999986</v>
      </c>
      <c r="I67" s="489"/>
      <c r="J67" s="552">
        <f>H67/DAY(B2)</f>
        <v>471.33944444444364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'17'!F69</f>
        <v>92028.09</v>
      </c>
      <c r="F69" s="478">
        <v>92335.38</v>
      </c>
      <c r="G69" s="473">
        <f t="shared" si="5"/>
        <v>307.29000000000815</v>
      </c>
      <c r="H69" s="460">
        <f>G69+'17'!H69</f>
        <v>4820.3800000000047</v>
      </c>
      <c r="I69" s="516"/>
      <c r="J69" s="552">
        <f>H69/DAY(B2)</f>
        <v>267.79888888888917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'17'!F72</f>
        <v>856430</v>
      </c>
      <c r="F72" s="654">
        <v>856445</v>
      </c>
      <c r="G72" s="473">
        <f t="shared" ref="G72:G84" si="6">F72-E72</f>
        <v>15</v>
      </c>
      <c r="H72" s="460">
        <f>G72+'17'!H72</f>
        <v>210</v>
      </c>
      <c r="I72" s="480"/>
      <c r="J72" s="552">
        <f>H72/DAY(B2)</f>
        <v>11.666666666666666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'17'!F73</f>
        <v>885995</v>
      </c>
      <c r="F73" s="655">
        <v>885996</v>
      </c>
      <c r="G73" s="652">
        <f t="shared" si="6"/>
        <v>1</v>
      </c>
      <c r="H73" s="460">
        <f>G73+'17'!H73</f>
        <v>162</v>
      </c>
      <c r="I73" s="480"/>
      <c r="J73" s="552">
        <f>H73/DAY(B2)</f>
        <v>9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'17'!F74</f>
        <v>88715.6</v>
      </c>
      <c r="F74" s="655">
        <v>88716.1</v>
      </c>
      <c r="G74" s="473">
        <f t="shared" si="6"/>
        <v>0.5</v>
      </c>
      <c r="H74" s="460">
        <f>G74+'17'!H74</f>
        <v>54.100000000005821</v>
      </c>
      <c r="I74" s="480"/>
      <c r="J74" s="552">
        <f>H74/DAY(B2)</f>
        <v>3.0055555555558788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'17'!F75</f>
        <v>18704.3</v>
      </c>
      <c r="F75" s="655">
        <v>18876.75</v>
      </c>
      <c r="G75" s="473">
        <f t="shared" si="6"/>
        <v>172.45000000000073</v>
      </c>
      <c r="H75" s="460">
        <f>G75+'17'!H75</f>
        <v>2805.75</v>
      </c>
      <c r="I75" s="480"/>
      <c r="J75" s="552">
        <f>H75/DAY(B2)</f>
        <v>155.875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'17'!F76</f>
        <v>10453.129999999999</v>
      </c>
      <c r="F76" s="655">
        <v>10516.28</v>
      </c>
      <c r="G76" s="473">
        <f t="shared" si="6"/>
        <v>63.150000000001455</v>
      </c>
      <c r="H76" s="460">
        <f>G76+'17'!H76</f>
        <v>2297.2800000000007</v>
      </c>
      <c r="I76" s="505"/>
      <c r="J76" s="552">
        <f>H76/DAY(B2)</f>
        <v>127.62666666666671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'17'!F77</f>
        <v>705415</v>
      </c>
      <c r="F77" s="655">
        <v>705501</v>
      </c>
      <c r="G77" s="652">
        <f t="shared" si="6"/>
        <v>86</v>
      </c>
      <c r="H77" s="460">
        <f>G77+'17'!H77</f>
        <v>1127</v>
      </c>
      <c r="I77" s="505"/>
      <c r="J77" s="552">
        <f>H77/DAY(B2)</f>
        <v>62.611111111111114</v>
      </c>
      <c r="K77" s="430"/>
      <c r="L77" s="377"/>
      <c r="N77" s="718"/>
      <c r="O77" s="725"/>
      <c r="P77" s="382"/>
    </row>
    <row r="78" spans="1:16" ht="27.75">
      <c r="A78" s="1322" t="s">
        <v>196</v>
      </c>
      <c r="B78" s="1315"/>
      <c r="C78" s="1315"/>
      <c r="D78" s="523" t="s">
        <v>186</v>
      </c>
      <c r="E78" s="519">
        <f>'17'!F78</f>
        <v>677096</v>
      </c>
      <c r="F78" s="656">
        <v>677200</v>
      </c>
      <c r="G78" s="473">
        <f t="shared" si="6"/>
        <v>104</v>
      </c>
      <c r="H78" s="460">
        <f>G78+'17'!H78</f>
        <v>1786</v>
      </c>
      <c r="I78" s="505"/>
      <c r="J78" s="552">
        <f>H78/DAY(B2)</f>
        <v>99.222222222222229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'17'!F79</f>
        <v>838112</v>
      </c>
      <c r="F79" s="656">
        <v>838269</v>
      </c>
      <c r="G79" s="473">
        <f t="shared" si="6"/>
        <v>157</v>
      </c>
      <c r="H79" s="460">
        <f>G79+'17'!H79</f>
        <v>2115</v>
      </c>
      <c r="I79" s="505"/>
      <c r="J79" s="552">
        <f>H79/DAY(B2)</f>
        <v>117.5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'17'!F80</f>
        <v>546263.31999999995</v>
      </c>
      <c r="F80" s="655">
        <v>546767</v>
      </c>
      <c r="G80" s="473">
        <f t="shared" si="6"/>
        <v>503.68000000005122</v>
      </c>
      <c r="H80" s="460">
        <f>G80+'17'!H80</f>
        <v>4376</v>
      </c>
      <c r="I80" s="505"/>
      <c r="J80" s="552">
        <f>H80/DAY(B2)</f>
        <v>243.11111111111111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'17'!F81</f>
        <v>646228.28</v>
      </c>
      <c r="F81" s="655">
        <v>646454.52</v>
      </c>
      <c r="G81" s="473">
        <f t="shared" si="6"/>
        <v>226.23999999999069</v>
      </c>
      <c r="H81" s="460">
        <f>G81+'17'!H81</f>
        <v>3469.5200000000186</v>
      </c>
      <c r="I81" s="505"/>
      <c r="J81" s="552">
        <f>H81/DAY(B2)</f>
        <v>192.75111111111215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'17'!F82</f>
        <v>109042.25</v>
      </c>
      <c r="F82" s="626">
        <v>109064.85</v>
      </c>
      <c r="G82" s="773">
        <f t="shared" si="6"/>
        <v>22.600000000005821</v>
      </c>
      <c r="H82" s="479">
        <f>G82+'17'!H82</f>
        <v>383.85000000000582</v>
      </c>
      <c r="I82" s="479"/>
      <c r="J82" s="774">
        <f>H82/DAY(B2)</f>
        <v>21.325000000000323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'17'!F83</f>
        <v>31589</v>
      </c>
      <c r="F83" s="511">
        <v>31818</v>
      </c>
      <c r="G83" s="473">
        <f t="shared" si="6"/>
        <v>229</v>
      </c>
      <c r="H83" s="460">
        <f>G83+'17'!H83</f>
        <v>4267</v>
      </c>
      <c r="I83" s="481"/>
      <c r="J83" s="552">
        <f>H83/DAY(B2)</f>
        <v>237.05555555555554</v>
      </c>
      <c r="K83" s="429"/>
      <c r="L83" s="377"/>
      <c r="N83" s="718"/>
      <c r="O83" s="725"/>
      <c r="P83" s="382"/>
    </row>
    <row r="84" spans="1:16">
      <c r="A84" s="1323" t="s">
        <v>200</v>
      </c>
      <c r="B84" s="571"/>
      <c r="C84" s="571"/>
      <c r="D84" s="478" t="s">
        <v>131</v>
      </c>
      <c r="E84" s="519">
        <f>'17'!F84</f>
        <v>536537</v>
      </c>
      <c r="F84" s="627">
        <v>537360</v>
      </c>
      <c r="G84" s="473">
        <f t="shared" si="6"/>
        <v>823</v>
      </c>
      <c r="H84" s="460">
        <f>G84+'17'!H84</f>
        <v>14280</v>
      </c>
      <c r="I84" s="481"/>
      <c r="J84" s="552">
        <f>H84/DAY(B2)</f>
        <v>793.33333333333337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2403.6200000000499</v>
      </c>
      <c r="H85" s="460">
        <f>G85+'17'!H85</f>
        <v>40207.500000000029</v>
      </c>
      <c r="I85" s="481"/>
      <c r="J85" s="552">
        <f>H85/DAY(B2)</f>
        <v>2233.7500000000018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'17'!F86</f>
        <v>462229.84</v>
      </c>
      <c r="F86" s="647">
        <v>462238</v>
      </c>
      <c r="G86" s="705">
        <f t="shared" ref="G86:G91" si="7">F86-E86</f>
        <v>8.1599999999743886</v>
      </c>
      <c r="H86" s="705">
        <f t="shared" ref="H86:H88" si="8">G86</f>
        <v>8.1599999999743886</v>
      </c>
      <c r="I86" s="652"/>
      <c r="J86" s="707">
        <f>H86/DAY(B2)</f>
        <v>0.4533333333319105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'17'!F87</f>
        <v>82543</v>
      </c>
      <c r="F87" s="647">
        <v>82552.600000000006</v>
      </c>
      <c r="G87" s="705">
        <f t="shared" si="7"/>
        <v>9.6000000000058208</v>
      </c>
      <c r="H87" s="705">
        <f t="shared" si="8"/>
        <v>9.6000000000058208</v>
      </c>
      <c r="I87" s="652"/>
      <c r="J87" s="707">
        <f>H87/DAY(B2)</f>
        <v>0.53333333333365673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'17'!F88</f>
        <v>157245.72</v>
      </c>
      <c r="F88" s="647">
        <v>157321</v>
      </c>
      <c r="G88" s="705">
        <f t="shared" si="7"/>
        <v>75.279999999998836</v>
      </c>
      <c r="H88" s="705">
        <f t="shared" si="8"/>
        <v>75.279999999998836</v>
      </c>
      <c r="I88" s="652"/>
      <c r="J88" s="707">
        <f>H88/DAY(B2)</f>
        <v>4.1822222222221574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'17'!F89</f>
        <v>66560.800000000003</v>
      </c>
      <c r="F89" s="647">
        <v>66579</v>
      </c>
      <c r="G89" s="705">
        <f t="shared" si="7"/>
        <v>18.19999999999709</v>
      </c>
      <c r="H89" s="705">
        <f>G89</f>
        <v>18.19999999999709</v>
      </c>
      <c r="I89" s="652"/>
      <c r="J89" s="707">
        <f>H89/DAY(B2)</f>
        <v>1.0111111111109494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'17'!F90</f>
        <v>3407</v>
      </c>
      <c r="F90" s="647">
        <v>3408</v>
      </c>
      <c r="G90" s="705">
        <f t="shared" si="7"/>
        <v>1</v>
      </c>
      <c r="H90" s="705">
        <f>G90</f>
        <v>1</v>
      </c>
      <c r="I90" s="652"/>
      <c r="J90" s="707">
        <f>H90/DAY(B2)</f>
        <v>5.5555555555555552E-2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 t="s">
        <v>131</v>
      </c>
      <c r="E91" s="627">
        <f>'17'!F91</f>
        <v>28391.759999999998</v>
      </c>
      <c r="F91" s="647">
        <v>28393.63</v>
      </c>
      <c r="G91" s="705">
        <f t="shared" si="7"/>
        <v>1.8700000000026193</v>
      </c>
      <c r="H91" s="705">
        <f>G91</f>
        <v>1.8700000000026193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325"/>
      <c r="C92" s="132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'17'!F93</f>
        <v>249044</v>
      </c>
      <c r="F93" s="478">
        <v>249207</v>
      </c>
      <c r="G93" s="473">
        <f t="shared" ref="G93:G94" si="9">F93-E93</f>
        <v>163</v>
      </c>
      <c r="H93" s="460">
        <f>G93+'17'!H93</f>
        <v>1855</v>
      </c>
      <c r="I93" s="480"/>
      <c r="J93" s="552">
        <f>H93/DAY(B2)</f>
        <v>103.05555555555556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'17'!F94</f>
        <v>191455</v>
      </c>
      <c r="F94" s="478">
        <v>191615</v>
      </c>
      <c r="G94" s="473">
        <f t="shared" si="9"/>
        <v>160</v>
      </c>
      <c r="H94" s="460">
        <f>G94+'17'!H94</f>
        <v>2161</v>
      </c>
      <c r="I94" s="480"/>
      <c r="J94" s="552">
        <f>H94/DAY(B2)</f>
        <v>120.05555555555556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'17'!F95</f>
        <v>0</v>
      </c>
      <c r="F95" s="478"/>
      <c r="G95" s="473">
        <f>G93+G94</f>
        <v>323</v>
      </c>
      <c r="H95" s="460">
        <f>G95+'17'!H95</f>
        <v>3830</v>
      </c>
      <c r="I95" s="480"/>
      <c r="J95" s="552">
        <f>H95/DAY(B2)</f>
        <v>212.77777777777777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'17'!F96</f>
        <v>417544</v>
      </c>
      <c r="F96" s="478">
        <v>417634</v>
      </c>
      <c r="G96" s="473">
        <f t="shared" ref="G96:G101" si="10">F96-E96</f>
        <v>90</v>
      </c>
      <c r="H96" s="460">
        <f>G96+'17'!H96</f>
        <v>1635</v>
      </c>
      <c r="I96" s="480"/>
      <c r="J96" s="552">
        <f>H96/DAY(B2)</f>
        <v>90.833333333333329</v>
      </c>
      <c r="K96" s="380"/>
      <c r="L96" s="377"/>
      <c r="N96" s="718"/>
      <c r="O96" s="725"/>
      <c r="P96" s="382"/>
    </row>
    <row r="97" spans="1:16" ht="27.75">
      <c r="A97" s="1319" t="s">
        <v>209</v>
      </c>
      <c r="B97" s="1320"/>
      <c r="C97" s="1320"/>
      <c r="D97" s="523" t="s">
        <v>143</v>
      </c>
      <c r="E97" s="484">
        <f>'17'!F97</f>
        <v>103541</v>
      </c>
      <c r="F97" s="478">
        <v>103571</v>
      </c>
      <c r="G97" s="473">
        <f t="shared" si="10"/>
        <v>30</v>
      </c>
      <c r="H97" s="460">
        <f>G97+'17'!H97</f>
        <v>408</v>
      </c>
      <c r="I97" s="480"/>
      <c r="J97" s="552">
        <f>H97/DAY(B2)</f>
        <v>22.666666666666668</v>
      </c>
      <c r="K97" s="427"/>
      <c r="L97" s="377"/>
      <c r="N97" s="718"/>
      <c r="O97" s="725"/>
      <c r="P97" s="382"/>
    </row>
    <row r="98" spans="1:16" ht="27.75">
      <c r="A98" s="1319" t="s">
        <v>210</v>
      </c>
      <c r="B98" s="1320"/>
      <c r="C98" s="1320"/>
      <c r="D98" s="523" t="s">
        <v>143</v>
      </c>
      <c r="E98" s="484">
        <f>'17'!F98</f>
        <v>99090</v>
      </c>
      <c r="F98" s="478">
        <v>99119</v>
      </c>
      <c r="G98" s="473">
        <f t="shared" si="10"/>
        <v>29</v>
      </c>
      <c r="H98" s="460">
        <f>G98+'17'!H98</f>
        <v>462</v>
      </c>
      <c r="I98" s="480"/>
      <c r="J98" s="552">
        <f>H98/DAY(B2)</f>
        <v>25.666666666666668</v>
      </c>
      <c r="K98" s="432"/>
      <c r="L98" s="377"/>
      <c r="N98" s="718"/>
      <c r="O98" s="725"/>
      <c r="P98" s="382"/>
    </row>
    <row r="99" spans="1:16" ht="27.75">
      <c r="A99" s="1319" t="s">
        <v>211</v>
      </c>
      <c r="B99" s="1320"/>
      <c r="C99" s="1320"/>
      <c r="D99" s="523" t="s">
        <v>143</v>
      </c>
      <c r="E99" s="484">
        <f>'17'!F99</f>
        <v>150908</v>
      </c>
      <c r="F99" s="478">
        <v>150935</v>
      </c>
      <c r="G99" s="473">
        <f t="shared" si="10"/>
        <v>27</v>
      </c>
      <c r="H99" s="460">
        <f>G99+'17'!H99</f>
        <v>530</v>
      </c>
      <c r="I99" s="480"/>
      <c r="J99" s="552">
        <f>H99/DAY(B2)</f>
        <v>29.444444444444443</v>
      </c>
      <c r="K99" s="380"/>
      <c r="L99" s="377"/>
      <c r="N99" s="720"/>
      <c r="O99" s="725"/>
      <c r="P99" s="382"/>
    </row>
    <row r="100" spans="1:16" ht="27.75">
      <c r="A100" s="1319" t="s">
        <v>212</v>
      </c>
      <c r="B100" s="1320"/>
      <c r="C100" s="1320"/>
      <c r="D100" s="523" t="s">
        <v>143</v>
      </c>
      <c r="E100" s="484">
        <f>'17'!F100</f>
        <v>7981</v>
      </c>
      <c r="F100" s="478">
        <v>7997</v>
      </c>
      <c r="G100" s="473">
        <f t="shared" si="10"/>
        <v>16</v>
      </c>
      <c r="H100" s="460">
        <f>G100+'17'!H100</f>
        <v>200</v>
      </c>
      <c r="I100" s="480"/>
      <c r="J100" s="552">
        <f>H100/DAY(B2)</f>
        <v>11.111111111111111</v>
      </c>
      <c r="K100" s="380"/>
      <c r="L100" s="377"/>
      <c r="N100" s="718"/>
      <c r="O100" s="725"/>
      <c r="P100" s="382"/>
    </row>
    <row r="101" spans="1:16" ht="27.75">
      <c r="A101" s="1319" t="s">
        <v>213</v>
      </c>
      <c r="B101" s="1320"/>
      <c r="C101" s="1320"/>
      <c r="D101" s="523" t="s">
        <v>143</v>
      </c>
      <c r="E101" s="484">
        <f>'17'!F101</f>
        <v>5848</v>
      </c>
      <c r="F101" s="478">
        <v>5859</v>
      </c>
      <c r="G101" s="473">
        <f t="shared" si="10"/>
        <v>11</v>
      </c>
      <c r="H101" s="460">
        <f>G101+'17'!H101</f>
        <v>185</v>
      </c>
      <c r="I101" s="480"/>
      <c r="J101" s="552">
        <f>H101/DAY(B2)</f>
        <v>10.277777777777779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203</v>
      </c>
      <c r="H102" s="460">
        <f>G102+'17'!H102</f>
        <v>3420</v>
      </c>
      <c r="I102" s="526"/>
      <c r="J102" s="552">
        <f>H102/DAY(B2)</f>
        <v>190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318"/>
      <c r="D105" s="622" t="s">
        <v>143</v>
      </c>
      <c r="E105" s="484">
        <f>'17'!F105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318"/>
      <c r="D106" s="622" t="s">
        <v>143</v>
      </c>
      <c r="E106" s="484">
        <f>'17'!F106</f>
        <v>36332</v>
      </c>
      <c r="F106" s="659">
        <v>36342</v>
      </c>
      <c r="G106" s="532">
        <f t="shared" ref="G106:G107" si="11">F106-E106</f>
        <v>10</v>
      </c>
      <c r="H106" s="533">
        <f>SUM(G106+'1'!G77)</f>
        <v>63</v>
      </c>
      <c r="I106" s="532"/>
      <c r="J106" s="558">
        <f>H106/DAY(B2)</f>
        <v>3.5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'17'!F107</f>
        <v>19897</v>
      </c>
      <c r="F107" s="659">
        <v>19902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6.6111111111111107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318"/>
      <c r="D108" s="622"/>
      <c r="E108" s="484">
        <f>'17'!F108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9.3333333333333339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318"/>
      <c r="D109" s="622" t="s">
        <v>143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318"/>
      <c r="D110" s="622" t="s">
        <v>143</v>
      </c>
      <c r="E110" s="484">
        <f>'17'!F110</f>
        <v>66105</v>
      </c>
      <c r="F110" s="659">
        <v>66170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10.924444444445221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318"/>
      <c r="D111" s="622" t="s">
        <v>143</v>
      </c>
      <c r="E111" s="484">
        <f>'17'!F111</f>
        <v>33629</v>
      </c>
      <c r="F111" s="659">
        <v>33641</v>
      </c>
      <c r="G111" s="532">
        <f t="shared" ref="G111:G112" si="12">F111-E111</f>
        <v>12</v>
      </c>
      <c r="H111" s="533">
        <f>SUM(G111+'1'!G82)</f>
        <v>36.899999999994179</v>
      </c>
      <c r="I111" s="532"/>
      <c r="J111" s="558">
        <f>H111/DAY(B2)</f>
        <v>2.0499999999996765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318"/>
      <c r="D112" s="622" t="s">
        <v>143</v>
      </c>
      <c r="E112" s="484">
        <f>'17'!F112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318"/>
      <c r="D113" s="622"/>
      <c r="E113" s="484">
        <f>'17'!F113</f>
        <v>0</v>
      </c>
      <c r="F113" s="659"/>
      <c r="G113" s="532">
        <f>SUM(G110:G112)</f>
        <v>77</v>
      </c>
      <c r="H113" s="533">
        <f>SUM(G113+'1'!G84)</f>
        <v>893</v>
      </c>
      <c r="I113" s="532"/>
      <c r="J113" s="558">
        <f>H113/DAY(B2)</f>
        <v>49.611111111111114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318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'17'!F115</f>
        <v>12242</v>
      </c>
      <c r="F115" s="659">
        <v>12261</v>
      </c>
      <c r="G115" s="534">
        <f>F115-E115</f>
        <v>19</v>
      </c>
      <c r="H115" s="533">
        <f>SUM(G115+'1'!G92)</f>
        <v>19</v>
      </c>
      <c r="I115" s="532"/>
      <c r="J115" s="558">
        <f>H115/DAY(B2)</f>
        <v>1.0555555555555556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'17'!F116</f>
        <v>8702</v>
      </c>
      <c r="F116" s="659">
        <v>8711</v>
      </c>
      <c r="G116" s="534">
        <f t="shared" ref="G116:G117" si="13">F116-E116</f>
        <v>9</v>
      </c>
      <c r="H116" s="533">
        <f>SUM(G116+'1'!G93)</f>
        <v>98</v>
      </c>
      <c r="I116" s="532"/>
      <c r="J116" s="558">
        <f>H116/DAY(B2)</f>
        <v>5.4444444444444446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28</v>
      </c>
      <c r="H118" s="533">
        <f>SUM(G118+'1'!G96)</f>
        <v>114</v>
      </c>
      <c r="I118" s="534"/>
      <c r="J118" s="558">
        <f>H118/DAY(B2)</f>
        <v>6.333333333333333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316"/>
      <c r="D119" s="624" t="s">
        <v>143</v>
      </c>
      <c r="E119" s="536"/>
      <c r="F119" s="660">
        <f>SUM(G19+G93)</f>
        <v>172</v>
      </c>
      <c r="G119" s="536">
        <f>SUM(G19+G93)</f>
        <v>172</v>
      </c>
      <c r="H119" s="533">
        <f>SUM(G119+'1'!G97)</f>
        <v>189</v>
      </c>
      <c r="I119" s="535"/>
      <c r="J119" s="559">
        <f>H119/DAY(B2)</f>
        <v>10.5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316"/>
      <c r="D120" s="624" t="s">
        <v>143</v>
      </c>
      <c r="E120" s="536"/>
      <c r="F120" s="660">
        <f>SUM(G96,G97,G98,G100,G101)</f>
        <v>176</v>
      </c>
      <c r="G120" s="536">
        <f>SUM(G96,G97,G98,G100,G101)</f>
        <v>176</v>
      </c>
      <c r="H120" s="533">
        <f>SUM(G120+'1'!G99)</f>
        <v>226</v>
      </c>
      <c r="I120" s="535"/>
      <c r="J120" s="559">
        <f>H120/DAY(B2)</f>
        <v>12.555555555555555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316"/>
      <c r="D121" s="624" t="s">
        <v>143</v>
      </c>
      <c r="E121" s="534"/>
      <c r="F121" s="659">
        <f>SUM(G113)</f>
        <v>77</v>
      </c>
      <c r="G121" s="534">
        <f>SUM(G113)</f>
        <v>77</v>
      </c>
      <c r="H121" s="533">
        <f>SUM(G121+'1'!G101)</f>
        <v>82</v>
      </c>
      <c r="I121" s="535"/>
      <c r="J121" s="559">
        <f>H121/DAY(B2)</f>
        <v>4.5555555555555554</v>
      </c>
      <c r="N121" s="718"/>
      <c r="O121" s="725"/>
      <c r="P121" s="382"/>
    </row>
    <row r="122" spans="1:16" s="442" customFormat="1" ht="27.75">
      <c r="A122" s="1549"/>
      <c r="B122" s="1550"/>
      <c r="C122" s="131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19" t="s">
        <v>230</v>
      </c>
      <c r="B124" s="1320"/>
      <c r="C124" s="1320"/>
      <c r="D124" s="523" t="s">
        <v>140</v>
      </c>
      <c r="E124" s="478">
        <f>'17'!F124</f>
        <v>844283.53</v>
      </c>
      <c r="F124" s="478">
        <v>844579.27</v>
      </c>
      <c r="G124" s="473">
        <f t="shared" ref="G124:G128" si="14">F124-E124</f>
        <v>295.73999999999069</v>
      </c>
      <c r="H124" s="460">
        <f>G124+'17'!H124</f>
        <v>4909.2700000000186</v>
      </c>
      <c r="I124" s="526"/>
      <c r="J124" s="552">
        <f>H124/DAY(B2)</f>
        <v>272.73722222222324</v>
      </c>
      <c r="K124" s="380"/>
      <c r="L124" s="377"/>
      <c r="N124" s="718"/>
      <c r="O124" s="725"/>
      <c r="P124" s="382"/>
    </row>
    <row r="125" spans="1:16" ht="27.75">
      <c r="A125" s="1319" t="s">
        <v>231</v>
      </c>
      <c r="B125" s="1320"/>
      <c r="C125" s="1320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'17'!F126</f>
        <v>150185.73000000001</v>
      </c>
      <c r="F126" s="478">
        <v>150293.53</v>
      </c>
      <c r="G126" s="473">
        <f t="shared" si="14"/>
        <v>107.79999999998836</v>
      </c>
      <c r="H126" s="460">
        <f>G126+'17'!H126</f>
        <v>1696.5299999999988</v>
      </c>
      <c r="I126" s="526"/>
      <c r="J126" s="552">
        <f>H126/DAY(B2)</f>
        <v>94.251666666666608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320"/>
      <c r="C127" s="1320"/>
      <c r="D127" s="523" t="s">
        <v>140</v>
      </c>
      <c r="E127" s="478">
        <f>'17'!F127</f>
        <v>32725.200000000001</v>
      </c>
      <c r="F127" s="626">
        <v>32770.300000000003</v>
      </c>
      <c r="G127" s="473">
        <f t="shared" si="14"/>
        <v>45.100000000002183</v>
      </c>
      <c r="H127" s="460">
        <f>G127+'17'!H127</f>
        <v>699.30000000000291</v>
      </c>
      <c r="I127" s="526"/>
      <c r="J127" s="552">
        <f>H127/DAY(B2)</f>
        <v>38.850000000000165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320"/>
      <c r="C128" s="1320"/>
      <c r="D128" s="523" t="s">
        <v>140</v>
      </c>
      <c r="E128" s="478">
        <f>'17'!F128</f>
        <v>9080.1</v>
      </c>
      <c r="F128" s="626">
        <v>9085</v>
      </c>
      <c r="G128" s="473">
        <f t="shared" si="14"/>
        <v>4.8999999999996362</v>
      </c>
      <c r="H128" s="460">
        <f>G128+'17'!H128</f>
        <v>73</v>
      </c>
      <c r="I128" s="480"/>
      <c r="J128" s="552">
        <f>H128/DAY(B2)</f>
        <v>4.0555555555555554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320"/>
      <c r="C129" s="1320"/>
      <c r="D129" s="523"/>
      <c r="E129" s="478"/>
      <c r="F129" s="478"/>
      <c r="G129" s="473">
        <f>G15-SUM(G124:G128)</f>
        <v>455.33899999997629</v>
      </c>
      <c r="H129" s="460">
        <f>G129+'17'!H129</f>
        <v>1410.8170000000482</v>
      </c>
      <c r="I129" s="480"/>
      <c r="J129" s="552">
        <f>H129/DAY(B2)</f>
        <v>78.378722222224894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19" t="s">
        <v>237</v>
      </c>
      <c r="B131" s="1320"/>
      <c r="C131" s="1320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19" t="s">
        <v>239</v>
      </c>
      <c r="B132" s="1320"/>
      <c r="C132" s="1320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19" t="s">
        <v>240</v>
      </c>
      <c r="B133" s="1320"/>
      <c r="C133" s="1320"/>
      <c r="D133" s="523" t="s">
        <v>238</v>
      </c>
      <c r="E133" s="484">
        <f>'17'!F133</f>
        <v>40612.1</v>
      </c>
      <c r="F133" s="651">
        <v>40612.1</v>
      </c>
      <c r="G133" s="473">
        <f t="shared" si="15"/>
        <v>0</v>
      </c>
      <c r="H133" s="460">
        <f>G133+'17'!H133</f>
        <v>159.09999999999854</v>
      </c>
      <c r="I133" s="480"/>
      <c r="J133" s="552">
        <f>H133/DAY(B2)</f>
        <v>8.8388888888888086</v>
      </c>
      <c r="N133" s="718"/>
      <c r="O133" s="725"/>
      <c r="P133" s="382"/>
    </row>
    <row r="134" spans="1:16" ht="27.75">
      <c r="A134" s="1319" t="s">
        <v>241</v>
      </c>
      <c r="B134" s="1320"/>
      <c r="C134" s="1320"/>
      <c r="D134" s="523" t="s">
        <v>238</v>
      </c>
      <c r="E134" s="484">
        <f>'17'!F134</f>
        <v>397.13</v>
      </c>
      <c r="F134" s="626">
        <v>410.18</v>
      </c>
      <c r="G134" s="473">
        <f t="shared" si="15"/>
        <v>13.050000000000011</v>
      </c>
      <c r="H134" s="460">
        <f>G134+'17'!H134</f>
        <v>110.18</v>
      </c>
      <c r="I134" s="480">
        <f>G131+G132+G133+G134</f>
        <v>13.050000000000011</v>
      </c>
      <c r="J134" s="552">
        <f>H134/DAY(B2)</f>
        <v>6.1211111111111114</v>
      </c>
      <c r="N134" s="718"/>
      <c r="O134" s="725"/>
      <c r="P134" s="382"/>
    </row>
    <row r="135" spans="1:16" ht="27.75">
      <c r="A135" s="1319" t="s">
        <v>242</v>
      </c>
      <c r="B135" s="1320"/>
      <c r="C135" s="1320"/>
      <c r="D135" s="523" t="s">
        <v>238</v>
      </c>
      <c r="E135" s="484">
        <f>'17'!F135</f>
        <v>42233.09</v>
      </c>
      <c r="F135" s="626">
        <v>42257</v>
      </c>
      <c r="G135" s="473">
        <f t="shared" si="15"/>
        <v>23.910000000003492</v>
      </c>
      <c r="H135" s="460">
        <f>G135+'17'!H135</f>
        <v>285</v>
      </c>
      <c r="I135" s="480"/>
      <c r="J135" s="552">
        <f>H135/DAY(B2)</f>
        <v>15.833333333333334</v>
      </c>
      <c r="N135" s="718"/>
      <c r="O135" s="725"/>
      <c r="P135" s="382"/>
    </row>
    <row r="136" spans="1:16" ht="27.75">
      <c r="A136" s="1319" t="s">
        <v>243</v>
      </c>
      <c r="B136" s="1320"/>
      <c r="C136" s="1320"/>
      <c r="D136" s="523" t="s">
        <v>238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19" t="s">
        <v>244</v>
      </c>
      <c r="B137" s="1320"/>
      <c r="C137" s="1320"/>
      <c r="D137" s="523" t="s">
        <v>238</v>
      </c>
      <c r="E137" s="484">
        <f>'17'!F137</f>
        <v>23014.9</v>
      </c>
      <c r="F137" s="651">
        <v>23023.439999999999</v>
      </c>
      <c r="G137" s="473">
        <f t="shared" si="15"/>
        <v>8.5399999999972351</v>
      </c>
      <c r="H137" s="460">
        <f>G137+'17'!H137</f>
        <v>131.94999999999709</v>
      </c>
      <c r="I137" s="480">
        <f>G135+G136+G137</f>
        <v>32.450000000000728</v>
      </c>
      <c r="J137" s="552">
        <f>H137/DAY(B2)</f>
        <v>7.3305555555553941</v>
      </c>
      <c r="N137" s="718"/>
      <c r="O137" s="725"/>
      <c r="P137" s="382"/>
    </row>
    <row r="138" spans="1:16" ht="27.75">
      <c r="A138" s="1319" t="s">
        <v>245</v>
      </c>
      <c r="B138" s="1320"/>
      <c r="C138" s="1320"/>
      <c r="D138" s="523" t="s">
        <v>238</v>
      </c>
      <c r="E138" s="484">
        <f>'17'!F138</f>
        <v>25099.16</v>
      </c>
      <c r="F138" s="651">
        <v>25099.16</v>
      </c>
      <c r="G138" s="473">
        <f t="shared" si="15"/>
        <v>0</v>
      </c>
      <c r="H138" s="460">
        <f>G138+'17'!H138</f>
        <v>7.7700000000004366</v>
      </c>
      <c r="I138" s="480"/>
      <c r="J138" s="552">
        <f>H138/DAY(B2)</f>
        <v>0.4316666666666909</v>
      </c>
      <c r="N138" s="718"/>
      <c r="O138" s="725"/>
      <c r="P138" s="382"/>
    </row>
    <row r="139" spans="1:16" ht="27.75">
      <c r="A139" s="1319" t="s">
        <v>246</v>
      </c>
      <c r="B139" s="1320"/>
      <c r="C139" s="1320"/>
      <c r="D139" s="523" t="s">
        <v>238</v>
      </c>
      <c r="E139" s="484">
        <f>'17'!F139</f>
        <v>70516.600000000006</v>
      </c>
      <c r="F139" s="651">
        <v>70516.600000000006</v>
      </c>
      <c r="G139" s="473">
        <f t="shared" si="15"/>
        <v>0</v>
      </c>
      <c r="H139" s="460">
        <f>G139+'17'!H139</f>
        <v>2.9800000000104774</v>
      </c>
      <c r="I139" s="480">
        <f>G138+G139</f>
        <v>0</v>
      </c>
      <c r="J139" s="552">
        <f>H139/DAY(B2)</f>
        <v>0.16555555555613763</v>
      </c>
      <c r="N139" s="718"/>
      <c r="O139" s="725"/>
      <c r="P139" s="382"/>
    </row>
    <row r="140" spans="1:16" ht="27.75">
      <c r="A140" s="1319" t="s">
        <v>247</v>
      </c>
      <c r="B140" s="1320"/>
      <c r="C140" s="1320"/>
      <c r="D140" s="523" t="s">
        <v>238</v>
      </c>
      <c r="E140" s="484">
        <f>'17'!F140</f>
        <v>2247.77</v>
      </c>
      <c r="F140" s="626">
        <v>2247.77</v>
      </c>
      <c r="G140" s="473">
        <f t="shared" si="15"/>
        <v>0</v>
      </c>
      <c r="H140" s="460">
        <f>G140+'17'!H140</f>
        <v>118.59000000000015</v>
      </c>
      <c r="I140" s="542"/>
      <c r="J140" s="552">
        <f>H140/DAY(B2)</f>
        <v>6.5883333333333418</v>
      </c>
      <c r="N140" s="718"/>
      <c r="O140" s="725"/>
      <c r="P140" s="382"/>
    </row>
    <row r="141" spans="1:16" ht="27.75">
      <c r="A141" s="1319" t="s">
        <v>248</v>
      </c>
      <c r="B141" s="1320"/>
      <c r="C141" s="1320"/>
      <c r="D141" s="523" t="s">
        <v>238</v>
      </c>
      <c r="E141" s="484">
        <f>'17'!F141</f>
        <v>4685.83</v>
      </c>
      <c r="F141" s="478">
        <v>4696.12</v>
      </c>
      <c r="G141" s="473">
        <f t="shared" si="15"/>
        <v>10.289999999999964</v>
      </c>
      <c r="H141" s="460">
        <f>G141+'17'!H141</f>
        <v>59.119999999999891</v>
      </c>
      <c r="I141" s="542"/>
      <c r="J141" s="552">
        <f>H141/DAY(B2)</f>
        <v>3.2844444444444383</v>
      </c>
      <c r="N141" s="718"/>
      <c r="O141" s="725"/>
      <c r="P141" s="382"/>
    </row>
    <row r="142" spans="1:16">
      <c r="A142" s="1562" t="s">
        <v>249</v>
      </c>
      <c r="B142" s="1563"/>
      <c r="C142" s="132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6630.0080000001471</v>
      </c>
      <c r="H143" s="460">
        <f>G143+'17'!H143</f>
        <v>100272.30800000018</v>
      </c>
      <c r="I143" s="480"/>
      <c r="J143" s="552">
        <f>H143/DAY(B2)</f>
        <v>5570.6837777777873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0.25659792585529245</v>
      </c>
      <c r="H144" s="460">
        <f>G144+'17'!H144</f>
        <v>4.5530629237536884</v>
      </c>
      <c r="I144" s="544"/>
      <c r="J144" s="552">
        <f>H144/DAY(B2)</f>
        <v>0.25294794020853822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8129.570000000007</v>
      </c>
      <c r="H145" s="460">
        <f>G145+'17'!H145</f>
        <v>121784.90999999996</v>
      </c>
      <c r="I145" s="480"/>
      <c r="J145" s="552">
        <f>H145/DAY(B2)</f>
        <v>6765.8283333333311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 t="s">
        <v>272</v>
      </c>
      <c r="G146" s="543">
        <f>G145/G7</f>
        <v>0.31463473348680199</v>
      </c>
      <c r="H146" s="460">
        <f>G146+'17'!H146</f>
        <v>5.5002202870286787</v>
      </c>
      <c r="I146" s="544"/>
      <c r="J146" s="552">
        <f>H146/DAY(B2)</f>
        <v>0.30556779372381548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3750.8400000000256</v>
      </c>
      <c r="H147" s="460">
        <f>G147+'17'!H147</f>
        <v>66448.260000000009</v>
      </c>
      <c r="I147" s="545"/>
      <c r="J147" s="552">
        <f>H147/DAY(B2)</f>
        <v>3691.5700000000006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0.14516690842832319</v>
      </c>
      <c r="H148" s="460">
        <f>G148+'17'!H148</f>
        <v>3.0150955860793922</v>
      </c>
      <c r="I148" s="545"/>
      <c r="J148" s="552">
        <f>H148/DAY(B2)</f>
        <v>0.16750531033774402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1840.9800000000105</v>
      </c>
      <c r="H149" s="460">
        <f>G149+'17'!H149</f>
        <v>29392.53999999995</v>
      </c>
      <c r="I149" s="480"/>
      <c r="J149" s="552">
        <f>H149/DAY(B2)</f>
        <v>1632.9188888888862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7.1250539899962176E-2</v>
      </c>
      <c r="H150" s="460">
        <f>G150+'17'!H150</f>
        <v>1.3303571746952378</v>
      </c>
      <c r="I150" s="545"/>
      <c r="J150" s="552">
        <f>H150/DAY(B2)</f>
        <v>7.390873192751321E-2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2903.8299999999508</v>
      </c>
      <c r="H151" s="460">
        <f>G151+'17'!H151</f>
        <v>37686.349999999948</v>
      </c>
      <c r="I151" s="545"/>
      <c r="J151" s="552">
        <f>H151/DAY(B2)</f>
        <v>2093.6861111111084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0.11238549863534775</v>
      </c>
      <c r="H152" s="460">
        <f>G152+'17'!H152</f>
        <v>1.6977491944730772</v>
      </c>
      <c r="I152" s="480"/>
      <c r="J152" s="552">
        <f>H152/DAY(B2)</f>
        <v>9.4319399692948724E-2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1846.5199999999895</v>
      </c>
      <c r="H153" s="460">
        <f>G153+'17'!H153</f>
        <v>28477.839999999997</v>
      </c>
      <c r="I153" s="480"/>
      <c r="J153" s="552">
        <f>H153/DAY(B2)</f>
        <v>1582.1022222222221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7.1464951784417363E-2</v>
      </c>
      <c r="H154" s="460">
        <f>G154+'17'!H154</f>
        <v>1.2897141198244402</v>
      </c>
      <c r="I154" s="568"/>
      <c r="J154" s="569">
        <f>H154/DAY(B2)</f>
        <v>7.1650784434691125E-2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'17'!F161</f>
        <v>42207.75</v>
      </c>
      <c r="F161" s="803">
        <v>42290.03</v>
      </c>
      <c r="G161" s="473">
        <f t="shared" ref="G161:G166" si="16">F161-E161</f>
        <v>82.279999999998836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'17'!F162</f>
        <v>115588.27</v>
      </c>
      <c r="F162" s="803">
        <v>116042.66</v>
      </c>
      <c r="G162" s="473">
        <f t="shared" si="16"/>
        <v>454.38999999999942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'17'!F163</f>
        <v>64721.63</v>
      </c>
      <c r="F163" s="783">
        <v>64923.45</v>
      </c>
      <c r="G163" s="473">
        <f t="shared" si="16"/>
        <v>201.81999999999971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'17'!F164</f>
        <v>7017.85</v>
      </c>
      <c r="F164" s="803">
        <v>7027.41</v>
      </c>
      <c r="G164" s="473">
        <f t="shared" si="16"/>
        <v>9.5599999999994907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'17'!F167</f>
        <v>176694.07</v>
      </c>
      <c r="F167" s="514">
        <f t="shared" ref="F167:F172" si="17">F64</f>
        <v>177066.15</v>
      </c>
      <c r="G167" s="473">
        <f>F64-E64</f>
        <v>372.07999999998719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'17'!F168</f>
        <v>176719.61</v>
      </c>
      <c r="F168" s="514">
        <f t="shared" si="17"/>
        <v>177128.03</v>
      </c>
      <c r="G168" s="473">
        <f t="shared" ref="G168:G172" si="18">F65-E65</f>
        <v>408.42000000001281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'17'!F169</f>
        <v>74932.600000000006</v>
      </c>
      <c r="F169" s="514">
        <f t="shared" si="17"/>
        <v>75359.899999999994</v>
      </c>
      <c r="G169" s="473">
        <f t="shared" si="18"/>
        <v>427.29999999998836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'17'!F170</f>
        <v>272970.90999999997</v>
      </c>
      <c r="F170" s="514">
        <f t="shared" si="17"/>
        <v>273443.11</v>
      </c>
      <c r="G170" s="473">
        <f t="shared" si="18"/>
        <v>472.20000000001164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'17'!F172</f>
        <v>92028.09</v>
      </c>
      <c r="F172" s="514">
        <f t="shared" si="17"/>
        <v>92335.38</v>
      </c>
      <c r="G172" s="473">
        <f t="shared" si="18"/>
        <v>307.29000000000815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2735.3400000000056</v>
      </c>
      <c r="N173" s="718"/>
    </row>
    <row r="174" spans="1:14"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f>'17'!F174</f>
        <v>19082.099999999999</v>
      </c>
      <c r="F175" s="532">
        <v>19087</v>
      </c>
      <c r="G175" s="473">
        <f>F175-E175</f>
        <v>4.9000000000014552</v>
      </c>
      <c r="N175" s="718"/>
    </row>
    <row r="176" spans="1:14">
      <c r="A176" s="1587" t="s">
        <v>350</v>
      </c>
      <c r="B176" s="1550"/>
      <c r="C176" s="785"/>
      <c r="D176" s="523" t="s">
        <v>186</v>
      </c>
      <c r="E176" s="532">
        <f>'17'!F175</f>
        <v>70442</v>
      </c>
      <c r="F176" s="532">
        <v>70449.100000000006</v>
      </c>
      <c r="G176" s="473">
        <f t="shared" ref="G176:G177" si="19">F176-E176</f>
        <v>7.1000000000058208</v>
      </c>
      <c r="N176" s="718"/>
    </row>
    <row r="177" spans="1:14">
      <c r="A177" s="1587" t="s">
        <v>351</v>
      </c>
      <c r="B177" s="1550"/>
      <c r="C177" s="785"/>
      <c r="D177" s="523" t="s">
        <v>186</v>
      </c>
      <c r="E177" s="532">
        <f>'17'!F176</f>
        <v>27717.200000000001</v>
      </c>
      <c r="F177" s="532">
        <v>27724</v>
      </c>
      <c r="G177" s="473">
        <f t="shared" si="19"/>
        <v>6.7999999999992724</v>
      </c>
      <c r="N177" s="718"/>
    </row>
    <row r="178" spans="1:14" ht="18.75" customHeight="1">
      <c r="N178" s="718"/>
    </row>
    <row r="179" spans="1:14" ht="23.25" customHeight="1">
      <c r="N179" s="718"/>
    </row>
    <row r="180" spans="1:14" ht="23.25" customHeight="1"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" zoomScale="55" zoomScaleNormal="40" zoomScaleSheetLayoutView="55" zoomScalePageLayoutView="60" workbookViewId="0">
      <selection activeCell="E167" sqref="E16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376</v>
      </c>
      <c r="B2" s="1031">
        <v>44396</v>
      </c>
      <c r="C2" s="1141" t="s">
        <v>68</v>
      </c>
      <c r="D2" s="611">
        <v>0.62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319948.33</v>
      </c>
      <c r="F7" s="455">
        <v>341574</v>
      </c>
      <c r="G7" s="473">
        <f>F7-E7</f>
        <v>21625.669999999984</v>
      </c>
      <c r="H7" s="460">
        <f>G7+'18'!H7</f>
        <v>419621.00000000006</v>
      </c>
      <c r="I7" s="474">
        <f>'1'!I7</f>
        <v>12000</v>
      </c>
      <c r="J7" s="552">
        <f>H7/DAY(B2)</f>
        <v>22085.315789473687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326669.21000000002</v>
      </c>
      <c r="F8" s="475">
        <v>348387</v>
      </c>
      <c r="G8" s="476">
        <f>F8-E8</f>
        <v>21717.789999999979</v>
      </c>
      <c r="H8" s="460">
        <f>G8+'18'!H8</f>
        <v>421665</v>
      </c>
      <c r="I8" s="477">
        <f>'1'!I8</f>
        <v>12000</v>
      </c>
      <c r="J8" s="552">
        <f>H8/DAY(B2)</f>
        <v>22192.894736842107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2418094.1</v>
      </c>
      <c r="F9" s="478">
        <v>2439016</v>
      </c>
      <c r="G9" s="473">
        <f t="shared" ref="G9:G12" si="0">F9-E9</f>
        <v>20921.899999999907</v>
      </c>
      <c r="H9" s="460">
        <f>G9+'18'!H9</f>
        <v>408014</v>
      </c>
      <c r="I9" s="479">
        <f>I8-J8</f>
        <v>-10192.894736842107</v>
      </c>
      <c r="J9" s="552">
        <f>H9/DAY(B2)</f>
        <v>21474.42105263158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>
        <v>2606.85</v>
      </c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20921.899999999907</v>
      </c>
      <c r="H13" s="460">
        <f>G13+'18'!H13</f>
        <v>387687.3</v>
      </c>
      <c r="I13" s="482">
        <f>G7-G13</f>
        <v>703.77000000007683</v>
      </c>
      <c r="J13" s="552">
        <f>H13/DAY(B2)</f>
        <v>20404.594736842104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'18'!F15</f>
        <v>1718845.42</v>
      </c>
      <c r="F15" s="700">
        <v>1719726</v>
      </c>
      <c r="G15" s="779">
        <f>(F15-E15)</f>
        <v>880.58000000007451</v>
      </c>
      <c r="H15" s="460">
        <f>G15+'18'!H15</f>
        <v>16043</v>
      </c>
      <c r="I15" s="474">
        <v>800</v>
      </c>
      <c r="J15" s="552">
        <f>H15/DAY(B2)</f>
        <v>844.36842105263156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-44.368421052631561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'18'!F18</f>
        <v>17</v>
      </c>
      <c r="F18" s="484">
        <v>20</v>
      </c>
      <c r="G18" s="481">
        <f>F18*10</f>
        <v>200</v>
      </c>
      <c r="H18" s="460">
        <f>G18+'18'!H18</f>
        <v>2640</v>
      </c>
      <c r="I18" s="474">
        <f>'1'!I18</f>
        <v>65</v>
      </c>
      <c r="J18" s="552">
        <f>H18/DAY(B2)</f>
        <v>138.94736842105263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'18'!F19</f>
        <v>142547</v>
      </c>
      <c r="F19" s="484">
        <v>142604</v>
      </c>
      <c r="G19" s="473">
        <f t="shared" ref="G19" si="1">F19-E19</f>
        <v>57</v>
      </c>
      <c r="H19" s="460">
        <f>G19+'18'!H19</f>
        <v>1109</v>
      </c>
      <c r="I19" s="489"/>
      <c r="J19" s="552">
        <f>H19/DAY(B2)</f>
        <v>58.368421052631582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257</v>
      </c>
      <c r="H20" s="460">
        <f>G20+'18'!H20</f>
        <v>3749</v>
      </c>
      <c r="I20" s="492">
        <f>I18-J20</f>
        <v>-132.31578947368422</v>
      </c>
      <c r="J20" s="552">
        <f>H20/DAY(B2)</f>
        <v>197.31578947368422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21718</v>
      </c>
      <c r="F27" s="501">
        <v>9</v>
      </c>
      <c r="G27" s="502">
        <f>E27*F27</f>
        <v>195462</v>
      </c>
      <c r="H27" s="460">
        <f>G27+'18'!H27</f>
        <v>3794986.89</v>
      </c>
      <c r="I27" s="503"/>
      <c r="J27" s="552">
        <f>H27/DAY(B2)</f>
        <v>199736.15210526317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880.58000000007451</v>
      </c>
      <c r="F28" s="501">
        <v>52</v>
      </c>
      <c r="G28" s="502">
        <f>E28*F28</f>
        <v>45790.160000003874</v>
      </c>
      <c r="H28" s="460">
        <f>G28+'18'!H28</f>
        <v>834236</v>
      </c>
      <c r="I28" s="505"/>
      <c r="J28" s="552">
        <f>H28/DAY(B2)</f>
        <v>43907.15789473684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57</v>
      </c>
      <c r="F30" s="501">
        <v>146</v>
      </c>
      <c r="G30" s="502">
        <f>E30*F30</f>
        <v>8322</v>
      </c>
      <c r="H30" s="460">
        <f>G30+'18'!H30</f>
        <v>161330</v>
      </c>
      <c r="I30" s="505"/>
      <c r="J30" s="552">
        <f>H30/DAY(B2)</f>
        <v>8491.0526315789466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502">
        <f>E31*F31</f>
        <v>16000</v>
      </c>
      <c r="H31" s="460">
        <f>G31+'18'!H31</f>
        <v>205600</v>
      </c>
      <c r="I31" s="505"/>
      <c r="J31" s="552">
        <f>H31/DAY(B2)</f>
        <v>10821.052631578947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265574.16000000387</v>
      </c>
      <c r="H32" s="460">
        <f>G32+'18'!H32</f>
        <v>4996152.8899999997</v>
      </c>
      <c r="I32" s="509"/>
      <c r="J32" s="552">
        <f>H32/DAY(B2)</f>
        <v>262955.41526315786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1058597.3</v>
      </c>
      <c r="F35" s="510">
        <v>1058597</v>
      </c>
      <c r="G35" s="473">
        <f t="shared" ref="G35:G44" si="3">F35-E35</f>
        <v>-0.30000000004656613</v>
      </c>
      <c r="H35" s="460">
        <f>G35+'18'!H35</f>
        <v>29883</v>
      </c>
      <c r="I35" s="455"/>
      <c r="J35" s="552">
        <f>H35/DAY(B2)</f>
        <v>1572.7894736842106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36282.28</v>
      </c>
      <c r="F36" s="510">
        <v>37098</v>
      </c>
      <c r="G36" s="473">
        <f t="shared" si="3"/>
        <v>815.72000000000116</v>
      </c>
      <c r="H36" s="460">
        <f>G36+'18'!H36</f>
        <v>16637</v>
      </c>
      <c r="I36" s="455"/>
      <c r="J36" s="552">
        <f>H36/DAY(B2)</f>
        <v>875.63157894736844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205047.97</v>
      </c>
      <c r="F37" s="469">
        <v>206639</v>
      </c>
      <c r="G37" s="473">
        <f t="shared" si="3"/>
        <v>1591.0299999999988</v>
      </c>
      <c r="H37" s="460">
        <f>G37+'18'!H37</f>
        <v>30069</v>
      </c>
      <c r="I37" s="455"/>
      <c r="J37" s="552">
        <f>H37/DAY(B2)</f>
        <v>1582.578947368421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'18'!F38</f>
        <v>227851.47</v>
      </c>
      <c r="F38" s="510">
        <v>229458</v>
      </c>
      <c r="G38" s="473">
        <f t="shared" si="3"/>
        <v>1606.5299999999988</v>
      </c>
      <c r="H38" s="460">
        <f>G38+'18'!H38</f>
        <v>30999</v>
      </c>
      <c r="I38" s="455"/>
      <c r="J38" s="552">
        <f>H38/DAY(B2)</f>
        <v>1631.5263157894738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471312.67</v>
      </c>
      <c r="F39" s="510">
        <v>475083</v>
      </c>
      <c r="G39" s="473">
        <f t="shared" si="3"/>
        <v>3770.3300000000163</v>
      </c>
      <c r="H39" s="460">
        <f>G39+'18'!H39</f>
        <v>70219</v>
      </c>
      <c r="I39" s="455"/>
      <c r="J39" s="552">
        <f>H39/DAY(B2)</f>
        <v>3695.7368421052633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14254.8</v>
      </c>
      <c r="F40" s="510">
        <v>14614</v>
      </c>
      <c r="G40" s="473">
        <f t="shared" si="3"/>
        <v>359.20000000000073</v>
      </c>
      <c r="H40" s="460">
        <f>G40+'18'!H40</f>
        <v>7501</v>
      </c>
      <c r="I40" s="455"/>
      <c r="J40" s="552">
        <f>H40/DAY(B2)</f>
        <v>394.78947368421052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365502.35</v>
      </c>
      <c r="F41" s="510">
        <v>365502</v>
      </c>
      <c r="G41" s="473">
        <f t="shared" si="3"/>
        <v>-0.34999999997671694</v>
      </c>
      <c r="H41" s="460">
        <f>G41+'18'!H41</f>
        <v>35860</v>
      </c>
      <c r="I41" s="455"/>
      <c r="J41" s="552">
        <f>H41/DAY(B2)</f>
        <v>1887.3684210526317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82013.91</v>
      </c>
      <c r="F42" s="510">
        <v>82838</v>
      </c>
      <c r="G42" s="473">
        <f t="shared" si="3"/>
        <v>824.08999999999651</v>
      </c>
      <c r="H42" s="460">
        <f>G42+'18'!H42</f>
        <v>23639.11</v>
      </c>
      <c r="I42" s="455"/>
      <c r="J42" s="552">
        <f>H42/DAY(B2)</f>
        <v>1244.1636842105263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1169234.1000000001</v>
      </c>
      <c r="F43" s="510">
        <v>1171784</v>
      </c>
      <c r="G43" s="473">
        <f t="shared" si="3"/>
        <v>2549.8999999999069</v>
      </c>
      <c r="H43" s="460">
        <f>G43+'18'!H43</f>
        <v>51332</v>
      </c>
      <c r="I43" s="455"/>
      <c r="J43" s="552">
        <f>H43/DAY(B2)</f>
        <v>2701.6842105263158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493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'18'!F45</f>
        <v>614</v>
      </c>
      <c r="F45" s="510">
        <v>614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'18'!F46</f>
        <v>187.44</v>
      </c>
      <c r="F46" s="510">
        <v>187</v>
      </c>
      <c r="G46" s="473">
        <f t="shared" si="4"/>
        <v>-0.43999999999999773</v>
      </c>
      <c r="H46" s="460">
        <f>G46+'18'!H46</f>
        <v>-0.49000000000000909</v>
      </c>
      <c r="I46" s="455"/>
      <c r="J46" s="552">
        <f>H46/DAY(B2)</f>
        <v>-2.5789473684211004E-2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11515.709999999895</v>
      </c>
      <c r="H47" s="460">
        <f>G47+'18'!H47</f>
        <v>296940.11</v>
      </c>
      <c r="I47" s="455"/>
      <c r="J47" s="552">
        <f>H47/DAY(B2)</f>
        <v>15628.426842105262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285357.39799999999</v>
      </c>
      <c r="F49" s="510">
        <v>288610</v>
      </c>
      <c r="G49" s="473">
        <f t="shared" ref="G49:G58" si="5">F49-E49</f>
        <v>3252.6020000000135</v>
      </c>
      <c r="H49" s="460">
        <f>G49+'18'!H49</f>
        <v>27846</v>
      </c>
      <c r="I49" s="455"/>
      <c r="J49" s="552">
        <f>H49/DAY(B2)</f>
        <v>1465.578947368421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556528.06999999995</v>
      </c>
      <c r="F50" s="510">
        <v>557622</v>
      </c>
      <c r="G50" s="473">
        <f t="shared" si="5"/>
        <v>1093.9300000000512</v>
      </c>
      <c r="H50" s="460">
        <f>G50+'18'!H50</f>
        <v>21866</v>
      </c>
      <c r="I50" s="455"/>
      <c r="J50" s="552">
        <f>H50/DAY(B2)</f>
        <v>1150.8421052631579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144639.87</v>
      </c>
      <c r="F51" s="510">
        <v>144640</v>
      </c>
      <c r="G51" s="473">
        <f t="shared" si="5"/>
        <v>0.13000000000465661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539606.06999999995</v>
      </c>
      <c r="F52" s="510">
        <v>539606</v>
      </c>
      <c r="G52" s="473">
        <f t="shared" si="5"/>
        <v>-6.9999999948777258E-2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</v>
      </c>
      <c r="G54" s="473">
        <f t="shared" si="5"/>
        <v>-0.3500000000003638</v>
      </c>
      <c r="H54" s="460">
        <f>G54+'18'!H54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180567.19</v>
      </c>
      <c r="F55" s="510">
        <v>186190</v>
      </c>
      <c r="G55" s="473">
        <f t="shared" si="5"/>
        <v>5622.8099999999977</v>
      </c>
      <c r="H55" s="460">
        <f>G55+'18'!H55</f>
        <v>62980</v>
      </c>
      <c r="I55" s="455"/>
      <c r="J55" s="552">
        <f>H55/DAY(B2)</f>
        <v>3314.7368421052633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649210.35</v>
      </c>
      <c r="F56" s="510">
        <v>649210</v>
      </c>
      <c r="G56" s="473">
        <f t="shared" si="5"/>
        <v>-0.34999999997671694</v>
      </c>
      <c r="H56" s="460">
        <f>G56+'18'!H56</f>
        <v>168</v>
      </c>
      <c r="I56" s="455"/>
      <c r="J56" s="552">
        <f>H56/DAY(B2)</f>
        <v>8.8421052631578956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57200.13</v>
      </c>
      <c r="F58" s="510">
        <v>57418</v>
      </c>
      <c r="G58" s="473">
        <f t="shared" si="5"/>
        <v>217.87000000000262</v>
      </c>
      <c r="H58" s="460">
        <f>G58+'18'!H58</f>
        <v>3238</v>
      </c>
      <c r="I58" s="455"/>
      <c r="J58" s="552">
        <f>H58/DAY(B2)</f>
        <v>170.42105263157896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10186.242000000144</v>
      </c>
      <c r="H59" s="460">
        <f>G59+'18'!H59</f>
        <v>116097.26</v>
      </c>
      <c r="I59" s="455">
        <f>G7-G60</f>
        <v>-76.282000000057451</v>
      </c>
      <c r="J59" s="552">
        <f>H59/DAY(B2)</f>
        <v>6110.3821052631574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21701.952000000041</v>
      </c>
      <c r="H60" s="460">
        <f>G60+'18'!H60</f>
        <v>419940.70000000007</v>
      </c>
      <c r="I60" s="455">
        <f>G13-G60</f>
        <v>-780.05200000013429</v>
      </c>
      <c r="J60" s="552">
        <f>H60/DAY(B2)</f>
        <v>22102.142105263163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514">
        <f>'18'!F64</f>
        <v>177066.15</v>
      </c>
      <c r="F64" s="484">
        <v>177441</v>
      </c>
      <c r="G64" s="473">
        <f t="shared" si="6"/>
        <v>374.85000000000582</v>
      </c>
      <c r="H64" s="460">
        <f>G64+'18'!H64</f>
        <v>7419</v>
      </c>
      <c r="I64" s="480"/>
      <c r="J64" s="552">
        <f>H64/DAY(B2)</f>
        <v>390.4736842105263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514">
        <f>'18'!F65</f>
        <v>177128.03</v>
      </c>
      <c r="F65" s="484">
        <v>177524</v>
      </c>
      <c r="G65" s="473">
        <f t="shared" si="6"/>
        <v>395.97000000000116</v>
      </c>
      <c r="H65" s="460">
        <f>G65+'18'!H65</f>
        <v>7222</v>
      </c>
      <c r="I65" s="489"/>
      <c r="J65" s="552">
        <f>H65/DAY(B2)</f>
        <v>380.10526315789474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514">
        <f>'18'!F66</f>
        <v>75359.899999999994</v>
      </c>
      <c r="F66" s="484">
        <v>75789</v>
      </c>
      <c r="G66" s="473">
        <f t="shared" si="6"/>
        <v>429.10000000000582</v>
      </c>
      <c r="H66" s="460">
        <f>G66+'18'!H66</f>
        <v>7819</v>
      </c>
      <c r="I66" s="480"/>
      <c r="J66" s="552">
        <f>H66/DAY(B2)</f>
        <v>411.5263157894737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514">
        <f>'18'!F67</f>
        <v>273443.11</v>
      </c>
      <c r="F67" s="484">
        <v>273925</v>
      </c>
      <c r="G67" s="473">
        <f t="shared" si="6"/>
        <v>481.89000000001397</v>
      </c>
      <c r="H67" s="460">
        <f>G67+'18'!H67</f>
        <v>8966</v>
      </c>
      <c r="I67" s="489"/>
      <c r="J67" s="552">
        <f>H67/DAY(B2)</f>
        <v>471.89473684210526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51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514">
        <f>'18'!F69</f>
        <v>92335.38</v>
      </c>
      <c r="F69" s="484">
        <v>92641</v>
      </c>
      <c r="G69" s="473">
        <f t="shared" si="6"/>
        <v>305.61999999999534</v>
      </c>
      <c r="H69" s="460">
        <f>G69+'18'!H69</f>
        <v>5126</v>
      </c>
      <c r="I69" s="516"/>
      <c r="J69" s="552">
        <f>H69/DAY(B2)</f>
        <v>269.78947368421052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'18'!F72</f>
        <v>856445</v>
      </c>
      <c r="F72" s="519">
        <v>856459</v>
      </c>
      <c r="G72" s="473">
        <f t="shared" ref="G72:G84" si="7">F72-E72</f>
        <v>14</v>
      </c>
      <c r="H72" s="460">
        <f>G72+'18'!H72</f>
        <v>224</v>
      </c>
      <c r="I72" s="480"/>
      <c r="J72" s="552">
        <f>H72/DAY(B2)</f>
        <v>11.789473684210526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19">
        <f>'18'!F73</f>
        <v>885996</v>
      </c>
      <c r="F73" s="520">
        <v>885998</v>
      </c>
      <c r="G73" s="473">
        <f t="shared" si="7"/>
        <v>2</v>
      </c>
      <c r="H73" s="460">
        <f>G73+'18'!H73</f>
        <v>164</v>
      </c>
      <c r="I73" s="480"/>
      <c r="J73" s="552">
        <f>H73/DAY(B2)</f>
        <v>8.6315789473684212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19">
        <f>'18'!F74</f>
        <v>88716.1</v>
      </c>
      <c r="F74" s="521">
        <v>88716</v>
      </c>
      <c r="G74" s="473">
        <f t="shared" si="7"/>
        <v>-0.10000000000582077</v>
      </c>
      <c r="H74" s="460">
        <f>G74+'18'!H74</f>
        <v>54</v>
      </c>
      <c r="I74" s="480"/>
      <c r="J74" s="552">
        <f>H74/DAY(B2)</f>
        <v>2.8421052631578947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19">
        <f>'18'!F75</f>
        <v>18876.75</v>
      </c>
      <c r="F75" s="521">
        <v>19025</v>
      </c>
      <c r="G75" s="473">
        <f t="shared" si="7"/>
        <v>148.25</v>
      </c>
      <c r="H75" s="460">
        <f>G75+'18'!H75</f>
        <v>2954</v>
      </c>
      <c r="I75" s="480"/>
      <c r="J75" s="552">
        <f>H75/DAY(B2)</f>
        <v>155.47368421052633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19">
        <f>'18'!F76</f>
        <v>10516.28</v>
      </c>
      <c r="F76" s="520">
        <v>10577</v>
      </c>
      <c r="G76" s="473">
        <f t="shared" si="7"/>
        <v>60.719999999999345</v>
      </c>
      <c r="H76" s="460">
        <f>G76+'18'!H76</f>
        <v>2358</v>
      </c>
      <c r="I76" s="505"/>
      <c r="J76" s="552">
        <f>H76/DAY(B2)</f>
        <v>124.10526315789474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19">
        <f>'18'!F77</f>
        <v>705501</v>
      </c>
      <c r="F77" s="521">
        <v>705569</v>
      </c>
      <c r="G77" s="473">
        <f t="shared" si="7"/>
        <v>68</v>
      </c>
      <c r="H77" s="460">
        <f>G77+'18'!H77</f>
        <v>1195</v>
      </c>
      <c r="I77" s="505"/>
      <c r="J77" s="552">
        <f>H77/DAY(B2)</f>
        <v>62.89473684210526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19">
        <f>'18'!F78</f>
        <v>677200</v>
      </c>
      <c r="F78" s="521">
        <v>677282</v>
      </c>
      <c r="G78" s="473">
        <f t="shared" si="7"/>
        <v>82</v>
      </c>
      <c r="H78" s="460">
        <f>G78+'18'!H78</f>
        <v>1868</v>
      </c>
      <c r="I78" s="505"/>
      <c r="J78" s="552">
        <f>H78/DAY(B2)</f>
        <v>98.315789473684205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19">
        <f>'18'!F79</f>
        <v>838269</v>
      </c>
      <c r="F79" s="521">
        <v>838424</v>
      </c>
      <c r="G79" s="473">
        <f t="shared" si="7"/>
        <v>155</v>
      </c>
      <c r="H79" s="460">
        <f>G79+'18'!H79</f>
        <v>2270</v>
      </c>
      <c r="I79" s="505"/>
      <c r="J79" s="552">
        <f>H79/DAY(B2)</f>
        <v>119.47368421052632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19">
        <f>'18'!F80</f>
        <v>546767</v>
      </c>
      <c r="F80" s="520">
        <v>547168</v>
      </c>
      <c r="G80" s="473">
        <f t="shared" si="7"/>
        <v>401</v>
      </c>
      <c r="H80" s="460">
        <f>G80+'18'!H80</f>
        <v>4777</v>
      </c>
      <c r="I80" s="505"/>
      <c r="J80" s="552">
        <f>H80/DAY(B2)</f>
        <v>251.42105263157896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'18'!F81</f>
        <v>646454.52</v>
      </c>
      <c r="F81" s="520">
        <v>646674</v>
      </c>
      <c r="G81" s="473">
        <f t="shared" si="7"/>
        <v>219.47999999998137</v>
      </c>
      <c r="H81" s="460">
        <f>G81+'18'!H81</f>
        <v>3689</v>
      </c>
      <c r="I81" s="505"/>
      <c r="J81" s="552">
        <f>H81/DAY(B2)</f>
        <v>194.15789473684211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'18'!F82</f>
        <v>109064.85</v>
      </c>
      <c r="F82" s="522">
        <v>109089</v>
      </c>
      <c r="G82" s="473">
        <f t="shared" si="7"/>
        <v>24.149999999994179</v>
      </c>
      <c r="H82" s="460">
        <f>G82+'18'!H82</f>
        <v>408</v>
      </c>
      <c r="I82" s="486"/>
      <c r="J82" s="552">
        <f>H82/DAY(B2)</f>
        <v>21.473684210526315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'18'!F83</f>
        <v>31818</v>
      </c>
      <c r="F83" s="511">
        <v>32090</v>
      </c>
      <c r="G83" s="473">
        <f t="shared" si="7"/>
        <v>272</v>
      </c>
      <c r="H83" s="460">
        <f>G83+'18'!H83</f>
        <v>4539</v>
      </c>
      <c r="I83" s="481"/>
      <c r="J83" s="552">
        <f>H83/DAY(B2)</f>
        <v>238.89473684210526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19">
        <f>'18'!F84</f>
        <v>537360</v>
      </c>
      <c r="F84" s="627">
        <v>538136</v>
      </c>
      <c r="G84" s="473">
        <f t="shared" si="7"/>
        <v>776</v>
      </c>
      <c r="H84" s="460">
        <f>G84+'18'!H84</f>
        <v>15056</v>
      </c>
      <c r="I84" s="481"/>
      <c r="J84" s="552">
        <f>H84/DAY(B2)</f>
        <v>792.42105263157896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2222.4999999999691</v>
      </c>
      <c r="H85" s="460">
        <f>G85+'18'!H85</f>
        <v>42430</v>
      </c>
      <c r="I85" s="481"/>
      <c r="J85" s="552">
        <f>H85/DAY(B2)</f>
        <v>2233.1578947368421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'18'!F86</f>
        <v>462238</v>
      </c>
      <c r="F86" s="647">
        <v>462255</v>
      </c>
      <c r="G86" s="705">
        <f t="shared" ref="G86:G91" si="8">F86-E86</f>
        <v>17</v>
      </c>
      <c r="H86" s="460">
        <f>G86+'18'!H86</f>
        <v>25.159999999974389</v>
      </c>
      <c r="I86" s="652"/>
      <c r="J86" s="707">
        <f>H86/DAY(B2)</f>
        <v>1.3242105263144415</v>
      </c>
      <c r="K86" s="733">
        <v>424609</v>
      </c>
      <c r="L86" s="734">
        <f>K86-F86</f>
        <v>-37646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'18'!F87</f>
        <v>82552.600000000006</v>
      </c>
      <c r="F87" s="647">
        <v>82583</v>
      </c>
      <c r="G87" s="705">
        <f t="shared" si="8"/>
        <v>30.399999999994179</v>
      </c>
      <c r="H87" s="460">
        <f>G87+'18'!H87</f>
        <v>40</v>
      </c>
      <c r="I87" s="652"/>
      <c r="J87" s="707">
        <f>H87/DAY(B2)</f>
        <v>2.1052631578947367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'18'!F88</f>
        <v>157321</v>
      </c>
      <c r="F88" s="647">
        <v>157447</v>
      </c>
      <c r="G88" s="705">
        <f t="shared" si="8"/>
        <v>126</v>
      </c>
      <c r="H88" s="460">
        <f>G88+'18'!H88</f>
        <v>201.27999999999884</v>
      </c>
      <c r="I88" s="652"/>
      <c r="J88" s="707">
        <f>H88/DAY(B2)</f>
        <v>10.593684210526254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'18'!F89</f>
        <v>66579</v>
      </c>
      <c r="F89" s="647">
        <v>66620</v>
      </c>
      <c r="G89" s="705">
        <f t="shared" si="8"/>
        <v>41</v>
      </c>
      <c r="H89" s="460">
        <f>G89+'18'!H89</f>
        <v>59.19999999999709</v>
      </c>
      <c r="I89" s="652"/>
      <c r="J89" s="707">
        <f>H89/DAY(B2)</f>
        <v>3.1157894736840572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'18'!F90</f>
        <v>3408</v>
      </c>
      <c r="F90" s="647">
        <v>3411</v>
      </c>
      <c r="G90" s="705">
        <f t="shared" si="8"/>
        <v>3</v>
      </c>
      <c r="H90" s="705">
        <f>G90</f>
        <v>3</v>
      </c>
      <c r="I90" s="652"/>
      <c r="J90" s="707">
        <f>H90/DAY(B2)</f>
        <v>0.15789473684210525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47">
        <f>'18'!F91</f>
        <v>28393.63</v>
      </c>
      <c r="F91" s="647">
        <v>28403</v>
      </c>
      <c r="G91" s="705">
        <f t="shared" si="8"/>
        <v>9.3699999999989814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647">
        <f>'18'!F93</f>
        <v>249207</v>
      </c>
      <c r="F93" s="484">
        <v>249307</v>
      </c>
      <c r="G93" s="473">
        <f t="shared" ref="G93:G94" si="9">F93-E93</f>
        <v>100</v>
      </c>
      <c r="H93" s="460">
        <f>G93+'18'!H93</f>
        <v>1955</v>
      </c>
      <c r="I93" s="480"/>
      <c r="J93" s="552">
        <f>H93/DAY(B2)</f>
        <v>102.89473684210526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'18'!F94</f>
        <v>191615</v>
      </c>
      <c r="F94" s="484">
        <v>191769</v>
      </c>
      <c r="G94" s="473">
        <f t="shared" si="9"/>
        <v>154</v>
      </c>
      <c r="H94" s="460">
        <f>G94+'18'!H94</f>
        <v>2315</v>
      </c>
      <c r="I94" s="480"/>
      <c r="J94" s="552">
        <f>H94/DAY(B2)</f>
        <v>121.84210526315789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'18'!F95</f>
        <v>0</v>
      </c>
      <c r="F95" s="484"/>
      <c r="G95" s="473">
        <f>G93+G94</f>
        <v>254</v>
      </c>
      <c r="H95" s="460">
        <f>G95+'18'!H95</f>
        <v>4084</v>
      </c>
      <c r="I95" s="480"/>
      <c r="J95" s="552">
        <f>H95/DAY(B2)</f>
        <v>214.94736842105263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'18'!F96</f>
        <v>417634</v>
      </c>
      <c r="F96" s="484">
        <v>417710</v>
      </c>
      <c r="G96" s="473">
        <f t="shared" ref="G96:G101" si="10">F96-E96</f>
        <v>76</v>
      </c>
      <c r="H96" s="460">
        <f>G96+'18'!H96</f>
        <v>1711</v>
      </c>
      <c r="I96" s="480"/>
      <c r="J96" s="552">
        <f>H96/DAY(B2)</f>
        <v>90.05263157894737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'18'!F97</f>
        <v>103571</v>
      </c>
      <c r="F97" s="484">
        <v>103589</v>
      </c>
      <c r="G97" s="473">
        <f t="shared" si="10"/>
        <v>18</v>
      </c>
      <c r="H97" s="460">
        <f>G97+'18'!H97</f>
        <v>426</v>
      </c>
      <c r="I97" s="480"/>
      <c r="J97" s="552">
        <f>H97/DAY(B2)</f>
        <v>22.421052631578949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'18'!F98</f>
        <v>99119</v>
      </c>
      <c r="F98" s="484">
        <v>99142</v>
      </c>
      <c r="G98" s="473">
        <f t="shared" si="10"/>
        <v>23</v>
      </c>
      <c r="H98" s="460">
        <f>G98+'18'!H98</f>
        <v>485</v>
      </c>
      <c r="I98" s="480"/>
      <c r="J98" s="552">
        <f>H98/DAY(B2)</f>
        <v>25.526315789473685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'18'!F99</f>
        <v>150935</v>
      </c>
      <c r="F99" s="484">
        <v>150970</v>
      </c>
      <c r="G99" s="473">
        <f t="shared" si="10"/>
        <v>35</v>
      </c>
      <c r="H99" s="460">
        <f>G99+'18'!H99</f>
        <v>565</v>
      </c>
      <c r="I99" s="480"/>
      <c r="J99" s="552">
        <f>H99/DAY(B2)</f>
        <v>29.736842105263158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'18'!F100</f>
        <v>7997</v>
      </c>
      <c r="F100" s="484">
        <v>8006</v>
      </c>
      <c r="G100" s="473">
        <f t="shared" si="10"/>
        <v>9</v>
      </c>
      <c r="H100" s="460">
        <f>G100+'18'!H100</f>
        <v>209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'18'!F101</f>
        <v>5859</v>
      </c>
      <c r="F101" s="484">
        <v>5865</v>
      </c>
      <c r="G101" s="473">
        <f t="shared" si="10"/>
        <v>6</v>
      </c>
      <c r="H101" s="460">
        <f>G101+'18'!H101</f>
        <v>191</v>
      </c>
      <c r="I101" s="480"/>
      <c r="J101" s="552">
        <f>H101/DAY(B2)</f>
        <v>10.052631578947368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167</v>
      </c>
      <c r="H102" s="460">
        <f>G102+'18'!H102</f>
        <v>3587</v>
      </c>
      <c r="I102" s="526"/>
      <c r="J102" s="552">
        <f>H102/DAY(B2)</f>
        <v>188.78947368421052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'18'!F105</f>
        <v>7767</v>
      </c>
      <c r="F105" s="532">
        <v>7767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'18'!F106</f>
        <v>36342</v>
      </c>
      <c r="F106" s="534">
        <v>36352</v>
      </c>
      <c r="G106" s="532">
        <f t="shared" ref="G106" si="11">F106-E106</f>
        <v>10</v>
      </c>
      <c r="H106" s="460">
        <f>G106+'18'!H106</f>
        <v>73</v>
      </c>
      <c r="I106" s="532"/>
      <c r="J106" s="558">
        <f>H106/DAY(B2)</f>
        <v>3.8421052631578947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'18'!F107</f>
        <v>19902</v>
      </c>
      <c r="F107" s="532">
        <v>19908</v>
      </c>
      <c r="G107" s="532">
        <f>F107-E107</f>
        <v>6</v>
      </c>
      <c r="H107" s="460">
        <f>G107+'18'!H107</f>
        <v>125</v>
      </c>
      <c r="I107" s="532"/>
      <c r="J107" s="558">
        <f>H107/DAY(B2)</f>
        <v>6.5789473684210522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'18'!F108</f>
        <v>0</v>
      </c>
      <c r="F108" s="532"/>
      <c r="G108" s="532">
        <f>SUM(G105:G107)</f>
        <v>16</v>
      </c>
      <c r="H108" s="460">
        <f>G108+'18'!H108</f>
        <v>184</v>
      </c>
      <c r="I108" s="532"/>
      <c r="J108" s="558">
        <f>H108/DAY(B2)</f>
        <v>9.6842105263157894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'18'!F110</f>
        <v>66170</v>
      </c>
      <c r="F110" s="532">
        <v>66236</v>
      </c>
      <c r="G110" s="532">
        <f>F110-E110</f>
        <v>66</v>
      </c>
      <c r="H110" s="460">
        <f>G110+'18'!H110</f>
        <v>262.64000000001397</v>
      </c>
      <c r="I110" s="532"/>
      <c r="J110" s="558">
        <f>H110/DAY(B2)</f>
        <v>13.823157894737577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'18'!F111</f>
        <v>33641</v>
      </c>
      <c r="F111" s="532">
        <v>33681</v>
      </c>
      <c r="G111" s="532">
        <f t="shared" ref="G111:G112" si="12">F111-E111</f>
        <v>40</v>
      </c>
      <c r="H111" s="460">
        <f>G111+'18'!H111</f>
        <v>76.899999999994179</v>
      </c>
      <c r="I111" s="532"/>
      <c r="J111" s="558">
        <f>H111/DAY(B2)</f>
        <v>4.0473684210523251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v>4622</v>
      </c>
      <c r="F112" s="532">
        <v>4622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'18'!F113</f>
        <v>0</v>
      </c>
      <c r="F113" s="532"/>
      <c r="G113" s="532">
        <f>SUM(G110:G112)</f>
        <v>106</v>
      </c>
      <c r="H113" s="460">
        <f>G113+'18'!H113</f>
        <v>999</v>
      </c>
      <c r="I113" s="532"/>
      <c r="J113" s="558">
        <f>H113/DAY(B2)</f>
        <v>52.578947368421055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'18'!F115</f>
        <v>12261</v>
      </c>
      <c r="F115" s="534">
        <v>12272</v>
      </c>
      <c r="G115" s="534">
        <f>F115-E115</f>
        <v>11</v>
      </c>
      <c r="H115" s="460">
        <f>G115+'18'!H115</f>
        <v>30</v>
      </c>
      <c r="I115" s="532"/>
      <c r="J115" s="558">
        <f>H115/DAY(B2)</f>
        <v>1.5789473684210527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'18'!F116</f>
        <v>8711</v>
      </c>
      <c r="F116" s="534">
        <v>8717</v>
      </c>
      <c r="G116" s="534">
        <f t="shared" ref="G116:G117" si="13">F116-E116</f>
        <v>6</v>
      </c>
      <c r="H116" s="460">
        <f>G116+'18'!H116</f>
        <v>104</v>
      </c>
      <c r="I116" s="532"/>
      <c r="J116" s="558">
        <f>H116/DAY(B2)</f>
        <v>5.4736842105263159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17</v>
      </c>
      <c r="H118" s="460">
        <f>G118+'18'!H118</f>
        <v>131</v>
      </c>
      <c r="I118" s="534"/>
      <c r="J118" s="558">
        <f>H118/DAY(B2)</f>
        <v>6.8947368421052628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157</v>
      </c>
      <c r="G119" s="536">
        <f>SUM(G19+G93)</f>
        <v>157</v>
      </c>
      <c r="H119" s="460">
        <f>G119+'18'!H119</f>
        <v>346</v>
      </c>
      <c r="I119" s="535"/>
      <c r="J119" s="559">
        <f>H119/DAY(B2)</f>
        <v>18.210526315789473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132</v>
      </c>
      <c r="G120" s="536">
        <f>SUM(G96,G97,G98,G100,G101)</f>
        <v>132</v>
      </c>
      <c r="H120" s="460">
        <f>G120+'18'!H120</f>
        <v>358</v>
      </c>
      <c r="I120" s="535"/>
      <c r="J120" s="559">
        <f>H120/DAY(B2)</f>
        <v>18.842105263157894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106</v>
      </c>
      <c r="G121" s="534">
        <f>SUM(G113)</f>
        <v>106</v>
      </c>
      <c r="H121" s="460">
        <f>G121+'18'!H121</f>
        <v>188</v>
      </c>
      <c r="I121" s="535"/>
      <c r="J121" s="559">
        <f>H121/DAY(B2)</f>
        <v>9.8947368421052637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'18'!F124</f>
        <v>844579.27</v>
      </c>
      <c r="F124" s="478">
        <v>844847</v>
      </c>
      <c r="G124" s="473">
        <f t="shared" ref="G124:G128" si="14">F124-E124</f>
        <v>267.72999999998137</v>
      </c>
      <c r="H124" s="460">
        <f>G124+'18'!H124</f>
        <v>5177</v>
      </c>
      <c r="I124" s="526"/>
      <c r="J124" s="552">
        <f>H124/DAY(B2)</f>
        <v>272.4736842105263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'18'!F126</f>
        <v>150293.53</v>
      </c>
      <c r="F126" s="478">
        <v>150362</v>
      </c>
      <c r="G126" s="473">
        <f t="shared" si="14"/>
        <v>68.470000000001164</v>
      </c>
      <c r="H126" s="460">
        <f>G126+'18'!H126</f>
        <v>1765</v>
      </c>
      <c r="I126" s="526"/>
      <c r="J126" s="552">
        <f>H126/DAY(B2)</f>
        <v>92.89473684210526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'18'!F127</f>
        <v>32770.300000000003</v>
      </c>
      <c r="F127" s="626">
        <v>32802</v>
      </c>
      <c r="G127" s="473">
        <f t="shared" si="14"/>
        <v>31.69999999999709</v>
      </c>
      <c r="H127" s="460">
        <f>G127+'18'!H127</f>
        <v>731</v>
      </c>
      <c r="I127" s="526"/>
      <c r="J127" s="552">
        <f>H127/DAY(B2)</f>
        <v>38.473684210526315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'18'!F128</f>
        <v>9085</v>
      </c>
      <c r="F128" s="626">
        <v>9085</v>
      </c>
      <c r="G128" s="473">
        <f t="shared" si="14"/>
        <v>0</v>
      </c>
      <c r="H128" s="460">
        <f>G128+'18'!H128</f>
        <v>73</v>
      </c>
      <c r="I128" s="480"/>
      <c r="J128" s="552">
        <f>H128/DAY(B2)</f>
        <v>3.8421052631578947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512.68000000009488</v>
      </c>
      <c r="H129" s="460">
        <f>G129+'18'!H129</f>
        <v>1923.4970000001431</v>
      </c>
      <c r="I129" s="480"/>
      <c r="J129" s="552">
        <f>H129/DAY(B2)</f>
        <v>101.23668421053385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'18'!F133</f>
        <v>40612.1</v>
      </c>
      <c r="F133" s="541">
        <v>40612</v>
      </c>
      <c r="G133" s="473">
        <f t="shared" si="15"/>
        <v>-9.9999999998544808E-2</v>
      </c>
      <c r="H133" s="460">
        <f>G133+'18'!H133</f>
        <v>159</v>
      </c>
      <c r="I133" s="480"/>
      <c r="J133" s="552">
        <f>H133/DAY(B2)</f>
        <v>8.3684210526315788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'18'!F134</f>
        <v>410.18</v>
      </c>
      <c r="F134" s="541">
        <v>414.42</v>
      </c>
      <c r="G134" s="652">
        <f t="shared" si="15"/>
        <v>4.2400000000000091</v>
      </c>
      <c r="H134" s="705">
        <f>G134+'18'!H134</f>
        <v>114.42000000000002</v>
      </c>
      <c r="I134" s="1071">
        <f>G131+G132+G133+G134</f>
        <v>4.1400000000014643</v>
      </c>
      <c r="J134" s="707">
        <f>H134/DAY(B2)</f>
        <v>6.0221052631578953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'18'!F135</f>
        <v>42257</v>
      </c>
      <c r="F135" s="701">
        <v>42281</v>
      </c>
      <c r="G135" s="473">
        <f t="shared" si="15"/>
        <v>24</v>
      </c>
      <c r="H135" s="460">
        <f>G135+'18'!H135</f>
        <v>309</v>
      </c>
      <c r="I135" s="480"/>
      <c r="J135" s="552">
        <f>H135/DAY(B2)</f>
        <v>16.263157894736842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'18'!F137</f>
        <v>23023.439999999999</v>
      </c>
      <c r="F137" s="541">
        <v>23033</v>
      </c>
      <c r="G137" s="473">
        <f t="shared" si="15"/>
        <v>9.5600000000013097</v>
      </c>
      <c r="H137" s="460">
        <f>G137+'18'!H137</f>
        <v>141.5099999999984</v>
      </c>
      <c r="I137" s="480">
        <f>G135+G136+G137</f>
        <v>33.56000000000131</v>
      </c>
      <c r="J137" s="552">
        <f>H137/DAY(B2)</f>
        <v>7.447894736842021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'18'!F138</f>
        <v>25099.16</v>
      </c>
      <c r="F138" s="541">
        <v>25099</v>
      </c>
      <c r="G138" s="473">
        <f t="shared" si="15"/>
        <v>-0.15999999999985448</v>
      </c>
      <c r="H138" s="460">
        <f>G138+'18'!H138</f>
        <v>7.6100000000005821</v>
      </c>
      <c r="I138" s="480"/>
      <c r="J138" s="552">
        <f>H138/DAY(B2)</f>
        <v>0.40052631578950432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'18'!F139</f>
        <v>70516.600000000006</v>
      </c>
      <c r="F139" s="541">
        <v>70516.600000000006</v>
      </c>
      <c r="G139" s="473">
        <f t="shared" si="15"/>
        <v>0</v>
      </c>
      <c r="H139" s="460">
        <f>G139+'18'!H139</f>
        <v>2.9800000000104774</v>
      </c>
      <c r="I139" s="480">
        <f>G138+G139</f>
        <v>-0.15999999999985448</v>
      </c>
      <c r="J139" s="552">
        <f>H139/DAY(B2)</f>
        <v>0.15684210526370934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'18'!F140</f>
        <v>2247.77</v>
      </c>
      <c r="F140" s="484">
        <v>2247.77</v>
      </c>
      <c r="G140" s="473">
        <f t="shared" si="15"/>
        <v>0</v>
      </c>
      <c r="H140" s="460">
        <f>G140+'18'!H140</f>
        <v>118.59000000000015</v>
      </c>
      <c r="I140" s="542"/>
      <c r="J140" s="552">
        <f>H140/DAY(B2)</f>
        <v>6.2415789473684287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'18'!F141</f>
        <v>4696.12</v>
      </c>
      <c r="F141" s="484">
        <v>4705.5200000000004</v>
      </c>
      <c r="G141" s="473">
        <f t="shared" si="15"/>
        <v>9.4000000000005457</v>
      </c>
      <c r="H141" s="460">
        <f>G141+'18'!H141</f>
        <v>68.520000000000437</v>
      </c>
      <c r="I141" s="542"/>
      <c r="J141" s="552">
        <f>H141/DAY(B2)</f>
        <v>3.6063157894737072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5801.8719999998739</v>
      </c>
      <c r="H143" s="460">
        <f>G143+'18'!H143</f>
        <v>106074.18000000005</v>
      </c>
      <c r="I143" s="480"/>
      <c r="J143" s="552">
        <f>H143/DAY(B2)</f>
        <v>5582.8515789473713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0.26828634673514756</v>
      </c>
      <c r="H144" s="460">
        <f>G144+'18'!H144</f>
        <v>4.8213492704888363</v>
      </c>
      <c r="I144" s="544"/>
      <c r="J144" s="552">
        <f>H144/DAY(B2)</f>
        <v>0.25375522476257034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6446.2000000000407</v>
      </c>
      <c r="H145" s="460">
        <f>G145+'18'!H145</f>
        <v>128231.11</v>
      </c>
      <c r="I145" s="480"/>
      <c r="J145" s="552">
        <f>H145/DAY(B2)</f>
        <v>6749.0057894736847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0.29808093807036018</v>
      </c>
      <c r="H146" s="460">
        <f>G146+'18'!H146</f>
        <v>5.7983012250990384</v>
      </c>
      <c r="I146" s="544"/>
      <c r="J146" s="552">
        <f>H146/DAY(B2)</f>
        <v>0.3051737486894231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3770.3300000000163</v>
      </c>
      <c r="H147" s="460">
        <f>G147+'18'!H147</f>
        <v>70218.590000000026</v>
      </c>
      <c r="I147" s="545"/>
      <c r="J147" s="552">
        <f>H147/DAY(B2)</f>
        <v>3695.7152631578961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0.17434511855586529</v>
      </c>
      <c r="H148" s="460">
        <f>G148+'18'!H148</f>
        <v>3.1894407046352575</v>
      </c>
      <c r="I148" s="545"/>
      <c r="J148" s="552">
        <f>H148/DAY(B2)</f>
        <v>0.16786530024396093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1606.4600000000501</v>
      </c>
      <c r="H149" s="460">
        <f>G149+'18'!H149</f>
        <v>30999</v>
      </c>
      <c r="I149" s="480"/>
      <c r="J149" s="552">
        <f>H149/DAY(B2)</f>
        <v>1631.5263157894738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7.4284866087388338E-2</v>
      </c>
      <c r="H150" s="460">
        <f>G150+'18'!H150</f>
        <v>1.4046420407826261</v>
      </c>
      <c r="I150" s="545"/>
      <c r="J150" s="552">
        <f>H150/DAY(B2)</f>
        <v>7.3928528462243473E-2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1909.6500000000524</v>
      </c>
      <c r="H151" s="460">
        <f>G151+'18'!H151</f>
        <v>39596</v>
      </c>
      <c r="I151" s="545"/>
      <c r="J151" s="552">
        <f>H151/DAY(B2)</f>
        <v>2084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8.8304778534031722E-2</v>
      </c>
      <c r="H152" s="460">
        <f>G152+'18'!H152</f>
        <v>1.7860539730071088</v>
      </c>
      <c r="I152" s="480"/>
      <c r="J152" s="552">
        <f>H152/DAY(B2)</f>
        <v>9.4002840684584671E-2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1591.1600000000035</v>
      </c>
      <c r="H153" s="460">
        <f>G153+'18'!H153</f>
        <v>30069</v>
      </c>
      <c r="I153" s="480"/>
      <c r="J153" s="552">
        <f>H153/DAY(B2)</f>
        <v>1582.578947368421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7.357737355651893E-2</v>
      </c>
      <c r="H154" s="460">
        <f>G154+'18'!H154</f>
        <v>1.363291493380959</v>
      </c>
      <c r="I154" s="568"/>
      <c r="J154" s="569">
        <f>H154/DAY(B2)</f>
        <v>7.1752183862155733E-2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262</v>
      </c>
      <c r="B161" s="785"/>
      <c r="C161" s="785"/>
      <c r="D161" s="511" t="s">
        <v>186</v>
      </c>
      <c r="E161" s="658">
        <f>'18'!F161</f>
        <v>42290.03</v>
      </c>
      <c r="F161" s="658">
        <v>42368</v>
      </c>
      <c r="G161" s="473">
        <f t="shared" ref="G161:G164" si="16">F161-E161</f>
        <v>77.970000000001164</v>
      </c>
    </row>
    <row r="162" spans="1:7">
      <c r="A162" s="784" t="s">
        <v>263</v>
      </c>
      <c r="B162" s="785"/>
      <c r="C162" s="785"/>
      <c r="D162" s="511" t="s">
        <v>186</v>
      </c>
      <c r="E162" s="658">
        <f>'18'!F162</f>
        <v>116042.66</v>
      </c>
      <c r="F162" s="658">
        <v>116498</v>
      </c>
      <c r="G162" s="473">
        <f t="shared" si="16"/>
        <v>455.33999999999651</v>
      </c>
    </row>
    <row r="163" spans="1:7">
      <c r="A163" s="784" t="s">
        <v>264</v>
      </c>
      <c r="B163" s="785"/>
      <c r="C163" s="785"/>
      <c r="D163" s="511" t="s">
        <v>186</v>
      </c>
      <c r="E163" s="658">
        <f>'18'!F163</f>
        <v>64923.45</v>
      </c>
      <c r="F163" s="658">
        <v>65119</v>
      </c>
      <c r="G163" s="473">
        <f t="shared" si="16"/>
        <v>195.55000000000291</v>
      </c>
    </row>
    <row r="164" spans="1:7">
      <c r="A164" s="784" t="s">
        <v>265</v>
      </c>
      <c r="B164" s="785"/>
      <c r="C164" s="785"/>
      <c r="D164" s="511" t="s">
        <v>186</v>
      </c>
      <c r="E164" s="658">
        <f>'18'!F164</f>
        <v>7027.41</v>
      </c>
      <c r="F164" s="658">
        <v>7034</v>
      </c>
      <c r="G164" s="473">
        <f t="shared" si="16"/>
        <v>6.5900000000001455</v>
      </c>
    </row>
    <row r="165" spans="1:7">
      <c r="A165" s="786" t="s">
        <v>97</v>
      </c>
      <c r="B165" s="604"/>
      <c r="C165" s="604"/>
      <c r="D165" s="511" t="s">
        <v>186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546" t="s">
        <v>98</v>
      </c>
      <c r="B167" s="1546"/>
      <c r="C167" s="1546"/>
      <c r="D167" s="523" t="s">
        <v>186</v>
      </c>
      <c r="E167" s="658">
        <f>'18'!F167</f>
        <v>177066.15</v>
      </c>
      <c r="F167" s="514">
        <v>106166</v>
      </c>
      <c r="G167" s="473">
        <f>F64-E64</f>
        <v>374.85000000000582</v>
      </c>
    </row>
    <row r="168" spans="1:7" ht="27.75">
      <c r="A168" s="1546" t="s">
        <v>99</v>
      </c>
      <c r="B168" s="1546"/>
      <c r="C168" s="1546"/>
      <c r="D168" s="523" t="s">
        <v>186</v>
      </c>
      <c r="E168" s="658">
        <f>'18'!F168</f>
        <v>177128.03</v>
      </c>
      <c r="F168" s="514">
        <v>116811.03</v>
      </c>
      <c r="G168" s="473">
        <f t="shared" ref="G168:G172" si="18">F65-E65</f>
        <v>395.97000000000116</v>
      </c>
    </row>
    <row r="169" spans="1:7" ht="27.75">
      <c r="A169" s="1546" t="s">
        <v>100</v>
      </c>
      <c r="B169" s="1546"/>
      <c r="C169" s="1546"/>
      <c r="D169" s="523" t="s">
        <v>186</v>
      </c>
      <c r="E169" s="658">
        <f>'18'!F169</f>
        <v>75359.899999999994</v>
      </c>
      <c r="F169" s="514">
        <v>9380.09</v>
      </c>
      <c r="G169" s="473">
        <f t="shared" si="18"/>
        <v>429.10000000000582</v>
      </c>
    </row>
    <row r="170" spans="1:7" ht="27.75">
      <c r="A170" s="1546" t="s">
        <v>101</v>
      </c>
      <c r="B170" s="1546"/>
      <c r="C170" s="1546"/>
      <c r="D170" s="523" t="s">
        <v>186</v>
      </c>
      <c r="E170" s="658">
        <f>'18'!F170</f>
        <v>273443.11</v>
      </c>
      <c r="F170" s="514">
        <v>180787.83</v>
      </c>
      <c r="G170" s="473">
        <f t="shared" si="18"/>
        <v>481.89000000001397</v>
      </c>
    </row>
    <row r="171" spans="1:7" ht="27.75">
      <c r="A171" s="1546" t="s">
        <v>102</v>
      </c>
      <c r="B171" s="1546"/>
      <c r="C171" s="1546"/>
      <c r="D171" s="523" t="s">
        <v>186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658">
        <f>'18'!F172</f>
        <v>92335.38</v>
      </c>
      <c r="F172" s="514">
        <v>52064.98</v>
      </c>
      <c r="G172" s="473">
        <f t="shared" si="18"/>
        <v>305.61999999999534</v>
      </c>
    </row>
    <row r="173" spans="1:7">
      <c r="G173" s="537">
        <f>SUM(G161:G172)</f>
        <v>5153.8800000000228</v>
      </c>
    </row>
    <row r="174" spans="1:7" ht="27.75">
      <c r="A174" s="1546" t="s">
        <v>350</v>
      </c>
      <c r="B174" s="1546"/>
      <c r="C174" s="1546"/>
      <c r="D174" s="523" t="s">
        <v>186</v>
      </c>
      <c r="E174" s="532">
        <v>19087</v>
      </c>
      <c r="F174" s="514">
        <v>19092</v>
      </c>
      <c r="G174" s="473">
        <f t="shared" ref="G174" si="19">F174-E174</f>
        <v>5</v>
      </c>
    </row>
    <row r="175" spans="1:7">
      <c r="A175" s="1587" t="s">
        <v>350</v>
      </c>
      <c r="B175" s="1550"/>
      <c r="C175" s="785"/>
      <c r="D175" s="523" t="s">
        <v>186</v>
      </c>
      <c r="E175" s="532">
        <v>70449.100000000006</v>
      </c>
      <c r="F175" s="1493">
        <v>70456</v>
      </c>
      <c r="G175" s="1493">
        <v>7</v>
      </c>
    </row>
    <row r="176" spans="1:7">
      <c r="A176" s="1587" t="s">
        <v>351</v>
      </c>
      <c r="B176" s="1550"/>
      <c r="C176" s="785"/>
      <c r="D176" s="523" t="s">
        <v>186</v>
      </c>
      <c r="E176" s="532">
        <v>27724</v>
      </c>
      <c r="F176" s="1493">
        <v>27728</v>
      </c>
      <c r="G176" s="1493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58" zoomScale="55" zoomScaleSheetLayoutView="55" zoomScalePageLayoutView="78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360</v>
      </c>
      <c r="B2" s="1031">
        <v>44397</v>
      </c>
      <c r="C2" s="1141" t="s">
        <v>68</v>
      </c>
      <c r="D2" s="611">
        <v>0.67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341574</v>
      </c>
      <c r="F7" s="455">
        <v>363691.96</v>
      </c>
      <c r="G7" s="1330">
        <f>F7-E7</f>
        <v>22117.960000000021</v>
      </c>
      <c r="H7" s="460">
        <f>G7+'19'!H7</f>
        <v>441738.96000000008</v>
      </c>
      <c r="I7" s="474">
        <f>'1'!I7</f>
        <v>12000</v>
      </c>
      <c r="J7" s="552">
        <f>H7/DAY(B2)</f>
        <v>22086.948000000004</v>
      </c>
      <c r="K7" s="549">
        <v>11998</v>
      </c>
      <c r="L7" s="377">
        <f>G7-K7</f>
        <v>10119.960000000021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348387</v>
      </c>
      <c r="F8" s="475">
        <v>370604.27</v>
      </c>
      <c r="G8" s="1331">
        <f>F8-E8</f>
        <v>22217.270000000019</v>
      </c>
      <c r="H8" s="460">
        <f>G8+'19'!H8</f>
        <v>443882.27</v>
      </c>
      <c r="I8" s="477">
        <f>'1'!I8</f>
        <v>12000</v>
      </c>
      <c r="J8" s="552">
        <f>H8/DAY(B2)</f>
        <v>22194.113499999999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2439016</v>
      </c>
      <c r="F9" s="478">
        <v>2460433.5</v>
      </c>
      <c r="G9" s="1330">
        <f t="shared" ref="G9:G12" si="0">F9-E9</f>
        <v>21417.5</v>
      </c>
      <c r="H9" s="460">
        <f>G9+'19'!H9</f>
        <v>429431.5</v>
      </c>
      <c r="I9" s="479">
        <f>I8-J8</f>
        <v>-10194.113499999999</v>
      </c>
      <c r="J9" s="552">
        <f>H9/DAY(B2)</f>
        <v>21471.575000000001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2606.5500000000002</v>
      </c>
      <c r="F10" s="478">
        <v>2606.5500000000002</v>
      </c>
      <c r="G10" s="1330">
        <f t="shared" si="0"/>
        <v>0</v>
      </c>
      <c r="H10" s="460">
        <f>G10+'19'!H10</f>
        <v>0.29999999999972715</v>
      </c>
      <c r="I10" s="480"/>
      <c r="J10" s="552">
        <f>H10/DAY(B2)</f>
        <v>1.4999999999986358E-2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21417.5</v>
      </c>
      <c r="H13" s="460">
        <f>G13+'19'!H13</f>
        <v>409104.8</v>
      </c>
      <c r="I13" s="482">
        <f>G7-G13</f>
        <v>700.46000000002095</v>
      </c>
      <c r="J13" s="552">
        <f>H13/DAY(B2)</f>
        <v>20455.239999999998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'19'!F15</f>
        <v>1719726</v>
      </c>
      <c r="F15" s="700">
        <v>1720191</v>
      </c>
      <c r="G15" s="1334">
        <f>(F15-E15)</f>
        <v>465</v>
      </c>
      <c r="H15" s="460">
        <f>G15+'19'!H15</f>
        <v>16508</v>
      </c>
      <c r="I15" s="474">
        <v>800</v>
      </c>
      <c r="J15" s="552">
        <f>H15/DAY(B2)</f>
        <v>825.4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-25.399999999999977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'19'!F18</f>
        <v>20</v>
      </c>
      <c r="F18" s="484">
        <v>8</v>
      </c>
      <c r="G18" s="1332">
        <f>F18*10</f>
        <v>80</v>
      </c>
      <c r="H18" s="460">
        <f>G18+'19'!H18</f>
        <v>2720</v>
      </c>
      <c r="I18" s="474">
        <f>'1'!I18</f>
        <v>65</v>
      </c>
      <c r="J18" s="552">
        <f>H18/DAY(B2)</f>
        <v>136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'19'!F19</f>
        <v>142604</v>
      </c>
      <c r="F19" s="484">
        <v>142667</v>
      </c>
      <c r="G19" s="1330">
        <f t="shared" ref="G19" si="1">F19-E19</f>
        <v>63</v>
      </c>
      <c r="H19" s="460">
        <f>G19+'19'!H19</f>
        <v>1172</v>
      </c>
      <c r="I19" s="489"/>
      <c r="J19" s="552">
        <f>H19/DAY(B2)</f>
        <v>58.6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143</v>
      </c>
      <c r="H20" s="460">
        <f>G20+'19'!H20</f>
        <v>3892</v>
      </c>
      <c r="I20" s="492">
        <f>I18-J20</f>
        <v>-129.6</v>
      </c>
      <c r="J20" s="552">
        <f>H20/DAY(B2)</f>
        <v>194.6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22217.270000000019</v>
      </c>
      <c r="F27" s="501">
        <v>9</v>
      </c>
      <c r="G27" s="1338">
        <f>E27*F27</f>
        <v>199955.43000000017</v>
      </c>
      <c r="H27" s="460">
        <f>G27+'19'!H27</f>
        <v>3994942.3200000003</v>
      </c>
      <c r="I27" s="503"/>
      <c r="J27" s="552">
        <f>H27/DAY(B2)</f>
        <v>199747.11600000001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465</v>
      </c>
      <c r="F28" s="501">
        <v>52</v>
      </c>
      <c r="G28" s="1338">
        <f>E28*F28</f>
        <v>24180</v>
      </c>
      <c r="H28" s="460">
        <f>G28+'19'!H28</f>
        <v>858416</v>
      </c>
      <c r="I28" s="505"/>
      <c r="J28" s="552">
        <f>H28/DAY(B2)</f>
        <v>42920.800000000003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1338">
        <f>E30*F30</f>
        <v>9198</v>
      </c>
      <c r="H30" s="460">
        <f>G30+'19'!H30</f>
        <v>170528</v>
      </c>
      <c r="I30" s="505"/>
      <c r="J30" s="552">
        <f>H30/DAY(B2)</f>
        <v>8526.4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80</v>
      </c>
      <c r="F31" s="501">
        <v>80</v>
      </c>
      <c r="G31" s="1338">
        <f>E31*F31</f>
        <v>6400</v>
      </c>
      <c r="H31" s="460">
        <f>G31+'19'!H31</f>
        <v>212000</v>
      </c>
      <c r="I31" s="505"/>
      <c r="J31" s="552">
        <f>H31/DAY(B2)</f>
        <v>10600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239733.43000000017</v>
      </c>
      <c r="H32" s="460">
        <f>G32+'19'!H32</f>
        <v>5235886.32</v>
      </c>
      <c r="I32" s="509"/>
      <c r="J32" s="552">
        <f>H32/DAY(B2)</f>
        <v>261794.31600000002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1058597</v>
      </c>
      <c r="F35" s="510">
        <v>1058597</v>
      </c>
      <c r="G35" s="1330">
        <f t="shared" ref="G35:G46" si="2">F35-E35</f>
        <v>0</v>
      </c>
      <c r="H35" s="460">
        <f>G35+'19'!H35</f>
        <v>29883</v>
      </c>
      <c r="I35" s="455"/>
      <c r="J35" s="552">
        <f>H35/DAY(B2)</f>
        <v>1494.15</v>
      </c>
      <c r="K35" s="428">
        <v>1457.2799999999697</v>
      </c>
      <c r="L35" s="377">
        <f>G35-K35</f>
        <v>-1457.2799999999697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37098</v>
      </c>
      <c r="F36" s="510">
        <v>38264.519999999997</v>
      </c>
      <c r="G36" s="1330">
        <f t="shared" si="2"/>
        <v>1166.5199999999968</v>
      </c>
      <c r="H36" s="460">
        <f>G36+'19'!H36</f>
        <v>17803.519999999997</v>
      </c>
      <c r="I36" s="455"/>
      <c r="J36" s="552">
        <f>H36/DAY(B2)</f>
        <v>890.17599999999982</v>
      </c>
      <c r="K36" s="428">
        <v>483.92999999999302</v>
      </c>
      <c r="L36" s="377">
        <f t="shared" ref="L36:L60" si="3">G36-K36</f>
        <v>682.59000000000378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206639</v>
      </c>
      <c r="F37" s="510">
        <v>208225.97</v>
      </c>
      <c r="G37" s="1330">
        <f>F37-E37</f>
        <v>1586.9700000000012</v>
      </c>
      <c r="H37" s="460">
        <f>G37+'19'!H37</f>
        <v>31655.97</v>
      </c>
      <c r="I37" s="455"/>
      <c r="J37" s="552">
        <f>H37/DAY(B2)</f>
        <v>1582.7985000000001</v>
      </c>
      <c r="K37" s="428">
        <v>1173.9200000000128</v>
      </c>
      <c r="L37" s="377">
        <f>G37-K37</f>
        <v>413.04999999998836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229458</v>
      </c>
      <c r="F38" s="469">
        <v>230906.93</v>
      </c>
      <c r="G38" s="1330">
        <f t="shared" si="2"/>
        <v>1448.929999999993</v>
      </c>
      <c r="H38" s="460">
        <f>G38+'19'!H38</f>
        <v>32447.929999999993</v>
      </c>
      <c r="I38" s="455"/>
      <c r="J38" s="552">
        <f>H38/DAY(B2)</f>
        <v>1622.3964999999996</v>
      </c>
      <c r="K38" s="428">
        <v>0</v>
      </c>
      <c r="L38" s="377">
        <f t="shared" si="3"/>
        <v>1448.929999999993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475083</v>
      </c>
      <c r="F39" s="510">
        <v>478850.43</v>
      </c>
      <c r="G39" s="1330">
        <f t="shared" si="2"/>
        <v>3767.429999999993</v>
      </c>
      <c r="H39" s="460">
        <f>G39+'19'!H39</f>
        <v>73986.429999999993</v>
      </c>
      <c r="I39" s="455"/>
      <c r="J39" s="552">
        <f>H39/DAY(B2)</f>
        <v>3699.3214999999996</v>
      </c>
      <c r="K39" s="428">
        <v>1987.0400000000373</v>
      </c>
      <c r="L39" s="377">
        <f t="shared" si="3"/>
        <v>1780.3899999999558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14614</v>
      </c>
      <c r="F40" s="510">
        <v>15145.89</v>
      </c>
      <c r="G40" s="1330">
        <f t="shared" si="2"/>
        <v>531.88999999999942</v>
      </c>
      <c r="H40" s="460">
        <f>G40+'19'!H40</f>
        <v>8032.8899999999994</v>
      </c>
      <c r="I40" s="455"/>
      <c r="J40" s="552">
        <f>H40/DAY(B2)</f>
        <v>401.64449999999999</v>
      </c>
      <c r="K40" s="429">
        <v>0</v>
      </c>
      <c r="L40" s="377">
        <f t="shared" si="3"/>
        <v>531.88999999999942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365502</v>
      </c>
      <c r="F41" s="510">
        <v>365502.35</v>
      </c>
      <c r="G41" s="1330">
        <f t="shared" si="2"/>
        <v>0.34999999997671694</v>
      </c>
      <c r="H41" s="460">
        <f>G41+'19'!H41</f>
        <v>35860.349999999977</v>
      </c>
      <c r="I41" s="455"/>
      <c r="J41" s="552">
        <f>H41/DAY(B2)</f>
        <v>1793.0174999999988</v>
      </c>
      <c r="K41" s="428">
        <v>0</v>
      </c>
      <c r="L41" s="377">
        <f t="shared" si="3"/>
        <v>0.34999999997671694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82838</v>
      </c>
      <c r="F42" s="510">
        <v>85160.57</v>
      </c>
      <c r="G42" s="1330">
        <f t="shared" si="2"/>
        <v>2322.570000000007</v>
      </c>
      <c r="H42" s="460">
        <f>G42+'19'!H42</f>
        <v>25961.680000000008</v>
      </c>
      <c r="I42" s="455"/>
      <c r="J42" s="552">
        <f>H42/DAY(B2)</f>
        <v>1298.0840000000003</v>
      </c>
      <c r="K42" s="428">
        <v>3246.4500000000007</v>
      </c>
      <c r="L42" s="377">
        <f t="shared" si="3"/>
        <v>-923.87999999999374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1171784</v>
      </c>
      <c r="F43" s="510">
        <v>1174494.7</v>
      </c>
      <c r="G43" s="1330">
        <f t="shared" si="2"/>
        <v>2710.6999999999534</v>
      </c>
      <c r="H43" s="460">
        <f>G43+'19'!H43</f>
        <v>54042.699999999953</v>
      </c>
      <c r="I43" s="455"/>
      <c r="J43" s="552">
        <f>H43/DAY(B2)</f>
        <v>2702.1349999999975</v>
      </c>
      <c r="K43" s="428">
        <v>1559.2000000000116</v>
      </c>
      <c r="L43" s="377">
        <f t="shared" si="3"/>
        <v>1151.4999999999418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614</v>
      </c>
      <c r="F45" s="510">
        <v>614</v>
      </c>
      <c r="G45" s="133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187</v>
      </c>
      <c r="F46" s="510">
        <v>187</v>
      </c>
      <c r="G46" s="1330">
        <f t="shared" si="2"/>
        <v>0</v>
      </c>
      <c r="H46" s="460">
        <f>G46+'19'!H46</f>
        <v>-0.49000000000000909</v>
      </c>
      <c r="I46" s="455"/>
      <c r="J46" s="552">
        <f>H46/DAY(B2)</f>
        <v>-2.4500000000000455E-2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13535.359999999921</v>
      </c>
      <c r="H47" s="460">
        <f>G47+'19'!H47</f>
        <v>310475.46999999991</v>
      </c>
      <c r="I47" s="455"/>
      <c r="J47" s="552">
        <f>H47/DAY(B2)</f>
        <v>15523.773499999996</v>
      </c>
      <c r="K47" s="428">
        <v>9907.8200000000252</v>
      </c>
      <c r="L47" s="377">
        <f t="shared" si="3"/>
        <v>3627.5399999998954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288610</v>
      </c>
      <c r="F49" s="510">
        <v>291183.21000000002</v>
      </c>
      <c r="G49" s="1330">
        <f t="shared" ref="G49:G58" si="4">F49-E49</f>
        <v>2573.210000000021</v>
      </c>
      <c r="H49" s="460">
        <f>G49+'19'!H49</f>
        <v>30419.210000000021</v>
      </c>
      <c r="I49" s="455"/>
      <c r="J49" s="552">
        <f>H49/DAY(B2)</f>
        <v>1520.960500000001</v>
      </c>
      <c r="K49" s="428">
        <v>0</v>
      </c>
      <c r="L49" s="377">
        <f t="shared" si="3"/>
        <v>2573.210000000021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557622</v>
      </c>
      <c r="F50" s="510">
        <v>558685.75</v>
      </c>
      <c r="G50" s="1330">
        <f t="shared" si="4"/>
        <v>1063.75</v>
      </c>
      <c r="H50" s="460">
        <f>G50+'19'!H50</f>
        <v>22929.75</v>
      </c>
      <c r="I50" s="455"/>
      <c r="J50" s="552">
        <f>H50/DAY(B2)</f>
        <v>1146.4875</v>
      </c>
      <c r="K50" s="428">
        <v>631.67000000001281</v>
      </c>
      <c r="L50" s="377">
        <f t="shared" si="3"/>
        <v>432.07999999998719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144640</v>
      </c>
      <c r="F51" s="510">
        <v>144640</v>
      </c>
      <c r="G51" s="1330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</v>
      </c>
      <c r="F52" s="510">
        <v>539606</v>
      </c>
      <c r="G52" s="1330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0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</v>
      </c>
      <c r="F54" s="510">
        <v>14967</v>
      </c>
      <c r="G54" s="1330">
        <f t="shared" si="4"/>
        <v>0</v>
      </c>
      <c r="H54" s="460">
        <f>G54+'19'!H54</f>
        <v>0</v>
      </c>
      <c r="I54" s="455"/>
      <c r="J54" s="552">
        <f>H54/DAY(B2)</f>
        <v>0</v>
      </c>
      <c r="K54" s="428">
        <v>0</v>
      </c>
      <c r="L54" s="377">
        <f t="shared" si="3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186190</v>
      </c>
      <c r="F55" s="510">
        <v>191040.47</v>
      </c>
      <c r="G55" s="1330">
        <f t="shared" si="4"/>
        <v>4850.4700000000012</v>
      </c>
      <c r="H55" s="460">
        <f>G55+'19'!H55</f>
        <v>67830.47</v>
      </c>
      <c r="I55" s="455"/>
      <c r="J55" s="552">
        <f>H55/DAY(B2)</f>
        <v>3391.5235000000002</v>
      </c>
      <c r="K55" s="428">
        <v>0</v>
      </c>
      <c r="L55" s="377">
        <f t="shared" si="3"/>
        <v>4850.4700000000012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649210</v>
      </c>
      <c r="F56" s="510">
        <v>649241.15</v>
      </c>
      <c r="G56" s="1330">
        <f t="shared" si="4"/>
        <v>31.150000000023283</v>
      </c>
      <c r="H56" s="460">
        <f>G56+'19'!H56</f>
        <v>199.15000000002328</v>
      </c>
      <c r="I56" s="455"/>
      <c r="J56" s="552">
        <f>H56/DAY(B2)</f>
        <v>9.9575000000011649</v>
      </c>
      <c r="K56" s="427">
        <v>0</v>
      </c>
      <c r="L56" s="377">
        <f t="shared" si="3"/>
        <v>31.150000000023283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57418</v>
      </c>
      <c r="F58" s="510">
        <v>57425.74</v>
      </c>
      <c r="G58" s="1330">
        <f t="shared" si="4"/>
        <v>7.7399999999979627</v>
      </c>
      <c r="H58" s="460">
        <f>G58+'19'!H58</f>
        <v>3245.739999999998</v>
      </c>
      <c r="I58" s="455"/>
      <c r="J58" s="552">
        <f>H58/DAY(B2)</f>
        <v>162.28699999999989</v>
      </c>
      <c r="K58" s="428">
        <v>0</v>
      </c>
      <c r="L58" s="377">
        <f t="shared" si="3"/>
        <v>7.7399999999979627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8526.3200000000434</v>
      </c>
      <c r="H59" s="460">
        <f>G59+'19'!H59</f>
        <v>124623.58000000005</v>
      </c>
      <c r="I59" s="455">
        <f>G7-G60</f>
        <v>56.280000000057044</v>
      </c>
      <c r="J59" s="552">
        <f>H59/DAY(B2)</f>
        <v>6231.1790000000019</v>
      </c>
      <c r="K59" s="428">
        <v>1795.6800000000312</v>
      </c>
      <c r="L59" s="377">
        <f t="shared" si="3"/>
        <v>6730.6400000000122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22061.679999999964</v>
      </c>
      <c r="H60" s="460">
        <f>G60+'19'!H60</f>
        <v>442002.38</v>
      </c>
      <c r="I60" s="455">
        <f>G13-G60</f>
        <v>-644.17999999996391</v>
      </c>
      <c r="J60" s="552">
        <f>H60/DAY(B2)</f>
        <v>22100.118999999999</v>
      </c>
      <c r="K60" s="428">
        <v>11703.500000000056</v>
      </c>
      <c r="L60" s="377">
        <f t="shared" si="3"/>
        <v>10358.179999999908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0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0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'19'!F64</f>
        <v>177441</v>
      </c>
      <c r="F64" s="484">
        <v>177804.47</v>
      </c>
      <c r="G64" s="1330">
        <f t="shared" si="5"/>
        <v>363.47000000000116</v>
      </c>
      <c r="H64" s="460">
        <f>G64+'19'!H64</f>
        <v>7782.4700000000012</v>
      </c>
      <c r="I64" s="480"/>
      <c r="J64" s="552">
        <f>H64/DAY(B2)</f>
        <v>389.12350000000004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'19'!F65</f>
        <v>177524</v>
      </c>
      <c r="F65" s="484">
        <v>177910.09</v>
      </c>
      <c r="G65" s="1330">
        <f t="shared" si="5"/>
        <v>386.08999999999651</v>
      </c>
      <c r="H65" s="460">
        <f>G65+'19'!H65</f>
        <v>7608.0899999999965</v>
      </c>
      <c r="I65" s="489"/>
      <c r="J65" s="552">
        <f>H65/DAY(B2)</f>
        <v>380.40449999999981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'19'!F66</f>
        <v>75789</v>
      </c>
      <c r="F66" s="484">
        <v>76217.929999999993</v>
      </c>
      <c r="G66" s="1330">
        <f t="shared" si="5"/>
        <v>428.92999999999302</v>
      </c>
      <c r="H66" s="460">
        <f>G66+'19'!H66</f>
        <v>8247.929999999993</v>
      </c>
      <c r="I66" s="480"/>
      <c r="J66" s="552">
        <f>H66/DAY(B2)</f>
        <v>412.39649999999966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'19'!F67</f>
        <v>273925</v>
      </c>
      <c r="F67" s="484">
        <v>274426.67</v>
      </c>
      <c r="G67" s="1330">
        <f t="shared" si="5"/>
        <v>501.6699999999837</v>
      </c>
      <c r="H67" s="460">
        <f>G67+'19'!H67</f>
        <v>9467.6699999999837</v>
      </c>
      <c r="I67" s="489"/>
      <c r="J67" s="552">
        <f>H67/DAY(B2)</f>
        <v>473.38349999999917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'19'!F68</f>
        <v>85321</v>
      </c>
      <c r="F68" s="484">
        <v>85321</v>
      </c>
      <c r="G68" s="1330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'19'!F69</f>
        <v>92641</v>
      </c>
      <c r="F69" s="484">
        <v>92936.63</v>
      </c>
      <c r="G69" s="1330">
        <f t="shared" si="5"/>
        <v>295.63000000000466</v>
      </c>
      <c r="H69" s="460">
        <f>G69+'19'!H69</f>
        <v>5421.6300000000047</v>
      </c>
      <c r="I69" s="516"/>
      <c r="J69" s="552">
        <f>H69/DAY(B2)</f>
        <v>271.08150000000023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'19'!F72</f>
        <v>856459</v>
      </c>
      <c r="F72" s="519">
        <v>856472</v>
      </c>
      <c r="G72" s="1330">
        <f t="shared" ref="G72:G84" si="6">F72-E72</f>
        <v>13</v>
      </c>
      <c r="H72" s="460">
        <f>G72+'19'!H72</f>
        <v>237</v>
      </c>
      <c r="I72" s="480"/>
      <c r="J72" s="552">
        <f>H72/DAY(B2)</f>
        <v>11.85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19">
        <f>'19'!F73</f>
        <v>885998</v>
      </c>
      <c r="F73" s="520">
        <v>886000</v>
      </c>
      <c r="G73" s="1330">
        <f t="shared" si="6"/>
        <v>2</v>
      </c>
      <c r="H73" s="460">
        <f>G73+'19'!H73</f>
        <v>166</v>
      </c>
      <c r="I73" s="480"/>
      <c r="J73" s="552">
        <f>H73/DAY(B2)</f>
        <v>8.3000000000000007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19">
        <f>'19'!F74</f>
        <v>88716</v>
      </c>
      <c r="F74" s="521">
        <v>88719.3</v>
      </c>
      <c r="G74" s="1330">
        <f t="shared" si="6"/>
        <v>3.3000000000029104</v>
      </c>
      <c r="H74" s="460">
        <f>G74+'19'!H74</f>
        <v>57.30000000000291</v>
      </c>
      <c r="I74" s="480"/>
      <c r="J74" s="552">
        <f>H74/DAY(B2)</f>
        <v>2.8650000000001454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19">
        <f>'19'!F75</f>
        <v>19025</v>
      </c>
      <c r="F75" s="521">
        <v>19191.63</v>
      </c>
      <c r="G75" s="1330">
        <f t="shared" si="6"/>
        <v>166.63000000000102</v>
      </c>
      <c r="H75" s="460">
        <f>G75+'19'!H75</f>
        <v>3120.630000000001</v>
      </c>
      <c r="I75" s="480"/>
      <c r="J75" s="552">
        <f>H75/DAY(B2)</f>
        <v>156.03150000000005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19">
        <f>'19'!F76</f>
        <v>10577</v>
      </c>
      <c r="F76" s="654">
        <v>10640.9</v>
      </c>
      <c r="G76" s="1330">
        <f>F76-E76</f>
        <v>63.899999999999636</v>
      </c>
      <c r="H76" s="460">
        <f>G76+'19'!H76</f>
        <v>2421.8999999999996</v>
      </c>
      <c r="I76" s="505"/>
      <c r="J76" s="552">
        <f>H76/DAY(B2)</f>
        <v>121.09499999999998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19">
        <f>'19'!F77</f>
        <v>705569</v>
      </c>
      <c r="F77" s="521">
        <v>705626</v>
      </c>
      <c r="G77" s="1330">
        <f t="shared" si="6"/>
        <v>57</v>
      </c>
      <c r="H77" s="460">
        <f>G77+'19'!H77</f>
        <v>1252</v>
      </c>
      <c r="I77" s="505"/>
      <c r="J77" s="552">
        <f>H77/DAY(B2)</f>
        <v>62.6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'19'!F78</f>
        <v>677282</v>
      </c>
      <c r="F78" s="521">
        <v>677372</v>
      </c>
      <c r="G78" s="1330">
        <f t="shared" si="6"/>
        <v>90</v>
      </c>
      <c r="H78" s="460">
        <f>G78+'19'!H78</f>
        <v>1958</v>
      </c>
      <c r="I78" s="505"/>
      <c r="J78" s="552">
        <f>H78/DAY(B2)</f>
        <v>97.9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'19'!F79</f>
        <v>838424</v>
      </c>
      <c r="F79" s="521">
        <v>838574</v>
      </c>
      <c r="G79" s="1330">
        <f t="shared" si="6"/>
        <v>150</v>
      </c>
      <c r="H79" s="460">
        <f>G79+'19'!H79</f>
        <v>2420</v>
      </c>
      <c r="I79" s="505"/>
      <c r="J79" s="552">
        <f>H79/DAY(B2)</f>
        <v>121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'19'!F80</f>
        <v>547168</v>
      </c>
      <c r="F80" s="520">
        <v>547596.28</v>
      </c>
      <c r="G80" s="1330">
        <f t="shared" si="6"/>
        <v>428.28000000002794</v>
      </c>
      <c r="H80" s="460">
        <f>G80+'19'!H80</f>
        <v>5205.2800000000279</v>
      </c>
      <c r="I80" s="505"/>
      <c r="J80" s="552">
        <f>H80/DAY(B2)</f>
        <v>260.26400000000137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'19'!F81</f>
        <v>646674</v>
      </c>
      <c r="F81" s="520">
        <v>646912.04</v>
      </c>
      <c r="G81" s="1330">
        <f t="shared" si="6"/>
        <v>238.04000000003725</v>
      </c>
      <c r="H81" s="460">
        <f>G81+'19'!H81</f>
        <v>3927.0400000000373</v>
      </c>
      <c r="I81" s="505"/>
      <c r="J81" s="552">
        <f>H81/DAY(B2)</f>
        <v>196.35200000000185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'19'!F82</f>
        <v>109089</v>
      </c>
      <c r="F82" s="522">
        <v>109102.07</v>
      </c>
      <c r="G82" s="1330">
        <f t="shared" si="6"/>
        <v>13.070000000006985</v>
      </c>
      <c r="H82" s="460">
        <f>G82+'19'!H82</f>
        <v>421.07000000000698</v>
      </c>
      <c r="I82" s="486"/>
      <c r="J82" s="552">
        <f>H82/DAY(B2)</f>
        <v>21.053500000000348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22">
        <f>'19'!F83</f>
        <v>32090</v>
      </c>
      <c r="F83" s="511">
        <v>32328</v>
      </c>
      <c r="G83" s="1330">
        <f t="shared" si="6"/>
        <v>238</v>
      </c>
      <c r="H83" s="460">
        <f>G83+'19'!H83</f>
        <v>4777</v>
      </c>
      <c r="I83" s="481"/>
      <c r="J83" s="552">
        <f>H83/DAY(B2)</f>
        <v>238.85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22">
        <f>'19'!F84</f>
        <v>538136</v>
      </c>
      <c r="F84" s="627">
        <v>538863</v>
      </c>
      <c r="G84" s="1330">
        <f t="shared" si="6"/>
        <v>727</v>
      </c>
      <c r="H84" s="460">
        <f>G84+'19'!H84</f>
        <v>15783</v>
      </c>
      <c r="I84" s="481"/>
      <c r="J84" s="552">
        <f>H84/DAY(B2)</f>
        <v>789.15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2190.2200000000757</v>
      </c>
      <c r="H85" s="460">
        <f>G85+'19'!H85</f>
        <v>44620.220000000074</v>
      </c>
      <c r="I85" s="481"/>
      <c r="J85" s="552">
        <f>H85/DAY(B2)</f>
        <v>2231.0110000000036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'19'!F86</f>
        <v>462255</v>
      </c>
      <c r="F86" s="647">
        <v>462278.36</v>
      </c>
      <c r="G86" s="1344">
        <f>F86-E86</f>
        <v>23.35999999998603</v>
      </c>
      <c r="H86" s="460">
        <f>G86+'19'!H86</f>
        <v>48.519999999960419</v>
      </c>
      <c r="I86" s="652"/>
      <c r="J86" s="707">
        <f>H86/DAY(B2)</f>
        <v>2.4259999999980209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'19'!F87</f>
        <v>82583</v>
      </c>
      <c r="F87" s="647">
        <v>82621</v>
      </c>
      <c r="G87" s="1344">
        <f t="shared" ref="G87:G91" si="7">F87-E87</f>
        <v>38</v>
      </c>
      <c r="H87" s="460">
        <f>G87+'19'!H87</f>
        <v>78</v>
      </c>
      <c r="I87" s="652"/>
      <c r="J87" s="707">
        <f>H87/DAY(B2)</f>
        <v>3.9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'19'!F88</f>
        <v>157447</v>
      </c>
      <c r="F88" s="647">
        <v>157615.46</v>
      </c>
      <c r="G88" s="1344">
        <f t="shared" si="7"/>
        <v>168.45999999999185</v>
      </c>
      <c r="H88" s="460">
        <f>G88+'19'!H88</f>
        <v>369.73999999999069</v>
      </c>
      <c r="I88" s="652"/>
      <c r="J88" s="707">
        <f>H88/DAY(B2)</f>
        <v>18.486999999999533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'19'!F89</f>
        <v>66620</v>
      </c>
      <c r="F89" s="647">
        <v>66650</v>
      </c>
      <c r="G89" s="1344">
        <f t="shared" si="7"/>
        <v>30</v>
      </c>
      <c r="H89" s="460">
        <f>G89+'19'!H89</f>
        <v>89.19999999999709</v>
      </c>
      <c r="I89" s="652"/>
      <c r="J89" s="707">
        <f>H89/DAY(B2)</f>
        <v>4.4599999999998543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'19'!F90</f>
        <v>3411</v>
      </c>
      <c r="F90" s="647">
        <v>3413</v>
      </c>
      <c r="G90" s="1344">
        <f t="shared" si="7"/>
        <v>2</v>
      </c>
      <c r="H90" s="460">
        <f>G90+'19'!H90</f>
        <v>5</v>
      </c>
      <c r="I90" s="652"/>
      <c r="J90" s="707">
        <f>H90/DAY(B2)</f>
        <v>0.25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'19'!F91</f>
        <v>28403</v>
      </c>
      <c r="F91" s="647">
        <v>28413.5</v>
      </c>
      <c r="G91" s="705">
        <f t="shared" si="7"/>
        <v>10.5</v>
      </c>
      <c r="H91" s="460">
        <f>G91+'19'!H91</f>
        <v>10.5</v>
      </c>
      <c r="I91" s="652"/>
      <c r="J91" s="707">
        <f>H91/DAY(B2)</f>
        <v>0.52500000000000002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'19'!F93</f>
        <v>249307</v>
      </c>
      <c r="F93" s="484">
        <v>249342</v>
      </c>
      <c r="G93" s="1330">
        <f t="shared" ref="G93:G94" si="8">F93-E93</f>
        <v>35</v>
      </c>
      <c r="H93" s="460">
        <f>G93+'19'!H93</f>
        <v>1990</v>
      </c>
      <c r="I93" s="480"/>
      <c r="J93" s="552">
        <f>H93/DAY(B2)</f>
        <v>99.5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'19'!F94</f>
        <v>191769</v>
      </c>
      <c r="F94" s="484">
        <v>191920</v>
      </c>
      <c r="G94" s="1330">
        <f t="shared" si="8"/>
        <v>151</v>
      </c>
      <c r="H94" s="460">
        <f>G94+'19'!H94</f>
        <v>2466</v>
      </c>
      <c r="I94" s="480"/>
      <c r="J94" s="552">
        <f>H94/DAY(B2)</f>
        <v>123.3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'19'!F95</f>
        <v>0</v>
      </c>
      <c r="F95" s="484"/>
      <c r="G95" s="1330">
        <f>G93+G94</f>
        <v>186</v>
      </c>
      <c r="H95" s="460">
        <f>G95+'19'!H95</f>
        <v>4270</v>
      </c>
      <c r="I95" s="480"/>
      <c r="J95" s="552">
        <f>H95/DAY(B2)</f>
        <v>213.5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'19'!F96</f>
        <v>417710</v>
      </c>
      <c r="F96" s="484">
        <v>417761</v>
      </c>
      <c r="G96" s="1330">
        <f t="shared" ref="G96:G101" si="9">F96-E96</f>
        <v>51</v>
      </c>
      <c r="H96" s="460">
        <f>G96+'19'!H96</f>
        <v>1762</v>
      </c>
      <c r="I96" s="480"/>
      <c r="J96" s="552">
        <f>H96/DAY(B2)</f>
        <v>88.1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'19'!F97</f>
        <v>103589</v>
      </c>
      <c r="F97" s="484">
        <v>103604</v>
      </c>
      <c r="G97" s="1330">
        <f t="shared" si="9"/>
        <v>15</v>
      </c>
      <c r="H97" s="460">
        <f>G97+'19'!H97</f>
        <v>441</v>
      </c>
      <c r="I97" s="480"/>
      <c r="J97" s="552">
        <f>H97/DAY(B2)</f>
        <v>22.05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'19'!F98</f>
        <v>99142</v>
      </c>
      <c r="F98" s="484">
        <v>99159</v>
      </c>
      <c r="G98" s="1330">
        <f t="shared" si="9"/>
        <v>17</v>
      </c>
      <c r="H98" s="460">
        <f>G98+'19'!H98</f>
        <v>502</v>
      </c>
      <c r="I98" s="480"/>
      <c r="J98" s="552">
        <f>H98/DAY(B2)</f>
        <v>25.1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'19'!F99</f>
        <v>150970</v>
      </c>
      <c r="F99" s="484">
        <v>150980</v>
      </c>
      <c r="G99" s="1330">
        <f t="shared" si="9"/>
        <v>10</v>
      </c>
      <c r="H99" s="460">
        <f>G99+'19'!H99</f>
        <v>575</v>
      </c>
      <c r="I99" s="480"/>
      <c r="J99" s="552">
        <f>H99/DAY(B2)</f>
        <v>28.75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'19'!F100</f>
        <v>8006</v>
      </c>
      <c r="F100" s="484">
        <v>8018</v>
      </c>
      <c r="G100" s="1330">
        <f t="shared" si="9"/>
        <v>12</v>
      </c>
      <c r="H100" s="460">
        <f>G100+'19'!H100</f>
        <v>221</v>
      </c>
      <c r="I100" s="480"/>
      <c r="J100" s="552">
        <f>H100/DAY(B2)</f>
        <v>11.05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'19'!F101</f>
        <v>5865</v>
      </c>
      <c r="F101" s="484">
        <v>5871</v>
      </c>
      <c r="G101" s="1330">
        <f t="shared" si="9"/>
        <v>6</v>
      </c>
      <c r="H101" s="460">
        <f>G101+'19'!H101</f>
        <v>197</v>
      </c>
      <c r="I101" s="480"/>
      <c r="J101" s="552">
        <f>H101/DAY(B2)</f>
        <v>9.85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111</v>
      </c>
      <c r="H102" s="460">
        <f>G102+'19'!H102</f>
        <v>3698</v>
      </c>
      <c r="I102" s="526"/>
      <c r="J102" s="552">
        <f>H102/DAY(B2)</f>
        <v>184.9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v>7637</v>
      </c>
      <c r="F105" s="532">
        <v>7637</v>
      </c>
      <c r="G105" s="1347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'19'!F106</f>
        <v>36352</v>
      </c>
      <c r="F106" s="534">
        <v>36352</v>
      </c>
      <c r="G106" s="1347">
        <f t="shared" ref="G106:G107" si="10">F106-E106</f>
        <v>0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'19'!F107</f>
        <v>19908</v>
      </c>
      <c r="F107" s="532">
        <v>19908</v>
      </c>
      <c r="G107" s="1347">
        <f t="shared" si="10"/>
        <v>0</v>
      </c>
      <c r="H107" s="460">
        <f>G107+'19'!H107</f>
        <v>125</v>
      </c>
      <c r="I107" s="532"/>
      <c r="J107" s="558">
        <f>H107/DAY(B2)</f>
        <v>6.25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'19'!F108</f>
        <v>0</v>
      </c>
      <c r="F108" s="532"/>
      <c r="G108" s="1347">
        <f>SUM(G105:G107)</f>
        <v>0</v>
      </c>
      <c r="H108" s="460">
        <f>G108+'19'!H108</f>
        <v>184</v>
      </c>
      <c r="I108" s="532"/>
      <c r="J108" s="558">
        <f>H108/DAY(B2)</f>
        <v>9.1999999999999993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'19'!F109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'19'!F110</f>
        <v>66236</v>
      </c>
      <c r="F110" s="532">
        <v>66302</v>
      </c>
      <c r="G110" s="1347">
        <f>F110-E110</f>
        <v>66</v>
      </c>
      <c r="H110" s="460">
        <f>G110+'19'!H110</f>
        <v>328.64000000001397</v>
      </c>
      <c r="I110" s="532"/>
      <c r="J110" s="558">
        <f>H110/DAY(B2)</f>
        <v>16.432000000000698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'19'!F111</f>
        <v>33681</v>
      </c>
      <c r="F111" s="532">
        <v>33714</v>
      </c>
      <c r="G111" s="1347">
        <f t="shared" ref="G111:G112" si="11">F111-E111</f>
        <v>33</v>
      </c>
      <c r="H111" s="460">
        <f>G111+'19'!H111</f>
        <v>109.89999999999418</v>
      </c>
      <c r="I111" s="532"/>
      <c r="J111" s="558">
        <f>H111/DAY(B2)</f>
        <v>5.4949999999997088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'19'!F112</f>
        <v>4622</v>
      </c>
      <c r="F112" s="532">
        <v>4622</v>
      </c>
      <c r="G112" s="1347">
        <f t="shared" si="11"/>
        <v>0</v>
      </c>
      <c r="H112" s="460">
        <f>G112+'19'!H112</f>
        <v>351</v>
      </c>
      <c r="I112" s="532"/>
      <c r="J112" s="558">
        <f>H112/DAY(B2)</f>
        <v>17.55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'19'!F113</f>
        <v>0</v>
      </c>
      <c r="F113" s="532"/>
      <c r="G113" s="1347">
        <f>SUM(G110:G112)</f>
        <v>99</v>
      </c>
      <c r="H113" s="460">
        <f>G113+'19'!H113</f>
        <v>1098</v>
      </c>
      <c r="I113" s="532"/>
      <c r="J113" s="558">
        <f>H113/DAY(B2)</f>
        <v>54.9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'19'!F114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'19'!F115</f>
        <v>12272</v>
      </c>
      <c r="F115" s="534">
        <v>12287</v>
      </c>
      <c r="G115" s="1348">
        <f>F115-E115</f>
        <v>15</v>
      </c>
      <c r="H115" s="460">
        <f>G115+'19'!H115</f>
        <v>45</v>
      </c>
      <c r="I115" s="532"/>
      <c r="J115" s="558">
        <f>H115/DAY(B2)</f>
        <v>2.25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'19'!F116</f>
        <v>8717</v>
      </c>
      <c r="F116" s="534">
        <v>8721</v>
      </c>
      <c r="G116" s="1348">
        <f t="shared" ref="G116:G117" si="12">F116-E116</f>
        <v>4</v>
      </c>
      <c r="H116" s="460">
        <f>G116+'19'!H116</f>
        <v>108</v>
      </c>
      <c r="I116" s="532"/>
      <c r="J116" s="558">
        <f>H116/DAY(B2)</f>
        <v>5.4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19</v>
      </c>
      <c r="H118" s="460">
        <f>G118+'19'!H118</f>
        <v>150</v>
      </c>
      <c r="I118" s="534"/>
      <c r="J118" s="558">
        <f>H118/DAY(B2)</f>
        <v>7.5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98</v>
      </c>
      <c r="G119" s="1348">
        <f>SUM(G19+G93)</f>
        <v>98</v>
      </c>
      <c r="H119" s="460">
        <f>G119+'19'!H119</f>
        <v>444</v>
      </c>
      <c r="I119" s="535"/>
      <c r="J119" s="559">
        <f>H119/DAY(B2)</f>
        <v>22.2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101</v>
      </c>
      <c r="G120" s="1348">
        <f>SUM(G96,G97,G98,G100,G101)</f>
        <v>101</v>
      </c>
      <c r="H120" s="460">
        <f>G120+'19'!H120</f>
        <v>459</v>
      </c>
      <c r="I120" s="535"/>
      <c r="J120" s="559">
        <f>H120/DAY(B2)</f>
        <v>22.95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99</v>
      </c>
      <c r="G121" s="1348">
        <f>SUM(G113)</f>
        <v>99</v>
      </c>
      <c r="H121" s="460">
        <f>G121+'19'!H121</f>
        <v>287</v>
      </c>
      <c r="I121" s="535"/>
      <c r="J121" s="559">
        <f>H121/DAY(B2)</f>
        <v>14.35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'19'!F124</f>
        <v>844847</v>
      </c>
      <c r="F124" s="478">
        <v>845107.45</v>
      </c>
      <c r="G124" s="1330">
        <f t="shared" ref="G124:G128" si="13">F124-E124</f>
        <v>260.44999999995343</v>
      </c>
      <c r="H124" s="460">
        <f>G124+'19'!H124</f>
        <v>5437.4499999999534</v>
      </c>
      <c r="I124" s="526"/>
      <c r="J124" s="552">
        <f>H124/DAY(B2)</f>
        <v>271.87249999999767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'19'!F125</f>
        <v>73583.399999999994</v>
      </c>
      <c r="F125" s="626">
        <v>73583.399999999994</v>
      </c>
      <c r="G125" s="1330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'19'!F126</f>
        <v>150362</v>
      </c>
      <c r="F126" s="478">
        <v>150443.23000000001</v>
      </c>
      <c r="G126" s="1330">
        <f t="shared" si="13"/>
        <v>81.230000000010477</v>
      </c>
      <c r="H126" s="460">
        <f>G126+'19'!H126</f>
        <v>1846.2300000000105</v>
      </c>
      <c r="I126" s="526"/>
      <c r="J126" s="552">
        <f>H126/DAY(B2)</f>
        <v>92.311500000000521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'19'!F127</f>
        <v>32802</v>
      </c>
      <c r="F127" s="626">
        <v>32839</v>
      </c>
      <c r="G127" s="1330">
        <f t="shared" si="13"/>
        <v>37</v>
      </c>
      <c r="H127" s="460">
        <f>G127+'19'!H127</f>
        <v>768</v>
      </c>
      <c r="I127" s="526"/>
      <c r="J127" s="552">
        <f>H127/DAY(B2)</f>
        <v>38.4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'19'!F128</f>
        <v>9085</v>
      </c>
      <c r="F128" s="626">
        <v>9086.7000000000007</v>
      </c>
      <c r="G128" s="1330">
        <f t="shared" si="13"/>
        <v>1.7000000000007276</v>
      </c>
      <c r="H128" s="460">
        <f>G128+'19'!H128</f>
        <v>74.700000000000728</v>
      </c>
      <c r="I128" s="480"/>
      <c r="J128" s="552">
        <f>H128/DAY(B2)</f>
        <v>3.7350000000000363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84.620000000035361</v>
      </c>
      <c r="H129" s="460">
        <f>G129+'19'!H129</f>
        <v>2008.1170000001785</v>
      </c>
      <c r="I129" s="480"/>
      <c r="J129" s="552">
        <f>H129/DAY(B2)</f>
        <v>100.40585000000893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'19'!F131</f>
        <v>0</v>
      </c>
      <c r="F131" s="484">
        <v>0</v>
      </c>
      <c r="G131" s="1330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'19'!F132</f>
        <v>0</v>
      </c>
      <c r="F132" s="484">
        <v>0</v>
      </c>
      <c r="G132" s="1330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'19'!F133</f>
        <v>40612</v>
      </c>
      <c r="F133" s="635">
        <v>40612.1</v>
      </c>
      <c r="G133" s="1464">
        <f t="shared" si="14"/>
        <v>9.9999999998544808E-2</v>
      </c>
      <c r="H133" s="460">
        <f>G133+'19'!H133</f>
        <v>159.09999999999854</v>
      </c>
      <c r="I133" s="480"/>
      <c r="J133" s="552">
        <f>H133/DAY(B2)</f>
        <v>7.9549999999999272</v>
      </c>
      <c r="N133" s="382">
        <f>G133-24</f>
        <v>-23.900000000001455</v>
      </c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'19'!F134</f>
        <v>414.42</v>
      </c>
      <c r="F134" s="635">
        <v>427.01</v>
      </c>
      <c r="G134" s="1465">
        <f t="shared" si="14"/>
        <v>12.589999999999975</v>
      </c>
      <c r="H134" s="705">
        <f>G134+'19'!H134</f>
        <v>127.00999999999999</v>
      </c>
      <c r="I134" s="1071">
        <f>G131+G132+G133+G134</f>
        <v>12.68999999999852</v>
      </c>
      <c r="J134" s="707">
        <f>H134/DAY(B2)</f>
        <v>6.3504999999999994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'19'!F135</f>
        <v>42281</v>
      </c>
      <c r="F135" s="635">
        <v>42304.14</v>
      </c>
      <c r="G135" s="1464">
        <f t="shared" si="14"/>
        <v>23.139999999999418</v>
      </c>
      <c r="H135" s="460">
        <f>G135+'19'!H135</f>
        <v>332.13999999999942</v>
      </c>
      <c r="I135" s="480"/>
      <c r="J135" s="552">
        <f>H135/DAY(B2)</f>
        <v>16.606999999999971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'19'!F136</f>
        <v>32874</v>
      </c>
      <c r="F136" s="541">
        <v>32874</v>
      </c>
      <c r="G136" s="1330">
        <f t="shared" si="14"/>
        <v>0</v>
      </c>
      <c r="H136" s="460">
        <f>G136+'19'!H136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'19'!F137</f>
        <v>23033</v>
      </c>
      <c r="F137" s="541">
        <v>23033.279999999999</v>
      </c>
      <c r="G137" s="1330">
        <f t="shared" si="14"/>
        <v>0.27999999999883585</v>
      </c>
      <c r="H137" s="460">
        <f>G137+'19'!H137</f>
        <v>141.78999999999724</v>
      </c>
      <c r="I137" s="480">
        <f>G135+G136+G137</f>
        <v>23.419999999998254</v>
      </c>
      <c r="J137" s="552">
        <f>H137/DAY(B2)</f>
        <v>7.0894999999998616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'19'!F138</f>
        <v>25099</v>
      </c>
      <c r="F138" s="541">
        <v>25099.16</v>
      </c>
      <c r="G138" s="1330">
        <f t="shared" si="14"/>
        <v>0.15999999999985448</v>
      </c>
      <c r="H138" s="460">
        <f>G138+'19'!H138</f>
        <v>7.7700000000004366</v>
      </c>
      <c r="I138" s="480"/>
      <c r="J138" s="552">
        <f>H138/DAY(B2)</f>
        <v>0.38850000000002183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'19'!F139</f>
        <v>70516.600000000006</v>
      </c>
      <c r="F139" s="541">
        <v>70516.600000000006</v>
      </c>
      <c r="G139" s="1330">
        <f t="shared" si="14"/>
        <v>0</v>
      </c>
      <c r="H139" s="460">
        <f>G139+'19'!H139</f>
        <v>2.9800000000104774</v>
      </c>
      <c r="I139" s="480">
        <f>G138+G139</f>
        <v>0.15999999999985448</v>
      </c>
      <c r="J139" s="552">
        <f>H139/DAY(B2)</f>
        <v>0.14900000000052388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'19'!F140</f>
        <v>2247.77</v>
      </c>
      <c r="F140" s="484">
        <v>2247.77</v>
      </c>
      <c r="G140" s="1330">
        <f t="shared" si="14"/>
        <v>0</v>
      </c>
      <c r="H140" s="460">
        <f>G140+'19'!H140</f>
        <v>118.59000000000015</v>
      </c>
      <c r="I140" s="542"/>
      <c r="J140" s="552">
        <f>H140/DAY(B2)</f>
        <v>5.9295000000000071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'19'!F141</f>
        <v>4705.5200000000004</v>
      </c>
      <c r="F141" s="484">
        <v>4714.67</v>
      </c>
      <c r="G141" s="1330">
        <f t="shared" si="14"/>
        <v>9.1499999999996362</v>
      </c>
      <c r="H141" s="460">
        <f>G141+'19'!H141</f>
        <v>77.670000000000073</v>
      </c>
      <c r="I141" s="542"/>
      <c r="J141" s="552">
        <f>H141/DAY(B2)</f>
        <v>3.8835000000000037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5283.9099999999744</v>
      </c>
      <c r="H143" s="460">
        <f>G143+'19'!H143</f>
        <v>111358.09000000003</v>
      </c>
      <c r="I143" s="480"/>
      <c r="J143" s="552">
        <f>H143/DAY(B2)</f>
        <v>5567.9045000000015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0.23889680603455152</v>
      </c>
      <c r="H144" s="460">
        <f>G144+'19'!H144</f>
        <v>5.0602460765233879</v>
      </c>
      <c r="I144" s="544"/>
      <c r="J144" s="552">
        <f>H144/DAY(B2)</f>
        <v>0.2530123038261694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7204.5400000000081</v>
      </c>
      <c r="H145" s="460">
        <f>G145+'19'!H145</f>
        <v>135435.65000000002</v>
      </c>
      <c r="I145" s="480"/>
      <c r="J145" s="552">
        <f>H145/DAY(B2)</f>
        <v>6771.7825000000012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0.32573257208169293</v>
      </c>
      <c r="H146" s="460">
        <f>G146+'19'!H146</f>
        <v>6.124033797180731</v>
      </c>
      <c r="I146" s="544"/>
      <c r="J146" s="552">
        <f>H146/DAY(B2)</f>
        <v>0.30620168985903656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3767.429999999993</v>
      </c>
      <c r="H147" s="460">
        <f>G147+'19'!H147</f>
        <v>73986.020000000019</v>
      </c>
      <c r="I147" s="545"/>
      <c r="J147" s="552">
        <f>H147/DAY(B2)</f>
        <v>3699.3010000000008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0.17033352081294972</v>
      </c>
      <c r="H148" s="460">
        <f>G148+'19'!H148</f>
        <v>3.3597742254482075</v>
      </c>
      <c r="I148" s="545"/>
      <c r="J148" s="552">
        <f>H148/DAY(B2)</f>
        <v>0.16798871127241038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1448.929999999993</v>
      </c>
      <c r="H149" s="460">
        <f>G149+'19'!H149</f>
        <v>32447.929999999993</v>
      </c>
      <c r="I149" s="480"/>
      <c r="J149" s="552">
        <f>H149/DAY(B2)</f>
        <v>1622.3964999999996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6.5509206093147448E-2</v>
      </c>
      <c r="H150" s="460">
        <f>G150+'19'!H150</f>
        <v>1.4701512468757736</v>
      </c>
      <c r="I150" s="545"/>
      <c r="J150" s="552">
        <f>H150/DAY(B2)</f>
        <v>7.3507562343788677E-2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2230.2699999999968</v>
      </c>
      <c r="H151" s="460">
        <f>G151+'19'!H151</f>
        <v>41826.269999999997</v>
      </c>
      <c r="I151" s="545"/>
      <c r="J151" s="552">
        <f>H151/DAY(B2)</f>
        <v>2091.3134999999997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0.10083524882041539</v>
      </c>
      <c r="H152" s="460">
        <f>G152+'19'!H152</f>
        <v>1.8868892218275242</v>
      </c>
      <c r="I152" s="480"/>
      <c r="J152" s="552">
        <f>H152/DAY(B2)</f>
        <v>9.4344461091376203E-2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1586.9700000000012</v>
      </c>
      <c r="H153" s="460">
        <f>G153+'19'!H153</f>
        <v>31655.97</v>
      </c>
      <c r="I153" s="480"/>
      <c r="J153" s="552">
        <f>H153/DAY(B2)</f>
        <v>1582.7985000000001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7.1750288001244222E-2</v>
      </c>
      <c r="H154" s="460">
        <f>G154+'19'!H154</f>
        <v>1.4350417813822032</v>
      </c>
      <c r="I154" s="568"/>
      <c r="J154" s="569">
        <f>H154/DAY(B2)</f>
        <v>7.1752089069110153E-2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'19'!F161</f>
        <v>42368</v>
      </c>
      <c r="F161" s="658">
        <v>42448.7</v>
      </c>
      <c r="G161" s="1330">
        <f t="shared" ref="G161:G164" si="15">F161-E161</f>
        <v>80.69999999999709</v>
      </c>
      <c r="K161" s="376">
        <v>70.399999999999636</v>
      </c>
      <c r="L161" s="376">
        <f t="shared" ref="L161:L172" si="16">G161-K161</f>
        <v>10.299999999997453</v>
      </c>
    </row>
    <row r="162" spans="1:12">
      <c r="A162" s="784" t="s">
        <v>263</v>
      </c>
      <c r="B162" s="785"/>
      <c r="C162" s="785"/>
      <c r="D162" s="511" t="s">
        <v>186</v>
      </c>
      <c r="E162" s="658">
        <f>'19'!F162</f>
        <v>116498</v>
      </c>
      <c r="F162" s="658">
        <v>116939.93</v>
      </c>
      <c r="G162" s="1330">
        <f t="shared" si="15"/>
        <v>441.92999999999302</v>
      </c>
      <c r="K162" s="376">
        <v>124.25999999999999</v>
      </c>
      <c r="L162" s="376">
        <f t="shared" si="16"/>
        <v>317.66999999999302</v>
      </c>
    </row>
    <row r="163" spans="1:12">
      <c r="A163" s="784" t="s">
        <v>264</v>
      </c>
      <c r="B163" s="785"/>
      <c r="C163" s="785"/>
      <c r="D163" s="511" t="s">
        <v>186</v>
      </c>
      <c r="E163" s="658">
        <f>'19'!F163</f>
        <v>65119</v>
      </c>
      <c r="F163" s="658">
        <v>65320.79</v>
      </c>
      <c r="G163" s="1330">
        <f t="shared" si="15"/>
        <v>201.79000000000087</v>
      </c>
      <c r="K163" s="376">
        <v>138.98000000000002</v>
      </c>
      <c r="L163" s="376">
        <f t="shared" si="16"/>
        <v>62.810000000000855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'19'!F164</f>
        <v>7034</v>
      </c>
      <c r="F164" s="658">
        <v>7041.24</v>
      </c>
      <c r="G164" s="1330">
        <f t="shared" si="15"/>
        <v>7.2399999999997817</v>
      </c>
      <c r="K164" s="376">
        <v>45.830000000000041</v>
      </c>
      <c r="L164" s="376">
        <f t="shared" si="16"/>
        <v>-38.590000000000259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0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18"/>
        <v>177441</v>
      </c>
      <c r="F167" s="514">
        <f t="shared" si="19"/>
        <v>177804.47</v>
      </c>
      <c r="G167" s="1330">
        <f t="shared" si="17"/>
        <v>363.47000000000116</v>
      </c>
      <c r="K167" s="376">
        <v>193.55000000000291</v>
      </c>
      <c r="L167" s="376">
        <f t="shared" si="16"/>
        <v>169.91999999999825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18"/>
        <v>177524</v>
      </c>
      <c r="F168" s="514">
        <f t="shared" si="19"/>
        <v>177910.09</v>
      </c>
      <c r="G168" s="1330">
        <f t="shared" si="17"/>
        <v>386.08999999999651</v>
      </c>
      <c r="K168" s="376">
        <v>168.39999999999418</v>
      </c>
      <c r="L168" s="376">
        <f t="shared" si="16"/>
        <v>217.69000000000233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18"/>
        <v>75789</v>
      </c>
      <c r="F169" s="514">
        <f t="shared" si="19"/>
        <v>76217.929999999993</v>
      </c>
      <c r="G169" s="1330">
        <f t="shared" si="17"/>
        <v>428.92999999999302</v>
      </c>
      <c r="K169" s="376">
        <v>221.18999999999505</v>
      </c>
      <c r="L169" s="376">
        <f t="shared" si="16"/>
        <v>207.73999999999796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18"/>
        <v>273925</v>
      </c>
      <c r="F170" s="514">
        <f t="shared" si="19"/>
        <v>274426.67</v>
      </c>
      <c r="G170" s="1330">
        <f t="shared" si="17"/>
        <v>501.6699999999837</v>
      </c>
      <c r="K170" s="376">
        <v>337.19000000000233</v>
      </c>
      <c r="L170" s="376">
        <f t="shared" si="16"/>
        <v>164.47999999998137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1330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18"/>
        <v>92641</v>
      </c>
      <c r="F172" s="514">
        <f t="shared" si="19"/>
        <v>92936.63</v>
      </c>
      <c r="G172" s="1330">
        <f t="shared" si="17"/>
        <v>295.63000000000466</v>
      </c>
      <c r="K172" s="376">
        <v>11.799999999999272</v>
      </c>
      <c r="L172" s="376">
        <f t="shared" si="16"/>
        <v>283.83000000000538</v>
      </c>
    </row>
    <row r="173" spans="1:12" ht="24.75" customHeight="1">
      <c r="G173" s="1463">
        <f>SUM(G161:G172)</f>
        <v>2707.4499999999698</v>
      </c>
      <c r="L173" s="376">
        <f>SUM(L161:L172)</f>
        <v>1280.9399999999764</v>
      </c>
    </row>
    <row r="174" spans="1:12" ht="24.75" customHeight="1">
      <c r="A174" s="1546" t="s">
        <v>350</v>
      </c>
      <c r="B174" s="1546"/>
      <c r="C174" s="1546"/>
      <c r="D174" s="523" t="s">
        <v>186</v>
      </c>
      <c r="E174" s="658">
        <f>'19'!F174</f>
        <v>19092</v>
      </c>
      <c r="F174" s="514">
        <v>19098</v>
      </c>
      <c r="G174" s="473">
        <f t="shared" ref="G174:G176" si="20">F174-E174</f>
        <v>6</v>
      </c>
    </row>
    <row r="175" spans="1:12" ht="24.75" customHeight="1">
      <c r="A175" s="1587" t="s">
        <v>350</v>
      </c>
      <c r="B175" s="1550"/>
      <c r="C175" s="785"/>
      <c r="D175" s="523" t="s">
        <v>186</v>
      </c>
      <c r="E175" s="658">
        <f>'19'!F175</f>
        <v>70456</v>
      </c>
      <c r="F175" s="1493">
        <v>70463</v>
      </c>
      <c r="G175" s="473">
        <f t="shared" si="20"/>
        <v>7</v>
      </c>
    </row>
    <row r="176" spans="1:12" ht="24.75" customHeight="1">
      <c r="A176" s="1587" t="s">
        <v>351</v>
      </c>
      <c r="B176" s="1550"/>
      <c r="C176" s="785"/>
      <c r="D176" s="523" t="s">
        <v>186</v>
      </c>
      <c r="E176" s="658">
        <f>'19'!F176</f>
        <v>27728</v>
      </c>
      <c r="F176" s="1493">
        <v>27733.7</v>
      </c>
      <c r="G176" s="473">
        <f t="shared" si="20"/>
        <v>5.7000000000007276</v>
      </c>
    </row>
    <row r="177" spans="1:15" ht="24.75" customHeight="1"/>
    <row r="178" spans="1:15">
      <c r="A178" s="1587"/>
      <c r="B178" s="1550"/>
      <c r="C178" s="785"/>
      <c r="D178" s="523"/>
      <c r="E178" s="532"/>
      <c r="F178" s="532"/>
      <c r="G178" s="473"/>
      <c r="N178" s="718"/>
      <c r="O178" s="723"/>
    </row>
    <row r="179" spans="1:15">
      <c r="A179" s="1587"/>
      <c r="B179" s="1550"/>
      <c r="C179" s="785"/>
      <c r="D179" s="523"/>
      <c r="E179" s="532"/>
      <c r="F179" s="532"/>
      <c r="G179" s="473"/>
      <c r="N179" s="718"/>
      <c r="O179" s="723"/>
    </row>
    <row r="180" spans="1:15">
      <c r="A180" s="1587"/>
      <c r="B180" s="1550"/>
      <c r="C180" s="785"/>
      <c r="D180" s="523"/>
      <c r="E180" s="532"/>
      <c r="F180" s="532"/>
      <c r="G180" s="473"/>
      <c r="N180" s="718"/>
      <c r="O180" s="723"/>
    </row>
    <row r="305" spans="6:6">
      <c r="F305" s="537" t="s">
        <v>267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  <row r="1691" spans="6:6">
      <c r="F1691" s="537">
        <v>0</v>
      </c>
    </row>
    <row r="1692" spans="6:6">
      <c r="F1692" s="537">
        <v>0</v>
      </c>
    </row>
    <row r="1693" spans="6:6">
      <c r="F1693" s="537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06" zoomScale="55" zoomScaleNormal="60" zoomScaleSheetLayoutView="55" zoomScalePageLayoutView="20" workbookViewId="0">
      <selection activeCell="F177" sqref="F1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361</v>
      </c>
      <c r="B2" s="1031">
        <v>44398</v>
      </c>
      <c r="C2" s="1141" t="s">
        <v>68</v>
      </c>
      <c r="D2" s="611">
        <v>0.66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363691.96</v>
      </c>
      <c r="F7" s="455">
        <v>384810.67</v>
      </c>
      <c r="G7" s="1330">
        <f>F7-E7</f>
        <v>21118.709999999963</v>
      </c>
      <c r="H7" s="460">
        <f>G7+'20'!H7</f>
        <v>462857.67000000004</v>
      </c>
      <c r="I7" s="474">
        <f>'1'!I7</f>
        <v>12000</v>
      </c>
      <c r="J7" s="552">
        <f>H7/DAY(B2)</f>
        <v>22040.841428571432</v>
      </c>
      <c r="K7" s="549">
        <v>12199</v>
      </c>
      <c r="L7" s="377">
        <f>G7-K7</f>
        <v>8919.7099999999627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370604.27</v>
      </c>
      <c r="F8" s="475">
        <v>391826.83</v>
      </c>
      <c r="G8" s="1331">
        <f>F8-E8</f>
        <v>21222.559999999998</v>
      </c>
      <c r="H8" s="460">
        <f>G8+'20'!H8</f>
        <v>465104.83</v>
      </c>
      <c r="I8" s="477">
        <f>'1'!I8</f>
        <v>12000</v>
      </c>
      <c r="J8" s="552">
        <f>H8/DAY(B2)</f>
        <v>22147.849047619049</v>
      </c>
      <c r="K8" s="549">
        <v>12262</v>
      </c>
      <c r="L8" s="425">
        <f>G8-K8</f>
        <v>8960.5599999999977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2460433.5</v>
      </c>
      <c r="F9" s="478">
        <v>2480880.9</v>
      </c>
      <c r="G9" s="1330">
        <f t="shared" ref="G9:G12" si="0">F9-E9</f>
        <v>20447.399999999907</v>
      </c>
      <c r="H9" s="460">
        <f>G9+'20'!H9</f>
        <v>449878.89999999991</v>
      </c>
      <c r="I9" s="479">
        <f>I8-J8</f>
        <v>-10147.849047619049</v>
      </c>
      <c r="J9" s="552">
        <f>H9/DAY(B2)</f>
        <v>21422.804761904757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2606.5500000000002</v>
      </c>
      <c r="F10" s="478">
        <v>2606.5500000000002</v>
      </c>
      <c r="G10" s="1330">
        <f t="shared" si="0"/>
        <v>0</v>
      </c>
      <c r="H10" s="460">
        <f>G10+'20'!H10</f>
        <v>0.29999999999972715</v>
      </c>
      <c r="I10" s="480"/>
      <c r="J10" s="552">
        <f>H10/DAY(B2)</f>
        <v>1.4285714285701292E-2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20447.399999999907</v>
      </c>
      <c r="H13" s="460">
        <f>G13+'20'!H13</f>
        <v>429552.1999999999</v>
      </c>
      <c r="I13" s="482">
        <f>G7-G13</f>
        <v>671.31000000005588</v>
      </c>
      <c r="J13" s="552">
        <f>H13/DAY(B2)</f>
        <v>20454.866666666661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'20'!F15</f>
        <v>1720191</v>
      </c>
      <c r="F15" s="700">
        <v>1721117.72</v>
      </c>
      <c r="G15" s="1334">
        <f>(F15-E15)</f>
        <v>926.71999999997206</v>
      </c>
      <c r="H15" s="460">
        <f>G15+'20'!H15</f>
        <v>17434.719999999972</v>
      </c>
      <c r="I15" s="474">
        <v>800</v>
      </c>
      <c r="J15" s="552">
        <f>H15/DAY(B2)</f>
        <v>830.22476190476061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-30.224761904760612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'20'!F18</f>
        <v>8</v>
      </c>
      <c r="F18" s="484">
        <v>10</v>
      </c>
      <c r="G18" s="1332">
        <f>F18*10</f>
        <v>100</v>
      </c>
      <c r="H18" s="460">
        <f>G18+'20'!H18</f>
        <v>2820</v>
      </c>
      <c r="I18" s="474">
        <f>'1'!I18</f>
        <v>65</v>
      </c>
      <c r="J18" s="552">
        <f>H18/DAY(B2)</f>
        <v>134.28571428571428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'20'!F19</f>
        <v>142667</v>
      </c>
      <c r="F19" s="484">
        <v>142742</v>
      </c>
      <c r="G19" s="1330">
        <f t="shared" ref="G19" si="1">F19-E19</f>
        <v>75</v>
      </c>
      <c r="H19" s="460">
        <f>G19+'20'!H19</f>
        <v>1247</v>
      </c>
      <c r="I19" s="489"/>
      <c r="J19" s="552">
        <f>H19/DAY(B2)</f>
        <v>59.38095238095238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175</v>
      </c>
      <c r="H20" s="460">
        <f>G20+'20'!H20</f>
        <v>4067</v>
      </c>
      <c r="I20" s="492">
        <f>I18-J20</f>
        <v>-128.66666666666666</v>
      </c>
      <c r="J20" s="552">
        <f>H20/DAY(B2)</f>
        <v>193.66666666666666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21222.559999999998</v>
      </c>
      <c r="F27" s="501">
        <v>9</v>
      </c>
      <c r="G27" s="1338">
        <f>E27*F27</f>
        <v>191003.03999999998</v>
      </c>
      <c r="H27" s="460">
        <f>G27+'20'!H27</f>
        <v>4185945.3600000003</v>
      </c>
      <c r="I27" s="503"/>
      <c r="J27" s="552">
        <f>H27/DAY(B2)</f>
        <v>199330.73142857145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926.71999999997206</v>
      </c>
      <c r="F28" s="501">
        <v>52</v>
      </c>
      <c r="G28" s="1338">
        <f t="shared" ref="G28:G30" si="3">E28*F28</f>
        <v>48189.439999998547</v>
      </c>
      <c r="H28" s="460">
        <f>G28+'20'!H28</f>
        <v>906605.43999999855</v>
      </c>
      <c r="I28" s="505"/>
      <c r="J28" s="552">
        <f>H28/DAY(B2)</f>
        <v>43171.687619047552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75</v>
      </c>
      <c r="F30" s="501">
        <v>146</v>
      </c>
      <c r="G30" s="1338">
        <f t="shared" si="3"/>
        <v>10950</v>
      </c>
      <c r="H30" s="460">
        <f>G30+'20'!H30</f>
        <v>181478</v>
      </c>
      <c r="I30" s="505"/>
      <c r="J30" s="552">
        <f>H30/DAY(B2)</f>
        <v>8641.8095238095229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1338">
        <f>E31*F31</f>
        <v>8000</v>
      </c>
      <c r="H31" s="460">
        <f>G31+'20'!H31</f>
        <v>220000</v>
      </c>
      <c r="I31" s="505"/>
      <c r="J31" s="552">
        <f>H31/DAY(B2)</f>
        <v>10476.190476190477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258142.47999999853</v>
      </c>
      <c r="H32" s="460">
        <f>G32+'20'!H32</f>
        <v>5494028.7999999989</v>
      </c>
      <c r="I32" s="509"/>
      <c r="J32" s="552">
        <f>H32/DAY(B2)</f>
        <v>261620.41904761898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1058597</v>
      </c>
      <c r="F35" s="510">
        <v>1058597</v>
      </c>
      <c r="G35" s="1330">
        <f t="shared" ref="G35:G46" si="4">F35-E35</f>
        <v>0</v>
      </c>
      <c r="H35" s="460">
        <f>G35+'20'!H35</f>
        <v>29883</v>
      </c>
      <c r="I35" s="455"/>
      <c r="J35" s="552">
        <f>H35/DAY(B2)</f>
        <v>1423</v>
      </c>
      <c r="K35" s="428">
        <v>1520.2800000000279</v>
      </c>
      <c r="L35" s="377">
        <f t="shared" ref="L35:L60" si="5">G35-K35</f>
        <v>-1520.2800000000279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38264.519999999997</v>
      </c>
      <c r="F36" s="510">
        <v>39023.919999999998</v>
      </c>
      <c r="G36" s="1330">
        <f t="shared" si="4"/>
        <v>759.40000000000146</v>
      </c>
      <c r="H36" s="460">
        <f>G36+'20'!H36</f>
        <v>18562.919999999998</v>
      </c>
      <c r="I36" s="455"/>
      <c r="J36" s="552">
        <f>H36/DAY(B2)</f>
        <v>883.94857142857131</v>
      </c>
      <c r="K36" s="428">
        <v>485.22000000000116</v>
      </c>
      <c r="L36" s="377">
        <f t="shared" si="5"/>
        <v>274.18000000000029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208225.97</v>
      </c>
      <c r="F37" s="510">
        <v>209828.89</v>
      </c>
      <c r="G37" s="1330">
        <f t="shared" si="4"/>
        <v>1602.9200000000128</v>
      </c>
      <c r="H37" s="460">
        <f>G37+'20'!H37</f>
        <v>33258.890000000014</v>
      </c>
      <c r="I37" s="455"/>
      <c r="J37" s="552">
        <f>H37/DAY(B2)</f>
        <v>1583.7566666666673</v>
      </c>
      <c r="K37" s="428">
        <v>1194.8999999999942</v>
      </c>
      <c r="L37" s="377">
        <f t="shared" si="5"/>
        <v>408.02000000001863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230906.93</v>
      </c>
      <c r="F38" s="469">
        <v>232484.91</v>
      </c>
      <c r="G38" s="1330">
        <f t="shared" si="4"/>
        <v>1577.9800000000105</v>
      </c>
      <c r="H38" s="460">
        <f>G38+'20'!H38</f>
        <v>34025.910000000003</v>
      </c>
      <c r="I38" s="455"/>
      <c r="J38" s="552">
        <f>H38/DAY(B2)</f>
        <v>1620.2814285714287</v>
      </c>
      <c r="K38" s="428">
        <v>0</v>
      </c>
      <c r="L38" s="377">
        <f t="shared" si="5"/>
        <v>1577.9800000000105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478850.43</v>
      </c>
      <c r="F39" s="510">
        <v>482591.95</v>
      </c>
      <c r="G39" s="1330">
        <f t="shared" si="4"/>
        <v>3741.5200000000186</v>
      </c>
      <c r="H39" s="460">
        <f>G39+'20'!H39</f>
        <v>77727.950000000012</v>
      </c>
      <c r="I39" s="455"/>
      <c r="J39" s="552">
        <f>H39/DAY(B2)</f>
        <v>3701.330952380953</v>
      </c>
      <c r="K39" s="428">
        <v>2147.359999999986</v>
      </c>
      <c r="L39" s="377">
        <f t="shared" si="5"/>
        <v>1594.1600000000326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15145.89</v>
      </c>
      <c r="F40" s="510">
        <v>15413.4</v>
      </c>
      <c r="G40" s="1330">
        <f t="shared" si="4"/>
        <v>267.51000000000022</v>
      </c>
      <c r="H40" s="460">
        <f>G40+'20'!H40</f>
        <v>8300.4</v>
      </c>
      <c r="I40" s="455"/>
      <c r="J40" s="552">
        <f>H40/DAY(B2)</f>
        <v>395.25714285714287</v>
      </c>
      <c r="K40" s="429">
        <v>0</v>
      </c>
      <c r="L40" s="377">
        <f t="shared" si="5"/>
        <v>267.51000000000022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365502.35</v>
      </c>
      <c r="F41" s="510">
        <v>365502.35</v>
      </c>
      <c r="G41" s="1330">
        <f t="shared" si="4"/>
        <v>0</v>
      </c>
      <c r="H41" s="460">
        <f>G41+'20'!H41</f>
        <v>35860.349999999977</v>
      </c>
      <c r="I41" s="455"/>
      <c r="J41" s="552">
        <f>H41/DAY(B2)</f>
        <v>1707.6357142857132</v>
      </c>
      <c r="K41" s="428">
        <v>0</v>
      </c>
      <c r="L41" s="377">
        <f t="shared" si="5"/>
        <v>0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85160.57</v>
      </c>
      <c r="F42" s="510">
        <v>89172.1</v>
      </c>
      <c r="G42" s="1330">
        <f t="shared" si="4"/>
        <v>4011.5299999999988</v>
      </c>
      <c r="H42" s="460">
        <f>G42+'20'!H42</f>
        <v>29973.210000000006</v>
      </c>
      <c r="I42" s="455"/>
      <c r="J42" s="552">
        <f>H42/DAY(B2)</f>
        <v>1427.2957142857147</v>
      </c>
      <c r="K42" s="428">
        <v>3228.5699999999997</v>
      </c>
      <c r="L42" s="377">
        <f t="shared" si="5"/>
        <v>782.95999999999913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1174494.7</v>
      </c>
      <c r="F43" s="510">
        <v>1177047.3</v>
      </c>
      <c r="G43" s="1330">
        <f t="shared" si="4"/>
        <v>2552.6000000000931</v>
      </c>
      <c r="H43" s="460">
        <f>G43+'20'!H43</f>
        <v>56595.300000000047</v>
      </c>
      <c r="I43" s="455"/>
      <c r="J43" s="552">
        <f>H43/DAY(B2)</f>
        <v>2695.0142857142878</v>
      </c>
      <c r="K43" s="428">
        <v>1595.679999999993</v>
      </c>
      <c r="L43" s="377">
        <f t="shared" si="5"/>
        <v>956.92000000010012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614</v>
      </c>
      <c r="F45" s="510">
        <v>614</v>
      </c>
      <c r="G45" s="133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187</v>
      </c>
      <c r="F46" s="510">
        <v>187</v>
      </c>
      <c r="G46" s="1330">
        <f t="shared" si="4"/>
        <v>0</v>
      </c>
      <c r="H46" s="460">
        <f>G46+'20'!H46</f>
        <v>-0.49000000000000909</v>
      </c>
      <c r="I46" s="455"/>
      <c r="J46" s="552">
        <f>H46/DAY(B2)</f>
        <v>-2.3333333333333768E-2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14513.460000000136</v>
      </c>
      <c r="H47" s="460">
        <f>G47+'20'!H47</f>
        <v>324988.93000000005</v>
      </c>
      <c r="I47" s="455"/>
      <c r="J47" s="552">
        <f>H47/DAY(B2)</f>
        <v>15475.663333333336</v>
      </c>
      <c r="K47" s="428">
        <v>10172.060000000001</v>
      </c>
      <c r="L47" s="377">
        <f t="shared" si="5"/>
        <v>4341.4000000001342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291183.21000000002</v>
      </c>
      <c r="F49" s="510">
        <v>294020.75</v>
      </c>
      <c r="G49" s="1330">
        <f t="shared" ref="G49:G58" si="6">F49-E49</f>
        <v>2837.539999999979</v>
      </c>
      <c r="H49" s="460">
        <f>G49+'20'!H49</f>
        <v>33256.75</v>
      </c>
      <c r="I49" s="455"/>
      <c r="J49" s="552">
        <f>H49/DAY(B2)</f>
        <v>1583.6547619047619</v>
      </c>
      <c r="K49" s="428">
        <v>0</v>
      </c>
      <c r="L49" s="377">
        <f t="shared" si="5"/>
        <v>2837.539999999979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558685.75</v>
      </c>
      <c r="F50" s="510">
        <v>559700.67000000004</v>
      </c>
      <c r="G50" s="1330">
        <f>F50-E50</f>
        <v>1014.9200000000419</v>
      </c>
      <c r="H50" s="460">
        <f>G50+'20'!H50</f>
        <v>23944.670000000042</v>
      </c>
      <c r="I50" s="455"/>
      <c r="J50" s="552">
        <f>H50/DAY(B2)</f>
        <v>1140.222380952383</v>
      </c>
      <c r="K50" s="428">
        <v>700.86999999999534</v>
      </c>
      <c r="L50" s="377">
        <f t="shared" si="5"/>
        <v>314.05000000004657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144640</v>
      </c>
      <c r="F51" s="510">
        <v>144640</v>
      </c>
      <c r="G51" s="1330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</v>
      </c>
      <c r="F52" s="510">
        <v>539606.06999999995</v>
      </c>
      <c r="G52" s="1330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0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</v>
      </c>
      <c r="F54" s="510">
        <v>14967</v>
      </c>
      <c r="G54" s="1330">
        <f t="shared" si="6"/>
        <v>0</v>
      </c>
      <c r="H54" s="460">
        <f>G54+'20'!H54</f>
        <v>0</v>
      </c>
      <c r="I54" s="455"/>
      <c r="J54" s="552">
        <f>H54/DAY(B2)</f>
        <v>0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191040.47</v>
      </c>
      <c r="F55" s="510">
        <v>193307.01</v>
      </c>
      <c r="G55" s="1330">
        <f t="shared" si="6"/>
        <v>2266.5400000000081</v>
      </c>
      <c r="H55" s="460">
        <f>G55+'20'!H55</f>
        <v>70097.010000000009</v>
      </c>
      <c r="I55" s="455"/>
      <c r="J55" s="552">
        <f>H55/DAY(B2)</f>
        <v>3337.9528571428577</v>
      </c>
      <c r="K55" s="428">
        <v>0</v>
      </c>
      <c r="L55" s="377">
        <f t="shared" si="5"/>
        <v>2266.5400000000081</v>
      </c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'20'!F56</f>
        <v>649241.15</v>
      </c>
      <c r="F56" s="653">
        <v>649252.18999999994</v>
      </c>
      <c r="G56" s="1351">
        <f t="shared" si="6"/>
        <v>11.039999999920838</v>
      </c>
      <c r="H56" s="705">
        <f>G56+'20'!H56</f>
        <v>210.18999999994412</v>
      </c>
      <c r="I56" s="706"/>
      <c r="J56" s="707">
        <f>H56/DAY(B2)</f>
        <v>10.009047619044958</v>
      </c>
      <c r="K56" s="1356">
        <v>0</v>
      </c>
      <c r="L56" s="1105">
        <f t="shared" si="5"/>
        <v>11.039999999920838</v>
      </c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57425.74</v>
      </c>
      <c r="F58" s="510">
        <v>57648.63</v>
      </c>
      <c r="G58" s="1330">
        <f t="shared" si="6"/>
        <v>222.88999999999942</v>
      </c>
      <c r="H58" s="460">
        <f>G58+'20'!H58</f>
        <v>3468.6299999999974</v>
      </c>
      <c r="I58" s="455"/>
      <c r="J58" s="552">
        <f>H58/DAY(B2)</f>
        <v>165.17285714285703</v>
      </c>
      <c r="K58" s="428">
        <v>0</v>
      </c>
      <c r="L58" s="377">
        <f t="shared" si="5"/>
        <v>222.88999999999942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6352.9999999998981</v>
      </c>
      <c r="H59" s="460">
        <f>G59+'20'!H59</f>
        <v>130976.57999999994</v>
      </c>
      <c r="I59" s="455">
        <f>G7-G60</f>
        <v>252.24999999992724</v>
      </c>
      <c r="J59" s="552">
        <f>H59/DAY(B2)</f>
        <v>6236.9799999999977</v>
      </c>
      <c r="K59" s="428">
        <v>1794.4499999999771</v>
      </c>
      <c r="L59" s="377">
        <f t="shared" si="5"/>
        <v>4558.5499999999211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20866.460000000036</v>
      </c>
      <c r="H60" s="460">
        <f>G60+'20'!H60</f>
        <v>462868.84</v>
      </c>
      <c r="I60" s="455">
        <f>G13-G60</f>
        <v>-419.06000000012864</v>
      </c>
      <c r="J60" s="552">
        <f>H60/DAY(B2)</f>
        <v>22041.373333333333</v>
      </c>
      <c r="K60" s="428">
        <v>11966.509999999978</v>
      </c>
      <c r="L60" s="377">
        <f t="shared" si="5"/>
        <v>8899.9500000000571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0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0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'20'!F64</f>
        <v>177804.47</v>
      </c>
      <c r="F64" s="484">
        <v>178152.49</v>
      </c>
      <c r="G64" s="1330">
        <f t="shared" si="7"/>
        <v>348.01999999998952</v>
      </c>
      <c r="H64" s="460">
        <f>G64+'20'!H64</f>
        <v>8130.4899999999907</v>
      </c>
      <c r="I64" s="480"/>
      <c r="J64" s="552">
        <f>H64/DAY(B2)</f>
        <v>387.16619047619002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'20'!F65</f>
        <v>177910.09</v>
      </c>
      <c r="F65" s="484">
        <v>178292.59</v>
      </c>
      <c r="G65" s="1330">
        <f t="shared" si="7"/>
        <v>382.5</v>
      </c>
      <c r="H65" s="460">
        <f>G65+'20'!H65</f>
        <v>7990.5899999999965</v>
      </c>
      <c r="I65" s="489"/>
      <c r="J65" s="552">
        <f>H65/DAY(B2)</f>
        <v>380.50428571428557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'20'!F66</f>
        <v>76217.929999999993</v>
      </c>
      <c r="F66" s="484">
        <v>76625.75</v>
      </c>
      <c r="G66" s="1330">
        <f t="shared" si="7"/>
        <v>407.82000000000698</v>
      </c>
      <c r="H66" s="460">
        <f>G66+'20'!H66</f>
        <v>8655.75</v>
      </c>
      <c r="I66" s="480"/>
      <c r="J66" s="552">
        <f>H66/DAY(B2)</f>
        <v>412.17857142857144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'20'!F67</f>
        <v>274426.67</v>
      </c>
      <c r="F67" s="484">
        <v>274928.11</v>
      </c>
      <c r="G67" s="1330">
        <f t="shared" si="7"/>
        <v>501.44000000000233</v>
      </c>
      <c r="H67" s="460">
        <f>G67+'20'!H67</f>
        <v>9969.109999999986</v>
      </c>
      <c r="I67" s="489"/>
      <c r="J67" s="552">
        <f>H67/DAY(B2)</f>
        <v>474.71952380952314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'20'!F68</f>
        <v>85321</v>
      </c>
      <c r="F68" s="484">
        <v>85321</v>
      </c>
      <c r="G68" s="1330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'20'!F69</f>
        <v>92936.63</v>
      </c>
      <c r="F69" s="484">
        <v>93221.18</v>
      </c>
      <c r="G69" s="1330">
        <f t="shared" si="7"/>
        <v>284.54999999998836</v>
      </c>
      <c r="H69" s="460">
        <f>G69+'20'!H69</f>
        <v>5706.179999999993</v>
      </c>
      <c r="I69" s="516"/>
      <c r="J69" s="552">
        <f>H69/DAY(B2)</f>
        <v>271.72285714285681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'20'!F72</f>
        <v>856472</v>
      </c>
      <c r="F72" s="519">
        <v>856485</v>
      </c>
      <c r="G72" s="1330">
        <f t="shared" ref="G72:G84" si="8">F72-E72</f>
        <v>13</v>
      </c>
      <c r="H72" s="460">
        <f>G72+'20'!H72</f>
        <v>250</v>
      </c>
      <c r="I72" s="480"/>
      <c r="J72" s="552">
        <f>H72/DAY(B2)</f>
        <v>11.904761904761905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'20'!F73</f>
        <v>886000</v>
      </c>
      <c r="F73" s="520">
        <v>886001</v>
      </c>
      <c r="G73" s="1330">
        <f t="shared" si="8"/>
        <v>1</v>
      </c>
      <c r="H73" s="460">
        <f>G73+'20'!H73</f>
        <v>167</v>
      </c>
      <c r="I73" s="480"/>
      <c r="J73" s="552">
        <f>H73/DAY(B2)</f>
        <v>7.9523809523809526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'20'!F74</f>
        <v>88719.3</v>
      </c>
      <c r="F74" s="521">
        <v>88720.6</v>
      </c>
      <c r="G74" s="1330">
        <f t="shared" si="8"/>
        <v>1.3000000000029104</v>
      </c>
      <c r="H74" s="460">
        <f>G74+'20'!H74</f>
        <v>58.600000000005821</v>
      </c>
      <c r="I74" s="480"/>
      <c r="J74" s="552">
        <f>H74/DAY(B2)</f>
        <v>2.7904761904764674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'20'!F75</f>
        <v>19191.63</v>
      </c>
      <c r="F75" s="521">
        <v>19344.88</v>
      </c>
      <c r="G75" s="1330">
        <f t="shared" si="8"/>
        <v>153.25</v>
      </c>
      <c r="H75" s="460">
        <f>G75+'20'!H75</f>
        <v>3273.880000000001</v>
      </c>
      <c r="I75" s="480"/>
      <c r="J75" s="552">
        <f>H75/DAY(B2)</f>
        <v>155.89904761904768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'20'!F76</f>
        <v>10640.9</v>
      </c>
      <c r="F76" s="646">
        <v>10710.35</v>
      </c>
      <c r="G76" s="1330">
        <f t="shared" si="8"/>
        <v>69.450000000000728</v>
      </c>
      <c r="H76" s="460">
        <f>G76+'20'!H76</f>
        <v>2491.3500000000004</v>
      </c>
      <c r="I76" s="505"/>
      <c r="J76" s="552">
        <f>H76/DAY(B2)</f>
        <v>118.6357142857143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'20'!F77</f>
        <v>705626</v>
      </c>
      <c r="F77" s="521">
        <v>705719</v>
      </c>
      <c r="G77" s="1330">
        <f t="shared" si="8"/>
        <v>93</v>
      </c>
      <c r="H77" s="460">
        <f>G77+'20'!H77</f>
        <v>1345</v>
      </c>
      <c r="I77" s="505"/>
      <c r="J77" s="552">
        <f>H77/DAY(B2)</f>
        <v>64.047619047619051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'20'!F78</f>
        <v>677372</v>
      </c>
      <c r="F78" s="521">
        <v>677498</v>
      </c>
      <c r="G78" s="1330">
        <f t="shared" si="8"/>
        <v>126</v>
      </c>
      <c r="H78" s="460">
        <f>G78+'20'!H78</f>
        <v>2084</v>
      </c>
      <c r="I78" s="505"/>
      <c r="J78" s="552">
        <f>H78/DAY(B2)</f>
        <v>99.238095238095241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'20'!F79</f>
        <v>838574</v>
      </c>
      <c r="F79" s="521">
        <v>838729</v>
      </c>
      <c r="G79" s="1330">
        <f t="shared" si="8"/>
        <v>155</v>
      </c>
      <c r="H79" s="460">
        <f>G79+'20'!H79</f>
        <v>2575</v>
      </c>
      <c r="I79" s="505"/>
      <c r="J79" s="552">
        <f>H79/DAY(B2)</f>
        <v>122.61904761904762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'20'!F80</f>
        <v>547596.28</v>
      </c>
      <c r="F80" s="520">
        <v>548018</v>
      </c>
      <c r="G80" s="1330">
        <f t="shared" si="8"/>
        <v>421.71999999997206</v>
      </c>
      <c r="H80" s="460">
        <f>G80+'20'!H80</f>
        <v>5627</v>
      </c>
      <c r="I80" s="505"/>
      <c r="J80" s="552">
        <f>H80/DAY(B2)</f>
        <v>267.95238095238096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'20'!F81</f>
        <v>646912.04</v>
      </c>
      <c r="F81" s="520">
        <v>647097</v>
      </c>
      <c r="G81" s="1330">
        <f t="shared" si="8"/>
        <v>184.95999999996275</v>
      </c>
      <c r="H81" s="460">
        <f>G81+'20'!H81</f>
        <v>4112</v>
      </c>
      <c r="I81" s="505"/>
      <c r="J81" s="552">
        <f>H81/DAY(B2)</f>
        <v>195.8095238095238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'20'!F82</f>
        <v>109102.07</v>
      </c>
      <c r="F82" s="522">
        <v>109128.52</v>
      </c>
      <c r="G82" s="1330">
        <f t="shared" si="8"/>
        <v>26.44999999999709</v>
      </c>
      <c r="H82" s="460">
        <f>G82+'20'!H82</f>
        <v>447.52000000000407</v>
      </c>
      <c r="I82" s="486"/>
      <c r="J82" s="552">
        <f>H82/DAY(B2)</f>
        <v>21.310476190476386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'20'!F83</f>
        <v>32328</v>
      </c>
      <c r="F83" s="511">
        <v>32534</v>
      </c>
      <c r="G83" s="1330">
        <f t="shared" si="8"/>
        <v>206</v>
      </c>
      <c r="H83" s="460">
        <f>G83+'20'!H83</f>
        <v>4983</v>
      </c>
      <c r="I83" s="481"/>
      <c r="J83" s="552">
        <f>H83/DAY(B2)</f>
        <v>237.28571428571428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'20'!F84</f>
        <v>538863</v>
      </c>
      <c r="F84" s="627">
        <v>539560</v>
      </c>
      <c r="G84" s="1330">
        <f t="shared" si="8"/>
        <v>697</v>
      </c>
      <c r="H84" s="460">
        <f>G84+'20'!H84</f>
        <v>16480</v>
      </c>
      <c r="I84" s="481"/>
      <c r="J84" s="552">
        <f>H84/DAY(B2)</f>
        <v>784.76190476190482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2148.1299999999355</v>
      </c>
      <c r="H85" s="460">
        <f>G85+'20'!H85</f>
        <v>46768.350000000006</v>
      </c>
      <c r="I85" s="481"/>
      <c r="J85" s="552">
        <f>H85/DAY(B2)</f>
        <v>2227.0642857142861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'20'!F86</f>
        <v>462278.36</v>
      </c>
      <c r="F86" s="647">
        <v>462300.52</v>
      </c>
      <c r="G86" s="1344">
        <f t="shared" ref="G86:G91" si="9">F86-E86</f>
        <v>22.160000000032596</v>
      </c>
      <c r="H86" s="460">
        <f>G86+'20'!H86</f>
        <v>70.679999999993015</v>
      </c>
      <c r="I86" s="652"/>
      <c r="J86" s="707">
        <f>H86/DAY(B2)</f>
        <v>3.365714285713953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'20'!F87</f>
        <v>82621</v>
      </c>
      <c r="F87" s="647">
        <v>82655.8</v>
      </c>
      <c r="G87" s="1344">
        <f t="shared" si="9"/>
        <v>34.80000000000291</v>
      </c>
      <c r="H87" s="460">
        <f>G87+'20'!H87</f>
        <v>112.80000000000291</v>
      </c>
      <c r="I87" s="652"/>
      <c r="J87" s="707">
        <f>H87/DAY(B2)</f>
        <v>5.3714285714287104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'20'!F88</f>
        <v>157615.46</v>
      </c>
      <c r="F88" s="647">
        <v>157718.82999999999</v>
      </c>
      <c r="G88" s="1344">
        <f t="shared" si="9"/>
        <v>103.36999999999534</v>
      </c>
      <c r="H88" s="460">
        <f>G88+'20'!H88</f>
        <v>473.10999999998603</v>
      </c>
      <c r="I88" s="652"/>
      <c r="J88" s="707">
        <f>H88/DAY(B2)</f>
        <v>22.529047619046953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'20'!F89</f>
        <v>66650</v>
      </c>
      <c r="F89" s="647">
        <v>66668.5</v>
      </c>
      <c r="G89" s="1344">
        <f t="shared" si="9"/>
        <v>18.5</v>
      </c>
      <c r="H89" s="460">
        <f>G89+'20'!H89</f>
        <v>107.69999999999709</v>
      </c>
      <c r="I89" s="652"/>
      <c r="J89" s="707">
        <f>H89/DAY(B2)</f>
        <v>5.1285714285712896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'20'!F90</f>
        <v>3413</v>
      </c>
      <c r="F90" s="647">
        <v>3416</v>
      </c>
      <c r="G90" s="1344">
        <f t="shared" si="9"/>
        <v>3</v>
      </c>
      <c r="H90" s="460">
        <f>G90+'20'!H90</f>
        <v>8</v>
      </c>
      <c r="I90" s="652"/>
      <c r="J90" s="707">
        <f>H90/DAY(B2)</f>
        <v>0.38095238095238093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'20'!F91</f>
        <v>28413.5</v>
      </c>
      <c r="F91" s="647">
        <v>28422.5</v>
      </c>
      <c r="G91" s="705">
        <f t="shared" si="9"/>
        <v>9</v>
      </c>
      <c r="H91" s="460">
        <f>G91+'20'!H91</f>
        <v>19.5</v>
      </c>
      <c r="I91" s="652"/>
      <c r="J91" s="707">
        <f>H91/DAY(B2)</f>
        <v>0.9285714285714286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'20'!F93</f>
        <v>249342</v>
      </c>
      <c r="F93" s="484">
        <v>249421</v>
      </c>
      <c r="G93" s="1330">
        <f t="shared" ref="G93:G94" si="10">F93-E93</f>
        <v>79</v>
      </c>
      <c r="H93" s="460">
        <f>G93+'20'!H93</f>
        <v>2069</v>
      </c>
      <c r="I93" s="480"/>
      <c r="J93" s="552">
        <f>H93/DAY(B2)</f>
        <v>98.523809523809518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'20'!F94</f>
        <v>191920</v>
      </c>
      <c r="F94" s="484">
        <v>192038</v>
      </c>
      <c r="G94" s="1330">
        <f t="shared" si="10"/>
        <v>118</v>
      </c>
      <c r="H94" s="460">
        <f>G94+'20'!H94</f>
        <v>2584</v>
      </c>
      <c r="I94" s="480"/>
      <c r="J94" s="552">
        <f>H94/DAY(B2)</f>
        <v>123.04761904761905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v>0</v>
      </c>
      <c r="F95" s="484">
        <v>0</v>
      </c>
      <c r="G95" s="1330">
        <f>G93+G94</f>
        <v>197</v>
      </c>
      <c r="H95" s="460">
        <f>G95+'20'!H95</f>
        <v>4467</v>
      </c>
      <c r="I95" s="480"/>
      <c r="J95" s="552">
        <f>H95/DAY(B2)</f>
        <v>212.71428571428572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'20'!F96</f>
        <v>417761</v>
      </c>
      <c r="F96" s="484">
        <v>417840</v>
      </c>
      <c r="G96" s="1330">
        <f t="shared" ref="G96:G101" si="11">F96-E96</f>
        <v>79</v>
      </c>
      <c r="H96" s="460">
        <f>G96+'20'!H96</f>
        <v>1841</v>
      </c>
      <c r="I96" s="480"/>
      <c r="J96" s="552">
        <f>H96/DAY(B2)</f>
        <v>87.666666666666671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'20'!F97</f>
        <v>103604</v>
      </c>
      <c r="F97" s="484">
        <v>103622</v>
      </c>
      <c r="G97" s="1330">
        <f t="shared" si="11"/>
        <v>18</v>
      </c>
      <c r="H97" s="460">
        <f>G97+'20'!H97</f>
        <v>459</v>
      </c>
      <c r="I97" s="480"/>
      <c r="J97" s="552">
        <f>H97/DAY(B2)</f>
        <v>21.857142857142858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'20'!F98</f>
        <v>99159</v>
      </c>
      <c r="F98" s="484">
        <v>99182</v>
      </c>
      <c r="G98" s="1330">
        <f t="shared" si="11"/>
        <v>23</v>
      </c>
      <c r="H98" s="460">
        <f>G98+'20'!H98</f>
        <v>525</v>
      </c>
      <c r="I98" s="480"/>
      <c r="J98" s="552">
        <f>H98/DAY(B2)</f>
        <v>25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'20'!F99</f>
        <v>150980</v>
      </c>
      <c r="F99" s="484">
        <v>150998</v>
      </c>
      <c r="G99" s="1330">
        <f t="shared" si="11"/>
        <v>18</v>
      </c>
      <c r="H99" s="460">
        <f>G99+'20'!H99</f>
        <v>593</v>
      </c>
      <c r="I99" s="480"/>
      <c r="J99" s="552">
        <f>H99/DAY(B2)</f>
        <v>28.238095238095237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'20'!F100</f>
        <v>8018</v>
      </c>
      <c r="F100" s="484">
        <v>8033</v>
      </c>
      <c r="G100" s="1330">
        <f t="shared" si="11"/>
        <v>15</v>
      </c>
      <c r="H100" s="460">
        <f>G100+'20'!H100</f>
        <v>236</v>
      </c>
      <c r="I100" s="480"/>
      <c r="J100" s="552">
        <f>H100/DAY(B2)</f>
        <v>11.238095238095237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'20'!F101</f>
        <v>5871</v>
      </c>
      <c r="F101" s="484">
        <v>5885</v>
      </c>
      <c r="G101" s="1330">
        <f t="shared" si="11"/>
        <v>14</v>
      </c>
      <c r="H101" s="460">
        <f>G101+'20'!H101</f>
        <v>211</v>
      </c>
      <c r="I101" s="480"/>
      <c r="J101" s="552">
        <f>H101/DAY(B2)</f>
        <v>10.047619047619047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167</v>
      </c>
      <c r="H102" s="460">
        <f>G102+'20'!H102</f>
        <v>3865</v>
      </c>
      <c r="I102" s="526"/>
      <c r="J102" s="552">
        <f>H102/DAY(B2)</f>
        <v>184.04761904761904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'20'!F105</f>
        <v>7637</v>
      </c>
      <c r="F105" s="532">
        <v>7637</v>
      </c>
      <c r="G105" s="1347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'20'!F106</f>
        <v>36352</v>
      </c>
      <c r="F106" s="534">
        <v>36364</v>
      </c>
      <c r="G106" s="1347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'20'!F107</f>
        <v>19908</v>
      </c>
      <c r="F107" s="532">
        <v>19914</v>
      </c>
      <c r="G107" s="1347">
        <f t="shared" si="12"/>
        <v>6</v>
      </c>
      <c r="H107" s="460">
        <f>G107+'20'!H107</f>
        <v>131</v>
      </c>
      <c r="I107" s="532"/>
      <c r="J107" s="558">
        <f>H107/DAY(B2)</f>
        <v>6.2380952380952381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'20'!F108</f>
        <v>0</v>
      </c>
      <c r="F108" s="532"/>
      <c r="G108" s="1347">
        <f>SUM(G105:G107)</f>
        <v>18</v>
      </c>
      <c r="H108" s="460">
        <f>G108+'20'!H108</f>
        <v>202</v>
      </c>
      <c r="I108" s="532"/>
      <c r="J108" s="558">
        <f>H108/DAY(B2)</f>
        <v>9.6190476190476186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'20'!F109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'20'!F110</f>
        <v>66302</v>
      </c>
      <c r="F110" s="532">
        <v>66368</v>
      </c>
      <c r="G110" s="1347">
        <f>F110-E110</f>
        <v>66</v>
      </c>
      <c r="H110" s="460">
        <f>G110+'20'!H110</f>
        <v>394.64000000001397</v>
      </c>
      <c r="I110" s="532"/>
      <c r="J110" s="558">
        <f>H110/DAY(B2)</f>
        <v>18.792380952381617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'20'!F111</f>
        <v>33714</v>
      </c>
      <c r="F111" s="532">
        <v>33718</v>
      </c>
      <c r="G111" s="1347">
        <f t="shared" ref="G111:G112" si="13">F111-E111</f>
        <v>4</v>
      </c>
      <c r="H111" s="460">
        <f>G111+'20'!H111</f>
        <v>113.89999999999418</v>
      </c>
      <c r="I111" s="532"/>
      <c r="J111" s="558">
        <f>H111/DAY(B2)</f>
        <v>5.423809523809247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'20'!F112</f>
        <v>4622</v>
      </c>
      <c r="F112" s="532">
        <v>4622</v>
      </c>
      <c r="G112" s="1347">
        <f t="shared" si="13"/>
        <v>0</v>
      </c>
      <c r="H112" s="460">
        <f>G112+'20'!H112</f>
        <v>351</v>
      </c>
      <c r="I112" s="532"/>
      <c r="J112" s="558">
        <f>H112/DAY(B2)</f>
        <v>16.714285714285715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'20'!F113</f>
        <v>0</v>
      </c>
      <c r="F113" s="532"/>
      <c r="G113" s="1347">
        <f>SUM(G110:G112)</f>
        <v>70</v>
      </c>
      <c r="H113" s="460">
        <f>G113+'20'!H113</f>
        <v>1168</v>
      </c>
      <c r="I113" s="532"/>
      <c r="J113" s="558">
        <f>H113/DAY(B2)</f>
        <v>55.61904761904762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'20'!F114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'20'!F115</f>
        <v>12287</v>
      </c>
      <c r="F115" s="534">
        <v>12306</v>
      </c>
      <c r="G115" s="1348">
        <f>F115-E115</f>
        <v>19</v>
      </c>
      <c r="H115" s="460">
        <f>G115+'20'!H115</f>
        <v>64</v>
      </c>
      <c r="I115" s="532"/>
      <c r="J115" s="558">
        <f>H115/DAY(B2)</f>
        <v>3.0476190476190474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'20'!F116</f>
        <v>8721</v>
      </c>
      <c r="F116" s="534">
        <v>8732</v>
      </c>
      <c r="G116" s="1348">
        <f t="shared" ref="G116:G117" si="14">F116-E116</f>
        <v>11</v>
      </c>
      <c r="H116" s="460">
        <f>G116+'20'!H116</f>
        <v>119</v>
      </c>
      <c r="I116" s="532"/>
      <c r="J116" s="558">
        <f>H116/DAY(B2)</f>
        <v>5.666666666666667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30</v>
      </c>
      <c r="H118" s="460">
        <f>G118+'20'!H118</f>
        <v>180</v>
      </c>
      <c r="I118" s="534"/>
      <c r="J118" s="558">
        <f>H118/DAY(B2)</f>
        <v>8.5714285714285712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154</v>
      </c>
      <c r="G119" s="1348">
        <f>SUM(G19+G93)</f>
        <v>154</v>
      </c>
      <c r="H119" s="460">
        <f>G119+'20'!H119</f>
        <v>598</v>
      </c>
      <c r="I119" s="535"/>
      <c r="J119" s="559">
        <f>H119/DAY(B2)</f>
        <v>28.476190476190474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149</v>
      </c>
      <c r="G120" s="1348">
        <f>SUM(G96,G97,G98,G100,G101)</f>
        <v>149</v>
      </c>
      <c r="H120" s="460">
        <f>G120+'20'!H120</f>
        <v>608</v>
      </c>
      <c r="I120" s="535"/>
      <c r="J120" s="559">
        <f>H120/DAY(B2)</f>
        <v>28.952380952380953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70</v>
      </c>
      <c r="G121" s="1348">
        <f>SUM(G113)</f>
        <v>70</v>
      </c>
      <c r="H121" s="460">
        <f>G121+'20'!H121</f>
        <v>357</v>
      </c>
      <c r="I121" s="535"/>
      <c r="J121" s="559">
        <f>H121/DAY(B2)</f>
        <v>17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>
        <v>0</v>
      </c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'20'!F124</f>
        <v>845107.45</v>
      </c>
      <c r="F124" s="478">
        <v>845376.68</v>
      </c>
      <c r="G124" s="1330">
        <f t="shared" ref="G124:G128" si="15">F124-E124</f>
        <v>269.23000000009779</v>
      </c>
      <c r="H124" s="460">
        <f>G124+'20'!H124</f>
        <v>5706.6800000000512</v>
      </c>
      <c r="I124" s="526"/>
      <c r="J124" s="552">
        <f>H124/DAY(B2)</f>
        <v>271.74666666666911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'20'!F125</f>
        <v>73583.399999999994</v>
      </c>
      <c r="F125" s="626">
        <v>73583.399999999994</v>
      </c>
      <c r="G125" s="1330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'20'!F126</f>
        <v>150443.23000000001</v>
      </c>
      <c r="F126" s="478">
        <v>150528.29999999999</v>
      </c>
      <c r="G126" s="1330">
        <f t="shared" si="15"/>
        <v>85.069999999977881</v>
      </c>
      <c r="H126" s="460">
        <f>G126+'20'!H126</f>
        <v>1931.2999999999884</v>
      </c>
      <c r="I126" s="526"/>
      <c r="J126" s="552">
        <f>H126/DAY(B2)</f>
        <v>91.966666666666114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'20'!F127</f>
        <v>32839</v>
      </c>
      <c r="F127" s="626">
        <v>32878.6</v>
      </c>
      <c r="G127" s="1330">
        <f t="shared" si="15"/>
        <v>39.599999999998545</v>
      </c>
      <c r="H127" s="460">
        <f>G127+'20'!H127</f>
        <v>807.59999999999854</v>
      </c>
      <c r="I127" s="526"/>
      <c r="J127" s="552">
        <f>H127/DAY(B2)</f>
        <v>38.457142857142784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'20'!F128</f>
        <v>9086.7000000000007</v>
      </c>
      <c r="F128" s="626">
        <v>9088</v>
      </c>
      <c r="G128" s="1330">
        <f t="shared" si="15"/>
        <v>1.2999999999992724</v>
      </c>
      <c r="H128" s="460">
        <f>G128+'20'!H128</f>
        <v>76</v>
      </c>
      <c r="I128" s="480"/>
      <c r="J128" s="552">
        <f>H128/DAY(B2)</f>
        <v>3.6190476190476191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531.51999999989857</v>
      </c>
      <c r="H129" s="460">
        <f>G129+'20'!H129</f>
        <v>2539.637000000077</v>
      </c>
      <c r="I129" s="480"/>
      <c r="J129" s="552">
        <f>H129/DAY(B2)</f>
        <v>120.93509523809891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'20'!F131</f>
        <v>0</v>
      </c>
      <c r="F131" s="484">
        <v>0</v>
      </c>
      <c r="G131" s="1330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'20'!F132</f>
        <v>0</v>
      </c>
      <c r="F132" s="484">
        <v>0</v>
      </c>
      <c r="G132" s="1330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'20'!F133</f>
        <v>40612.1</v>
      </c>
      <c r="F133" s="541">
        <v>40612.1</v>
      </c>
      <c r="G133" s="1330">
        <f t="shared" si="16"/>
        <v>0</v>
      </c>
      <c r="H133" s="460">
        <f>G133+'20'!H133</f>
        <v>159.09999999999854</v>
      </c>
      <c r="I133" s="480"/>
      <c r="J133" s="552">
        <f>H133/DAY(B2)</f>
        <v>7.5761904761904066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'20'!F134</f>
        <v>427.01</v>
      </c>
      <c r="F134" s="541">
        <v>445.19</v>
      </c>
      <c r="G134" s="1351">
        <f t="shared" si="16"/>
        <v>18.180000000000007</v>
      </c>
      <c r="H134" s="705">
        <f>G134+'20'!H134</f>
        <v>145.19</v>
      </c>
      <c r="I134" s="1071">
        <f>G131+G132+G133+G134</f>
        <v>18.180000000000007</v>
      </c>
      <c r="J134" s="707">
        <f>H134/DAY(B2)</f>
        <v>6.9138095238095234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'20'!F135</f>
        <v>42304.14</v>
      </c>
      <c r="F135" s="541">
        <v>42313.53</v>
      </c>
      <c r="G135" s="1330">
        <f t="shared" si="16"/>
        <v>9.3899999999994179</v>
      </c>
      <c r="H135" s="460">
        <f>G135+'20'!H135</f>
        <v>341.52999999999884</v>
      </c>
      <c r="I135" s="480"/>
      <c r="J135" s="552">
        <f>H135/DAY(B2)</f>
        <v>16.263333333333279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'20'!F136</f>
        <v>32874</v>
      </c>
      <c r="F136" s="541">
        <v>32874</v>
      </c>
      <c r="G136" s="1330">
        <f t="shared" si="16"/>
        <v>0</v>
      </c>
      <c r="H136" s="460">
        <f>G136+'20'!H136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'20'!F137</f>
        <v>23033.279999999999</v>
      </c>
      <c r="F137" s="541">
        <v>23043.35</v>
      </c>
      <c r="G137" s="1330">
        <f t="shared" si="16"/>
        <v>10.069999999999709</v>
      </c>
      <c r="H137" s="460">
        <f>G137+'20'!H137</f>
        <v>151.85999999999694</v>
      </c>
      <c r="I137" s="480">
        <f>G135+G136+G137</f>
        <v>19.459999999999127</v>
      </c>
      <c r="J137" s="552">
        <f>H137/DAY(B2)</f>
        <v>7.2314285714284257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'20'!F138</f>
        <v>25099.16</v>
      </c>
      <c r="F138" s="541">
        <v>25099.16</v>
      </c>
      <c r="G138" s="1330">
        <f t="shared" si="16"/>
        <v>0</v>
      </c>
      <c r="H138" s="460">
        <f>G138+'20'!H138</f>
        <v>7.7700000000004366</v>
      </c>
      <c r="I138" s="480"/>
      <c r="J138" s="552">
        <f>H138/DAY(B2)</f>
        <v>0.37000000000002081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'20'!F139</f>
        <v>70516.600000000006</v>
      </c>
      <c r="F139" s="541">
        <v>70516.600000000006</v>
      </c>
      <c r="G139" s="1330">
        <f t="shared" si="16"/>
        <v>0</v>
      </c>
      <c r="H139" s="460">
        <f>G139+'20'!H139</f>
        <v>2.9800000000104774</v>
      </c>
      <c r="I139" s="480">
        <f>G138+G139</f>
        <v>0</v>
      </c>
      <c r="J139" s="552">
        <f>H139/DAY(B2)</f>
        <v>0.14190476190526083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'20'!F140</f>
        <v>2247.77</v>
      </c>
      <c r="F140" s="484">
        <v>2247.77</v>
      </c>
      <c r="G140" s="1330">
        <f t="shared" si="16"/>
        <v>0</v>
      </c>
      <c r="H140" s="460">
        <f>G140+'20'!H140</f>
        <v>118.59000000000015</v>
      </c>
      <c r="I140" s="542"/>
      <c r="J140" s="552">
        <f>H140/DAY(B2)</f>
        <v>5.6471428571428639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'20'!F141</f>
        <v>4714.67</v>
      </c>
      <c r="F141" s="484">
        <v>4724.13</v>
      </c>
      <c r="G141" s="1330">
        <f t="shared" si="16"/>
        <v>9.4600000000000364</v>
      </c>
      <c r="H141" s="460">
        <f>G141+'20'!H141</f>
        <v>87.130000000000109</v>
      </c>
      <c r="I141" s="542"/>
      <c r="J141" s="552">
        <f>H141/DAY(B2)</f>
        <v>4.1490476190476242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5390.1400000000722</v>
      </c>
      <c r="H143" s="460">
        <f>G143+'20'!H143</f>
        <v>116748.2300000001</v>
      </c>
      <c r="I143" s="480"/>
      <c r="J143" s="552">
        <f>H143/DAY(B2)</f>
        <v>5559.4395238095285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0.25523055148728696</v>
      </c>
      <c r="H144" s="460">
        <f>G144+'20'!H144</f>
        <v>5.3154766280106749</v>
      </c>
      <c r="I144" s="544"/>
      <c r="J144" s="552">
        <f>H144/DAY(B2)</f>
        <v>0.25311793466717497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6289.1099999999278</v>
      </c>
      <c r="H145" s="460">
        <f>G145+'20'!H145</f>
        <v>141724.75999999995</v>
      </c>
      <c r="I145" s="480"/>
      <c r="J145" s="552">
        <f>H145/DAY(B2)</f>
        <v>6748.7980952380931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0.29779801891308411</v>
      </c>
      <c r="H146" s="460">
        <f>G146+'20'!H146</f>
        <v>6.4218318160938148</v>
      </c>
      <c r="I146" s="544"/>
      <c r="J146" s="552">
        <f>H146/DAY(B2)</f>
        <v>0.30580151505208641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3741.5200000000186</v>
      </c>
      <c r="H147" s="460">
        <f>G147+'20'!H147</f>
        <v>77727.540000000037</v>
      </c>
      <c r="I147" s="545"/>
      <c r="J147" s="552">
        <f>H147/DAY(B2)</f>
        <v>3701.3114285714305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0.17716612425664377</v>
      </c>
      <c r="H148" s="460">
        <f>G148+'20'!H148</f>
        <v>3.5369403497048513</v>
      </c>
      <c r="I148" s="545"/>
      <c r="J148" s="552">
        <f>H148/DAY(B2)</f>
        <v>0.16842573093832625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1578.0499999999593</v>
      </c>
      <c r="H149" s="460">
        <f>G149+'20'!H149</f>
        <v>34025.979999999952</v>
      </c>
      <c r="I149" s="480"/>
      <c r="J149" s="552">
        <f>H149/DAY(B2)</f>
        <v>1620.2847619047595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7.472284055228573E-2</v>
      </c>
      <c r="H150" s="460">
        <f>G150+'20'!H150</f>
        <v>1.5448740874280593</v>
      </c>
      <c r="I150" s="545"/>
      <c r="J150" s="552">
        <f>H150/DAY(B2)</f>
        <v>7.3565432734669492E-2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1774.3200000000434</v>
      </c>
      <c r="H151" s="460">
        <f>G151+'20'!H151</f>
        <v>43600.59000000004</v>
      </c>
      <c r="I151" s="545"/>
      <c r="J151" s="552">
        <f>H151/DAY(B2)</f>
        <v>2076.2185714285733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8.401649532571101E-2</v>
      </c>
      <c r="H152" s="460">
        <f>G152+'20'!H152</f>
        <v>1.9709057171532351</v>
      </c>
      <c r="I152" s="480"/>
      <c r="J152" s="552">
        <f>H152/DAY(B2)</f>
        <v>9.3852653197773098E-2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1602.9200000000128</v>
      </c>
      <c r="H153" s="460">
        <f>G153+'20'!H153</f>
        <v>33258.890000000014</v>
      </c>
      <c r="I153" s="480"/>
      <c r="J153" s="552">
        <f>H153/DAY(B2)</f>
        <v>1583.7566666666673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7.5900469299498674E-2</v>
      </c>
      <c r="H154" s="460">
        <f>G154+'20'!H154</f>
        <v>1.5109422506817018</v>
      </c>
      <c r="I154" s="568"/>
      <c r="J154" s="569">
        <f>H154/DAY(B2)</f>
        <v>7.1949630984842944E-2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'20'!F161</f>
        <v>42448.7</v>
      </c>
      <c r="F161" s="658">
        <v>42528.83</v>
      </c>
      <c r="G161" s="1330">
        <f t="shared" ref="G161:G164" si="17">F161-E161</f>
        <v>80.130000000004657</v>
      </c>
      <c r="K161" s="376">
        <v>68.829999999999927</v>
      </c>
      <c r="L161" s="376">
        <f t="shared" ref="L161:L172" si="18">G161-K161</f>
        <v>11.300000000004729</v>
      </c>
    </row>
    <row r="162" spans="1:12">
      <c r="A162" s="784" t="s">
        <v>263</v>
      </c>
      <c r="B162" s="785"/>
      <c r="C162" s="785"/>
      <c r="D162" s="511" t="s">
        <v>186</v>
      </c>
      <c r="E162" s="658">
        <f>'20'!F162</f>
        <v>116939.93</v>
      </c>
      <c r="F162" s="658">
        <v>117387.67</v>
      </c>
      <c r="G162" s="1330">
        <f t="shared" si="17"/>
        <v>447.74000000000524</v>
      </c>
      <c r="K162" s="376">
        <v>122.46000000000004</v>
      </c>
      <c r="L162" s="376">
        <f t="shared" si="18"/>
        <v>325.2800000000052</v>
      </c>
    </row>
    <row r="163" spans="1:12">
      <c r="A163" s="784" t="s">
        <v>264</v>
      </c>
      <c r="B163" s="785"/>
      <c r="C163" s="785"/>
      <c r="D163" s="511" t="s">
        <v>186</v>
      </c>
      <c r="E163" s="658">
        <f>'20'!F163</f>
        <v>65320.79</v>
      </c>
      <c r="F163" s="658">
        <v>65520.22</v>
      </c>
      <c r="G163" s="1330">
        <f t="shared" si="17"/>
        <v>199.43000000000029</v>
      </c>
      <c r="K163" s="376">
        <v>139.42000000000007</v>
      </c>
      <c r="L163" s="376">
        <f t="shared" si="18"/>
        <v>60.010000000000218</v>
      </c>
    </row>
    <row r="164" spans="1:12">
      <c r="A164" s="784" t="s">
        <v>265</v>
      </c>
      <c r="B164" s="785"/>
      <c r="C164" s="785"/>
      <c r="D164" s="511" t="s">
        <v>186</v>
      </c>
      <c r="E164" s="658">
        <f>'20'!F164</f>
        <v>7041.24</v>
      </c>
      <c r="F164" s="658">
        <v>7048.78</v>
      </c>
      <c r="G164" s="1330">
        <f t="shared" si="17"/>
        <v>7.5399999999999636</v>
      </c>
      <c r="K164" s="376">
        <v>49.659999999999968</v>
      </c>
      <c r="L164" s="376">
        <f t="shared" si="18"/>
        <v>-42.120000000000005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0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20"/>
        <v>177804.47</v>
      </c>
      <c r="F167" s="514">
        <f t="shared" si="21"/>
        <v>178152.49</v>
      </c>
      <c r="G167" s="1330">
        <f t="shared" si="19"/>
        <v>348.01999999998952</v>
      </c>
      <c r="K167" s="376">
        <v>201.76000000000204</v>
      </c>
      <c r="L167" s="376">
        <f t="shared" si="18"/>
        <v>146.25999999998749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20"/>
        <v>177910.09</v>
      </c>
      <c r="F168" s="514">
        <f t="shared" si="21"/>
        <v>178292.59</v>
      </c>
      <c r="G168" s="1330">
        <f t="shared" si="19"/>
        <v>382.5</v>
      </c>
      <c r="K168" s="376">
        <v>191.63000000000466</v>
      </c>
      <c r="L168" s="376">
        <f t="shared" si="18"/>
        <v>190.86999999999534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20"/>
        <v>76217.929999999993</v>
      </c>
      <c r="F169" s="514">
        <f t="shared" si="21"/>
        <v>76625.75</v>
      </c>
      <c r="G169" s="1330">
        <f t="shared" si="19"/>
        <v>407.82000000000698</v>
      </c>
      <c r="K169" s="376">
        <v>231.68000000000029</v>
      </c>
      <c r="L169" s="376">
        <f t="shared" si="18"/>
        <v>176.14000000000669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20"/>
        <v>274426.67</v>
      </c>
      <c r="F170" s="514">
        <f t="shared" si="21"/>
        <v>274928.11</v>
      </c>
      <c r="G170" s="1330">
        <f t="shared" si="19"/>
        <v>501.44000000000233</v>
      </c>
      <c r="K170" s="376">
        <v>344.30000000000291</v>
      </c>
      <c r="L170" s="376">
        <f t="shared" si="18"/>
        <v>157.13999999999942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1330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20"/>
        <v>92936.63</v>
      </c>
      <c r="F172" s="514">
        <f t="shared" si="21"/>
        <v>93221.18</v>
      </c>
      <c r="G172" s="1330">
        <f t="shared" si="19"/>
        <v>284.54999999998836</v>
      </c>
      <c r="K172" s="376">
        <v>57.709999999999127</v>
      </c>
      <c r="L172" s="376">
        <f t="shared" si="18"/>
        <v>226.83999999998923</v>
      </c>
    </row>
    <row r="173" spans="1:12">
      <c r="G173" s="1355">
        <f>SUM(G161:G172)</f>
        <v>2659.1699999999973</v>
      </c>
    </row>
    <row r="174" spans="1:12" ht="27.75">
      <c r="A174" s="1546" t="s">
        <v>350</v>
      </c>
      <c r="B174" s="1546"/>
      <c r="C174" s="1546"/>
      <c r="D174" s="523" t="s">
        <v>186</v>
      </c>
      <c r="E174" s="658">
        <f>'20'!F174</f>
        <v>19098</v>
      </c>
      <c r="F174" s="514">
        <v>19101.8</v>
      </c>
      <c r="G174" s="1330">
        <f t="shared" ref="G174:G176" si="22">F174-E174</f>
        <v>3.7999999999992724</v>
      </c>
    </row>
    <row r="175" spans="1:12">
      <c r="A175" s="1587" t="s">
        <v>350</v>
      </c>
      <c r="B175" s="1550"/>
      <c r="C175" s="785"/>
      <c r="D175" s="523" t="s">
        <v>186</v>
      </c>
      <c r="E175" s="658">
        <f>'20'!F175</f>
        <v>70463</v>
      </c>
      <c r="F175" s="1493">
        <v>70468.899999999994</v>
      </c>
      <c r="G175" s="1330">
        <f t="shared" si="22"/>
        <v>5.8999999999941792</v>
      </c>
    </row>
    <row r="176" spans="1:12">
      <c r="A176" s="1587" t="s">
        <v>351</v>
      </c>
      <c r="B176" s="1550"/>
      <c r="C176" s="785"/>
      <c r="D176" s="523" t="s">
        <v>186</v>
      </c>
      <c r="E176" s="658">
        <f>'20'!F176</f>
        <v>27733.7</v>
      </c>
      <c r="F176" s="1493">
        <v>27739.200000000001</v>
      </c>
      <c r="G176" s="1330">
        <f t="shared" si="22"/>
        <v>5.5</v>
      </c>
    </row>
    <row r="177" spans="1:15" ht="18.75" customHeight="1"/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</row>
    <row r="181" spans="1:15" ht="21" customHeight="1">
      <c r="F181" s="537" t="s">
        <v>275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61" zoomScale="55" zoomScaleNormal="71" zoomScaleSheetLayoutView="55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362</v>
      </c>
      <c r="B2" s="1031">
        <v>44369</v>
      </c>
      <c r="C2" s="1362" t="s">
        <v>68</v>
      </c>
      <c r="D2" s="611">
        <v>0.72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2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2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384810.67</v>
      </c>
      <c r="F7" s="455">
        <f>E7+21500</f>
        <v>406310.67</v>
      </c>
      <c r="G7" s="1330">
        <f>F7-E7</f>
        <v>21500</v>
      </c>
      <c r="H7" s="460">
        <f>G7+'21'!H7</f>
        <v>484357.67000000004</v>
      </c>
      <c r="I7" s="474">
        <f>'1'!I7</f>
        <v>12000</v>
      </c>
      <c r="J7" s="552">
        <f>H7/DAY(B2)</f>
        <v>22016.257727272729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391826.83</v>
      </c>
      <c r="F8" s="475">
        <f>E8+21500</f>
        <v>413326.83</v>
      </c>
      <c r="G8" s="1331">
        <f>F8-E8</f>
        <v>21500</v>
      </c>
      <c r="H8" s="460">
        <f>G8+'21'!H8</f>
        <v>486604.83</v>
      </c>
      <c r="I8" s="477">
        <f>'1'!I8</f>
        <v>12000</v>
      </c>
      <c r="J8" s="552">
        <f>H8/DAY(B2)</f>
        <v>22118.401363636363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2480880.9</v>
      </c>
      <c r="F9" s="478">
        <v>1873128.53</v>
      </c>
      <c r="G9" s="1330">
        <f t="shared" ref="G9:G12" si="0">F9-E9</f>
        <v>-607752.36999999988</v>
      </c>
      <c r="H9" s="460">
        <f>G9+'21'!H9</f>
        <v>-157873.46999999997</v>
      </c>
      <c r="I9" s="479">
        <f>I8-J8</f>
        <v>-10118.401363636363</v>
      </c>
      <c r="J9" s="552">
        <f>H9/DAY(B2)</f>
        <v>-7176.0668181818173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2606.5500000000002</v>
      </c>
      <c r="F10" s="478"/>
      <c r="G10" s="1330">
        <f t="shared" si="0"/>
        <v>-2606.5500000000002</v>
      </c>
      <c r="H10" s="460">
        <f>G10+'21'!H10</f>
        <v>-2606.2500000000005</v>
      </c>
      <c r="I10" s="480"/>
      <c r="J10" s="552">
        <f>H10/DAY(B2)</f>
        <v>-118.46590909090911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-610358.91999999993</v>
      </c>
      <c r="H13" s="460">
        <f>G13+'21'!H13</f>
        <v>-180806.72000000003</v>
      </c>
      <c r="I13" s="482">
        <f>G7-G13</f>
        <v>631858.91999999993</v>
      </c>
      <c r="J13" s="552">
        <f>H13/DAY(B2)</f>
        <v>-8218.4872727272741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360" t="s">
        <v>139</v>
      </c>
      <c r="B15" s="589"/>
      <c r="C15" s="589"/>
      <c r="D15" s="523" t="s">
        <v>140</v>
      </c>
      <c r="E15" s="484">
        <f>'21'!F15</f>
        <v>1721117.72</v>
      </c>
      <c r="F15" s="700">
        <f>E15+700</f>
        <v>1721817.72</v>
      </c>
      <c r="G15" s="1334">
        <f>(F15-E15)</f>
        <v>700</v>
      </c>
      <c r="H15" s="460">
        <f>G15+'21'!H15</f>
        <v>18134.719999999972</v>
      </c>
      <c r="I15" s="474">
        <v>800</v>
      </c>
      <c r="J15" s="552">
        <f>H15/DAY(B2)</f>
        <v>824.30545454545324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-24.305454545453244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'21'!F18</f>
        <v>10</v>
      </c>
      <c r="F18" s="484">
        <v>9</v>
      </c>
      <c r="G18" s="1332">
        <f>F18*10</f>
        <v>90</v>
      </c>
      <c r="H18" s="460">
        <f>G18+'21'!H18</f>
        <v>2910</v>
      </c>
      <c r="I18" s="474">
        <f>'1'!I18</f>
        <v>65</v>
      </c>
      <c r="J18" s="552">
        <f>H18/DAY(B2)</f>
        <v>132.27272727272728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'21'!F19</f>
        <v>142742</v>
      </c>
      <c r="F19" s="484">
        <v>140993</v>
      </c>
      <c r="G19" s="1330">
        <f t="shared" ref="G19" si="1">F19-E19</f>
        <v>-1749</v>
      </c>
      <c r="H19" s="460">
        <f>G19+'21'!H19</f>
        <v>-502</v>
      </c>
      <c r="I19" s="489"/>
      <c r="J19" s="552">
        <f>H19/DAY(B2)</f>
        <v>-22.818181818181817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-1659</v>
      </c>
      <c r="H20" s="460">
        <f>G20+'21'!H20</f>
        <v>2408</v>
      </c>
      <c r="I20" s="492">
        <f>I18-J20</f>
        <v>-44.454545454545453</v>
      </c>
      <c r="J20" s="552">
        <f>H20/DAY(B2)</f>
        <v>109.45454545454545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360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0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G27+'21'!H27</f>
        <v>4379445.3600000003</v>
      </c>
      <c r="I27" s="503"/>
      <c r="J27" s="552">
        <f>H27/DAY(B2)</f>
        <v>199065.69818181821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G28+'21'!H28</f>
        <v>943005.43999999855</v>
      </c>
      <c r="I28" s="505"/>
      <c r="J28" s="552">
        <f>H28/DAY(B2)</f>
        <v>42863.883636363571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-1749</v>
      </c>
      <c r="F30" s="501">
        <v>146</v>
      </c>
      <c r="G30" s="1338">
        <f>E30*F30</f>
        <v>-255354</v>
      </c>
      <c r="H30" s="460">
        <f>G30+'21'!H30</f>
        <v>-73876</v>
      </c>
      <c r="I30" s="505"/>
      <c r="J30" s="552">
        <f>H30/DAY(B2)</f>
        <v>-3358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38">
        <f>E31*F31</f>
        <v>7200</v>
      </c>
      <c r="H31" s="460">
        <f>G31+'21'!H31</f>
        <v>227200</v>
      </c>
      <c r="I31" s="505"/>
      <c r="J31" s="552">
        <f>H31/DAY(B2)</f>
        <v>10327.272727272728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-18254</v>
      </c>
      <c r="H32" s="460">
        <f>G32+'21'!H32</f>
        <v>5475774.7999999989</v>
      </c>
      <c r="I32" s="509"/>
      <c r="J32" s="552">
        <f>H32/DAY(B2)</f>
        <v>248898.85454545449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65"/>
      <c r="C34" s="1365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1058597</v>
      </c>
      <c r="F35" s="510">
        <v>1006080</v>
      </c>
      <c r="G35" s="1330">
        <f t="shared" ref="G35:G46" si="2">F35-E35</f>
        <v>-52517</v>
      </c>
      <c r="H35" s="460">
        <f>G35+'21'!H35</f>
        <v>-22634</v>
      </c>
      <c r="I35" s="455"/>
      <c r="J35" s="552">
        <f>H35/DAY(B2)</f>
        <v>-1028.8181818181818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39023.919999999998</v>
      </c>
      <c r="F36" s="510">
        <v>14565.67</v>
      </c>
      <c r="G36" s="1330">
        <f t="shared" si="2"/>
        <v>-24458.25</v>
      </c>
      <c r="H36" s="460">
        <f>G36+'21'!H36</f>
        <v>-5895.3300000000017</v>
      </c>
      <c r="I36" s="455"/>
      <c r="J36" s="552">
        <f>H36/DAY(B2)</f>
        <v>-267.96954545454554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209828.89</v>
      </c>
      <c r="F37" s="510">
        <v>164855.25</v>
      </c>
      <c r="G37" s="1330">
        <f t="shared" si="2"/>
        <v>-44973.640000000014</v>
      </c>
      <c r="H37" s="460">
        <f>G37+'21'!H37</f>
        <v>-11714.75</v>
      </c>
      <c r="I37" s="455"/>
      <c r="J37" s="552">
        <f>H37/DAY(B2)</f>
        <v>-532.48863636363637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232484.91</v>
      </c>
      <c r="F38" s="469">
        <v>185915.75</v>
      </c>
      <c r="G38" s="1330">
        <f t="shared" si="2"/>
        <v>-46569.16</v>
      </c>
      <c r="H38" s="460">
        <f>G38+'21'!H38</f>
        <v>-12543.25</v>
      </c>
      <c r="I38" s="455"/>
      <c r="J38" s="552">
        <f>H38/DAY(B2)</f>
        <v>-570.14772727272725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482591.95</v>
      </c>
      <c r="F39" s="510">
        <v>375879.99</v>
      </c>
      <c r="G39" s="1330">
        <f t="shared" si="2"/>
        <v>-106711.96000000002</v>
      </c>
      <c r="H39" s="460">
        <f>G39+'21'!H39</f>
        <v>-28984.010000000009</v>
      </c>
      <c r="I39" s="455"/>
      <c r="J39" s="552">
        <f>H39/DAY(B2)</f>
        <v>-1317.4550000000004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15413.4</v>
      </c>
      <c r="F40" s="510">
        <v>4607.82</v>
      </c>
      <c r="G40" s="1330">
        <f t="shared" si="2"/>
        <v>-10805.58</v>
      </c>
      <c r="H40" s="460">
        <f>G40+'21'!H40</f>
        <v>-2505.1800000000003</v>
      </c>
      <c r="I40" s="455"/>
      <c r="J40" s="552">
        <f>H40/DAY(B2)</f>
        <v>-113.8718181818182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365502.35</v>
      </c>
      <c r="F41" s="510">
        <v>308352.25</v>
      </c>
      <c r="G41" s="1330">
        <f t="shared" si="2"/>
        <v>-57150.099999999977</v>
      </c>
      <c r="H41" s="460">
        <f>G41+'21'!H41</f>
        <v>-21289.75</v>
      </c>
      <c r="I41" s="455"/>
      <c r="J41" s="552">
        <f>H41/DAY(B2)</f>
        <v>-967.71590909090912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89172.1</v>
      </c>
      <c r="F42" s="510">
        <v>59210.080000000002</v>
      </c>
      <c r="G42" s="1330">
        <f t="shared" si="2"/>
        <v>-29962.020000000004</v>
      </c>
      <c r="H42" s="460">
        <f>G42+'21'!H42</f>
        <v>11.190000000002328</v>
      </c>
      <c r="I42" s="455"/>
      <c r="J42" s="552">
        <f>H42/DAY(B2)</f>
        <v>0.50863636363646947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1177047.3</v>
      </c>
      <c r="F43" s="510">
        <v>1098241.1000000001</v>
      </c>
      <c r="G43" s="1330">
        <f>F43-E43</f>
        <v>-78806.199999999953</v>
      </c>
      <c r="H43" s="460">
        <f>G43+'21'!H43</f>
        <v>-22210.899999999907</v>
      </c>
      <c r="I43" s="455"/>
      <c r="J43" s="552">
        <f>H43/DAY(B2)</f>
        <v>-1009.5863636363594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614</v>
      </c>
      <c r="F45" s="510">
        <v>0</v>
      </c>
      <c r="G45" s="1330">
        <f t="shared" si="2"/>
        <v>-614</v>
      </c>
      <c r="H45" s="460">
        <f>G45+'21'!H45</f>
        <v>-614</v>
      </c>
      <c r="I45" s="455"/>
      <c r="J45" s="552">
        <f>H45/DAY(B2)</f>
        <v>-27.90909090909091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187</v>
      </c>
      <c r="F46" s="510">
        <v>0</v>
      </c>
      <c r="G46" s="1330">
        <f t="shared" si="2"/>
        <v>-187</v>
      </c>
      <c r="H46" s="460">
        <f>G46+'21'!H46</f>
        <v>-187.49</v>
      </c>
      <c r="I46" s="455"/>
      <c r="J46" s="552">
        <f>H46/DAY(B2)</f>
        <v>-8.5222727272727283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-452754.91</v>
      </c>
      <c r="H47" s="460">
        <f>G47+'21'!H47</f>
        <v>-127765.97999999992</v>
      </c>
      <c r="I47" s="455"/>
      <c r="J47" s="552">
        <f>H47/DAY(B2)</f>
        <v>-5807.5445454545415</v>
      </c>
      <c r="K47" s="428"/>
      <c r="L47" s="377"/>
      <c r="N47" s="382"/>
      <c r="O47" s="382"/>
    </row>
    <row r="48" spans="1:15">
      <c r="A48" s="598" t="s">
        <v>176</v>
      </c>
      <c r="B48" s="1365"/>
      <c r="C48" s="1365"/>
      <c r="D48" s="472"/>
      <c r="E48" s="471"/>
      <c r="F48" s="471"/>
      <c r="G48" s="134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294020.75</v>
      </c>
      <c r="F49" s="510">
        <v>260732.13</v>
      </c>
      <c r="G49" s="1330">
        <f t="shared" ref="G49:G58" si="3">F49-E49</f>
        <v>-33288.619999999995</v>
      </c>
      <c r="H49" s="460">
        <f>G49+'21'!H49</f>
        <v>-31.869999999995343</v>
      </c>
      <c r="I49" s="455"/>
      <c r="J49" s="552">
        <f>H49/DAY(B2)</f>
        <v>-1.4486363636361519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559700.67000000004</v>
      </c>
      <c r="F50" s="510">
        <v>525794.99</v>
      </c>
      <c r="G50" s="1330">
        <f t="shared" si="3"/>
        <v>-33905.680000000051</v>
      </c>
      <c r="H50" s="460">
        <f>G50+'21'!H50</f>
        <v>-9961.0100000000093</v>
      </c>
      <c r="I50" s="455"/>
      <c r="J50" s="552">
        <f>H50/DAY(B2)</f>
        <v>-452.77318181818225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144640</v>
      </c>
      <c r="F51" s="510">
        <v>144639.87</v>
      </c>
      <c r="G51" s="1330">
        <f t="shared" si="3"/>
        <v>-0.13000000000465661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0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0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</v>
      </c>
      <c r="F54" s="510">
        <v>14967.39</v>
      </c>
      <c r="G54" s="1330">
        <f t="shared" si="3"/>
        <v>0.38999999999941792</v>
      </c>
      <c r="H54" s="460">
        <f>G54+'21'!H54</f>
        <v>0.38999999999941792</v>
      </c>
      <c r="I54" s="455"/>
      <c r="J54" s="552">
        <f>H54/DAY(B2)</f>
        <v>1.7727272727246269E-2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193307.01</v>
      </c>
      <c r="F55" s="510">
        <v>90898.63</v>
      </c>
      <c r="G55" s="1330">
        <f t="shared" si="3"/>
        <v>-102408.38</v>
      </c>
      <c r="H55" s="460">
        <f>G55+'21'!H55</f>
        <v>-32311.369999999995</v>
      </c>
      <c r="I55" s="455"/>
      <c r="J55" s="552">
        <f>H55/DAY(B2)</f>
        <v>-1468.6986363636361</v>
      </c>
      <c r="K55" s="428"/>
      <c r="L55" s="377"/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'21'!F56</f>
        <v>649252.18999999994</v>
      </c>
      <c r="F56" s="653">
        <v>648949.79</v>
      </c>
      <c r="G56" s="1351">
        <f t="shared" si="3"/>
        <v>-302.39999999990687</v>
      </c>
      <c r="H56" s="705">
        <f>G56+'21'!H56</f>
        <v>-92.209999999962747</v>
      </c>
      <c r="I56" s="706"/>
      <c r="J56" s="707">
        <f>H56/DAY(B2)</f>
        <v>-4.1913636363619426</v>
      </c>
      <c r="K56" s="1356"/>
      <c r="L56" s="1105"/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57648.63</v>
      </c>
      <c r="F58" s="510">
        <v>52761.38</v>
      </c>
      <c r="G58" s="1330">
        <f t="shared" si="3"/>
        <v>-4887.25</v>
      </c>
      <c r="H58" s="460">
        <f>G58+'21'!H58</f>
        <v>-1418.6200000000026</v>
      </c>
      <c r="I58" s="455"/>
      <c r="J58" s="552">
        <f>H58/DAY(B2)</f>
        <v>-64.482727272727388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-174792.06999999995</v>
      </c>
      <c r="H59" s="460">
        <f>G59+'21'!H59</f>
        <v>-43815.490000000005</v>
      </c>
      <c r="I59" s="455">
        <f>G7-G60</f>
        <v>649046.98</v>
      </c>
      <c r="J59" s="552">
        <f>H59/DAY(B2)</f>
        <v>-1991.6131818181821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-627546.98</v>
      </c>
      <c r="H60" s="460">
        <f>G60+'21'!H60</f>
        <v>-164678.13999999996</v>
      </c>
      <c r="I60" s="455">
        <f>G13-G60</f>
        <v>17188.060000000056</v>
      </c>
      <c r="J60" s="552">
        <f>H47/DAY(B2)</f>
        <v>-5807.5445454545415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0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0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'21'!F64</f>
        <v>178152.49</v>
      </c>
      <c r="F64" s="484">
        <v>167012.26</v>
      </c>
      <c r="G64" s="1330">
        <f t="shared" si="4"/>
        <v>-11140.229999999981</v>
      </c>
      <c r="H64" s="460">
        <f>G64+'21'!H64</f>
        <v>-3009.7399999999907</v>
      </c>
      <c r="I64" s="480"/>
      <c r="J64" s="552">
        <f>H64/DAY(B2)</f>
        <v>-136.80636363636322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'21'!F65</f>
        <v>178292.59</v>
      </c>
      <c r="F65" s="484">
        <v>167241.76999999999</v>
      </c>
      <c r="G65" s="1330">
        <f t="shared" si="4"/>
        <v>-11050.820000000007</v>
      </c>
      <c r="H65" s="460">
        <f>G65+'21'!H65</f>
        <v>-3060.2300000000105</v>
      </c>
      <c r="I65" s="489"/>
      <c r="J65" s="552">
        <f>H65/DAY(B2)</f>
        <v>-139.10136363636411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'21'!F66</f>
        <v>76625.75</v>
      </c>
      <c r="F66" s="484">
        <v>64618.53</v>
      </c>
      <c r="G66" s="1330">
        <f t="shared" si="4"/>
        <v>-12007.220000000001</v>
      </c>
      <c r="H66" s="460">
        <f>G66+'21'!H66</f>
        <v>-3351.4700000000012</v>
      </c>
      <c r="I66" s="480"/>
      <c r="J66" s="552">
        <f>H66/DAY(B2)</f>
        <v>-152.33954545454552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'21'!F67</f>
        <v>274928.11</v>
      </c>
      <c r="F67" s="484">
        <v>261392</v>
      </c>
      <c r="G67" s="1330">
        <f t="shared" si="4"/>
        <v>-13536.109999999986</v>
      </c>
      <c r="H67" s="460">
        <f>G67+'21'!H67</f>
        <v>-3567</v>
      </c>
      <c r="I67" s="489"/>
      <c r="J67" s="552">
        <f>H67/DAY(B2)</f>
        <v>-162.13636363636363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'21'!F68</f>
        <v>85321</v>
      </c>
      <c r="F68" s="484">
        <v>85321</v>
      </c>
      <c r="G68" s="1330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'21'!F69</f>
        <v>93221.18</v>
      </c>
      <c r="F69" s="484">
        <v>85602.95</v>
      </c>
      <c r="G69" s="1330">
        <f t="shared" si="4"/>
        <v>-7618.2299999999959</v>
      </c>
      <c r="H69" s="460">
        <f>G69+'21'!H69</f>
        <v>-1912.0500000000029</v>
      </c>
      <c r="I69" s="516"/>
      <c r="J69" s="552">
        <f>H69/DAY(B2)</f>
        <v>-86.911363636363774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'21'!F72</f>
        <v>856485</v>
      </c>
      <c r="F72" s="519">
        <v>856130</v>
      </c>
      <c r="G72" s="1330">
        <f t="shared" ref="G72:G84" si="5">F72-E72</f>
        <v>-355</v>
      </c>
      <c r="H72" s="460">
        <f>G72+'21'!H72</f>
        <v>-105</v>
      </c>
      <c r="I72" s="480"/>
      <c r="J72" s="552">
        <f>H72/DAY(B2)</f>
        <v>-4.7727272727272725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'21'!F73</f>
        <v>886001</v>
      </c>
      <c r="F73" s="520">
        <v>885962</v>
      </c>
      <c r="G73" s="1330">
        <f t="shared" si="5"/>
        <v>-39</v>
      </c>
      <c r="H73" s="460">
        <f>G73+'21'!H73</f>
        <v>128</v>
      </c>
      <c r="I73" s="480"/>
      <c r="J73" s="552">
        <f>H73/DAY(B2)</f>
        <v>5.8181818181818183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'21'!F74</f>
        <v>88720.6</v>
      </c>
      <c r="F74" s="521">
        <v>88688</v>
      </c>
      <c r="G74" s="1330">
        <f t="shared" si="5"/>
        <v>-32.600000000005821</v>
      </c>
      <c r="H74" s="460">
        <f>G74+'21'!H74</f>
        <v>26</v>
      </c>
      <c r="I74" s="480"/>
      <c r="J74" s="552">
        <f>H74/DAY(B2)</f>
        <v>1.1818181818181819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'21'!F75</f>
        <v>19344.88</v>
      </c>
      <c r="F75" s="521">
        <v>14890.3</v>
      </c>
      <c r="G75" s="1330">
        <f t="shared" si="5"/>
        <v>-4454.5800000000017</v>
      </c>
      <c r="H75" s="460">
        <f>G75+'21'!H75</f>
        <v>-1180.7000000000007</v>
      </c>
      <c r="I75" s="480"/>
      <c r="J75" s="552">
        <f>H75/DAY(B2)</f>
        <v>-53.66818181818185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'21'!F76</f>
        <v>10710.35</v>
      </c>
      <c r="F76" s="646">
        <v>8735.59</v>
      </c>
      <c r="G76" s="1330">
        <f t="shared" si="5"/>
        <v>-1974.7600000000002</v>
      </c>
      <c r="H76" s="460">
        <f>G76+'21'!H76</f>
        <v>516.59000000000015</v>
      </c>
      <c r="I76" s="505"/>
      <c r="J76" s="552">
        <f>H76/DAY(B2)</f>
        <v>23.481363636363643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'21'!F77</f>
        <v>705719</v>
      </c>
      <c r="F77" s="521">
        <v>703938</v>
      </c>
      <c r="G77" s="1330">
        <f t="shared" si="5"/>
        <v>-1781</v>
      </c>
      <c r="H77" s="460">
        <f>G77+'21'!H77</f>
        <v>-436</v>
      </c>
      <c r="I77" s="505"/>
      <c r="J77" s="552">
        <f>H77/DAY(B2)</f>
        <v>-19.818181818181817</v>
      </c>
      <c r="K77" s="430"/>
      <c r="L77" s="377"/>
      <c r="N77" s="382"/>
      <c r="O77" s="382"/>
    </row>
    <row r="78" spans="1:15" ht="27.75">
      <c r="A78" s="1363" t="s">
        <v>196</v>
      </c>
      <c r="B78" s="1357"/>
      <c r="C78" s="1357"/>
      <c r="D78" s="523" t="s">
        <v>186</v>
      </c>
      <c r="E78" s="521">
        <f>'21'!F78</f>
        <v>677498</v>
      </c>
      <c r="F78" s="521">
        <v>674672</v>
      </c>
      <c r="G78" s="1330">
        <f t="shared" si="5"/>
        <v>-2826</v>
      </c>
      <c r="H78" s="460">
        <f>G78+'21'!H78</f>
        <v>-742</v>
      </c>
      <c r="I78" s="505"/>
      <c r="J78" s="552">
        <f>H78/DAY(B2)</f>
        <v>-33.727272727272727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'21'!F79</f>
        <v>838729</v>
      </c>
      <c r="F79" s="521">
        <v>834225</v>
      </c>
      <c r="G79" s="1330">
        <f t="shared" si="5"/>
        <v>-4504</v>
      </c>
      <c r="H79" s="460">
        <f>G79+'21'!H79</f>
        <v>-1929</v>
      </c>
      <c r="I79" s="505"/>
      <c r="J79" s="552">
        <f>H79/DAY(B2)</f>
        <v>-87.681818181818187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'21'!F80</f>
        <v>548018</v>
      </c>
      <c r="F80" s="520">
        <v>535818</v>
      </c>
      <c r="G80" s="1330">
        <f t="shared" si="5"/>
        <v>-12200</v>
      </c>
      <c r="H80" s="460">
        <f>G80+'21'!H80</f>
        <v>-6573</v>
      </c>
      <c r="I80" s="505"/>
      <c r="J80" s="552">
        <f>H80/DAY(B2)</f>
        <v>-298.77272727272725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'21'!F81</f>
        <v>647097</v>
      </c>
      <c r="F81" s="520">
        <v>641810</v>
      </c>
      <c r="G81" s="1330">
        <f t="shared" si="5"/>
        <v>-5287</v>
      </c>
      <c r="H81" s="460">
        <f>G81+'21'!H81</f>
        <v>-1175</v>
      </c>
      <c r="I81" s="505"/>
      <c r="J81" s="552">
        <f>H81/DAY(B2)</f>
        <v>-53.409090909090907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'21'!F82</f>
        <v>109128.52</v>
      </c>
      <c r="F82" s="522">
        <v>108541</v>
      </c>
      <c r="G82" s="1330">
        <f t="shared" si="5"/>
        <v>-587.52000000000407</v>
      </c>
      <c r="H82" s="460">
        <f>G82+'21'!H82</f>
        <v>-140</v>
      </c>
      <c r="I82" s="486"/>
      <c r="J82" s="552">
        <f>H82/DAY(B2)</f>
        <v>-6.3636363636363633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'21'!F83</f>
        <v>32534</v>
      </c>
      <c r="F83" s="511">
        <v>25375</v>
      </c>
      <c r="G83" s="1330">
        <f t="shared" si="5"/>
        <v>-7159</v>
      </c>
      <c r="H83" s="460">
        <f>G83+'21'!H83</f>
        <v>-2176</v>
      </c>
      <c r="I83" s="481"/>
      <c r="J83" s="552">
        <f>H83/DAY(B2)</f>
        <v>-98.909090909090907</v>
      </c>
      <c r="K83" s="429"/>
      <c r="L83" s="377"/>
      <c r="N83" s="382"/>
      <c r="O83" s="721"/>
    </row>
    <row r="84" spans="1:15">
      <c r="A84" s="1364" t="s">
        <v>200</v>
      </c>
      <c r="B84" s="571"/>
      <c r="C84" s="571"/>
      <c r="D84" s="478" t="s">
        <v>131</v>
      </c>
      <c r="E84" s="627">
        <f>'21'!F84</f>
        <v>539560</v>
      </c>
      <c r="F84" s="627">
        <v>516617</v>
      </c>
      <c r="G84" s="1330">
        <f t="shared" si="5"/>
        <v>-22943</v>
      </c>
      <c r="H84" s="460">
        <f>G84+'21'!H84</f>
        <v>-6463</v>
      </c>
      <c r="I84" s="481"/>
      <c r="J84" s="552">
        <f>H84/DAY(B2)</f>
        <v>-293.77272727272725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-64143.460000000014</v>
      </c>
      <c r="H85" s="460">
        <f>G85+'21'!H85</f>
        <v>-17375.110000000008</v>
      </c>
      <c r="I85" s="481"/>
      <c r="J85" s="552">
        <f>H85/DAY(B2)</f>
        <v>-789.77772727272759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'21'!F86</f>
        <v>462300.52</v>
      </c>
      <c r="F86" s="647">
        <v>461545.16</v>
      </c>
      <c r="G86" s="1344">
        <f t="shared" ref="G86:G88" si="6">F86-E86</f>
        <v>-755.36000000004424</v>
      </c>
      <c r="H86" s="460">
        <f>G86+'21'!H86</f>
        <v>-684.68000000005122</v>
      </c>
      <c r="I86" s="652"/>
      <c r="J86" s="707">
        <f>H86/DAY(B2)</f>
        <v>-31.121818181820512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'21'!F87</f>
        <v>82655.8</v>
      </c>
      <c r="F87" s="647">
        <v>81850.100000000006</v>
      </c>
      <c r="G87" s="1344">
        <f t="shared" si="6"/>
        <v>-805.69999999999709</v>
      </c>
      <c r="H87" s="460">
        <f>G87+'21'!H87</f>
        <v>-692.89999999999418</v>
      </c>
      <c r="I87" s="652"/>
      <c r="J87" s="707">
        <f>H87/DAY(B2)</f>
        <v>-31.49545454545428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'21'!F88</f>
        <v>157718.82999999999</v>
      </c>
      <c r="F88" s="647">
        <v>154464</v>
      </c>
      <c r="G88" s="1344">
        <f t="shared" si="6"/>
        <v>-3254.8299999999872</v>
      </c>
      <c r="H88" s="460">
        <f>G88+'21'!H88</f>
        <v>-2781.7200000000012</v>
      </c>
      <c r="I88" s="652"/>
      <c r="J88" s="707">
        <f>H88/DAY(B2)</f>
        <v>-126.44181818181823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'21'!F89</f>
        <v>66668.5</v>
      </c>
      <c r="F89" s="647">
        <v>65625</v>
      </c>
      <c r="G89" s="1344">
        <f t="shared" ref="G89:G91" si="7">F89-E89</f>
        <v>-1043.5</v>
      </c>
      <c r="H89" s="460">
        <f>G89+'21'!H89</f>
        <v>-935.80000000000291</v>
      </c>
      <c r="I89" s="652"/>
      <c r="J89" s="707">
        <f>H89/DAY(B2)</f>
        <v>-42.536363636363767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'21'!F90</f>
        <v>3416</v>
      </c>
      <c r="F90" s="647">
        <v>3319.7</v>
      </c>
      <c r="G90" s="1344">
        <f t="shared" si="7"/>
        <v>-96.300000000000182</v>
      </c>
      <c r="H90" s="460">
        <f>G90+'21'!H90</f>
        <v>-88.300000000000182</v>
      </c>
      <c r="I90" s="652"/>
      <c r="J90" s="707">
        <f>H90/DAY(B2)</f>
        <v>-4.0136363636363717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'21'!F91</f>
        <v>28422.5</v>
      </c>
      <c r="F91" s="647">
        <v>28182.46</v>
      </c>
      <c r="G91" s="705">
        <f t="shared" si="7"/>
        <v>-240.04000000000087</v>
      </c>
      <c r="H91" s="460">
        <f>G91+'21'!H91</f>
        <v>-220.54000000000087</v>
      </c>
      <c r="I91" s="652"/>
      <c r="J91" s="707">
        <f>H91/DAY(B2)</f>
        <v>-10.024545454545494</v>
      </c>
      <c r="K91" s="733"/>
      <c r="L91" s="734"/>
      <c r="N91" s="777"/>
      <c r="O91" s="382"/>
    </row>
    <row r="92" spans="1:15" s="379" customFormat="1">
      <c r="A92" s="606" t="s">
        <v>204</v>
      </c>
      <c r="B92" s="1366"/>
      <c r="C92" s="1366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'21'!F93</f>
        <v>249421</v>
      </c>
      <c r="F93" s="484">
        <v>246753</v>
      </c>
      <c r="G93" s="1330">
        <f t="shared" ref="G93:G94" si="8">F93-E93</f>
        <v>-2668</v>
      </c>
      <c r="H93" s="460">
        <f>G93+'21'!H93</f>
        <v>-599</v>
      </c>
      <c r="I93" s="480"/>
      <c r="J93" s="552">
        <f>H93/DAY(B2)</f>
        <v>-27.227272727272727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'21'!F94</f>
        <v>192038</v>
      </c>
      <c r="F94" s="484">
        <v>188599</v>
      </c>
      <c r="G94" s="1330">
        <f t="shared" si="8"/>
        <v>-3439</v>
      </c>
      <c r="H94" s="460">
        <f>G94+'21'!H94</f>
        <v>-855</v>
      </c>
      <c r="I94" s="480"/>
      <c r="J94" s="552">
        <f>H94/DAY(B2)</f>
        <v>-38.863636363636367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'21'!F95</f>
        <v>0</v>
      </c>
      <c r="F95" s="484"/>
      <c r="G95" s="1330">
        <f>G93+G94</f>
        <v>-6107</v>
      </c>
      <c r="H95" s="460">
        <f>G95+'21'!H95</f>
        <v>-1640</v>
      </c>
      <c r="I95" s="480"/>
      <c r="J95" s="552">
        <f>H95/DAY(B2)</f>
        <v>-74.545454545454547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'21'!F96</f>
        <v>417840</v>
      </c>
      <c r="F96" s="484">
        <v>415490</v>
      </c>
      <c r="G96" s="1330">
        <f t="shared" ref="G96:G101" si="9">F96-E96</f>
        <v>-2350</v>
      </c>
      <c r="H96" s="460">
        <f>G96+'21'!H96</f>
        <v>-509</v>
      </c>
      <c r="I96" s="480"/>
      <c r="J96" s="552">
        <f>H96/DAY(B2)</f>
        <v>-23.136363636363637</v>
      </c>
      <c r="K96" s="380"/>
      <c r="L96" s="377"/>
      <c r="N96" s="382"/>
      <c r="O96" s="382"/>
    </row>
    <row r="97" spans="1:15" ht="27.75">
      <c r="A97" s="1360" t="s">
        <v>209</v>
      </c>
      <c r="B97" s="1361"/>
      <c r="C97" s="1361"/>
      <c r="D97" s="523" t="s">
        <v>143</v>
      </c>
      <c r="E97" s="484">
        <f>'21'!F97</f>
        <v>103622</v>
      </c>
      <c r="F97" s="484">
        <v>102993</v>
      </c>
      <c r="G97" s="1330">
        <f t="shared" si="9"/>
        <v>-629</v>
      </c>
      <c r="H97" s="460">
        <f>G97+'21'!H97</f>
        <v>-170</v>
      </c>
      <c r="I97" s="480"/>
      <c r="J97" s="552">
        <f>H97/DAY(B2)</f>
        <v>-7.7272727272727275</v>
      </c>
      <c r="K97" s="427"/>
      <c r="L97" s="377"/>
      <c r="N97" s="382"/>
      <c r="O97" s="382"/>
    </row>
    <row r="98" spans="1:15" ht="27.75">
      <c r="A98" s="1360" t="s">
        <v>210</v>
      </c>
      <c r="B98" s="1361"/>
      <c r="C98" s="1361"/>
      <c r="D98" s="523" t="s">
        <v>143</v>
      </c>
      <c r="E98" s="484">
        <f>'21'!F98</f>
        <v>99182</v>
      </c>
      <c r="F98" s="484">
        <v>98470</v>
      </c>
      <c r="G98" s="1330">
        <f t="shared" si="9"/>
        <v>-712</v>
      </c>
      <c r="H98" s="460">
        <f>G98+'21'!H98</f>
        <v>-187</v>
      </c>
      <c r="I98" s="480"/>
      <c r="J98" s="552">
        <f>H98/DAY(B2)</f>
        <v>-8.5</v>
      </c>
      <c r="K98" s="432"/>
      <c r="L98" s="377"/>
      <c r="N98" s="382"/>
      <c r="O98" s="382"/>
    </row>
    <row r="99" spans="1:15" ht="27.75">
      <c r="A99" s="1360" t="s">
        <v>211</v>
      </c>
      <c r="B99" s="1361"/>
      <c r="C99" s="1361"/>
      <c r="D99" s="523" t="s">
        <v>143</v>
      </c>
      <c r="E99" s="484">
        <f>'21'!F99</f>
        <v>150998</v>
      </c>
      <c r="F99" s="484">
        <v>150108</v>
      </c>
      <c r="G99" s="1330">
        <f t="shared" si="9"/>
        <v>-890</v>
      </c>
      <c r="H99" s="460">
        <f>G99+'21'!H99</f>
        <v>-297</v>
      </c>
      <c r="I99" s="480"/>
      <c r="J99" s="552">
        <f>H99/DAY(B2)</f>
        <v>-13.5</v>
      </c>
      <c r="K99" s="380"/>
      <c r="L99" s="377"/>
      <c r="N99" s="382"/>
      <c r="O99" s="382"/>
    </row>
    <row r="100" spans="1:15" ht="27.75">
      <c r="A100" s="1360" t="s">
        <v>212</v>
      </c>
      <c r="B100" s="1361"/>
      <c r="C100" s="1361"/>
      <c r="D100" s="523" t="s">
        <v>143</v>
      </c>
      <c r="E100" s="484">
        <f>'21'!F100</f>
        <v>8033</v>
      </c>
      <c r="F100" s="484">
        <v>7645</v>
      </c>
      <c r="G100" s="1330">
        <f t="shared" si="9"/>
        <v>-388</v>
      </c>
      <c r="H100" s="460">
        <f>G100+'21'!H100</f>
        <v>-152</v>
      </c>
      <c r="I100" s="480"/>
      <c r="J100" s="552">
        <f>H100/DAY(B2)</f>
        <v>-6.9090909090909092</v>
      </c>
      <c r="K100" s="380"/>
      <c r="L100" s="377"/>
      <c r="N100" s="382"/>
      <c r="O100" s="382"/>
    </row>
    <row r="101" spans="1:15" ht="27.75">
      <c r="A101" s="1360" t="s">
        <v>213</v>
      </c>
      <c r="B101" s="1361"/>
      <c r="C101" s="1361"/>
      <c r="D101" s="523" t="s">
        <v>143</v>
      </c>
      <c r="E101" s="484">
        <f>'21'!F101</f>
        <v>5885</v>
      </c>
      <c r="F101" s="484">
        <v>5587</v>
      </c>
      <c r="G101" s="1330">
        <f t="shared" si="9"/>
        <v>-298</v>
      </c>
      <c r="H101" s="460">
        <f>G101+'21'!H101</f>
        <v>-87</v>
      </c>
      <c r="I101" s="480"/>
      <c r="J101" s="552">
        <f>H101/DAY(B2)</f>
        <v>-3.9545454545454546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-5267</v>
      </c>
      <c r="H102" s="460">
        <f>G102+'21'!H102</f>
        <v>-1402</v>
      </c>
      <c r="I102" s="526"/>
      <c r="J102" s="552">
        <f>H102/DAY(B2)</f>
        <v>-63.727272727272727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59"/>
      <c r="D105" s="622" t="s">
        <v>143</v>
      </c>
      <c r="E105" s="532">
        <f>'21'!F105</f>
        <v>7637</v>
      </c>
      <c r="F105" s="532">
        <v>7637</v>
      </c>
      <c r="G105" s="1347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51" t="s">
        <v>76</v>
      </c>
      <c r="B106" s="1552"/>
      <c r="C106" s="1359"/>
      <c r="D106" s="622" t="s">
        <v>143</v>
      </c>
      <c r="E106" s="534">
        <f>'21'!F106</f>
        <v>36364</v>
      </c>
      <c r="F106" s="534">
        <v>36089</v>
      </c>
      <c r="G106" s="1347">
        <f t="shared" ref="G106:G107" si="10">F106-E106</f>
        <v>-275</v>
      </c>
      <c r="H106" s="460">
        <f>SUM(G106+'1'!G77)</f>
        <v>-222</v>
      </c>
      <c r="I106" s="532"/>
      <c r="J106" s="558">
        <f>H106/DAY(B2)</f>
        <v>-10.090909090909092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'21'!F107</f>
        <v>19914</v>
      </c>
      <c r="F107" s="532">
        <v>19789</v>
      </c>
      <c r="G107" s="1347">
        <f t="shared" si="10"/>
        <v>-125</v>
      </c>
      <c r="H107" s="460">
        <f>SUM(G107+'1'!G78)</f>
        <v>-11</v>
      </c>
      <c r="I107" s="532"/>
      <c r="J107" s="558">
        <f>H107/DAY(B2)</f>
        <v>-0.5</v>
      </c>
      <c r="N107" s="444"/>
      <c r="O107" s="382"/>
    </row>
    <row r="108" spans="1:15" s="442" customFormat="1" ht="27.75">
      <c r="A108" s="1553" t="s">
        <v>201</v>
      </c>
      <c r="B108" s="1554"/>
      <c r="C108" s="1359"/>
      <c r="D108" s="622"/>
      <c r="E108" s="532">
        <f>'21'!F108</f>
        <v>0</v>
      </c>
      <c r="F108" s="532"/>
      <c r="G108" s="1347">
        <f>SUM(G105:G107)</f>
        <v>-400</v>
      </c>
      <c r="H108" s="460">
        <f>SUM(G108+'1'!G79)</f>
        <v>-247</v>
      </c>
      <c r="I108" s="532"/>
      <c r="J108" s="558">
        <f>H108/DAY(B2)</f>
        <v>-11.227272727272727</v>
      </c>
      <c r="N108" s="444"/>
      <c r="O108" s="382"/>
    </row>
    <row r="109" spans="1:15" s="442" customFormat="1" ht="27.75">
      <c r="A109" s="1557" t="s">
        <v>78</v>
      </c>
      <c r="B109" s="1558"/>
      <c r="C109" s="1359"/>
      <c r="D109" s="622" t="s">
        <v>143</v>
      </c>
      <c r="E109" s="532">
        <f>'21'!F109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59"/>
      <c r="D110" s="622" t="s">
        <v>143</v>
      </c>
      <c r="E110" s="532">
        <f>'21'!F110</f>
        <v>66368</v>
      </c>
      <c r="F110" s="532">
        <v>64330</v>
      </c>
      <c r="G110" s="1347">
        <f>F110-E110</f>
        <v>-2038</v>
      </c>
      <c r="H110" s="460">
        <f>SUM(G110+'1'!G81)</f>
        <v>-1906.359999999986</v>
      </c>
      <c r="I110" s="532"/>
      <c r="J110" s="558">
        <f>H110/DAY(B2)</f>
        <v>-86.652727272726636</v>
      </c>
      <c r="N110" s="444"/>
      <c r="O110" s="382"/>
    </row>
    <row r="111" spans="1:15" s="442" customFormat="1" ht="27.75">
      <c r="A111" s="1551" t="s">
        <v>220</v>
      </c>
      <c r="B111" s="1552"/>
      <c r="C111" s="1359"/>
      <c r="D111" s="622" t="s">
        <v>143</v>
      </c>
      <c r="E111" s="532">
        <f>'21'!F111</f>
        <v>33718</v>
      </c>
      <c r="F111" s="532">
        <v>32833</v>
      </c>
      <c r="G111" s="1347">
        <f t="shared" ref="G111:G112" si="11">F111-E111</f>
        <v>-885</v>
      </c>
      <c r="H111" s="460">
        <f>SUM(G111+'1'!G82)</f>
        <v>-860.10000000000582</v>
      </c>
      <c r="I111" s="532"/>
      <c r="J111" s="558">
        <f>H111/DAY(B2)</f>
        <v>-39.095454545454807</v>
      </c>
      <c r="N111" s="444"/>
      <c r="O111" s="382"/>
    </row>
    <row r="112" spans="1:15" s="442" customFormat="1" ht="27.75">
      <c r="A112" s="1551" t="s">
        <v>221</v>
      </c>
      <c r="B112" s="1552"/>
      <c r="C112" s="1359"/>
      <c r="D112" s="622" t="s">
        <v>143</v>
      </c>
      <c r="E112" s="532">
        <f>'21'!F112</f>
        <v>4622</v>
      </c>
      <c r="F112" s="532">
        <v>4621</v>
      </c>
      <c r="G112" s="1347">
        <f t="shared" si="11"/>
        <v>-1</v>
      </c>
      <c r="H112" s="460">
        <f>SUM(G112+'1'!G83)</f>
        <v>350</v>
      </c>
      <c r="I112" s="532"/>
      <c r="J112" s="558">
        <f>H112/DAY(B2)</f>
        <v>15.909090909090908</v>
      </c>
      <c r="N112" s="444"/>
      <c r="O112" s="382"/>
    </row>
    <row r="113" spans="1:15" s="442" customFormat="1" ht="27.75">
      <c r="A113" s="1555" t="s">
        <v>109</v>
      </c>
      <c r="B113" s="1556"/>
      <c r="C113" s="1359"/>
      <c r="D113" s="622"/>
      <c r="E113" s="532">
        <f>'21'!F113</f>
        <v>0</v>
      </c>
      <c r="F113" s="532"/>
      <c r="G113" s="1347">
        <f>SUM(G110:G112)</f>
        <v>-2924</v>
      </c>
      <c r="H113" s="460">
        <f>SUM(G113+'1'!G84)</f>
        <v>-2108</v>
      </c>
      <c r="I113" s="532"/>
      <c r="J113" s="558">
        <f>H113/DAY(B2)</f>
        <v>-95.818181818181813</v>
      </c>
      <c r="N113" s="444"/>
      <c r="O113" s="382"/>
    </row>
    <row r="114" spans="1:15" s="442" customFormat="1" ht="27.75">
      <c r="A114" s="1557" t="s">
        <v>222</v>
      </c>
      <c r="B114" s="1558"/>
      <c r="C114" s="1359"/>
      <c r="D114" s="622"/>
      <c r="E114" s="532">
        <f>'21'!F114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'21'!F115</f>
        <v>12306</v>
      </c>
      <c r="F115" s="534">
        <v>11834</v>
      </c>
      <c r="G115" s="1348">
        <f>F115-E115</f>
        <v>-472</v>
      </c>
      <c r="H115" s="460">
        <f>SUM(G115+'1'!G92)</f>
        <v>-472</v>
      </c>
      <c r="I115" s="532"/>
      <c r="J115" s="558">
        <f>H115/DAY(B2)</f>
        <v>-21.454545454545453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'21'!F116</f>
        <v>8732</v>
      </c>
      <c r="F116" s="534">
        <v>8483</v>
      </c>
      <c r="G116" s="1348">
        <f t="shared" ref="G116:G117" si="12">F116-E116</f>
        <v>-249</v>
      </c>
      <c r="H116" s="460">
        <f>SUM(G116+'1'!G93)</f>
        <v>-160</v>
      </c>
      <c r="I116" s="532"/>
      <c r="J116" s="558">
        <f>H116/DAY(B2)</f>
        <v>-7.2727272727272725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-721</v>
      </c>
      <c r="H118" s="460">
        <f>SUM(G118+'1'!G96)</f>
        <v>-635</v>
      </c>
      <c r="I118" s="534"/>
      <c r="J118" s="558">
        <f>H118/DAY(B2)</f>
        <v>-28.863636363636363</v>
      </c>
      <c r="N118" s="447"/>
      <c r="O118" s="382"/>
    </row>
    <row r="119" spans="1:15" s="446" customFormat="1" ht="27.75">
      <c r="A119" s="1547" t="s">
        <v>226</v>
      </c>
      <c r="B119" s="1548"/>
      <c r="C119" s="1358"/>
      <c r="D119" s="624" t="s">
        <v>143</v>
      </c>
      <c r="E119" s="536"/>
      <c r="F119" s="536">
        <f>SUM(G19+G93)</f>
        <v>-4417</v>
      </c>
      <c r="G119" s="1348">
        <f>SUM(G19+G93)</f>
        <v>-4417</v>
      </c>
      <c r="H119" s="460">
        <f>SUM(G119+'1'!G97)</f>
        <v>-4400</v>
      </c>
      <c r="I119" s="535"/>
      <c r="J119" s="559">
        <f>H119/DAY(B2)</f>
        <v>-200</v>
      </c>
      <c r="N119" s="778"/>
      <c r="O119" s="382"/>
    </row>
    <row r="120" spans="1:15" s="446" customFormat="1" ht="27.75">
      <c r="A120" s="1547" t="s">
        <v>227</v>
      </c>
      <c r="B120" s="1548"/>
      <c r="C120" s="1358"/>
      <c r="D120" s="624" t="s">
        <v>143</v>
      </c>
      <c r="E120" s="536"/>
      <c r="F120" s="536">
        <f>SUM(G96,G97,G98,G100,G101)</f>
        <v>-4377</v>
      </c>
      <c r="G120" s="1348">
        <f>SUM(G96,G97,G98,G100,G101)</f>
        <v>-4377</v>
      </c>
      <c r="H120" s="460">
        <f>SUM(G120+'1'!G99)</f>
        <v>-4327</v>
      </c>
      <c r="I120" s="535"/>
      <c r="J120" s="559">
        <f>H120/DAY(B2)</f>
        <v>-196.68181818181819</v>
      </c>
      <c r="N120" s="778"/>
      <c r="O120" s="382"/>
    </row>
    <row r="121" spans="1:15" s="446" customFormat="1" ht="27.75">
      <c r="A121" s="1547" t="s">
        <v>228</v>
      </c>
      <c r="B121" s="1548"/>
      <c r="C121" s="1358"/>
      <c r="D121" s="624" t="s">
        <v>143</v>
      </c>
      <c r="E121" s="534"/>
      <c r="F121" s="534">
        <f>SUM(G113)</f>
        <v>-2924</v>
      </c>
      <c r="G121" s="1348">
        <f>SUM(G113)</f>
        <v>-2924</v>
      </c>
      <c r="H121" s="460">
        <f>SUM(G121+'1'!G101)</f>
        <v>-2919</v>
      </c>
      <c r="I121" s="535"/>
      <c r="J121" s="559">
        <f>H121/DAY(B2)</f>
        <v>-132.68181818181819</v>
      </c>
      <c r="N121" s="778"/>
      <c r="O121" s="382"/>
    </row>
    <row r="122" spans="1:15" s="442" customFormat="1" ht="27.75">
      <c r="A122" s="1549"/>
      <c r="B122" s="1550"/>
      <c r="C122" s="1359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360" t="s">
        <v>230</v>
      </c>
      <c r="B124" s="1361"/>
      <c r="C124" s="1361"/>
      <c r="D124" s="523" t="s">
        <v>140</v>
      </c>
      <c r="E124" s="478">
        <f>'21'!F124</f>
        <v>845376.68</v>
      </c>
      <c r="F124" s="478">
        <v>837424.77</v>
      </c>
      <c r="G124" s="1330">
        <f t="shared" ref="G124:G128" si="13">F124-E124</f>
        <v>-7951.9100000000326</v>
      </c>
      <c r="H124" s="460">
        <f>G124+'21'!H124</f>
        <v>-2245.2299999999814</v>
      </c>
      <c r="I124" s="526"/>
      <c r="J124" s="552">
        <f>H124/DAY(B2)</f>
        <v>-102.05590909090824</v>
      </c>
      <c r="K124" s="380"/>
      <c r="L124" s="377"/>
      <c r="N124" s="382"/>
      <c r="O124" s="382"/>
    </row>
    <row r="125" spans="1:15" ht="27.75">
      <c r="A125" s="1360" t="s">
        <v>231</v>
      </c>
      <c r="B125" s="1361"/>
      <c r="C125" s="1361"/>
      <c r="D125" s="523" t="s">
        <v>140</v>
      </c>
      <c r="E125" s="626">
        <f>'21'!F125</f>
        <v>73583.399999999994</v>
      </c>
      <c r="F125" s="626">
        <v>73583.399999999994</v>
      </c>
      <c r="G125" s="1330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'21'!F126</f>
        <v>150528.29999999999</v>
      </c>
      <c r="F126" s="478">
        <v>147963.81</v>
      </c>
      <c r="G126" s="1330">
        <f t="shared" si="13"/>
        <v>-2564.4899999999907</v>
      </c>
      <c r="H126" s="460">
        <f>G126+'21'!H126</f>
        <v>-633.19000000000233</v>
      </c>
      <c r="I126" s="526"/>
      <c r="J126" s="552">
        <f>H126/DAY(B2)</f>
        <v>-28.781363636363743</v>
      </c>
      <c r="K126" s="380"/>
      <c r="L126" s="377"/>
      <c r="N126" s="382"/>
      <c r="O126" s="382"/>
    </row>
    <row r="127" spans="1:15" ht="27.75">
      <c r="A127" s="609" t="s">
        <v>233</v>
      </c>
      <c r="B127" s="1361"/>
      <c r="C127" s="1361"/>
      <c r="D127" s="523" t="s">
        <v>140</v>
      </c>
      <c r="E127" s="626">
        <f>'21'!F127</f>
        <v>32878.6</v>
      </c>
      <c r="F127" s="626">
        <v>31791.7</v>
      </c>
      <c r="G127" s="1330">
        <f t="shared" si="13"/>
        <v>-1086.8999999999978</v>
      </c>
      <c r="H127" s="460">
        <f>G127+'21'!H127</f>
        <v>-279.29999999999927</v>
      </c>
      <c r="I127" s="526"/>
      <c r="J127" s="552">
        <f>H127/DAY(B2)</f>
        <v>-12.695454545454512</v>
      </c>
      <c r="K127" s="380"/>
      <c r="L127" s="377"/>
      <c r="N127" s="382"/>
      <c r="O127" s="382"/>
    </row>
    <row r="128" spans="1:15" ht="27.75">
      <c r="A128" s="609" t="s">
        <v>234</v>
      </c>
      <c r="B128" s="1361"/>
      <c r="C128" s="1361"/>
      <c r="D128" s="523" t="s">
        <v>140</v>
      </c>
      <c r="E128" s="626">
        <f>'21'!F128</f>
        <v>9088</v>
      </c>
      <c r="F128" s="626">
        <v>8984.6</v>
      </c>
      <c r="G128" s="1330">
        <f t="shared" si="13"/>
        <v>-103.39999999999964</v>
      </c>
      <c r="H128" s="460">
        <f>G128+'21'!H128</f>
        <v>-27.399999999999636</v>
      </c>
      <c r="I128" s="480"/>
      <c r="J128" s="552">
        <f>H128/DAY(B2)</f>
        <v>-1.2454545454545289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1"/>
      <c r="C129" s="1361"/>
      <c r="D129" s="523"/>
      <c r="E129" s="478"/>
      <c r="F129" s="478"/>
      <c r="G129" s="1330">
        <f>G15-SUM(G124:G128)</f>
        <v>12406.700000000021</v>
      </c>
      <c r="H129" s="460">
        <f>G129+'21'!H129</f>
        <v>14946.337000000098</v>
      </c>
      <c r="I129" s="480"/>
      <c r="J129" s="552">
        <f>H129/DAY(B2)</f>
        <v>679.37895454545901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360" t="s">
        <v>237</v>
      </c>
      <c r="B131" s="1361"/>
      <c r="C131" s="1361"/>
      <c r="D131" s="523" t="s">
        <v>238</v>
      </c>
      <c r="E131" s="484">
        <f>'21'!F131</f>
        <v>0</v>
      </c>
      <c r="F131" s="484">
        <v>0</v>
      </c>
      <c r="G131" s="1330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0" t="s">
        <v>239</v>
      </c>
      <c r="B132" s="1361"/>
      <c r="C132" s="1361"/>
      <c r="D132" s="523" t="s">
        <v>238</v>
      </c>
      <c r="E132" s="484">
        <f>'21'!F132</f>
        <v>0</v>
      </c>
      <c r="F132" s="484">
        <v>0</v>
      </c>
      <c r="G132" s="1330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0" t="s">
        <v>240</v>
      </c>
      <c r="B133" s="1361"/>
      <c r="C133" s="1361"/>
      <c r="D133" s="523" t="s">
        <v>238</v>
      </c>
      <c r="E133" s="541">
        <f>'21'!F133</f>
        <v>40612.1</v>
      </c>
      <c r="F133" s="541">
        <v>40352.080000000002</v>
      </c>
      <c r="G133" s="1330">
        <f t="shared" si="14"/>
        <v>-260.0199999999968</v>
      </c>
      <c r="H133" s="460">
        <f>G133+'21'!H133</f>
        <v>-100.91999999999825</v>
      </c>
      <c r="I133" s="480"/>
      <c r="J133" s="552">
        <f>H133/DAY(B2)</f>
        <v>-4.5872727272726479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'21'!F134</f>
        <v>445.19</v>
      </c>
      <c r="F134" s="541">
        <v>300</v>
      </c>
      <c r="G134" s="1351">
        <f t="shared" si="14"/>
        <v>-145.19</v>
      </c>
      <c r="H134" s="705">
        <f>G134+'21'!H134</f>
        <v>0</v>
      </c>
      <c r="I134" s="1071">
        <f>G131+G132+G133+G134</f>
        <v>-405.2099999999968</v>
      </c>
      <c r="J134" s="707">
        <f>H134/DAY(B2)</f>
        <v>0</v>
      </c>
      <c r="N134" s="713"/>
      <c r="O134" s="713"/>
    </row>
    <row r="135" spans="1:15" ht="27.75">
      <c r="A135" s="1360" t="s">
        <v>242</v>
      </c>
      <c r="B135" s="1361"/>
      <c r="C135" s="1361"/>
      <c r="D135" s="523" t="s">
        <v>238</v>
      </c>
      <c r="E135" s="541">
        <f>'21'!F135</f>
        <v>42313.53</v>
      </c>
      <c r="F135" s="541">
        <v>41839.360000000001</v>
      </c>
      <c r="G135" s="1330">
        <f t="shared" si="14"/>
        <v>-474.16999999999825</v>
      </c>
      <c r="H135" s="460">
        <f>G135+'21'!H135</f>
        <v>-132.63999999999942</v>
      </c>
      <c r="I135" s="480"/>
      <c r="J135" s="552">
        <f>H135/DAY(B2)</f>
        <v>-6.0290909090908826</v>
      </c>
      <c r="N135" s="382"/>
      <c r="O135" s="382"/>
    </row>
    <row r="136" spans="1:15" ht="27.75">
      <c r="A136" s="1360" t="s">
        <v>243</v>
      </c>
      <c r="B136" s="1361"/>
      <c r="C136" s="1361"/>
      <c r="D136" s="523" t="s">
        <v>238</v>
      </c>
      <c r="E136" s="541">
        <f>'21'!F136</f>
        <v>32874</v>
      </c>
      <c r="F136" s="541">
        <v>32874.050000000003</v>
      </c>
      <c r="G136" s="1330">
        <f t="shared" si="14"/>
        <v>5.0000000002910383E-2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60" t="s">
        <v>244</v>
      </c>
      <c r="B137" s="1361"/>
      <c r="C137" s="1361"/>
      <c r="D137" s="523" t="s">
        <v>238</v>
      </c>
      <c r="E137" s="541">
        <f>'21'!F137</f>
        <v>23043.35</v>
      </c>
      <c r="F137" s="541">
        <v>22859.1</v>
      </c>
      <c r="G137" s="1330">
        <f t="shared" si="14"/>
        <v>-184.25</v>
      </c>
      <c r="H137" s="460">
        <f>G137+'21'!H137</f>
        <v>-32.390000000003056</v>
      </c>
      <c r="I137" s="480">
        <f>G135+G136+G137</f>
        <v>-658.36999999999534</v>
      </c>
      <c r="J137" s="552">
        <f>H137/DAY(B2)</f>
        <v>-1.4722727272728662</v>
      </c>
      <c r="N137" s="382"/>
      <c r="O137" s="382"/>
    </row>
    <row r="138" spans="1:15" ht="27.75">
      <c r="A138" s="1360" t="s">
        <v>245</v>
      </c>
      <c r="B138" s="1361"/>
      <c r="C138" s="1361"/>
      <c r="D138" s="523" t="s">
        <v>238</v>
      </c>
      <c r="E138" s="541">
        <f>'21'!F138</f>
        <v>25099.16</v>
      </c>
      <c r="F138" s="541">
        <v>25081.89</v>
      </c>
      <c r="G138" s="1330">
        <f t="shared" si="14"/>
        <v>-17.270000000000437</v>
      </c>
      <c r="H138" s="460">
        <f>G138+'21'!H138</f>
        <v>-9.5</v>
      </c>
      <c r="I138" s="480"/>
      <c r="J138" s="552">
        <f>H138/DAY(B2)</f>
        <v>-0.43181818181818182</v>
      </c>
      <c r="N138" s="382"/>
      <c r="O138" s="382"/>
    </row>
    <row r="139" spans="1:15" ht="27.75">
      <c r="A139" s="1360" t="s">
        <v>246</v>
      </c>
      <c r="B139" s="1361"/>
      <c r="C139" s="1361"/>
      <c r="D139" s="523" t="s">
        <v>238</v>
      </c>
      <c r="E139" s="541">
        <f>'21'!F139</f>
        <v>70516.600000000006</v>
      </c>
      <c r="F139" s="541">
        <v>70496.73</v>
      </c>
      <c r="G139" s="1330">
        <f t="shared" si="14"/>
        <v>-19.870000000009895</v>
      </c>
      <c r="H139" s="460">
        <f>G139+'21'!H139</f>
        <v>-16.889999999999418</v>
      </c>
      <c r="I139" s="480">
        <f>G138+G139</f>
        <v>-37.140000000010332</v>
      </c>
      <c r="J139" s="552">
        <f>H139/DAY(B2)</f>
        <v>-0.76772727272724628</v>
      </c>
      <c r="N139" s="382"/>
      <c r="O139" s="382"/>
    </row>
    <row r="140" spans="1:15" ht="27.75">
      <c r="A140" s="1360" t="s">
        <v>247</v>
      </c>
      <c r="B140" s="1361"/>
      <c r="C140" s="1361"/>
      <c r="D140" s="523" t="s">
        <v>238</v>
      </c>
      <c r="E140" s="484">
        <f>'21'!F140</f>
        <v>2247.77</v>
      </c>
      <c r="F140" s="484">
        <v>2046.1</v>
      </c>
      <c r="G140" s="1330">
        <f t="shared" si="14"/>
        <v>-201.67000000000007</v>
      </c>
      <c r="H140" s="460">
        <f>G140+'21'!H140</f>
        <v>-83.079999999999927</v>
      </c>
      <c r="I140" s="542"/>
      <c r="J140" s="552">
        <f>H140/DAY(B2)</f>
        <v>-3.7763636363636333</v>
      </c>
      <c r="N140" s="382"/>
      <c r="O140" s="382"/>
    </row>
    <row r="141" spans="1:15" ht="27.75">
      <c r="A141" s="1360" t="s">
        <v>248</v>
      </c>
      <c r="B141" s="1361"/>
      <c r="C141" s="1361"/>
      <c r="D141" s="523" t="s">
        <v>238</v>
      </c>
      <c r="E141" s="484">
        <f>'21'!F141</f>
        <v>4724.13</v>
      </c>
      <c r="F141" s="484">
        <v>4636.88</v>
      </c>
      <c r="G141" s="1330">
        <f t="shared" si="14"/>
        <v>-87.25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62" t="s">
        <v>249</v>
      </c>
      <c r="B142" s="1563"/>
      <c r="C142" s="1366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-164611.81999999995</v>
      </c>
      <c r="H143" s="460">
        <f>G143+'21'!H143</f>
        <v>-47863.589999999851</v>
      </c>
      <c r="I143" s="480"/>
      <c r="J143" s="552">
        <f>H143/DAY(B2)</f>
        <v>-2175.6177272727205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-7.65636372093023</v>
      </c>
      <c r="H144" s="460">
        <f>G144+'21'!H144</f>
        <v>-2.3408870929195551</v>
      </c>
      <c r="I144" s="544"/>
      <c r="J144" s="552">
        <f>H144/DAY(B2)</f>
        <v>-0.10640395876907069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-189822.89999999991</v>
      </c>
      <c r="H145" s="460">
        <f>G145+'21'!H145</f>
        <v>-48098.139999999956</v>
      </c>
      <c r="I145" s="480"/>
      <c r="J145" s="552">
        <f>H145/DAY(B2)</f>
        <v>-2186.2790909090891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-8.8289720930232516</v>
      </c>
      <c r="H146" s="460">
        <f>G146+'21'!H146</f>
        <v>-2.4071402769294368</v>
      </c>
      <c r="I146" s="544"/>
      <c r="J146" s="552">
        <f>H146/DAY(B2)</f>
        <v>-0.10941546713315621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-106711.96000000002</v>
      </c>
      <c r="H147" s="460">
        <f>G147+'21'!H147</f>
        <v>-28984.419999999984</v>
      </c>
      <c r="I147" s="545"/>
      <c r="J147" s="552">
        <f>H147/DAY(B2)</f>
        <v>-1317.4736363636357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-4.9633469767441873</v>
      </c>
      <c r="H148" s="460">
        <f>G148+'21'!H148</f>
        <v>-1.4264066270393361</v>
      </c>
      <c r="I148" s="545"/>
      <c r="J148" s="552">
        <f>H148/DAY(B2)</f>
        <v>-6.4836664865424373E-2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-46569.16</v>
      </c>
      <c r="H149" s="460">
        <f>G149+'21'!H149</f>
        <v>-12543.180000000051</v>
      </c>
      <c r="I149" s="480"/>
      <c r="J149" s="552">
        <f>H149/DAY(B2)</f>
        <v>-570.14454545454782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-2.1660074418604651</v>
      </c>
      <c r="H150" s="460">
        <f>G150+'21'!H150</f>
        <v>-0.6211333544324058</v>
      </c>
      <c r="I150" s="545"/>
      <c r="J150" s="552">
        <f>H150/DAY(B2)</f>
        <v>-2.8233334292382083E-2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-58363.930000000051</v>
      </c>
      <c r="H151" s="460">
        <f>G151+'21'!H151</f>
        <v>-14763.340000000011</v>
      </c>
      <c r="I151" s="545"/>
      <c r="J151" s="552">
        <f>H151/DAY(B2)</f>
        <v>-671.0609090909096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-2.7146013953488395</v>
      </c>
      <c r="H152" s="460">
        <f>G152+'21'!H152</f>
        <v>-0.74369567819560434</v>
      </c>
      <c r="I152" s="480"/>
      <c r="J152" s="552">
        <f>H152/DAY(B2)</f>
        <v>-3.3804349008891107E-2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-44973.770000000019</v>
      </c>
      <c r="H153" s="460">
        <f>G153+'21'!H153</f>
        <v>-11714.880000000005</v>
      </c>
      <c r="I153" s="480"/>
      <c r="J153" s="552">
        <f>H153/DAY(B2)</f>
        <v>-532.49454545454569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-2.0918032558139545</v>
      </c>
      <c r="H154" s="460">
        <f>G154+'21'!H154</f>
        <v>-0.58086100513225269</v>
      </c>
      <c r="I154" s="568"/>
      <c r="J154" s="569">
        <f>H154/DAY(B2)</f>
        <v>-2.6402772960556941E-2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8">
      <c r="A161" s="784" t="s">
        <v>262</v>
      </c>
      <c r="B161" s="785"/>
      <c r="C161" s="785"/>
      <c r="D161" s="511" t="s">
        <v>186</v>
      </c>
      <c r="E161" s="658">
        <f>'21'!F161</f>
        <v>42528.83</v>
      </c>
      <c r="F161" s="658">
        <v>40200.47</v>
      </c>
      <c r="G161" s="1330">
        <f t="shared" ref="G161:G164" si="15">F161-E161</f>
        <v>-2328.3600000000006</v>
      </c>
      <c r="H161" s="538">
        <v>68.809999999999491</v>
      </c>
    </row>
    <row r="162" spans="1:8">
      <c r="A162" s="784" t="s">
        <v>263</v>
      </c>
      <c r="B162" s="785"/>
      <c r="C162" s="785"/>
      <c r="D162" s="511" t="s">
        <v>186</v>
      </c>
      <c r="E162" s="658">
        <f>'21'!F162</f>
        <v>117387.67</v>
      </c>
      <c r="F162" s="658">
        <v>104144.94</v>
      </c>
      <c r="G162" s="1330">
        <f t="shared" si="15"/>
        <v>-13242.729999999996</v>
      </c>
      <c r="H162" s="538">
        <v>128.56999999999994</v>
      </c>
    </row>
    <row r="163" spans="1:8">
      <c r="A163" s="784" t="s">
        <v>264</v>
      </c>
      <c r="B163" s="785"/>
      <c r="C163" s="785"/>
      <c r="D163" s="511" t="s">
        <v>186</v>
      </c>
      <c r="E163" s="658">
        <f>'21'!F163</f>
        <v>65520.22</v>
      </c>
      <c r="F163" s="658">
        <v>49602.1</v>
      </c>
      <c r="G163" s="1330">
        <f t="shared" si="15"/>
        <v>-15918.120000000003</v>
      </c>
      <c r="H163" s="538">
        <v>141.49</v>
      </c>
    </row>
    <row r="164" spans="1:8">
      <c r="A164" s="784" t="s">
        <v>265</v>
      </c>
      <c r="B164" s="785"/>
      <c r="C164" s="785"/>
      <c r="D164" s="511" t="s">
        <v>186</v>
      </c>
      <c r="E164" s="658">
        <f>'21'!F164</f>
        <v>7048.78</v>
      </c>
      <c r="F164" s="658">
        <v>6769.2</v>
      </c>
      <c r="G164" s="1330">
        <f t="shared" si="15"/>
        <v>-279.57999999999993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0">
        <v>0</v>
      </c>
      <c r="H165" s="538">
        <v>0</v>
      </c>
    </row>
    <row r="166" spans="1:8">
      <c r="A166" s="786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0">
        <f t="shared" ref="G166:G172" si="18">F166-E166</f>
        <v>0</v>
      </c>
      <c r="H166" s="538">
        <v>0</v>
      </c>
    </row>
    <row r="167" spans="1:8" ht="27.75">
      <c r="A167" s="1546" t="s">
        <v>98</v>
      </c>
      <c r="B167" s="1546"/>
      <c r="C167" s="1546"/>
      <c r="D167" s="523" t="s">
        <v>186</v>
      </c>
      <c r="E167" s="514">
        <f t="shared" si="16"/>
        <v>178152.49</v>
      </c>
      <c r="F167" s="514">
        <f t="shared" si="17"/>
        <v>167012.26</v>
      </c>
      <c r="G167" s="1330">
        <f t="shared" si="18"/>
        <v>-11140.229999999981</v>
      </c>
      <c r="H167" s="538">
        <v>178.5199999999968</v>
      </c>
    </row>
    <row r="168" spans="1:8" ht="27.75">
      <c r="A168" s="1546" t="s">
        <v>99</v>
      </c>
      <c r="B168" s="1546"/>
      <c r="C168" s="1546"/>
      <c r="D168" s="523" t="s">
        <v>186</v>
      </c>
      <c r="E168" s="514">
        <f t="shared" si="16"/>
        <v>178292.59</v>
      </c>
      <c r="F168" s="514">
        <f t="shared" si="17"/>
        <v>167241.76999999999</v>
      </c>
      <c r="G168" s="1330">
        <f t="shared" si="18"/>
        <v>-11050.820000000007</v>
      </c>
      <c r="H168" s="538">
        <v>198.38999999999942</v>
      </c>
    </row>
    <row r="169" spans="1:8" ht="27.75">
      <c r="A169" s="1546" t="s">
        <v>100</v>
      </c>
      <c r="B169" s="1546"/>
      <c r="C169" s="1546"/>
      <c r="D169" s="523" t="s">
        <v>186</v>
      </c>
      <c r="E169" s="514">
        <f t="shared" si="16"/>
        <v>76625.75</v>
      </c>
      <c r="F169" s="514">
        <f t="shared" si="17"/>
        <v>64618.53</v>
      </c>
      <c r="G169" s="1330">
        <f t="shared" si="18"/>
        <v>-12007.220000000001</v>
      </c>
      <c r="H169" s="538">
        <v>226.35000000000582</v>
      </c>
    </row>
    <row r="170" spans="1:8" ht="27.75">
      <c r="A170" s="1546" t="s">
        <v>101</v>
      </c>
      <c r="B170" s="1546"/>
      <c r="C170" s="1546"/>
      <c r="D170" s="523" t="s">
        <v>186</v>
      </c>
      <c r="E170" s="514">
        <f t="shared" si="16"/>
        <v>274928.11</v>
      </c>
      <c r="F170" s="514">
        <f t="shared" si="17"/>
        <v>261392</v>
      </c>
      <c r="G170" s="1330">
        <f t="shared" si="18"/>
        <v>-13536.109999999986</v>
      </c>
      <c r="H170" s="538">
        <v>312.47000000000116</v>
      </c>
    </row>
    <row r="171" spans="1:8" ht="27.75">
      <c r="A171" s="1546" t="s">
        <v>102</v>
      </c>
      <c r="B171" s="1546"/>
      <c r="C171" s="1546"/>
      <c r="D171" s="523" t="s">
        <v>186</v>
      </c>
      <c r="E171" s="514">
        <f t="shared" si="16"/>
        <v>85321</v>
      </c>
      <c r="F171" s="514">
        <f t="shared" si="17"/>
        <v>85321</v>
      </c>
      <c r="G171" s="1330">
        <f t="shared" si="18"/>
        <v>0</v>
      </c>
      <c r="H171" s="538">
        <v>142.1200000000008</v>
      </c>
    </row>
    <row r="172" spans="1:8" ht="27.75">
      <c r="A172" s="1546" t="s">
        <v>103</v>
      </c>
      <c r="B172" s="1546"/>
      <c r="C172" s="1546"/>
      <c r="D172" s="523" t="s">
        <v>186</v>
      </c>
      <c r="E172" s="514">
        <f t="shared" si="16"/>
        <v>93221.18</v>
      </c>
      <c r="F172" s="514">
        <f t="shared" si="17"/>
        <v>85602.95</v>
      </c>
      <c r="G172" s="1330">
        <f t="shared" si="18"/>
        <v>-7618.2299999999959</v>
      </c>
      <c r="H172" s="538">
        <v>12.869999999998981</v>
      </c>
    </row>
    <row r="173" spans="1:8" ht="27.75" customHeight="1">
      <c r="G173" s="1355">
        <f>SUM(G161:G172)</f>
        <v>-87121.39999999998</v>
      </c>
    </row>
    <row r="174" spans="1:8" ht="27.75">
      <c r="A174" s="1546" t="s">
        <v>345</v>
      </c>
      <c r="B174" s="1546"/>
      <c r="C174" s="1546"/>
      <c r="D174" s="523" t="s">
        <v>186</v>
      </c>
      <c r="E174" s="658">
        <f>'21'!F174</f>
        <v>19101.8</v>
      </c>
      <c r="F174" s="514">
        <v>28182.46</v>
      </c>
      <c r="G174" s="1330">
        <f t="shared" ref="G174:G180" si="19">F174-E174</f>
        <v>9080.66</v>
      </c>
    </row>
    <row r="175" spans="1:8">
      <c r="A175" s="1587" t="s">
        <v>350</v>
      </c>
      <c r="B175" s="1550"/>
      <c r="C175" s="785"/>
      <c r="D175" s="523" t="s">
        <v>186</v>
      </c>
      <c r="E175" s="658">
        <f>'21'!F175</f>
        <v>70468.899999999994</v>
      </c>
      <c r="F175" s="514">
        <v>18965.8</v>
      </c>
      <c r="G175" s="1330">
        <f t="shared" si="19"/>
        <v>-51503.099999999991</v>
      </c>
    </row>
    <row r="176" spans="1:8">
      <c r="A176" s="1587" t="s">
        <v>351</v>
      </c>
      <c r="B176" s="1550"/>
      <c r="C176" s="785"/>
      <c r="D176" s="523" t="s">
        <v>186</v>
      </c>
      <c r="E176" s="658">
        <f>'21'!F176</f>
        <v>27739.200000000001</v>
      </c>
      <c r="F176" s="514">
        <v>27595.4</v>
      </c>
      <c r="G176" s="1330">
        <f t="shared" si="19"/>
        <v>-143.79999999999927</v>
      </c>
    </row>
    <row r="177" spans="1:15">
      <c r="A177" s="1587" t="s">
        <v>350</v>
      </c>
      <c r="B177" s="1550"/>
      <c r="D177" s="523" t="s">
        <v>186</v>
      </c>
      <c r="E177" s="658">
        <v>70163.8</v>
      </c>
      <c r="F177" s="1493">
        <v>70187.7</v>
      </c>
      <c r="G177" s="1330">
        <f t="shared" si="19"/>
        <v>23.899999999994179</v>
      </c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19"/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38" zoomScale="70" zoomScaleNormal="8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5.88671875" style="1003" customWidth="1"/>
    <col min="4" max="4" width="13.6640625" style="1003" customWidth="1"/>
    <col min="5" max="5" width="32.109375" style="1003" customWidth="1"/>
    <col min="6" max="6" width="30" style="1003" customWidth="1"/>
    <col min="7" max="7" width="20.33203125" style="1003" customWidth="1"/>
    <col min="8" max="8" width="39.21875" style="1004" customWidth="1"/>
    <col min="9" max="9" width="11.21875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  <c r="K1" s="805">
        <v>10002.799999999999</v>
      </c>
    </row>
    <row r="2" spans="1:15">
      <c r="A2" s="806" t="s">
        <v>363</v>
      </c>
      <c r="B2" s="1076">
        <v>44370</v>
      </c>
      <c r="C2" s="807" t="s">
        <v>68</v>
      </c>
      <c r="D2" s="808">
        <v>0.52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30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'22'!F7</f>
        <v>406310.67</v>
      </c>
      <c r="F7" s="455">
        <f>E7+21500</f>
        <v>427810.67</v>
      </c>
      <c r="G7" s="840">
        <f>F7-E7</f>
        <v>21500</v>
      </c>
      <c r="H7" s="841">
        <f>G7+'22'!H7</f>
        <v>505857.67000000004</v>
      </c>
      <c r="I7" s="842">
        <f>'1'!I7</f>
        <v>12000</v>
      </c>
      <c r="J7" s="843">
        <f>H7/DAY(B2)</f>
        <v>21993.811739130437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'22'!F8</f>
        <v>413326.83</v>
      </c>
      <c r="F8" s="475">
        <f>E8+21500</f>
        <v>434826.83</v>
      </c>
      <c r="G8" s="850">
        <f>F8-E8</f>
        <v>21500</v>
      </c>
      <c r="H8" s="841">
        <f>G8+'22'!H8</f>
        <v>508104.83</v>
      </c>
      <c r="I8" s="851">
        <f>'1'!I8</f>
        <v>12000</v>
      </c>
      <c r="J8" s="843">
        <f>H8/DAY(B2)</f>
        <v>22091.514347826087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'22'!F9</f>
        <v>1873128.53</v>
      </c>
      <c r="F9" s="856">
        <v>1892007.7</v>
      </c>
      <c r="G9" s="840">
        <f t="shared" ref="G9:G12" si="0">F9-E9</f>
        <v>18879.169999999925</v>
      </c>
      <c r="H9" s="841">
        <f>G9+'22'!H9</f>
        <v>-138994.30000000005</v>
      </c>
      <c r="I9" s="857">
        <f>I8-J8</f>
        <v>-10091.514347826087</v>
      </c>
      <c r="J9" s="843">
        <f>H9/DAY(B2)</f>
        <v>-6043.2304347826112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'22'!F10</f>
        <v>0</v>
      </c>
      <c r="F10" s="856">
        <v>0</v>
      </c>
      <c r="G10" s="840">
        <f t="shared" si="0"/>
        <v>0</v>
      </c>
      <c r="H10" s="841">
        <f>G10+'22'!H10</f>
        <v>-2606.2500000000005</v>
      </c>
      <c r="I10" s="859"/>
      <c r="J10" s="843">
        <f>H10/DAY(B2)</f>
        <v>-113.31521739130437</v>
      </c>
      <c r="K10" s="858"/>
      <c r="L10" s="818"/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'22'!F12</f>
        <v>40010</v>
      </c>
      <c r="F12" s="856">
        <v>40010</v>
      </c>
      <c r="G12" s="840">
        <f t="shared" si="0"/>
        <v>0</v>
      </c>
      <c r="H12" s="841">
        <f>G12+'22'!H12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18879.169999999925</v>
      </c>
      <c r="H13" s="841">
        <f>G13+'22'!H13</f>
        <v>-161927.5500000001</v>
      </c>
      <c r="I13" s="863">
        <f>G7-G13</f>
        <v>2620.8300000000745</v>
      </c>
      <c r="J13" s="843">
        <f>H13/DAY(B2)</f>
        <v>-7040.3282608695699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'22'!F15</f>
        <v>1721817.72</v>
      </c>
      <c r="F15" s="700">
        <f>E15+700</f>
        <v>1722517.72</v>
      </c>
      <c r="G15" s="1015">
        <f>(F15-E15)</f>
        <v>700</v>
      </c>
      <c r="H15" s="841">
        <f>G15+'22'!H15</f>
        <v>18834.719999999972</v>
      </c>
      <c r="I15" s="842">
        <f>'1'!I15</f>
        <v>800</v>
      </c>
      <c r="J15" s="843">
        <f>H15/DAY(B2)</f>
        <v>818.90086956521623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-18.900869565216226</v>
      </c>
      <c r="J16" s="875"/>
      <c r="K16" s="858"/>
      <c r="L16" s="81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>
      <c r="A18" s="1650" t="s">
        <v>142</v>
      </c>
      <c r="B18" s="1651"/>
      <c r="C18" s="1652"/>
      <c r="D18" s="838" t="s">
        <v>143</v>
      </c>
      <c r="E18" s="839">
        <f>'22'!F18</f>
        <v>9</v>
      </c>
      <c r="F18" s="868">
        <v>4</v>
      </c>
      <c r="G18" s="862">
        <f>F18*10</f>
        <v>40</v>
      </c>
      <c r="H18" s="841">
        <f>G18+'22'!H18</f>
        <v>2950</v>
      </c>
      <c r="I18" s="842">
        <f>'1'!I18</f>
        <v>65</v>
      </c>
      <c r="J18" s="843">
        <f>H18/DAY(B2)</f>
        <v>128.2608695652174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'22'!F19</f>
        <v>140993</v>
      </c>
      <c r="F19" s="868">
        <v>141054</v>
      </c>
      <c r="G19" s="840">
        <f t="shared" ref="G19" si="1">F19-E19</f>
        <v>61</v>
      </c>
      <c r="H19" s="841">
        <f>G19+'22'!H19</f>
        <v>-441</v>
      </c>
      <c r="I19" s="842">
        <f>'1'!I19</f>
        <v>0</v>
      </c>
      <c r="J19" s="843">
        <f>H19/DAY(B2)</f>
        <v>-19.173913043478262</v>
      </c>
      <c r="K19" s="858"/>
      <c r="L19" s="818"/>
      <c r="N19" s="1006">
        <v>126171</v>
      </c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79">
        <f>G18+G19</f>
        <v>101</v>
      </c>
      <c r="H20" s="841">
        <f>G20+'22'!H20</f>
        <v>2509</v>
      </c>
      <c r="I20" s="880">
        <f>I18-J20</f>
        <v>-44.086956521739125</v>
      </c>
      <c r="J20" s="843">
        <f>H20/DAY(B2)</f>
        <v>109.08695652173913</v>
      </c>
      <c r="K20" s="858"/>
      <c r="L20" s="818"/>
      <c r="N20" s="1006">
        <f>N19-F19</f>
        <v>-14883</v>
      </c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v>2970</v>
      </c>
      <c r="F22" s="868">
        <v>2970</v>
      </c>
      <c r="G22" s="862">
        <f t="shared" ref="G22" si="2">(F22-E22)</f>
        <v>0</v>
      </c>
      <c r="H22" s="841">
        <f>G22+'22'!H22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v>2000</v>
      </c>
      <c r="F23" s="868">
        <v>2000</v>
      </c>
      <c r="G23" s="862">
        <v>0</v>
      </c>
      <c r="H23" s="841">
        <f>G23+'22'!H23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v>4970</v>
      </c>
      <c r="F24" s="883">
        <v>4970</v>
      </c>
      <c r="G24" s="862">
        <v>0</v>
      </c>
      <c r="H24" s="841">
        <f>G24+'22'!H24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>
      <c r="A27" s="890" t="s">
        <v>6</v>
      </c>
      <c r="B27" s="891"/>
      <c r="C27" s="892"/>
      <c r="D27" s="897" t="s">
        <v>25</v>
      </c>
      <c r="E27" s="898">
        <f>G8</f>
        <v>21500</v>
      </c>
      <c r="F27" s="899">
        <v>9</v>
      </c>
      <c r="G27" s="900">
        <f>E27*F27</f>
        <v>193500</v>
      </c>
      <c r="H27" s="841">
        <f>G27+'22'!H27</f>
        <v>4572945.3600000003</v>
      </c>
      <c r="I27" s="901"/>
      <c r="J27" s="843">
        <f>H27/DAY(B2)</f>
        <v>198823.71130434785</v>
      </c>
      <c r="K27" s="858"/>
      <c r="L27" s="888"/>
      <c r="N27" s="1007"/>
      <c r="O27" s="845"/>
    </row>
    <row r="28" spans="1:15" s="889" customForma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899">
        <v>52</v>
      </c>
      <c r="G28" s="900">
        <f>E28*F28</f>
        <v>36400</v>
      </c>
      <c r="H28" s="841">
        <f>G28+'22'!H28</f>
        <v>979405.43999999855</v>
      </c>
      <c r="I28" s="902"/>
      <c r="J28" s="843">
        <f>H28/DAY(B2)</f>
        <v>42582.845217391245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>E29*F29</f>
        <v>0</v>
      </c>
      <c r="H29" s="841">
        <f>G29+'22'!H29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61</v>
      </c>
      <c r="F30" s="899">
        <v>146</v>
      </c>
      <c r="G30" s="900">
        <f>E30*F30</f>
        <v>8906</v>
      </c>
      <c r="H30" s="841">
        <f>G30+'22'!H30</f>
        <v>-64970</v>
      </c>
      <c r="I30" s="902"/>
      <c r="J30" s="843">
        <f>H30/DAY(B2)</f>
        <v>-2824.782608695652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40</v>
      </c>
      <c r="F31" s="899">
        <v>80</v>
      </c>
      <c r="G31" s="900">
        <f>E31*F31</f>
        <v>3200</v>
      </c>
      <c r="H31" s="841">
        <f>G31+'22'!H31</f>
        <v>230400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242006</v>
      </c>
      <c r="H32" s="841">
        <f>G32+'22'!H32</f>
        <v>5717780.7999999989</v>
      </c>
      <c r="I32" s="908"/>
      <c r="J32" s="843">
        <f>H32/DAY(B2)</f>
        <v>248599.16521739124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'22'!F35</f>
        <v>1006080</v>
      </c>
      <c r="F35" s="911">
        <v>1008757.5</v>
      </c>
      <c r="G35" s="840">
        <f t="shared" ref="G35:G46" si="3">F35-E35</f>
        <v>2677.5</v>
      </c>
      <c r="H35" s="841">
        <f>G35+'22'!H35</f>
        <v>-19956.5</v>
      </c>
      <c r="I35" s="839"/>
      <c r="J35" s="843">
        <f>H35/DAY(B2)</f>
        <v>-867.67391304347825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'22'!F36</f>
        <v>14565.67</v>
      </c>
      <c r="F36" s="911">
        <v>15227.98</v>
      </c>
      <c r="G36" s="840">
        <f t="shared" si="3"/>
        <v>662.30999999999949</v>
      </c>
      <c r="H36" s="841">
        <f>G36+'22'!H36</f>
        <v>-5233.0200000000023</v>
      </c>
      <c r="I36" s="839"/>
      <c r="J36" s="843">
        <f>H36/DAY(B2)</f>
        <v>-227.52260869565228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'22'!F37</f>
        <v>164855.25</v>
      </c>
      <c r="F37" s="911">
        <v>166269.59</v>
      </c>
      <c r="G37" s="840">
        <f t="shared" si="3"/>
        <v>1414.3399999999965</v>
      </c>
      <c r="H37" s="841">
        <f>G37+'22'!H37</f>
        <v>-10300.410000000003</v>
      </c>
      <c r="I37" s="839"/>
      <c r="J37" s="843">
        <f>H37/DAY(B2)</f>
        <v>-447.84391304347844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'22'!F38</f>
        <v>185915.75</v>
      </c>
      <c r="F38" s="828">
        <v>187269.97</v>
      </c>
      <c r="G38" s="840">
        <f t="shared" si="3"/>
        <v>1354.2200000000012</v>
      </c>
      <c r="H38" s="841">
        <f>G38+'22'!H38</f>
        <v>-11189.029999999999</v>
      </c>
      <c r="I38" s="839"/>
      <c r="J38" s="843">
        <f>H38/DAY(B2)</f>
        <v>-486.47956521739127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'22'!F39</f>
        <v>375879.99</v>
      </c>
      <c r="F39" s="911">
        <v>379312.95</v>
      </c>
      <c r="G39" s="840">
        <f t="shared" si="3"/>
        <v>3432.960000000021</v>
      </c>
      <c r="H39" s="841">
        <f>G39+'22'!H39</f>
        <v>-25551.049999999988</v>
      </c>
      <c r="I39" s="839"/>
      <c r="J39" s="843">
        <f>H39/DAY(B2)</f>
        <v>-1110.9152173913039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'22'!F40</f>
        <v>4607.82</v>
      </c>
      <c r="F40" s="911">
        <v>4932.5</v>
      </c>
      <c r="G40" s="840">
        <f t="shared" si="3"/>
        <v>324.68000000000029</v>
      </c>
      <c r="H40" s="841">
        <f>G40+'22'!H40</f>
        <v>-2180.5</v>
      </c>
      <c r="I40" s="839"/>
      <c r="J40" s="843">
        <f>H40/DAY(B2)</f>
        <v>-94.804347826086953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'22'!F41</f>
        <v>308352.25</v>
      </c>
      <c r="F41" s="911">
        <v>309426.43</v>
      </c>
      <c r="G41" s="840">
        <f t="shared" si="3"/>
        <v>1074.179999999993</v>
      </c>
      <c r="H41" s="841">
        <f>G41+'22'!H41</f>
        <v>-20215.570000000007</v>
      </c>
      <c r="I41" s="839"/>
      <c r="J41" s="843">
        <f>H41/DAY(B2)</f>
        <v>-878.93782608695687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'22'!F42</f>
        <v>59210.080000000002</v>
      </c>
      <c r="F42" s="911">
        <v>59210.080000000002</v>
      </c>
      <c r="G42" s="840">
        <f t="shared" si="3"/>
        <v>0</v>
      </c>
      <c r="H42" s="841">
        <f>G42+'22'!H42</f>
        <v>11.190000000002328</v>
      </c>
      <c r="I42" s="839"/>
      <c r="J42" s="843">
        <f>H42/DAY(B2)</f>
        <v>0.48652173913053604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'22'!F43</f>
        <v>1098241.1000000001</v>
      </c>
      <c r="F43" s="911">
        <v>1100983.7</v>
      </c>
      <c r="G43" s="840">
        <f t="shared" si="3"/>
        <v>2742.5999999998603</v>
      </c>
      <c r="H43" s="841">
        <f>G43+'22'!H43</f>
        <v>-19468.300000000047</v>
      </c>
      <c r="I43" s="839"/>
      <c r="J43" s="843">
        <f>H43/DAY(B2)</f>
        <v>-846.44782608695857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'22'!F44</f>
        <v>0</v>
      </c>
      <c r="F44" s="911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'22'!F45</f>
        <v>0</v>
      </c>
      <c r="F45" s="911">
        <v>0</v>
      </c>
      <c r="G45" s="840">
        <f t="shared" si="3"/>
        <v>0</v>
      </c>
      <c r="H45" s="841">
        <f>G45+'22'!H45</f>
        <v>-614</v>
      </c>
      <c r="I45" s="839"/>
      <c r="J45" s="843">
        <f>H45/DAY(B2)</f>
        <v>-26.695652173913043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'22'!F46</f>
        <v>0</v>
      </c>
      <c r="F46" s="911">
        <v>0</v>
      </c>
      <c r="G46" s="840">
        <f t="shared" si="3"/>
        <v>0</v>
      </c>
      <c r="H46" s="841">
        <f>G46+'22'!H46</f>
        <v>-187.49</v>
      </c>
      <c r="I46" s="839"/>
      <c r="J46" s="843">
        <f>H46/DAY(B2)</f>
        <v>-8.1517391304347822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13682.789999999872</v>
      </c>
      <c r="H47" s="841">
        <f>G47+'22'!H47</f>
        <v>-114083.19000000005</v>
      </c>
      <c r="I47" s="839"/>
      <c r="J47" s="843">
        <f>H47/DAY(B2)</f>
        <v>-4960.1386956521756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'22'!F49</f>
        <v>260732.13</v>
      </c>
      <c r="F49" s="911">
        <v>260732.12</v>
      </c>
      <c r="G49" s="840">
        <f t="shared" ref="G49:G58" si="4">F49-E49</f>
        <v>-1.0000000009313226E-2</v>
      </c>
      <c r="H49" s="841">
        <f>G49+'22'!H49</f>
        <v>-31.880000000004657</v>
      </c>
      <c r="I49" s="839"/>
      <c r="J49" s="843">
        <f>H49/DAY(B2)</f>
        <v>-1.3860869565219416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'22'!F50</f>
        <v>525794.99</v>
      </c>
      <c r="F50" s="1452">
        <v>526784.39</v>
      </c>
      <c r="G50" s="840">
        <f t="shared" si="4"/>
        <v>989.40000000002328</v>
      </c>
      <c r="H50" s="841">
        <f>G50+'22'!H50</f>
        <v>-8971.609999999986</v>
      </c>
      <c r="I50" s="839"/>
      <c r="J50" s="843">
        <f>H50/DAY(B2)</f>
        <v>-390.06999999999937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'22'!F51</f>
        <v>144639.87</v>
      </c>
      <c r="F51" s="911">
        <v>144639.87</v>
      </c>
      <c r="G51" s="840">
        <f t="shared" si="4"/>
        <v>0</v>
      </c>
      <c r="H51" s="841">
        <f>G51+'22'!H51</f>
        <v>-0.13000000000465661</v>
      </c>
      <c r="I51" s="839"/>
      <c r="J51" s="843">
        <f>H51/DAY(B2)</f>
        <v>-5.6521739132459397E-3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'22'!F52</f>
        <v>539606.06999999995</v>
      </c>
      <c r="F52" s="911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'22'!F53</f>
        <v>434231.59</v>
      </c>
      <c r="F53" s="911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'22'!F54</f>
        <v>14967.39</v>
      </c>
      <c r="F54" s="911">
        <v>14967.41</v>
      </c>
      <c r="G54" s="840">
        <f t="shared" si="4"/>
        <v>2.0000000000436557E-2</v>
      </c>
      <c r="H54" s="841">
        <f>G54+'22'!H54</f>
        <v>0.40999999999985448</v>
      </c>
      <c r="I54" s="839"/>
      <c r="J54" s="843">
        <f>H54/DAY(B2)</f>
        <v>1.7826086956515413E-2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'22'!F55</f>
        <v>90898.63</v>
      </c>
      <c r="F55" s="911">
        <v>95646.2</v>
      </c>
      <c r="G55" s="840">
        <f t="shared" si="4"/>
        <v>4747.5699999999924</v>
      </c>
      <c r="H55" s="841">
        <f>G55+'22'!H55</f>
        <v>-27563.800000000003</v>
      </c>
      <c r="I55" s="839"/>
      <c r="J55" s="843">
        <f>H55/DAY(B2)</f>
        <v>-1198.4260869565219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'22'!F56</f>
        <v>648949.79</v>
      </c>
      <c r="F56" s="911">
        <v>648959.99</v>
      </c>
      <c r="G56" s="840">
        <f t="shared" si="4"/>
        <v>10.199999999953434</v>
      </c>
      <c r="H56" s="841">
        <f>G56+'22'!H56</f>
        <v>-82.010000000009313</v>
      </c>
      <c r="I56" s="839"/>
      <c r="J56" s="843">
        <f>H56/DAY(B2)</f>
        <v>-3.5656521739134486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'22'!F57</f>
        <v>7711</v>
      </c>
      <c r="F57" s="911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'22'!F58</f>
        <v>52761.38</v>
      </c>
      <c r="F58" s="911">
        <v>52843.42</v>
      </c>
      <c r="G58" s="840">
        <f t="shared" si="4"/>
        <v>82.040000000000873</v>
      </c>
      <c r="H58" s="841">
        <f>G58+'22'!H58</f>
        <v>-1336.5800000000017</v>
      </c>
      <c r="I58" s="839"/>
      <c r="J58" s="843">
        <f>H58/DAY(B2)</f>
        <v>-58.112173913043556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5829.2199999999611</v>
      </c>
      <c r="H59" s="841">
        <f>G59+'22'!H59</f>
        <v>-37986.270000000048</v>
      </c>
      <c r="I59" s="839">
        <f>G7-G60</f>
        <v>1987.9900000001653</v>
      </c>
      <c r="J59" s="843">
        <f>H59/DAY(B2)</f>
        <v>-1651.5769565217413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19512.009999999835</v>
      </c>
      <c r="H60" s="841">
        <f>G60+'22'!H60</f>
        <v>-145166.13000000012</v>
      </c>
      <c r="I60" s="839">
        <f>G13-G60</f>
        <v>-632.8399999999092</v>
      </c>
      <c r="J60" s="843">
        <f>H60/DAY(B2)</f>
        <v>-6311.5708695652229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'22'!F62</f>
        <v>20419.2</v>
      </c>
      <c r="F62" s="921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2"/>
      <c r="J62" s="843">
        <f>H62/DAY(B2)</f>
        <v>8.6956521598672822E-5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'22'!F63</f>
        <v>0</v>
      </c>
      <c r="F63" s="921">
        <v>0</v>
      </c>
      <c r="G63" s="840">
        <f t="shared" si="5"/>
        <v>0</v>
      </c>
      <c r="H63" s="841">
        <f>G63+'22'!H63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'22'!F64</f>
        <v>167012.26</v>
      </c>
      <c r="F64" s="868">
        <v>167394.59</v>
      </c>
      <c r="G64" s="840">
        <f t="shared" si="5"/>
        <v>382.32999999998719</v>
      </c>
      <c r="H64" s="841">
        <f>G64+'22'!H64</f>
        <v>-2627.4100000000035</v>
      </c>
      <c r="I64" s="859"/>
      <c r="J64" s="843">
        <f>H64/DAY(B2)</f>
        <v>-114.2352173913045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'22'!F65</f>
        <v>167241.76999999999</v>
      </c>
      <c r="F65" s="868">
        <v>167531.19</v>
      </c>
      <c r="G65" s="840">
        <f t="shared" si="5"/>
        <v>289.42000000001281</v>
      </c>
      <c r="H65" s="841">
        <f>G65+'22'!H65</f>
        <v>-2770.8099999999977</v>
      </c>
      <c r="I65" s="877"/>
      <c r="J65" s="843">
        <f>H65/DAY(B2)</f>
        <v>-120.4699999999999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'22'!F66</f>
        <v>64618.53</v>
      </c>
      <c r="F66" s="868">
        <v>65006.65</v>
      </c>
      <c r="G66" s="840">
        <f t="shared" si="5"/>
        <v>388.12000000000262</v>
      </c>
      <c r="H66" s="841">
        <f>G66+'22'!H66</f>
        <v>-2963.3499999999985</v>
      </c>
      <c r="I66" s="859"/>
      <c r="J66" s="843">
        <f>H66/DAY(B2)</f>
        <v>-128.84130434782602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'22'!F67</f>
        <v>261392</v>
      </c>
      <c r="F67" s="868">
        <v>261813.67</v>
      </c>
      <c r="G67" s="840">
        <f t="shared" si="5"/>
        <v>421.67000000001281</v>
      </c>
      <c r="H67" s="841">
        <f>G67+'22'!H67</f>
        <v>-3145.3299999999872</v>
      </c>
      <c r="I67" s="877"/>
      <c r="J67" s="843">
        <f>H67/DAY(B2)</f>
        <v>-136.753478260869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'22'!F68</f>
        <v>85321</v>
      </c>
      <c r="F68" s="868">
        <v>85321</v>
      </c>
      <c r="G68" s="840">
        <f t="shared" si="5"/>
        <v>0</v>
      </c>
      <c r="H68" s="841">
        <f>G68+'22'!H68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'22'!F69</f>
        <v>85602.95</v>
      </c>
      <c r="F69" s="868">
        <v>85863.75</v>
      </c>
      <c r="G69" s="840">
        <f t="shared" si="5"/>
        <v>260.80000000000291</v>
      </c>
      <c r="H69" s="841">
        <f>G69+'22'!H69</f>
        <v>-1651.25</v>
      </c>
      <c r="I69" s="923"/>
      <c r="J69" s="843">
        <f>H69/DAY(B2)</f>
        <v>-71.793478260869563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'22'!F72</f>
        <v>856130</v>
      </c>
      <c r="F72" s="929">
        <v>856143</v>
      </c>
      <c r="G72" s="840">
        <f t="shared" ref="G72:G84" si="6">F72-E72</f>
        <v>13</v>
      </c>
      <c r="H72" s="841">
        <f>G72+'22'!H72</f>
        <v>-92</v>
      </c>
      <c r="I72" s="859"/>
      <c r="J72" s="843">
        <f>H72/DAY(B2)</f>
        <v>-4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'22'!F73</f>
        <v>885962</v>
      </c>
      <c r="F73" s="930">
        <v>885964</v>
      </c>
      <c r="G73" s="840">
        <f t="shared" si="6"/>
        <v>2</v>
      </c>
      <c r="H73" s="841">
        <f>G73+'22'!H73</f>
        <v>130</v>
      </c>
      <c r="I73" s="859"/>
      <c r="J73" s="843">
        <f>H73/DAY(B2)</f>
        <v>5.6521739130434785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'22'!F74</f>
        <v>88688</v>
      </c>
      <c r="F74" s="931">
        <v>88689</v>
      </c>
      <c r="G74" s="840">
        <f t="shared" si="6"/>
        <v>1</v>
      </c>
      <c r="H74" s="841">
        <f>G74+'22'!H74</f>
        <v>27</v>
      </c>
      <c r="I74" s="859"/>
      <c r="J74" s="843">
        <f>H74/DAY(B2)</f>
        <v>1.173913043478261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'22'!F75</f>
        <v>14890.3</v>
      </c>
      <c r="F75" s="931">
        <v>15045.3</v>
      </c>
      <c r="G75" s="840">
        <f t="shared" si="6"/>
        <v>155</v>
      </c>
      <c r="H75" s="841">
        <f>G75+'22'!H75</f>
        <v>-1025.7000000000007</v>
      </c>
      <c r="I75" s="859"/>
      <c r="J75" s="843">
        <f>H75/DAY(B2)</f>
        <v>-44.595652173913074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'22'!F76</f>
        <v>8735.59</v>
      </c>
      <c r="F76" s="930">
        <v>8803.7900000000009</v>
      </c>
      <c r="G76" s="840">
        <f t="shared" si="6"/>
        <v>68.200000000000728</v>
      </c>
      <c r="H76" s="841">
        <f>G76+'22'!H76</f>
        <v>584.79000000000087</v>
      </c>
      <c r="I76" s="902"/>
      <c r="J76" s="843">
        <f>H76/DAY(B2)</f>
        <v>25.425652173913083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'22'!F77</f>
        <v>703938</v>
      </c>
      <c r="F77" s="930">
        <v>703989</v>
      </c>
      <c r="G77" s="840">
        <f t="shared" si="6"/>
        <v>51</v>
      </c>
      <c r="H77" s="841">
        <f>G77+'22'!H77</f>
        <v>-385</v>
      </c>
      <c r="I77" s="902"/>
      <c r="J77" s="843">
        <f>H77/DAY(B2)</f>
        <v>-16.739130434782609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'22'!F78</f>
        <v>674672</v>
      </c>
      <c r="F78" s="931">
        <v>674738</v>
      </c>
      <c r="G78" s="840">
        <f t="shared" si="6"/>
        <v>66</v>
      </c>
      <c r="H78" s="841">
        <f>G78+'22'!H78</f>
        <v>-676</v>
      </c>
      <c r="I78" s="902"/>
      <c r="J78" s="843">
        <f>H78/DAY(B2)</f>
        <v>-29.391304347826086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'22'!F79</f>
        <v>834225</v>
      </c>
      <c r="F79" s="1230">
        <v>834376</v>
      </c>
      <c r="G79" s="840">
        <f t="shared" si="6"/>
        <v>151</v>
      </c>
      <c r="H79" s="841">
        <f>G79+'22'!H79</f>
        <v>-1778</v>
      </c>
      <c r="I79" s="902"/>
      <c r="J79" s="843">
        <f>H79/DAY(B2)</f>
        <v>-77.304347826086953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'22'!F80</f>
        <v>535818</v>
      </c>
      <c r="F80" s="930">
        <v>536209.31999999995</v>
      </c>
      <c r="G80" s="840">
        <f t="shared" si="6"/>
        <v>391.31999999994878</v>
      </c>
      <c r="H80" s="841">
        <f>G80+'22'!H80</f>
        <v>-6181.6800000000512</v>
      </c>
      <c r="I80" s="902"/>
      <c r="J80" s="843">
        <f>H80/DAY(B2)</f>
        <v>-268.76869565217612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'22'!F81</f>
        <v>641810</v>
      </c>
      <c r="F81" s="930">
        <v>641985.64</v>
      </c>
      <c r="G81" s="840">
        <f t="shared" si="6"/>
        <v>175.64000000001397</v>
      </c>
      <c r="H81" s="841">
        <f>G81+'22'!H81</f>
        <v>-999.35999999998603</v>
      </c>
      <c r="I81" s="902"/>
      <c r="J81" s="843">
        <f>H81/DAY(B2)</f>
        <v>-43.450434782608092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'22'!F82</f>
        <v>108541</v>
      </c>
      <c r="F82" s="933">
        <v>108553.72</v>
      </c>
      <c r="G82" s="840">
        <f t="shared" si="6"/>
        <v>12.720000000001164</v>
      </c>
      <c r="H82" s="841">
        <f>G82+'22'!H82</f>
        <v>-127.27999999999884</v>
      </c>
      <c r="I82" s="873"/>
      <c r="J82" s="843">
        <f>H82/DAY(B2)</f>
        <v>-5.5339130434782104</v>
      </c>
      <c r="K82" s="924"/>
      <c r="L82" s="818"/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'22'!F83</f>
        <v>25375</v>
      </c>
      <c r="F83" s="1271">
        <v>25513</v>
      </c>
      <c r="G83" s="840">
        <f t="shared" si="6"/>
        <v>138</v>
      </c>
      <c r="H83" s="841">
        <f>G83+'22'!H83</f>
        <v>-2038</v>
      </c>
      <c r="I83" s="862"/>
      <c r="J83" s="843">
        <f>H83/DAY(B2)</f>
        <v>-88.608695652173907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'22'!F84</f>
        <v>516617</v>
      </c>
      <c r="F84" s="937">
        <v>517399</v>
      </c>
      <c r="G84" s="840">
        <f t="shared" si="6"/>
        <v>782</v>
      </c>
      <c r="H84" s="841">
        <f>G84+'22'!H84</f>
        <v>-5681</v>
      </c>
      <c r="I84" s="862"/>
      <c r="J84" s="843">
        <f>H84/DAY(B2)</f>
        <v>-247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838"/>
      <c r="G85" s="841">
        <f xml:space="preserve"> SUM(G72:G84)</f>
        <v>2006.8799999999646</v>
      </c>
      <c r="H85" s="841">
        <f>G85+'22'!H85</f>
        <v>-15368.230000000043</v>
      </c>
      <c r="I85" s="862"/>
      <c r="J85" s="843">
        <f>H85/DAY(B2)</f>
        <v>-668.18391304348017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'22'!F86</f>
        <v>461545.16</v>
      </c>
      <c r="F86" s="946">
        <v>461570.64</v>
      </c>
      <c r="G86" s="947">
        <f t="shared" ref="G86:G88" si="7">F86-E86</f>
        <v>25.480000000039581</v>
      </c>
      <c r="H86" s="841">
        <f>G86+'22'!H86</f>
        <v>-659.20000000001164</v>
      </c>
      <c r="I86" s="948"/>
      <c r="J86" s="949">
        <f>H86/DAY(B2)</f>
        <v>-28.660869565217897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'22'!F87</f>
        <v>81850.100000000006</v>
      </c>
      <c r="F87" s="946">
        <v>81883</v>
      </c>
      <c r="G87" s="947">
        <f t="shared" si="7"/>
        <v>32.899999999994179</v>
      </c>
      <c r="H87" s="841">
        <f>G87+'22'!H87</f>
        <v>-660</v>
      </c>
      <c r="I87" s="948"/>
      <c r="J87" s="949">
        <f>H87/DAY(B2)</f>
        <v>-28.695652173913043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'22'!F88</f>
        <v>154464</v>
      </c>
      <c r="F88" s="946">
        <v>154545</v>
      </c>
      <c r="G88" s="947">
        <f t="shared" si="7"/>
        <v>81</v>
      </c>
      <c r="H88" s="841">
        <f>G88+'22'!H88</f>
        <v>-2700.7200000000012</v>
      </c>
      <c r="I88" s="948"/>
      <c r="J88" s="949">
        <f>H88/DAY(B2)</f>
        <v>-117.42260869565223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'22'!F89</f>
        <v>65625</v>
      </c>
      <c r="F89" s="946">
        <v>65647.399999999994</v>
      </c>
      <c r="G89" s="947">
        <f t="shared" ref="G89:G91" si="8">F89-E89</f>
        <v>22.399999999994179</v>
      </c>
      <c r="H89" s="841">
        <f>G89+'22'!H89</f>
        <v>-913.40000000000873</v>
      </c>
      <c r="I89" s="948"/>
      <c r="J89" s="949">
        <f>H89/DAY(B2)</f>
        <v>-39.713043478261248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'22'!F90</f>
        <v>3319.7</v>
      </c>
      <c r="F90" s="946">
        <v>3323.7</v>
      </c>
      <c r="G90" s="947">
        <f t="shared" si="8"/>
        <v>4</v>
      </c>
      <c r="H90" s="841">
        <f>G90+'22'!H90</f>
        <v>-84.300000000000182</v>
      </c>
      <c r="I90" s="948"/>
      <c r="J90" s="949">
        <f>H90/DAY(B2)</f>
        <v>-3.6652173913043558</v>
      </c>
      <c r="K90" s="950"/>
      <c r="L90" s="951"/>
      <c r="N90" s="1011"/>
      <c r="O90" s="845"/>
    </row>
    <row r="91" spans="1:15" s="735" customFormat="1" ht="24.75" customHeight="1">
      <c r="A91" s="943" t="s">
        <v>347</v>
      </c>
      <c r="B91" s="731"/>
      <c r="C91" s="731"/>
      <c r="D91" s="945" t="s">
        <v>182</v>
      </c>
      <c r="E91" s="839">
        <f>'22'!F91</f>
        <v>28182.46</v>
      </c>
      <c r="F91" s="946">
        <v>28192.77</v>
      </c>
      <c r="G91" s="947">
        <f t="shared" si="8"/>
        <v>10.31000000000131</v>
      </c>
      <c r="H91" s="841">
        <f>G91+'22'!H91</f>
        <v>-210.22999999999956</v>
      </c>
      <c r="I91" s="652"/>
      <c r="J91" s="949">
        <f>H91/DAY(B2)</f>
        <v>-9.1404347826086774</v>
      </c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'22'!F93</f>
        <v>246753</v>
      </c>
      <c r="F93" s="868">
        <v>246785</v>
      </c>
      <c r="G93" s="840">
        <f t="shared" ref="G93:G94" si="9">F93-E93</f>
        <v>32</v>
      </c>
      <c r="H93" s="841">
        <f>G93+'22'!H93</f>
        <v>-567</v>
      </c>
      <c r="I93" s="859"/>
      <c r="J93" s="843">
        <f>H93/DAY(B2)</f>
        <v>-24.652173913043477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'22'!F94</f>
        <v>188599</v>
      </c>
      <c r="F94" s="1270">
        <v>188705</v>
      </c>
      <c r="G94" s="840">
        <f t="shared" si="9"/>
        <v>106</v>
      </c>
      <c r="H94" s="841">
        <f>G94+'22'!H94</f>
        <v>-749</v>
      </c>
      <c r="I94" s="859"/>
      <c r="J94" s="843">
        <f>H94/DAY(B2)</f>
        <v>-32.565217391304351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'22'!F95</f>
        <v>0</v>
      </c>
      <c r="F95" s="868"/>
      <c r="G95" s="840">
        <f>G93+G94</f>
        <v>138</v>
      </c>
      <c r="H95" s="841">
        <f>G95+'22'!H95</f>
        <v>-1502</v>
      </c>
      <c r="I95" s="859"/>
      <c r="J95" s="843">
        <f>H95/DAY(B2)</f>
        <v>-65.304347826086953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'22'!F96</f>
        <v>415490</v>
      </c>
      <c r="F96" s="868">
        <v>415533</v>
      </c>
      <c r="G96" s="840">
        <f t="shared" ref="G96:G101" si="10">F96-E96</f>
        <v>43</v>
      </c>
      <c r="H96" s="841">
        <f>G96+'22'!H96</f>
        <v>-466</v>
      </c>
      <c r="I96" s="859"/>
      <c r="J96" s="843">
        <f>H96/DAY(B2)</f>
        <v>-20.260869565217391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'22'!F97</f>
        <v>102993</v>
      </c>
      <c r="F97" s="868">
        <v>103010</v>
      </c>
      <c r="G97" s="840">
        <f t="shared" si="10"/>
        <v>17</v>
      </c>
      <c r="H97" s="841">
        <f>G97+'22'!H97</f>
        <v>-153</v>
      </c>
      <c r="I97" s="859"/>
      <c r="J97" s="843">
        <f>H97/DAY(B2)</f>
        <v>-6.6521739130434785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'22'!F98</f>
        <v>98470</v>
      </c>
      <c r="F98" s="868">
        <v>98492</v>
      </c>
      <c r="G98" s="840">
        <f t="shared" si="10"/>
        <v>22</v>
      </c>
      <c r="H98" s="841">
        <f>G98+'22'!H98</f>
        <v>-165</v>
      </c>
      <c r="I98" s="859"/>
      <c r="J98" s="843">
        <f>H98/DAY(B2)</f>
        <v>-7.1739130434782608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'22'!F99</f>
        <v>150108</v>
      </c>
      <c r="F99" s="868">
        <v>150163</v>
      </c>
      <c r="G99" s="840">
        <f t="shared" si="10"/>
        <v>55</v>
      </c>
      <c r="H99" s="841">
        <f>G99+'22'!H99</f>
        <v>-242</v>
      </c>
      <c r="I99" s="859"/>
      <c r="J99" s="843">
        <f>H99/DAY(B2)</f>
        <v>-10.521739130434783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'22'!F100</f>
        <v>7645</v>
      </c>
      <c r="F100" s="868">
        <v>7654</v>
      </c>
      <c r="G100" s="840">
        <f t="shared" si="10"/>
        <v>9</v>
      </c>
      <c r="H100" s="841">
        <f>G100+'22'!H100</f>
        <v>-143</v>
      </c>
      <c r="I100" s="859"/>
      <c r="J100" s="843">
        <f>H100/DAY(B2)</f>
        <v>-6.2173913043478262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'22'!F101</f>
        <v>5587</v>
      </c>
      <c r="F101" s="868">
        <v>5592</v>
      </c>
      <c r="G101" s="840">
        <f t="shared" si="10"/>
        <v>5</v>
      </c>
      <c r="H101" s="841">
        <f>G101+'22'!H101</f>
        <v>-82</v>
      </c>
      <c r="I101" s="859"/>
      <c r="J101" s="843">
        <f>H101/DAY(B2)</f>
        <v>-3.5652173913043477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871"/>
      <c r="G102" s="955">
        <f>SUM(G96:G101)</f>
        <v>151</v>
      </c>
      <c r="H102" s="841">
        <f>G102+'22'!H102</f>
        <v>-1251</v>
      </c>
      <c r="I102" s="956"/>
      <c r="J102" s="843">
        <f>H102/DAY(B2)</f>
        <v>-54.391304347826086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'22'!F105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3.0165217391304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'22'!F106</f>
        <v>36089</v>
      </c>
      <c r="F106" s="1272">
        <v>36091</v>
      </c>
      <c r="G106" s="968">
        <f t="shared" ref="G106:G107" si="11">F106-E106</f>
        <v>2</v>
      </c>
      <c r="H106" s="969">
        <f>SUM(G106+'1'!G77)</f>
        <v>55</v>
      </c>
      <c r="I106" s="968"/>
      <c r="J106" s="970">
        <f>H106/DAY(B2)</f>
        <v>2.3913043478260869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'22'!F107</f>
        <v>19789</v>
      </c>
      <c r="F107" s="968">
        <v>19792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5.0869565217391308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>
        <f>'22'!F108</f>
        <v>0</v>
      </c>
      <c r="F108" s="968"/>
      <c r="G108" s="968">
        <f>SUM(G105:G107)</f>
        <v>5</v>
      </c>
      <c r="H108" s="969">
        <f>SUM(G108+'1'!G79)</f>
        <v>158</v>
      </c>
      <c r="I108" s="968"/>
      <c r="J108" s="970">
        <f>H108/DAY(B2)</f>
        <v>6.8695652173913047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'22'!F109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'22'!F110</f>
        <v>64330</v>
      </c>
      <c r="F110" s="968">
        <v>64386</v>
      </c>
      <c r="G110" s="968">
        <f>F110-E110</f>
        <v>56</v>
      </c>
      <c r="H110" s="969">
        <f>SUM(G110+'1'!G81)</f>
        <v>187.64000000001397</v>
      </c>
      <c r="I110" s="968"/>
      <c r="J110" s="970">
        <f>H110/DAY(B2)</f>
        <v>8.1582608695658241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'22'!F111</f>
        <v>32833</v>
      </c>
      <c r="F111" s="1272">
        <v>32852</v>
      </c>
      <c r="G111" s="968">
        <f t="shared" ref="G111:G112" si="12">F111-E111</f>
        <v>19</v>
      </c>
      <c r="H111" s="969">
        <f>SUM(G111+'1'!G82)</f>
        <v>43.899999999994179</v>
      </c>
      <c r="I111" s="968"/>
      <c r="J111" s="970">
        <f>H111/DAY(B2)</f>
        <v>1.90869565217366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'22'!F112</f>
        <v>4621</v>
      </c>
      <c r="F112" s="12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15.260869565217391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'22'!F113</f>
        <v>0</v>
      </c>
      <c r="F113" s="968"/>
      <c r="G113" s="968">
        <f>SUM(G110:G112)</f>
        <v>75</v>
      </c>
      <c r="H113" s="969">
        <f>SUM(G113+'1'!G84)</f>
        <v>891</v>
      </c>
      <c r="I113" s="968"/>
      <c r="J113" s="970">
        <f>H113/DAY(B2)</f>
        <v>38.739130434782609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>
        <f>'22'!F114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'22'!F115</f>
        <v>11834</v>
      </c>
      <c r="F115" s="972">
        <v>11847</v>
      </c>
      <c r="G115" s="972">
        <f>F115-E115</f>
        <v>13</v>
      </c>
      <c r="H115" s="969">
        <f>SUM(G115+'1'!G92)</f>
        <v>13</v>
      </c>
      <c r="I115" s="968"/>
      <c r="J115" s="970">
        <f>H115/DAY(B2)</f>
        <v>0.56521739130434778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'22'!F116</f>
        <v>8483</v>
      </c>
      <c r="F116" s="972">
        <v>8488</v>
      </c>
      <c r="G116" s="972">
        <f t="shared" ref="G116:G117" si="13">F116-E116</f>
        <v>5</v>
      </c>
      <c r="H116" s="969">
        <f>SUM(G116+'1'!G93)</f>
        <v>94</v>
      </c>
      <c r="I116" s="968"/>
      <c r="J116" s="970">
        <f>H116/DAY(B2)</f>
        <v>4.0869565217391308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4.2173913043478262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18</v>
      </c>
      <c r="H118" s="969">
        <f>SUM(G118+'1'!G96)</f>
        <v>104</v>
      </c>
      <c r="I118" s="972"/>
      <c r="J118" s="970">
        <f>H118/DAY(B2)</f>
        <v>4.5217391304347823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93</v>
      </c>
      <c r="H119" s="969">
        <f>SUM(G119+'1'!G97)</f>
        <v>110</v>
      </c>
      <c r="I119" s="978"/>
      <c r="J119" s="980">
        <f>H119/DAY(B2)</f>
        <v>4.7826086956521738</v>
      </c>
      <c r="N119" s="1013" t="s">
        <v>214</v>
      </c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96</v>
      </c>
      <c r="H120" s="969">
        <f>SUM(G120+'1'!G99)</f>
        <v>146</v>
      </c>
      <c r="I120" s="978"/>
      <c r="J120" s="980">
        <f>H120/DAY(B2)</f>
        <v>6.3478260869565215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75</v>
      </c>
      <c r="H121" s="969">
        <f>SUM(G121+'1'!G101)</f>
        <v>80</v>
      </c>
      <c r="I121" s="978"/>
      <c r="J121" s="980">
        <f>H121/DAY(B2)</f>
        <v>3.4782608695652173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'22'!F124</f>
        <v>837424.77</v>
      </c>
      <c r="F124" s="872">
        <v>837708.15</v>
      </c>
      <c r="G124" s="840">
        <f>F124-E124</f>
        <v>283.38000000000466</v>
      </c>
      <c r="H124" s="841">
        <f>G124+'22'!H124</f>
        <v>-1961.8499999999767</v>
      </c>
      <c r="I124" s="956"/>
      <c r="J124" s="843">
        <f>H124/DAY(B2)</f>
        <v>-85.29782608695551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'22'!F125</f>
        <v>73583.399999999994</v>
      </c>
      <c r="F125" s="872">
        <v>73583.399999999994</v>
      </c>
      <c r="G125" s="840">
        <f t="shared" ref="G125:G128" si="14">F125-E125</f>
        <v>0</v>
      </c>
      <c r="H125" s="841">
        <f>G125+'22'!H125</f>
        <v>0</v>
      </c>
      <c r="I125" s="956"/>
      <c r="J125" s="843">
        <f>H125/DAY(B2)</f>
        <v>0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'22'!F126</f>
        <v>147963.81</v>
      </c>
      <c r="F126" s="872">
        <v>148052.42000000001</v>
      </c>
      <c r="G126" s="840">
        <f t="shared" si="14"/>
        <v>88.610000000015134</v>
      </c>
      <c r="H126" s="841">
        <f>G126+'22'!H126</f>
        <v>-544.57999999998719</v>
      </c>
      <c r="I126" s="956"/>
      <c r="J126" s="843">
        <f>H126/DAY(B2)</f>
        <v>-23.677391304347271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'22'!F127</f>
        <v>31791.7</v>
      </c>
      <c r="F127" s="872">
        <v>31828.2</v>
      </c>
      <c r="G127" s="840">
        <f t="shared" si="14"/>
        <v>36.5</v>
      </c>
      <c r="H127" s="841">
        <f>G127+'22'!H127</f>
        <v>-242.79999999999927</v>
      </c>
      <c r="I127" s="956"/>
      <c r="J127" s="843">
        <f>H127/DAY(B2)</f>
        <v>-10.556521739130403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'22'!F128</f>
        <v>8984.6</v>
      </c>
      <c r="F128" s="872">
        <v>8987.1</v>
      </c>
      <c r="G128" s="840">
        <f t="shared" si="14"/>
        <v>2.5</v>
      </c>
      <c r="H128" s="841">
        <f>G128+'22'!H128</f>
        <v>-24.899999999999636</v>
      </c>
      <c r="I128" s="859"/>
      <c r="J128" s="843">
        <f>H128/DAY(B2)</f>
        <v>-1.0826086956521581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289.00999999998021</v>
      </c>
      <c r="H129" s="841">
        <f>G129+'22'!H129</f>
        <v>15235.347000000078</v>
      </c>
      <c r="I129" s="859"/>
      <c r="J129" s="843">
        <f>H129/DAY(B2)</f>
        <v>662.40639130435125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'22'!F131</f>
        <v>0</v>
      </c>
      <c r="F131" s="868">
        <v>0</v>
      </c>
      <c r="G131" s="840">
        <f t="shared" ref="G131:G141" si="15">F131-E131</f>
        <v>0</v>
      </c>
      <c r="H131" s="841">
        <f>G131+'22'!H131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'22'!F132</f>
        <v>0</v>
      </c>
      <c r="F132" s="868">
        <v>0</v>
      </c>
      <c r="G132" s="840">
        <f t="shared" si="15"/>
        <v>0</v>
      </c>
      <c r="H132" s="841">
        <f>G132+'22'!H132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'22'!F133</f>
        <v>40352.080000000002</v>
      </c>
      <c r="F133" s="989">
        <v>40357.51</v>
      </c>
      <c r="G133" s="840">
        <f t="shared" si="15"/>
        <v>5.430000000000291</v>
      </c>
      <c r="H133" s="841">
        <f>G133+'22'!H133</f>
        <v>-95.489999999997963</v>
      </c>
      <c r="I133" s="859"/>
      <c r="J133" s="843">
        <f>H133/DAY(B2)</f>
        <v>-4.1517391304346942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'22'!F134</f>
        <v>300</v>
      </c>
      <c r="F134" s="989">
        <v>300</v>
      </c>
      <c r="G134" s="840">
        <f t="shared" si="15"/>
        <v>0</v>
      </c>
      <c r="H134" s="841">
        <f>G134+'22'!H134</f>
        <v>0</v>
      </c>
      <c r="I134" s="859">
        <f>G131+G132+G133+G134</f>
        <v>5.430000000000291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'22'!F135</f>
        <v>41839.360000000001</v>
      </c>
      <c r="F135" s="989">
        <v>41863.440000000002</v>
      </c>
      <c r="G135" s="840">
        <f t="shared" si="15"/>
        <v>24.080000000001746</v>
      </c>
      <c r="H135" s="841">
        <v>24</v>
      </c>
      <c r="I135" s="859"/>
      <c r="J135" s="843">
        <f>H135/DAY(B2)</f>
        <v>1.0434782608695652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'22'!F136</f>
        <v>32874.050000000003</v>
      </c>
      <c r="F136" s="989">
        <v>32874.050000000003</v>
      </c>
      <c r="G136" s="840">
        <f t="shared" si="15"/>
        <v>0</v>
      </c>
      <c r="H136" s="841">
        <v>13</v>
      </c>
      <c r="I136" s="859"/>
      <c r="J136" s="843">
        <f>H136/DAY(B2)</f>
        <v>0.56521739130434778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'22'!F137</f>
        <v>22859.1</v>
      </c>
      <c r="F137" s="989">
        <v>22861.040000000001</v>
      </c>
      <c r="G137" s="840">
        <f t="shared" si="15"/>
        <v>1.9400000000023283</v>
      </c>
      <c r="H137" s="841">
        <f>G137+'22'!H137</f>
        <v>-30.450000000000728</v>
      </c>
      <c r="I137" s="859">
        <f>G135+G136+G137</f>
        <v>26.020000000004075</v>
      </c>
      <c r="J137" s="843">
        <f>H137/DAY(B2)</f>
        <v>-1.3239130434782924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'22'!F138</f>
        <v>25081.89</v>
      </c>
      <c r="F138" s="989">
        <v>25081.89</v>
      </c>
      <c r="G138" s="840">
        <f t="shared" si="15"/>
        <v>0</v>
      </c>
      <c r="H138" s="841">
        <v>8</v>
      </c>
      <c r="I138" s="859"/>
      <c r="J138" s="843">
        <f>H138/DAY(B2)</f>
        <v>0.34782608695652173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'22'!F139</f>
        <v>70496.73</v>
      </c>
      <c r="F139" s="989">
        <v>70496.73</v>
      </c>
      <c r="G139" s="840">
        <f t="shared" si="15"/>
        <v>0</v>
      </c>
      <c r="H139" s="841">
        <v>15</v>
      </c>
      <c r="I139" s="859">
        <f>G138+G139</f>
        <v>0</v>
      </c>
      <c r="J139" s="843">
        <f>H139/DAY(B2)</f>
        <v>0.65217391304347827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'22'!F140</f>
        <v>2046.1</v>
      </c>
      <c r="F140" s="868">
        <v>2056.92</v>
      </c>
      <c r="G140" s="840">
        <f t="shared" si="15"/>
        <v>10.820000000000164</v>
      </c>
      <c r="H140" s="841">
        <f>G140+'22'!H140</f>
        <v>-72.259999999999764</v>
      </c>
      <c r="I140" s="990"/>
      <c r="J140" s="843">
        <f>H140/DAY(B2)</f>
        <v>-3.1417391304347722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'22'!F141</f>
        <v>4636.88</v>
      </c>
      <c r="F141" s="868">
        <v>4636.88</v>
      </c>
      <c r="G141" s="840">
        <f t="shared" si="15"/>
        <v>0</v>
      </c>
      <c r="H141" s="841">
        <f>G141+'22'!H141</f>
        <v>-0.11999999999989086</v>
      </c>
      <c r="I141" s="990"/>
      <c r="J141" s="843">
        <f>H141/DAY(B2)</f>
        <v>-5.2173913043430812E-3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5420.089999999851</v>
      </c>
      <c r="H143" s="841">
        <f>G143+'22'!H143</f>
        <v>-42443.5</v>
      </c>
      <c r="I143" s="859"/>
      <c r="J143" s="843">
        <f>H143/DAY(B2)</f>
        <v>-1845.3695652173913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5"/>
      <c r="G144" s="991">
        <f>G143/G7</f>
        <v>0.25209720930231866</v>
      </c>
      <c r="H144" s="841">
        <f>G144+'22'!H144</f>
        <v>-2.0887898836172365</v>
      </c>
      <c r="I144" s="992"/>
      <c r="J144" s="843">
        <f>H144/DAY(B2)</f>
        <v>-9.0816951461618972E-2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5831.9499999999389</v>
      </c>
      <c r="H145" s="841">
        <f>G145+'22'!H145</f>
        <v>-42266.190000000017</v>
      </c>
      <c r="I145" s="859"/>
      <c r="J145" s="843">
        <f>H145/DAY(B2)</f>
        <v>-1837.6604347826094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0.27125348837209018</v>
      </c>
      <c r="H146" s="841">
        <f>G146+'22'!H146</f>
        <v>-2.1358867885573467</v>
      </c>
      <c r="I146" s="992"/>
      <c r="J146" s="843">
        <f>H146/DAY(B2)</f>
        <v>-9.2864642980754211E-2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3432.960000000021</v>
      </c>
      <c r="H147" s="841">
        <f>G147+'22'!H147</f>
        <v>-25551.459999999963</v>
      </c>
      <c r="I147" s="993"/>
      <c r="J147" s="843">
        <f>H147/DAY(B2)</f>
        <v>-1110.9330434782592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0.15967255813953585</v>
      </c>
      <c r="H148" s="841">
        <f>G148+'22'!H148</f>
        <v>-1.2667340688998001</v>
      </c>
      <c r="I148" s="993"/>
      <c r="J148" s="843">
        <f>H148/DAY(B2)</f>
        <v>-5.5075394299991309E-2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1354.2200000000012</v>
      </c>
      <c r="H149" s="841">
        <f>G149+'22'!H149</f>
        <v>-11188.96000000005</v>
      </c>
      <c r="I149" s="859"/>
      <c r="J149" s="843">
        <f>H149/DAY(B2)</f>
        <v>-486.47652173913264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6.2986976744186102E-2</v>
      </c>
      <c r="H150" s="841">
        <f>G150+'22'!H150</f>
        <v>-0.55814637768821973</v>
      </c>
      <c r="I150" s="993"/>
      <c r="J150" s="843">
        <f>H150/DAY(B2)</f>
        <v>-2.4267233812531291E-2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1651.7100000000228</v>
      </c>
      <c r="H151" s="841">
        <f>G151+'22'!H151</f>
        <v>-13111.629999999988</v>
      </c>
      <c r="I151" s="993"/>
      <c r="J151" s="843">
        <f>H151/DAY(B2)</f>
        <v>-570.07086956521687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7.682372093023361E-2</v>
      </c>
      <c r="H152" s="841">
        <f>G152+'22'!H152</f>
        <v>-0.66687195726537074</v>
      </c>
      <c r="I152" s="859"/>
      <c r="J152" s="843">
        <f>H152/DAY(B2)</f>
        <v>-2.8994432924581336E-2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1414.3399999999965</v>
      </c>
      <c r="H153" s="841">
        <f>G153+'22'!H153</f>
        <v>-10300.540000000008</v>
      </c>
      <c r="I153" s="859"/>
      <c r="J153" s="843">
        <f>H153/DAY(B2)</f>
        <v>-447.84956521739167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6.578325581395332E-2</v>
      </c>
      <c r="H154" s="841">
        <f>G154+'22'!H154</f>
        <v>-0.51507774931829942</v>
      </c>
      <c r="I154" s="998"/>
      <c r="J154" s="999">
        <f>H154/DAY(B2)</f>
        <v>-2.2394684752969539E-2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10">
      <c r="A161" s="990" t="s">
        <v>262</v>
      </c>
      <c r="B161" s="990"/>
      <c r="C161" s="990"/>
      <c r="D161" s="825" t="s">
        <v>186</v>
      </c>
      <c r="E161" s="839">
        <f>'22'!F161</f>
        <v>40200.47</v>
      </c>
      <c r="F161" s="1014">
        <v>40281.089999999997</v>
      </c>
      <c r="G161" s="840">
        <f t="shared" ref="G161:G164" si="16">F161-E161</f>
        <v>80.619999999995343</v>
      </c>
    </row>
    <row r="162" spans="1:10" ht="21.75" customHeight="1">
      <c r="A162" s="990" t="s">
        <v>263</v>
      </c>
      <c r="B162" s="990"/>
      <c r="C162" s="990"/>
      <c r="D162" s="825" t="s">
        <v>186</v>
      </c>
      <c r="E162" s="839">
        <f>'22'!F162</f>
        <v>104144.94</v>
      </c>
      <c r="F162" s="1014">
        <v>104593.05</v>
      </c>
      <c r="G162" s="840">
        <f t="shared" si="16"/>
        <v>448.11000000000058</v>
      </c>
    </row>
    <row r="163" spans="1:10" ht="21.75" customHeight="1">
      <c r="A163" s="990" t="s">
        <v>264</v>
      </c>
      <c r="B163" s="990"/>
      <c r="C163" s="990"/>
      <c r="D163" s="825" t="s">
        <v>186</v>
      </c>
      <c r="E163" s="839">
        <f>'22'!F163</f>
        <v>49602.1</v>
      </c>
      <c r="F163" s="1014">
        <v>49805.67</v>
      </c>
      <c r="G163" s="840">
        <f t="shared" si="16"/>
        <v>203.56999999999971</v>
      </c>
    </row>
    <row r="164" spans="1:10" ht="21.75" customHeight="1">
      <c r="A164" s="990" t="s">
        <v>265</v>
      </c>
      <c r="B164" s="990"/>
      <c r="C164" s="990"/>
      <c r="D164" s="825" t="s">
        <v>186</v>
      </c>
      <c r="E164" s="839">
        <f>'22'!F164</f>
        <v>6769.2</v>
      </c>
      <c r="F164" s="1014">
        <v>6780.12</v>
      </c>
      <c r="G164" s="840">
        <f t="shared" si="16"/>
        <v>10.920000000000073</v>
      </c>
    </row>
    <row r="165" spans="1:10" ht="21.75" customHeight="1">
      <c r="A165" s="920" t="s">
        <v>97</v>
      </c>
      <c r="B165" s="920"/>
      <c r="C165" s="920"/>
      <c r="D165" s="825" t="s">
        <v>186</v>
      </c>
      <c r="E165" s="921">
        <f>E62</f>
        <v>20419.2</v>
      </c>
      <c r="F165" s="921">
        <f>F62</f>
        <v>20419</v>
      </c>
      <c r="G165" s="840">
        <f t="shared" ref="G165:G172" si="17">F165-E165</f>
        <v>-0.2000000000007276</v>
      </c>
      <c r="J165" s="1072"/>
    </row>
    <row r="166" spans="1:10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10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167012.26</v>
      </c>
      <c r="F167" s="921">
        <f t="shared" si="19"/>
        <v>167394.59</v>
      </c>
      <c r="G167" s="840">
        <f t="shared" si="17"/>
        <v>382.32999999998719</v>
      </c>
    </row>
    <row r="168" spans="1:10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167241.76999999999</v>
      </c>
      <c r="F168" s="921">
        <f t="shared" si="19"/>
        <v>167531.19</v>
      </c>
      <c r="G168" s="840">
        <f t="shared" si="17"/>
        <v>289.42000000001281</v>
      </c>
    </row>
    <row r="169" spans="1:10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64618.53</v>
      </c>
      <c r="F169" s="921">
        <f t="shared" si="19"/>
        <v>65006.65</v>
      </c>
      <c r="G169" s="840">
        <f t="shared" si="17"/>
        <v>388.12000000000262</v>
      </c>
    </row>
    <row r="170" spans="1:10">
      <c r="A170" s="1625" t="s">
        <v>101</v>
      </c>
      <c r="B170" s="1625"/>
      <c r="C170" s="1625"/>
      <c r="D170" s="838" t="s">
        <v>186</v>
      </c>
      <c r="E170" s="921">
        <f t="shared" si="18"/>
        <v>261392</v>
      </c>
      <c r="F170" s="921">
        <f t="shared" si="19"/>
        <v>261813.67</v>
      </c>
      <c r="G170" s="840">
        <f t="shared" si="17"/>
        <v>421.67000000001281</v>
      </c>
    </row>
    <row r="171" spans="1:10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  <c r="J171" s="1073"/>
    </row>
    <row r="172" spans="1:10">
      <c r="A172" s="1625" t="s">
        <v>103</v>
      </c>
      <c r="B172" s="1625"/>
      <c r="C172" s="1625"/>
      <c r="D172" s="838" t="s">
        <v>186</v>
      </c>
      <c r="E172" s="921">
        <f t="shared" si="18"/>
        <v>85602.95</v>
      </c>
      <c r="F172" s="921">
        <f t="shared" si="19"/>
        <v>85863.75</v>
      </c>
      <c r="G172" s="840">
        <f t="shared" si="17"/>
        <v>260.80000000000291</v>
      </c>
    </row>
    <row r="173" spans="1:10">
      <c r="G173" s="1005">
        <f>SUM(G161:G172)</f>
        <v>2485.3600000000133</v>
      </c>
    </row>
    <row r="174" spans="1:10">
      <c r="A174" s="1625" t="s">
        <v>345</v>
      </c>
      <c r="B174" s="1625"/>
      <c r="C174" s="1625"/>
      <c r="D174" s="838" t="s">
        <v>186</v>
      </c>
      <c r="E174" s="839">
        <f>'22'!F174</f>
        <v>28182.46</v>
      </c>
      <c r="F174" s="968">
        <v>28192.77</v>
      </c>
      <c r="G174" s="840">
        <f t="shared" ref="G174:G180" si="20">F174-E174</f>
        <v>10.31000000000131</v>
      </c>
      <c r="J174" s="1074"/>
    </row>
    <row r="175" spans="1:10">
      <c r="A175" s="1626" t="s">
        <v>350</v>
      </c>
      <c r="B175" s="1627"/>
      <c r="C175" s="990"/>
      <c r="D175" s="838" t="s">
        <v>186</v>
      </c>
      <c r="E175" s="839">
        <f>'22'!F175</f>
        <v>18965.8</v>
      </c>
      <c r="F175" s="968">
        <v>18970.8</v>
      </c>
      <c r="G175" s="840">
        <f t="shared" si="20"/>
        <v>5</v>
      </c>
    </row>
    <row r="176" spans="1:10">
      <c r="A176" s="1626" t="s">
        <v>351</v>
      </c>
      <c r="B176" s="1627"/>
      <c r="D176" s="838" t="s">
        <v>186</v>
      </c>
      <c r="E176" s="839">
        <f>'22'!F176</f>
        <v>27595.4</v>
      </c>
      <c r="F176" s="968">
        <v>27599.7</v>
      </c>
      <c r="G176" s="840">
        <f t="shared" si="20"/>
        <v>4.2999999999992724</v>
      </c>
    </row>
    <row r="177" spans="1:15" ht="18.75" customHeight="1">
      <c r="A177" s="1626" t="s">
        <v>350</v>
      </c>
      <c r="B177" s="1627"/>
      <c r="D177" s="838" t="s">
        <v>186</v>
      </c>
      <c r="E177" s="839">
        <f>'22'!F177</f>
        <v>70187.7</v>
      </c>
      <c r="F177" s="968">
        <v>70210</v>
      </c>
      <c r="G177" s="840">
        <f t="shared" si="20"/>
        <v>22.30000000000291</v>
      </c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60" zoomScale="68" zoomScaleNormal="44" zoomScaleSheetLayoutView="68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7.88671875" style="1003" customWidth="1"/>
    <col min="8" max="8" width="39.21875" style="1004" customWidth="1"/>
    <col min="9" max="9" width="15.77734375" style="1003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364</v>
      </c>
      <c r="B2" s="1076">
        <v>44006</v>
      </c>
      <c r="C2" s="807" t="s">
        <v>68</v>
      </c>
      <c r="D2" s="808">
        <v>0.57999999999999996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'23'!F7</f>
        <v>427810.67</v>
      </c>
      <c r="F7" s="455">
        <f>E7+21500</f>
        <v>449310.67</v>
      </c>
      <c r="G7" s="840">
        <f>F7-E7</f>
        <v>21500</v>
      </c>
      <c r="H7" s="841">
        <f>G7+'23'!H7</f>
        <v>527357.67000000004</v>
      </c>
      <c r="I7" s="842">
        <f>'1'!I7</f>
        <v>12000</v>
      </c>
      <c r="J7" s="843">
        <f>H7/DAY(B2)</f>
        <v>21973.236250000002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'23'!F8</f>
        <v>434826.83</v>
      </c>
      <c r="F8" s="475">
        <f>E8+21500</f>
        <v>456326.83</v>
      </c>
      <c r="G8" s="850">
        <f>F8-E8</f>
        <v>21500</v>
      </c>
      <c r="H8" s="841">
        <f>G8+'23'!H8</f>
        <v>529604.83000000007</v>
      </c>
      <c r="I8" s="851">
        <f>'1'!I8</f>
        <v>12000</v>
      </c>
      <c r="J8" s="843">
        <f>H8/DAY(B2)</f>
        <v>22066.86791666667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'23'!F9</f>
        <v>1892007.7</v>
      </c>
      <c r="F9" s="856">
        <v>1913408</v>
      </c>
      <c r="G9" s="840">
        <f t="shared" ref="G9:G12" si="0">F9-E9</f>
        <v>21400.300000000047</v>
      </c>
      <c r="H9" s="841">
        <f>G9+'23'!H9</f>
        <v>-117594</v>
      </c>
      <c r="I9" s="857">
        <f>I8-J8</f>
        <v>-10066.86791666667</v>
      </c>
      <c r="J9" s="843">
        <f>H9/DAY(B2)</f>
        <v>-4899.75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'23'!F10</f>
        <v>0</v>
      </c>
      <c r="F10" s="856">
        <v>0</v>
      </c>
      <c r="G10" s="840">
        <f t="shared" si="0"/>
        <v>0</v>
      </c>
      <c r="H10" s="841">
        <f>G10+'23'!H10</f>
        <v>-2606.2500000000005</v>
      </c>
      <c r="I10" s="859"/>
      <c r="J10" s="843">
        <f>H10/DAY(B2)</f>
        <v>-108.59375000000001</v>
      </c>
      <c r="K10" s="858"/>
      <c r="L10" s="818"/>
      <c r="M10" s="805" t="s">
        <v>276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G12+'23'!H12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21400.300000000047</v>
      </c>
      <c r="H13" s="841">
        <f>G13+'23'!H13</f>
        <v>-140527.25000000006</v>
      </c>
      <c r="I13" s="863">
        <f>G7-G13</f>
        <v>99.699999999953434</v>
      </c>
      <c r="J13" s="843">
        <f>H13/DAY(B2)</f>
        <v>-5855.3020833333358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'23'!F15</f>
        <v>1722517.72</v>
      </c>
      <c r="F15" s="700">
        <f>E15+700</f>
        <v>1723217.72</v>
      </c>
      <c r="G15" s="1015">
        <f>(F15-E15)</f>
        <v>700</v>
      </c>
      <c r="H15" s="841">
        <f>G15+'23'!H15</f>
        <v>19534.719999999972</v>
      </c>
      <c r="I15" s="842">
        <f>'1'!I15</f>
        <v>800</v>
      </c>
      <c r="J15" s="843">
        <f>H15/DAY(B2)</f>
        <v>813.94666666666546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-13.946666666665465</v>
      </c>
      <c r="J16" s="875"/>
      <c r="K16" s="858"/>
      <c r="L16" s="818"/>
      <c r="N16" s="100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>
        <f>G17+'22'!H17</f>
        <v>0</v>
      </c>
      <c r="I17" s="833"/>
      <c r="J17" s="834"/>
      <c r="K17" s="858"/>
      <c r="L17" s="818"/>
      <c r="O17" s="845"/>
    </row>
    <row r="18" spans="1:15">
      <c r="A18" s="1650" t="s">
        <v>142</v>
      </c>
      <c r="B18" s="1651"/>
      <c r="C18" s="1652"/>
      <c r="D18" s="838" t="s">
        <v>143</v>
      </c>
      <c r="E18" s="839">
        <f>'23'!F18</f>
        <v>4</v>
      </c>
      <c r="F18" s="868">
        <v>10</v>
      </c>
      <c r="G18" s="862">
        <f>F18*10</f>
        <v>100</v>
      </c>
      <c r="H18" s="841">
        <f>G18+'23'!H18</f>
        <v>3050</v>
      </c>
      <c r="I18" s="842">
        <f>'1'!I18</f>
        <v>65</v>
      </c>
      <c r="J18" s="843">
        <f>H18/DAY(B2)</f>
        <v>127.08333333333333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'23'!F19</f>
        <v>141054</v>
      </c>
      <c r="F19" s="868">
        <v>141118</v>
      </c>
      <c r="G19" s="840">
        <f t="shared" ref="G19" si="1">F19-E19</f>
        <v>64</v>
      </c>
      <c r="H19" s="841">
        <f>G19+'23'!H19</f>
        <v>-377</v>
      </c>
      <c r="I19" s="877"/>
      <c r="J19" s="843">
        <f>H19/DAY(B2)</f>
        <v>-15.708333333333334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40">
        <f>SUM(G18:G19)</f>
        <v>164</v>
      </c>
      <c r="H20" s="841">
        <f>G20+'23'!H20</f>
        <v>2673</v>
      </c>
      <c r="I20" s="880">
        <f>I18-J20</f>
        <v>-46.375</v>
      </c>
      <c r="J20" s="843">
        <f>H20/DAY(B2)</f>
        <v>111.375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f>'23'!F22</f>
        <v>2970</v>
      </c>
      <c r="F22" s="868">
        <v>2970</v>
      </c>
      <c r="G22" s="862">
        <f t="shared" ref="G22:G23" si="2">(F22-E22)</f>
        <v>0</v>
      </c>
      <c r="H22" s="841">
        <f>G22+'23'!H22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'23'!F23</f>
        <v>2000</v>
      </c>
      <c r="F23" s="868">
        <v>2000</v>
      </c>
      <c r="G23" s="862">
        <f t="shared" si="2"/>
        <v>0</v>
      </c>
      <c r="H23" s="841">
        <f>G23+'23'!H23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'23'!F24</f>
        <v>4970</v>
      </c>
      <c r="F24" s="883">
        <v>4970</v>
      </c>
      <c r="G24" s="862">
        <f>SUM(G22:G23)</f>
        <v>0</v>
      </c>
      <c r="H24" s="841">
        <f>G24+'23'!H24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G27+'23'!H27</f>
        <v>4766445.3600000003</v>
      </c>
      <c r="I27" s="901"/>
      <c r="J27" s="843">
        <f>H27/DAY(B2)</f>
        <v>198601.89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 t="shared" ref="G28:G31" si="3">E28*F28</f>
        <v>36400</v>
      </c>
      <c r="H28" s="841">
        <f>G28+'23'!H28</f>
        <v>1015805.4399999985</v>
      </c>
      <c r="I28" s="902"/>
      <c r="J28" s="843">
        <f>H28/DAY(B2)</f>
        <v>42325.226666666604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 t="shared" si="3"/>
        <v>0</v>
      </c>
      <c r="H29" s="841">
        <f>G29+'23'!H29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64</v>
      </c>
      <c r="F30" s="899">
        <v>146</v>
      </c>
      <c r="G30" s="900">
        <f t="shared" si="3"/>
        <v>9344</v>
      </c>
      <c r="H30" s="841">
        <f>G30+'23'!H30</f>
        <v>-55626</v>
      </c>
      <c r="I30" s="902"/>
      <c r="J30" s="843">
        <f>H30/DAY(B2)</f>
        <v>-2317.75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100</v>
      </c>
      <c r="F31" s="899">
        <v>80</v>
      </c>
      <c r="G31" s="900">
        <f t="shared" si="3"/>
        <v>8000</v>
      </c>
      <c r="H31" s="841">
        <f>G31+'23'!H31</f>
        <v>238400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247244</v>
      </c>
      <c r="H32" s="841">
        <f>G32+'23'!H32</f>
        <v>5965024.7999999989</v>
      </c>
      <c r="I32" s="908"/>
      <c r="J32" s="843">
        <f>H32/DAY(B2)</f>
        <v>248542.69999999995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'23'!F35</f>
        <v>1008757.5</v>
      </c>
      <c r="F35" s="911">
        <v>1011558</v>
      </c>
      <c r="G35" s="840">
        <f t="shared" ref="G35:G46" si="4">F35-E35</f>
        <v>2800.5</v>
      </c>
      <c r="H35" s="841">
        <f>G35+'23'!H35</f>
        <v>-17156</v>
      </c>
      <c r="I35" s="839"/>
      <c r="J35" s="843">
        <f>H35/DAY(B2)</f>
        <v>-714.83333333333337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'23'!F36</f>
        <v>15227.98</v>
      </c>
      <c r="F36" s="911">
        <v>16401</v>
      </c>
      <c r="G36" s="840">
        <f t="shared" si="4"/>
        <v>1173.0200000000004</v>
      </c>
      <c r="H36" s="841">
        <f>G36+'23'!H36</f>
        <v>-4060.0000000000018</v>
      </c>
      <c r="I36" s="839"/>
      <c r="J36" s="843">
        <f>H36/DAY(B2)</f>
        <v>-169.16666666666674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'23'!F37</f>
        <v>166269.59</v>
      </c>
      <c r="F37" s="911">
        <v>167756</v>
      </c>
      <c r="G37" s="840">
        <f t="shared" si="4"/>
        <v>1486.4100000000035</v>
      </c>
      <c r="H37" s="841">
        <f>G37+'23'!H37</f>
        <v>-8814</v>
      </c>
      <c r="I37" s="839"/>
      <c r="J37" s="843">
        <f>H37/DAY(B2)</f>
        <v>-367.25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'23'!F38</f>
        <v>187269.97</v>
      </c>
      <c r="F38" s="828">
        <v>188798</v>
      </c>
      <c r="G38" s="840">
        <f t="shared" si="4"/>
        <v>1528.0299999999988</v>
      </c>
      <c r="H38" s="841">
        <f>G38+'23'!H38</f>
        <v>-9661</v>
      </c>
      <c r="I38" s="839"/>
      <c r="J38" s="843">
        <f>H38/DAY(B2)</f>
        <v>-402.54166666666669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'23'!F39</f>
        <v>379312.95</v>
      </c>
      <c r="F39" s="911">
        <v>382827</v>
      </c>
      <c r="G39" s="840">
        <f t="shared" si="4"/>
        <v>3514.0499999999884</v>
      </c>
      <c r="H39" s="841">
        <f>G39+'23'!H39</f>
        <v>-22037</v>
      </c>
      <c r="I39" s="839"/>
      <c r="J39" s="843">
        <f>H39/DAY(B2)</f>
        <v>-918.20833333333337</v>
      </c>
      <c r="K39" s="858"/>
      <c r="L39" s="818"/>
      <c r="N39" s="1006">
        <f>20*38.64</f>
        <v>772.8</v>
      </c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'23'!F40</f>
        <v>4932.5</v>
      </c>
      <c r="F40" s="911">
        <v>5453</v>
      </c>
      <c r="G40" s="840">
        <f t="shared" si="4"/>
        <v>520.5</v>
      </c>
      <c r="H40" s="841">
        <f>G40+'23'!H40</f>
        <v>-1660</v>
      </c>
      <c r="I40" s="839"/>
      <c r="J40" s="843">
        <f>H40/DAY(B2)</f>
        <v>-69.166666666666671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'23'!F41</f>
        <v>309426.43</v>
      </c>
      <c r="F41" s="911">
        <v>310992</v>
      </c>
      <c r="G41" s="840">
        <f t="shared" si="4"/>
        <v>1565.570000000007</v>
      </c>
      <c r="H41" s="841">
        <f>G41+'23'!H41</f>
        <v>-18650</v>
      </c>
      <c r="I41" s="839"/>
      <c r="J41" s="843">
        <f>H41/DAY(B2)</f>
        <v>-777.08333333333337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'23'!F42</f>
        <v>59210.080000000002</v>
      </c>
      <c r="F42" s="911">
        <v>59210</v>
      </c>
      <c r="G42" s="840">
        <f t="shared" si="4"/>
        <v>-8.000000000174623E-2</v>
      </c>
      <c r="H42" s="841">
        <f>G42+'23'!H42</f>
        <v>11.110000000000582</v>
      </c>
      <c r="I42" s="839"/>
      <c r="J42" s="843">
        <f>H42/DAY(B2)</f>
        <v>0.4629166666666909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'23'!F43</f>
        <v>1100983.7</v>
      </c>
      <c r="F43" s="911">
        <v>1103903</v>
      </c>
      <c r="G43" s="840">
        <f t="shared" si="4"/>
        <v>2919.3000000000466</v>
      </c>
      <c r="H43" s="841">
        <f>G43+'23'!H43</f>
        <v>-16549</v>
      </c>
      <c r="I43" s="839"/>
      <c r="J43" s="843">
        <f>H43/DAY(B2)</f>
        <v>-689.54166666666663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'23'!F44</f>
        <v>0</v>
      </c>
      <c r="F44" s="911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'23'!F45</f>
        <v>0</v>
      </c>
      <c r="F45" s="911">
        <v>0</v>
      </c>
      <c r="G45" s="840">
        <f t="shared" si="4"/>
        <v>0</v>
      </c>
      <c r="H45" s="841">
        <f>G45+'23'!H45</f>
        <v>-614</v>
      </c>
      <c r="I45" s="839"/>
      <c r="J45" s="843">
        <f>H45/DAY(B2)</f>
        <v>-25.583333333333332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'23'!F46</f>
        <v>0</v>
      </c>
      <c r="F46" s="911">
        <v>0</v>
      </c>
      <c r="G46" s="840">
        <f t="shared" si="4"/>
        <v>0</v>
      </c>
      <c r="H46" s="841">
        <f>G46+'23'!H46</f>
        <v>-187.49</v>
      </c>
      <c r="I46" s="839"/>
      <c r="J46" s="843">
        <f>H46/DAY(B2)</f>
        <v>-7.8120833333333337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15507.300000000043</v>
      </c>
      <c r="H47" s="841">
        <f>G47+'23'!H47</f>
        <v>-98575.89</v>
      </c>
      <c r="I47" s="839"/>
      <c r="J47" s="843">
        <f>H47/DAY(B2)</f>
        <v>-4107.3287499999997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'23'!F49</f>
        <v>260732.12</v>
      </c>
      <c r="F49" s="911">
        <v>260732.12</v>
      </c>
      <c r="G49" s="840">
        <f t="shared" ref="G49:G58" si="5">F49-E49</f>
        <v>0</v>
      </c>
      <c r="H49" s="841">
        <f>G49+'23'!H49</f>
        <v>-31.880000000004657</v>
      </c>
      <c r="I49" s="839"/>
      <c r="J49" s="843">
        <f>H49/DAY(B2)</f>
        <v>-1.3283333333335274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'23'!F50</f>
        <v>526784.39</v>
      </c>
      <c r="F50" s="911">
        <v>528305</v>
      </c>
      <c r="G50" s="840">
        <f t="shared" si="5"/>
        <v>1520.609999999986</v>
      </c>
      <c r="H50" s="841">
        <f>G50+'23'!H50</f>
        <v>-7451</v>
      </c>
      <c r="I50" s="839"/>
      <c r="J50" s="843">
        <f>H50/DAY(B2)</f>
        <v>-310.45833333333331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'23'!F51</f>
        <v>144639.87</v>
      </c>
      <c r="F51" s="911">
        <v>144640</v>
      </c>
      <c r="G51" s="840">
        <f t="shared" si="5"/>
        <v>0.13000000000465661</v>
      </c>
      <c r="H51" s="841">
        <f>G51+'23'!H51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'23'!F52</f>
        <v>539606.06999999995</v>
      </c>
      <c r="F52" s="911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'23'!F53</f>
        <v>434231.59</v>
      </c>
      <c r="F53" s="911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'23'!F54</f>
        <v>14967.41</v>
      </c>
      <c r="F54" s="911">
        <v>14967</v>
      </c>
      <c r="G54" s="840">
        <f t="shared" si="5"/>
        <v>-0.40999999999985448</v>
      </c>
      <c r="H54" s="841">
        <f>G54+'23'!H54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'23'!F55</f>
        <v>95646.2</v>
      </c>
      <c r="F55" s="911">
        <v>100640</v>
      </c>
      <c r="G55" s="840">
        <f t="shared" si="5"/>
        <v>4993.8000000000029</v>
      </c>
      <c r="H55" s="841">
        <f>G55+'23'!H55</f>
        <v>-22570</v>
      </c>
      <c r="I55" s="839"/>
      <c r="J55" s="843">
        <f>H55/DAY(B2)</f>
        <v>-940.41666666666663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'23'!F56</f>
        <v>648959.99</v>
      </c>
      <c r="F56" s="911">
        <v>648960</v>
      </c>
      <c r="G56" s="840">
        <f t="shared" si="5"/>
        <v>1.0000000009313226E-2</v>
      </c>
      <c r="H56" s="841">
        <f>G56+'23'!H56</f>
        <v>-82</v>
      </c>
      <c r="I56" s="839"/>
      <c r="J56" s="843">
        <f>H56/DAY(B2)</f>
        <v>-3.4166666666666665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'23'!F57</f>
        <v>7711</v>
      </c>
      <c r="F57" s="911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'23'!F58</f>
        <v>52843.42</v>
      </c>
      <c r="F58" s="911">
        <v>53064</v>
      </c>
      <c r="G58" s="840">
        <f t="shared" si="5"/>
        <v>220.58000000000175</v>
      </c>
      <c r="H58" s="841">
        <f>G58+'23'!H58</f>
        <v>-1116</v>
      </c>
      <c r="I58" s="839"/>
      <c r="J58" s="843">
        <f>H58/DAY(B2)</f>
        <v>-46.5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6735.0600000000304</v>
      </c>
      <c r="H59" s="841">
        <f>G59+'23'!H59</f>
        <v>-31251.210000000017</v>
      </c>
      <c r="I59" s="839">
        <f>G7-G60</f>
        <v>-742.36000000007334</v>
      </c>
      <c r="J59" s="843">
        <f>H59/DAY(B2)</f>
        <v>-1302.1337500000006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22242.360000000073</v>
      </c>
      <c r="H60" s="841">
        <f>G60+'23'!H60</f>
        <v>-122923.77000000005</v>
      </c>
      <c r="I60" s="839">
        <f>G13-G60</f>
        <v>-842.06000000002678</v>
      </c>
      <c r="J60" s="843">
        <f>H60/DAY(B2)</f>
        <v>-5121.8237500000023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'23'!F62</f>
        <v>20419</v>
      </c>
      <c r="F62" s="921">
        <v>20419</v>
      </c>
      <c r="G62" s="840">
        <f t="shared" ref="G62:G69" si="6">F62-E62</f>
        <v>0</v>
      </c>
      <c r="H62" s="841">
        <f>G62+'23'!H62</f>
        <v>1.9999999967694748E-3</v>
      </c>
      <c r="I62" s="922"/>
      <c r="J62" s="843">
        <f>H62/DAY(B2)</f>
        <v>8.3333333198728113E-5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'23'!F63</f>
        <v>0</v>
      </c>
      <c r="F63" s="921">
        <v>0</v>
      </c>
      <c r="G63" s="840">
        <f t="shared" si="6"/>
        <v>0</v>
      </c>
      <c r="H63" s="841">
        <f>G63+'23'!H63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'23'!F64</f>
        <v>167394.59</v>
      </c>
      <c r="F64" s="868">
        <v>167799</v>
      </c>
      <c r="G64" s="840">
        <f t="shared" si="6"/>
        <v>404.41000000000349</v>
      </c>
      <c r="H64" s="841">
        <f>G64+'23'!H64</f>
        <v>-2223</v>
      </c>
      <c r="I64" s="859"/>
      <c r="J64" s="843">
        <f>H64/DAY(B2)</f>
        <v>-92.625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'23'!F65</f>
        <v>167531.19</v>
      </c>
      <c r="F65" s="868">
        <v>167848</v>
      </c>
      <c r="G65" s="840">
        <f t="shared" si="6"/>
        <v>316.80999999999767</v>
      </c>
      <c r="H65" s="841">
        <f>G65+'23'!H65</f>
        <v>-2454</v>
      </c>
      <c r="I65" s="877"/>
      <c r="J65" s="843">
        <f>H65/DAY(B2)</f>
        <v>-102.25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'23'!F66</f>
        <v>65006.65</v>
      </c>
      <c r="F66" s="868">
        <v>65414</v>
      </c>
      <c r="G66" s="840">
        <f t="shared" si="6"/>
        <v>407.34999999999854</v>
      </c>
      <c r="H66" s="841">
        <f>G66+'23'!H66</f>
        <v>-2556</v>
      </c>
      <c r="I66" s="859"/>
      <c r="J66" s="843">
        <f>H66/DAY(B2)</f>
        <v>-106.5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'23'!F67</f>
        <v>261813.67</v>
      </c>
      <c r="F67" s="868">
        <v>262246</v>
      </c>
      <c r="G67" s="840">
        <f t="shared" si="6"/>
        <v>432.32999999998719</v>
      </c>
      <c r="H67" s="841">
        <f>G67+'23'!H67</f>
        <v>-2713</v>
      </c>
      <c r="I67" s="877"/>
      <c r="J67" s="843">
        <f>H67/DAY(B2)</f>
        <v>-113.04166666666667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'23'!F68</f>
        <v>85321</v>
      </c>
      <c r="F68" s="868">
        <v>85321</v>
      </c>
      <c r="G68" s="840">
        <f t="shared" si="6"/>
        <v>0</v>
      </c>
      <c r="H68" s="841">
        <f>G68+'23'!H68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'23'!F69</f>
        <v>85863.75</v>
      </c>
      <c r="F69" s="868">
        <v>86101</v>
      </c>
      <c r="G69" s="840">
        <f t="shared" si="6"/>
        <v>237.25</v>
      </c>
      <c r="H69" s="841">
        <f>G69+'23'!H69</f>
        <v>-1414</v>
      </c>
      <c r="I69" s="923"/>
      <c r="J69" s="843">
        <f>H69/DAY(B2)</f>
        <v>-58.916666666666664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G70+'23'!H70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'23'!F72</f>
        <v>856143</v>
      </c>
      <c r="F72" s="929">
        <v>856157</v>
      </c>
      <c r="G72" s="840">
        <f t="shared" ref="G72:G91" si="7">F72-E72</f>
        <v>14</v>
      </c>
      <c r="H72" s="841">
        <f>G72+'23'!H72</f>
        <v>-78</v>
      </c>
      <c r="I72" s="859"/>
      <c r="J72" s="843">
        <f>H72/DAY(B2)</f>
        <v>-3.25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'23'!F73</f>
        <v>885964</v>
      </c>
      <c r="F73" s="930">
        <v>885965</v>
      </c>
      <c r="G73" s="840">
        <f t="shared" si="7"/>
        <v>1</v>
      </c>
      <c r="H73" s="841">
        <f>G73+'23'!H73</f>
        <v>131</v>
      </c>
      <c r="I73" s="859"/>
      <c r="J73" s="843">
        <f>H73/DAY(B2)</f>
        <v>5.458333333333333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'23'!F74</f>
        <v>88689</v>
      </c>
      <c r="F74" s="931">
        <v>88689</v>
      </c>
      <c r="G74" s="840">
        <f t="shared" si="7"/>
        <v>0</v>
      </c>
      <c r="H74" s="841">
        <f>G74+'23'!H74</f>
        <v>27</v>
      </c>
      <c r="I74" s="859"/>
      <c r="J74" s="843">
        <f>H74/DAY(B2)</f>
        <v>1.125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'23'!F75</f>
        <v>15045.3</v>
      </c>
      <c r="F75" s="931">
        <v>15203</v>
      </c>
      <c r="G75" s="840">
        <f t="shared" si="7"/>
        <v>157.70000000000073</v>
      </c>
      <c r="H75" s="841">
        <f>G75+'23'!H75</f>
        <v>-868</v>
      </c>
      <c r="I75" s="859"/>
      <c r="J75" s="843">
        <f>H75/DAY(B2)</f>
        <v>-36.166666666666664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'23'!F76</f>
        <v>8803.7900000000009</v>
      </c>
      <c r="F76" s="930">
        <v>8873</v>
      </c>
      <c r="G76" s="840">
        <f t="shared" si="7"/>
        <v>69.209999999999127</v>
      </c>
      <c r="H76" s="841">
        <f>G76+'23'!H76</f>
        <v>654</v>
      </c>
      <c r="I76" s="902"/>
      <c r="J76" s="843">
        <f>H76/DAY(B2)</f>
        <v>27.25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'23'!F77</f>
        <v>703989</v>
      </c>
      <c r="F77" s="930">
        <v>704034</v>
      </c>
      <c r="G77" s="840">
        <f t="shared" si="7"/>
        <v>45</v>
      </c>
      <c r="H77" s="841">
        <f>G77+'23'!H77</f>
        <v>-340</v>
      </c>
      <c r="I77" s="902"/>
      <c r="J77" s="843">
        <f>H77/DAY(B2)</f>
        <v>-14.166666666666666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'23'!F78</f>
        <v>674738</v>
      </c>
      <c r="F78" s="931">
        <v>674814</v>
      </c>
      <c r="G78" s="840">
        <f t="shared" si="7"/>
        <v>76</v>
      </c>
      <c r="H78" s="841">
        <f>G78+'23'!H78</f>
        <v>-600</v>
      </c>
      <c r="I78" s="902"/>
      <c r="J78" s="843">
        <f>H78/DAY(B2)</f>
        <v>-25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'23'!F79</f>
        <v>834376</v>
      </c>
      <c r="F79" s="931">
        <v>834544</v>
      </c>
      <c r="G79" s="840">
        <f t="shared" si="7"/>
        <v>168</v>
      </c>
      <c r="H79" s="841">
        <f>G79+'23'!H79</f>
        <v>-1610</v>
      </c>
      <c r="I79" s="902"/>
      <c r="J79" s="843">
        <f>H79/DAY(B2)</f>
        <v>-67.083333333333329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'23'!F80</f>
        <v>536209.31999999995</v>
      </c>
      <c r="F80" s="1230">
        <v>536609</v>
      </c>
      <c r="G80" s="840">
        <f t="shared" si="7"/>
        <v>399.68000000005122</v>
      </c>
      <c r="H80" s="841">
        <f>G80+'23'!H80</f>
        <v>-5782</v>
      </c>
      <c r="I80" s="902"/>
      <c r="J80" s="843">
        <f>H80/DAY(B2)</f>
        <v>-240.91666666666666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'23'!F81</f>
        <v>641985.64</v>
      </c>
      <c r="F81" s="930">
        <v>642171</v>
      </c>
      <c r="G81" s="840">
        <f t="shared" si="7"/>
        <v>185.35999999998603</v>
      </c>
      <c r="H81" s="841">
        <f>G81+'23'!H81</f>
        <v>-814</v>
      </c>
      <c r="I81" s="902"/>
      <c r="J81" s="843">
        <f>H81/DAY(B2)</f>
        <v>-33.916666666666664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'23'!F82</f>
        <v>108553.72</v>
      </c>
      <c r="F82" s="933">
        <v>108568</v>
      </c>
      <c r="G82" s="840">
        <f t="shared" si="7"/>
        <v>14.279999999998836</v>
      </c>
      <c r="H82" s="841">
        <f>G82+'23'!H82</f>
        <v>-113</v>
      </c>
      <c r="I82" s="873"/>
      <c r="J82" s="843">
        <f>H82/DAY(B2)</f>
        <v>-4.708333333333333</v>
      </c>
      <c r="K82" s="924"/>
      <c r="L82" s="818"/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'23'!F83</f>
        <v>25513</v>
      </c>
      <c r="F83" s="825">
        <v>25772</v>
      </c>
      <c r="G83" s="840">
        <f>F83-E83</f>
        <v>259</v>
      </c>
      <c r="H83" s="841">
        <f>G83+'23'!H83</f>
        <v>-1779</v>
      </c>
      <c r="I83" s="862"/>
      <c r="J83" s="843">
        <f>H83/DAY(B2)</f>
        <v>-74.125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'23'!F84</f>
        <v>517399</v>
      </c>
      <c r="F84" s="937">
        <v>518149</v>
      </c>
      <c r="G84" s="840">
        <f t="shared" si="7"/>
        <v>750</v>
      </c>
      <c r="H84" s="841">
        <f>G84+'23'!H84</f>
        <v>-4931</v>
      </c>
      <c r="I84" s="862"/>
      <c r="J84" s="843">
        <f>H84/DAY(B2)</f>
        <v>-205.45833333333334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>
        <f>'23'!F85</f>
        <v>0</v>
      </c>
      <c r="F85" s="838"/>
      <c r="G85" s="841">
        <f xml:space="preserve"> SUM(G72:G84)</f>
        <v>2139.2300000000359</v>
      </c>
      <c r="H85" s="841">
        <f>G85+'23'!H85</f>
        <v>-13229.000000000007</v>
      </c>
      <c r="I85" s="862"/>
      <c r="J85" s="843">
        <f>H85/DAY(B2)</f>
        <v>-551.2083333333336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'23'!F86</f>
        <v>461570.64</v>
      </c>
      <c r="F86" s="946">
        <v>461610</v>
      </c>
      <c r="G86" s="947">
        <f t="shared" si="7"/>
        <v>39.35999999998603</v>
      </c>
      <c r="H86" s="947">
        <f t="shared" ref="H86:H88" si="8">G86</f>
        <v>39.35999999998603</v>
      </c>
      <c r="I86" s="948"/>
      <c r="J86" s="949">
        <f>H86/DAY(B2)</f>
        <v>1.6399999999994179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'23'!F87</f>
        <v>81883</v>
      </c>
      <c r="F87" s="946">
        <v>81914</v>
      </c>
      <c r="G87" s="947">
        <f t="shared" si="7"/>
        <v>31</v>
      </c>
      <c r="H87" s="947">
        <f t="shared" si="8"/>
        <v>31</v>
      </c>
      <c r="I87" s="948"/>
      <c r="J87" s="949">
        <f>H87/DAY(B2)</f>
        <v>1.2916666666666667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'23'!F88</f>
        <v>154545</v>
      </c>
      <c r="F88" s="946">
        <v>154692</v>
      </c>
      <c r="G88" s="947">
        <f t="shared" si="7"/>
        <v>147</v>
      </c>
      <c r="H88" s="947">
        <f t="shared" si="8"/>
        <v>147</v>
      </c>
      <c r="I88" s="948"/>
      <c r="J88" s="949">
        <f>H88/DAY(B2)</f>
        <v>6.125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'23'!F89</f>
        <v>65647.399999999994</v>
      </c>
      <c r="F89" s="946">
        <v>65676</v>
      </c>
      <c r="G89" s="947">
        <f t="shared" si="7"/>
        <v>28.600000000005821</v>
      </c>
      <c r="H89" s="947">
        <f>G89</f>
        <v>28.600000000005821</v>
      </c>
      <c r="I89" s="948"/>
      <c r="J89" s="949">
        <f>H89/DAY(B2)</f>
        <v>1.1916666666669091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'23'!F90</f>
        <v>3323.7</v>
      </c>
      <c r="F90" s="946">
        <v>3328</v>
      </c>
      <c r="G90" s="947">
        <f t="shared" si="7"/>
        <v>4.3000000000001819</v>
      </c>
      <c r="H90" s="947">
        <f>G90</f>
        <v>4.3000000000001819</v>
      </c>
      <c r="I90" s="948"/>
      <c r="J90" s="949">
        <f>H90/DAY(B2)</f>
        <v>0.17916666666667425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 t="s">
        <v>131</v>
      </c>
      <c r="E91" s="839">
        <f>'23'!F91</f>
        <v>28192.77</v>
      </c>
      <c r="F91" s="946">
        <v>28203</v>
      </c>
      <c r="G91" s="705">
        <f t="shared" si="7"/>
        <v>10.229999999999563</v>
      </c>
      <c r="H91" s="705">
        <f>G91</f>
        <v>10.229999999999563</v>
      </c>
      <c r="I91" s="652"/>
      <c r="J91" s="707"/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'23'!F93</f>
        <v>246785</v>
      </c>
      <c r="F93" s="868">
        <v>246860</v>
      </c>
      <c r="G93" s="840">
        <f t="shared" ref="G93:G94" si="9">F93-E93</f>
        <v>75</v>
      </c>
      <c r="H93" s="841">
        <f>G93+'23'!H93</f>
        <v>-492</v>
      </c>
      <c r="I93" s="859"/>
      <c r="J93" s="843">
        <f>H93/DAY(B2)</f>
        <v>-20.5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'23'!F94</f>
        <v>188705</v>
      </c>
      <c r="F94" s="868">
        <v>188804</v>
      </c>
      <c r="G94" s="840">
        <f t="shared" si="9"/>
        <v>99</v>
      </c>
      <c r="H94" s="841">
        <f>G94+'23'!H94</f>
        <v>-650</v>
      </c>
      <c r="I94" s="859"/>
      <c r="J94" s="843">
        <f>H94/DAY(B2)</f>
        <v>-27.083333333333332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'23'!F95</f>
        <v>0</v>
      </c>
      <c r="F95" s="868"/>
      <c r="G95" s="840">
        <f>G93+G94</f>
        <v>174</v>
      </c>
      <c r="H95" s="841">
        <f>G95+'23'!H95</f>
        <v>-1328</v>
      </c>
      <c r="I95" s="859"/>
      <c r="J95" s="843">
        <f>H95/DAY(B2)</f>
        <v>-55.333333333333336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'23'!F96</f>
        <v>415533</v>
      </c>
      <c r="F96" s="868">
        <v>415606</v>
      </c>
      <c r="G96" s="840">
        <f t="shared" ref="G96:G101" si="10">F96-E96</f>
        <v>73</v>
      </c>
      <c r="H96" s="841">
        <f>G96+'23'!H96</f>
        <v>-393</v>
      </c>
      <c r="I96" s="859"/>
      <c r="J96" s="843">
        <f>H96/DAY(B2)</f>
        <v>-16.375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'23'!F97</f>
        <v>103010</v>
      </c>
      <c r="F97" s="868">
        <v>103029</v>
      </c>
      <c r="G97" s="840">
        <f t="shared" si="10"/>
        <v>19</v>
      </c>
      <c r="H97" s="841">
        <f>G97+'23'!H97</f>
        <v>-134</v>
      </c>
      <c r="I97" s="859"/>
      <c r="J97" s="843">
        <f>H97/DAY(B2)</f>
        <v>-5.583333333333333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'23'!F98</f>
        <v>98492</v>
      </c>
      <c r="F98" s="868">
        <v>98512</v>
      </c>
      <c r="G98" s="840">
        <f t="shared" si="10"/>
        <v>20</v>
      </c>
      <c r="H98" s="841">
        <f>G98+'23'!H98</f>
        <v>-145</v>
      </c>
      <c r="I98" s="859"/>
      <c r="J98" s="843">
        <f>H98/DAY(B2)</f>
        <v>-6.041666666666667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'23'!F99</f>
        <v>150163</v>
      </c>
      <c r="F99" s="868">
        <v>150186</v>
      </c>
      <c r="G99" s="840">
        <f t="shared" si="10"/>
        <v>23</v>
      </c>
      <c r="H99" s="841">
        <f>G99+'23'!H99</f>
        <v>-219</v>
      </c>
      <c r="I99" s="859"/>
      <c r="J99" s="843">
        <f>H99/DAY(B2)</f>
        <v>-9.125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'23'!F100</f>
        <v>7654</v>
      </c>
      <c r="F100" s="868">
        <v>7662</v>
      </c>
      <c r="G100" s="840">
        <f t="shared" si="10"/>
        <v>8</v>
      </c>
      <c r="H100" s="841">
        <f>G100+'23'!H100</f>
        <v>-135</v>
      </c>
      <c r="I100" s="859"/>
      <c r="J100" s="843">
        <f>H100/DAY(B2)</f>
        <v>-5.625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'23'!F101</f>
        <v>5592</v>
      </c>
      <c r="F101" s="868">
        <v>5598</v>
      </c>
      <c r="G101" s="840">
        <f t="shared" si="10"/>
        <v>6</v>
      </c>
      <c r="H101" s="841">
        <f>G101+'23'!H101</f>
        <v>-76</v>
      </c>
      <c r="I101" s="859"/>
      <c r="J101" s="843">
        <f>H101/DAY(B2)</f>
        <v>-3.1666666666666665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871"/>
      <c r="G102" s="955">
        <f>SUM(G96:G101)</f>
        <v>149</v>
      </c>
      <c r="H102" s="841">
        <f>G102+'23'!H102</f>
        <v>-1102</v>
      </c>
      <c r="I102" s="956"/>
      <c r="J102" s="843">
        <f>H102/DAY(B2)</f>
        <v>-45.916666666666664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'23'!F105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2.8908333333332998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'23'!F106</f>
        <v>36091</v>
      </c>
      <c r="F106" s="972">
        <v>36116</v>
      </c>
      <c r="G106" s="968">
        <f t="shared" ref="G106:G107" si="11">F106-E106</f>
        <v>25</v>
      </c>
      <c r="H106" s="969">
        <f>SUM(G106+'1'!G77)</f>
        <v>78</v>
      </c>
      <c r="I106" s="968"/>
      <c r="J106" s="970">
        <f>H106/DAY(B2)</f>
        <v>3.25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'23'!F107</f>
        <v>19792</v>
      </c>
      <c r="F107" s="968">
        <v>19795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4.875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/>
      <c r="F108" s="968"/>
      <c r="G108" s="968">
        <f>SUM(G105:G107)</f>
        <v>28</v>
      </c>
      <c r="H108" s="969">
        <f>SUM(G108+'1'!G79)</f>
        <v>181</v>
      </c>
      <c r="I108" s="968"/>
      <c r="J108" s="970">
        <f>H108/DAY(B2)</f>
        <v>7.541666666666667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'23'!F109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'23'!F110</f>
        <v>64386</v>
      </c>
      <c r="F110" s="968">
        <v>64441</v>
      </c>
      <c r="G110" s="968">
        <f>F110-E110</f>
        <v>55</v>
      </c>
      <c r="H110" s="969">
        <f>SUM(G110+'1'!G81)</f>
        <v>186.64000000001397</v>
      </c>
      <c r="I110" s="968"/>
      <c r="J110" s="970">
        <f>H110/DAY(B2)</f>
        <v>7.776666666667249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'23'!F111</f>
        <v>32852</v>
      </c>
      <c r="F111" s="968">
        <v>32909</v>
      </c>
      <c r="G111" s="968">
        <f t="shared" ref="G111:G112" si="12">F111-E111</f>
        <v>57</v>
      </c>
      <c r="H111" s="969">
        <f>SUM(G111+'1'!G82)</f>
        <v>81.899999999994179</v>
      </c>
      <c r="I111" s="968"/>
      <c r="J111" s="970">
        <f>H111/DAY(B2)</f>
        <v>3.4124999999997576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'23'!F112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14.625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'23'!F113</f>
        <v>0</v>
      </c>
      <c r="F113" s="968"/>
      <c r="G113" s="968">
        <f>SUM(G110:G112)</f>
        <v>112</v>
      </c>
      <c r="H113" s="969">
        <f>SUM(G113+'1'!G84)</f>
        <v>928</v>
      </c>
      <c r="I113" s="968"/>
      <c r="J113" s="970">
        <f>H113/DAY(B2)</f>
        <v>38.666666666666664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/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'23'!F115</f>
        <v>11847</v>
      </c>
      <c r="F115" s="972">
        <v>11857</v>
      </c>
      <c r="G115" s="972">
        <f>F115-E115</f>
        <v>10</v>
      </c>
      <c r="H115" s="969">
        <f>SUM(G115+'1'!G92)</f>
        <v>10</v>
      </c>
      <c r="I115" s="968"/>
      <c r="J115" s="970">
        <f>H115/DAY(B2)</f>
        <v>0.41666666666666669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'23'!F116</f>
        <v>8488</v>
      </c>
      <c r="F116" s="972">
        <v>8494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3.9583333333333335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4.041666666666667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16</v>
      </c>
      <c r="H118" s="969">
        <f>SUM(G118+'1'!G96)</f>
        <v>102</v>
      </c>
      <c r="I118" s="972"/>
      <c r="J118" s="970">
        <f>H118/DAY(B2)</f>
        <v>4.25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6.5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126</v>
      </c>
      <c r="H120" s="969">
        <f>SUM(G120+'1'!G99)</f>
        <v>176</v>
      </c>
      <c r="I120" s="978"/>
      <c r="J120" s="980">
        <f>H120/DAY(B2)</f>
        <v>7.333333333333333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112</v>
      </c>
      <c r="H121" s="969">
        <f>SUM(G121+'1'!G101)</f>
        <v>117</v>
      </c>
      <c r="I121" s="978"/>
      <c r="J121" s="980">
        <f>H121/DAY(B2)</f>
        <v>4.875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'23'!F124</f>
        <v>837708.15</v>
      </c>
      <c r="F124" s="856">
        <v>837997</v>
      </c>
      <c r="G124" s="840">
        <f t="shared" ref="G124:G128" si="14">F124-E124</f>
        <v>288.84999999997672</v>
      </c>
      <c r="H124" s="841">
        <f>G124+'23'!H124</f>
        <v>-1673</v>
      </c>
      <c r="I124" s="956"/>
      <c r="J124" s="843">
        <f>H124/DAY(B2)</f>
        <v>-69.708333333333329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'23'!F125</f>
        <v>73583.399999999994</v>
      </c>
      <c r="F125" s="984">
        <v>73583</v>
      </c>
      <c r="G125" s="840">
        <f t="shared" si="14"/>
        <v>-0.39999999999417923</v>
      </c>
      <c r="H125" s="841">
        <f>G125+'23'!H125</f>
        <v>-0.39999999999417923</v>
      </c>
      <c r="I125" s="956"/>
      <c r="J125" s="843">
        <f>H125/DAY(B2)</f>
        <v>-1.6666666666424135E-2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'23'!F126</f>
        <v>148052.42000000001</v>
      </c>
      <c r="F126" s="856">
        <v>148126</v>
      </c>
      <c r="G126" s="840">
        <f t="shared" si="14"/>
        <v>73.579999999987194</v>
      </c>
      <c r="H126" s="841">
        <f>G126+'23'!H126</f>
        <v>-471</v>
      </c>
      <c r="I126" s="956"/>
      <c r="J126" s="843">
        <f>H126/DAY(B2)</f>
        <v>-19.625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'23'!F127</f>
        <v>31828.2</v>
      </c>
      <c r="F127" s="984">
        <v>31863</v>
      </c>
      <c r="G127" s="840">
        <f t="shared" si="14"/>
        <v>34.799999999999272</v>
      </c>
      <c r="H127" s="841">
        <f>G127+'23'!H127</f>
        <v>-208</v>
      </c>
      <c r="I127" s="956"/>
      <c r="J127" s="843">
        <f>H127/DAY(B2)</f>
        <v>-8.6666666666666661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'23'!F128</f>
        <v>8987.1</v>
      </c>
      <c r="F128" s="984">
        <v>8990</v>
      </c>
      <c r="G128" s="840">
        <f t="shared" si="14"/>
        <v>2.8999999999996362</v>
      </c>
      <c r="H128" s="841">
        <f>G128+'23'!H128</f>
        <v>-22</v>
      </c>
      <c r="I128" s="859"/>
      <c r="J128" s="843">
        <f>H128/DAY(B2)</f>
        <v>-0.91666666666666663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300.27000000003136</v>
      </c>
      <c r="H129" s="841">
        <f>G129+'23'!H129</f>
        <v>15535.617000000109</v>
      </c>
      <c r="I129" s="859"/>
      <c r="J129" s="843">
        <f>H129/DAY(B2)</f>
        <v>647.31737500000452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'23'!F131</f>
        <v>0</v>
      </c>
      <c r="F131" s="868">
        <v>0</v>
      </c>
      <c r="G131" s="840">
        <f t="shared" ref="G131:G141" si="15">F131-E131</f>
        <v>0</v>
      </c>
      <c r="H131" s="841">
        <f>G131+'23'!H131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'23'!F132</f>
        <v>0</v>
      </c>
      <c r="F132" s="868">
        <v>0</v>
      </c>
      <c r="G132" s="840">
        <f t="shared" si="15"/>
        <v>0</v>
      </c>
      <c r="H132" s="841">
        <f>G132+'23'!H132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1453">
        <f>'23'!F133</f>
        <v>40357.51</v>
      </c>
      <c r="F133" s="989">
        <v>40365</v>
      </c>
      <c r="G133" s="948">
        <f t="shared" si="15"/>
        <v>7.4899999999979627</v>
      </c>
      <c r="H133" s="841">
        <f>G133+'23'!H133</f>
        <v>-88</v>
      </c>
      <c r="I133" s="859"/>
      <c r="J133" s="843">
        <f>H133/DAY(B2)</f>
        <v>-3.6666666666666665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1453">
        <f>'23'!F134</f>
        <v>300</v>
      </c>
      <c r="F134" s="989">
        <v>300</v>
      </c>
      <c r="G134" s="948">
        <f t="shared" si="15"/>
        <v>0</v>
      </c>
      <c r="H134" s="841">
        <f>G134+'23'!H134</f>
        <v>0</v>
      </c>
      <c r="I134" s="859">
        <f>G131+G132+G133+G134</f>
        <v>7.4899999999979627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1453">
        <f>'23'!F135</f>
        <v>41863.440000000002</v>
      </c>
      <c r="F135" s="989">
        <v>41887</v>
      </c>
      <c r="G135" s="948">
        <f t="shared" si="15"/>
        <v>23.559999999997672</v>
      </c>
      <c r="H135" s="841">
        <f>G135+'23'!H135</f>
        <v>47.559999999997672</v>
      </c>
      <c r="I135" s="859"/>
      <c r="J135" s="843">
        <f>H135/DAY(B2)</f>
        <v>1.9816666666665697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1453">
        <f>'23'!F136</f>
        <v>32874.050000000003</v>
      </c>
      <c r="F136" s="989">
        <v>32874</v>
      </c>
      <c r="G136" s="948">
        <f t="shared" si="15"/>
        <v>-5.0000000002910383E-2</v>
      </c>
      <c r="H136" s="841">
        <f>G136+'23'!H136</f>
        <v>12.94999999999709</v>
      </c>
      <c r="I136" s="859"/>
      <c r="J136" s="843">
        <f>H136/DAY(B2)</f>
        <v>0.53958333333321207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1453">
        <f>'23'!F137</f>
        <v>22861.040000000001</v>
      </c>
      <c r="F137" s="989">
        <v>22861</v>
      </c>
      <c r="G137" s="948">
        <f t="shared" si="15"/>
        <v>-4.0000000000873115E-2</v>
      </c>
      <c r="H137" s="841">
        <f>G137+'23'!H137</f>
        <v>-30.490000000001601</v>
      </c>
      <c r="I137" s="859">
        <f>G135+G136+G137</f>
        <v>23.469999999993888</v>
      </c>
      <c r="J137" s="843">
        <f>H137/DAY(B2)</f>
        <v>-1.2704166666667334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'23'!F138</f>
        <v>25081.89</v>
      </c>
      <c r="F138" s="989">
        <v>25091.39</v>
      </c>
      <c r="G138" s="840">
        <f t="shared" si="15"/>
        <v>9.5</v>
      </c>
      <c r="H138" s="841">
        <f>G138+'23'!H138</f>
        <v>17.5</v>
      </c>
      <c r="I138" s="859"/>
      <c r="J138" s="843">
        <f>H138/DAY(B2)</f>
        <v>0.72916666666666663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'23'!F139</f>
        <v>70496.73</v>
      </c>
      <c r="F139" s="989">
        <v>70497.78</v>
      </c>
      <c r="G139" s="840">
        <f t="shared" si="15"/>
        <v>1.0500000000029104</v>
      </c>
      <c r="H139" s="841">
        <f>G139+'23'!H139</f>
        <v>16.05000000000291</v>
      </c>
      <c r="I139" s="859">
        <f>G138+G139</f>
        <v>10.55000000000291</v>
      </c>
      <c r="J139" s="843">
        <f>H139/DAY(B2)</f>
        <v>0.6687500000001213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'23'!F140</f>
        <v>2056.92</v>
      </c>
      <c r="F140" s="868">
        <v>2067.64</v>
      </c>
      <c r="G140" s="840">
        <f t="shared" si="15"/>
        <v>10.7199999999998</v>
      </c>
      <c r="H140" s="841">
        <f>G140+'23'!H140</f>
        <v>-61.539999999999964</v>
      </c>
      <c r="I140" s="990"/>
      <c r="J140" s="843">
        <f>H140/DAY(B2)</f>
        <v>-2.5641666666666652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'23'!F141</f>
        <v>4636.88</v>
      </c>
      <c r="F141" s="868">
        <v>4636.88</v>
      </c>
      <c r="G141" s="840">
        <f t="shared" si="15"/>
        <v>0</v>
      </c>
      <c r="H141" s="841">
        <f>G141+'23'!H141</f>
        <v>-0.11999999999989086</v>
      </c>
      <c r="I141" s="990"/>
      <c r="J141" s="843">
        <f>H141/DAY(B2)</f>
        <v>-4.9999999999954525E-3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5719.8000000000466</v>
      </c>
      <c r="H143" s="841">
        <f>G143+'23'!H143</f>
        <v>-36723.699999999953</v>
      </c>
      <c r="I143" s="859"/>
      <c r="J143" s="843">
        <f>H143/DAY(B2)</f>
        <v>-1530.1541666666647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5"/>
      <c r="G144" s="991">
        <f>G143/G7</f>
        <v>0.26603720930232777</v>
      </c>
      <c r="H144" s="841">
        <f>G144+'23'!H144</f>
        <v>-1.8227526743149087</v>
      </c>
      <c r="I144" s="992"/>
      <c r="J144" s="843">
        <f>H144/DAY(B2)</f>
        <v>-7.5948028096454526E-2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6559.3000000000175</v>
      </c>
      <c r="H145" s="841">
        <f>G145+'23'!H145</f>
        <v>-35706.89</v>
      </c>
      <c r="I145" s="859"/>
      <c r="J145" s="843">
        <f>H145/DAY(B2)</f>
        <v>-1487.7870833333334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0.30508372093023339</v>
      </c>
      <c r="H146" s="841">
        <f>G146+'23'!H146</f>
        <v>-1.8308030676271132</v>
      </c>
      <c r="I146" s="992"/>
      <c r="J146" s="843">
        <f>H146/DAY(B2)</f>
        <v>-7.6283461151129717E-2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3514.4599999999627</v>
      </c>
      <c r="H147" s="841">
        <f>G147+'23'!H147</f>
        <v>-22037</v>
      </c>
      <c r="I147" s="993"/>
      <c r="J147" s="843">
        <f>H147/DAY(B2)</f>
        <v>-918.20833333333337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0.16346325581395177</v>
      </c>
      <c r="H148" s="841">
        <f>G148+'23'!H148</f>
        <v>-1.1032708130858484</v>
      </c>
      <c r="I148" s="993"/>
      <c r="J148" s="843">
        <f>H148/DAY(B2)</f>
        <v>-4.5969617211910348E-2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1527.9600000000501</v>
      </c>
      <c r="H149" s="841">
        <f>G149+'23'!H149</f>
        <v>-9661</v>
      </c>
      <c r="I149" s="859"/>
      <c r="J149" s="843">
        <f>H149/DAY(B2)</f>
        <v>-402.54166666666669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7.1067906976746517E-2</v>
      </c>
      <c r="H150" s="841">
        <f>G150+'23'!H150</f>
        <v>-0.4870784707114732</v>
      </c>
      <c r="I150" s="993"/>
      <c r="J150" s="843">
        <f>H150/DAY(B2)</f>
        <v>-2.0294936279644717E-2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2693.6299999999865</v>
      </c>
      <c r="H151" s="841">
        <f>G151+'23'!H151</f>
        <v>-10418.000000000002</v>
      </c>
      <c r="I151" s="993"/>
      <c r="J151" s="843">
        <f>H151/DAY(B2)</f>
        <v>-434.08333333333343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0.12528511627906913</v>
      </c>
      <c r="H152" s="841">
        <f>G152+'23'!H152</f>
        <v>-0.54158684098630161</v>
      </c>
      <c r="I152" s="859"/>
      <c r="J152" s="843">
        <f>H152/DAY(B2)</f>
        <v>-2.2566118374429234E-2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1486.5400000000081</v>
      </c>
      <c r="H153" s="841">
        <f>G153+'23'!H153</f>
        <v>-8814</v>
      </c>
      <c r="I153" s="859"/>
      <c r="J153" s="843">
        <f>H153/DAY(B2)</f>
        <v>-367.25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6.9141395348837592E-2</v>
      </c>
      <c r="H154" s="841">
        <f>G154+'23'!H154</f>
        <v>-0.44593635396946185</v>
      </c>
      <c r="I154" s="998"/>
      <c r="J154" s="999">
        <f>H154/DAY(B2)</f>
        <v>-1.8580681415394245E-2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'23'!F161</f>
        <v>40281.089999999997</v>
      </c>
      <c r="F161" s="1014">
        <v>40362</v>
      </c>
      <c r="G161" s="840">
        <f t="shared" ref="G161:G164" si="16">F161-E161</f>
        <v>80.910000000003492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'23'!F162</f>
        <v>104593.05</v>
      </c>
      <c r="F162" s="1014">
        <v>105052</v>
      </c>
      <c r="G162" s="840">
        <f t="shared" si="16"/>
        <v>458.94999999999709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'23'!F163</f>
        <v>49805.67</v>
      </c>
      <c r="F163" s="1014">
        <v>49999</v>
      </c>
      <c r="G163" s="840">
        <f t="shared" si="16"/>
        <v>193.33000000000175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'23'!F164</f>
        <v>6780.12</v>
      </c>
      <c r="F164" s="1014">
        <v>6792</v>
      </c>
      <c r="G164" s="840">
        <f t="shared" si="16"/>
        <v>11.880000000000109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167394.59</v>
      </c>
      <c r="F167" s="921">
        <f t="shared" si="19"/>
        <v>167799</v>
      </c>
      <c r="G167" s="840">
        <f t="shared" si="17"/>
        <v>404.41000000000349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167531.19</v>
      </c>
      <c r="F168" s="921">
        <f t="shared" si="19"/>
        <v>167848</v>
      </c>
      <c r="G168" s="840">
        <f t="shared" si="17"/>
        <v>316.80999999999767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65006.65</v>
      </c>
      <c r="F169" s="921">
        <f t="shared" si="19"/>
        <v>65414</v>
      </c>
      <c r="G169" s="840">
        <f t="shared" si="17"/>
        <v>407.34999999999854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261813.67</v>
      </c>
      <c r="F170" s="921">
        <f t="shared" si="19"/>
        <v>262246</v>
      </c>
      <c r="G170" s="840">
        <f t="shared" si="17"/>
        <v>432.32999999998719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85863.75</v>
      </c>
      <c r="F172" s="921">
        <f t="shared" si="19"/>
        <v>86101</v>
      </c>
      <c r="G172" s="840">
        <f t="shared" si="17"/>
        <v>237.25</v>
      </c>
    </row>
    <row r="173" spans="1:7" ht="29.25">
      <c r="A173" s="1587"/>
      <c r="B173" s="1550"/>
      <c r="C173" s="785"/>
      <c r="D173" s="523"/>
      <c r="G173" s="1005">
        <f>SUM(G161:G172)</f>
        <v>2543.2199999999893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28192.77</v>
      </c>
      <c r="F174" s="968">
        <v>28203</v>
      </c>
      <c r="G174" s="840">
        <f t="shared" ref="G174:G180" si="20">F174-E174</f>
        <v>10.229999999999563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18970.8</v>
      </c>
      <c r="F175" s="968">
        <v>18975</v>
      </c>
      <c r="G175" s="840">
        <f t="shared" si="20"/>
        <v>4.2000000000007276</v>
      </c>
    </row>
    <row r="176" spans="1:7">
      <c r="A176" s="1626" t="s">
        <v>351</v>
      </c>
      <c r="B176" s="1627"/>
      <c r="D176" s="838" t="s">
        <v>186</v>
      </c>
      <c r="E176" s="968">
        <v>27599.7</v>
      </c>
      <c r="F176" s="968">
        <v>27605</v>
      </c>
      <c r="G176" s="840">
        <f t="shared" si="20"/>
        <v>5.2999999999992724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70210</v>
      </c>
      <c r="F177" s="968">
        <v>70231</v>
      </c>
      <c r="G177" s="840">
        <f t="shared" si="20"/>
        <v>21</v>
      </c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A166" zoomScale="70" zoomScaleNormal="49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490" customWidth="1"/>
    <col min="7" max="7" width="18.4414062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8" style="805" bestFit="1" customWidth="1"/>
    <col min="16" max="16384" width="22.33203125" style="805"/>
  </cols>
  <sheetData>
    <row r="1" spans="1:15" ht="22.5">
      <c r="A1" s="1668" t="s">
        <v>214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344</v>
      </c>
      <c r="B2" s="1076">
        <v>44007</v>
      </c>
      <c r="C2" s="807" t="s">
        <v>68</v>
      </c>
      <c r="D2" s="1019">
        <v>0.88</v>
      </c>
      <c r="E2" s="809"/>
      <c r="F2" s="1475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1019">
        <v>0.8</v>
      </c>
      <c r="E4" s="821"/>
      <c r="F4" s="1453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147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1475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'24'!F7</f>
        <v>449310.67</v>
      </c>
      <c r="F7" s="455">
        <f>E7+21500</f>
        <v>470810.67</v>
      </c>
      <c r="G7" s="840">
        <f>F7-E7</f>
        <v>21500</v>
      </c>
      <c r="H7" s="841">
        <f>G7+'24'!H7</f>
        <v>548857.67000000004</v>
      </c>
      <c r="I7" s="842">
        <f>'1'!I7</f>
        <v>12000</v>
      </c>
      <c r="J7" s="843">
        <f>H7/DAY(B2)</f>
        <v>21954.306800000002</v>
      </c>
      <c r="K7" s="844"/>
      <c r="L7" s="818"/>
      <c r="N7" s="1017">
        <f>G7/G8</f>
        <v>1</v>
      </c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'24'!F8</f>
        <v>456326.83</v>
      </c>
      <c r="F8" s="475">
        <f>E8+21500</f>
        <v>477826.83</v>
      </c>
      <c r="G8" s="850">
        <f>F8-E8</f>
        <v>21500</v>
      </c>
      <c r="H8" s="841">
        <f>G8+'24'!H8</f>
        <v>551104.83000000007</v>
      </c>
      <c r="I8" s="851">
        <f>'1'!I8</f>
        <v>12000</v>
      </c>
      <c r="J8" s="843">
        <f>H8/DAY(B2)</f>
        <v>22044.193200000002</v>
      </c>
      <c r="K8" s="844">
        <v>1375467</v>
      </c>
      <c r="L8" s="852">
        <v>1667461</v>
      </c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'24'!F9</f>
        <v>1913408</v>
      </c>
      <c r="F9" s="1477">
        <v>1932109</v>
      </c>
      <c r="G9" s="840">
        <f t="shared" ref="G9:G12" si="0">F9-E9</f>
        <v>18701</v>
      </c>
      <c r="H9" s="841">
        <f>G9+'24'!H9</f>
        <v>-98893</v>
      </c>
      <c r="I9" s="857">
        <f>I8-J8</f>
        <v>-10044.193200000002</v>
      </c>
      <c r="J9" s="843">
        <f>H9/DAY(B2)</f>
        <v>-3955.72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'24'!F10</f>
        <v>0</v>
      </c>
      <c r="F10" s="1477">
        <v>0</v>
      </c>
      <c r="G10" s="840">
        <f t="shared" si="0"/>
        <v>0</v>
      </c>
      <c r="H10" s="841">
        <f>G10+'24'!H10</f>
        <v>-2606.2500000000005</v>
      </c>
      <c r="I10" s="859"/>
      <c r="J10" s="843">
        <f>H10/DAY(B2)</f>
        <v>-104.25000000000001</v>
      </c>
      <c r="K10" s="858"/>
      <c r="L10" s="818">
        <f>L8-K8</f>
        <v>291994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1453">
        <v>37000</v>
      </c>
      <c r="G11" s="840">
        <f t="shared" si="0"/>
        <v>0</v>
      </c>
      <c r="H11" s="841">
        <f>G11+'24'!H11</f>
        <v>0</v>
      </c>
      <c r="I11" s="859"/>
      <c r="J11" s="843">
        <f>H11/DAY(B2)</f>
        <v>0</v>
      </c>
      <c r="K11" s="858"/>
      <c r="L11" s="818"/>
      <c r="N11" s="1018">
        <f>G7*N7</f>
        <v>21500</v>
      </c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1477">
        <v>40010</v>
      </c>
      <c r="G12" s="840">
        <f t="shared" si="0"/>
        <v>0</v>
      </c>
      <c r="H12" s="841">
        <f>G12+'24'!H12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1453"/>
      <c r="G13" s="862">
        <f>G9+G10+G11+G12</f>
        <v>18701</v>
      </c>
      <c r="H13" s="841">
        <f>G13+'24'!H13</f>
        <v>-121826.25000000006</v>
      </c>
      <c r="I13" s="863">
        <f>G7-G13</f>
        <v>2799</v>
      </c>
      <c r="J13" s="843">
        <f>H13/DAY(B2)</f>
        <v>-4873.050000000002</v>
      </c>
      <c r="K13" s="858"/>
      <c r="L13" s="818">
        <f>L10-H7</f>
        <v>-256863.67000000004</v>
      </c>
      <c r="O13" s="845"/>
    </row>
    <row r="14" spans="1:15">
      <c r="A14" s="1674" t="s">
        <v>138</v>
      </c>
      <c r="B14" s="1675"/>
      <c r="C14" s="1676"/>
      <c r="D14" s="833"/>
      <c r="E14" s="833"/>
      <c r="F14" s="937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'24'!F15</f>
        <v>1723217.72</v>
      </c>
      <c r="F15" s="700">
        <f>E15+700</f>
        <v>1723917.72</v>
      </c>
      <c r="G15" s="1015">
        <f>(F15-E15)</f>
        <v>700</v>
      </c>
      <c r="H15" s="841">
        <f>G15+'24'!H15</f>
        <v>20234.719999999972</v>
      </c>
      <c r="I15" s="842">
        <f>'1'!I15</f>
        <v>800</v>
      </c>
      <c r="J15" s="843">
        <f>H15/DAY(B2)</f>
        <v>809.38879999999892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1477"/>
      <c r="G16" s="840"/>
      <c r="H16" s="873"/>
      <c r="I16" s="874">
        <f>I15-J15</f>
        <v>-9.3887999999989233</v>
      </c>
      <c r="J16" s="875"/>
      <c r="K16" s="858"/>
      <c r="L16" s="818"/>
      <c r="O16" s="845">
        <f>580-990</f>
        <v>-410</v>
      </c>
    </row>
    <row r="17" spans="1:15">
      <c r="A17" s="1674" t="s">
        <v>141</v>
      </c>
      <c r="B17" s="1675"/>
      <c r="C17" s="1676"/>
      <c r="D17" s="833"/>
      <c r="E17" s="833"/>
      <c r="F17" s="937"/>
      <c r="G17" s="876"/>
      <c r="H17" s="833"/>
      <c r="I17" s="833"/>
      <c r="J17" s="834"/>
      <c r="K17" s="858"/>
      <c r="L17" s="818"/>
      <c r="O17" s="1372">
        <f>O16*3</f>
        <v>-1230</v>
      </c>
    </row>
    <row r="18" spans="1:15">
      <c r="A18" s="1650" t="s">
        <v>142</v>
      </c>
      <c r="B18" s="1651"/>
      <c r="C18" s="1652"/>
      <c r="D18" s="838" t="s">
        <v>143</v>
      </c>
      <c r="E18" s="839">
        <f>'24'!F18</f>
        <v>10</v>
      </c>
      <c r="F18" s="989">
        <v>11</v>
      </c>
      <c r="G18" s="862">
        <f>F18*10</f>
        <v>110</v>
      </c>
      <c r="H18" s="841">
        <f>G18+'24'!H18</f>
        <v>3160</v>
      </c>
      <c r="I18" s="842">
        <f>'1'!I18</f>
        <v>65</v>
      </c>
      <c r="J18" s="843">
        <f>H18/DAY(B2)</f>
        <v>126.4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'24'!F19</f>
        <v>141118</v>
      </c>
      <c r="F19" s="989">
        <v>141178</v>
      </c>
      <c r="G19" s="840">
        <f t="shared" ref="G19" si="1">F19-E19</f>
        <v>60</v>
      </c>
      <c r="H19" s="841">
        <f>G19+'24'!H19</f>
        <v>-317</v>
      </c>
      <c r="I19" s="877"/>
      <c r="J19" s="843">
        <f>H19/DAY(B2)</f>
        <v>-12.68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1478"/>
      <c r="G20" s="879">
        <f>G18+G19</f>
        <v>170</v>
      </c>
      <c r="H20" s="841">
        <f>G20+'24'!H20</f>
        <v>2843</v>
      </c>
      <c r="I20" s="880">
        <f>I18-J20</f>
        <v>-48.72</v>
      </c>
      <c r="J20" s="843">
        <f>H20/DAY(B2)</f>
        <v>113.72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937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1370">
        <v>2970</v>
      </c>
      <c r="F22" s="989">
        <v>2970</v>
      </c>
      <c r="G22" s="1371">
        <f t="shared" ref="G22" si="2">(F22-E22)</f>
        <v>0</v>
      </c>
      <c r="H22" s="841">
        <f>G22+'24'!H22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'24'!F23</f>
        <v>2000</v>
      </c>
      <c r="F23" s="989">
        <v>2000</v>
      </c>
      <c r="G23" s="862">
        <v>0</v>
      </c>
      <c r="H23" s="841">
        <f>G23+'24'!H23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'24'!F24</f>
        <v>4970</v>
      </c>
      <c r="F24" s="1479">
        <v>4970</v>
      </c>
      <c r="G24" s="862">
        <v>0</v>
      </c>
      <c r="H24" s="841">
        <f>G24+'24'!H24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1475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1480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1409">
        <v>9</v>
      </c>
      <c r="G27" s="900">
        <f>E27*F27</f>
        <v>193500</v>
      </c>
      <c r="H27" s="841">
        <f>G27+'24'!H27</f>
        <v>4959945.3600000003</v>
      </c>
      <c r="I27" s="901"/>
      <c r="J27" s="843">
        <f>H27/DAY(B2)</f>
        <v>198397.8144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G28+'24'!H28</f>
        <v>1052205.4399999985</v>
      </c>
      <c r="I28" s="902"/>
      <c r="J28" s="843">
        <f>H28/DAY(B2)</f>
        <v>42088.217599999945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1481">
        <v>69</v>
      </c>
      <c r="G29" s="900">
        <f>E29*F29</f>
        <v>0</v>
      </c>
      <c r="H29" s="841">
        <f>G29+'24'!H29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60</v>
      </c>
      <c r="F30" s="1481">
        <v>146</v>
      </c>
      <c r="G30" s="900">
        <f>E30*F30</f>
        <v>8760</v>
      </c>
      <c r="H30" s="841">
        <f>G30+'24'!H30</f>
        <v>-46866</v>
      </c>
      <c r="I30" s="902"/>
      <c r="J30" s="843">
        <f>H30/DAY(B2)</f>
        <v>-1874.64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110</v>
      </c>
      <c r="F31" s="1481">
        <v>80</v>
      </c>
      <c r="G31" s="900">
        <f>E31*F31</f>
        <v>8800</v>
      </c>
      <c r="H31" s="841">
        <f>G31+'24'!H31</f>
        <v>247200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1478"/>
      <c r="G32" s="907">
        <f>G27+G28+G29+G30+G31</f>
        <v>247460</v>
      </c>
      <c r="H32" s="841">
        <f>G32+'24'!H32</f>
        <v>6212484.7999999989</v>
      </c>
      <c r="I32" s="908"/>
      <c r="J32" s="843">
        <f>H32/DAY(B2)</f>
        <v>248499.39199999996</v>
      </c>
      <c r="K32" s="858"/>
      <c r="L32" s="888"/>
      <c r="N32" s="1007"/>
      <c r="O32" s="845">
        <f>340*3</f>
        <v>1020</v>
      </c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>
        <f>O32/3</f>
        <v>340</v>
      </c>
    </row>
    <row r="34" spans="1:15">
      <c r="A34" s="909" t="s">
        <v>162</v>
      </c>
      <c r="B34" s="910"/>
      <c r="C34" s="910"/>
      <c r="D34" s="833"/>
      <c r="E34" s="832"/>
      <c r="F34" s="1475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'24'!F35</f>
        <v>1011558</v>
      </c>
      <c r="F35" s="1454">
        <v>1014277</v>
      </c>
      <c r="G35" s="840">
        <f t="shared" ref="G35:G46" si="3">F35-E35</f>
        <v>2719</v>
      </c>
      <c r="H35" s="841">
        <f>G35+'24'!H35</f>
        <v>-14437</v>
      </c>
      <c r="I35" s="839"/>
      <c r="J35" s="843">
        <f>H35/DAY(B2)</f>
        <v>-577.48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'24'!F36</f>
        <v>16401</v>
      </c>
      <c r="F36" s="1454">
        <v>17043</v>
      </c>
      <c r="G36" s="840">
        <f t="shared" si="3"/>
        <v>642</v>
      </c>
      <c r="H36" s="841">
        <f>G36+'24'!H36</f>
        <v>-3418.0000000000018</v>
      </c>
      <c r="I36" s="839"/>
      <c r="J36" s="843">
        <f>H36/DAY(B2)</f>
        <v>-136.72000000000008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'24'!F37</f>
        <v>167756</v>
      </c>
      <c r="F37" s="1454">
        <v>169274</v>
      </c>
      <c r="G37" s="840">
        <f t="shared" si="3"/>
        <v>1518</v>
      </c>
      <c r="H37" s="841">
        <f>G37+'24'!H37</f>
        <v>-7296</v>
      </c>
      <c r="I37" s="839"/>
      <c r="J37" s="843">
        <f>H37/DAY(B2)</f>
        <v>-291.83999999999997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'24'!F38</f>
        <v>188798</v>
      </c>
      <c r="F38" s="1476">
        <v>190335</v>
      </c>
      <c r="G38" s="840">
        <f t="shared" si="3"/>
        <v>1537</v>
      </c>
      <c r="H38" s="841">
        <f>G38+'24'!H38</f>
        <v>-8124</v>
      </c>
      <c r="I38" s="839"/>
      <c r="J38" s="843">
        <f>H38/DAY(B2)</f>
        <v>-324.95999999999998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'24'!F39</f>
        <v>382827</v>
      </c>
      <c r="F39" s="1454">
        <v>386482</v>
      </c>
      <c r="G39" s="840">
        <f t="shared" si="3"/>
        <v>3655</v>
      </c>
      <c r="H39" s="841">
        <f>G39+'24'!H39</f>
        <v>-18382</v>
      </c>
      <c r="I39" s="839"/>
      <c r="J39" s="843">
        <f>H39/DAY(B2)</f>
        <v>-735.28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'24'!F40</f>
        <v>5453</v>
      </c>
      <c r="F40" s="1454">
        <v>5453</v>
      </c>
      <c r="G40" s="840">
        <f t="shared" si="3"/>
        <v>0</v>
      </c>
      <c r="H40" s="841">
        <f>G40+'24'!H40</f>
        <v>-1660</v>
      </c>
      <c r="I40" s="839"/>
      <c r="J40" s="843">
        <f>H40/DAY(B2)</f>
        <v>-66.400000000000006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'24'!F41</f>
        <v>310992</v>
      </c>
      <c r="F41" s="1454">
        <v>310992</v>
      </c>
      <c r="G41" s="840">
        <f t="shared" si="3"/>
        <v>0</v>
      </c>
      <c r="H41" s="841">
        <f>G41+'24'!H41</f>
        <v>-18650</v>
      </c>
      <c r="I41" s="839"/>
      <c r="J41" s="843">
        <f>H41/DAY(B2)</f>
        <v>-746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'24'!F42</f>
        <v>59210</v>
      </c>
      <c r="F42" s="1454">
        <v>59210</v>
      </c>
      <c r="G42" s="840">
        <f t="shared" si="3"/>
        <v>0</v>
      </c>
      <c r="H42" s="841">
        <f>G42+'24'!H42</f>
        <v>11.110000000000582</v>
      </c>
      <c r="I42" s="839"/>
      <c r="J42" s="843">
        <f>H42/DAY(B2)</f>
        <v>0.44440000000002328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'24'!F43</f>
        <v>1103903</v>
      </c>
      <c r="F43" s="1454">
        <v>1106552</v>
      </c>
      <c r="G43" s="840">
        <f t="shared" si="3"/>
        <v>2649</v>
      </c>
      <c r="H43" s="841">
        <f>G43+'24'!H43</f>
        <v>-13900</v>
      </c>
      <c r="I43" s="839"/>
      <c r="J43" s="843">
        <f>H43/DAY(B2)</f>
        <v>-556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'24'!F44</f>
        <v>0</v>
      </c>
      <c r="F44" s="1454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'24'!F45</f>
        <v>0</v>
      </c>
      <c r="F45" s="1454">
        <v>0</v>
      </c>
      <c r="G45" s="840">
        <f t="shared" si="3"/>
        <v>0</v>
      </c>
      <c r="H45" s="841">
        <f>G45+'24'!H45</f>
        <v>-614</v>
      </c>
      <c r="I45" s="839"/>
      <c r="J45" s="843">
        <f>H45/DAY(B2)</f>
        <v>-24.56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'24'!F46</f>
        <v>0</v>
      </c>
      <c r="F46" s="1454">
        <v>0</v>
      </c>
      <c r="G46" s="840">
        <f t="shared" si="3"/>
        <v>0</v>
      </c>
      <c r="H46" s="841">
        <f>G46+'24'!H46</f>
        <v>-187.49</v>
      </c>
      <c r="I46" s="839"/>
      <c r="J46" s="843">
        <f>H46/DAY(B2)</f>
        <v>-7.4996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1475"/>
      <c r="G47" s="862">
        <f>G35+G36+G37+G38+G39+G40+G41+G42+G43+G44+G45+G46</f>
        <v>12720</v>
      </c>
      <c r="H47" s="841">
        <f>G47+'24'!H47</f>
        <v>-85855.89</v>
      </c>
      <c r="I47" s="839"/>
      <c r="J47" s="843">
        <f>H47/DAY(B2)</f>
        <v>-3434.2356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1475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1453">
        <f>'24'!F49</f>
        <v>260732.12</v>
      </c>
      <c r="F49" s="1454">
        <v>260732.13</v>
      </c>
      <c r="G49" s="1015">
        <f t="shared" ref="G49:G58" si="4">F49-E49</f>
        <v>1.0000000009313226E-2</v>
      </c>
      <c r="H49" s="841">
        <f>G49+'24'!H49</f>
        <v>-31.869999999995343</v>
      </c>
      <c r="I49" s="839"/>
      <c r="J49" s="843">
        <f>H49/DAY(B2)</f>
        <v>-1.2747999999998136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'24'!F50</f>
        <v>528305</v>
      </c>
      <c r="F50" s="1454">
        <v>529337</v>
      </c>
      <c r="G50" s="840">
        <f t="shared" si="4"/>
        <v>1032</v>
      </c>
      <c r="H50" s="841">
        <f>G50+'24'!H50</f>
        <v>-6419</v>
      </c>
      <c r="I50" s="839"/>
      <c r="J50" s="843">
        <f>H50/DAY(B2)</f>
        <v>-256.76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'24'!F51</f>
        <v>144640</v>
      </c>
      <c r="F51" s="1454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'24'!F52</f>
        <v>539606</v>
      </c>
      <c r="F52" s="1454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'24'!F53</f>
        <v>434232</v>
      </c>
      <c r="F53" s="1454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'24'!F54</f>
        <v>14967</v>
      </c>
      <c r="F54" s="1454">
        <v>14967</v>
      </c>
      <c r="G54" s="840">
        <f t="shared" si="4"/>
        <v>0</v>
      </c>
      <c r="H54" s="841">
        <f>G54+'24'!H54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'24'!F55</f>
        <v>100640</v>
      </c>
      <c r="F55" s="1454">
        <v>105727</v>
      </c>
      <c r="G55" s="840">
        <f t="shared" si="4"/>
        <v>5087</v>
      </c>
      <c r="H55" s="841">
        <f>G55+'24'!H55</f>
        <v>-17483</v>
      </c>
      <c r="I55" s="839"/>
      <c r="J55" s="843">
        <f>H55/DAY(B2)</f>
        <v>-699.32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'24'!F56</f>
        <v>648960</v>
      </c>
      <c r="F56" s="1454">
        <v>648960</v>
      </c>
      <c r="G56" s="840">
        <f t="shared" si="4"/>
        <v>0</v>
      </c>
      <c r="H56" s="841">
        <f>G56+'24'!H56</f>
        <v>-82</v>
      </c>
      <c r="I56" s="839"/>
      <c r="J56" s="843">
        <f>H56/DAY(B2)</f>
        <v>-3.28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'24'!F57</f>
        <v>7711</v>
      </c>
      <c r="F57" s="1454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'24'!F58</f>
        <v>53064</v>
      </c>
      <c r="F58" s="1454">
        <v>53197</v>
      </c>
      <c r="G58" s="840">
        <f t="shared" si="4"/>
        <v>133</v>
      </c>
      <c r="H58" s="841">
        <f>G58+'24'!H58</f>
        <v>-983</v>
      </c>
      <c r="I58" s="839"/>
      <c r="J58" s="843">
        <f>H58/DAY(B2)</f>
        <v>-39.32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1475"/>
      <c r="G59" s="862">
        <f>G49+G50+G51+G52+G53+G54+G55+G56+G57+G58</f>
        <v>6251.9499999999534</v>
      </c>
      <c r="H59" s="841">
        <f>G59+'24'!H59</f>
        <v>-24999.260000000064</v>
      </c>
      <c r="I59" s="839">
        <f>G7-G60</f>
        <v>2528.0500000000466</v>
      </c>
      <c r="J59" s="843">
        <f>H59/DAY(B2)</f>
        <v>-999.97040000000254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1475"/>
      <c r="G60" s="862">
        <f>G47+G59</f>
        <v>18971.949999999953</v>
      </c>
      <c r="H60" s="841">
        <f>G60+'24'!H60</f>
        <v>-103951.82000000009</v>
      </c>
      <c r="I60" s="839">
        <f>G13-G60</f>
        <v>-270.94999999995343</v>
      </c>
      <c r="J60" s="843">
        <f>H60/DAY(B2)</f>
        <v>-4158.0728000000036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1482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'24'!F62</f>
        <v>20419</v>
      </c>
      <c r="F62" s="1483">
        <v>20419</v>
      </c>
      <c r="G62" s="840">
        <f t="shared" ref="G62:G69" si="5">F62-E62</f>
        <v>0</v>
      </c>
      <c r="H62" s="841">
        <f>G62+'24'!H62</f>
        <v>1.9999999967694748E-3</v>
      </c>
      <c r="I62" s="922"/>
      <c r="J62" s="843">
        <f>H62/DAY(B2)</f>
        <v>7.9999999870778991E-5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'24'!F63</f>
        <v>0</v>
      </c>
      <c r="F63" s="1483">
        <v>0</v>
      </c>
      <c r="G63" s="840">
        <f t="shared" si="5"/>
        <v>0</v>
      </c>
      <c r="H63" s="841">
        <f>G63+'24'!H63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'24'!F64</f>
        <v>167799</v>
      </c>
      <c r="F64" s="989">
        <v>168211</v>
      </c>
      <c r="G64" s="840">
        <f t="shared" si="5"/>
        <v>412</v>
      </c>
      <c r="H64" s="841">
        <f>G64+'24'!H64</f>
        <v>-1811</v>
      </c>
      <c r="I64" s="859"/>
      <c r="J64" s="843">
        <f>H64/DAY(B2)</f>
        <v>-72.44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'24'!F65</f>
        <v>167848</v>
      </c>
      <c r="F65" s="989">
        <v>168247</v>
      </c>
      <c r="G65" s="840">
        <f t="shared" si="5"/>
        <v>399</v>
      </c>
      <c r="H65" s="841">
        <f>G65+'24'!H65</f>
        <v>-2055</v>
      </c>
      <c r="I65" s="877"/>
      <c r="J65" s="843">
        <f>H65/DAY(B2)</f>
        <v>-82.2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'24'!F66</f>
        <v>65414</v>
      </c>
      <c r="F66" s="989">
        <v>65832</v>
      </c>
      <c r="G66" s="840">
        <f t="shared" si="5"/>
        <v>418</v>
      </c>
      <c r="H66" s="841">
        <f>G66+'24'!H66</f>
        <v>-2138</v>
      </c>
      <c r="I66" s="859"/>
      <c r="J66" s="843">
        <f>H66/DAY(B2)</f>
        <v>-85.52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'24'!F67</f>
        <v>262246</v>
      </c>
      <c r="F67" s="989">
        <v>262704</v>
      </c>
      <c r="G67" s="840">
        <f t="shared" si="5"/>
        <v>458</v>
      </c>
      <c r="H67" s="841">
        <f>G67+'24'!H67</f>
        <v>-2255</v>
      </c>
      <c r="I67" s="877"/>
      <c r="J67" s="843">
        <f>H67/DAY(B2)</f>
        <v>-90.2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'24'!F68</f>
        <v>85321</v>
      </c>
      <c r="F68" s="989">
        <v>85321</v>
      </c>
      <c r="G68" s="840">
        <f t="shared" si="5"/>
        <v>0</v>
      </c>
      <c r="H68" s="841">
        <f>G68+'24'!H68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'24'!F69</f>
        <v>86101</v>
      </c>
      <c r="F69" s="989">
        <v>86292</v>
      </c>
      <c r="G69" s="840">
        <f t="shared" si="5"/>
        <v>191</v>
      </c>
      <c r="H69" s="841">
        <f>G69+'24'!H69</f>
        <v>-1223</v>
      </c>
      <c r="I69" s="923"/>
      <c r="J69" s="843">
        <f>H69/DAY(B2)</f>
        <v>-48.92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1484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'24'!F72</f>
        <v>856157</v>
      </c>
      <c r="F72" s="930">
        <v>856169</v>
      </c>
      <c r="G72" s="840">
        <f t="shared" ref="G72:G84" si="6">F72-E72</f>
        <v>12</v>
      </c>
      <c r="H72" s="841">
        <f>G72+'24'!H72</f>
        <v>-66</v>
      </c>
      <c r="I72" s="859"/>
      <c r="J72" s="843">
        <f>H72/DAY(B2)</f>
        <v>-2.64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'24'!F73</f>
        <v>885965</v>
      </c>
      <c r="F73" s="930">
        <v>885966</v>
      </c>
      <c r="G73" s="840">
        <f t="shared" si="6"/>
        <v>1</v>
      </c>
      <c r="H73" s="841">
        <f>G73+'24'!H73</f>
        <v>132</v>
      </c>
      <c r="I73" s="859"/>
      <c r="J73" s="843">
        <f>H73/DAY(B2)</f>
        <v>5.28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'24'!F74</f>
        <v>88689</v>
      </c>
      <c r="F74" s="930">
        <v>88689</v>
      </c>
      <c r="G74" s="840">
        <f t="shared" si="6"/>
        <v>0</v>
      </c>
      <c r="H74" s="841">
        <f>G74+'24'!H74</f>
        <v>27</v>
      </c>
      <c r="I74" s="859"/>
      <c r="J74" s="843">
        <f>H74/DAY(B2)</f>
        <v>1.08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'24'!F75</f>
        <v>15203</v>
      </c>
      <c r="F75" s="930">
        <v>15352</v>
      </c>
      <c r="G75" s="840">
        <f t="shared" si="6"/>
        <v>149</v>
      </c>
      <c r="H75" s="841">
        <f>G75+'24'!H75</f>
        <v>-719</v>
      </c>
      <c r="I75" s="859"/>
      <c r="J75" s="843">
        <f>H75/DAY(B2)</f>
        <v>-28.76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'24'!F76</f>
        <v>8873</v>
      </c>
      <c r="F76" s="930">
        <v>8947</v>
      </c>
      <c r="G76" s="840">
        <f t="shared" si="6"/>
        <v>74</v>
      </c>
      <c r="H76" s="841">
        <f>G76+'24'!H76</f>
        <v>728</v>
      </c>
      <c r="I76" s="902"/>
      <c r="J76" s="843">
        <f>H76/DAY(B2)</f>
        <v>29.12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'24'!F77</f>
        <v>704034</v>
      </c>
      <c r="F77" s="930">
        <v>704088</v>
      </c>
      <c r="G77" s="840">
        <f t="shared" si="6"/>
        <v>54</v>
      </c>
      <c r="H77" s="841">
        <f>G77+'24'!H77</f>
        <v>-286</v>
      </c>
      <c r="I77" s="902"/>
      <c r="J77" s="843">
        <f>H77/DAY(B2)</f>
        <v>-11.44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'24'!F78</f>
        <v>674814</v>
      </c>
      <c r="F78" s="930">
        <v>674898</v>
      </c>
      <c r="G78" s="840">
        <f t="shared" si="6"/>
        <v>84</v>
      </c>
      <c r="H78" s="841">
        <f>G78+'24'!H78</f>
        <v>-516</v>
      </c>
      <c r="I78" s="902"/>
      <c r="J78" s="843">
        <f>H78/DAY(B2)</f>
        <v>-20.64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'24'!F79</f>
        <v>834544</v>
      </c>
      <c r="F79" s="930">
        <v>834684</v>
      </c>
      <c r="G79" s="840">
        <f t="shared" si="6"/>
        <v>140</v>
      </c>
      <c r="H79" s="841">
        <f>G79+'24'!H79</f>
        <v>-1470</v>
      </c>
      <c r="I79" s="902"/>
      <c r="J79" s="843">
        <f>H79/DAY(B2)</f>
        <v>-58.8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'24'!F80</f>
        <v>536609</v>
      </c>
      <c r="F80" s="930">
        <v>537015</v>
      </c>
      <c r="G80" s="840">
        <f t="shared" si="6"/>
        <v>406</v>
      </c>
      <c r="H80" s="841">
        <f>G80+'24'!H80</f>
        <v>-5376</v>
      </c>
      <c r="I80" s="902"/>
      <c r="J80" s="843">
        <f>H80/DAY(B2)</f>
        <v>-215.04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'24'!F81</f>
        <v>642171</v>
      </c>
      <c r="F81" s="930">
        <v>642289</v>
      </c>
      <c r="G81" s="840">
        <f t="shared" si="6"/>
        <v>118</v>
      </c>
      <c r="H81" s="841">
        <f>G81+'24'!H81</f>
        <v>-696</v>
      </c>
      <c r="I81" s="902"/>
      <c r="J81" s="843">
        <f>H81/DAY(B2)</f>
        <v>-27.84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'24'!F82</f>
        <v>108568</v>
      </c>
      <c r="F82" s="989">
        <v>108594</v>
      </c>
      <c r="G82" s="840">
        <f t="shared" si="6"/>
        <v>26</v>
      </c>
      <c r="H82" s="841">
        <f>G82+'24'!H82</f>
        <v>-87</v>
      </c>
      <c r="I82" s="873"/>
      <c r="J82" s="843">
        <f>H82/DAY(B2)</f>
        <v>-3.48</v>
      </c>
      <c r="K82" s="924"/>
      <c r="L82" s="818"/>
      <c r="N82" s="1006">
        <f>371*0.99</f>
        <v>367.29</v>
      </c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'24'!F83</f>
        <v>25772</v>
      </c>
      <c r="F83" s="1475">
        <v>25943</v>
      </c>
      <c r="G83" s="840">
        <f t="shared" si="6"/>
        <v>171</v>
      </c>
      <c r="H83" s="841">
        <f>G83+'24'!H83</f>
        <v>-1608</v>
      </c>
      <c r="I83" s="862"/>
      <c r="J83" s="843">
        <f>H83/DAY(B2)</f>
        <v>-64.319999999999993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'24'!F84</f>
        <v>518149</v>
      </c>
      <c r="F84" s="937">
        <v>518881</v>
      </c>
      <c r="G84" s="840">
        <f t="shared" si="6"/>
        <v>732</v>
      </c>
      <c r="H84" s="841">
        <f>G84+'24'!H84</f>
        <v>-4199</v>
      </c>
      <c r="I84" s="862"/>
      <c r="J84" s="843">
        <f>H84/DAY(B2)</f>
        <v>-167.96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937"/>
      <c r="G85" s="841">
        <f xml:space="preserve"> SUM(G72:G84)</f>
        <v>1967</v>
      </c>
      <c r="H85" s="841">
        <f>G85+'24'!H85</f>
        <v>-11262.000000000007</v>
      </c>
      <c r="I85" s="862"/>
      <c r="J85" s="843">
        <f>H85/DAY(B2)</f>
        <v>-450.4800000000003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'24'!F86</f>
        <v>461610</v>
      </c>
      <c r="F86" s="946">
        <v>461639</v>
      </c>
      <c r="G86" s="947">
        <f t="shared" ref="G86:G91" si="7">F86-E86</f>
        <v>29</v>
      </c>
      <c r="H86" s="947">
        <f t="shared" ref="H86:H88" si="8">G86</f>
        <v>29</v>
      </c>
      <c r="I86" s="948"/>
      <c r="J86" s="949">
        <f>H86/DAY(B2)</f>
        <v>1.1599999999999999</v>
      </c>
      <c r="K86" s="950"/>
      <c r="L86" s="951"/>
      <c r="N86" s="1010">
        <f>G86/0.995</f>
        <v>29.145728643216081</v>
      </c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'24'!F87</f>
        <v>81914</v>
      </c>
      <c r="F87" s="946">
        <v>81950</v>
      </c>
      <c r="G87" s="947">
        <f t="shared" si="7"/>
        <v>36</v>
      </c>
      <c r="H87" s="947">
        <f t="shared" si="8"/>
        <v>36</v>
      </c>
      <c r="I87" s="948"/>
      <c r="J87" s="949">
        <f>H87/DAY(B2)</f>
        <v>1.44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'24'!F88</f>
        <v>154692</v>
      </c>
      <c r="F88" s="946">
        <v>154823</v>
      </c>
      <c r="G88" s="947">
        <f t="shared" si="7"/>
        <v>131</v>
      </c>
      <c r="H88" s="947">
        <f t="shared" si="8"/>
        <v>131</v>
      </c>
      <c r="I88" s="948"/>
      <c r="J88" s="949">
        <f>H88/DAY(B2)</f>
        <v>5.24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'24'!F89</f>
        <v>65676</v>
      </c>
      <c r="F89" s="946">
        <v>65732</v>
      </c>
      <c r="G89" s="947">
        <f t="shared" si="7"/>
        <v>56</v>
      </c>
      <c r="H89" s="947">
        <f>G89</f>
        <v>56</v>
      </c>
      <c r="I89" s="948"/>
      <c r="J89" s="949">
        <f>H89/DAY(B2)</f>
        <v>2.2400000000000002</v>
      </c>
      <c r="K89" s="950"/>
      <c r="L89" s="951"/>
      <c r="N89" s="1016">
        <f>204/205</f>
        <v>0.99512195121951219</v>
      </c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'24'!F90</f>
        <v>3328</v>
      </c>
      <c r="F90" s="946">
        <v>3332</v>
      </c>
      <c r="G90" s="947">
        <f t="shared" si="7"/>
        <v>4</v>
      </c>
      <c r="H90" s="947">
        <f>G90</f>
        <v>4</v>
      </c>
      <c r="I90" s="948"/>
      <c r="J90" s="949">
        <f>H90/DAY(B2)</f>
        <v>0.16</v>
      </c>
      <c r="K90" s="950"/>
      <c r="L90" s="951"/>
      <c r="N90" s="1011"/>
      <c r="O90" s="845"/>
    </row>
    <row r="91" spans="1:15" s="1472" customFormat="1">
      <c r="A91" s="1466" t="s">
        <v>347</v>
      </c>
      <c r="B91" s="1467"/>
      <c r="C91" s="1467"/>
      <c r="D91" s="1468"/>
      <c r="E91" s="874">
        <f>'24'!F91</f>
        <v>28203</v>
      </c>
      <c r="F91" s="946">
        <v>28212</v>
      </c>
      <c r="G91" s="857">
        <f t="shared" si="7"/>
        <v>9</v>
      </c>
      <c r="H91" s="857">
        <f>G91</f>
        <v>9</v>
      </c>
      <c r="I91" s="1015"/>
      <c r="J91" s="1469"/>
      <c r="K91" s="1470"/>
      <c r="L91" s="1471"/>
      <c r="N91" s="1473"/>
      <c r="O91" s="1474"/>
    </row>
    <row r="92" spans="1:15" s="942" customFormat="1">
      <c r="A92" s="953" t="s">
        <v>204</v>
      </c>
      <c r="B92" s="833"/>
      <c r="C92" s="833"/>
      <c r="D92" s="833"/>
      <c r="E92" s="833"/>
      <c r="F92" s="937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'24'!F93</f>
        <v>246860</v>
      </c>
      <c r="F93" s="989">
        <v>246939</v>
      </c>
      <c r="G93" s="840">
        <f t="shared" ref="G93:G94" si="9">F93-E93</f>
        <v>79</v>
      </c>
      <c r="H93" s="841">
        <f>G93+'24'!H93</f>
        <v>-413</v>
      </c>
      <c r="I93" s="859"/>
      <c r="J93" s="843">
        <f>H93/DAY(B2)</f>
        <v>-16.52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'24'!F94</f>
        <v>188804</v>
      </c>
      <c r="F94" s="989">
        <v>188895</v>
      </c>
      <c r="G94" s="840">
        <f t="shared" si="9"/>
        <v>91</v>
      </c>
      <c r="H94" s="841">
        <f>G94+'24'!H94</f>
        <v>-559</v>
      </c>
      <c r="I94" s="859"/>
      <c r="J94" s="843">
        <f>H94/DAY(B2)</f>
        <v>-22.36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'24'!F95</f>
        <v>0</v>
      </c>
      <c r="F95" s="989"/>
      <c r="G95" s="840">
        <f>G93+G94</f>
        <v>170</v>
      </c>
      <c r="H95" s="841">
        <f>G95+'24'!H95</f>
        <v>-1158</v>
      </c>
      <c r="I95" s="859"/>
      <c r="J95" s="843">
        <f>H95/DAY(B2)</f>
        <v>-46.32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'24'!F96</f>
        <v>415606</v>
      </c>
      <c r="F96" s="989">
        <v>415676</v>
      </c>
      <c r="G96" s="840">
        <f t="shared" ref="G96:G101" si="10">F96-E96</f>
        <v>70</v>
      </c>
      <c r="H96" s="841">
        <f>G96+'24'!H96</f>
        <v>-323</v>
      </c>
      <c r="I96" s="859"/>
      <c r="J96" s="843">
        <f>H96/DAY(B2)</f>
        <v>-12.92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'24'!F97</f>
        <v>103029</v>
      </c>
      <c r="F97" s="989">
        <v>103050</v>
      </c>
      <c r="G97" s="840">
        <f t="shared" si="10"/>
        <v>21</v>
      </c>
      <c r="H97" s="841">
        <f>G97+'24'!H97</f>
        <v>-113</v>
      </c>
      <c r="I97" s="859"/>
      <c r="J97" s="843">
        <f>H97/DAY(B2)</f>
        <v>-4.5199999999999996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'24'!F98</f>
        <v>98512</v>
      </c>
      <c r="F98" s="989">
        <v>98531</v>
      </c>
      <c r="G98" s="840">
        <f t="shared" si="10"/>
        <v>19</v>
      </c>
      <c r="H98" s="841">
        <f>G98+'24'!H98</f>
        <v>-126</v>
      </c>
      <c r="I98" s="859"/>
      <c r="J98" s="843">
        <f>H98/DAY(B2)</f>
        <v>-5.04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'24'!F99</f>
        <v>150186</v>
      </c>
      <c r="F99" s="989">
        <v>150214</v>
      </c>
      <c r="G99" s="840">
        <f t="shared" si="10"/>
        <v>28</v>
      </c>
      <c r="H99" s="841">
        <f>G99+'24'!H99</f>
        <v>-191</v>
      </c>
      <c r="I99" s="859"/>
      <c r="J99" s="843">
        <f>H99/DAY(B2)</f>
        <v>-7.64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'24'!F100</f>
        <v>7662</v>
      </c>
      <c r="F100" s="989">
        <v>7687</v>
      </c>
      <c r="G100" s="840">
        <f t="shared" si="10"/>
        <v>25</v>
      </c>
      <c r="H100" s="841">
        <f>G100+'24'!H100</f>
        <v>-110</v>
      </c>
      <c r="I100" s="859"/>
      <c r="J100" s="843">
        <f>H100/DAY(B2)</f>
        <v>-4.4000000000000004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'24'!F101</f>
        <v>5598</v>
      </c>
      <c r="F101" s="989">
        <v>5604</v>
      </c>
      <c r="G101" s="840">
        <f t="shared" si="10"/>
        <v>6</v>
      </c>
      <c r="H101" s="841">
        <f>G101+'24'!H101</f>
        <v>-70</v>
      </c>
      <c r="I101" s="859"/>
      <c r="J101" s="843">
        <f>H101/DAY(B2)</f>
        <v>-2.8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937"/>
      <c r="G102" s="955">
        <f>SUM(G96:G101)</f>
        <v>169</v>
      </c>
      <c r="H102" s="841">
        <f>G102+'24'!H102</f>
        <v>-933</v>
      </c>
      <c r="I102" s="956"/>
      <c r="J102" s="843">
        <f>H102/DAY(B2)</f>
        <v>-37.32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1485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72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'24'!F105</f>
        <v>7637</v>
      </c>
      <c r="F105" s="972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2.7751999999999679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'24'!F106</f>
        <v>36116</v>
      </c>
      <c r="F106" s="972">
        <v>36121</v>
      </c>
      <c r="G106" s="968">
        <f t="shared" ref="G106:G107" si="11">F106-E106</f>
        <v>5</v>
      </c>
      <c r="H106" s="969">
        <f>SUM(G106+'1'!G77)</f>
        <v>58</v>
      </c>
      <c r="I106" s="968"/>
      <c r="J106" s="970">
        <f>H106/DAY(B2)</f>
        <v>2.3199999999999998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'24'!F107</f>
        <v>19795</v>
      </c>
      <c r="F107" s="972">
        <v>19800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4.76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>
        <f>'24'!F108</f>
        <v>0</v>
      </c>
      <c r="F108" s="972"/>
      <c r="G108" s="968">
        <f>SUM(G105:G107)</f>
        <v>10</v>
      </c>
      <c r="H108" s="969">
        <f>SUM(G108+'1'!G79)</f>
        <v>163</v>
      </c>
      <c r="I108" s="968"/>
      <c r="J108" s="970">
        <f>H108/DAY(B2)</f>
        <v>6.52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'24'!F109</f>
        <v>0</v>
      </c>
      <c r="F109" s="972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'24'!F110</f>
        <v>64441</v>
      </c>
      <c r="F110" s="972">
        <v>64486</v>
      </c>
      <c r="G110" s="968">
        <f>F110-E110</f>
        <v>45</v>
      </c>
      <c r="H110" s="969">
        <f>SUM(G110+'1'!G81)</f>
        <v>176.64000000001397</v>
      </c>
      <c r="I110" s="968"/>
      <c r="J110" s="970">
        <f>H110/DAY(B2)</f>
        <v>7.0656000000005585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'24'!F111</f>
        <v>32909</v>
      </c>
      <c r="F111" s="972">
        <v>32925</v>
      </c>
      <c r="G111" s="968">
        <f t="shared" ref="G111:G112" si="12">F111-E111</f>
        <v>16</v>
      </c>
      <c r="H111" s="969">
        <f>SUM(G111+'1'!G82)</f>
        <v>40.899999999994179</v>
      </c>
      <c r="I111" s="968"/>
      <c r="J111" s="970">
        <f>H111/DAY(B2)</f>
        <v>1.6359999999997672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'24'!F112</f>
        <v>4621</v>
      </c>
      <c r="F112" s="9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14.04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'24'!F113</f>
        <v>0</v>
      </c>
      <c r="F113" s="972"/>
      <c r="G113" s="968">
        <f>SUM(G110:G112)</f>
        <v>61</v>
      </c>
      <c r="H113" s="969">
        <f>SUM(G113+'1'!G84)</f>
        <v>877</v>
      </c>
      <c r="I113" s="968"/>
      <c r="J113" s="970">
        <f>H113/DAY(B2)</f>
        <v>35.08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>
        <f>'24'!F114</f>
        <v>0</v>
      </c>
      <c r="F114" s="972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'24'!F115</f>
        <v>11857</v>
      </c>
      <c r="F115" s="972">
        <v>11886</v>
      </c>
      <c r="G115" s="972">
        <f>F115-E115</f>
        <v>29</v>
      </c>
      <c r="H115" s="969">
        <f>SUM(G115+'1'!G92)</f>
        <v>29</v>
      </c>
      <c r="I115" s="968"/>
      <c r="J115" s="970">
        <f>H115/DAY(B2)</f>
        <v>1.1599999999999999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'24'!F116</f>
        <v>8494</v>
      </c>
      <c r="F116" s="972">
        <v>8498</v>
      </c>
      <c r="G116" s="972">
        <f t="shared" ref="G116:G117" si="13">F116-E116</f>
        <v>4</v>
      </c>
      <c r="H116" s="969">
        <f>SUM(G116+'1'!G93)</f>
        <v>93</v>
      </c>
      <c r="I116" s="968"/>
      <c r="J116" s="970">
        <f>H116/DAY(B2)</f>
        <v>3.72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3.88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33</v>
      </c>
      <c r="H118" s="969">
        <f>SUM(G118+'1'!G96)</f>
        <v>119</v>
      </c>
      <c r="I118" s="972"/>
      <c r="J118" s="970">
        <f>H118/DAY(B2)</f>
        <v>4.76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6.24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141</v>
      </c>
      <c r="H120" s="969">
        <f>SUM(G120+'1'!G99)</f>
        <v>191</v>
      </c>
      <c r="I120" s="978"/>
      <c r="J120" s="980">
        <f>H120/DAY(B2)</f>
        <v>7.64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61</v>
      </c>
      <c r="H121" s="969">
        <f>SUM(G121+'1'!G101)</f>
        <v>66</v>
      </c>
      <c r="I121" s="978"/>
      <c r="J121" s="980">
        <f>H121/DAY(B2)</f>
        <v>2.64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148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937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'24'!F124</f>
        <v>837997</v>
      </c>
      <c r="F124" s="1477">
        <v>838262</v>
      </c>
      <c r="G124" s="840">
        <f t="shared" ref="G124:G128" si="14">F124-E124</f>
        <v>265</v>
      </c>
      <c r="H124" s="841">
        <f>G124+'24'!H124</f>
        <v>-1408</v>
      </c>
      <c r="I124" s="956"/>
      <c r="J124" s="843">
        <f>H124/DAY(B2)</f>
        <v>-56.32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'24'!F125</f>
        <v>73583</v>
      </c>
      <c r="F125" s="1477">
        <v>73583</v>
      </c>
      <c r="G125" s="840">
        <f t="shared" si="14"/>
        <v>0</v>
      </c>
      <c r="H125" s="841">
        <f>G125+'24'!H125</f>
        <v>-0.39999999999417923</v>
      </c>
      <c r="I125" s="956"/>
      <c r="J125" s="843">
        <f>H125/DAY(B2)</f>
        <v>-1.5999999999767169E-2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'24'!F126</f>
        <v>148126</v>
      </c>
      <c r="F126" s="1477">
        <v>148196</v>
      </c>
      <c r="G126" s="840">
        <f t="shared" si="14"/>
        <v>70</v>
      </c>
      <c r="H126" s="841">
        <f>G126+'24'!H126</f>
        <v>-401</v>
      </c>
      <c r="I126" s="956"/>
      <c r="J126" s="843">
        <f>H126/DAY(B2)</f>
        <v>-16.04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'24'!F127</f>
        <v>31863</v>
      </c>
      <c r="F127" s="1477">
        <v>31902</v>
      </c>
      <c r="G127" s="840">
        <f t="shared" si="14"/>
        <v>39</v>
      </c>
      <c r="H127" s="841">
        <f>G127+'24'!H127</f>
        <v>-169</v>
      </c>
      <c r="I127" s="956"/>
      <c r="J127" s="843">
        <f>H127/DAY(B2)</f>
        <v>-6.76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'24'!F128</f>
        <v>8990</v>
      </c>
      <c r="F128" s="1477">
        <v>8990</v>
      </c>
      <c r="G128" s="840">
        <f t="shared" si="14"/>
        <v>0</v>
      </c>
      <c r="H128" s="841">
        <f>G128+'24'!H128</f>
        <v>-22</v>
      </c>
      <c r="I128" s="859"/>
      <c r="J128" s="843">
        <f>H128/DAY(B2)</f>
        <v>-0.88</v>
      </c>
      <c r="K128" s="938"/>
      <c r="L128" s="818"/>
      <c r="O128" s="845"/>
    </row>
    <row r="129" spans="1:16">
      <c r="A129" s="985" t="s">
        <v>235</v>
      </c>
      <c r="B129" s="867"/>
      <c r="C129" s="867"/>
      <c r="D129" s="838"/>
      <c r="E129" s="839"/>
      <c r="F129" s="1477"/>
      <c r="G129" s="840">
        <f>G15-SUM(G124:G128)</f>
        <v>326</v>
      </c>
      <c r="H129" s="841">
        <f>G129+'24'!H129</f>
        <v>15861.617000000109</v>
      </c>
      <c r="I129" s="859"/>
      <c r="J129" s="843">
        <f>H129/DAY(B2)</f>
        <v>634.46468000000436</v>
      </c>
      <c r="K129" s="938"/>
      <c r="L129" s="818"/>
      <c r="O129" s="845"/>
    </row>
    <row r="130" spans="1:16">
      <c r="A130" s="986" t="s">
        <v>236</v>
      </c>
      <c r="B130" s="832"/>
      <c r="C130" s="832"/>
      <c r="D130" s="832"/>
      <c r="E130" s="832"/>
      <c r="F130" s="1475"/>
      <c r="G130" s="987"/>
      <c r="H130" s="987"/>
      <c r="I130" s="987"/>
      <c r="J130" s="988"/>
      <c r="O130" s="845"/>
    </row>
    <row r="131" spans="1:16">
      <c r="A131" s="866" t="s">
        <v>237</v>
      </c>
      <c r="B131" s="867"/>
      <c r="C131" s="867"/>
      <c r="D131" s="838" t="s">
        <v>238</v>
      </c>
      <c r="E131" s="839">
        <f>'24'!F131</f>
        <v>0</v>
      </c>
      <c r="F131" s="989">
        <v>0</v>
      </c>
      <c r="G131" s="840">
        <f t="shared" ref="G131:G141" si="15">F131-E131</f>
        <v>0</v>
      </c>
      <c r="H131" s="841">
        <f>G131+'24'!H131</f>
        <v>0</v>
      </c>
      <c r="I131" s="859"/>
      <c r="J131" s="843">
        <f>H131/DAY(B2)</f>
        <v>0</v>
      </c>
      <c r="O131" s="845"/>
    </row>
    <row r="132" spans="1:16">
      <c r="A132" s="866" t="s">
        <v>239</v>
      </c>
      <c r="B132" s="867"/>
      <c r="C132" s="867"/>
      <c r="D132" s="838" t="s">
        <v>238</v>
      </c>
      <c r="E132" s="839">
        <f>'24'!F132</f>
        <v>0</v>
      </c>
      <c r="F132" s="989">
        <v>0</v>
      </c>
      <c r="G132" s="840">
        <f t="shared" si="15"/>
        <v>0</v>
      </c>
      <c r="H132" s="841">
        <f>G132+'24'!H132</f>
        <v>0</v>
      </c>
      <c r="I132" s="859"/>
      <c r="J132" s="843">
        <f>H132/DAY(B2)</f>
        <v>0</v>
      </c>
      <c r="O132" s="845"/>
    </row>
    <row r="133" spans="1:16">
      <c r="A133" s="866" t="s">
        <v>240</v>
      </c>
      <c r="B133" s="867"/>
      <c r="C133" s="867"/>
      <c r="D133" s="838" t="s">
        <v>238</v>
      </c>
      <c r="E133" s="839">
        <f>'24'!F133</f>
        <v>40365</v>
      </c>
      <c r="F133" s="989">
        <v>40365</v>
      </c>
      <c r="G133" s="840">
        <f t="shared" si="15"/>
        <v>0</v>
      </c>
      <c r="H133" s="841">
        <f>G133+'24'!H133</f>
        <v>-88</v>
      </c>
      <c r="I133" s="859"/>
      <c r="J133" s="843">
        <f>H133/DAY(B2)</f>
        <v>-3.52</v>
      </c>
      <c r="O133" s="845"/>
      <c r="P133" s="805">
        <f>49-24</f>
        <v>25</v>
      </c>
    </row>
    <row r="134" spans="1:16">
      <c r="A134" s="866" t="s">
        <v>241</v>
      </c>
      <c r="B134" s="867"/>
      <c r="C134" s="867"/>
      <c r="D134" s="838" t="s">
        <v>238</v>
      </c>
      <c r="E134" s="839">
        <f>'24'!F134</f>
        <v>300</v>
      </c>
      <c r="F134" s="989">
        <v>300</v>
      </c>
      <c r="G134" s="840">
        <f t="shared" si="15"/>
        <v>0</v>
      </c>
      <c r="H134" s="841">
        <f>G134+'24'!H134</f>
        <v>0</v>
      </c>
      <c r="I134" s="859">
        <f>G131+G132+G133+G134</f>
        <v>0</v>
      </c>
      <c r="J134" s="843">
        <f>H134/DAY(B2)</f>
        <v>0</v>
      </c>
      <c r="O134" s="845"/>
    </row>
    <row r="135" spans="1:16">
      <c r="A135" s="866" t="s">
        <v>242</v>
      </c>
      <c r="B135" s="867"/>
      <c r="C135" s="867"/>
      <c r="D135" s="838" t="s">
        <v>238</v>
      </c>
      <c r="E135" s="839">
        <f>'24'!F135</f>
        <v>41887</v>
      </c>
      <c r="F135" s="989">
        <v>41911.449999999997</v>
      </c>
      <c r="G135" s="840">
        <f t="shared" si="15"/>
        <v>24.44999999999709</v>
      </c>
      <c r="H135" s="841">
        <f>G135+'24'!H135</f>
        <v>72.009999999994761</v>
      </c>
      <c r="I135" s="859"/>
      <c r="J135" s="843">
        <f>H135/DAY(B2)</f>
        <v>2.8803999999997902</v>
      </c>
      <c r="O135" s="845"/>
    </row>
    <row r="136" spans="1:16">
      <c r="A136" s="866" t="s">
        <v>243</v>
      </c>
      <c r="B136" s="867"/>
      <c r="C136" s="867"/>
      <c r="D136" s="838" t="s">
        <v>238</v>
      </c>
      <c r="E136" s="839">
        <f>'24'!F136</f>
        <v>32874</v>
      </c>
      <c r="F136" s="989">
        <v>32874</v>
      </c>
      <c r="G136" s="840">
        <f t="shared" si="15"/>
        <v>0</v>
      </c>
      <c r="H136" s="841">
        <f>G136+'24'!H136</f>
        <v>12.94999999999709</v>
      </c>
      <c r="I136" s="859"/>
      <c r="J136" s="843">
        <f>H136/DAY(B2)</f>
        <v>0.51799999999988355</v>
      </c>
      <c r="O136" s="845"/>
    </row>
    <row r="137" spans="1:16">
      <c r="A137" s="866" t="s">
        <v>244</v>
      </c>
      <c r="B137" s="867"/>
      <c r="C137" s="867"/>
      <c r="D137" s="838" t="s">
        <v>238</v>
      </c>
      <c r="E137" s="839">
        <f>'24'!F137</f>
        <v>22861</v>
      </c>
      <c r="F137" s="989">
        <v>22865.54</v>
      </c>
      <c r="G137" s="840">
        <f t="shared" si="15"/>
        <v>4.5400000000008731</v>
      </c>
      <c r="H137" s="841">
        <f>G137+'24'!H137</f>
        <v>-25.950000000000728</v>
      </c>
      <c r="I137" s="859">
        <f>G135+G136+G137</f>
        <v>28.989999999997963</v>
      </c>
      <c r="J137" s="843">
        <f>H137/DAY(B2)</f>
        <v>-1.0380000000000291</v>
      </c>
      <c r="O137" s="845"/>
    </row>
    <row r="138" spans="1:16">
      <c r="A138" s="866" t="s">
        <v>245</v>
      </c>
      <c r="B138" s="867"/>
      <c r="C138" s="867"/>
      <c r="D138" s="838" t="s">
        <v>238</v>
      </c>
      <c r="E138" s="839">
        <f>'24'!F138</f>
        <v>25091.39</v>
      </c>
      <c r="F138" s="989">
        <v>25091</v>
      </c>
      <c r="G138" s="840">
        <f t="shared" si="15"/>
        <v>-0.38999999999941792</v>
      </c>
      <c r="H138" s="841">
        <f>G138+'24'!H138</f>
        <v>17.110000000000582</v>
      </c>
      <c r="I138" s="859"/>
      <c r="J138" s="843">
        <f>H138/DAY(B2)</f>
        <v>0.68440000000002332</v>
      </c>
      <c r="O138" s="845"/>
    </row>
    <row r="139" spans="1:16">
      <c r="A139" s="866" t="s">
        <v>246</v>
      </c>
      <c r="B139" s="867"/>
      <c r="C139" s="867"/>
      <c r="D139" s="838" t="s">
        <v>238</v>
      </c>
      <c r="E139" s="839">
        <f>'24'!F139</f>
        <v>70497.78</v>
      </c>
      <c r="F139" s="989">
        <v>70503.92</v>
      </c>
      <c r="G139" s="840">
        <f t="shared" si="15"/>
        <v>6.1399999999994179</v>
      </c>
      <c r="H139" s="841">
        <f>G139+'24'!H139</f>
        <v>22.190000000002328</v>
      </c>
      <c r="I139" s="859">
        <f>G138+G139</f>
        <v>5.75</v>
      </c>
      <c r="J139" s="843">
        <f>H139/DAY(B2)</f>
        <v>0.88760000000009309</v>
      </c>
      <c r="O139" s="845"/>
    </row>
    <row r="140" spans="1:16">
      <c r="A140" s="866" t="s">
        <v>247</v>
      </c>
      <c r="B140" s="867"/>
      <c r="C140" s="867"/>
      <c r="D140" s="838" t="s">
        <v>238</v>
      </c>
      <c r="E140" s="839">
        <f>'24'!F140</f>
        <v>2067.64</v>
      </c>
      <c r="F140" s="989">
        <v>2077</v>
      </c>
      <c r="G140" s="840">
        <f t="shared" si="15"/>
        <v>9.3600000000001273</v>
      </c>
      <c r="H140" s="841">
        <f>G140+'24'!H140</f>
        <v>-52.179999999999836</v>
      </c>
      <c r="I140" s="990"/>
      <c r="J140" s="843">
        <f>H140/DAY(B2)</f>
        <v>-2.0871999999999935</v>
      </c>
      <c r="O140" s="845"/>
    </row>
    <row r="141" spans="1:16">
      <c r="A141" s="866" t="s">
        <v>248</v>
      </c>
      <c r="B141" s="867"/>
      <c r="C141" s="867"/>
      <c r="D141" s="838" t="s">
        <v>238</v>
      </c>
      <c r="E141" s="839">
        <f>'24'!F141</f>
        <v>4636.88</v>
      </c>
      <c r="F141" s="989">
        <v>4636.88</v>
      </c>
      <c r="G141" s="840">
        <f t="shared" si="15"/>
        <v>0</v>
      </c>
      <c r="H141" s="841">
        <f>G141+'24'!H141</f>
        <v>-0.11999999999989086</v>
      </c>
      <c r="I141" s="990"/>
      <c r="J141" s="843">
        <f>H141/DAY(B2)</f>
        <v>-4.7999999999956341E-3</v>
      </c>
      <c r="O141" s="845"/>
    </row>
    <row r="142" spans="1:16">
      <c r="A142" s="1648" t="s">
        <v>249</v>
      </c>
      <c r="B142" s="1649"/>
      <c r="C142" s="833"/>
      <c r="D142" s="833"/>
      <c r="E142" s="833"/>
      <c r="F142" s="937"/>
      <c r="G142" s="864"/>
      <c r="H142" s="864"/>
      <c r="I142" s="864"/>
      <c r="J142" s="983"/>
      <c r="K142" s="938"/>
      <c r="L142" s="818"/>
      <c r="O142" s="845"/>
    </row>
    <row r="143" spans="1:16">
      <c r="A143" s="1650" t="s">
        <v>250</v>
      </c>
      <c r="B143" s="1651"/>
      <c r="C143" s="1652"/>
      <c r="D143" s="838" t="s">
        <v>131</v>
      </c>
      <c r="E143" s="838"/>
      <c r="F143" s="937"/>
      <c r="G143" s="841">
        <f>G35+G43+G49+G57</f>
        <v>5368.0100000000093</v>
      </c>
      <c r="H143" s="841">
        <f>G143+'24'!H143</f>
        <v>-31355.689999999944</v>
      </c>
      <c r="I143" s="859"/>
      <c r="J143" s="843">
        <f>H143/DAY(B2)</f>
        <v>-1254.2275999999977</v>
      </c>
      <c r="K143" s="938"/>
      <c r="L143" s="818"/>
      <c r="O143" s="845"/>
    </row>
    <row r="144" spans="1:16">
      <c r="A144" s="1650" t="s">
        <v>251</v>
      </c>
      <c r="B144" s="1651"/>
      <c r="C144" s="1652"/>
      <c r="D144" s="838" t="s">
        <v>24</v>
      </c>
      <c r="E144" s="825"/>
      <c r="F144" s="1475"/>
      <c r="G144" s="991">
        <f>G143/G7</f>
        <v>0.24967488372093066</v>
      </c>
      <c r="H144" s="841">
        <f>G144+'24'!H144</f>
        <v>-1.5730777905939781</v>
      </c>
      <c r="I144" s="992"/>
      <c r="J144" s="843">
        <f>H144/DAY(B2)</f>
        <v>-6.2923111623759131E-2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1453"/>
      <c r="G145" s="841">
        <f>G41+G42+G55+G56</f>
        <v>5087</v>
      </c>
      <c r="H145" s="841">
        <f>G145+'24'!H145</f>
        <v>-30619.89</v>
      </c>
      <c r="I145" s="859"/>
      <c r="J145" s="843">
        <f>H145/DAY(B2)</f>
        <v>-1224.7955999999999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1453"/>
      <c r="G146" s="991">
        <f>G145/G7</f>
        <v>0.2366046511627907</v>
      </c>
      <c r="H146" s="841">
        <f>G146+'24'!H146</f>
        <v>-1.5941984164643226</v>
      </c>
      <c r="I146" s="992"/>
      <c r="J146" s="843">
        <f>H146/DAY(B2)</f>
        <v>-6.3767936658572902E-2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1453"/>
      <c r="G147" s="841">
        <f>G39+G53</f>
        <v>3655</v>
      </c>
      <c r="H147" s="841">
        <f>G147+'24'!H147</f>
        <v>-18382</v>
      </c>
      <c r="I147" s="993"/>
      <c r="J147" s="843">
        <f>H147/DAY(B2)</f>
        <v>-735.28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1453"/>
      <c r="G148" s="991">
        <f>G147/G7</f>
        <v>0.17</v>
      </c>
      <c r="H148" s="841">
        <f>G148+'24'!H148</f>
        <v>-0.93327081308584836</v>
      </c>
      <c r="I148" s="993"/>
      <c r="J148" s="843">
        <f>H148/DAY(B2)</f>
        <v>-3.7330832523433936E-2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1453"/>
      <c r="G149" s="841">
        <f>G38+G52</f>
        <v>1537.0699999999488</v>
      </c>
      <c r="H149" s="841">
        <f>G149+'24'!H149</f>
        <v>-8123.9300000000512</v>
      </c>
      <c r="I149" s="859"/>
      <c r="J149" s="843">
        <f>H149/DAY(B2)</f>
        <v>-324.95720000000205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1453"/>
      <c r="G150" s="991">
        <f>G149/G7</f>
        <v>7.1491627906974359E-2</v>
      </c>
      <c r="H150" s="841">
        <f>G150+'24'!H150</f>
        <v>-0.41558684280449887</v>
      </c>
      <c r="I150" s="993"/>
      <c r="J150" s="843">
        <f>H150/DAY(B2)</f>
        <v>-1.6623473712179954E-2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1453"/>
      <c r="G151" s="841">
        <f>G36+G50</f>
        <v>1674</v>
      </c>
      <c r="H151" s="841">
        <f>G151+'24'!H151</f>
        <v>-8744.0000000000018</v>
      </c>
      <c r="I151" s="993"/>
      <c r="J151" s="843">
        <f>H151/DAY(B2)</f>
        <v>-349.76000000000005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1453"/>
      <c r="G152" s="991">
        <f>G151/G7</f>
        <v>7.7860465116279073E-2</v>
      </c>
      <c r="H152" s="841">
        <f>G152+'24'!H152</f>
        <v>-0.46372637587002252</v>
      </c>
      <c r="I152" s="859"/>
      <c r="J152" s="843">
        <f>H152/DAY(B2)</f>
        <v>-1.85490550348009E-2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1453"/>
      <c r="G153" s="841">
        <f>G37+G51</f>
        <v>1517.8699999999953</v>
      </c>
      <c r="H153" s="841">
        <f>G153+'24'!H153</f>
        <v>-7296.1300000000047</v>
      </c>
      <c r="I153" s="859"/>
      <c r="J153" s="843">
        <f>H153/DAY(B2)</f>
        <v>-291.8452000000002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1487"/>
      <c r="G154" s="997">
        <f>G153/G7</f>
        <v>7.0598604651162578E-2</v>
      </c>
      <c r="H154" s="841">
        <f>G154+'24'!H154</f>
        <v>-0.37533774931829927</v>
      </c>
      <c r="I154" s="998"/>
      <c r="J154" s="999">
        <f>H154/DAY(B2)</f>
        <v>-1.5013509972731971E-2</v>
      </c>
      <c r="O154" s="845"/>
    </row>
    <row r="155" spans="1:15">
      <c r="A155" s="1000"/>
      <c r="B155" s="1000"/>
      <c r="C155" s="1000"/>
      <c r="D155" s="1000"/>
      <c r="E155" s="1000"/>
      <c r="F155" s="1488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'24'!F161</f>
        <v>40362</v>
      </c>
      <c r="F161" s="1489">
        <v>40442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'24'!F162</f>
        <v>105052</v>
      </c>
      <c r="F162" s="1489">
        <v>105500</v>
      </c>
      <c r="G162" s="840">
        <f t="shared" si="16"/>
        <v>448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'24'!F163</f>
        <v>49999</v>
      </c>
      <c r="F163" s="1489">
        <v>60193</v>
      </c>
      <c r="G163" s="840">
        <f t="shared" si="16"/>
        <v>10194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'24'!F164</f>
        <v>6792</v>
      </c>
      <c r="F164" s="1489">
        <v>6803</v>
      </c>
      <c r="G164" s="840">
        <f t="shared" si="16"/>
        <v>11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1483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1483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167799</v>
      </c>
      <c r="F167" s="1483">
        <f t="shared" si="19"/>
        <v>168211</v>
      </c>
      <c r="G167" s="840">
        <f t="shared" si="17"/>
        <v>412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167848</v>
      </c>
      <c r="F168" s="1483">
        <f t="shared" si="19"/>
        <v>168247</v>
      </c>
      <c r="G168" s="840">
        <f t="shared" si="17"/>
        <v>399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65414</v>
      </c>
      <c r="F169" s="1483">
        <f t="shared" si="19"/>
        <v>65832</v>
      </c>
      <c r="G169" s="840">
        <f t="shared" si="17"/>
        <v>418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262246</v>
      </c>
      <c r="F170" s="1483">
        <f t="shared" si="19"/>
        <v>262704</v>
      </c>
      <c r="G170" s="840">
        <f t="shared" si="17"/>
        <v>458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1483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86101</v>
      </c>
      <c r="F172" s="1483">
        <f t="shared" si="19"/>
        <v>86292</v>
      </c>
      <c r="G172" s="840">
        <f t="shared" si="17"/>
        <v>191</v>
      </c>
    </row>
    <row r="173" spans="1:7" ht="29.25">
      <c r="A173" s="1587"/>
      <c r="B173" s="1550"/>
      <c r="C173" s="785"/>
      <c r="D173" s="523"/>
      <c r="G173" s="1005">
        <f>SUM(G161:G172)</f>
        <v>12611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28203</v>
      </c>
      <c r="F174" s="968">
        <v>28212</v>
      </c>
      <c r="G174" s="840">
        <f t="shared" ref="G174:G180" si="20">F174-E174</f>
        <v>9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18975</v>
      </c>
      <c r="F175" s="968">
        <v>18979</v>
      </c>
      <c r="G175" s="840">
        <f t="shared" si="20"/>
        <v>4</v>
      </c>
    </row>
    <row r="176" spans="1:7">
      <c r="A176" s="1626" t="s">
        <v>351</v>
      </c>
      <c r="B176" s="1627"/>
      <c r="D176" s="838" t="s">
        <v>186</v>
      </c>
      <c r="E176" s="968">
        <v>27605</v>
      </c>
      <c r="F176" s="1272">
        <v>27608</v>
      </c>
      <c r="G176" s="840">
        <f t="shared" si="20"/>
        <v>3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70231</v>
      </c>
      <c r="F177" s="968">
        <v>70253</v>
      </c>
      <c r="G177" s="840">
        <f t="shared" si="20"/>
        <v>22</v>
      </c>
      <c r="J177" s="1006"/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A166" zoomScale="7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9.8867187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 ht="30.75" customHeight="1">
      <c r="A2" s="806" t="s">
        <v>365</v>
      </c>
      <c r="B2" s="1076">
        <v>44008</v>
      </c>
      <c r="C2" s="807" t="s">
        <v>68</v>
      </c>
      <c r="D2" s="1019">
        <v>1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 ht="20.100000000000001" customHeight="1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121</v>
      </c>
      <c r="D4" s="1019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 ht="20.100000000000001" customHeight="1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130</v>
      </c>
      <c r="B7" s="837"/>
      <c r="C7" s="837"/>
      <c r="D7" s="838" t="s">
        <v>131</v>
      </c>
      <c r="E7" s="839">
        <f>'25'!F7</f>
        <v>470810.67</v>
      </c>
      <c r="F7" s="455">
        <f>E7+21500</f>
        <v>492310.67</v>
      </c>
      <c r="G7" s="840">
        <f>F7-E7</f>
        <v>21500</v>
      </c>
      <c r="H7" s="841">
        <f>G7+'25'!H7</f>
        <v>570357.67000000004</v>
      </c>
      <c r="I7" s="842">
        <f>'1'!I7</f>
        <v>12000</v>
      </c>
      <c r="J7" s="843">
        <f>H7/DAY(B2)</f>
        <v>21936.833461538463</v>
      </c>
      <c r="K7" s="844"/>
      <c r="L7" s="818"/>
      <c r="N7" s="1017"/>
      <c r="O7" s="845"/>
    </row>
    <row r="8" spans="1:15" ht="20.100000000000001" customHeight="1" thickBot="1">
      <c r="A8" s="846" t="s">
        <v>132</v>
      </c>
      <c r="B8" s="847"/>
      <c r="C8" s="848"/>
      <c r="D8" s="849" t="s">
        <v>25</v>
      </c>
      <c r="E8" s="839">
        <f>'25'!F8</f>
        <v>477826.83</v>
      </c>
      <c r="F8" s="475">
        <f>E8+21500</f>
        <v>499326.83</v>
      </c>
      <c r="G8" s="850">
        <f>F8-E8</f>
        <v>21500</v>
      </c>
      <c r="H8" s="841">
        <f>G8+'25'!H8</f>
        <v>572604.83000000007</v>
      </c>
      <c r="I8" s="851">
        <f>'1'!I8</f>
        <v>12000</v>
      </c>
      <c r="J8" s="843">
        <f>H8/DAY(B2)</f>
        <v>22023.262692307697</v>
      </c>
      <c r="K8" s="844"/>
      <c r="L8" s="852"/>
      <c r="M8" s="853"/>
      <c r="O8" s="845"/>
    </row>
    <row r="9" spans="1:15" ht="20.100000000000001" customHeight="1">
      <c r="A9" s="854" t="s">
        <v>133</v>
      </c>
      <c r="B9" s="855"/>
      <c r="C9" s="855"/>
      <c r="D9" s="838" t="s">
        <v>131</v>
      </c>
      <c r="E9" s="839">
        <f>'25'!F9</f>
        <v>1932109</v>
      </c>
      <c r="F9" s="856">
        <v>1954030</v>
      </c>
      <c r="G9" s="840">
        <f>F9-E9</f>
        <v>21921</v>
      </c>
      <c r="H9" s="841">
        <f>G9+'25'!H9</f>
        <v>-76972</v>
      </c>
      <c r="I9" s="857">
        <f>I8-J8</f>
        <v>-10023.262692307697</v>
      </c>
      <c r="J9" s="843">
        <f>H9/DAY(B2)</f>
        <v>-2960.4615384615386</v>
      </c>
      <c r="K9" s="858"/>
      <c r="L9" s="818"/>
      <c r="O9" s="845"/>
    </row>
    <row r="10" spans="1:15" ht="20.100000000000001" customHeight="1">
      <c r="A10" s="836" t="s">
        <v>134</v>
      </c>
      <c r="B10" s="837"/>
      <c r="C10" s="837"/>
      <c r="D10" s="838" t="s">
        <v>131</v>
      </c>
      <c r="E10" s="839">
        <f>'25'!F10</f>
        <v>0</v>
      </c>
      <c r="F10" s="856"/>
      <c r="G10" s="840">
        <f t="shared" ref="G10:G12" si="0">F10-E10</f>
        <v>0</v>
      </c>
      <c r="H10" s="841">
        <f>G10+'25'!H10</f>
        <v>-2606.2500000000005</v>
      </c>
      <c r="I10" s="859"/>
      <c r="J10" s="843">
        <f>H10/DAY(B2)</f>
        <v>-100.24038461538463</v>
      </c>
      <c r="K10" s="858"/>
      <c r="L10" s="818"/>
      <c r="O10" s="845"/>
    </row>
    <row r="11" spans="1:15" ht="20.100000000000001" customHeight="1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59"/>
      <c r="J11" s="843">
        <f>H11/DAY(B2)</f>
        <v>0</v>
      </c>
      <c r="K11" s="858"/>
      <c r="L11" s="818">
        <v>1375467</v>
      </c>
      <c r="N11" s="1018"/>
      <c r="O11" s="845"/>
    </row>
    <row r="12" spans="1:15" ht="20.100000000000001" customHeight="1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G12+'25'!H12</f>
        <v>0</v>
      </c>
      <c r="I12" s="859"/>
      <c r="J12" s="843">
        <f>H12/DAY(B2)</f>
        <v>0</v>
      </c>
      <c r="K12" s="858"/>
      <c r="L12" s="818"/>
      <c r="O12" s="845"/>
    </row>
    <row r="13" spans="1:15" ht="20.100000000000001" customHeight="1">
      <c r="A13" s="860" t="s">
        <v>137</v>
      </c>
      <c r="B13" s="861"/>
      <c r="C13" s="861"/>
      <c r="D13" s="838"/>
      <c r="E13" s="839"/>
      <c r="F13" s="839"/>
      <c r="G13" s="862">
        <f>G9+G10+G11+G12</f>
        <v>21921</v>
      </c>
      <c r="H13" s="841">
        <f>G13+'25'!H13</f>
        <v>-99905.250000000058</v>
      </c>
      <c r="I13" s="863">
        <f>G7-G13</f>
        <v>-421</v>
      </c>
      <c r="J13" s="843">
        <f>H13/DAY(B2)</f>
        <v>-3842.5096153846175</v>
      </c>
      <c r="K13" s="858"/>
      <c r="L13" s="818"/>
      <c r="O13" s="845"/>
    </row>
    <row r="14" spans="1:15" ht="28.5" customHeight="1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>
        <v>1679344</v>
      </c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'25'!F15</f>
        <v>1723917.72</v>
      </c>
      <c r="F15" s="700">
        <f>E15+700</f>
        <v>1724617.72</v>
      </c>
      <c r="G15" s="1015">
        <f>(F15-E15)</f>
        <v>700</v>
      </c>
      <c r="H15" s="841">
        <f>G15+'25'!H15</f>
        <v>20934.719999999972</v>
      </c>
      <c r="I15" s="842">
        <f>'1'!I15</f>
        <v>800</v>
      </c>
      <c r="J15" s="843">
        <f>H15/DAY(B2)</f>
        <v>805.18153846153734</v>
      </c>
      <c r="K15" s="858"/>
      <c r="L15" s="818"/>
      <c r="O15" s="845"/>
    </row>
    <row r="16" spans="1:15" ht="20.100000000000001" customHeight="1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-5.1815384615373432</v>
      </c>
      <c r="J16" s="875"/>
      <c r="K16" s="858"/>
      <c r="L16" s="818">
        <f>L14-L11</f>
        <v>303877</v>
      </c>
      <c r="O16" s="845"/>
    </row>
    <row r="17" spans="1:15" ht="20.100000000000001" customHeight="1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 ht="20.100000000000001" customHeight="1">
      <c r="A18" s="1650" t="s">
        <v>142</v>
      </c>
      <c r="B18" s="1651"/>
      <c r="C18" s="1652"/>
      <c r="D18" s="838" t="s">
        <v>143</v>
      </c>
      <c r="E18" s="839">
        <f>'25'!F18</f>
        <v>11</v>
      </c>
      <c r="F18" s="868">
        <v>15</v>
      </c>
      <c r="G18" s="862">
        <f>F18*10</f>
        <v>150</v>
      </c>
      <c r="H18" s="841">
        <f>G18+'25'!H18</f>
        <v>3310</v>
      </c>
      <c r="I18" s="842">
        <f>'1'!I18</f>
        <v>65</v>
      </c>
      <c r="J18" s="843">
        <f>H18/DAY(B2)</f>
        <v>127.30769230769231</v>
      </c>
      <c r="K18" s="858"/>
      <c r="L18" s="818"/>
      <c r="O18" s="845"/>
    </row>
    <row r="19" spans="1:15" ht="20.100000000000001" customHeight="1">
      <c r="A19" s="1650" t="s">
        <v>70</v>
      </c>
      <c r="B19" s="1651"/>
      <c r="C19" s="1652"/>
      <c r="D19" s="838" t="s">
        <v>143</v>
      </c>
      <c r="E19" s="839">
        <f>'25'!F19</f>
        <v>141178</v>
      </c>
      <c r="F19" s="868">
        <v>141243</v>
      </c>
      <c r="G19" s="840">
        <f t="shared" ref="G19" si="1">F19-E19</f>
        <v>65</v>
      </c>
      <c r="H19" s="841">
        <f>G19+'25'!H19</f>
        <v>-252</v>
      </c>
      <c r="I19" s="877"/>
      <c r="J19" s="843">
        <f>H19/DAY(B2)</f>
        <v>-9.6923076923076916</v>
      </c>
      <c r="K19" s="858"/>
      <c r="L19" s="818">
        <f>L16/26</f>
        <v>11687.576923076924</v>
      </c>
      <c r="O19" s="845"/>
    </row>
    <row r="20" spans="1:15" ht="20.100000000000001" customHeight="1">
      <c r="A20" s="860" t="s">
        <v>144</v>
      </c>
      <c r="B20" s="861"/>
      <c r="C20" s="861"/>
      <c r="D20" s="878"/>
      <c r="E20" s="878"/>
      <c r="F20" s="878"/>
      <c r="G20" s="879">
        <f>G18+G19</f>
        <v>215</v>
      </c>
      <c r="H20" s="841">
        <f>G20+'25'!H20</f>
        <v>3058</v>
      </c>
      <c r="I20" s="880">
        <f>I18-J20</f>
        <v>-52.615384615384613</v>
      </c>
      <c r="J20" s="843">
        <f>H20/DAY(B2)</f>
        <v>117.61538461538461</v>
      </c>
      <c r="K20" s="858"/>
      <c r="L20" s="818"/>
      <c r="O20" s="845"/>
    </row>
    <row r="21" spans="1:15" ht="20.100000000000001" customHeight="1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 t="e">
        <f>#REF!/G11</f>
        <v>#REF!</v>
      </c>
      <c r="O21" s="845"/>
    </row>
    <row r="22" spans="1:15" ht="20.100000000000001" customHeight="1">
      <c r="A22" s="866" t="s">
        <v>146</v>
      </c>
      <c r="B22" s="867"/>
      <c r="C22" s="867"/>
      <c r="D22" s="838" t="s">
        <v>147</v>
      </c>
      <c r="E22" s="868">
        <f>'25'!F22</f>
        <v>2970</v>
      </c>
      <c r="F22" s="868">
        <v>2970</v>
      </c>
      <c r="G22" s="862">
        <f t="shared" ref="G22:G23" si="2">E22-F22</f>
        <v>0</v>
      </c>
      <c r="H22" s="841">
        <f>G22+'25'!H22</f>
        <v>0</v>
      </c>
      <c r="I22" s="859"/>
      <c r="J22" s="843">
        <f>H22/DAY(B2)</f>
        <v>0</v>
      </c>
      <c r="K22" s="858"/>
      <c r="L22" s="818"/>
      <c r="O22" s="845"/>
    </row>
    <row r="23" spans="1:15" ht="20.100000000000001" customHeight="1">
      <c r="A23" s="866" t="s">
        <v>148</v>
      </c>
      <c r="B23" s="867"/>
      <c r="C23" s="867"/>
      <c r="D23" s="838" t="s">
        <v>147</v>
      </c>
      <c r="E23" s="868">
        <f>'25'!F23</f>
        <v>2000</v>
      </c>
      <c r="F23" s="868">
        <v>2000</v>
      </c>
      <c r="G23" s="862">
        <f t="shared" si="2"/>
        <v>0</v>
      </c>
      <c r="H23" s="841">
        <f>G23+'25'!H23</f>
        <v>0</v>
      </c>
      <c r="I23" s="859"/>
      <c r="J23" s="843">
        <f>H23/DAY(B2)</f>
        <v>0</v>
      </c>
      <c r="K23" s="858"/>
      <c r="L23" s="818"/>
      <c r="O23" s="845"/>
    </row>
    <row r="24" spans="1:15" ht="20.100000000000001" customHeight="1">
      <c r="A24" s="881" t="s">
        <v>149</v>
      </c>
      <c r="B24" s="882"/>
      <c r="C24" s="882"/>
      <c r="D24" s="825" t="s">
        <v>147</v>
      </c>
      <c r="E24" s="868">
        <f>'25'!F24</f>
        <v>4970</v>
      </c>
      <c r="F24" s="883">
        <v>4970</v>
      </c>
      <c r="G24" s="862">
        <f>E24-F24</f>
        <v>0</v>
      </c>
      <c r="H24" s="841">
        <f>G24+'25'!H24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 ht="18.75" customHeigh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 ht="18.75" customHeigh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18.75" customHeight="1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G27+'25'!H27</f>
        <v>5153445.3600000003</v>
      </c>
      <c r="I27" s="901"/>
      <c r="J27" s="843">
        <f>H27/DAY(B2)</f>
        <v>198209.43692307692</v>
      </c>
      <c r="K27" s="858"/>
      <c r="L27" s="888"/>
      <c r="N27" s="1007"/>
      <c r="O27" s="845"/>
    </row>
    <row r="28" spans="1:15" s="889" customFormat="1" ht="18.75" customHeigh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G28+'25'!H28</f>
        <v>1088605.4399999985</v>
      </c>
      <c r="I28" s="902"/>
      <c r="J28" s="843">
        <f>H28/DAY(B2)</f>
        <v>41869.439999999944</v>
      </c>
      <c r="K28" s="858"/>
      <c r="L28" s="888"/>
      <c r="N28" s="1007"/>
      <c r="O28" s="845"/>
    </row>
    <row r="29" spans="1:15" s="889" customFormat="1" ht="18.75" customHeight="1">
      <c r="A29" s="890" t="s">
        <v>155</v>
      </c>
      <c r="B29" s="891"/>
      <c r="C29" s="892"/>
      <c r="D29" s="897" t="s">
        <v>156</v>
      </c>
      <c r="E29" s="898">
        <f>G16</f>
        <v>0</v>
      </c>
      <c r="F29" s="899">
        <v>69</v>
      </c>
      <c r="G29" s="900">
        <f>E29*F29</f>
        <v>0</v>
      </c>
      <c r="H29" s="841">
        <f>G29+'25'!H29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 ht="18.75" customHeight="1">
      <c r="A30" s="890" t="s">
        <v>157</v>
      </c>
      <c r="B30" s="891"/>
      <c r="C30" s="892"/>
      <c r="D30" s="897" t="s">
        <v>158</v>
      </c>
      <c r="E30" s="898">
        <f>G19</f>
        <v>65</v>
      </c>
      <c r="F30" s="899">
        <v>146</v>
      </c>
      <c r="G30" s="900">
        <f>E30*F30</f>
        <v>9490</v>
      </c>
      <c r="H30" s="841">
        <f>G30+'25'!H30</f>
        <v>-37376</v>
      </c>
      <c r="I30" s="902"/>
      <c r="J30" s="843">
        <f>H30/DAY(B2)</f>
        <v>-1437.5384615384614</v>
      </c>
      <c r="K30" s="858"/>
      <c r="L30" s="888"/>
      <c r="N30" s="1007"/>
      <c r="O30" s="845"/>
    </row>
    <row r="31" spans="1:15" s="889" customFormat="1" ht="18.75" customHeight="1">
      <c r="A31" s="890" t="s">
        <v>159</v>
      </c>
      <c r="B31" s="891"/>
      <c r="C31" s="892"/>
      <c r="D31" s="897" t="s">
        <v>143</v>
      </c>
      <c r="E31" s="898">
        <f>G18</f>
        <v>150</v>
      </c>
      <c r="F31" s="899">
        <v>80</v>
      </c>
      <c r="G31" s="900">
        <f>E31*F31</f>
        <v>12000</v>
      </c>
      <c r="H31" s="841">
        <f>G31+'25'!H31</f>
        <v>259200</v>
      </c>
      <c r="I31" s="902"/>
      <c r="J31" s="843"/>
      <c r="K31" s="858"/>
      <c r="L31" s="888"/>
      <c r="N31" s="1007"/>
      <c r="O31" s="845"/>
    </row>
    <row r="32" spans="1:15" s="889" customFormat="1" ht="18.75" customHeight="1">
      <c r="A32" s="903" t="s">
        <v>160</v>
      </c>
      <c r="B32" s="904"/>
      <c r="C32" s="905"/>
      <c r="D32" s="906"/>
      <c r="E32" s="906"/>
      <c r="F32" s="906"/>
      <c r="G32" s="907">
        <f>G27+G28+G29+G30+G31</f>
        <v>251390</v>
      </c>
      <c r="H32" s="841">
        <f>G32+'25'!H32</f>
        <v>6463874.7999999989</v>
      </c>
      <c r="I32" s="908"/>
      <c r="J32" s="843">
        <f>H32/DAY(B2)</f>
        <v>248610.56923076918</v>
      </c>
      <c r="K32" s="858"/>
      <c r="L32" s="888"/>
      <c r="N32" s="1007"/>
      <c r="O32" s="845"/>
    </row>
    <row r="33" spans="1:15" ht="20.100000000000001" customHeight="1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 ht="20.100000000000001" customHeight="1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 ht="20.100000000000001" customHeight="1">
      <c r="A35" s="836" t="s">
        <v>163</v>
      </c>
      <c r="B35" s="837"/>
      <c r="C35" s="837"/>
      <c r="D35" s="838" t="s">
        <v>131</v>
      </c>
      <c r="E35" s="839">
        <f>'25'!F35</f>
        <v>1014277</v>
      </c>
      <c r="F35" s="911">
        <v>1017307</v>
      </c>
      <c r="G35" s="840">
        <f t="shared" ref="G35:G46" si="3">F35-E35</f>
        <v>3030</v>
      </c>
      <c r="H35" s="841">
        <f>G35+'25'!H35</f>
        <v>-11407</v>
      </c>
      <c r="I35" s="839"/>
      <c r="J35" s="843">
        <f>H35/DAY(B2)</f>
        <v>-438.73076923076923</v>
      </c>
      <c r="K35" s="858"/>
      <c r="L35" s="818"/>
      <c r="O35" s="845"/>
    </row>
    <row r="36" spans="1:15" ht="20.100000000000001" customHeight="1">
      <c r="A36" s="836" t="s">
        <v>164</v>
      </c>
      <c r="B36" s="837"/>
      <c r="C36" s="837"/>
      <c r="D36" s="838" t="s">
        <v>131</v>
      </c>
      <c r="E36" s="839">
        <f>'25'!F36</f>
        <v>17043</v>
      </c>
      <c r="F36" s="911">
        <v>18002</v>
      </c>
      <c r="G36" s="840">
        <f t="shared" si="3"/>
        <v>959</v>
      </c>
      <c r="H36" s="841">
        <f>G36+'25'!H36</f>
        <v>-2459.0000000000018</v>
      </c>
      <c r="I36" s="839"/>
      <c r="J36" s="843">
        <f>H36/DAY(B2)</f>
        <v>-94.576923076923151</v>
      </c>
      <c r="K36" s="858"/>
      <c r="L36" s="818"/>
      <c r="O36" s="845"/>
    </row>
    <row r="37" spans="1:15" ht="20.100000000000001" customHeight="1">
      <c r="A37" s="836" t="s">
        <v>165</v>
      </c>
      <c r="B37" s="837"/>
      <c r="C37" s="837"/>
      <c r="D37" s="838" t="s">
        <v>131</v>
      </c>
      <c r="E37" s="839">
        <f>'25'!F37</f>
        <v>169274</v>
      </c>
      <c r="F37" s="911">
        <v>170795</v>
      </c>
      <c r="G37" s="840">
        <f t="shared" si="3"/>
        <v>1521</v>
      </c>
      <c r="H37" s="841">
        <f>G37+'25'!H37</f>
        <v>-5775</v>
      </c>
      <c r="I37" s="839"/>
      <c r="J37" s="843">
        <f>H37/DAY(B2)</f>
        <v>-222.11538461538461</v>
      </c>
      <c r="K37" s="858"/>
      <c r="L37" s="818"/>
      <c r="O37" s="845"/>
    </row>
    <row r="38" spans="1:15" ht="20.100000000000001" customHeight="1">
      <c r="A38" s="836" t="s">
        <v>166</v>
      </c>
      <c r="B38" s="837"/>
      <c r="C38" s="837"/>
      <c r="D38" s="838" t="s">
        <v>131</v>
      </c>
      <c r="E38" s="839">
        <f>'25'!F38</f>
        <v>190335</v>
      </c>
      <c r="F38" s="828">
        <v>192122</v>
      </c>
      <c r="G38" s="840">
        <f t="shared" si="3"/>
        <v>1787</v>
      </c>
      <c r="H38" s="841">
        <f>G38+'25'!H38</f>
        <v>-6337</v>
      </c>
      <c r="I38" s="839"/>
      <c r="J38" s="843">
        <f>H38/DAY(B2)</f>
        <v>-243.73076923076923</v>
      </c>
      <c r="K38" s="858"/>
      <c r="L38" s="818"/>
      <c r="O38" s="845"/>
    </row>
    <row r="39" spans="1:15" ht="20.100000000000001" customHeight="1">
      <c r="A39" s="836" t="s">
        <v>167</v>
      </c>
      <c r="B39" s="837"/>
      <c r="C39" s="837"/>
      <c r="D39" s="838" t="s">
        <v>131</v>
      </c>
      <c r="E39" s="839">
        <f>'25'!F39</f>
        <v>386482</v>
      </c>
      <c r="F39" s="911">
        <v>390160</v>
      </c>
      <c r="G39" s="840">
        <f t="shared" si="3"/>
        <v>3678</v>
      </c>
      <c r="H39" s="841">
        <f>G39+'25'!H39</f>
        <v>-14704</v>
      </c>
      <c r="I39" s="839"/>
      <c r="J39" s="843">
        <f>H39/DAY(B2)</f>
        <v>-565.53846153846155</v>
      </c>
      <c r="K39" s="858"/>
      <c r="L39" s="818"/>
      <c r="O39" s="845"/>
    </row>
    <row r="40" spans="1:15" ht="20.100000000000001" customHeight="1">
      <c r="A40" s="912" t="s">
        <v>168</v>
      </c>
      <c r="B40" s="913"/>
      <c r="C40" s="913"/>
      <c r="D40" s="838" t="s">
        <v>131</v>
      </c>
      <c r="E40" s="839">
        <f>'25'!F40</f>
        <v>5453</v>
      </c>
      <c r="F40" s="911">
        <v>5734</v>
      </c>
      <c r="G40" s="840">
        <f t="shared" si="3"/>
        <v>281</v>
      </c>
      <c r="H40" s="841">
        <f>G40+'25'!H40</f>
        <v>-1379</v>
      </c>
      <c r="I40" s="839"/>
      <c r="J40" s="843">
        <f>H40/DAY(B2)</f>
        <v>-53.03846153846154</v>
      </c>
      <c r="K40" s="865"/>
      <c r="L40" s="818"/>
      <c r="O40" s="845"/>
    </row>
    <row r="41" spans="1:15" ht="20.100000000000001" customHeight="1">
      <c r="A41" s="836" t="s">
        <v>169</v>
      </c>
      <c r="B41" s="837"/>
      <c r="C41" s="837"/>
      <c r="D41" s="838" t="s">
        <v>131</v>
      </c>
      <c r="E41" s="839">
        <f>'25'!F41</f>
        <v>310992</v>
      </c>
      <c r="F41" s="911">
        <v>313882</v>
      </c>
      <c r="G41" s="840">
        <f t="shared" si="3"/>
        <v>2890</v>
      </c>
      <c r="H41" s="841">
        <f>G41+'25'!H41</f>
        <v>-15760</v>
      </c>
      <c r="I41" s="839"/>
      <c r="J41" s="843">
        <f>H41/DAY(B2)</f>
        <v>-606.15384615384619</v>
      </c>
      <c r="K41" s="858"/>
      <c r="L41" s="818"/>
      <c r="O41" s="845"/>
    </row>
    <row r="42" spans="1:15" ht="20.100000000000001" customHeight="1">
      <c r="A42" s="836" t="s">
        <v>170</v>
      </c>
      <c r="B42" s="837"/>
      <c r="C42" s="837"/>
      <c r="D42" s="838" t="s">
        <v>131</v>
      </c>
      <c r="E42" s="839">
        <f>'25'!F42</f>
        <v>59210</v>
      </c>
      <c r="F42" s="911">
        <v>59210</v>
      </c>
      <c r="G42" s="840">
        <f t="shared" si="3"/>
        <v>0</v>
      </c>
      <c r="H42" s="841">
        <f>G42+'25'!H42</f>
        <v>11.110000000000582</v>
      </c>
      <c r="I42" s="839"/>
      <c r="J42" s="843">
        <f>H42/DAY(B2)</f>
        <v>0.4273076923077147</v>
      </c>
      <c r="K42" s="858"/>
      <c r="L42" s="818"/>
      <c r="N42" s="1008">
        <f>3450-G42</f>
        <v>3450</v>
      </c>
      <c r="O42" s="845"/>
    </row>
    <row r="43" spans="1:15" ht="20.100000000000001" customHeight="1">
      <c r="A43" s="836" t="s">
        <v>171</v>
      </c>
      <c r="B43" s="837"/>
      <c r="C43" s="837"/>
      <c r="D43" s="838" t="s">
        <v>131</v>
      </c>
      <c r="E43" s="839">
        <f>'25'!F43</f>
        <v>1106552</v>
      </c>
      <c r="F43" s="911">
        <v>1109510</v>
      </c>
      <c r="G43" s="840">
        <f t="shared" si="3"/>
        <v>2958</v>
      </c>
      <c r="H43" s="841">
        <f>G43+'25'!H43</f>
        <v>-10942</v>
      </c>
      <c r="I43" s="839"/>
      <c r="J43" s="843">
        <f>H43/DAY(B2)</f>
        <v>-420.84615384615387</v>
      </c>
      <c r="K43" s="858"/>
      <c r="L43" s="818"/>
      <c r="O43" s="845"/>
    </row>
    <row r="44" spans="1:15" ht="20.100000000000001" customHeight="1">
      <c r="A44" s="836" t="s">
        <v>172</v>
      </c>
      <c r="B44" s="837"/>
      <c r="C44" s="837"/>
      <c r="D44" s="838" t="s">
        <v>131</v>
      </c>
      <c r="E44" s="839">
        <f>'25'!F44</f>
        <v>0</v>
      </c>
      <c r="F44" s="911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8"/>
      <c r="L44" s="818"/>
      <c r="O44" s="845"/>
    </row>
    <row r="45" spans="1:15" ht="20.100000000000001" customHeight="1">
      <c r="A45" s="836" t="s">
        <v>173</v>
      </c>
      <c r="B45" s="837"/>
      <c r="C45" s="837"/>
      <c r="D45" s="838" t="s">
        <v>131</v>
      </c>
      <c r="E45" s="839">
        <f>'25'!F45</f>
        <v>0</v>
      </c>
      <c r="F45" s="911">
        <v>0</v>
      </c>
      <c r="G45" s="840">
        <f t="shared" si="3"/>
        <v>0</v>
      </c>
      <c r="H45" s="841">
        <f>G45+'25'!H45</f>
        <v>-614</v>
      </c>
      <c r="I45" s="839"/>
      <c r="J45" s="843">
        <f>H45/DAY(B2)</f>
        <v>-23.615384615384617</v>
      </c>
      <c r="K45" s="858"/>
      <c r="L45" s="818"/>
      <c r="O45" s="845"/>
    </row>
    <row r="46" spans="1:15" ht="20.100000000000001" customHeight="1">
      <c r="A46" s="836" t="s">
        <v>174</v>
      </c>
      <c r="B46" s="837"/>
      <c r="C46" s="837"/>
      <c r="D46" s="838" t="s">
        <v>131</v>
      </c>
      <c r="E46" s="839">
        <f>'25'!F46</f>
        <v>0</v>
      </c>
      <c r="F46" s="911">
        <v>0</v>
      </c>
      <c r="G46" s="840">
        <f t="shared" si="3"/>
        <v>0</v>
      </c>
      <c r="H46" s="841">
        <f>G46+'25'!H46</f>
        <v>-187.49</v>
      </c>
      <c r="I46" s="839"/>
      <c r="J46" s="843">
        <f>H46/DAY(B2)</f>
        <v>-7.2111538461538469</v>
      </c>
      <c r="K46" s="858"/>
      <c r="L46" s="818"/>
      <c r="O46" s="845"/>
    </row>
    <row r="47" spans="1:15" ht="20.100000000000001" customHeight="1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17104</v>
      </c>
      <c r="H47" s="841">
        <f>G47+'25'!H47</f>
        <v>-68751.89</v>
      </c>
      <c r="I47" s="839"/>
      <c r="J47" s="843">
        <f>H47/DAY(B2)</f>
        <v>-2644.3034615384613</v>
      </c>
      <c r="K47" s="858"/>
      <c r="L47" s="818"/>
      <c r="N47" s="1008"/>
      <c r="O47" s="845"/>
    </row>
    <row r="48" spans="1:15" ht="20.100000000000001" customHeight="1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 ht="20.100000000000001" customHeight="1">
      <c r="A49" s="836" t="s">
        <v>163</v>
      </c>
      <c r="B49" s="914"/>
      <c r="C49" s="914"/>
      <c r="D49" s="838" t="s">
        <v>131</v>
      </c>
      <c r="E49" s="839">
        <f>'25'!F49</f>
        <v>260732.13</v>
      </c>
      <c r="F49" s="911">
        <v>260732</v>
      </c>
      <c r="G49" s="840">
        <f t="shared" ref="G49:G58" si="4">F49-E49</f>
        <v>-0.13000000000465661</v>
      </c>
      <c r="H49" s="841">
        <f>G49+'25'!H49</f>
        <v>-32</v>
      </c>
      <c r="I49" s="839"/>
      <c r="J49" s="843">
        <f>H49/DAY(B2)</f>
        <v>-1.2307692307692308</v>
      </c>
      <c r="K49" s="858"/>
      <c r="L49" s="818"/>
      <c r="O49" s="845"/>
    </row>
    <row r="50" spans="1:15" ht="20.100000000000001" customHeight="1">
      <c r="A50" s="836" t="s">
        <v>177</v>
      </c>
      <c r="B50" s="914"/>
      <c r="C50" s="914"/>
      <c r="D50" s="838" t="s">
        <v>131</v>
      </c>
      <c r="E50" s="839">
        <f>'25'!F50</f>
        <v>529337</v>
      </c>
      <c r="F50" s="911">
        <v>530470</v>
      </c>
      <c r="G50" s="840">
        <f t="shared" si="4"/>
        <v>1133</v>
      </c>
      <c r="H50" s="841">
        <f>G50+'25'!H50</f>
        <v>-5286</v>
      </c>
      <c r="I50" s="839"/>
      <c r="J50" s="843">
        <f>H50/DAY(B2)</f>
        <v>-203.30769230769232</v>
      </c>
      <c r="K50" s="858"/>
      <c r="L50" s="818"/>
      <c r="O50" s="845"/>
    </row>
    <row r="51" spans="1:15" ht="20.100000000000001" customHeight="1">
      <c r="A51" s="836" t="s">
        <v>165</v>
      </c>
      <c r="B51" s="914"/>
      <c r="C51" s="914"/>
      <c r="D51" s="838" t="s">
        <v>131</v>
      </c>
      <c r="E51" s="839">
        <f>'25'!F51</f>
        <v>144639.87</v>
      </c>
      <c r="F51" s="911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8"/>
      <c r="L51" s="818"/>
      <c r="O51" s="845"/>
    </row>
    <row r="52" spans="1:15" ht="20.100000000000001" customHeight="1">
      <c r="A52" s="836" t="s">
        <v>178</v>
      </c>
      <c r="B52" s="914"/>
      <c r="C52" s="914"/>
      <c r="D52" s="838" t="s">
        <v>131</v>
      </c>
      <c r="E52" s="839">
        <f>'25'!F52</f>
        <v>539606.06999999995</v>
      </c>
      <c r="F52" s="911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8"/>
      <c r="L52" s="818"/>
      <c r="O52" s="845"/>
    </row>
    <row r="53" spans="1:15" ht="20.100000000000001" customHeight="1">
      <c r="A53" s="836" t="s">
        <v>167</v>
      </c>
      <c r="B53" s="914"/>
      <c r="C53" s="914"/>
      <c r="D53" s="838" t="s">
        <v>131</v>
      </c>
      <c r="E53" s="839">
        <f>'25'!F53</f>
        <v>434232</v>
      </c>
      <c r="F53" s="911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8"/>
      <c r="L53" s="818"/>
      <c r="O53" s="845"/>
    </row>
    <row r="54" spans="1:15" ht="20.100000000000001" customHeight="1">
      <c r="A54" s="836" t="s">
        <v>179</v>
      </c>
      <c r="B54" s="914"/>
      <c r="C54" s="914"/>
      <c r="D54" s="838" t="s">
        <v>131</v>
      </c>
      <c r="E54" s="839">
        <f>'25'!F54</f>
        <v>14967</v>
      </c>
      <c r="F54" s="911">
        <v>14967</v>
      </c>
      <c r="G54" s="840">
        <f t="shared" si="4"/>
        <v>0</v>
      </c>
      <c r="H54" s="841">
        <f>G54+'25'!H54</f>
        <v>0</v>
      </c>
      <c r="I54" s="839"/>
      <c r="J54" s="843">
        <f>H54/DAY(B2)</f>
        <v>0</v>
      </c>
      <c r="K54" s="858"/>
      <c r="L54" s="818"/>
      <c r="O54" s="845"/>
    </row>
    <row r="55" spans="1:15" ht="20.100000000000001" customHeight="1">
      <c r="A55" s="836" t="s">
        <v>180</v>
      </c>
      <c r="B55" s="914"/>
      <c r="C55" s="914"/>
      <c r="D55" s="838" t="s">
        <v>131</v>
      </c>
      <c r="E55" s="839">
        <f>'25'!F55</f>
        <v>105727</v>
      </c>
      <c r="F55" s="911">
        <v>109786</v>
      </c>
      <c r="G55" s="840">
        <f t="shared" si="4"/>
        <v>4059</v>
      </c>
      <c r="H55" s="841">
        <f>G55+'25'!H55</f>
        <v>-13424</v>
      </c>
      <c r="I55" s="839"/>
      <c r="J55" s="843">
        <f>H55/DAY(B2)</f>
        <v>-516.30769230769226</v>
      </c>
      <c r="K55" s="858"/>
      <c r="L55" s="818"/>
      <c r="O55" s="845"/>
    </row>
    <row r="56" spans="1:15" ht="20.100000000000001" customHeight="1">
      <c r="A56" s="836" t="s">
        <v>181</v>
      </c>
      <c r="B56" s="914"/>
      <c r="C56" s="914"/>
      <c r="D56" s="838" t="s">
        <v>182</v>
      </c>
      <c r="E56" s="839">
        <f>'25'!F56</f>
        <v>648960</v>
      </c>
      <c r="F56" s="911">
        <v>648960</v>
      </c>
      <c r="G56" s="840">
        <f t="shared" si="4"/>
        <v>0</v>
      </c>
      <c r="H56" s="841">
        <f>G56+'25'!H56</f>
        <v>-82</v>
      </c>
      <c r="I56" s="839"/>
      <c r="J56" s="843">
        <f>H56/DAY(B2)</f>
        <v>-3.1538461538461537</v>
      </c>
      <c r="K56" s="835"/>
      <c r="L56" s="818"/>
      <c r="O56" s="845"/>
    </row>
    <row r="57" spans="1:15" ht="20.100000000000001" customHeight="1">
      <c r="A57" s="836" t="s">
        <v>171</v>
      </c>
      <c r="B57" s="914"/>
      <c r="C57" s="914"/>
      <c r="D57" s="838" t="s">
        <v>131</v>
      </c>
      <c r="E57" s="839">
        <f>'25'!F57</f>
        <v>7711</v>
      </c>
      <c r="F57" s="911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8"/>
      <c r="L57" s="818"/>
      <c r="O57" s="845"/>
    </row>
    <row r="58" spans="1:15" ht="20.100000000000001" customHeight="1">
      <c r="A58" s="836" t="s">
        <v>183</v>
      </c>
      <c r="B58" s="914"/>
      <c r="C58" s="914"/>
      <c r="D58" s="838" t="s">
        <v>131</v>
      </c>
      <c r="E58" s="839">
        <f>'25'!F58</f>
        <v>53197</v>
      </c>
      <c r="F58" s="911">
        <v>53449</v>
      </c>
      <c r="G58" s="840">
        <f t="shared" si="4"/>
        <v>252</v>
      </c>
      <c r="H58" s="841">
        <f>G58+'25'!H58</f>
        <v>-731</v>
      </c>
      <c r="I58" s="839"/>
      <c r="J58" s="843">
        <f>H58/DAY(B2)</f>
        <v>-28.115384615384617</v>
      </c>
      <c r="K58" s="858"/>
      <c r="L58" s="818"/>
      <c r="O58" s="845"/>
    </row>
    <row r="59" spans="1:15" ht="20.100000000000001" customHeight="1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5443.8699999999953</v>
      </c>
      <c r="H59" s="841">
        <f>G59+'25'!H59</f>
        <v>-19555.390000000069</v>
      </c>
      <c r="I59" s="839">
        <f>G7-G60</f>
        <v>-1047.8699999999953</v>
      </c>
      <c r="J59" s="843">
        <f>H59/DAY(B2)</f>
        <v>-752.13038461538724</v>
      </c>
      <c r="K59" s="858"/>
      <c r="L59" s="818"/>
      <c r="O59" s="845"/>
    </row>
    <row r="60" spans="1:15" ht="20.100000000000001" customHeight="1">
      <c r="A60" s="836"/>
      <c r="B60" s="837"/>
      <c r="C60" s="837"/>
      <c r="D60" s="825" t="s">
        <v>184</v>
      </c>
      <c r="E60" s="825"/>
      <c r="F60" s="825"/>
      <c r="G60" s="862">
        <f>G47+G59</f>
        <v>22547.869999999995</v>
      </c>
      <c r="H60" s="841">
        <f>G60+'25'!H60</f>
        <v>-81403.950000000099</v>
      </c>
      <c r="I60" s="839">
        <f>G13-G60</f>
        <v>-626.86999999999534</v>
      </c>
      <c r="J60" s="843">
        <f>H60/DAY(B2)</f>
        <v>-3130.9211538461577</v>
      </c>
      <c r="K60" s="858"/>
      <c r="L60" s="818"/>
      <c r="O60" s="845"/>
    </row>
    <row r="61" spans="1:15" ht="20.100000000000001" customHeight="1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 ht="20.100000000000001" customHeight="1">
      <c r="A62" s="919" t="s">
        <v>97</v>
      </c>
      <c r="B62" s="920"/>
      <c r="C62" s="920"/>
      <c r="D62" s="825" t="s">
        <v>186</v>
      </c>
      <c r="E62" s="839">
        <f>'25'!F62</f>
        <v>20419</v>
      </c>
      <c r="F62" s="921">
        <v>20419</v>
      </c>
      <c r="G62" s="840">
        <f t="shared" ref="G62:G69" si="5">F62-E62</f>
        <v>0</v>
      </c>
      <c r="H62" s="841">
        <f>G62+'25'!H62</f>
        <v>1.9999999967694748E-3</v>
      </c>
      <c r="I62" s="922"/>
      <c r="J62" s="843">
        <f>H62/DAY(B2)</f>
        <v>7.6923076798825961E-5</v>
      </c>
      <c r="K62" s="858"/>
      <c r="L62" s="818"/>
      <c r="O62" s="845"/>
    </row>
    <row r="63" spans="1:15" ht="20.100000000000001" customHeight="1">
      <c r="A63" s="919" t="s">
        <v>187</v>
      </c>
      <c r="B63" s="920"/>
      <c r="C63" s="920"/>
      <c r="D63" s="825" t="s">
        <v>186</v>
      </c>
      <c r="E63" s="839">
        <f>'25'!F63</f>
        <v>0</v>
      </c>
      <c r="F63" s="921">
        <v>0</v>
      </c>
      <c r="G63" s="840">
        <f t="shared" si="5"/>
        <v>0</v>
      </c>
      <c r="H63" s="841">
        <f>G63+'25'!H63</f>
        <v>0</v>
      </c>
      <c r="I63" s="922"/>
      <c r="J63" s="843">
        <f>H63/DAY(B2)</f>
        <v>0</v>
      </c>
      <c r="K63" s="858"/>
      <c r="L63" s="818"/>
      <c r="O63" s="845"/>
    </row>
    <row r="64" spans="1:15" ht="20.100000000000001" customHeight="1">
      <c r="A64" s="1656" t="s">
        <v>98</v>
      </c>
      <c r="B64" s="1657"/>
      <c r="C64" s="1658"/>
      <c r="D64" s="838" t="s">
        <v>186</v>
      </c>
      <c r="E64" s="839">
        <f>'25'!F64</f>
        <v>168211</v>
      </c>
      <c r="F64" s="868">
        <v>168532</v>
      </c>
      <c r="G64" s="840">
        <f t="shared" si="5"/>
        <v>321</v>
      </c>
      <c r="H64" s="841">
        <f>G64+'25'!H64</f>
        <v>-1490</v>
      </c>
      <c r="I64" s="859"/>
      <c r="J64" s="843">
        <f>H64/DAY(B2)</f>
        <v>-57.307692307692307</v>
      </c>
      <c r="K64" s="858"/>
      <c r="L64" s="818"/>
      <c r="O64" s="845"/>
    </row>
    <row r="65" spans="1:15" ht="20.100000000000001" customHeight="1">
      <c r="A65" s="1656" t="s">
        <v>99</v>
      </c>
      <c r="B65" s="1657"/>
      <c r="C65" s="1658"/>
      <c r="D65" s="838" t="s">
        <v>186</v>
      </c>
      <c r="E65" s="839">
        <f>'25'!F65</f>
        <v>168247</v>
      </c>
      <c r="F65" s="868">
        <v>168685</v>
      </c>
      <c r="G65" s="840">
        <f t="shared" si="5"/>
        <v>438</v>
      </c>
      <c r="H65" s="841">
        <f>G65+'25'!H65</f>
        <v>-1617</v>
      </c>
      <c r="I65" s="877"/>
      <c r="J65" s="843">
        <f>H65/DAY(B2)</f>
        <v>-62.192307692307693</v>
      </c>
      <c r="K65" s="858"/>
      <c r="L65" s="818"/>
      <c r="O65" s="845"/>
    </row>
    <row r="66" spans="1:15" ht="20.100000000000001" customHeight="1">
      <c r="A66" s="1656" t="s">
        <v>100</v>
      </c>
      <c r="B66" s="1657"/>
      <c r="C66" s="1658"/>
      <c r="D66" s="838" t="s">
        <v>186</v>
      </c>
      <c r="E66" s="839">
        <f>'25'!F66</f>
        <v>65832</v>
      </c>
      <c r="F66" s="868">
        <v>66280</v>
      </c>
      <c r="G66" s="840">
        <f t="shared" si="5"/>
        <v>448</v>
      </c>
      <c r="H66" s="841">
        <f>G66+'25'!H66</f>
        <v>-1690</v>
      </c>
      <c r="I66" s="859"/>
      <c r="J66" s="843">
        <f>H66/DAY(B2)</f>
        <v>-65</v>
      </c>
      <c r="K66" s="858"/>
      <c r="L66" s="818"/>
      <c r="O66" s="845"/>
    </row>
    <row r="67" spans="1:15" ht="20.100000000000001" customHeight="1">
      <c r="A67" s="1656" t="s">
        <v>101</v>
      </c>
      <c r="B67" s="1657"/>
      <c r="C67" s="1658"/>
      <c r="D67" s="838" t="s">
        <v>186</v>
      </c>
      <c r="E67" s="839">
        <f>'25'!F67</f>
        <v>262704</v>
      </c>
      <c r="F67" s="868">
        <v>263178</v>
      </c>
      <c r="G67" s="840">
        <f t="shared" si="5"/>
        <v>474</v>
      </c>
      <c r="H67" s="841">
        <f>G67+'25'!H67</f>
        <v>-1781</v>
      </c>
      <c r="I67" s="877"/>
      <c r="J67" s="843">
        <f>H67/DAY(B2)</f>
        <v>-68.5</v>
      </c>
      <c r="K67" s="865"/>
      <c r="L67" s="818"/>
      <c r="O67" s="845"/>
    </row>
    <row r="68" spans="1:15" ht="20.100000000000001" customHeight="1">
      <c r="A68" s="1656" t="s">
        <v>102</v>
      </c>
      <c r="B68" s="1657"/>
      <c r="C68" s="1658"/>
      <c r="D68" s="838" t="s">
        <v>186</v>
      </c>
      <c r="E68" s="839">
        <f>'25'!F68</f>
        <v>85321</v>
      </c>
      <c r="F68" s="868">
        <v>85321</v>
      </c>
      <c r="G68" s="840">
        <f t="shared" si="5"/>
        <v>0</v>
      </c>
      <c r="H68" s="841">
        <f>G68+'25'!H68</f>
        <v>0</v>
      </c>
      <c r="I68" s="923"/>
      <c r="J68" s="843">
        <f>H68/DAY(B2)</f>
        <v>0</v>
      </c>
      <c r="K68" s="924"/>
      <c r="L68" s="818"/>
      <c r="O68" s="845"/>
    </row>
    <row r="69" spans="1:15" ht="20.100000000000001" customHeight="1">
      <c r="A69" s="1656" t="s">
        <v>103</v>
      </c>
      <c r="B69" s="1657"/>
      <c r="C69" s="1658"/>
      <c r="D69" s="838" t="s">
        <v>186</v>
      </c>
      <c r="E69" s="839">
        <f>'25'!F69</f>
        <v>86292</v>
      </c>
      <c r="F69" s="868">
        <v>86501</v>
      </c>
      <c r="G69" s="840">
        <f t="shared" si="5"/>
        <v>209</v>
      </c>
      <c r="H69" s="841">
        <f>G69+'25'!H69</f>
        <v>-1014</v>
      </c>
      <c r="I69" s="923"/>
      <c r="J69" s="843">
        <f>H69/DAY(B2)</f>
        <v>-39</v>
      </c>
      <c r="K69" s="925"/>
      <c r="L69" s="818"/>
      <c r="O69" s="845"/>
    </row>
    <row r="70" spans="1:15" ht="20.100000000000001" customHeight="1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0.100000000000001" customHeight="1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 ht="20.100000000000001" customHeight="1">
      <c r="A72" s="1656" t="s">
        <v>190</v>
      </c>
      <c r="B72" s="1657"/>
      <c r="C72" s="1658"/>
      <c r="D72" s="838" t="s">
        <v>186</v>
      </c>
      <c r="E72" s="839">
        <f>'25'!F72</f>
        <v>856169</v>
      </c>
      <c r="F72" s="929">
        <v>856180</v>
      </c>
      <c r="G72" s="840">
        <f t="shared" ref="G72:G84" si="6">F72-E72</f>
        <v>11</v>
      </c>
      <c r="H72" s="841">
        <f>G72+'25'!H72</f>
        <v>-55</v>
      </c>
      <c r="I72" s="859"/>
      <c r="J72" s="843">
        <f>H72/DAY(B2)</f>
        <v>-2.1153846153846154</v>
      </c>
      <c r="K72" s="925"/>
      <c r="L72" s="818"/>
      <c r="O72" s="845"/>
    </row>
    <row r="73" spans="1:15" ht="20.100000000000001" customHeight="1">
      <c r="A73" s="1656" t="s">
        <v>191</v>
      </c>
      <c r="B73" s="1657"/>
      <c r="C73" s="1658"/>
      <c r="D73" s="838" t="s">
        <v>186</v>
      </c>
      <c r="E73" s="839">
        <f>'25'!F73</f>
        <v>885966</v>
      </c>
      <c r="F73" s="929">
        <v>885967</v>
      </c>
      <c r="G73" s="840">
        <f t="shared" si="6"/>
        <v>1</v>
      </c>
      <c r="H73" s="841">
        <f>G73+'25'!H73</f>
        <v>133</v>
      </c>
      <c r="I73" s="859"/>
      <c r="J73" s="843">
        <f>H73/DAY(B2)</f>
        <v>5.115384615384615</v>
      </c>
      <c r="K73" s="924"/>
      <c r="L73" s="818"/>
      <c r="O73" s="845"/>
    </row>
    <row r="74" spans="1:15" ht="20.100000000000001" customHeight="1">
      <c r="A74" s="1656" t="s">
        <v>192</v>
      </c>
      <c r="B74" s="1657"/>
      <c r="C74" s="1658"/>
      <c r="D74" s="838" t="s">
        <v>186</v>
      </c>
      <c r="E74" s="839">
        <f>'25'!F74</f>
        <v>88689</v>
      </c>
      <c r="F74" s="931">
        <v>88689</v>
      </c>
      <c r="G74" s="840">
        <f t="shared" si="6"/>
        <v>0</v>
      </c>
      <c r="H74" s="841">
        <f>G74+'25'!H74</f>
        <v>27</v>
      </c>
      <c r="I74" s="859"/>
      <c r="J74" s="843">
        <f>H74/DAY(B2)</f>
        <v>1.0384615384615385</v>
      </c>
      <c r="K74" s="925"/>
      <c r="L74" s="818"/>
      <c r="O74" s="845"/>
    </row>
    <row r="75" spans="1:15" ht="20.100000000000001" customHeight="1">
      <c r="A75" s="1659" t="s">
        <v>193</v>
      </c>
      <c r="B75" s="1660"/>
      <c r="C75" s="1661"/>
      <c r="D75" s="838" t="s">
        <v>186</v>
      </c>
      <c r="E75" s="839">
        <f>'25'!F75</f>
        <v>15352</v>
      </c>
      <c r="F75" s="931">
        <v>15537</v>
      </c>
      <c r="G75" s="840">
        <f t="shared" si="6"/>
        <v>185</v>
      </c>
      <c r="H75" s="841">
        <f>G75+'25'!H75</f>
        <v>-534</v>
      </c>
      <c r="I75" s="859"/>
      <c r="J75" s="843">
        <f>H75/DAY(B2)</f>
        <v>-20.53846153846154</v>
      </c>
      <c r="K75" s="924"/>
      <c r="L75" s="818"/>
      <c r="O75" s="845"/>
    </row>
    <row r="76" spans="1:15" ht="20.100000000000001" customHeight="1">
      <c r="A76" s="1659" t="s">
        <v>194</v>
      </c>
      <c r="B76" s="1660"/>
      <c r="C76" s="1661"/>
      <c r="D76" s="838" t="s">
        <v>186</v>
      </c>
      <c r="E76" s="839">
        <f>'25'!F76</f>
        <v>8947</v>
      </c>
      <c r="F76" s="930">
        <v>9028</v>
      </c>
      <c r="G76" s="840">
        <f t="shared" si="6"/>
        <v>81</v>
      </c>
      <c r="H76" s="841">
        <f>G76+'25'!H76</f>
        <v>809</v>
      </c>
      <c r="I76" s="902"/>
      <c r="J76" s="843">
        <f>H76/DAY(B2)</f>
        <v>31.115384615384617</v>
      </c>
      <c r="K76" s="924"/>
      <c r="L76" s="818"/>
      <c r="O76" s="845"/>
    </row>
    <row r="77" spans="1:15" ht="20.100000000000001" customHeight="1">
      <c r="A77" s="1656" t="s">
        <v>195</v>
      </c>
      <c r="B77" s="1657"/>
      <c r="C77" s="1658"/>
      <c r="D77" s="838" t="s">
        <v>186</v>
      </c>
      <c r="E77" s="839">
        <f>'25'!F77</f>
        <v>704088</v>
      </c>
      <c r="F77" s="929">
        <v>704148</v>
      </c>
      <c r="G77" s="840">
        <f t="shared" si="6"/>
        <v>60</v>
      </c>
      <c r="H77" s="841">
        <f>G77+'25'!H77</f>
        <v>-226</v>
      </c>
      <c r="I77" s="902"/>
      <c r="J77" s="843">
        <f>H77/DAY(B2)</f>
        <v>-8.6923076923076916</v>
      </c>
      <c r="K77" s="924"/>
      <c r="L77" s="818"/>
      <c r="O77" s="845"/>
    </row>
    <row r="78" spans="1:15" ht="18.75" customHeight="1">
      <c r="A78" s="932" t="s">
        <v>196</v>
      </c>
      <c r="B78" s="1135"/>
      <c r="C78" s="1135"/>
      <c r="D78" s="838" t="s">
        <v>186</v>
      </c>
      <c r="E78" s="839">
        <f>'25'!F78</f>
        <v>674898</v>
      </c>
      <c r="F78" s="929">
        <v>675015</v>
      </c>
      <c r="G78" s="840">
        <f t="shared" si="6"/>
        <v>117</v>
      </c>
      <c r="H78" s="841">
        <f>G78+'25'!H78</f>
        <v>-399</v>
      </c>
      <c r="I78" s="902"/>
      <c r="J78" s="843">
        <f>H78/DAY(B2)</f>
        <v>-15.346153846153847</v>
      </c>
      <c r="K78" s="924"/>
      <c r="L78" s="818"/>
      <c r="O78" s="845"/>
    </row>
    <row r="79" spans="1:15" ht="20.100000000000001" customHeight="1">
      <c r="A79" s="1659" t="s">
        <v>91</v>
      </c>
      <c r="B79" s="1660"/>
      <c r="C79" s="1661"/>
      <c r="D79" s="871" t="s">
        <v>186</v>
      </c>
      <c r="E79" s="839">
        <f>'25'!F79</f>
        <v>834684</v>
      </c>
      <c r="F79" s="931">
        <v>834834</v>
      </c>
      <c r="G79" s="840">
        <f t="shared" si="6"/>
        <v>150</v>
      </c>
      <c r="H79" s="841">
        <f>G79+'25'!H79</f>
        <v>-1320</v>
      </c>
      <c r="I79" s="902"/>
      <c r="J79" s="843">
        <f>H79/DAY(B2)</f>
        <v>-50.769230769230766</v>
      </c>
      <c r="K79" s="924"/>
      <c r="L79" s="818"/>
      <c r="O79" s="845"/>
    </row>
    <row r="80" spans="1:15" ht="20.100000000000001" customHeight="1">
      <c r="A80" s="1659" t="s">
        <v>197</v>
      </c>
      <c r="B80" s="1660"/>
      <c r="C80" s="1661"/>
      <c r="D80" s="871" t="s">
        <v>186</v>
      </c>
      <c r="E80" s="839">
        <f>'25'!F80</f>
        <v>537015</v>
      </c>
      <c r="F80" s="929">
        <v>537443</v>
      </c>
      <c r="G80" s="840">
        <f t="shared" si="6"/>
        <v>428</v>
      </c>
      <c r="H80" s="841">
        <f>G80+'25'!H80</f>
        <v>-4948</v>
      </c>
      <c r="I80" s="902"/>
      <c r="J80" s="843">
        <f>H80/DAY(B2)</f>
        <v>-190.30769230769232</v>
      </c>
      <c r="K80" s="924"/>
      <c r="L80" s="818"/>
      <c r="O80" s="845"/>
    </row>
    <row r="81" spans="1:15" ht="20.100000000000001" customHeight="1">
      <c r="A81" s="1659" t="s">
        <v>198</v>
      </c>
      <c r="B81" s="1660"/>
      <c r="C81" s="1661"/>
      <c r="D81" s="871" t="s">
        <v>186</v>
      </c>
      <c r="E81" s="839">
        <f>'25'!F81</f>
        <v>642289</v>
      </c>
      <c r="F81" s="930">
        <v>642446</v>
      </c>
      <c r="G81" s="840">
        <f t="shared" si="6"/>
        <v>157</v>
      </c>
      <c r="H81" s="841">
        <f>G81+'25'!H81</f>
        <v>-539</v>
      </c>
      <c r="I81" s="902"/>
      <c r="J81" s="843">
        <f>H81/DAY(B2)</f>
        <v>-20.73076923076923</v>
      </c>
      <c r="K81" s="924"/>
      <c r="L81" s="818"/>
      <c r="O81" s="845"/>
    </row>
    <row r="82" spans="1:15" ht="20.100000000000001" customHeight="1">
      <c r="A82" s="1659" t="s">
        <v>92</v>
      </c>
      <c r="B82" s="1660"/>
      <c r="C82" s="1661"/>
      <c r="D82" s="872" t="s">
        <v>131</v>
      </c>
      <c r="E82" s="839">
        <f>'25'!F82</f>
        <v>108594</v>
      </c>
      <c r="F82" s="933">
        <v>108608</v>
      </c>
      <c r="G82" s="840">
        <f t="shared" si="6"/>
        <v>14</v>
      </c>
      <c r="H82" s="841">
        <f>G82+'25'!H82</f>
        <v>-73</v>
      </c>
      <c r="I82" s="873"/>
      <c r="J82" s="843">
        <f>H82/DAY(B2)</f>
        <v>-2.8076923076923075</v>
      </c>
      <c r="K82" s="924"/>
      <c r="L82" s="818"/>
      <c r="O82" s="845"/>
    </row>
    <row r="83" spans="1:15" ht="20.100000000000001" customHeight="1">
      <c r="A83" s="1659" t="s">
        <v>199</v>
      </c>
      <c r="B83" s="1660"/>
      <c r="C83" s="1661"/>
      <c r="D83" s="934" t="s">
        <v>131</v>
      </c>
      <c r="E83" s="839">
        <f>'25'!F83</f>
        <v>25943</v>
      </c>
      <c r="F83" s="825">
        <v>26315</v>
      </c>
      <c r="G83" s="840">
        <f t="shared" si="6"/>
        <v>372</v>
      </c>
      <c r="H83" s="841">
        <f>G83+'25'!H83</f>
        <v>-1236</v>
      </c>
      <c r="I83" s="862"/>
      <c r="J83" s="843">
        <f>H83/DAY(B2)</f>
        <v>-47.53846153846154</v>
      </c>
      <c r="K83" s="865"/>
      <c r="L83" s="818"/>
      <c r="O83" s="845"/>
    </row>
    <row r="84" spans="1:15" ht="20.100000000000001" customHeight="1">
      <c r="A84" s="935" t="s">
        <v>200</v>
      </c>
      <c r="B84" s="936"/>
      <c r="C84" s="936"/>
      <c r="D84" s="856" t="s">
        <v>131</v>
      </c>
      <c r="E84" s="839">
        <f>'25'!F84</f>
        <v>518881</v>
      </c>
      <c r="F84" s="937">
        <v>519753</v>
      </c>
      <c r="G84" s="840">
        <f t="shared" si="6"/>
        <v>872</v>
      </c>
      <c r="H84" s="841">
        <f>G84+'25'!H84</f>
        <v>-3327</v>
      </c>
      <c r="I84" s="862"/>
      <c r="J84" s="843">
        <f>H84/DAY(B2)</f>
        <v>-127.96153846153847</v>
      </c>
      <c r="K84" s="938"/>
      <c r="L84" s="818"/>
      <c r="O84" s="845"/>
    </row>
    <row r="85" spans="1:15" s="942" customFormat="1" ht="20.100000000000001" customHeight="1">
      <c r="A85" s="939" t="s">
        <v>201</v>
      </c>
      <c r="B85" s="940"/>
      <c r="C85" s="940"/>
      <c r="D85" s="877"/>
      <c r="E85" s="839">
        <f>'25'!F85</f>
        <v>0</v>
      </c>
      <c r="F85" s="838"/>
      <c r="G85" s="841">
        <f xml:space="preserve"> SUM(G72:G84)</f>
        <v>2448</v>
      </c>
      <c r="H85" s="841">
        <f>G85+'25'!H85</f>
        <v>-8814.0000000000073</v>
      </c>
      <c r="I85" s="862"/>
      <c r="J85" s="843">
        <f>H85/DAY(B2)</f>
        <v>-339.00000000000028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'25'!F86</f>
        <v>461639</v>
      </c>
      <c r="F86" s="946">
        <v>461666</v>
      </c>
      <c r="G86" s="947">
        <f t="shared" ref="G86:G91" si="7">F86-E86</f>
        <v>27</v>
      </c>
      <c r="H86" s="947">
        <f t="shared" ref="H86:H88" si="8">G86</f>
        <v>27</v>
      </c>
      <c r="I86" s="948"/>
      <c r="J86" s="949">
        <f>H86/DAY(B2)</f>
        <v>1.0384615384615385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'25'!F87</f>
        <v>81950</v>
      </c>
      <c r="F87" s="1280">
        <v>81967</v>
      </c>
      <c r="G87" s="947">
        <f t="shared" si="7"/>
        <v>17</v>
      </c>
      <c r="H87" s="947">
        <f t="shared" si="8"/>
        <v>17</v>
      </c>
      <c r="I87" s="948"/>
      <c r="J87" s="949">
        <f>H87/DAY(B2)</f>
        <v>0.65384615384615385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'25'!F88</f>
        <v>154823</v>
      </c>
      <c r="F88" s="946">
        <v>154949</v>
      </c>
      <c r="G88" s="947">
        <f t="shared" si="7"/>
        <v>126</v>
      </c>
      <c r="H88" s="947">
        <f t="shared" si="8"/>
        <v>126</v>
      </c>
      <c r="I88" s="948"/>
      <c r="J88" s="949">
        <f>H88/DAY(B2)</f>
        <v>4.8461538461538458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'25'!F89</f>
        <v>65732</v>
      </c>
      <c r="F89" s="946">
        <v>65748</v>
      </c>
      <c r="G89" s="947">
        <f t="shared" si="7"/>
        <v>16</v>
      </c>
      <c r="H89" s="947">
        <f>G89</f>
        <v>16</v>
      </c>
      <c r="I89" s="948"/>
      <c r="J89" s="949">
        <f>H89/DAY(B2)</f>
        <v>0.61538461538461542</v>
      </c>
      <c r="K89" s="950"/>
      <c r="L89" s="951"/>
      <c r="N89" s="1016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'25'!F90</f>
        <v>3332</v>
      </c>
      <c r="F90" s="946">
        <v>3333</v>
      </c>
      <c r="G90" s="947">
        <f t="shared" si="7"/>
        <v>1</v>
      </c>
      <c r="H90" s="947">
        <f>G90</f>
        <v>1</v>
      </c>
      <c r="I90" s="948"/>
      <c r="J90" s="949">
        <f>H90/DAY(B2)</f>
        <v>3.8461538461538464E-2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/>
      <c r="E91" s="839">
        <f>'25'!F91</f>
        <v>28212</v>
      </c>
      <c r="F91" s="946">
        <v>28215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942" customFormat="1" ht="20.100000000000001" customHeigh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 ht="20.100000000000001" customHeight="1">
      <c r="A93" s="1650" t="s">
        <v>205</v>
      </c>
      <c r="B93" s="1651"/>
      <c r="C93" s="1652"/>
      <c r="D93" s="838" t="s">
        <v>143</v>
      </c>
      <c r="E93" s="839">
        <f>'25'!F93</f>
        <v>246939</v>
      </c>
      <c r="F93" s="868">
        <v>247056</v>
      </c>
      <c r="G93" s="840">
        <f t="shared" ref="G93:G94" si="9">F93-E93</f>
        <v>117</v>
      </c>
      <c r="H93" s="841">
        <f>G93+'25'!H93</f>
        <v>-296</v>
      </c>
      <c r="I93" s="859"/>
      <c r="J93" s="843">
        <f>H93/DAY(B2)</f>
        <v>-11.384615384615385</v>
      </c>
      <c r="K93" s="865"/>
      <c r="L93" s="818"/>
      <c r="O93" s="845"/>
    </row>
    <row r="94" spans="1:15" ht="20.100000000000001" customHeight="1">
      <c r="A94" s="1650" t="s">
        <v>206</v>
      </c>
      <c r="B94" s="1651"/>
      <c r="C94" s="1652"/>
      <c r="D94" s="838" t="s">
        <v>143</v>
      </c>
      <c r="E94" s="839">
        <f>'25'!F94</f>
        <v>188895</v>
      </c>
      <c r="F94" s="868">
        <v>189022</v>
      </c>
      <c r="G94" s="840">
        <f t="shared" si="9"/>
        <v>127</v>
      </c>
      <c r="H94" s="841">
        <f>G94+'25'!H94</f>
        <v>-432</v>
      </c>
      <c r="I94" s="859"/>
      <c r="J94" s="843">
        <f>H94/DAY(B2)</f>
        <v>-16.615384615384617</v>
      </c>
      <c r="K94" s="938"/>
      <c r="L94" s="818"/>
      <c r="O94" s="845"/>
    </row>
    <row r="95" spans="1:15" ht="20.100000000000001" customHeight="1">
      <c r="A95" s="1642" t="s">
        <v>207</v>
      </c>
      <c r="B95" s="1643"/>
      <c r="C95" s="1644"/>
      <c r="D95" s="838"/>
      <c r="E95" s="839">
        <f>'25'!F95</f>
        <v>0</v>
      </c>
      <c r="F95" s="868"/>
      <c r="G95" s="840">
        <f>G93+G94</f>
        <v>244</v>
      </c>
      <c r="H95" s="841">
        <f>G95+'25'!H95</f>
        <v>-914</v>
      </c>
      <c r="I95" s="859"/>
      <c r="J95" s="843">
        <f>H95/DAY(B2)</f>
        <v>-35.153846153846153</v>
      </c>
      <c r="K95" s="938"/>
      <c r="L95" s="818"/>
      <c r="O95" s="845"/>
    </row>
    <row r="96" spans="1:15" ht="20.100000000000001" customHeight="1">
      <c r="A96" s="1650" t="s">
        <v>208</v>
      </c>
      <c r="B96" s="1651"/>
      <c r="C96" s="1652"/>
      <c r="D96" s="838" t="s">
        <v>143</v>
      </c>
      <c r="E96" s="839">
        <f>'25'!F96</f>
        <v>415676</v>
      </c>
      <c r="F96" s="868">
        <v>415755</v>
      </c>
      <c r="G96" s="840">
        <f t="shared" ref="G96:G101" si="10">F96-E96</f>
        <v>79</v>
      </c>
      <c r="H96" s="841">
        <f>G96+'25'!H96</f>
        <v>-244</v>
      </c>
      <c r="I96" s="859"/>
      <c r="J96" s="843">
        <f>H96/DAY(B2)</f>
        <v>-9.384615384615385</v>
      </c>
      <c r="K96" s="938"/>
      <c r="L96" s="818"/>
      <c r="O96" s="845"/>
    </row>
    <row r="97" spans="1:15" ht="20.100000000000001" customHeight="1">
      <c r="A97" s="866" t="s">
        <v>209</v>
      </c>
      <c r="B97" s="867"/>
      <c r="C97" s="867"/>
      <c r="D97" s="838" t="s">
        <v>143</v>
      </c>
      <c r="E97" s="839">
        <f>'25'!F97</f>
        <v>103050</v>
      </c>
      <c r="F97" s="868">
        <v>103079</v>
      </c>
      <c r="G97" s="840">
        <f t="shared" si="10"/>
        <v>29</v>
      </c>
      <c r="H97" s="841">
        <f>G97+'25'!H97</f>
        <v>-84</v>
      </c>
      <c r="I97" s="859"/>
      <c r="J97" s="843">
        <f>H97/DAY(B2)</f>
        <v>-3.2307692307692308</v>
      </c>
      <c r="K97" s="835"/>
      <c r="L97" s="818"/>
      <c r="O97" s="845"/>
    </row>
    <row r="98" spans="1:15" ht="20.100000000000001" customHeight="1">
      <c r="A98" s="866" t="s">
        <v>210</v>
      </c>
      <c r="B98" s="867"/>
      <c r="C98" s="867"/>
      <c r="D98" s="838" t="s">
        <v>143</v>
      </c>
      <c r="E98" s="839">
        <f>'25'!F98</f>
        <v>98531</v>
      </c>
      <c r="F98" s="868">
        <v>98565</v>
      </c>
      <c r="G98" s="840">
        <f t="shared" si="10"/>
        <v>34</v>
      </c>
      <c r="H98" s="841">
        <f>G98+'25'!H98</f>
        <v>-92</v>
      </c>
      <c r="I98" s="859"/>
      <c r="J98" s="843">
        <f>H98/DAY(B2)</f>
        <v>-3.5384615384615383</v>
      </c>
      <c r="K98" s="954"/>
      <c r="L98" s="818"/>
      <c r="O98" s="845"/>
    </row>
    <row r="99" spans="1:15" ht="20.100000000000001" customHeight="1">
      <c r="A99" s="866" t="s">
        <v>211</v>
      </c>
      <c r="B99" s="867"/>
      <c r="C99" s="867"/>
      <c r="D99" s="838" t="s">
        <v>143</v>
      </c>
      <c r="E99" s="839">
        <f>'25'!F99</f>
        <v>150214</v>
      </c>
      <c r="F99" s="868">
        <v>150277</v>
      </c>
      <c r="G99" s="840">
        <f t="shared" si="10"/>
        <v>63</v>
      </c>
      <c r="H99" s="841">
        <f>G99+'25'!H99</f>
        <v>-128</v>
      </c>
      <c r="I99" s="859"/>
      <c r="J99" s="843">
        <f>H99/DAY(B2)</f>
        <v>-4.9230769230769234</v>
      </c>
      <c r="K99" s="938"/>
      <c r="L99" s="818"/>
      <c r="O99" s="845"/>
    </row>
    <row r="100" spans="1:15" ht="20.100000000000001" customHeight="1">
      <c r="A100" s="866" t="s">
        <v>212</v>
      </c>
      <c r="B100" s="867"/>
      <c r="C100" s="867"/>
      <c r="D100" s="838" t="s">
        <v>143</v>
      </c>
      <c r="E100" s="839">
        <f>'25'!F100</f>
        <v>7687</v>
      </c>
      <c r="F100" s="868">
        <v>7714</v>
      </c>
      <c r="G100" s="840">
        <f t="shared" si="10"/>
        <v>27</v>
      </c>
      <c r="H100" s="841">
        <f>G100+'25'!H100</f>
        <v>-83</v>
      </c>
      <c r="I100" s="859"/>
      <c r="J100" s="843">
        <f>H100/DAY(B2)</f>
        <v>-3.1923076923076925</v>
      </c>
      <c r="K100" s="938"/>
      <c r="L100" s="818"/>
      <c r="O100" s="845"/>
    </row>
    <row r="101" spans="1:15" ht="20.100000000000001" customHeight="1">
      <c r="A101" s="866" t="s">
        <v>213</v>
      </c>
      <c r="B101" s="867"/>
      <c r="C101" s="867"/>
      <c r="D101" s="838" t="s">
        <v>143</v>
      </c>
      <c r="E101" s="839">
        <f>'25'!F101</f>
        <v>5604</v>
      </c>
      <c r="F101" s="868">
        <v>5616</v>
      </c>
      <c r="G101" s="840">
        <f t="shared" si="10"/>
        <v>12</v>
      </c>
      <c r="H101" s="841">
        <f>G101+'25'!H101</f>
        <v>-58</v>
      </c>
      <c r="I101" s="859"/>
      <c r="J101" s="843">
        <f>H101/DAY(B2)</f>
        <v>-2.2307692307692308</v>
      </c>
      <c r="K101" s="938"/>
      <c r="L101" s="818"/>
      <c r="O101" s="845"/>
    </row>
    <row r="102" spans="1:15" ht="20.100000000000001" customHeight="1">
      <c r="A102" s="1642" t="s">
        <v>215</v>
      </c>
      <c r="B102" s="1643"/>
      <c r="C102" s="1644"/>
      <c r="D102" s="871"/>
      <c r="E102" s="871"/>
      <c r="F102" s="871"/>
      <c r="G102" s="955">
        <f>SUM(G96:G101)</f>
        <v>244</v>
      </c>
      <c r="H102" s="841">
        <f>G102+'25'!H102</f>
        <v>-689</v>
      </c>
      <c r="I102" s="956"/>
      <c r="J102" s="843">
        <f>H102/DAY(B2)</f>
        <v>-26.5</v>
      </c>
      <c r="K102" s="938"/>
      <c r="L102" s="818"/>
      <c r="O102" s="845"/>
    </row>
    <row r="103" spans="1:15" s="889" customFormat="1" ht="25.5" customHeigh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 ht="21.75" customHeigh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 ht="21.75" customHeight="1">
      <c r="A105" s="1633" t="s">
        <v>218</v>
      </c>
      <c r="B105" s="1634"/>
      <c r="C105" s="971"/>
      <c r="D105" s="967" t="s">
        <v>143</v>
      </c>
      <c r="E105" s="968">
        <f>'25'!F105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2.6684615384615076</v>
      </c>
      <c r="N105" s="1007"/>
      <c r="O105" s="845"/>
    </row>
    <row r="106" spans="1:15" s="889" customFormat="1" ht="21.75" customHeight="1">
      <c r="A106" s="1633" t="s">
        <v>76</v>
      </c>
      <c r="B106" s="1634"/>
      <c r="C106" s="971"/>
      <c r="D106" s="967" t="s">
        <v>143</v>
      </c>
      <c r="E106" s="968">
        <f>'25'!F106</f>
        <v>36121</v>
      </c>
      <c r="F106" s="972">
        <v>36137</v>
      </c>
      <c r="G106" s="968">
        <f t="shared" ref="G106:G107" si="11">F106-E106</f>
        <v>16</v>
      </c>
      <c r="H106" s="969">
        <f>SUM(G106+'1'!G77)</f>
        <v>69</v>
      </c>
      <c r="I106" s="968"/>
      <c r="J106" s="970">
        <f>H106/DAY(B2)</f>
        <v>2.6538461538461537</v>
      </c>
      <c r="N106" s="1007"/>
      <c r="O106" s="845"/>
    </row>
    <row r="107" spans="1:15" s="889" customFormat="1" ht="21.75" customHeight="1">
      <c r="A107" s="1633" t="s">
        <v>77</v>
      </c>
      <c r="B107" s="1641"/>
      <c r="C107" s="1634"/>
      <c r="D107" s="967" t="s">
        <v>143</v>
      </c>
      <c r="E107" s="968">
        <f>'25'!F107</f>
        <v>19800</v>
      </c>
      <c r="F107" s="968">
        <v>19805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4.5769230769230766</v>
      </c>
      <c r="N107" s="1007"/>
      <c r="O107" s="845"/>
    </row>
    <row r="108" spans="1:15" s="889" customFormat="1" ht="21.75" customHeight="1">
      <c r="A108" s="1635" t="s">
        <v>201</v>
      </c>
      <c r="B108" s="1636"/>
      <c r="C108" s="971"/>
      <c r="D108" s="967"/>
      <c r="E108" s="968">
        <f>'25'!F108</f>
        <v>0</v>
      </c>
      <c r="F108" s="968"/>
      <c r="G108" s="968">
        <f>SUM(G105:G107)</f>
        <v>21</v>
      </c>
      <c r="H108" s="969">
        <f>SUM(G108+'1'!G79)</f>
        <v>174</v>
      </c>
      <c r="I108" s="968"/>
      <c r="J108" s="970">
        <f>H108/DAY(B2)</f>
        <v>6.6923076923076925</v>
      </c>
      <c r="N108" s="1007"/>
      <c r="O108" s="845"/>
    </row>
    <row r="109" spans="1:15" s="889" customFormat="1" ht="21.75" customHeight="1">
      <c r="A109" s="1631" t="s">
        <v>78</v>
      </c>
      <c r="B109" s="1632"/>
      <c r="C109" s="971"/>
      <c r="D109" s="967" t="s">
        <v>143</v>
      </c>
      <c r="E109" s="968">
        <f>'25'!F109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 ht="21.75" customHeight="1">
      <c r="A110" s="1633" t="s">
        <v>219</v>
      </c>
      <c r="B110" s="1634"/>
      <c r="C110" s="971"/>
      <c r="D110" s="967" t="s">
        <v>143</v>
      </c>
      <c r="E110" s="968">
        <f>'25'!F110</f>
        <v>64486</v>
      </c>
      <c r="F110" s="968">
        <v>64540</v>
      </c>
      <c r="G110" s="968">
        <f>F110-E110</f>
        <v>54</v>
      </c>
      <c r="H110" s="969">
        <f>SUM(G110+'1'!G81)</f>
        <v>185.64000000001397</v>
      </c>
      <c r="I110" s="968"/>
      <c r="J110" s="970">
        <f>H110/DAY(B2)</f>
        <v>7.140000000000537</v>
      </c>
      <c r="N110" s="1007"/>
      <c r="O110" s="845"/>
    </row>
    <row r="111" spans="1:15" s="889" customFormat="1" ht="21.75" customHeight="1">
      <c r="A111" s="1633" t="s">
        <v>220</v>
      </c>
      <c r="B111" s="1634"/>
      <c r="C111" s="971"/>
      <c r="D111" s="967" t="s">
        <v>143</v>
      </c>
      <c r="E111" s="968">
        <f>'25'!F111</f>
        <v>32925</v>
      </c>
      <c r="F111" s="968">
        <v>32996</v>
      </c>
      <c r="G111" s="968">
        <f t="shared" ref="G111:G112" si="12">F111-E111</f>
        <v>71</v>
      </c>
      <c r="H111" s="969">
        <f>SUM(G111+'1'!G82)</f>
        <v>95.899999999994179</v>
      </c>
      <c r="I111" s="968"/>
      <c r="J111" s="970">
        <f>H111/DAY(B2)</f>
        <v>3.6884615384613144</v>
      </c>
      <c r="N111" s="1007"/>
      <c r="O111" s="845"/>
    </row>
    <row r="112" spans="1:15" s="889" customFormat="1" ht="21.75" customHeight="1">
      <c r="A112" s="1633" t="s">
        <v>221</v>
      </c>
      <c r="B112" s="1634"/>
      <c r="C112" s="971"/>
      <c r="D112" s="967" t="s">
        <v>143</v>
      </c>
      <c r="E112" s="968">
        <f>'25'!F112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13.5</v>
      </c>
      <c r="N112" s="1007"/>
      <c r="O112" s="845"/>
    </row>
    <row r="113" spans="1:15" s="889" customFormat="1" ht="21.75" customHeight="1">
      <c r="A113" s="1637" t="s">
        <v>109</v>
      </c>
      <c r="B113" s="1638"/>
      <c r="C113" s="971"/>
      <c r="D113" s="967"/>
      <c r="E113" s="968">
        <f>'25'!F113</f>
        <v>0</v>
      </c>
      <c r="F113" s="968"/>
      <c r="G113" s="968">
        <f>SUM(G110:G112)</f>
        <v>125</v>
      </c>
      <c r="H113" s="969">
        <f>SUM(G113+'1'!G84)</f>
        <v>941</v>
      </c>
      <c r="I113" s="968"/>
      <c r="J113" s="970">
        <f>H113/DAY(B2)</f>
        <v>36.192307692307693</v>
      </c>
      <c r="N113" s="1007"/>
      <c r="O113" s="845"/>
    </row>
    <row r="114" spans="1:15" s="889" customFormat="1" ht="21.75" customHeight="1">
      <c r="A114" s="1631" t="s">
        <v>222</v>
      </c>
      <c r="B114" s="1632"/>
      <c r="C114" s="971"/>
      <c r="D114" s="967"/>
      <c r="E114" s="968">
        <f>'25'!F114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 ht="21.75" customHeight="1">
      <c r="A115" s="1633" t="s">
        <v>223</v>
      </c>
      <c r="B115" s="1634"/>
      <c r="C115" s="973"/>
      <c r="D115" s="967" t="s">
        <v>143</v>
      </c>
      <c r="E115" s="968">
        <f>'25'!F115</f>
        <v>11886</v>
      </c>
      <c r="F115" s="972">
        <v>11916</v>
      </c>
      <c r="G115" s="972">
        <f>F115-E115</f>
        <v>30</v>
      </c>
      <c r="H115" s="969">
        <f>SUM(G115+'1'!G92)</f>
        <v>30</v>
      </c>
      <c r="I115" s="968"/>
      <c r="J115" s="970">
        <f>H115/DAY(B2)</f>
        <v>1.1538461538461537</v>
      </c>
      <c r="N115" s="1007"/>
      <c r="O115" s="845"/>
    </row>
    <row r="116" spans="1:15" s="889" customFormat="1" ht="21.75" customHeight="1">
      <c r="A116" s="1633" t="s">
        <v>224</v>
      </c>
      <c r="B116" s="1634"/>
      <c r="C116" s="973"/>
      <c r="D116" s="967" t="s">
        <v>143</v>
      </c>
      <c r="E116" s="968">
        <f>'25'!F116</f>
        <v>8498</v>
      </c>
      <c r="F116" s="972">
        <v>8507</v>
      </c>
      <c r="G116" s="972">
        <f t="shared" ref="G116:G117" si="13">F116-E116</f>
        <v>9</v>
      </c>
      <c r="H116" s="969">
        <f>SUM(G116+'1'!G93)</f>
        <v>98</v>
      </c>
      <c r="I116" s="968"/>
      <c r="J116" s="970">
        <f>H116/DAY(B2)</f>
        <v>3.7692307692307692</v>
      </c>
      <c r="N116" s="1007"/>
      <c r="O116" s="845"/>
    </row>
    <row r="117" spans="1:15" s="889" customFormat="1" ht="21.75" customHeigh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3.7307692307692308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39</v>
      </c>
      <c r="H118" s="969">
        <f>SUM(G118+'1'!G96)</f>
        <v>125</v>
      </c>
      <c r="I118" s="972"/>
      <c r="J118" s="970">
        <f>H118/DAY(B2)</f>
        <v>4.8076923076923075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182</v>
      </c>
      <c r="H119" s="969">
        <f>SUM(G119+'1'!G97)</f>
        <v>199</v>
      </c>
      <c r="I119" s="978"/>
      <c r="J119" s="980">
        <f>H119/DAY(B2)</f>
        <v>7.6538461538461542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181</v>
      </c>
      <c r="H120" s="969">
        <f>SUM(G120+'1'!G99)</f>
        <v>231</v>
      </c>
      <c r="I120" s="978"/>
      <c r="J120" s="980">
        <f>H120/DAY(B2)</f>
        <v>8.884615384615385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125</v>
      </c>
      <c r="H121" s="969">
        <f>SUM(G121+'1'!G101)</f>
        <v>130</v>
      </c>
      <c r="I121" s="978"/>
      <c r="J121" s="980">
        <f>H121/DAY(B2)</f>
        <v>5</v>
      </c>
      <c r="N121" s="1013"/>
      <c r="O121" s="845"/>
    </row>
    <row r="122" spans="1:15" s="889" customFormat="1" ht="18.75" customHeigh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 ht="20.100000000000001" customHeight="1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 ht="22.5" customHeight="1">
      <c r="A124" s="866" t="s">
        <v>230</v>
      </c>
      <c r="B124" s="867"/>
      <c r="C124" s="867"/>
      <c r="D124" s="838" t="s">
        <v>140</v>
      </c>
      <c r="E124" s="839">
        <f>'25'!F124</f>
        <v>838262</v>
      </c>
      <c r="F124" s="856">
        <v>838568</v>
      </c>
      <c r="G124" s="840">
        <f t="shared" ref="G124:G128" si="14">F124-E124</f>
        <v>306</v>
      </c>
      <c r="H124" s="841">
        <f>G124+'25'!H124</f>
        <v>-1102</v>
      </c>
      <c r="I124" s="956"/>
      <c r="J124" s="843">
        <f>H124/DAY(B2)</f>
        <v>-42.384615384615387</v>
      </c>
      <c r="K124" s="938"/>
      <c r="L124" s="818"/>
      <c r="O124" s="845"/>
    </row>
    <row r="125" spans="1:15" ht="22.5" customHeight="1">
      <c r="A125" s="866" t="s">
        <v>231</v>
      </c>
      <c r="B125" s="867"/>
      <c r="C125" s="867"/>
      <c r="D125" s="838" t="s">
        <v>140</v>
      </c>
      <c r="E125" s="839">
        <f>'25'!F125</f>
        <v>73583</v>
      </c>
      <c r="F125" s="984">
        <v>73583.399999999994</v>
      </c>
      <c r="G125" s="840">
        <f t="shared" si="14"/>
        <v>0.39999999999417923</v>
      </c>
      <c r="H125" s="841">
        <f>G125+'25'!H125</f>
        <v>0</v>
      </c>
      <c r="I125" s="956"/>
      <c r="J125" s="843">
        <f>H125/DAY(B2)</f>
        <v>0</v>
      </c>
      <c r="K125" s="938"/>
      <c r="L125" s="818"/>
      <c r="O125" s="845"/>
    </row>
    <row r="126" spans="1:15" ht="22.5" customHeight="1">
      <c r="A126" s="1656" t="s">
        <v>232</v>
      </c>
      <c r="B126" s="1657"/>
      <c r="C126" s="1658"/>
      <c r="D126" s="838" t="s">
        <v>140</v>
      </c>
      <c r="E126" s="839">
        <f>'25'!F126</f>
        <v>148196</v>
      </c>
      <c r="F126" s="856">
        <v>148299</v>
      </c>
      <c r="G126" s="840">
        <f t="shared" si="14"/>
        <v>103</v>
      </c>
      <c r="H126" s="841">
        <f>G126+'25'!H126</f>
        <v>-298</v>
      </c>
      <c r="I126" s="956"/>
      <c r="J126" s="843">
        <f>H126/DAY(B2)</f>
        <v>-11.461538461538462</v>
      </c>
      <c r="K126" s="938"/>
      <c r="L126" s="818"/>
      <c r="O126" s="845"/>
    </row>
    <row r="127" spans="1:15" ht="20.100000000000001" customHeight="1">
      <c r="A127" s="985" t="s">
        <v>233</v>
      </c>
      <c r="B127" s="867"/>
      <c r="C127" s="867"/>
      <c r="D127" s="838" t="s">
        <v>140</v>
      </c>
      <c r="E127" s="839">
        <f>'25'!F127</f>
        <v>31902</v>
      </c>
      <c r="F127" s="984">
        <v>31939</v>
      </c>
      <c r="G127" s="840">
        <f t="shared" si="14"/>
        <v>37</v>
      </c>
      <c r="H127" s="841">
        <f>G127+'25'!H127</f>
        <v>-132</v>
      </c>
      <c r="I127" s="956"/>
      <c r="J127" s="843">
        <f>H127/DAY(B2)</f>
        <v>-5.0769230769230766</v>
      </c>
      <c r="K127" s="938"/>
      <c r="L127" s="818"/>
      <c r="O127" s="845"/>
    </row>
    <row r="128" spans="1:15" ht="20.100000000000001" customHeight="1">
      <c r="A128" s="985" t="s">
        <v>234</v>
      </c>
      <c r="B128" s="867"/>
      <c r="C128" s="867"/>
      <c r="D128" s="838" t="s">
        <v>140</v>
      </c>
      <c r="E128" s="839">
        <f>'25'!F128</f>
        <v>8990</v>
      </c>
      <c r="F128" s="984">
        <v>8999</v>
      </c>
      <c r="G128" s="840">
        <f t="shared" si="14"/>
        <v>9</v>
      </c>
      <c r="H128" s="841">
        <f>G128+'25'!H128</f>
        <v>-13</v>
      </c>
      <c r="I128" s="859"/>
      <c r="J128" s="843">
        <f>H128/DAY(B2)</f>
        <v>-0.5</v>
      </c>
      <c r="K128" s="938"/>
      <c r="L128" s="818"/>
      <c r="O128" s="845"/>
    </row>
    <row r="129" spans="1:15" ht="21.75" customHeight="1">
      <c r="A129" s="985" t="s">
        <v>235</v>
      </c>
      <c r="B129" s="867"/>
      <c r="C129" s="867"/>
      <c r="D129" s="838"/>
      <c r="E129" s="839"/>
      <c r="F129" s="856"/>
      <c r="G129" s="840">
        <f>G15-SUM(G124:G128)</f>
        <v>244.60000000000582</v>
      </c>
      <c r="H129" s="841">
        <f>G129+'25'!H129</f>
        <v>16106.217000000115</v>
      </c>
      <c r="I129" s="859"/>
      <c r="J129" s="843">
        <f>H129/DAY(B2)</f>
        <v>619.46988461538899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'25'!F131</f>
        <v>0</v>
      </c>
      <c r="F131" s="868">
        <v>0</v>
      </c>
      <c r="G131" s="840">
        <f t="shared" ref="G131:G141" si="15">F131-E131</f>
        <v>0</v>
      </c>
      <c r="H131" s="841">
        <f>G131+'25'!H131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'25'!F132</f>
        <v>0</v>
      </c>
      <c r="F132" s="868">
        <v>0</v>
      </c>
      <c r="G132" s="840">
        <f t="shared" si="15"/>
        <v>0</v>
      </c>
      <c r="H132" s="841">
        <f>G132+'25'!H132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'25'!F133</f>
        <v>40365</v>
      </c>
      <c r="F133" s="989">
        <v>40379</v>
      </c>
      <c r="G133" s="840">
        <f t="shared" si="15"/>
        <v>14</v>
      </c>
      <c r="H133" s="841">
        <f>G133+'25'!H133</f>
        <v>-74</v>
      </c>
      <c r="I133" s="859"/>
      <c r="J133" s="843">
        <f>H133/DAY(B2)</f>
        <v>-2.8461538461538463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'25'!F134</f>
        <v>300</v>
      </c>
      <c r="F134" s="989">
        <v>300</v>
      </c>
      <c r="G134" s="840">
        <f t="shared" si="15"/>
        <v>0</v>
      </c>
      <c r="H134" s="841">
        <f>G134+'25'!H134</f>
        <v>0</v>
      </c>
      <c r="I134" s="859">
        <f>G131+G132+G133+G134</f>
        <v>14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'25'!F135</f>
        <v>41911.449999999997</v>
      </c>
      <c r="F135" s="989">
        <v>41932.410000000003</v>
      </c>
      <c r="G135" s="840">
        <f t="shared" si="15"/>
        <v>20.960000000006403</v>
      </c>
      <c r="H135" s="841">
        <f>G135+'25'!H135</f>
        <v>92.970000000001164</v>
      </c>
      <c r="I135" s="859"/>
      <c r="J135" s="843">
        <f>H135/DAY(B2)</f>
        <v>3.5757692307692754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'25'!F136</f>
        <v>32874</v>
      </c>
      <c r="F136" s="989">
        <v>32874</v>
      </c>
      <c r="G136" s="840">
        <f t="shared" si="15"/>
        <v>0</v>
      </c>
      <c r="H136" s="841">
        <f>G136+'25'!H136</f>
        <v>12.94999999999709</v>
      </c>
      <c r="I136" s="859"/>
      <c r="J136" s="843">
        <f>H136/DAY(B2)</f>
        <v>0.49807692307681112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'25'!F137</f>
        <v>22865.54</v>
      </c>
      <c r="F137" s="989">
        <v>22873.99</v>
      </c>
      <c r="G137" s="840">
        <f t="shared" si="15"/>
        <v>8.4500000000007276</v>
      </c>
      <c r="H137" s="841">
        <f>G137+'25'!H137</f>
        <v>-17.5</v>
      </c>
      <c r="I137" s="859">
        <f>G135+G136+G137</f>
        <v>29.41000000000713</v>
      </c>
      <c r="J137" s="843">
        <f>H137/DAY(B2)</f>
        <v>-0.67307692307692313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'25'!F138</f>
        <v>25091</v>
      </c>
      <c r="F138" s="989">
        <v>25091</v>
      </c>
      <c r="G138" s="840">
        <f t="shared" si="15"/>
        <v>0</v>
      </c>
      <c r="H138" s="841">
        <f>G138+'25'!H138</f>
        <v>17.110000000000582</v>
      </c>
      <c r="I138" s="859"/>
      <c r="J138" s="843">
        <f>H138/DAY(B2)</f>
        <v>0.65807692307694543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'25'!F139</f>
        <v>70503.92</v>
      </c>
      <c r="F139" s="989">
        <v>70503.92</v>
      </c>
      <c r="G139" s="840">
        <f t="shared" si="15"/>
        <v>0</v>
      </c>
      <c r="H139" s="841">
        <f>G139+'25'!H139</f>
        <v>22.190000000002328</v>
      </c>
      <c r="I139" s="859">
        <f>G138+G139</f>
        <v>0</v>
      </c>
      <c r="J139" s="843">
        <f>H139/DAY(B2)</f>
        <v>0.85346153846162798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'25'!F140</f>
        <v>2077</v>
      </c>
      <c r="F140" s="868">
        <v>2088.5</v>
      </c>
      <c r="G140" s="840">
        <f t="shared" si="15"/>
        <v>11.5</v>
      </c>
      <c r="H140" s="841">
        <f>G140+'25'!H140</f>
        <v>-40.679999999999836</v>
      </c>
      <c r="I140" s="990"/>
      <c r="J140" s="843">
        <f>H140/DAY(B2)</f>
        <v>-1.5646153846153783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'25'!F141</f>
        <v>4636.88</v>
      </c>
      <c r="F141" s="868">
        <v>4636.88</v>
      </c>
      <c r="G141" s="840">
        <f t="shared" si="15"/>
        <v>0</v>
      </c>
      <c r="H141" s="841">
        <f>G141+'25'!H141</f>
        <v>-0.11999999999989086</v>
      </c>
      <c r="I141" s="990"/>
      <c r="J141" s="843">
        <f>H141/DAY(B2)</f>
        <v>-4.6153846153804178E-3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5987.8699999999953</v>
      </c>
      <c r="H143" s="841">
        <f>G143+'25'!H143</f>
        <v>-25367.819999999949</v>
      </c>
      <c r="I143" s="859"/>
      <c r="J143" s="843">
        <f>H143/DAY(B2)</f>
        <v>-975.68538461538265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9"/>
      <c r="G144" s="991">
        <f>G143/G7</f>
        <v>0.27850558139534864</v>
      </c>
      <c r="H144" s="841">
        <f>G144+'25'!H144</f>
        <v>-1.2945722091986296</v>
      </c>
      <c r="I144" s="992"/>
      <c r="J144" s="843">
        <f>H144/DAY(B2)</f>
        <v>-4.9791238815331908E-2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6949</v>
      </c>
      <c r="H145" s="841">
        <f>G145+'25'!H145</f>
        <v>-23670.89</v>
      </c>
      <c r="I145" s="859"/>
      <c r="J145" s="843">
        <f>H145/DAY(B2)</f>
        <v>-910.41884615384618</v>
      </c>
      <c r="K145" s="938"/>
      <c r="L145" s="818"/>
      <c r="O145" s="845"/>
    </row>
    <row r="146" spans="1:15" ht="20.100000000000001" customHeight="1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0.32320930232558137</v>
      </c>
      <c r="H146" s="841">
        <f>G146+'25'!H146</f>
        <v>-1.2709891141387413</v>
      </c>
      <c r="I146" s="992"/>
      <c r="J146" s="843">
        <f>H146/DAY(B2)</f>
        <v>-4.8884196697643892E-2</v>
      </c>
      <c r="K146" s="938"/>
      <c r="L146" s="818"/>
      <c r="O146" s="845"/>
    </row>
    <row r="147" spans="1:15" ht="20.100000000000001" customHeight="1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3678</v>
      </c>
      <c r="H147" s="841">
        <f>G147+'25'!H147</f>
        <v>-14704</v>
      </c>
      <c r="I147" s="993"/>
      <c r="J147" s="843">
        <f>H147/DAY(B2)</f>
        <v>-565.53846153846155</v>
      </c>
      <c r="K147" s="938"/>
      <c r="L147" s="818"/>
      <c r="O147" s="845"/>
    </row>
    <row r="148" spans="1:15" ht="20.100000000000001" customHeight="1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0.17106976744186048</v>
      </c>
      <c r="H148" s="841">
        <f>G148+'25'!H148</f>
        <v>-0.76220104564398783</v>
      </c>
      <c r="I148" s="993"/>
      <c r="J148" s="843">
        <f>H148/DAY(B2)</f>
        <v>-2.9315424832461072E-2</v>
      </c>
      <c r="O148" s="845"/>
    </row>
    <row r="149" spans="1:15" ht="20.100000000000001" customHeight="1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1787</v>
      </c>
      <c r="H149" s="841">
        <f>G149+'25'!H149</f>
        <v>-6336.9300000000512</v>
      </c>
      <c r="I149" s="859"/>
      <c r="J149" s="843">
        <f>H149/DAY(B2)</f>
        <v>-243.7280769230789</v>
      </c>
      <c r="K149" s="994"/>
      <c r="O149" s="845"/>
    </row>
    <row r="150" spans="1:15" ht="20.100000000000001" customHeight="1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8.3116279069767443E-2</v>
      </c>
      <c r="H150" s="841">
        <f>G150+'25'!H150</f>
        <v>-0.33247056373473144</v>
      </c>
      <c r="I150" s="993"/>
      <c r="J150" s="843">
        <f>H150/DAY(B2)</f>
        <v>-1.2787329374412747E-2</v>
      </c>
      <c r="O150" s="845"/>
    </row>
    <row r="151" spans="1:15" ht="20.100000000000001" customHeight="1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2092</v>
      </c>
      <c r="H151" s="841">
        <f>G151+'25'!H151</f>
        <v>-6652.0000000000018</v>
      </c>
      <c r="I151" s="993"/>
      <c r="J151" s="843">
        <f>H151/DAY(B2)</f>
        <v>-255.84615384615392</v>
      </c>
      <c r="O151" s="845"/>
    </row>
    <row r="152" spans="1:15" ht="20.100000000000001" customHeight="1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9.7302325581395344E-2</v>
      </c>
      <c r="H152" s="841">
        <f>G152+'25'!H152</f>
        <v>-0.36642405028862718</v>
      </c>
      <c r="I152" s="859"/>
      <c r="J152" s="843">
        <f>H152/DAY(B2)</f>
        <v>-1.4093232703408738E-2</v>
      </c>
      <c r="O152" s="845"/>
    </row>
    <row r="153" spans="1:15" ht="20.100000000000001" customHeight="1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1521</v>
      </c>
      <c r="H153" s="841">
        <f>G153+'25'!H153</f>
        <v>-5775.1300000000047</v>
      </c>
      <c r="I153" s="859"/>
      <c r="J153" s="843">
        <f>H153/DAY(B2)</f>
        <v>-222.12038461538481</v>
      </c>
      <c r="O153" s="845"/>
    </row>
    <row r="154" spans="1:15" ht="20.100000000000001" customHeight="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7.0744186046511628E-2</v>
      </c>
      <c r="H154" s="841">
        <f>G154+'25'!H154</f>
        <v>-0.30459356327178766</v>
      </c>
      <c r="I154" s="998"/>
      <c r="J154" s="999">
        <f>H154/DAY(B2)</f>
        <v>-1.1715137048914911E-2</v>
      </c>
      <c r="O154" s="845"/>
    </row>
    <row r="155" spans="1:15" ht="44.25" customHeight="1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0" t="s">
        <v>262</v>
      </c>
      <c r="B161" s="990"/>
      <c r="C161" s="990"/>
      <c r="D161" s="825" t="s">
        <v>186</v>
      </c>
      <c r="E161" s="839">
        <f>'25'!F161</f>
        <v>40442</v>
      </c>
      <c r="F161" s="1014">
        <v>40522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'25'!F162</f>
        <v>105500</v>
      </c>
      <c r="F162" s="1014">
        <v>105953</v>
      </c>
      <c r="G162" s="840">
        <f t="shared" si="16"/>
        <v>453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'25'!F163</f>
        <v>60193</v>
      </c>
      <c r="F163" s="1014">
        <v>60403</v>
      </c>
      <c r="G163" s="840">
        <f t="shared" si="16"/>
        <v>210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'25'!F164</f>
        <v>6803</v>
      </c>
      <c r="F164" s="1014">
        <v>6810</v>
      </c>
      <c r="G164" s="840">
        <f t="shared" si="16"/>
        <v>7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168211</v>
      </c>
      <c r="F167" s="921">
        <f t="shared" si="19"/>
        <v>168532</v>
      </c>
      <c r="G167" s="840">
        <f t="shared" si="17"/>
        <v>321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168247</v>
      </c>
      <c r="F168" s="921">
        <f t="shared" si="19"/>
        <v>168685</v>
      </c>
      <c r="G168" s="840">
        <f t="shared" si="17"/>
        <v>438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65832</v>
      </c>
      <c r="F169" s="921">
        <f t="shared" si="19"/>
        <v>66280</v>
      </c>
      <c r="G169" s="840">
        <f t="shared" si="17"/>
        <v>448</v>
      </c>
    </row>
    <row r="170" spans="1:7" ht="21.75" customHeight="1">
      <c r="A170" s="1625" t="s">
        <v>101</v>
      </c>
      <c r="B170" s="1625"/>
      <c r="C170" s="1625"/>
      <c r="D170" s="838" t="s">
        <v>186</v>
      </c>
      <c r="E170" s="921">
        <f t="shared" si="18"/>
        <v>262704</v>
      </c>
      <c r="F170" s="921">
        <f t="shared" si="19"/>
        <v>263178</v>
      </c>
      <c r="G170" s="840">
        <f t="shared" si="17"/>
        <v>474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86292</v>
      </c>
      <c r="F172" s="921">
        <f t="shared" si="19"/>
        <v>86501</v>
      </c>
      <c r="G172" s="840">
        <f t="shared" si="17"/>
        <v>209</v>
      </c>
    </row>
    <row r="173" spans="1:7">
      <c r="G173" s="1005">
        <f>SUM(G161:G172)</f>
        <v>2640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28212</v>
      </c>
      <c r="F174" s="968">
        <v>28215</v>
      </c>
      <c r="G174" s="840">
        <f t="shared" ref="G174:G180" si="20">F174-E174</f>
        <v>3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18979</v>
      </c>
      <c r="F175" s="968">
        <v>18984</v>
      </c>
      <c r="G175" s="840">
        <f t="shared" si="20"/>
        <v>5</v>
      </c>
    </row>
    <row r="176" spans="1:7">
      <c r="A176" s="1626" t="s">
        <v>351</v>
      </c>
      <c r="B176" s="1627"/>
      <c r="D176" s="838" t="s">
        <v>186</v>
      </c>
      <c r="E176" s="1272">
        <v>27608</v>
      </c>
      <c r="F176" s="1272">
        <v>27612</v>
      </c>
      <c r="G176" s="840">
        <f t="shared" si="20"/>
        <v>4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70253</v>
      </c>
      <c r="F177" s="968">
        <v>70278</v>
      </c>
      <c r="G177" s="840">
        <f t="shared" si="20"/>
        <v>25</v>
      </c>
      <c r="J177" s="1006"/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  <row r="181" spans="1:15">
      <c r="F181" s="1490"/>
    </row>
    <row r="182" spans="1:15">
      <c r="F182" s="1490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A149" zoomScale="55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348</v>
      </c>
      <c r="B2" s="1111">
        <v>44009</v>
      </c>
      <c r="C2" s="1141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'26'!F7</f>
        <v>492310.67</v>
      </c>
      <c r="F7" s="455">
        <f>E7+21500</f>
        <v>513810.67</v>
      </c>
      <c r="G7" s="678">
        <f>F7-E7</f>
        <v>21500</v>
      </c>
      <c r="H7" s="679">
        <f>G7+'26'!H7</f>
        <v>591857.67000000004</v>
      </c>
      <c r="I7" s="680">
        <f>'1'!I7</f>
        <v>12000</v>
      </c>
      <c r="J7" s="681">
        <f>H7/DAY(B2)</f>
        <v>21920.654444444444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'26'!F8</f>
        <v>499326.83</v>
      </c>
      <c r="F8" s="475">
        <f>E8+21500</f>
        <v>520826.83</v>
      </c>
      <c r="G8" s="689">
        <f>F8-E8</f>
        <v>21500</v>
      </c>
      <c r="H8" s="679">
        <f>G8+'26'!H8</f>
        <v>594104.83000000007</v>
      </c>
      <c r="I8" s="686">
        <f>'1'!I8</f>
        <v>12000</v>
      </c>
      <c r="J8" s="681">
        <f>H8/DAY(B2)</f>
        <v>22003.882592592596</v>
      </c>
      <c r="K8" s="549"/>
      <c r="L8" s="425"/>
      <c r="M8" s="440"/>
      <c r="N8" s="703"/>
    </row>
    <row r="9" spans="1:14">
      <c r="A9" s="687" t="s">
        <v>133</v>
      </c>
      <c r="B9" s="688"/>
      <c r="C9" s="688"/>
      <c r="D9" s="637" t="s">
        <v>131</v>
      </c>
      <c r="E9" s="634">
        <f>'26'!F9</f>
        <v>1954030</v>
      </c>
      <c r="F9" s="478">
        <v>1975218</v>
      </c>
      <c r="G9" s="702">
        <f t="shared" ref="G9:G12" si="0">F9-E9</f>
        <v>21188</v>
      </c>
      <c r="H9" s="679">
        <f>G9+'26'!H9</f>
        <v>-55784</v>
      </c>
      <c r="I9" s="690">
        <f>I8-J8</f>
        <v>-10003.882592592596</v>
      </c>
      <c r="J9" s="681">
        <f>H9/DAY(B2)</f>
        <v>-2066.0740740740739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4">
        <f>'26'!F10</f>
        <v>0</v>
      </c>
      <c r="F10" s="478">
        <v>0</v>
      </c>
      <c r="G10" s="689">
        <f t="shared" si="0"/>
        <v>0</v>
      </c>
      <c r="H10" s="679">
        <f>G10+'26'!H10</f>
        <v>-2606.2500000000005</v>
      </c>
      <c r="I10" s="691"/>
      <c r="J10" s="681">
        <f>H10/DAY(B2)</f>
        <v>-96.5277777777778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21188</v>
      </c>
      <c r="H13" s="679">
        <f>G13+'26'!H13</f>
        <v>-78717.250000000058</v>
      </c>
      <c r="I13" s="695">
        <f>G7-G13</f>
        <v>312</v>
      </c>
      <c r="J13" s="681">
        <f>H13/DAY(B2)</f>
        <v>-2915.4537037037057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139</v>
      </c>
      <c r="B15" s="666"/>
      <c r="C15" s="666"/>
      <c r="D15" s="667" t="s">
        <v>140</v>
      </c>
      <c r="E15" s="668">
        <f>'26'!F15</f>
        <v>1724617.72</v>
      </c>
      <c r="F15" s="700">
        <f>E15+700</f>
        <v>1725317.72</v>
      </c>
      <c r="G15" s="664">
        <f>(F15-E15)</f>
        <v>700</v>
      </c>
      <c r="H15" s="670">
        <f>G15+'26'!H15</f>
        <v>21634.719999999972</v>
      </c>
      <c r="I15" s="671">
        <v>800</v>
      </c>
      <c r="J15" s="1281">
        <f>H15/DAY(B2)</f>
        <v>801.28592592592486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-1.2859259259248574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'26'!F18</f>
        <v>15</v>
      </c>
      <c r="F18" s="478">
        <v>18</v>
      </c>
      <c r="G18" s="694">
        <f>F18*10</f>
        <v>180</v>
      </c>
      <c r="H18" s="679">
        <f>G18+'26'!H18</f>
        <v>3490</v>
      </c>
      <c r="I18" s="680">
        <f>'1'!I18</f>
        <v>65</v>
      </c>
      <c r="J18" s="681">
        <f>H18/DAY(B2)</f>
        <v>129.25925925925927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'26'!F19</f>
        <v>141243</v>
      </c>
      <c r="F19" s="478">
        <v>141304</v>
      </c>
      <c r="G19" s="689">
        <f t="shared" ref="G19" si="1">F19-E19</f>
        <v>61</v>
      </c>
      <c r="H19" s="679">
        <f>G19+'26'!H19</f>
        <v>-191</v>
      </c>
      <c r="I19" s="696"/>
      <c r="J19" s="681">
        <f>H19/DAY(B2)</f>
        <v>-7.0740740740740744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241</v>
      </c>
      <c r="H20" s="679">
        <f>G20+'26'!H20</f>
        <v>3299</v>
      </c>
      <c r="I20" s="698">
        <f>I18-J20</f>
        <v>-57.18518518518519</v>
      </c>
      <c r="J20" s="681">
        <f>H20/DAY(B2)</f>
        <v>122.18518518518519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G27+'26'!H27</f>
        <v>5346945.3600000003</v>
      </c>
      <c r="I27" s="503"/>
      <c r="J27" s="552">
        <f>H27/DAY(B2)</f>
        <v>198035.01333333334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G28+'26'!H28</f>
        <v>1125005.4399999985</v>
      </c>
      <c r="I28" s="505"/>
      <c r="J28" s="552">
        <f>H28/DAY(B2)</f>
        <v>41666.868148148096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G30+'26'!H30</f>
        <v>-28470</v>
      </c>
      <c r="I30" s="505"/>
      <c r="J30" s="552">
        <f>H30/DAY(B2)</f>
        <v>-1054.4444444444443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G31+'26'!H31</f>
        <v>273600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253206</v>
      </c>
      <c r="H32" s="460">
        <f>G32+'26'!H32</f>
        <v>6717080.7999999989</v>
      </c>
      <c r="I32" s="509"/>
      <c r="J32" s="552">
        <f>H32/DAY(B2)</f>
        <v>248780.77037037033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-8345</v>
      </c>
      <c r="I35" s="455"/>
      <c r="J35" s="552">
        <f>H35/DAY(B2)</f>
        <v>-309.07407407407408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-1872.0000000000018</v>
      </c>
      <c r="I36" s="455"/>
      <c r="J36" s="552">
        <f>H36/DAY(B2)</f>
        <v>-69.3333333333334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-4283</v>
      </c>
      <c r="I37" s="455"/>
      <c r="J37" s="552">
        <f>H37/DAY(B2)</f>
        <v>-158.62962962962962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-4624</v>
      </c>
      <c r="I38" s="455"/>
      <c r="J38" s="552">
        <f>H38/DAY(B2)</f>
        <v>-171.25925925925927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-10989</v>
      </c>
      <c r="I39" s="455"/>
      <c r="J39" s="552">
        <f>H39/DAY(B2)</f>
        <v>-407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-999</v>
      </c>
      <c r="I40" s="455"/>
      <c r="J40" s="552">
        <f>H40/DAY(B2)</f>
        <v>-37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-10989</v>
      </c>
      <c r="I41" s="455"/>
      <c r="J41" s="552">
        <f>H41/DAY(B2)</f>
        <v>-407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11.110000000000582</v>
      </c>
      <c r="I42" s="455"/>
      <c r="J42" s="552">
        <f>H42/DAY(B2)</f>
        <v>0.41148148148150304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-7885</v>
      </c>
      <c r="I43" s="455"/>
      <c r="J43" s="552">
        <f>H43/DAY(B2)</f>
        <v>-292.03703703703701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-614</v>
      </c>
      <c r="I45" s="455"/>
      <c r="J45" s="552">
        <f>H45/DAY(B2)</f>
        <v>-22.74074074074074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-187.49</v>
      </c>
      <c r="I46" s="455"/>
      <c r="J46" s="552">
        <f>H46/DAY(B2)</f>
        <v>-6.9440740740740745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-49974.89</v>
      </c>
      <c r="I47" s="455"/>
      <c r="J47" s="552">
        <f>H47/DAY(B2)</f>
        <v>-1850.9218518518519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-31.869999999995343</v>
      </c>
      <c r="I49" s="455"/>
      <c r="J49" s="552">
        <f>H49/DAY(B2)</f>
        <v>-1.180370370370198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-3987</v>
      </c>
      <c r="I50" s="455"/>
      <c r="J50" s="552">
        <f>H50/DAY(B2)</f>
        <v>-147.66666666666666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3">
        <v>111460</v>
      </c>
      <c r="G55" s="473">
        <f t="shared" si="4"/>
        <v>1674</v>
      </c>
      <c r="H55" s="705">
        <f>G55+'26'!H55</f>
        <v>-11750</v>
      </c>
      <c r="I55" s="706"/>
      <c r="J55" s="707">
        <f>H55/DAY(B2)</f>
        <v>-435.18518518518516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3">
        <v>648960</v>
      </c>
      <c r="G56" s="473">
        <f t="shared" si="4"/>
        <v>0</v>
      </c>
      <c r="H56" s="460">
        <f>G56+'26'!H56</f>
        <v>-82</v>
      </c>
      <c r="I56" s="455"/>
      <c r="J56" s="552">
        <f>H56/DAY(B2)</f>
        <v>-3.0370370370370372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3">
        <v>53590</v>
      </c>
      <c r="G58" s="473">
        <f t="shared" si="4"/>
        <v>141</v>
      </c>
      <c r="H58" s="460">
        <f>G58+'26'!H58</f>
        <v>-590</v>
      </c>
      <c r="I58" s="455"/>
      <c r="J58" s="552">
        <f>H58/DAY(B2)</f>
        <v>-21.851851851851851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-16441.200000000008</v>
      </c>
      <c r="I59" s="455">
        <f>G7-G60</f>
        <v>-391.19000000006054</v>
      </c>
      <c r="J59" s="552">
        <f>H59/DAY(B2)</f>
        <v>-608.93333333333362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-59512.760000000038</v>
      </c>
      <c r="I60" s="455">
        <f>G13-G60</f>
        <v>-703.19000000006054</v>
      </c>
      <c r="J60" s="552">
        <f>H60/DAY(B2)</f>
        <v>-2204.1762962962976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-1105</v>
      </c>
      <c r="I64" s="480"/>
      <c r="J64" s="552">
        <f>H64/DAY(B2)</f>
        <v>-40.925925925925924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-1259</v>
      </c>
      <c r="I65" s="489"/>
      <c r="J65" s="552">
        <f>H65/DAY(B2)</f>
        <v>-46.629629629629626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-1316</v>
      </c>
      <c r="I66" s="480"/>
      <c r="J66" s="552">
        <f>H66/DAY(B2)</f>
        <v>-48.74074074074074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-1311</v>
      </c>
      <c r="I67" s="489"/>
      <c r="J67" s="552">
        <f>H67/DAY(B2)</f>
        <v>-48.555555555555557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-691</v>
      </c>
      <c r="I69" s="516"/>
      <c r="J69" s="552">
        <f>H69/DAY(B2)</f>
        <v>-25.592592592592592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'26'!F72</f>
        <v>856180</v>
      </c>
      <c r="F72" s="654">
        <v>856191</v>
      </c>
      <c r="G72" s="473">
        <f t="shared" ref="G72:G84" si="6">F72-E72</f>
        <v>11</v>
      </c>
      <c r="H72" s="460">
        <f>G72+'26'!H72</f>
        <v>-44</v>
      </c>
      <c r="I72" s="480"/>
      <c r="J72" s="552">
        <f>H72/DAY(B2)</f>
        <v>-1.6296296296296295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'26'!F73</f>
        <v>885967</v>
      </c>
      <c r="F73" s="655">
        <v>885968</v>
      </c>
      <c r="G73" s="652">
        <f t="shared" si="6"/>
        <v>1</v>
      </c>
      <c r="H73" s="460">
        <f>G73+'26'!H73</f>
        <v>134</v>
      </c>
      <c r="I73" s="480"/>
      <c r="J73" s="552">
        <f>H73/DAY(B2)</f>
        <v>4.9629629629629628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'26'!F74</f>
        <v>88689</v>
      </c>
      <c r="F74" s="655">
        <v>88689</v>
      </c>
      <c r="G74" s="473">
        <f t="shared" si="6"/>
        <v>0</v>
      </c>
      <c r="H74" s="460">
        <f>G74+'26'!H74</f>
        <v>27</v>
      </c>
      <c r="I74" s="480"/>
      <c r="J74" s="552">
        <f>H74/DAY(B2)</f>
        <v>1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'26'!F75</f>
        <v>15537</v>
      </c>
      <c r="F75" s="654">
        <v>15677</v>
      </c>
      <c r="G75" s="473">
        <f t="shared" si="6"/>
        <v>140</v>
      </c>
      <c r="H75" s="460">
        <f>G75+'26'!H75</f>
        <v>-394</v>
      </c>
      <c r="I75" s="480"/>
      <c r="J75" s="552">
        <f>H75/DAY(B2)</f>
        <v>-14.592592592592593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'26'!F76</f>
        <v>9028</v>
      </c>
      <c r="F76" s="655">
        <v>9105</v>
      </c>
      <c r="G76" s="473">
        <f t="shared" si="6"/>
        <v>77</v>
      </c>
      <c r="H76" s="460">
        <f>G76+'26'!H76</f>
        <v>886</v>
      </c>
      <c r="I76" s="505"/>
      <c r="J76" s="552">
        <f>H76/DAY(B2)</f>
        <v>32.814814814814817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'26'!F77</f>
        <v>704148</v>
      </c>
      <c r="F77" s="655">
        <v>704205</v>
      </c>
      <c r="G77" s="652">
        <f t="shared" si="6"/>
        <v>57</v>
      </c>
      <c r="H77" s="460">
        <f>G77+'26'!H77</f>
        <v>-169</v>
      </c>
      <c r="I77" s="505"/>
      <c r="J77" s="552">
        <f>H77/DAY(B2)</f>
        <v>-6.2592592592592595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'26'!F78</f>
        <v>675015</v>
      </c>
      <c r="F78" s="654">
        <v>675167</v>
      </c>
      <c r="G78" s="473">
        <f t="shared" si="6"/>
        <v>152</v>
      </c>
      <c r="H78" s="460">
        <f>G78+'26'!H78</f>
        <v>-247</v>
      </c>
      <c r="I78" s="505"/>
      <c r="J78" s="552">
        <f>H78/DAY(B2)</f>
        <v>-9.1481481481481488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'26'!F79</f>
        <v>834834</v>
      </c>
      <c r="F79" s="1309">
        <v>834973</v>
      </c>
      <c r="G79" s="473">
        <f t="shared" si="6"/>
        <v>139</v>
      </c>
      <c r="H79" s="460">
        <f>G79+'26'!H79</f>
        <v>-1181</v>
      </c>
      <c r="I79" s="505"/>
      <c r="J79" s="552">
        <f>H79/DAY(B2)</f>
        <v>-43.74074074074074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'26'!F80</f>
        <v>537443</v>
      </c>
      <c r="F80" s="655">
        <v>537903</v>
      </c>
      <c r="G80" s="473">
        <f t="shared" si="6"/>
        <v>460</v>
      </c>
      <c r="H80" s="460">
        <f>G80+'26'!H80</f>
        <v>-4488</v>
      </c>
      <c r="I80" s="505"/>
      <c r="J80" s="552">
        <f>H80/DAY(B2)</f>
        <v>-166.22222222222223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'26'!F81</f>
        <v>642446</v>
      </c>
      <c r="F81" s="655">
        <v>642577</v>
      </c>
      <c r="G81" s="473">
        <f t="shared" si="6"/>
        <v>131</v>
      </c>
      <c r="H81" s="460">
        <f>G81+'26'!H81</f>
        <v>-408</v>
      </c>
      <c r="I81" s="505"/>
      <c r="J81" s="552">
        <f>H81/DAY(B2)</f>
        <v>-15.111111111111111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'26'!F82</f>
        <v>108608</v>
      </c>
      <c r="F82" s="651">
        <v>108633</v>
      </c>
      <c r="G82" s="473">
        <f t="shared" si="6"/>
        <v>25</v>
      </c>
      <c r="H82" s="460">
        <f>G82+'26'!H82</f>
        <v>-48</v>
      </c>
      <c r="I82" s="486"/>
      <c r="J82" s="552">
        <f>H82/DAY(B2)</f>
        <v>-1.7777777777777777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'26'!F83</f>
        <v>26315</v>
      </c>
      <c r="F83" s="1310">
        <v>26634</v>
      </c>
      <c r="G83" s="473">
        <f t="shared" si="6"/>
        <v>319</v>
      </c>
      <c r="H83" s="460">
        <f>G83+'26'!H83</f>
        <v>-917</v>
      </c>
      <c r="I83" s="481"/>
      <c r="J83" s="552">
        <f>H83/DAY(B2)</f>
        <v>-33.962962962962962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-2443</v>
      </c>
      <c r="I84" s="481"/>
      <c r="J84" s="552">
        <f>H84/DAY(B2)</f>
        <v>-90.481481481481481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-6418.0000000000073</v>
      </c>
      <c r="I85" s="481"/>
      <c r="J85" s="552">
        <f>H85/DAY(B2)</f>
        <v>-237.70370370370398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'26'!F86</f>
        <v>461666</v>
      </c>
      <c r="F86" s="647">
        <v>461705</v>
      </c>
      <c r="G86" s="705">
        <f>F86-E86</f>
        <v>39</v>
      </c>
      <c r="H86" s="705">
        <f t="shared" ref="H86:H88" si="7">G86</f>
        <v>39</v>
      </c>
      <c r="I86" s="652"/>
      <c r="J86" s="707">
        <f>H86/DAY(B2)</f>
        <v>1.4444444444444444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'26'!F87</f>
        <v>81967</v>
      </c>
      <c r="F87" s="647">
        <v>81978</v>
      </c>
      <c r="G87" s="705">
        <f t="shared" ref="G87:G91" si="8">F87-E87</f>
        <v>11</v>
      </c>
      <c r="H87" s="705">
        <f t="shared" si="7"/>
        <v>11</v>
      </c>
      <c r="I87" s="652"/>
      <c r="J87" s="707">
        <f>H87/DAY(B2)</f>
        <v>0.40740740740740738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'26'!F88</f>
        <v>154949</v>
      </c>
      <c r="F88" s="647">
        <v>154983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'26'!F89</f>
        <v>65748</v>
      </c>
      <c r="F89" s="647">
        <v>65763</v>
      </c>
      <c r="G89" s="705">
        <f t="shared" si="8"/>
        <v>15</v>
      </c>
      <c r="H89" s="705">
        <f>G89</f>
        <v>15</v>
      </c>
      <c r="I89" s="652"/>
      <c r="J89" s="707">
        <f>H89/DAY(B2)</f>
        <v>0.55555555555555558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'26'!F90</f>
        <v>3333</v>
      </c>
      <c r="F90" s="647">
        <v>3334</v>
      </c>
      <c r="G90" s="705">
        <f t="shared" si="8"/>
        <v>1</v>
      </c>
      <c r="H90" s="705">
        <f>G90</f>
        <v>1</v>
      </c>
      <c r="I90" s="652"/>
      <c r="J90" s="707">
        <f>H90/DAY(B2)</f>
        <v>3.7037037037037035E-2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'26'!F91</f>
        <v>28215</v>
      </c>
      <c r="F91" s="647">
        <v>28218</v>
      </c>
      <c r="G91" s="705">
        <f t="shared" si="8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-166</v>
      </c>
      <c r="I93" s="480"/>
      <c r="J93" s="552">
        <f>H93/DAY(B2)</f>
        <v>-6.1481481481481479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-318</v>
      </c>
      <c r="I94" s="480"/>
      <c r="J94" s="552">
        <f>H94/DAY(B2)</f>
        <v>-11.777777777777779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-670</v>
      </c>
      <c r="I95" s="480"/>
      <c r="J95" s="552">
        <f>H95/DAY(B2)</f>
        <v>-24.814814814814813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-49</v>
      </c>
      <c r="I97" s="480"/>
      <c r="J97" s="552">
        <f>H97/DAY(B2)</f>
        <v>-1.8148148148148149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-56</v>
      </c>
      <c r="I98" s="480"/>
      <c r="J98" s="552">
        <f>H98/DAY(B2)</f>
        <v>-2.074074074074074</v>
      </c>
      <c r="K98" s="432"/>
      <c r="L98" s="377"/>
      <c r="N98" s="804"/>
    </row>
    <row r="99" spans="1:14" ht="27.75">
      <c r="A99" s="1139" t="s">
        <v>211</v>
      </c>
      <c r="B99" s="1140"/>
      <c r="C99" s="1140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-91</v>
      </c>
      <c r="I99" s="480"/>
      <c r="J99" s="552">
        <f>H99/DAY(B2)</f>
        <v>-3.3703703703703702</v>
      </c>
      <c r="K99" s="380"/>
      <c r="L99" s="377"/>
      <c r="N99" s="1028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-57</v>
      </c>
      <c r="I100" s="480"/>
      <c r="J100" s="552">
        <f>H100/DAY(B2)</f>
        <v>-2.1111111111111112</v>
      </c>
      <c r="K100" s="380"/>
      <c r="L100" s="377"/>
      <c r="N100" s="804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-41</v>
      </c>
      <c r="I101" s="480"/>
      <c r="J101" s="552">
        <f>H101/DAY(B2)</f>
        <v>-1.5185185185185186</v>
      </c>
      <c r="K101" s="380"/>
      <c r="L101" s="377"/>
      <c r="N101" s="804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224</v>
      </c>
      <c r="H102" s="460">
        <f>G102+'26'!H102</f>
        <v>-465</v>
      </c>
      <c r="I102" s="526"/>
      <c r="J102" s="552">
        <f>H102/DAY(B2)</f>
        <v>-17.222222222222221</v>
      </c>
      <c r="K102" s="380"/>
      <c r="L102" s="377"/>
      <c r="N102" s="804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'26'!F106</f>
        <v>36137</v>
      </c>
      <c r="F106" s="783">
        <v>36143</v>
      </c>
      <c r="G106" s="532">
        <f t="shared" ref="G106:G107" si="11">F106-E106</f>
        <v>6</v>
      </c>
      <c r="H106" s="533">
        <f>SUM(G106+'1'!G77)</f>
        <v>59</v>
      </c>
      <c r="I106" s="532"/>
      <c r="J106" s="558">
        <f>H106/DAY(B2)</f>
        <v>2.1851851851851851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'26'!F107</f>
        <v>19805</v>
      </c>
      <c r="F107" s="659">
        <v>19810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>
        <f>'26'!F108</f>
        <v>0</v>
      </c>
      <c r="F108" s="659"/>
      <c r="G108" s="532">
        <f>SUM(G105:G107)</f>
        <v>11</v>
      </c>
      <c r="H108" s="533">
        <f>SUM(G108+'1'!G79)</f>
        <v>164</v>
      </c>
      <c r="I108" s="532"/>
      <c r="J108" s="558">
        <f>H108/DAY(B2)</f>
        <v>6.0740740740740744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'26'!F110</f>
        <v>64540</v>
      </c>
      <c r="F110" s="803">
        <v>64608</v>
      </c>
      <c r="G110" s="532">
        <f>F110-E110</f>
        <v>68</v>
      </c>
      <c r="H110" s="533">
        <f>SUM(G110+'1'!G81)</f>
        <v>199.64000000001397</v>
      </c>
      <c r="I110" s="532"/>
      <c r="J110" s="558">
        <f>H110/DAY(B2)</f>
        <v>7.3940740740745916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'26'!F111</f>
        <v>32996</v>
      </c>
      <c r="F111" s="783">
        <v>33046</v>
      </c>
      <c r="G111" s="532">
        <f t="shared" ref="G111:G112" si="12">F111-E111</f>
        <v>50</v>
      </c>
      <c r="H111" s="533">
        <f>SUM(G111+'1'!G82)</f>
        <v>74.899999999994179</v>
      </c>
      <c r="I111" s="532"/>
      <c r="J111" s="558">
        <f>H111/DAY(B2)</f>
        <v>2.7740740740738583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'26'!F112</f>
        <v>4621</v>
      </c>
      <c r="F112" s="783">
        <v>4621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>
        <f>'26'!F113</f>
        <v>0</v>
      </c>
      <c r="F113" s="659"/>
      <c r="G113" s="532">
        <f>SUM(G110:G112)</f>
        <v>118</v>
      </c>
      <c r="H113" s="533">
        <f>SUM(G113+'1'!G84)</f>
        <v>934</v>
      </c>
      <c r="I113" s="532"/>
      <c r="J113" s="558">
        <f>H113/DAY(B2)</f>
        <v>34.592592592592595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'26'!F115</f>
        <v>11916</v>
      </c>
      <c r="F115" s="659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'26'!F116</f>
        <v>8507</v>
      </c>
      <c r="F116" s="659">
        <v>8520</v>
      </c>
      <c r="G116" s="534">
        <f t="shared" ref="G116:G117" si="13">F116-E116</f>
        <v>13</v>
      </c>
      <c r="H116" s="533">
        <f>SUM(G116+'1'!G93)</f>
        <v>102</v>
      </c>
      <c r="I116" s="532"/>
      <c r="J116" s="558">
        <f>H116/DAY(B2)</f>
        <v>3.7777777777777777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44</v>
      </c>
      <c r="H118" s="533">
        <f>SUM(G118+'1'!G96)</f>
        <v>130</v>
      </c>
      <c r="I118" s="534"/>
      <c r="J118" s="558">
        <f>H118/DAY(B2)</f>
        <v>4.8148148148148149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191</v>
      </c>
      <c r="H119" s="533">
        <f>SUM(G119+'1'!G97)</f>
        <v>208</v>
      </c>
      <c r="I119" s="535"/>
      <c r="J119" s="559">
        <f>H119/DAY(B2)</f>
        <v>7.7037037037037033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187</v>
      </c>
      <c r="H120" s="533">
        <f>SUM(G120+'1'!G99)</f>
        <v>237</v>
      </c>
      <c r="I120" s="535"/>
      <c r="J120" s="559">
        <f>H120/DAY(B2)</f>
        <v>8.7777777777777786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/>
      <c r="G121" s="534">
        <f>SUM(G113)</f>
        <v>118</v>
      </c>
      <c r="H121" s="533">
        <f>SUM(G121+'1'!G101)</f>
        <v>123</v>
      </c>
      <c r="I121" s="535"/>
      <c r="J121" s="559">
        <f>H121/DAY(B2)</f>
        <v>4.5555555555555554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-808</v>
      </c>
      <c r="I124" s="526">
        <f>G124/5</f>
        <v>58.8</v>
      </c>
      <c r="J124" s="552">
        <f>H124/DAY(B2)</f>
        <v>-29.925925925925927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-206</v>
      </c>
      <c r="I126" s="526"/>
      <c r="J126" s="552">
        <f>H126/DAY(B2)</f>
        <v>-7.6296296296296298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-90</v>
      </c>
      <c r="I127" s="526"/>
      <c r="J127" s="552">
        <f>H127/DAY(B2)</f>
        <v>-3.3333333333333335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-6</v>
      </c>
      <c r="I128" s="480"/>
      <c r="J128" s="552">
        <f>H128/DAY(B2)</f>
        <v>-0.22222222222222221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265</v>
      </c>
      <c r="H129" s="460">
        <f>G129+'26'!H129</f>
        <v>16371.217000000115</v>
      </c>
      <c r="I129" s="480"/>
      <c r="J129" s="552">
        <f>H129/DAY(B2)</f>
        <v>606.34137037037465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-50</v>
      </c>
      <c r="I133" s="480"/>
      <c r="J133" s="552">
        <f>H133/DAY(B2)</f>
        <v>-1.8518518518518519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'26'!F134</f>
        <v>300</v>
      </c>
      <c r="F134" s="651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-13.020000000000437</v>
      </c>
      <c r="I137" s="480">
        <f>G135+G136+G137</f>
        <v>15.239999999994325</v>
      </c>
      <c r="J137" s="552">
        <f>H137/DAY(B2)</f>
        <v>-0.48222222222223837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'26'!F138</f>
        <v>25091</v>
      </c>
      <c r="F138" s="651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-30.179999999999836</v>
      </c>
      <c r="I140" s="542"/>
      <c r="J140" s="552">
        <f>H140/DAY(B2)</f>
        <v>-1.1177777777777718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-19248.689999999944</v>
      </c>
      <c r="I143" s="480"/>
      <c r="J143" s="552">
        <f>H143/DAY(B2)</f>
        <v>-712.91444444444232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0.28461069767441882</v>
      </c>
      <c r="H144" s="460">
        <f>G144+'26'!H144</f>
        <v>-1.0099615115242107</v>
      </c>
      <c r="I144" s="544"/>
      <c r="J144" s="552">
        <f>H144/DAY(B2)</f>
        <v>-3.7405981908304096E-2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-17225.89</v>
      </c>
      <c r="I145" s="480"/>
      <c r="J145" s="552">
        <f>H145/DAY(B2)</f>
        <v>-637.99592592592592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0.29976744186046511</v>
      </c>
      <c r="H146" s="460">
        <f>G146+'26'!H146</f>
        <v>-0.97122167227827616</v>
      </c>
      <c r="I146" s="544"/>
      <c r="J146" s="552">
        <f>H146/DAY(B2)</f>
        <v>-3.5971173047343562E-2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3715</v>
      </c>
      <c r="H147" s="460">
        <f>G147+'26'!H147</f>
        <v>-10989</v>
      </c>
      <c r="I147" s="545"/>
      <c r="J147" s="552">
        <f>H147/DAY(B2)</f>
        <v>-407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0.1727906976744186</v>
      </c>
      <c r="H148" s="460">
        <f>G148+'26'!H148</f>
        <v>-0.58941034796956926</v>
      </c>
      <c r="I148" s="545"/>
      <c r="J148" s="552">
        <f>H148/DAY(B2)</f>
        <v>-2.1830012887761825E-2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-4624</v>
      </c>
      <c r="I149" s="480"/>
      <c r="J149" s="552">
        <f>H149/DAY(B2)</f>
        <v>-171.25925925925927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7.9671162790700051E-2</v>
      </c>
      <c r="H150" s="460">
        <f>G150+'26'!H150</f>
        <v>-0.25279940094403142</v>
      </c>
      <c r="I150" s="545"/>
      <c r="J150" s="552">
        <f>H150/DAY(B2)</f>
        <v>-9.3629407757048668E-3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1886</v>
      </c>
      <c r="H151" s="460">
        <f>G151+'26'!H151</f>
        <v>-4766.0000000000018</v>
      </c>
      <c r="I151" s="545"/>
      <c r="J151" s="552">
        <f>H151/DAY(B2)</f>
        <v>-176.51851851851859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8.7720930232558142E-2</v>
      </c>
      <c r="H152" s="460">
        <f>G152+'26'!H152</f>
        <v>-0.27870312005606901</v>
      </c>
      <c r="I152" s="480"/>
      <c r="J152" s="552">
        <f>H152/DAY(B2)</f>
        <v>-1.0322337779854408E-2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-4283</v>
      </c>
      <c r="I153" s="480"/>
      <c r="J153" s="552">
        <f>H153/DAY(B2)</f>
        <v>-158.62962962962962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6.9401395348837422E-2</v>
      </c>
      <c r="H154" s="460">
        <f>G154+'26'!H154</f>
        <v>-0.23519216792295022</v>
      </c>
      <c r="I154" s="568"/>
      <c r="J154" s="569">
        <f>H154/DAY(B2)</f>
        <v>-8.7108210341833425E-3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262</v>
      </c>
      <c r="B161" s="785"/>
      <c r="C161" s="785"/>
      <c r="D161" s="511" t="s">
        <v>186</v>
      </c>
      <c r="E161" s="541">
        <f>'26'!F161</f>
        <v>40522</v>
      </c>
      <c r="F161" s="658">
        <v>40600</v>
      </c>
      <c r="G161" s="473">
        <f t="shared" ref="G161:G164" si="16">F161-E161</f>
        <v>78</v>
      </c>
    </row>
    <row r="162" spans="1:14">
      <c r="A162" s="784" t="s">
        <v>263</v>
      </c>
      <c r="B162" s="785"/>
      <c r="C162" s="785"/>
      <c r="D162" s="511" t="s">
        <v>186</v>
      </c>
      <c r="E162" s="541">
        <f>'26'!F162</f>
        <v>105953</v>
      </c>
      <c r="F162" s="658">
        <v>106382</v>
      </c>
      <c r="G162" s="473">
        <f t="shared" si="16"/>
        <v>429</v>
      </c>
    </row>
    <row r="163" spans="1:14">
      <c r="A163" s="784" t="s">
        <v>264</v>
      </c>
      <c r="B163" s="785"/>
      <c r="C163" s="785"/>
      <c r="D163" s="511" t="s">
        <v>186</v>
      </c>
      <c r="E163" s="541">
        <f>'26'!F163</f>
        <v>60403</v>
      </c>
      <c r="F163" s="658">
        <v>60608</v>
      </c>
      <c r="G163" s="473">
        <f t="shared" si="16"/>
        <v>205</v>
      </c>
    </row>
    <row r="164" spans="1:14">
      <c r="A164" s="784" t="s">
        <v>265</v>
      </c>
      <c r="B164" s="785"/>
      <c r="C164" s="785"/>
      <c r="D164" s="511" t="s">
        <v>186</v>
      </c>
      <c r="E164" s="541">
        <f>'26'!F164</f>
        <v>6810</v>
      </c>
      <c r="F164" s="658">
        <v>6820</v>
      </c>
      <c r="G164" s="473">
        <f t="shared" si="16"/>
        <v>10</v>
      </c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46" t="s">
        <v>98</v>
      </c>
      <c r="B167" s="1546"/>
      <c r="C167" s="1546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46" t="s">
        <v>99</v>
      </c>
      <c r="B168" s="1546"/>
      <c r="C168" s="1546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46" t="s">
        <v>100</v>
      </c>
      <c r="B169" s="1546"/>
      <c r="C169" s="1546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46" t="s">
        <v>101</v>
      </c>
      <c r="B170" s="1546"/>
      <c r="C170" s="1546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5" customFormat="1" ht="27">
      <c r="A174" s="1546" t="s">
        <v>345</v>
      </c>
      <c r="B174" s="1546"/>
      <c r="C174" s="1546"/>
      <c r="D174" s="1494" t="s">
        <v>186</v>
      </c>
      <c r="E174" s="1495">
        <v>28215</v>
      </c>
      <c r="F174" s="1495">
        <v>28218</v>
      </c>
      <c r="G174" s="1496">
        <f t="shared" ref="G174:G180" si="20">F174-E174</f>
        <v>3</v>
      </c>
      <c r="H174" s="1497"/>
      <c r="I174" s="454"/>
      <c r="J174" s="1498"/>
      <c r="N174" s="1006"/>
    </row>
    <row r="175" spans="1:14" s="805" customFormat="1" ht="27">
      <c r="A175" s="1587" t="s">
        <v>350</v>
      </c>
      <c r="B175" s="1550"/>
      <c r="C175" s="784"/>
      <c r="D175" s="1494" t="s">
        <v>186</v>
      </c>
      <c r="E175" s="1495">
        <v>18984</v>
      </c>
      <c r="F175" s="1495">
        <v>18988</v>
      </c>
      <c r="G175" s="1496">
        <f t="shared" si="20"/>
        <v>4</v>
      </c>
      <c r="H175" s="1497"/>
      <c r="I175" s="454"/>
      <c r="J175" s="1498"/>
      <c r="N175" s="1006"/>
    </row>
    <row r="176" spans="1:14" s="805" customFormat="1" ht="27">
      <c r="A176" s="1587" t="s">
        <v>351</v>
      </c>
      <c r="B176" s="1550"/>
      <c r="C176" s="454"/>
      <c r="D176" s="1494" t="s">
        <v>186</v>
      </c>
      <c r="E176" s="1499">
        <v>27612</v>
      </c>
      <c r="F176" s="1499">
        <v>27616</v>
      </c>
      <c r="G176" s="1496">
        <f t="shared" si="20"/>
        <v>4</v>
      </c>
      <c r="H176" s="1497"/>
      <c r="I176" s="454"/>
      <c r="J176" s="1498"/>
      <c r="N176" s="1006"/>
    </row>
    <row r="177" spans="1:15" s="281" customFormat="1" ht="22.5" customHeight="1">
      <c r="A177" s="1587" t="s">
        <v>350</v>
      </c>
      <c r="B177" s="1550"/>
      <c r="C177" s="454"/>
      <c r="D177" s="1494" t="s">
        <v>186</v>
      </c>
      <c r="E177" s="1495">
        <v>70278</v>
      </c>
      <c r="F177" s="1495">
        <v>70305</v>
      </c>
      <c r="G177" s="1496">
        <f t="shared" si="20"/>
        <v>27</v>
      </c>
      <c r="H177" s="1497"/>
      <c r="I177" s="454"/>
      <c r="J177" s="1500"/>
      <c r="N177" s="1500"/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A142" zoomScale="55" zoomScaleNormal="80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0" customWidth="1"/>
    <col min="15" max="17" width="22.33203125" style="769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369</v>
      </c>
      <c r="B2" s="1373">
        <v>44375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1100"/>
      <c r="O2" s="769"/>
      <c r="P2" s="769"/>
      <c r="Q2" s="769"/>
    </row>
    <row r="3" spans="1:17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1100"/>
      <c r="O3" s="769"/>
      <c r="P3" s="769"/>
      <c r="Q3" s="769"/>
    </row>
    <row r="4" spans="1:17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0"/>
      <c r="O4" s="769"/>
      <c r="P4" s="771"/>
      <c r="Q4" s="769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1"/>
    </row>
    <row r="6" spans="1:17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130</v>
      </c>
      <c r="B7" s="677"/>
      <c r="C7" s="677"/>
      <c r="D7" s="637" t="s">
        <v>131</v>
      </c>
      <c r="E7" s="679">
        <f>'27'!F7</f>
        <v>513810.67</v>
      </c>
      <c r="F7" s="455">
        <f>E7+21500</f>
        <v>535310.66999999993</v>
      </c>
      <c r="G7" s="678">
        <f>F7-E7</f>
        <v>21499.999999999942</v>
      </c>
      <c r="H7" s="679">
        <f>G7+'27'!H7</f>
        <v>613357.66999999993</v>
      </c>
      <c r="I7" s="680">
        <f>'1'!I7</f>
        <v>12000</v>
      </c>
      <c r="J7" s="681">
        <f>H7/DAY(B2)</f>
        <v>21905.631071428568</v>
      </c>
      <c r="K7" s="549"/>
      <c r="L7" s="377"/>
      <c r="N7" s="1101"/>
    </row>
    <row r="8" spans="1:17" ht="27.75" thickBot="1">
      <c r="A8" s="682" t="s">
        <v>132</v>
      </c>
      <c r="B8" s="683"/>
      <c r="C8" s="684"/>
      <c r="D8" s="685" t="s">
        <v>25</v>
      </c>
      <c r="E8" s="679">
        <f>'27'!F8</f>
        <v>520826.83</v>
      </c>
      <c r="F8" s="475">
        <f>E8+21500</f>
        <v>542326.83000000007</v>
      </c>
      <c r="G8" s="689">
        <f>F8-E8</f>
        <v>21500.000000000058</v>
      </c>
      <c r="H8" s="679">
        <f>G8+'27'!H8</f>
        <v>615604.83000000007</v>
      </c>
      <c r="I8" s="686">
        <f>'1'!I8</f>
        <v>12000</v>
      </c>
      <c r="J8" s="681">
        <f>H8/DAY(B2)</f>
        <v>21985.886785714287</v>
      </c>
      <c r="K8" s="549"/>
      <c r="L8" s="425">
        <v>1375467</v>
      </c>
      <c r="M8" s="440">
        <v>1703438</v>
      </c>
      <c r="N8" s="1101"/>
    </row>
    <row r="9" spans="1:17">
      <c r="A9" s="687" t="s">
        <v>133</v>
      </c>
      <c r="B9" s="688"/>
      <c r="C9" s="688"/>
      <c r="D9" s="637" t="s">
        <v>131</v>
      </c>
      <c r="E9" s="679">
        <f>'27'!F9</f>
        <v>1975218</v>
      </c>
      <c r="F9" s="737">
        <v>1994519</v>
      </c>
      <c r="G9" s="702">
        <f t="shared" ref="G9:G12" si="0">F9-E9</f>
        <v>19301</v>
      </c>
      <c r="H9" s="679">
        <f>G9+'27'!H9</f>
        <v>-36483</v>
      </c>
      <c r="I9" s="690">
        <f>I8-J8</f>
        <v>-9985.8867857142868</v>
      </c>
      <c r="J9" s="681">
        <f>H9/DAY(B2)</f>
        <v>-1302.9642857142858</v>
      </c>
      <c r="K9" s="428"/>
      <c r="L9" s="377"/>
      <c r="N9" s="1101"/>
    </row>
    <row r="10" spans="1:17">
      <c r="A10" s="676" t="s">
        <v>134</v>
      </c>
      <c r="B10" s="677"/>
      <c r="C10" s="677"/>
      <c r="D10" s="637" t="s">
        <v>131</v>
      </c>
      <c r="E10" s="679">
        <f>'27'!F10</f>
        <v>0</v>
      </c>
      <c r="F10" s="737"/>
      <c r="G10" s="689">
        <f t="shared" si="0"/>
        <v>0</v>
      </c>
      <c r="H10" s="679">
        <f>G10+'27'!H10</f>
        <v>-2606.2500000000005</v>
      </c>
      <c r="I10" s="691"/>
      <c r="J10" s="681">
        <f>H10/DAY(B2)</f>
        <v>-93.080357142857153</v>
      </c>
      <c r="K10" s="428"/>
      <c r="L10" s="377"/>
      <c r="M10" s="376">
        <f>170</f>
        <v>170</v>
      </c>
      <c r="N10" s="1101"/>
    </row>
    <row r="11" spans="1:17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101"/>
    </row>
    <row r="12" spans="1:17">
      <c r="A12" s="676" t="s">
        <v>136</v>
      </c>
      <c r="B12" s="677"/>
      <c r="C12" s="677"/>
      <c r="D12" s="637" t="s">
        <v>131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101"/>
    </row>
    <row r="13" spans="1:17">
      <c r="A13" s="692" t="s">
        <v>137</v>
      </c>
      <c r="B13" s="693"/>
      <c r="C13" s="693"/>
      <c r="D13" s="637"/>
      <c r="E13" s="679"/>
      <c r="F13" s="460"/>
      <c r="G13" s="694">
        <f>G9+G10+G11+G12</f>
        <v>19301</v>
      </c>
      <c r="H13" s="679">
        <f>G13+'27'!H13</f>
        <v>-59416.250000000058</v>
      </c>
      <c r="I13" s="695">
        <f>G7-G13</f>
        <v>2198.9999999999418</v>
      </c>
      <c r="J13" s="681">
        <f>H13/DAY(B2)</f>
        <v>-2122.0089285714307</v>
      </c>
      <c r="K13" s="428"/>
      <c r="L13" s="377"/>
      <c r="N13" s="1101"/>
    </row>
    <row r="14" spans="1:17">
      <c r="A14" s="1570" t="s">
        <v>138</v>
      </c>
      <c r="B14" s="1571"/>
      <c r="C14" s="1572"/>
      <c r="D14" s="472"/>
      <c r="E14" s="738"/>
      <c r="F14" s="738"/>
      <c r="G14" s="483"/>
      <c r="H14" s="472"/>
      <c r="I14" s="472"/>
      <c r="J14" s="551"/>
      <c r="K14" s="429"/>
      <c r="L14" s="377"/>
      <c r="N14" s="1101"/>
    </row>
    <row r="15" spans="1:17">
      <c r="A15" s="665" t="s">
        <v>139</v>
      </c>
      <c r="B15" s="666"/>
      <c r="C15" s="666"/>
      <c r="D15" s="667" t="s">
        <v>140</v>
      </c>
      <c r="E15" s="1501">
        <f>'27'!F15</f>
        <v>1725317.72</v>
      </c>
      <c r="F15" s="700">
        <f>E15+700</f>
        <v>1726017.72</v>
      </c>
      <c r="G15" s="664">
        <f>(F15-E15)</f>
        <v>700</v>
      </c>
      <c r="H15" s="1086">
        <f>G15+'27'!H15</f>
        <v>22334.719999999972</v>
      </c>
      <c r="I15" s="1087">
        <v>800</v>
      </c>
      <c r="J15" s="1088">
        <f>H15/DAY(B2)</f>
        <v>797.66857142857043</v>
      </c>
      <c r="K15" s="428"/>
      <c r="L15" s="377"/>
      <c r="N15" s="1101"/>
    </row>
    <row r="16" spans="1:17">
      <c r="A16" s="673"/>
      <c r="B16" s="674"/>
      <c r="C16" s="674"/>
      <c r="D16" s="667"/>
      <c r="E16" s="756"/>
      <c r="F16" s="739"/>
      <c r="G16" s="669"/>
      <c r="H16" s="1086"/>
      <c r="I16" s="1089">
        <f>I15-J15</f>
        <v>2.3314285714295693</v>
      </c>
      <c r="J16" s="1088"/>
      <c r="K16" s="428"/>
      <c r="L16" s="377"/>
      <c r="N16" s="1101"/>
    </row>
    <row r="17" spans="1:17">
      <c r="A17" s="1570" t="s">
        <v>141</v>
      </c>
      <c r="B17" s="1571"/>
      <c r="C17" s="1572"/>
      <c r="D17" s="472"/>
      <c r="E17" s="738"/>
      <c r="F17" s="738"/>
      <c r="G17" s="488"/>
      <c r="H17" s="472"/>
      <c r="I17" s="472"/>
      <c r="J17" s="551"/>
      <c r="K17" s="428"/>
      <c r="L17" s="377"/>
      <c r="N17" s="1101"/>
    </row>
    <row r="18" spans="1:17" ht="27.75">
      <c r="A18" s="1607" t="s">
        <v>142</v>
      </c>
      <c r="B18" s="1608"/>
      <c r="C18" s="1609"/>
      <c r="D18" s="637" t="s">
        <v>143</v>
      </c>
      <c r="E18" s="757">
        <f>'27'!F18</f>
        <v>18</v>
      </c>
      <c r="F18" s="737">
        <v>13</v>
      </c>
      <c r="G18" s="694">
        <f>F18*10</f>
        <v>130</v>
      </c>
      <c r="H18" s="679">
        <f>G18+'27'!H18</f>
        <v>3620</v>
      </c>
      <c r="I18" s="680">
        <f>'1'!I18</f>
        <v>65</v>
      </c>
      <c r="J18" s="681">
        <f>H18/DAY(B2)</f>
        <v>129.28571428571428</v>
      </c>
      <c r="K18" s="428"/>
      <c r="L18" s="377"/>
      <c r="N18" s="1101"/>
    </row>
    <row r="19" spans="1:17" ht="27.75">
      <c r="A19" s="1607" t="s">
        <v>70</v>
      </c>
      <c r="B19" s="1608"/>
      <c r="C19" s="1609"/>
      <c r="D19" s="637" t="s">
        <v>143</v>
      </c>
      <c r="E19" s="757">
        <f>'27'!F19</f>
        <v>141304</v>
      </c>
      <c r="F19" s="737">
        <v>141368</v>
      </c>
      <c r="G19" s="689">
        <f t="shared" ref="G19" si="1">F19-E19</f>
        <v>64</v>
      </c>
      <c r="H19" s="679">
        <f>G19+'27'!H19</f>
        <v>-127</v>
      </c>
      <c r="I19" s="696"/>
      <c r="J19" s="681">
        <f>H19/DAY(B2)</f>
        <v>-4.5357142857142856</v>
      </c>
      <c r="K19" s="428"/>
      <c r="L19" s="377"/>
      <c r="N19" s="1101"/>
    </row>
    <row r="20" spans="1:17">
      <c r="A20" s="692" t="s">
        <v>144</v>
      </c>
      <c r="B20" s="693"/>
      <c r="C20" s="693"/>
      <c r="D20" s="637"/>
      <c r="E20" s="679"/>
      <c r="F20" s="460"/>
      <c r="G20" s="697">
        <f>G18+G19</f>
        <v>194</v>
      </c>
      <c r="H20" s="679">
        <f>G20+'27'!H20</f>
        <v>3493</v>
      </c>
      <c r="I20" s="698">
        <f>I18-J20</f>
        <v>-59.75</v>
      </c>
      <c r="J20" s="681">
        <f>H20/DAY(B2)</f>
        <v>124.75</v>
      </c>
      <c r="K20" s="428"/>
      <c r="L20" s="377"/>
      <c r="N20" s="1101"/>
    </row>
    <row r="21" spans="1:17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  <c r="N21" s="1101"/>
    </row>
    <row r="22" spans="1:17">
      <c r="A22" s="1139" t="s">
        <v>146</v>
      </c>
      <c r="B22" s="589"/>
      <c r="C22" s="589"/>
      <c r="D22" s="523" t="s">
        <v>147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1"/>
    </row>
    <row r="23" spans="1:17">
      <c r="A23" s="1139" t="s">
        <v>148</v>
      </c>
      <c r="B23" s="589"/>
      <c r="C23" s="589"/>
      <c r="D23" s="523" t="s">
        <v>147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1"/>
    </row>
    <row r="24" spans="1:17">
      <c r="A24" s="590" t="s">
        <v>149</v>
      </c>
      <c r="B24" s="591"/>
      <c r="C24" s="591"/>
      <c r="D24" s="511" t="s">
        <v>147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1"/>
    </row>
    <row r="25" spans="1:17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1101"/>
      <c r="O25" s="769"/>
      <c r="P25" s="769"/>
      <c r="Q25" s="769"/>
    </row>
    <row r="26" spans="1:17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1101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21500.000000000058</v>
      </c>
      <c r="F27" s="501">
        <v>9</v>
      </c>
      <c r="G27" s="502">
        <f>E27*F27</f>
        <v>193500.00000000052</v>
      </c>
      <c r="H27" s="460">
        <f>G27+'27'!H27</f>
        <v>5540445.3600000013</v>
      </c>
      <c r="I27" s="503"/>
      <c r="J27" s="552">
        <f>H27/DAY(B2)</f>
        <v>197873.0485714286</v>
      </c>
      <c r="K27" s="373"/>
      <c r="L27" s="443"/>
      <c r="N27" s="1101"/>
      <c r="O27" s="769"/>
      <c r="P27" s="769"/>
      <c r="Q27" s="769"/>
    </row>
    <row r="28" spans="1:17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G28+'27'!H28</f>
        <v>1161405.4399999985</v>
      </c>
      <c r="I28" s="505"/>
      <c r="J28" s="552">
        <f>H28/DAY(B2)</f>
        <v>41478.765714285662</v>
      </c>
      <c r="K28" s="373"/>
      <c r="L28" s="443"/>
      <c r="N28" s="1101"/>
      <c r="O28" s="769"/>
      <c r="P28" s="769"/>
      <c r="Q28" s="769"/>
    </row>
    <row r="29" spans="1:17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1"/>
      <c r="O29" s="769"/>
      <c r="P29" s="769"/>
      <c r="Q29" s="769"/>
    </row>
    <row r="30" spans="1:17" s="442" customFormat="1" ht="27">
      <c r="A30" s="592" t="s">
        <v>157</v>
      </c>
      <c r="B30" s="593"/>
      <c r="C30" s="594"/>
      <c r="D30" s="619" t="s">
        <v>158</v>
      </c>
      <c r="E30" s="699">
        <f>G19</f>
        <v>64</v>
      </c>
      <c r="F30" s="699">
        <v>146</v>
      </c>
      <c r="G30" s="502">
        <f>E30*F30</f>
        <v>9344</v>
      </c>
      <c r="H30" s="460">
        <f>G30+'27'!H30</f>
        <v>-19126</v>
      </c>
      <c r="I30" s="505"/>
      <c r="J30" s="552">
        <f>H30/DAY(B2)</f>
        <v>-683.07142857142856</v>
      </c>
      <c r="K30" s="373"/>
      <c r="L30" s="443"/>
      <c r="N30" s="1101"/>
      <c r="O30" s="769"/>
      <c r="P30" s="769"/>
      <c r="Q30" s="769"/>
    </row>
    <row r="31" spans="1:17" s="442" customFormat="1" ht="27">
      <c r="A31" s="592" t="s">
        <v>159</v>
      </c>
      <c r="B31" s="593"/>
      <c r="C31" s="594"/>
      <c r="D31" s="619" t="s">
        <v>143</v>
      </c>
      <c r="E31" s="699">
        <f>G18</f>
        <v>130</v>
      </c>
      <c r="F31" s="699">
        <v>80</v>
      </c>
      <c r="G31" s="502">
        <f>E31*F31</f>
        <v>10400</v>
      </c>
      <c r="H31" s="460">
        <f>G31+'27'!H31</f>
        <v>284000</v>
      </c>
      <c r="I31" s="505"/>
      <c r="J31" s="552">
        <f>H31/DAY(B2)</f>
        <v>10142.857142857143</v>
      </c>
      <c r="K31" s="373"/>
      <c r="L31" s="443"/>
      <c r="N31" s="1101"/>
      <c r="O31" s="769"/>
      <c r="P31" s="769"/>
      <c r="Q31" s="769"/>
    </row>
    <row r="32" spans="1:17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249644.00000000052</v>
      </c>
      <c r="H32" s="460">
        <f>G32+'27'!H32</f>
        <v>6966724.7999999998</v>
      </c>
      <c r="I32" s="509"/>
      <c r="J32" s="552">
        <f>H32/DAY(B2)</f>
        <v>248811.6</v>
      </c>
      <c r="K32" s="373"/>
      <c r="L32" s="443"/>
      <c r="N32" s="1101"/>
      <c r="O32" s="769"/>
      <c r="P32" s="769"/>
      <c r="Q32" s="769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1101"/>
    </row>
    <row r="34" spans="1:14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  <c r="N34" s="1101"/>
    </row>
    <row r="35" spans="1:14">
      <c r="A35" s="578" t="s">
        <v>163</v>
      </c>
      <c r="B35" s="579"/>
      <c r="C35" s="579"/>
      <c r="D35" s="523" t="s">
        <v>131</v>
      </c>
      <c r="E35" s="741">
        <f>'27'!F35</f>
        <v>1020369</v>
      </c>
      <c r="F35" s="741">
        <v>1023144</v>
      </c>
      <c r="G35" s="473">
        <f t="shared" ref="G35:G46" si="3">F35-E35</f>
        <v>2775</v>
      </c>
      <c r="H35" s="460">
        <f>G35+'27'!H35</f>
        <v>-5570</v>
      </c>
      <c r="I35" s="455"/>
      <c r="J35" s="552">
        <f>H35/DAY(B2)</f>
        <v>-198.92857142857142</v>
      </c>
      <c r="K35" s="428"/>
      <c r="L35" s="377"/>
      <c r="N35" s="1101"/>
    </row>
    <row r="36" spans="1:14">
      <c r="A36" s="578" t="s">
        <v>164</v>
      </c>
      <c r="B36" s="579"/>
      <c r="C36" s="579"/>
      <c r="D36" s="523" t="s">
        <v>131</v>
      </c>
      <c r="E36" s="741">
        <f>'27'!F36</f>
        <v>18589</v>
      </c>
      <c r="F36" s="741">
        <v>19200</v>
      </c>
      <c r="G36" s="473">
        <f t="shared" si="3"/>
        <v>611</v>
      </c>
      <c r="H36" s="460">
        <f>G36+'27'!H36</f>
        <v>-1261.0000000000018</v>
      </c>
      <c r="I36" s="455"/>
      <c r="J36" s="552">
        <f>H36/DAY(B2)</f>
        <v>-45.035714285714349</v>
      </c>
      <c r="K36" s="428"/>
      <c r="L36" s="377"/>
      <c r="N36" s="1101"/>
    </row>
    <row r="37" spans="1:14">
      <c r="A37" s="578" t="s">
        <v>165</v>
      </c>
      <c r="B37" s="579"/>
      <c r="C37" s="579"/>
      <c r="D37" s="523" t="s">
        <v>131</v>
      </c>
      <c r="E37" s="741">
        <f>'27'!F37</f>
        <v>172287</v>
      </c>
      <c r="F37" s="741">
        <v>173741</v>
      </c>
      <c r="G37" s="473">
        <f t="shared" si="3"/>
        <v>1454</v>
      </c>
      <c r="H37" s="460">
        <f>G37+'27'!H37</f>
        <v>-2829</v>
      </c>
      <c r="I37" s="455"/>
      <c r="J37" s="552">
        <f>H37/DAY(B2)</f>
        <v>-101.03571428571429</v>
      </c>
      <c r="K37" s="428"/>
      <c r="L37" s="377"/>
      <c r="N37" s="1101"/>
    </row>
    <row r="38" spans="1:14">
      <c r="A38" s="578" t="s">
        <v>166</v>
      </c>
      <c r="B38" s="579"/>
      <c r="C38" s="579"/>
      <c r="D38" s="523" t="s">
        <v>131</v>
      </c>
      <c r="E38" s="741">
        <f>'27'!F38</f>
        <v>193835</v>
      </c>
      <c r="F38" s="470">
        <v>195523</v>
      </c>
      <c r="G38" s="473">
        <f t="shared" si="3"/>
        <v>1688</v>
      </c>
      <c r="H38" s="460">
        <f>G38+'27'!H38</f>
        <v>-2936</v>
      </c>
      <c r="I38" s="455"/>
      <c r="J38" s="552">
        <f>H38/DAY(B2)</f>
        <v>-104.85714285714286</v>
      </c>
      <c r="K38" s="428"/>
      <c r="L38" s="377"/>
      <c r="N38" s="1101"/>
    </row>
    <row r="39" spans="1:14">
      <c r="A39" s="578" t="s">
        <v>167</v>
      </c>
      <c r="B39" s="579"/>
      <c r="C39" s="579"/>
      <c r="D39" s="523" t="s">
        <v>131</v>
      </c>
      <c r="E39" s="741">
        <f>'27'!F39</f>
        <v>393875</v>
      </c>
      <c r="F39" s="741">
        <v>397563</v>
      </c>
      <c r="G39" s="473">
        <f>F39-E39</f>
        <v>3688</v>
      </c>
      <c r="H39" s="460">
        <f>G39+'27'!H39</f>
        <v>-7301</v>
      </c>
      <c r="I39" s="455"/>
      <c r="J39" s="552">
        <f>H39/DAY(B2)</f>
        <v>-260.75</v>
      </c>
      <c r="K39" s="428"/>
      <c r="L39" s="377"/>
      <c r="N39" s="1101"/>
    </row>
    <row r="40" spans="1:14">
      <c r="A40" s="599" t="s">
        <v>168</v>
      </c>
      <c r="B40" s="600"/>
      <c r="C40" s="600"/>
      <c r="D40" s="523" t="s">
        <v>131</v>
      </c>
      <c r="E40" s="741">
        <f>'27'!F40</f>
        <v>6114</v>
      </c>
      <c r="F40" s="741">
        <v>6379</v>
      </c>
      <c r="G40" s="473">
        <f t="shared" si="3"/>
        <v>265</v>
      </c>
      <c r="H40" s="460">
        <f>G40+'27'!H40</f>
        <v>-734</v>
      </c>
      <c r="I40" s="455"/>
      <c r="J40" s="552">
        <f>H40/DAY(B2)</f>
        <v>-26.214285714285715</v>
      </c>
      <c r="K40" s="429"/>
      <c r="L40" s="377"/>
      <c r="N40" s="1101"/>
    </row>
    <row r="41" spans="1:14">
      <c r="A41" s="578" t="s">
        <v>169</v>
      </c>
      <c r="B41" s="579"/>
      <c r="C41" s="579"/>
      <c r="D41" s="523" t="s">
        <v>131</v>
      </c>
      <c r="E41" s="741">
        <f>'27'!F41</f>
        <v>318653</v>
      </c>
      <c r="F41" s="741">
        <v>322024</v>
      </c>
      <c r="G41" s="473">
        <f t="shared" si="3"/>
        <v>3371</v>
      </c>
      <c r="H41" s="460">
        <f>G41+'27'!H41</f>
        <v>-7618</v>
      </c>
      <c r="I41" s="455"/>
      <c r="J41" s="552">
        <f>H41/DAY(B2)</f>
        <v>-272.07142857142856</v>
      </c>
      <c r="K41" s="428"/>
      <c r="L41" s="377"/>
      <c r="N41" s="1101"/>
    </row>
    <row r="42" spans="1:14">
      <c r="A42" s="578" t="s">
        <v>170</v>
      </c>
      <c r="B42" s="579"/>
      <c r="C42" s="579"/>
      <c r="D42" s="523" t="s">
        <v>131</v>
      </c>
      <c r="E42" s="741">
        <f>'27'!F42</f>
        <v>59210</v>
      </c>
      <c r="F42" s="741">
        <v>59210</v>
      </c>
      <c r="G42" s="473">
        <f t="shared" si="3"/>
        <v>0</v>
      </c>
      <c r="H42" s="460">
        <f>G42+'27'!H42</f>
        <v>11.110000000000582</v>
      </c>
      <c r="I42" s="455"/>
      <c r="J42" s="552">
        <f>H42/DAY(B2)</f>
        <v>0.39678571428573506</v>
      </c>
      <c r="K42" s="428"/>
      <c r="L42" s="377"/>
      <c r="N42" s="1101"/>
    </row>
    <row r="43" spans="1:14">
      <c r="A43" s="578" t="s">
        <v>171</v>
      </c>
      <c r="B43" s="579"/>
      <c r="C43" s="579"/>
      <c r="D43" s="523" t="s">
        <v>131</v>
      </c>
      <c r="E43" s="741">
        <f>'27'!F43</f>
        <v>1112567</v>
      </c>
      <c r="F43" s="741">
        <v>1115293</v>
      </c>
      <c r="G43" s="473">
        <f t="shared" si="3"/>
        <v>2726</v>
      </c>
      <c r="H43" s="460">
        <f>G43+'27'!H43</f>
        <v>-5159</v>
      </c>
      <c r="I43" s="455"/>
      <c r="J43" s="552">
        <f>H43/DAY(B2)</f>
        <v>-184.25</v>
      </c>
      <c r="K43" s="428"/>
      <c r="L43" s="377"/>
      <c r="N43" s="1101"/>
    </row>
    <row r="44" spans="1:14">
      <c r="A44" s="578" t="s">
        <v>172</v>
      </c>
      <c r="B44" s="579"/>
      <c r="C44" s="579"/>
      <c r="D44" s="523" t="s">
        <v>131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1"/>
    </row>
    <row r="45" spans="1:14">
      <c r="A45" s="578" t="s">
        <v>173</v>
      </c>
      <c r="B45" s="579"/>
      <c r="C45" s="579"/>
      <c r="D45" s="523" t="s">
        <v>131</v>
      </c>
      <c r="E45" s="741">
        <f>'27'!F45</f>
        <v>0</v>
      </c>
      <c r="F45" s="741">
        <v>0</v>
      </c>
      <c r="G45" s="473">
        <f t="shared" si="3"/>
        <v>0</v>
      </c>
      <c r="H45" s="460">
        <f>G45+'27'!H45</f>
        <v>-614</v>
      </c>
      <c r="I45" s="455"/>
      <c r="J45" s="552">
        <f>H45/DAY(B2)</f>
        <v>-21.928571428571427</v>
      </c>
      <c r="K45" s="428"/>
      <c r="L45" s="377"/>
      <c r="N45" s="1101"/>
    </row>
    <row r="46" spans="1:14">
      <c r="A46" s="578" t="s">
        <v>174</v>
      </c>
      <c r="B46" s="579"/>
      <c r="C46" s="579"/>
      <c r="D46" s="523" t="s">
        <v>131</v>
      </c>
      <c r="E46" s="741">
        <f>'27'!F46</f>
        <v>0</v>
      </c>
      <c r="F46" s="741">
        <v>0</v>
      </c>
      <c r="G46" s="473">
        <f t="shared" si="3"/>
        <v>0</v>
      </c>
      <c r="H46" s="460">
        <f>G46+'27'!H46</f>
        <v>-187.49</v>
      </c>
      <c r="I46" s="455"/>
      <c r="J46" s="552">
        <f>H46/DAY(B2)</f>
        <v>-6.6960714285714289</v>
      </c>
      <c r="K46" s="428"/>
      <c r="L46" s="377"/>
      <c r="N46" s="1101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-33396.89</v>
      </c>
      <c r="I47" s="455"/>
      <c r="J47" s="552">
        <f>H47/DAY(B2)</f>
        <v>-1192.7460714285714</v>
      </c>
      <c r="K47" s="428"/>
      <c r="L47" s="377"/>
      <c r="N47" s="1101"/>
    </row>
    <row r="48" spans="1:14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  <c r="N48" s="1101"/>
    </row>
    <row r="49" spans="1:14">
      <c r="A49" s="578" t="s">
        <v>163</v>
      </c>
      <c r="B49" s="601"/>
      <c r="C49" s="601"/>
      <c r="D49" s="523" t="s">
        <v>131</v>
      </c>
      <c r="E49" s="741">
        <f>'27'!F49</f>
        <v>260732.13</v>
      </c>
      <c r="F49" s="741">
        <v>260732.13</v>
      </c>
      <c r="G49" s="473">
        <f t="shared" ref="G49:G58" si="4">F49-E49</f>
        <v>0</v>
      </c>
      <c r="H49" s="460">
        <f>G49+'27'!H49</f>
        <v>-31.869999999995343</v>
      </c>
      <c r="I49" s="455"/>
      <c r="J49" s="552">
        <f>H49/DAY(B2)</f>
        <v>-1.1382142857141193</v>
      </c>
      <c r="K49" s="428"/>
      <c r="L49" s="377"/>
      <c r="N49" s="1101"/>
    </row>
    <row r="50" spans="1:14">
      <c r="A50" s="578" t="s">
        <v>177</v>
      </c>
      <c r="B50" s="601"/>
      <c r="C50" s="601"/>
      <c r="D50" s="523" t="s">
        <v>131</v>
      </c>
      <c r="E50" s="741">
        <f>'27'!F50</f>
        <v>531769</v>
      </c>
      <c r="F50" s="741">
        <v>532761</v>
      </c>
      <c r="G50" s="473">
        <f t="shared" si="4"/>
        <v>992</v>
      </c>
      <c r="H50" s="460">
        <f>G50+'27'!H50</f>
        <v>-2995</v>
      </c>
      <c r="I50" s="455"/>
      <c r="J50" s="552">
        <f>H50/DAY(B2)</f>
        <v>-106.96428571428571</v>
      </c>
      <c r="K50" s="428"/>
      <c r="L50" s="377"/>
      <c r="N50" s="1101"/>
    </row>
    <row r="51" spans="1:14">
      <c r="A51" s="578" t="s">
        <v>165</v>
      </c>
      <c r="B51" s="601"/>
      <c r="C51" s="601"/>
      <c r="D51" s="523" t="s">
        <v>131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1"/>
    </row>
    <row r="52" spans="1:14">
      <c r="A52" s="578" t="s">
        <v>178</v>
      </c>
      <c r="B52" s="601"/>
      <c r="C52" s="601"/>
      <c r="D52" s="523" t="s">
        <v>131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1"/>
    </row>
    <row r="53" spans="1:14">
      <c r="A53" s="578" t="s">
        <v>167</v>
      </c>
      <c r="B53" s="601"/>
      <c r="C53" s="601"/>
      <c r="D53" s="523" t="s">
        <v>131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101"/>
    </row>
    <row r="54" spans="1:14">
      <c r="A54" s="578" t="s">
        <v>179</v>
      </c>
      <c r="B54" s="601"/>
      <c r="C54" s="601"/>
      <c r="D54" s="523" t="s">
        <v>131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0</v>
      </c>
      <c r="I54" s="455"/>
      <c r="J54" s="552">
        <f>H54/DAY(B2)</f>
        <v>0</v>
      </c>
      <c r="K54" s="428"/>
      <c r="L54" s="377"/>
      <c r="N54" s="1101"/>
    </row>
    <row r="55" spans="1:14">
      <c r="A55" s="578" t="s">
        <v>180</v>
      </c>
      <c r="B55" s="601"/>
      <c r="C55" s="601"/>
      <c r="D55" s="523" t="s">
        <v>131</v>
      </c>
      <c r="E55" s="741">
        <f>'27'!F55</f>
        <v>111460</v>
      </c>
      <c r="F55" s="742">
        <v>113553</v>
      </c>
      <c r="G55" s="652">
        <f t="shared" si="4"/>
        <v>2093</v>
      </c>
      <c r="H55" s="705">
        <f>G55+'27'!H55</f>
        <v>-9657</v>
      </c>
      <c r="I55" s="706"/>
      <c r="J55" s="707">
        <f>H55/DAY(B2)</f>
        <v>-344.89285714285717</v>
      </c>
      <c r="K55" s="428"/>
      <c r="L55" s="377"/>
      <c r="N55" s="1101"/>
    </row>
    <row r="56" spans="1:14">
      <c r="A56" s="578" t="s">
        <v>181</v>
      </c>
      <c r="B56" s="601"/>
      <c r="C56" s="601"/>
      <c r="D56" s="523" t="s">
        <v>182</v>
      </c>
      <c r="E56" s="741">
        <f>'27'!F56</f>
        <v>648960</v>
      </c>
      <c r="F56" s="742">
        <v>649011</v>
      </c>
      <c r="G56" s="473">
        <f t="shared" si="4"/>
        <v>51</v>
      </c>
      <c r="H56" s="460">
        <f>G56+'27'!H56</f>
        <v>-31</v>
      </c>
      <c r="I56" s="455"/>
      <c r="J56" s="552">
        <f>H56/DAY(B2)</f>
        <v>-1.1071428571428572</v>
      </c>
      <c r="K56" s="427"/>
      <c r="L56" s="377"/>
      <c r="N56" s="1101"/>
    </row>
    <row r="57" spans="1:14">
      <c r="A57" s="578" t="s">
        <v>171</v>
      </c>
      <c r="B57" s="601"/>
      <c r="C57" s="601"/>
      <c r="D57" s="523" t="s">
        <v>131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1"/>
    </row>
    <row r="58" spans="1:14">
      <c r="A58" s="578" t="s">
        <v>183</v>
      </c>
      <c r="B58" s="601"/>
      <c r="C58" s="601"/>
      <c r="D58" s="523" t="s">
        <v>131</v>
      </c>
      <c r="E58" s="741">
        <f>'27'!F58</f>
        <v>53590</v>
      </c>
      <c r="F58" s="1231">
        <v>53820</v>
      </c>
      <c r="G58" s="473">
        <f t="shared" si="4"/>
        <v>230</v>
      </c>
      <c r="H58" s="460">
        <f>G58+'27'!H58</f>
        <v>-360</v>
      </c>
      <c r="I58" s="455"/>
      <c r="J58" s="552">
        <f>H58/DAY(B2)</f>
        <v>-12.857142857142858</v>
      </c>
      <c r="K58" s="428"/>
      <c r="L58" s="377"/>
      <c r="N58" s="1101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-13074.800000000059</v>
      </c>
      <c r="I59" s="455">
        <f>G7-G60</f>
        <v>1555.5999999999913</v>
      </c>
      <c r="J59" s="552">
        <f>H59/DAY(B2)</f>
        <v>-466.95714285714496</v>
      </c>
      <c r="K59" s="428"/>
      <c r="L59" s="377"/>
      <c r="N59" s="1101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-39568.360000000088</v>
      </c>
      <c r="I60" s="455">
        <f>G13-G60</f>
        <v>-643.39999999995052</v>
      </c>
      <c r="J60" s="552">
        <f>H60/DAY(B2)</f>
        <v>-1413.1557142857175</v>
      </c>
      <c r="K60" s="428"/>
      <c r="L60" s="377"/>
      <c r="N60" s="1101"/>
    </row>
    <row r="61" spans="1:14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101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1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1"/>
    </row>
    <row r="64" spans="1:14" ht="27.75">
      <c r="A64" s="1540" t="s">
        <v>98</v>
      </c>
      <c r="B64" s="1541"/>
      <c r="C64" s="1542"/>
      <c r="D64" s="523" t="s">
        <v>186</v>
      </c>
      <c r="E64" s="514">
        <f>'27'!F64</f>
        <v>168917</v>
      </c>
      <c r="F64" s="737">
        <v>169304</v>
      </c>
      <c r="G64" s="473">
        <f t="shared" si="5"/>
        <v>387</v>
      </c>
      <c r="H64" s="460">
        <f>G64+'27'!H64</f>
        <v>-718</v>
      </c>
      <c r="I64" s="480"/>
      <c r="J64" s="552">
        <f>H64/DAY(B2)</f>
        <v>-25.642857142857142</v>
      </c>
      <c r="K64" s="428"/>
      <c r="L64" s="377"/>
      <c r="N64" s="1101"/>
    </row>
    <row r="65" spans="1:14" ht="27.75">
      <c r="A65" s="1540" t="s">
        <v>99</v>
      </c>
      <c r="B65" s="1541"/>
      <c r="C65" s="1542"/>
      <c r="D65" s="523" t="s">
        <v>186</v>
      </c>
      <c r="E65" s="514">
        <f>'27'!F65</f>
        <v>169043</v>
      </c>
      <c r="F65" s="744">
        <v>169452</v>
      </c>
      <c r="G65" s="473">
        <f t="shared" si="5"/>
        <v>409</v>
      </c>
      <c r="H65" s="460">
        <f>G65+'27'!H65</f>
        <v>-850</v>
      </c>
      <c r="I65" s="489"/>
      <c r="J65" s="552">
        <f>H65/DAY(B2)</f>
        <v>-30.357142857142858</v>
      </c>
      <c r="K65" s="428"/>
      <c r="L65" s="377"/>
      <c r="N65" s="1101"/>
    </row>
    <row r="66" spans="1:14" ht="27.75">
      <c r="A66" s="1540" t="s">
        <v>100</v>
      </c>
      <c r="B66" s="1541"/>
      <c r="C66" s="1542"/>
      <c r="D66" s="523" t="s">
        <v>186</v>
      </c>
      <c r="E66" s="514">
        <f>'27'!F66</f>
        <v>66654</v>
      </c>
      <c r="F66" s="737">
        <v>67095</v>
      </c>
      <c r="G66" s="473">
        <f t="shared" si="5"/>
        <v>441</v>
      </c>
      <c r="H66" s="460">
        <f>G66+'27'!H66</f>
        <v>-875</v>
      </c>
      <c r="I66" s="480"/>
      <c r="J66" s="552">
        <f>H66/DAY(B2)</f>
        <v>-31.25</v>
      </c>
      <c r="K66" s="428"/>
      <c r="L66" s="377"/>
      <c r="N66" s="1101"/>
    </row>
    <row r="67" spans="1:14" ht="27.75">
      <c r="A67" s="1540" t="s">
        <v>101</v>
      </c>
      <c r="B67" s="1541"/>
      <c r="C67" s="1542"/>
      <c r="D67" s="523" t="s">
        <v>186</v>
      </c>
      <c r="E67" s="514">
        <f>'27'!F67</f>
        <v>263648</v>
      </c>
      <c r="F67" s="737">
        <v>264088</v>
      </c>
      <c r="G67" s="473">
        <f t="shared" si="5"/>
        <v>440</v>
      </c>
      <c r="H67" s="460">
        <f>G67+'27'!H67</f>
        <v>-871</v>
      </c>
      <c r="I67" s="489"/>
      <c r="J67" s="552">
        <f>H67/DAY(B2)</f>
        <v>-31.107142857142858</v>
      </c>
      <c r="K67" s="429"/>
      <c r="L67" s="377"/>
      <c r="N67" s="1101"/>
    </row>
    <row r="68" spans="1:14" ht="27.75">
      <c r="A68" s="1540" t="s">
        <v>102</v>
      </c>
      <c r="B68" s="1541"/>
      <c r="C68" s="1542"/>
      <c r="D68" s="523" t="s">
        <v>186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1"/>
    </row>
    <row r="69" spans="1:14" ht="27.75">
      <c r="A69" s="1540" t="s">
        <v>103</v>
      </c>
      <c r="B69" s="1541"/>
      <c r="C69" s="1542"/>
      <c r="D69" s="523" t="s">
        <v>186</v>
      </c>
      <c r="E69" s="514">
        <f>'27'!F69</f>
        <v>86824</v>
      </c>
      <c r="F69" s="737">
        <v>87057</v>
      </c>
      <c r="G69" s="473">
        <f t="shared" si="5"/>
        <v>233</v>
      </c>
      <c r="H69" s="460">
        <f>G69+'27'!H69</f>
        <v>-458</v>
      </c>
      <c r="I69" s="516"/>
      <c r="J69" s="552">
        <f>H69/DAY(B2)</f>
        <v>-16.357142857142858</v>
      </c>
      <c r="K69" s="431"/>
      <c r="L69" s="377"/>
      <c r="N69" s="1101"/>
    </row>
    <row r="70" spans="1:14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101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1101"/>
    </row>
    <row r="72" spans="1:14" ht="27.75">
      <c r="A72" s="1540" t="s">
        <v>190</v>
      </c>
      <c r="B72" s="1541"/>
      <c r="C72" s="1542"/>
      <c r="D72" s="523" t="s">
        <v>186</v>
      </c>
      <c r="E72" s="762">
        <f>'27'!F72</f>
        <v>856191</v>
      </c>
      <c r="F72" s="746">
        <v>856201</v>
      </c>
      <c r="G72" s="473">
        <f t="shared" ref="G72:G84" si="6">F72-E72</f>
        <v>10</v>
      </c>
      <c r="H72" s="460">
        <f>G72+'27'!H72</f>
        <v>-34</v>
      </c>
      <c r="I72" s="480"/>
      <c r="J72" s="552">
        <f>H72/DAY(B2)</f>
        <v>-1.2142857142857142</v>
      </c>
      <c r="K72" s="431"/>
      <c r="L72" s="377"/>
      <c r="N72" s="1101"/>
    </row>
    <row r="73" spans="1:14" ht="27.75">
      <c r="A73" s="1540" t="s">
        <v>191</v>
      </c>
      <c r="B73" s="1541"/>
      <c r="C73" s="1542"/>
      <c r="D73" s="523" t="s">
        <v>186</v>
      </c>
      <c r="E73" s="762">
        <f>'27'!F73</f>
        <v>885968</v>
      </c>
      <c r="F73" s="747">
        <v>885970</v>
      </c>
      <c r="G73" s="652">
        <f t="shared" si="6"/>
        <v>2</v>
      </c>
      <c r="H73" s="460">
        <f>G73+'27'!H73</f>
        <v>136</v>
      </c>
      <c r="I73" s="480"/>
      <c r="J73" s="552">
        <f>H73/DAY(B2)</f>
        <v>4.8571428571428568</v>
      </c>
      <c r="K73" s="430"/>
      <c r="L73" s="377"/>
      <c r="N73" s="1101"/>
    </row>
    <row r="74" spans="1:14" ht="27.75">
      <c r="A74" s="1540" t="s">
        <v>192</v>
      </c>
      <c r="B74" s="1541"/>
      <c r="C74" s="1542"/>
      <c r="D74" s="523" t="s">
        <v>186</v>
      </c>
      <c r="E74" s="762">
        <f>'27'!F74</f>
        <v>88689</v>
      </c>
      <c r="F74" s="747">
        <v>88691</v>
      </c>
      <c r="G74" s="473">
        <f t="shared" si="6"/>
        <v>2</v>
      </c>
      <c r="H74" s="460">
        <f>G74+'27'!H74</f>
        <v>29</v>
      </c>
      <c r="I74" s="480"/>
      <c r="J74" s="552">
        <f>H74/DAY(B2)</f>
        <v>1.0357142857142858</v>
      </c>
      <c r="K74" s="431"/>
      <c r="L74" s="377"/>
      <c r="N74" s="1101"/>
    </row>
    <row r="75" spans="1:14" ht="27.75">
      <c r="A75" s="1543" t="s">
        <v>193</v>
      </c>
      <c r="B75" s="1544"/>
      <c r="C75" s="1545"/>
      <c r="D75" s="523" t="s">
        <v>186</v>
      </c>
      <c r="E75" s="762">
        <f>'27'!F75</f>
        <v>15677</v>
      </c>
      <c r="F75" s="747">
        <v>15812</v>
      </c>
      <c r="G75" s="473">
        <f t="shared" si="6"/>
        <v>135</v>
      </c>
      <c r="H75" s="460">
        <f>G75+'27'!H75</f>
        <v>-259</v>
      </c>
      <c r="I75" s="480"/>
      <c r="J75" s="552">
        <f>H75/DAY(B2)</f>
        <v>-9.25</v>
      </c>
      <c r="K75" s="430"/>
      <c r="L75" s="377"/>
      <c r="N75" s="1101"/>
    </row>
    <row r="76" spans="1:14" ht="27.75">
      <c r="A76" s="1543" t="s">
        <v>194</v>
      </c>
      <c r="B76" s="1544"/>
      <c r="C76" s="1545"/>
      <c r="D76" s="523" t="s">
        <v>186</v>
      </c>
      <c r="E76" s="762">
        <f>'27'!F76</f>
        <v>9105</v>
      </c>
      <c r="F76" s="747">
        <v>9181</v>
      </c>
      <c r="G76" s="473">
        <f t="shared" si="6"/>
        <v>76</v>
      </c>
      <c r="H76" s="460">
        <f>G76+'27'!H76</f>
        <v>962</v>
      </c>
      <c r="I76" s="505"/>
      <c r="J76" s="552">
        <f>H76/DAY(B2)</f>
        <v>34.357142857142854</v>
      </c>
      <c r="K76" s="430"/>
      <c r="L76" s="377"/>
      <c r="N76" s="1101"/>
    </row>
    <row r="77" spans="1:14" ht="27.75">
      <c r="A77" s="1540" t="s">
        <v>195</v>
      </c>
      <c r="B77" s="1541"/>
      <c r="C77" s="1542"/>
      <c r="D77" s="523" t="s">
        <v>186</v>
      </c>
      <c r="E77" s="762">
        <f>'27'!F77</f>
        <v>704205</v>
      </c>
      <c r="F77" s="747">
        <v>704262</v>
      </c>
      <c r="G77" s="652">
        <f t="shared" si="6"/>
        <v>57</v>
      </c>
      <c r="H77" s="460">
        <f>G77+'27'!H77</f>
        <v>-112</v>
      </c>
      <c r="I77" s="505"/>
      <c r="J77" s="552">
        <f>H77/DAY(B2)</f>
        <v>-4</v>
      </c>
      <c r="K77" s="430"/>
      <c r="L77" s="377"/>
      <c r="N77" s="1101"/>
    </row>
    <row r="78" spans="1:14" ht="27.75">
      <c r="A78" s="1142" t="s">
        <v>196</v>
      </c>
      <c r="B78" s="1115"/>
      <c r="C78" s="1115"/>
      <c r="D78" s="523" t="s">
        <v>186</v>
      </c>
      <c r="E78" s="762">
        <f>'27'!F78</f>
        <v>675167</v>
      </c>
      <c r="F78" s="747">
        <v>675237</v>
      </c>
      <c r="G78" s="652">
        <f t="shared" si="6"/>
        <v>70</v>
      </c>
      <c r="H78" s="460">
        <f>G78+'27'!H78</f>
        <v>-177</v>
      </c>
      <c r="I78" s="505"/>
      <c r="J78" s="552">
        <f>H78/DAY(B2)</f>
        <v>-6.3214285714285712</v>
      </c>
      <c r="K78" s="430"/>
      <c r="L78" s="377"/>
      <c r="N78" s="1101"/>
    </row>
    <row r="79" spans="1:14" ht="27.75">
      <c r="A79" s="1543" t="s">
        <v>91</v>
      </c>
      <c r="B79" s="1544"/>
      <c r="C79" s="1545"/>
      <c r="D79" s="524" t="s">
        <v>186</v>
      </c>
      <c r="E79" s="762">
        <f>'27'!F79</f>
        <v>834973</v>
      </c>
      <c r="F79" s="748">
        <v>835114</v>
      </c>
      <c r="G79" s="473">
        <f t="shared" si="6"/>
        <v>141</v>
      </c>
      <c r="H79" s="460">
        <f>G79+'27'!H79</f>
        <v>-1040</v>
      </c>
      <c r="I79" s="505"/>
      <c r="J79" s="552">
        <f>H79/DAY(B2)</f>
        <v>-37.142857142857146</v>
      </c>
      <c r="K79" s="430"/>
      <c r="L79" s="377"/>
      <c r="N79" s="1101"/>
    </row>
    <row r="80" spans="1:14" ht="27.75">
      <c r="A80" s="1543" t="s">
        <v>197</v>
      </c>
      <c r="B80" s="1544"/>
      <c r="C80" s="1545"/>
      <c r="D80" s="524" t="s">
        <v>186</v>
      </c>
      <c r="E80" s="762">
        <f>'27'!F80</f>
        <v>537903</v>
      </c>
      <c r="F80" s="747">
        <v>538277</v>
      </c>
      <c r="G80" s="473">
        <f t="shared" si="6"/>
        <v>374</v>
      </c>
      <c r="H80" s="460">
        <f>G80+'27'!H80</f>
        <v>-4114</v>
      </c>
      <c r="I80" s="505"/>
      <c r="J80" s="552">
        <f>H80/DAY(B2)</f>
        <v>-146.92857142857142</v>
      </c>
      <c r="K80" s="430"/>
      <c r="L80" s="377"/>
      <c r="N80" s="1101"/>
    </row>
    <row r="81" spans="1:17" ht="27.75">
      <c r="A81" s="1543" t="s">
        <v>198</v>
      </c>
      <c r="B81" s="1544"/>
      <c r="C81" s="1545"/>
      <c r="D81" s="524" t="s">
        <v>186</v>
      </c>
      <c r="E81" s="762">
        <f>'27'!F81</f>
        <v>642577</v>
      </c>
      <c r="F81" s="747">
        <v>642715</v>
      </c>
      <c r="G81" s="473">
        <f t="shared" si="6"/>
        <v>138</v>
      </c>
      <c r="H81" s="460">
        <f>G81+'27'!H81</f>
        <v>-270</v>
      </c>
      <c r="I81" s="505"/>
      <c r="J81" s="552">
        <f>H81/DAY(B2)</f>
        <v>-9.6428571428571423</v>
      </c>
      <c r="K81" s="430"/>
      <c r="L81" s="377"/>
      <c r="N81" s="1101"/>
    </row>
    <row r="82" spans="1:17" ht="27.75">
      <c r="A82" s="1543" t="s">
        <v>92</v>
      </c>
      <c r="B82" s="1544"/>
      <c r="C82" s="1545"/>
      <c r="D82" s="485" t="s">
        <v>131</v>
      </c>
      <c r="E82" s="762">
        <f>'27'!F82</f>
        <v>108633</v>
      </c>
      <c r="F82" s="744">
        <v>108646</v>
      </c>
      <c r="G82" s="473">
        <f t="shared" si="6"/>
        <v>13</v>
      </c>
      <c r="H82" s="460">
        <f>G82+'27'!H82</f>
        <v>-35</v>
      </c>
      <c r="I82" s="486"/>
      <c r="J82" s="552">
        <f>H82/DAY(B2)</f>
        <v>-1.25</v>
      </c>
      <c r="K82" s="430"/>
      <c r="L82" s="377"/>
      <c r="N82" s="1101"/>
    </row>
    <row r="83" spans="1:17" ht="27.75">
      <c r="A83" s="1543" t="s">
        <v>199</v>
      </c>
      <c r="B83" s="1544"/>
      <c r="C83" s="1545"/>
      <c r="D83" s="620" t="s">
        <v>131</v>
      </c>
      <c r="E83" s="762">
        <f>'27'!F83</f>
        <v>26634</v>
      </c>
      <c r="F83" s="470">
        <v>26956</v>
      </c>
      <c r="G83" s="473">
        <f t="shared" si="6"/>
        <v>322</v>
      </c>
      <c r="H83" s="460">
        <f>G83+'27'!H83</f>
        <v>-595</v>
      </c>
      <c r="I83" s="481"/>
      <c r="J83" s="552">
        <f>H83/DAY(B2)</f>
        <v>-21.25</v>
      </c>
      <c r="K83" s="429"/>
      <c r="L83" s="377"/>
      <c r="N83" s="1101"/>
    </row>
    <row r="84" spans="1:17">
      <c r="A84" s="1143" t="s">
        <v>200</v>
      </c>
      <c r="B84" s="571"/>
      <c r="C84" s="571"/>
      <c r="D84" s="478" t="s">
        <v>131</v>
      </c>
      <c r="E84" s="762">
        <f>'27'!F84</f>
        <v>520637</v>
      </c>
      <c r="F84" s="705">
        <v>521455</v>
      </c>
      <c r="G84" s="473">
        <f t="shared" si="6"/>
        <v>818</v>
      </c>
      <c r="H84" s="460">
        <f>G84+'27'!H84</f>
        <v>-1625</v>
      </c>
      <c r="I84" s="481"/>
      <c r="J84" s="552">
        <f>H84/DAY(B2)</f>
        <v>-58.035714285714285</v>
      </c>
      <c r="K84" s="380"/>
      <c r="L84" s="377"/>
      <c r="N84" s="1101"/>
    </row>
    <row r="85" spans="1:17" s="379" customFormat="1">
      <c r="A85" s="605" t="s">
        <v>201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2158</v>
      </c>
      <c r="H85" s="460">
        <f>G85+'27'!H85</f>
        <v>-4260.0000000000073</v>
      </c>
      <c r="I85" s="481"/>
      <c r="J85" s="552">
        <f>H85/DAY(B2)</f>
        <v>-152.14285714285739</v>
      </c>
      <c r="K85" s="380"/>
      <c r="L85" s="378"/>
      <c r="N85" s="1101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182</v>
      </c>
      <c r="E86" s="705">
        <f>'27'!F86</f>
        <v>461705</v>
      </c>
      <c r="F86" s="749">
        <v>461744</v>
      </c>
      <c r="G86" s="705">
        <f t="shared" ref="G86:G88" si="7">F86-E86</f>
        <v>39</v>
      </c>
      <c r="H86" s="705">
        <f t="shared" ref="H86:H88" si="8">G86</f>
        <v>39</v>
      </c>
      <c r="I86" s="652"/>
      <c r="J86" s="707">
        <f>H86/DAY(B2)</f>
        <v>1.3928571428571428</v>
      </c>
      <c r="K86" s="733"/>
      <c r="L86" s="734"/>
      <c r="N86" s="1101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182</v>
      </c>
      <c r="E87" s="705">
        <f>'27'!F87</f>
        <v>81978</v>
      </c>
      <c r="F87" s="749">
        <v>82008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1.0714285714285714</v>
      </c>
      <c r="K87" s="733"/>
      <c r="L87" s="734"/>
      <c r="N87" s="1101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182</v>
      </c>
      <c r="E88" s="705">
        <f>'27'!F88</f>
        <v>154983</v>
      </c>
      <c r="F88" s="749">
        <v>155122</v>
      </c>
      <c r="G88" s="705">
        <f t="shared" si="7"/>
        <v>139</v>
      </c>
      <c r="H88" s="705">
        <f t="shared" si="8"/>
        <v>139</v>
      </c>
      <c r="I88" s="652"/>
      <c r="J88" s="707">
        <f>H88/DAY(B2)</f>
        <v>4.9642857142857144</v>
      </c>
      <c r="K88" s="733"/>
      <c r="L88" s="734"/>
      <c r="N88" s="1101"/>
      <c r="O88" s="769"/>
      <c r="P88" s="769"/>
      <c r="Q88" s="770"/>
    </row>
    <row r="89" spans="1:17" s="735" customFormat="1">
      <c r="A89" s="730" t="s">
        <v>203</v>
      </c>
      <c r="B89" s="731"/>
      <c r="C89" s="731"/>
      <c r="D89" s="732" t="s">
        <v>182</v>
      </c>
      <c r="E89" s="705">
        <f>'27'!F89</f>
        <v>65763</v>
      </c>
      <c r="F89" s="749">
        <v>65798</v>
      </c>
      <c r="G89" s="705">
        <f t="shared" ref="G89:G91" si="9">F89-E89</f>
        <v>35</v>
      </c>
      <c r="H89" s="705">
        <f t="shared" ref="H89:H91" si="10">G89</f>
        <v>35</v>
      </c>
      <c r="I89" s="652"/>
      <c r="J89" s="707">
        <f>H89/DAY(B2)</f>
        <v>1.25</v>
      </c>
      <c r="K89" s="733"/>
      <c r="L89" s="734"/>
      <c r="N89" s="1101"/>
      <c r="O89" s="382"/>
    </row>
    <row r="90" spans="1:17" s="735" customFormat="1">
      <c r="A90" s="730" t="s">
        <v>203</v>
      </c>
      <c r="B90" s="731"/>
      <c r="C90" s="731"/>
      <c r="D90" s="732" t="s">
        <v>182</v>
      </c>
      <c r="E90" s="705">
        <f>'27'!F90</f>
        <v>3334</v>
      </c>
      <c r="F90" s="749">
        <v>3338</v>
      </c>
      <c r="G90" s="705">
        <f t="shared" si="9"/>
        <v>4</v>
      </c>
      <c r="H90" s="705">
        <f t="shared" si="10"/>
        <v>4</v>
      </c>
      <c r="I90" s="652"/>
      <c r="J90" s="707">
        <f>H90/DAY(B2)</f>
        <v>0.14285714285714285</v>
      </c>
      <c r="K90" s="733"/>
      <c r="L90" s="734"/>
      <c r="N90" s="1101"/>
      <c r="O90" s="382"/>
    </row>
    <row r="91" spans="1:17" s="735" customFormat="1">
      <c r="A91" s="730" t="s">
        <v>347</v>
      </c>
      <c r="B91" s="731"/>
      <c r="C91" s="731"/>
      <c r="D91" s="732"/>
      <c r="E91" s="705">
        <f>'27'!F91</f>
        <v>28218</v>
      </c>
      <c r="F91" s="647">
        <v>28229</v>
      </c>
      <c r="G91" s="705">
        <f t="shared" si="9"/>
        <v>11</v>
      </c>
      <c r="H91" s="705">
        <f t="shared" si="10"/>
        <v>11</v>
      </c>
      <c r="I91" s="652"/>
      <c r="J91" s="707">
        <f>H91/DAY(B2)</f>
        <v>0.39285714285714285</v>
      </c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1101"/>
      <c r="O92" s="769"/>
      <c r="P92" s="769"/>
      <c r="Q92" s="769"/>
    </row>
    <row r="93" spans="1:17" ht="27.75">
      <c r="A93" s="1559" t="s">
        <v>205</v>
      </c>
      <c r="B93" s="1560"/>
      <c r="C93" s="1561"/>
      <c r="D93" s="523" t="s">
        <v>143</v>
      </c>
      <c r="E93" s="758">
        <f>'27'!F93</f>
        <v>247186</v>
      </c>
      <c r="F93" s="737">
        <v>247272</v>
      </c>
      <c r="G93" s="473">
        <f t="shared" ref="G93:G94" si="11">F93-E93</f>
        <v>86</v>
      </c>
      <c r="H93" s="460">
        <f>G93+'27'!H93</f>
        <v>-80</v>
      </c>
      <c r="I93" s="480"/>
      <c r="J93" s="552">
        <f>H93/DAY(B2)</f>
        <v>-2.8571428571428572</v>
      </c>
      <c r="K93" s="429"/>
      <c r="L93" s="377"/>
      <c r="N93" s="1101"/>
    </row>
    <row r="94" spans="1:17" ht="27.75">
      <c r="A94" s="1559" t="s">
        <v>206</v>
      </c>
      <c r="B94" s="1560"/>
      <c r="C94" s="1561"/>
      <c r="D94" s="523" t="s">
        <v>143</v>
      </c>
      <c r="E94" s="758">
        <f>'27'!F94</f>
        <v>189136</v>
      </c>
      <c r="F94" s="737">
        <v>189233</v>
      </c>
      <c r="G94" s="473">
        <f t="shared" si="11"/>
        <v>97</v>
      </c>
      <c r="H94" s="460">
        <f>G94+'27'!H94</f>
        <v>-221</v>
      </c>
      <c r="I94" s="480"/>
      <c r="J94" s="552">
        <f>H94/DAY(B2)</f>
        <v>-7.8928571428571432</v>
      </c>
      <c r="K94" s="380"/>
      <c r="L94" s="377"/>
      <c r="N94" s="1101"/>
    </row>
    <row r="95" spans="1:17">
      <c r="A95" s="1591" t="s">
        <v>207</v>
      </c>
      <c r="B95" s="1592"/>
      <c r="C95" s="1593"/>
      <c r="D95" s="523"/>
      <c r="E95" s="758"/>
      <c r="F95" s="737"/>
      <c r="G95" s="473">
        <f>G93+G94</f>
        <v>183</v>
      </c>
      <c r="H95" s="460">
        <f>G95+'27'!H95</f>
        <v>-487</v>
      </c>
      <c r="I95" s="480"/>
      <c r="J95" s="552">
        <f>H95/DAY(B2)</f>
        <v>-17.392857142857142</v>
      </c>
      <c r="K95" s="380"/>
      <c r="L95" s="377"/>
      <c r="N95" s="1101"/>
    </row>
    <row r="96" spans="1:17" ht="27.75">
      <c r="A96" s="1559" t="s">
        <v>208</v>
      </c>
      <c r="B96" s="1560"/>
      <c r="C96" s="1561"/>
      <c r="D96" s="523" t="s">
        <v>143</v>
      </c>
      <c r="E96" s="758">
        <f>'27'!F96</f>
        <v>415828</v>
      </c>
      <c r="F96" s="737">
        <v>415899</v>
      </c>
      <c r="G96" s="473">
        <f t="shared" ref="G96:G101" si="12">F96-E96</f>
        <v>71</v>
      </c>
      <c r="H96" s="460">
        <f>G96+'27'!H96</f>
        <v>-100</v>
      </c>
      <c r="I96" s="480"/>
      <c r="J96" s="552">
        <f>H96/DAY(B2)</f>
        <v>-3.5714285714285716</v>
      </c>
      <c r="K96" s="380"/>
      <c r="L96" s="377"/>
      <c r="N96" s="1101"/>
    </row>
    <row r="97" spans="1:17" ht="27.75">
      <c r="A97" s="1139" t="s">
        <v>209</v>
      </c>
      <c r="B97" s="1140"/>
      <c r="C97" s="1140"/>
      <c r="D97" s="523" t="s">
        <v>143</v>
      </c>
      <c r="E97" s="758">
        <f>'27'!F97</f>
        <v>103114</v>
      </c>
      <c r="F97" s="737">
        <v>103138</v>
      </c>
      <c r="G97" s="473">
        <f t="shared" si="12"/>
        <v>24</v>
      </c>
      <c r="H97" s="460">
        <f>G97+'27'!H97</f>
        <v>-25</v>
      </c>
      <c r="I97" s="480"/>
      <c r="J97" s="552">
        <f>H97/DAY(B2)</f>
        <v>-0.8928571428571429</v>
      </c>
      <c r="K97" s="427"/>
      <c r="L97" s="377"/>
      <c r="N97" s="1101"/>
    </row>
    <row r="98" spans="1:17" ht="27.75">
      <c r="A98" s="1139" t="s">
        <v>210</v>
      </c>
      <c r="B98" s="1140"/>
      <c r="C98" s="1140"/>
      <c r="D98" s="523" t="s">
        <v>143</v>
      </c>
      <c r="E98" s="758">
        <f>'27'!F98</f>
        <v>98601</v>
      </c>
      <c r="F98" s="737">
        <v>98617</v>
      </c>
      <c r="G98" s="473">
        <f t="shared" si="12"/>
        <v>16</v>
      </c>
      <c r="H98" s="460">
        <f>G98+'27'!H98</f>
        <v>-40</v>
      </c>
      <c r="I98" s="480"/>
      <c r="J98" s="552">
        <f>H98/DAY(B2)</f>
        <v>-1.4285714285714286</v>
      </c>
      <c r="K98" s="432"/>
      <c r="L98" s="377"/>
      <c r="N98" s="1101"/>
    </row>
    <row r="99" spans="1:17" ht="27.75">
      <c r="A99" s="1139" t="s">
        <v>211</v>
      </c>
      <c r="B99" s="1140"/>
      <c r="C99" s="1140"/>
      <c r="D99" s="523" t="s">
        <v>143</v>
      </c>
      <c r="E99" s="758">
        <f>'27'!F99</f>
        <v>150314</v>
      </c>
      <c r="F99" s="737">
        <v>150347</v>
      </c>
      <c r="G99" s="473">
        <f t="shared" si="12"/>
        <v>33</v>
      </c>
      <c r="H99" s="460">
        <f>G99+'27'!H99</f>
        <v>-58</v>
      </c>
      <c r="I99" s="480"/>
      <c r="J99" s="552">
        <f>H99/DAY(B2)</f>
        <v>-2.0714285714285716</v>
      </c>
      <c r="K99" s="380"/>
      <c r="L99" s="377"/>
      <c r="N99" s="1101"/>
    </row>
    <row r="100" spans="1:17" ht="27.75">
      <c r="A100" s="1139" t="s">
        <v>212</v>
      </c>
      <c r="B100" s="1140"/>
      <c r="C100" s="1140"/>
      <c r="D100" s="523" t="s">
        <v>143</v>
      </c>
      <c r="E100" s="758">
        <f>'27'!F100</f>
        <v>7740</v>
      </c>
      <c r="F100" s="737">
        <v>7763</v>
      </c>
      <c r="G100" s="473">
        <f t="shared" si="12"/>
        <v>23</v>
      </c>
      <c r="H100" s="460">
        <f>G100+'27'!H100</f>
        <v>-34</v>
      </c>
      <c r="I100" s="480"/>
      <c r="J100" s="552">
        <f>H100/DAY(B2)</f>
        <v>-1.2142857142857142</v>
      </c>
      <c r="K100" s="380"/>
      <c r="L100" s="377"/>
      <c r="N100" s="1101"/>
    </row>
    <row r="101" spans="1:17" ht="27.75">
      <c r="A101" s="1139" t="s">
        <v>213</v>
      </c>
      <c r="B101" s="1140"/>
      <c r="C101" s="1140"/>
      <c r="D101" s="523" t="s">
        <v>143</v>
      </c>
      <c r="E101" s="758">
        <f>'27'!F101</f>
        <v>5633</v>
      </c>
      <c r="F101" s="737">
        <v>5652</v>
      </c>
      <c r="G101" s="473">
        <f t="shared" si="12"/>
        <v>19</v>
      </c>
      <c r="H101" s="460">
        <f>G101+'27'!H101</f>
        <v>-22</v>
      </c>
      <c r="I101" s="480"/>
      <c r="J101" s="552">
        <f>H101/DAY(B2)</f>
        <v>-0.7857142857142857</v>
      </c>
      <c r="K101" s="380"/>
      <c r="L101" s="377"/>
      <c r="N101" s="1101"/>
    </row>
    <row r="102" spans="1:17">
      <c r="A102" s="1591" t="s">
        <v>215</v>
      </c>
      <c r="B102" s="1592"/>
      <c r="C102" s="1593"/>
      <c r="D102" s="524"/>
      <c r="E102" s="486"/>
      <c r="F102" s="486"/>
      <c r="G102" s="525">
        <f>SUM(G96:G101)</f>
        <v>186</v>
      </c>
      <c r="H102" s="460">
        <f>G102+'27'!H102</f>
        <v>-279</v>
      </c>
      <c r="I102" s="526"/>
      <c r="J102" s="552">
        <f>H102/DAY(B2)</f>
        <v>-9.9642857142857135</v>
      </c>
      <c r="K102" s="380"/>
      <c r="L102" s="377"/>
      <c r="N102" s="1101"/>
    </row>
    <row r="103" spans="1:17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101"/>
      <c r="O103" s="769"/>
      <c r="P103" s="769"/>
      <c r="Q103" s="769"/>
    </row>
    <row r="104" spans="1:17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1101"/>
      <c r="O104" s="769"/>
      <c r="P104" s="769"/>
      <c r="Q104" s="769"/>
    </row>
    <row r="105" spans="1:17" s="442" customFormat="1" ht="27">
      <c r="A105" s="1551" t="s">
        <v>218</v>
      </c>
      <c r="B105" s="1552"/>
      <c r="C105" s="1138"/>
      <c r="D105" s="622" t="s">
        <v>143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101"/>
      <c r="O105" s="769"/>
      <c r="P105" s="769"/>
      <c r="Q105" s="769"/>
    </row>
    <row r="106" spans="1:17" s="442" customFormat="1" ht="27">
      <c r="A106" s="1551" t="s">
        <v>76</v>
      </c>
      <c r="B106" s="1552"/>
      <c r="C106" s="1138"/>
      <c r="D106" s="622" t="s">
        <v>143</v>
      </c>
      <c r="E106" s="533">
        <f>'27'!F106</f>
        <v>36143</v>
      </c>
      <c r="F106" s="660">
        <v>36156</v>
      </c>
      <c r="G106" s="532">
        <f t="shared" ref="G106" si="13">F106-E106</f>
        <v>13</v>
      </c>
      <c r="H106" s="533">
        <f>SUM(G106+'1'!G77)</f>
        <v>66</v>
      </c>
      <c r="I106" s="532"/>
      <c r="J106" s="558">
        <f>H106/DAY(B2)</f>
        <v>2.3571428571428572</v>
      </c>
      <c r="N106" s="1101"/>
      <c r="O106" s="769"/>
      <c r="P106" s="769"/>
      <c r="Q106" s="769"/>
    </row>
    <row r="107" spans="1:17" s="442" customFormat="1" ht="27">
      <c r="A107" s="1551" t="s">
        <v>77</v>
      </c>
      <c r="B107" s="1596"/>
      <c r="C107" s="1552"/>
      <c r="D107" s="622" t="s">
        <v>143</v>
      </c>
      <c r="E107" s="533">
        <f>'27'!F107</f>
        <v>19810</v>
      </c>
      <c r="F107" s="660">
        <v>19816</v>
      </c>
      <c r="G107" s="532">
        <f>F107-E107</f>
        <v>6</v>
      </c>
      <c r="H107" s="533">
        <f>SUM(G107+'1'!G78)</f>
        <v>120</v>
      </c>
      <c r="I107" s="532"/>
      <c r="J107" s="558">
        <f>H107/DAY(B2)</f>
        <v>4.2857142857142856</v>
      </c>
      <c r="N107" s="1101"/>
      <c r="O107" s="769"/>
      <c r="P107" s="769"/>
      <c r="Q107" s="769"/>
    </row>
    <row r="108" spans="1:17" s="442" customFormat="1" ht="27">
      <c r="A108" s="1553" t="s">
        <v>201</v>
      </c>
      <c r="B108" s="1554"/>
      <c r="C108" s="1138"/>
      <c r="D108" s="622"/>
      <c r="E108" s="533">
        <f>'27'!F108</f>
        <v>0</v>
      </c>
      <c r="F108" s="660"/>
      <c r="G108" s="532">
        <f>SUM(G105:G107)</f>
        <v>19</v>
      </c>
      <c r="H108" s="533">
        <f>SUM(G108+'1'!G79)</f>
        <v>172</v>
      </c>
      <c r="I108" s="532"/>
      <c r="J108" s="558">
        <f>H108/DAY(B2)</f>
        <v>6.1428571428571432</v>
      </c>
      <c r="N108" s="1101"/>
      <c r="O108" s="769"/>
      <c r="P108" s="769"/>
      <c r="Q108" s="769"/>
    </row>
    <row r="109" spans="1:17" s="442" customFormat="1" ht="27">
      <c r="A109" s="1557" t="s">
        <v>78</v>
      </c>
      <c r="B109" s="1558"/>
      <c r="C109" s="1138"/>
      <c r="D109" s="622" t="s">
        <v>143</v>
      </c>
      <c r="E109" s="533">
        <f>'27'!F109</f>
        <v>0</v>
      </c>
      <c r="F109" s="660"/>
      <c r="G109" s="532"/>
      <c r="H109" s="533"/>
      <c r="I109" s="532"/>
      <c r="J109" s="558"/>
      <c r="N109" s="1101"/>
      <c r="O109" s="769"/>
      <c r="P109" s="769"/>
      <c r="Q109" s="769"/>
    </row>
    <row r="110" spans="1:17" s="442" customFormat="1" ht="27">
      <c r="A110" s="1551" t="s">
        <v>219</v>
      </c>
      <c r="B110" s="1552"/>
      <c r="C110" s="1138"/>
      <c r="D110" s="622" t="s">
        <v>143</v>
      </c>
      <c r="E110" s="533">
        <f>'27'!F110</f>
        <v>64608</v>
      </c>
      <c r="F110" s="660">
        <v>64692</v>
      </c>
      <c r="G110" s="532">
        <f>F110-E110</f>
        <v>84</v>
      </c>
      <c r="H110" s="533">
        <f>SUM(G110+'1'!G81)</f>
        <v>215.64000000001397</v>
      </c>
      <c r="I110" s="532"/>
      <c r="J110" s="558">
        <f>H110/DAY(B2)</f>
        <v>7.7014285714290702</v>
      </c>
      <c r="N110" s="1101"/>
      <c r="O110" s="769"/>
      <c r="P110" s="769"/>
      <c r="Q110" s="769"/>
    </row>
    <row r="111" spans="1:17" s="442" customFormat="1" ht="27">
      <c r="A111" s="1551" t="s">
        <v>220</v>
      </c>
      <c r="B111" s="1552"/>
      <c r="C111" s="1138"/>
      <c r="D111" s="622" t="s">
        <v>143</v>
      </c>
      <c r="E111" s="533">
        <f>'27'!F111</f>
        <v>33046</v>
      </c>
      <c r="F111" s="660">
        <v>33078</v>
      </c>
      <c r="G111" s="532">
        <f t="shared" ref="G111:G112" si="14">F111-E111</f>
        <v>32</v>
      </c>
      <c r="H111" s="533">
        <f>SUM(G111+'1'!G82)</f>
        <v>56.899999999994179</v>
      </c>
      <c r="I111" s="532"/>
      <c r="J111" s="558">
        <f>H111/DAY(B2)</f>
        <v>2.0321428571426492</v>
      </c>
      <c r="N111" s="1101"/>
      <c r="O111" s="769"/>
      <c r="P111" s="769"/>
      <c r="Q111" s="769"/>
    </row>
    <row r="112" spans="1:17" s="442" customFormat="1" ht="27">
      <c r="A112" s="1551" t="s">
        <v>221</v>
      </c>
      <c r="B112" s="1552"/>
      <c r="C112" s="1138"/>
      <c r="D112" s="622" t="s">
        <v>143</v>
      </c>
      <c r="E112" s="533">
        <f>'27'!F112</f>
        <v>4621</v>
      </c>
      <c r="F112" s="660">
        <v>4621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101"/>
      <c r="O112" s="769"/>
      <c r="P112" s="769"/>
      <c r="Q112" s="769"/>
    </row>
    <row r="113" spans="1:17" s="442" customFormat="1" ht="27">
      <c r="A113" s="1553" t="s">
        <v>109</v>
      </c>
      <c r="B113" s="1554"/>
      <c r="C113" s="1138"/>
      <c r="D113" s="622"/>
      <c r="E113" s="533">
        <f>'27'!F113</f>
        <v>0</v>
      </c>
      <c r="F113" s="660"/>
      <c r="G113" s="532">
        <f>SUM(G110:G112)</f>
        <v>116</v>
      </c>
      <c r="H113" s="533">
        <f>SUM(G113+'1'!G84)</f>
        <v>932</v>
      </c>
      <c r="I113" s="532"/>
      <c r="J113" s="558">
        <f>H113/DAY(B2)</f>
        <v>33.285714285714285</v>
      </c>
      <c r="N113" s="1101"/>
      <c r="O113" s="769"/>
      <c r="P113" s="769"/>
      <c r="Q113" s="769"/>
    </row>
    <row r="114" spans="1:17" s="442" customFormat="1" ht="27">
      <c r="A114" s="1557" t="s">
        <v>222</v>
      </c>
      <c r="B114" s="1558"/>
      <c r="C114" s="1138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101"/>
      <c r="O114" s="769"/>
      <c r="P114" s="769"/>
      <c r="Q114" s="769"/>
    </row>
    <row r="115" spans="1:17" s="442" customFormat="1" ht="27">
      <c r="A115" s="1551" t="s">
        <v>223</v>
      </c>
      <c r="B115" s="1552"/>
      <c r="C115" s="574"/>
      <c r="D115" s="622" t="s">
        <v>143</v>
      </c>
      <c r="E115" s="533">
        <f>'27'!F115</f>
        <v>11947</v>
      </c>
      <c r="F115" s="660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1"/>
      <c r="O115" s="769"/>
      <c r="P115" s="769"/>
      <c r="Q115" s="769"/>
    </row>
    <row r="116" spans="1:17" s="442" customFormat="1" ht="27">
      <c r="A116" s="1551" t="s">
        <v>224</v>
      </c>
      <c r="B116" s="1552"/>
      <c r="C116" s="574"/>
      <c r="D116" s="622" t="s">
        <v>143</v>
      </c>
      <c r="E116" s="533">
        <f>'27'!F116</f>
        <v>8520</v>
      </c>
      <c r="F116" s="660">
        <v>8538</v>
      </c>
      <c r="G116" s="534">
        <f t="shared" ref="G116:G117" si="15">F116-E116</f>
        <v>18</v>
      </c>
      <c r="H116" s="533">
        <f>SUM(G116+'1'!G93)</f>
        <v>107</v>
      </c>
      <c r="I116" s="532"/>
      <c r="J116" s="558">
        <f>H116/DAY(B2)</f>
        <v>3.8214285714285716</v>
      </c>
      <c r="N116" s="1101"/>
      <c r="O116" s="769"/>
      <c r="P116" s="769"/>
      <c r="Q116" s="769"/>
    </row>
    <row r="117" spans="1:17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101"/>
      <c r="O117" s="769"/>
      <c r="P117" s="769"/>
      <c r="Q117" s="769"/>
    </row>
    <row r="118" spans="1:17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45</v>
      </c>
      <c r="H118" s="533">
        <f>SUM(G118+'1'!G96)</f>
        <v>131</v>
      </c>
      <c r="I118" s="534"/>
      <c r="J118" s="558">
        <f>H118/DAY(B2)</f>
        <v>4.6785714285714288</v>
      </c>
      <c r="N118" s="1101"/>
      <c r="O118" s="769"/>
      <c r="P118" s="769"/>
      <c r="Q118" s="770"/>
    </row>
    <row r="119" spans="1:17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150</v>
      </c>
      <c r="H119" s="533">
        <f>SUM(G119+'1'!G97)</f>
        <v>167</v>
      </c>
      <c r="I119" s="535"/>
      <c r="J119" s="559">
        <f>H119/DAY(B2)</f>
        <v>5.9642857142857144</v>
      </c>
      <c r="N119" s="1101"/>
      <c r="O119" s="769"/>
      <c r="P119" s="769"/>
      <c r="Q119" s="770"/>
    </row>
    <row r="120" spans="1:17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153</v>
      </c>
      <c r="H120" s="533">
        <f>SUM(G120+'1'!G99)</f>
        <v>203</v>
      </c>
      <c r="I120" s="535"/>
      <c r="J120" s="559">
        <f>H120/DAY(B2)</f>
        <v>7.25</v>
      </c>
      <c r="N120" s="1101"/>
      <c r="O120" s="769"/>
      <c r="P120" s="769"/>
      <c r="Q120" s="770"/>
    </row>
    <row r="121" spans="1:17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116</v>
      </c>
      <c r="H121" s="533">
        <f>SUM(G121+'1'!G101)</f>
        <v>121</v>
      </c>
      <c r="I121" s="535"/>
      <c r="J121" s="559">
        <f>H121/DAY(B2)</f>
        <v>4.3214285714285712</v>
      </c>
      <c r="N121" s="1101"/>
      <c r="O121" s="769"/>
      <c r="P121" s="769"/>
      <c r="Q121" s="770"/>
    </row>
    <row r="122" spans="1:17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1101"/>
      <c r="O122" s="769"/>
      <c r="P122" s="769"/>
      <c r="Q122" s="769"/>
    </row>
    <row r="123" spans="1:17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  <c r="N123" s="1101"/>
    </row>
    <row r="124" spans="1:17" ht="27.75">
      <c r="A124" s="1139" t="s">
        <v>230</v>
      </c>
      <c r="B124" s="1140"/>
      <c r="C124" s="1140"/>
      <c r="D124" s="523" t="s">
        <v>140</v>
      </c>
      <c r="E124" s="737">
        <f>'27'!F124</f>
        <v>838862</v>
      </c>
      <c r="F124" s="737">
        <v>839146</v>
      </c>
      <c r="G124" s="473">
        <f t="shared" ref="G124:G128" si="16">F124-E124</f>
        <v>284</v>
      </c>
      <c r="H124" s="460">
        <f>G124+'27'!H124</f>
        <v>-524</v>
      </c>
      <c r="I124" s="526"/>
      <c r="J124" s="552">
        <f>H124/DAY(B2)</f>
        <v>-18.714285714285715</v>
      </c>
      <c r="K124" s="380"/>
      <c r="L124" s="377"/>
      <c r="N124" s="1101"/>
    </row>
    <row r="125" spans="1:17" ht="27.75">
      <c r="A125" s="1139" t="s">
        <v>231</v>
      </c>
      <c r="B125" s="1140"/>
      <c r="C125" s="1140"/>
      <c r="D125" s="523" t="s">
        <v>140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1"/>
    </row>
    <row r="126" spans="1:17" ht="27.75">
      <c r="A126" s="1540" t="s">
        <v>232</v>
      </c>
      <c r="B126" s="1541"/>
      <c r="C126" s="1542"/>
      <c r="D126" s="523" t="s">
        <v>140</v>
      </c>
      <c r="E126" s="737">
        <f>'27'!F126</f>
        <v>148391</v>
      </c>
      <c r="F126" s="737">
        <v>148453</v>
      </c>
      <c r="G126" s="473">
        <f t="shared" si="16"/>
        <v>62</v>
      </c>
      <c r="H126" s="460">
        <f>G126+'27'!H126</f>
        <v>-144</v>
      </c>
      <c r="I126" s="526"/>
      <c r="J126" s="552">
        <f>H126/DAY(B2)</f>
        <v>-5.1428571428571432</v>
      </c>
      <c r="K126" s="380"/>
      <c r="L126" s="377"/>
      <c r="N126" s="1101"/>
    </row>
    <row r="127" spans="1:17" ht="27.75">
      <c r="A127" s="609" t="s">
        <v>233</v>
      </c>
      <c r="B127" s="1140"/>
      <c r="C127" s="1140"/>
      <c r="D127" s="523" t="s">
        <v>140</v>
      </c>
      <c r="E127" s="737">
        <f>'27'!F127</f>
        <v>31981</v>
      </c>
      <c r="F127" s="753">
        <v>32011</v>
      </c>
      <c r="G127" s="473">
        <f t="shared" si="16"/>
        <v>30</v>
      </c>
      <c r="H127" s="460">
        <f>G127+'27'!H127</f>
        <v>-60</v>
      </c>
      <c r="I127" s="526"/>
      <c r="J127" s="552">
        <f>H127/DAY(B2)</f>
        <v>-2.1428571428571428</v>
      </c>
      <c r="K127" s="380"/>
      <c r="L127" s="377"/>
      <c r="N127" s="1101"/>
    </row>
    <row r="128" spans="1:17" ht="27.75">
      <c r="A128" s="609" t="s">
        <v>234</v>
      </c>
      <c r="B128" s="1140"/>
      <c r="C128" s="1140"/>
      <c r="D128" s="523" t="s">
        <v>140</v>
      </c>
      <c r="E128" s="737">
        <f>'27'!F128</f>
        <v>9006</v>
      </c>
      <c r="F128" s="753">
        <v>9009</v>
      </c>
      <c r="G128" s="473">
        <f t="shared" si="16"/>
        <v>3</v>
      </c>
      <c r="H128" s="460">
        <f>G128+'27'!H128</f>
        <v>-3</v>
      </c>
      <c r="I128" s="480"/>
      <c r="J128" s="552">
        <f>H128/DAY(B2)</f>
        <v>-0.10714285714285714</v>
      </c>
      <c r="K128" s="380"/>
      <c r="L128" s="377"/>
      <c r="N128" s="1101"/>
    </row>
    <row r="129" spans="1:17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321</v>
      </c>
      <c r="H129" s="460"/>
      <c r="I129" s="480"/>
      <c r="J129" s="552"/>
      <c r="K129" s="364"/>
      <c r="L129" s="292"/>
      <c r="N129" s="1101"/>
      <c r="O129" s="769"/>
      <c r="P129" s="769"/>
      <c r="Q129" s="769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39" t="s">
        <v>237</v>
      </c>
      <c r="B131" s="1140"/>
      <c r="C131" s="1140"/>
      <c r="D131" s="523" t="s">
        <v>238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39" t="s">
        <v>239</v>
      </c>
      <c r="B132" s="1140"/>
      <c r="C132" s="1140"/>
      <c r="D132" s="523" t="s">
        <v>238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39" t="s">
        <v>240</v>
      </c>
      <c r="B133" s="1140"/>
      <c r="C133" s="1140"/>
      <c r="D133" s="523" t="s">
        <v>238</v>
      </c>
      <c r="E133" s="767">
        <f>'27'!F133</f>
        <v>40403</v>
      </c>
      <c r="F133" s="753">
        <v>40419</v>
      </c>
      <c r="G133" s="473">
        <f t="shared" si="17"/>
        <v>16</v>
      </c>
      <c r="H133" s="460">
        <f>G133+'27'!H133</f>
        <v>-34</v>
      </c>
      <c r="I133" s="480"/>
      <c r="J133" s="552">
        <f>H133/DAY(B2)</f>
        <v>-1.2142857142857142</v>
      </c>
    </row>
    <row r="134" spans="1:17" ht="27.75">
      <c r="A134" s="1139" t="s">
        <v>241</v>
      </c>
      <c r="B134" s="1140"/>
      <c r="C134" s="1140"/>
      <c r="D134" s="523" t="s">
        <v>238</v>
      </c>
      <c r="E134" s="767">
        <f>'27'!F134</f>
        <v>300</v>
      </c>
      <c r="F134" s="753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39" t="s">
        <v>242</v>
      </c>
      <c r="B135" s="1140"/>
      <c r="C135" s="1140"/>
      <c r="D135" s="523" t="s">
        <v>238</v>
      </c>
      <c r="E135" s="767">
        <f>'27'!F135</f>
        <v>41943.17</v>
      </c>
      <c r="F135" s="753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69">
        <f>9-24</f>
        <v>-15</v>
      </c>
    </row>
    <row r="136" spans="1:17" ht="27.75">
      <c r="A136" s="1139" t="s">
        <v>243</v>
      </c>
      <c r="B136" s="1140"/>
      <c r="C136" s="1140"/>
      <c r="D136" s="523" t="s">
        <v>238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39" t="s">
        <v>244</v>
      </c>
      <c r="B137" s="1140"/>
      <c r="C137" s="1140"/>
      <c r="D137" s="523" t="s">
        <v>238</v>
      </c>
      <c r="E137" s="766">
        <f>'27'!F137</f>
        <v>22878.47</v>
      </c>
      <c r="F137" s="744">
        <v>22886.2</v>
      </c>
      <c r="G137" s="473">
        <f t="shared" si="17"/>
        <v>7.7299999999995634</v>
      </c>
      <c r="H137" s="460">
        <f>G137+'27'!H137</f>
        <v>-5.2900000000008731</v>
      </c>
      <c r="I137" s="480">
        <f>G135+G136+G137</f>
        <v>17.56000000000131</v>
      </c>
      <c r="J137" s="552">
        <f>H137/DAY(B2)</f>
        <v>-0.18892857142860262</v>
      </c>
    </row>
    <row r="138" spans="1:17" ht="27.75">
      <c r="A138" s="1139" t="s">
        <v>245</v>
      </c>
      <c r="B138" s="1140"/>
      <c r="C138" s="1140"/>
      <c r="D138" s="523" t="s">
        <v>238</v>
      </c>
      <c r="E138" s="766">
        <f>'27'!F138</f>
        <v>25091.39</v>
      </c>
      <c r="F138" s="744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39" t="s">
        <v>246</v>
      </c>
      <c r="B139" s="1140"/>
      <c r="C139" s="1140"/>
      <c r="D139" s="523" t="s">
        <v>238</v>
      </c>
      <c r="E139" s="766">
        <f>'27'!F139</f>
        <v>70509</v>
      </c>
      <c r="F139" s="744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39" t="s">
        <v>247</v>
      </c>
      <c r="B140" s="1140"/>
      <c r="C140" s="1140"/>
      <c r="D140" s="523" t="s">
        <v>238</v>
      </c>
      <c r="E140" s="767">
        <f>'27'!F140</f>
        <v>2099</v>
      </c>
      <c r="F140" s="753">
        <v>2109.6999999999998</v>
      </c>
      <c r="G140" s="473">
        <f t="shared" si="17"/>
        <v>10.699999999999818</v>
      </c>
      <c r="H140" s="460">
        <f>G140+'27'!H140</f>
        <v>-19.480000000000018</v>
      </c>
      <c r="I140" s="542"/>
      <c r="J140" s="552">
        <f>H140/DAY(B2)</f>
        <v>-0.6957142857142864</v>
      </c>
    </row>
    <row r="141" spans="1:17" ht="27.75">
      <c r="A141" s="1139" t="s">
        <v>248</v>
      </c>
      <c r="B141" s="1140"/>
      <c r="C141" s="1140"/>
      <c r="D141" s="523" t="s">
        <v>238</v>
      </c>
      <c r="E141" s="766">
        <f>'27'!F141</f>
        <v>4636.88</v>
      </c>
      <c r="F141" s="737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-13747.359999999944</v>
      </c>
      <c r="I143" s="480"/>
      <c r="J143" s="552">
        <f>H143/DAY(B2)</f>
        <v>-490.97714285714085</v>
      </c>
      <c r="K143" s="380"/>
      <c r="L143" s="377"/>
    </row>
    <row r="144" spans="1:17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0.25587581395348907</v>
      </c>
      <c r="H144" s="460">
        <f>G144+'27'!H144</f>
        <v>-0.75408569757072152</v>
      </c>
      <c r="I144" s="544"/>
      <c r="J144" s="552">
        <f>H144/DAY(B2)</f>
        <v>-2.6931632056097197E-2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-11710.89</v>
      </c>
      <c r="I145" s="480"/>
      <c r="J145" s="552">
        <f>H145/DAY(B2)</f>
        <v>-418.24607142857138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0.25651162790697746</v>
      </c>
      <c r="H146" s="460">
        <f>G146+'27'!H146</f>
        <v>-0.7147100443712987</v>
      </c>
      <c r="I146" s="544"/>
      <c r="J146" s="552">
        <f>H146/DAY(B2)</f>
        <v>-2.5525358727546382E-2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3688</v>
      </c>
      <c r="H147" s="460">
        <f>G147+'27'!H147</f>
        <v>-7301</v>
      </c>
      <c r="I147" s="545"/>
      <c r="J147" s="552">
        <f>H147/DAY(B2)</f>
        <v>-260.75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0.1715348837209307</v>
      </c>
      <c r="H148" s="460">
        <f>G148+'27'!H148</f>
        <v>-0.41787546424863853</v>
      </c>
      <c r="I148" s="545"/>
      <c r="J148" s="552">
        <f>H148/DAY(B2)</f>
        <v>-1.4924123723165662E-2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-2935.9300000000512</v>
      </c>
      <c r="I149" s="480"/>
      <c r="J149" s="552">
        <f>H149/DAY(B2)</f>
        <v>-104.85464285714468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7.8514883720928061E-2</v>
      </c>
      <c r="H150" s="460">
        <f>G150+'27'!H150</f>
        <v>-0.17428451722310334</v>
      </c>
      <c r="I150" s="545"/>
      <c r="J150" s="552">
        <f>H150/DAY(B2)</f>
        <v>-6.2244470436822619E-3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1603</v>
      </c>
      <c r="H151" s="460">
        <f>G151+'27'!H151</f>
        <v>-3163.0000000000018</v>
      </c>
      <c r="I151" s="545"/>
      <c r="J151" s="552">
        <f>H151/DAY(B2)</f>
        <v>-112.96428571428578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7.4558139534883924E-2</v>
      </c>
      <c r="H152" s="460">
        <f>G152+'27'!H152</f>
        <v>-0.20414498052118507</v>
      </c>
      <c r="I152" s="480"/>
      <c r="J152" s="552">
        <f>H152/DAY(B2)</f>
        <v>-7.290892161470895E-3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1454</v>
      </c>
      <c r="H153" s="460">
        <f>G153+'27'!H153</f>
        <v>-2829</v>
      </c>
      <c r="I153" s="480"/>
      <c r="J153" s="552">
        <f>H153/DAY(B2)</f>
        <v>-101.03571428571429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6.7627906976744367E-2</v>
      </c>
      <c r="H154" s="460">
        <f>G154+'27'!H154</f>
        <v>-0.16756426094620586</v>
      </c>
      <c r="I154" s="568"/>
      <c r="J154" s="569">
        <f>H154/DAY(B2)</f>
        <v>-5.9844378909359236E-3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262</v>
      </c>
      <c r="B161" s="785"/>
      <c r="C161" s="785"/>
      <c r="D161" s="511" t="s">
        <v>186</v>
      </c>
      <c r="E161" s="766">
        <f>'27'!F161</f>
        <v>40600</v>
      </c>
      <c r="F161" s="658">
        <v>40682</v>
      </c>
      <c r="G161" s="473">
        <f t="shared" ref="G161:G164" si="18">F161-E161</f>
        <v>82</v>
      </c>
    </row>
    <row r="162" spans="1:7">
      <c r="A162" s="784" t="s">
        <v>263</v>
      </c>
      <c r="B162" s="785"/>
      <c r="C162" s="785"/>
      <c r="D162" s="511" t="s">
        <v>186</v>
      </c>
      <c r="E162" s="766">
        <f>'27'!F162</f>
        <v>106382</v>
      </c>
      <c r="F162" s="658">
        <v>106862</v>
      </c>
      <c r="G162" s="473">
        <f t="shared" si="18"/>
        <v>480</v>
      </c>
    </row>
    <row r="163" spans="1:7">
      <c r="A163" s="784" t="s">
        <v>264</v>
      </c>
      <c r="B163" s="785"/>
      <c r="C163" s="785"/>
      <c r="D163" s="511" t="s">
        <v>186</v>
      </c>
      <c r="E163" s="766">
        <f>'27'!F163</f>
        <v>60608</v>
      </c>
      <c r="F163" s="658">
        <v>60818</v>
      </c>
      <c r="G163" s="473">
        <f t="shared" si="18"/>
        <v>210</v>
      </c>
    </row>
    <row r="164" spans="1:7">
      <c r="A164" s="784" t="s">
        <v>265</v>
      </c>
      <c r="B164" s="785"/>
      <c r="C164" s="785"/>
      <c r="D164" s="511" t="s">
        <v>186</v>
      </c>
      <c r="E164" s="766">
        <f>'27'!F164</f>
        <v>6820</v>
      </c>
      <c r="F164" s="658">
        <v>6834</v>
      </c>
      <c r="G164" s="473">
        <f t="shared" si="18"/>
        <v>14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587" t="s">
        <v>350</v>
      </c>
      <c r="B174" s="1550"/>
      <c r="C174" s="784"/>
      <c r="D174" s="1494" t="s">
        <v>186</v>
      </c>
      <c r="E174" s="1495">
        <v>18988</v>
      </c>
      <c r="F174" s="1495">
        <v>18993</v>
      </c>
      <c r="G174" s="1496">
        <f t="shared" ref="G174:G176" si="22">F174-E174</f>
        <v>5</v>
      </c>
    </row>
    <row r="175" spans="1:7" ht="27.75">
      <c r="A175" s="1587" t="s">
        <v>351</v>
      </c>
      <c r="B175" s="1550"/>
      <c r="C175" s="454"/>
      <c r="D175" s="1494" t="s">
        <v>186</v>
      </c>
      <c r="E175" s="1499">
        <v>27616</v>
      </c>
      <c r="F175" s="1499">
        <v>27621</v>
      </c>
      <c r="G175" s="1496">
        <f t="shared" si="22"/>
        <v>5</v>
      </c>
    </row>
    <row r="176" spans="1:7" ht="27.75">
      <c r="A176" s="1587" t="s">
        <v>350</v>
      </c>
      <c r="B176" s="1550"/>
      <c r="C176" s="454"/>
      <c r="D176" s="1494" t="s">
        <v>186</v>
      </c>
      <c r="E176" s="1495">
        <v>70305</v>
      </c>
      <c r="F176" s="1495">
        <v>70323</v>
      </c>
      <c r="G176" s="1496">
        <f t="shared" si="22"/>
        <v>18</v>
      </c>
    </row>
    <row r="178" spans="1:17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  <c r="P178" s="376"/>
      <c r="Q178" s="376"/>
    </row>
    <row r="179" spans="1:17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  <c r="P179" s="376"/>
      <c r="Q179" s="376"/>
    </row>
    <row r="180" spans="1:17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  <c r="P180" s="376"/>
      <c r="Q180" s="376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145" zoomScale="55" zoomScaleNormal="78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54" s="281" customFormat="1" ht="27">
      <c r="A2" s="575" t="s">
        <v>287</v>
      </c>
      <c r="B2" s="1031">
        <v>44345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769"/>
      <c r="O2" s="769"/>
    </row>
    <row r="3" spans="1:5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1"/>
    </row>
    <row r="6" spans="1:54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130</v>
      </c>
      <c r="B7" s="677"/>
      <c r="C7" s="677"/>
      <c r="D7" s="637" t="s">
        <v>131</v>
      </c>
      <c r="E7" s="679">
        <f>'28'!F7</f>
        <v>535310.66999999993</v>
      </c>
      <c r="F7" s="455">
        <f>E7+21500</f>
        <v>556810.66999999993</v>
      </c>
      <c r="G7" s="678">
        <f>F7-E7</f>
        <v>21500</v>
      </c>
      <c r="H7" s="679">
        <f>G7+'28'!H7</f>
        <v>634857.66999999993</v>
      </c>
      <c r="I7" s="680">
        <f>'1'!I7</f>
        <v>12000</v>
      </c>
      <c r="J7" s="681">
        <f>H7/DAY(B2)</f>
        <v>21891.643793103445</v>
      </c>
      <c r="K7" s="549">
        <v>1703438</v>
      </c>
      <c r="L7" s="377">
        <v>1715917</v>
      </c>
      <c r="O7" s="772"/>
    </row>
    <row r="8" spans="1:54" ht="27.75" thickBot="1">
      <c r="A8" s="682" t="s">
        <v>132</v>
      </c>
      <c r="B8" s="683"/>
      <c r="C8" s="684"/>
      <c r="D8" s="685" t="s">
        <v>25</v>
      </c>
      <c r="E8" s="679">
        <f>'28'!F8</f>
        <v>542326.83000000007</v>
      </c>
      <c r="F8" s="475">
        <f>E8+21500</f>
        <v>563826.83000000007</v>
      </c>
      <c r="G8" s="689">
        <f>F8-E8</f>
        <v>21500</v>
      </c>
      <c r="H8" s="679">
        <f>G8+'28'!H8</f>
        <v>637104.83000000007</v>
      </c>
      <c r="I8" s="686"/>
      <c r="J8" s="681">
        <f>H8/DAY(B2)</f>
        <v>21969.132068965519</v>
      </c>
      <c r="K8" s="549">
        <v>1375467</v>
      </c>
      <c r="L8" s="425"/>
      <c r="M8" s="440"/>
      <c r="O8" s="772"/>
    </row>
    <row r="9" spans="1:54">
      <c r="A9" s="687" t="s">
        <v>133</v>
      </c>
      <c r="B9" s="688"/>
      <c r="C9" s="688"/>
      <c r="D9" s="637" t="s">
        <v>131</v>
      </c>
      <c r="E9" s="679">
        <f>'28'!F9</f>
        <v>1994519</v>
      </c>
      <c r="F9" s="737">
        <v>2014052</v>
      </c>
      <c r="G9" s="702">
        <f t="shared" ref="G9:G12" si="0">F9-E9</f>
        <v>19533</v>
      </c>
      <c r="H9" s="679">
        <f>G9+'28'!H9</f>
        <v>-16950</v>
      </c>
      <c r="I9" s="690">
        <f>I7-J7</f>
        <v>-9891.6437931034452</v>
      </c>
      <c r="J9" s="681">
        <f>H9/DAY(B2)</f>
        <v>-584.48275862068965</v>
      </c>
      <c r="K9" s="428"/>
      <c r="L9" s="377"/>
      <c r="O9" s="772"/>
    </row>
    <row r="10" spans="1:54">
      <c r="A10" s="676" t="s">
        <v>134</v>
      </c>
      <c r="B10" s="677"/>
      <c r="C10" s="677"/>
      <c r="D10" s="637" t="s">
        <v>131</v>
      </c>
      <c r="E10" s="679">
        <f>'28'!F10</f>
        <v>0</v>
      </c>
      <c r="F10" s="737">
        <v>0</v>
      </c>
      <c r="G10" s="689">
        <f t="shared" si="0"/>
        <v>0</v>
      </c>
      <c r="H10" s="679">
        <f>G10+'28'!H10</f>
        <v>-2606.2500000000005</v>
      </c>
      <c r="I10" s="691"/>
      <c r="J10" s="681">
        <f>H10/DAY(B2)</f>
        <v>-89.870689655172427</v>
      </c>
      <c r="K10" s="428"/>
      <c r="L10" s="377"/>
      <c r="BB10" s="376">
        <v>0</v>
      </c>
    </row>
    <row r="11" spans="1:54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136</v>
      </c>
      <c r="B12" s="677"/>
      <c r="C12" s="677"/>
      <c r="D12" s="1096" t="s">
        <v>131</v>
      </c>
      <c r="E12" s="1090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137</v>
      </c>
      <c r="B13" s="693"/>
      <c r="C13" s="693"/>
      <c r="D13" s="1096"/>
      <c r="E13" s="1090"/>
      <c r="F13" s="460"/>
      <c r="G13" s="694">
        <f>G9+G10+G11+G12</f>
        <v>19533</v>
      </c>
      <c r="H13" s="1090">
        <f>G13+'28'!H13</f>
        <v>-39883.250000000058</v>
      </c>
      <c r="I13" s="1091">
        <f>G7-G13</f>
        <v>1967</v>
      </c>
      <c r="J13" s="1092">
        <f>H13/DAY(B2)</f>
        <v>-1375.2844827586227</v>
      </c>
      <c r="K13" s="428"/>
      <c r="L13" s="377"/>
    </row>
    <row r="14" spans="1:54">
      <c r="A14" s="1570" t="s">
        <v>138</v>
      </c>
      <c r="B14" s="1571"/>
      <c r="C14" s="1572"/>
      <c r="D14" s="1093"/>
      <c r="E14" s="1097"/>
      <c r="F14" s="738"/>
      <c r="G14" s="483"/>
      <c r="H14" s="1093"/>
      <c r="I14" s="1093"/>
      <c r="J14" s="1094"/>
      <c r="K14" s="429"/>
      <c r="L14" s="377"/>
    </row>
    <row r="15" spans="1:54">
      <c r="A15" s="665" t="s">
        <v>139</v>
      </c>
      <c r="B15" s="666"/>
      <c r="C15" s="666"/>
      <c r="D15" s="1098" t="s">
        <v>140</v>
      </c>
      <c r="E15" s="1099">
        <f>'28'!F15</f>
        <v>1726017.72</v>
      </c>
      <c r="F15" s="700">
        <f>E15+700</f>
        <v>1726717.72</v>
      </c>
      <c r="G15" s="664">
        <f>(F15-E15)</f>
        <v>700</v>
      </c>
      <c r="H15" s="1086">
        <f>G15+'28'!H15</f>
        <v>23034.719999999972</v>
      </c>
      <c r="I15" s="1087">
        <f>'1'!I15</f>
        <v>800</v>
      </c>
      <c r="J15" s="1088">
        <f>H15/DAY(B2)</f>
        <v>794.30068965517148</v>
      </c>
      <c r="K15" s="428"/>
      <c r="L15" s="377"/>
    </row>
    <row r="16" spans="1:54">
      <c r="A16" s="673"/>
      <c r="B16" s="674"/>
      <c r="C16" s="674"/>
      <c r="D16" s="1098"/>
      <c r="E16" s="1099"/>
      <c r="F16" s="739"/>
      <c r="G16" s="669"/>
      <c r="H16" s="1086"/>
      <c r="I16" s="1089">
        <f>I15-J15</f>
        <v>5.6993103448285183</v>
      </c>
      <c r="J16" s="1088"/>
      <c r="K16" s="428"/>
      <c r="L16" s="377"/>
    </row>
    <row r="17" spans="1:15">
      <c r="A17" s="1570" t="s">
        <v>141</v>
      </c>
      <c r="B17" s="1571"/>
      <c r="C17" s="1572"/>
      <c r="D17" s="1093"/>
      <c r="E17" s="1097"/>
      <c r="F17" s="738"/>
      <c r="G17" s="488"/>
      <c r="H17" s="1093"/>
      <c r="I17" s="1093"/>
      <c r="J17" s="1094"/>
      <c r="K17" s="428"/>
      <c r="L17" s="377"/>
    </row>
    <row r="18" spans="1:15" ht="27.75">
      <c r="A18" s="1607" t="s">
        <v>142</v>
      </c>
      <c r="B18" s="1608"/>
      <c r="C18" s="1609"/>
      <c r="D18" s="637" t="s">
        <v>143</v>
      </c>
      <c r="E18" s="757">
        <f>'28'!F18</f>
        <v>13</v>
      </c>
      <c r="F18" s="737">
        <v>10</v>
      </c>
      <c r="G18" s="694">
        <f>F18*10</f>
        <v>100</v>
      </c>
      <c r="H18" s="1090">
        <f>G18+'28'!H18</f>
        <v>3720</v>
      </c>
      <c r="I18" s="1095">
        <f>'1'!I18</f>
        <v>65</v>
      </c>
      <c r="J18" s="1092">
        <f>H18/DAY(B2)</f>
        <v>128.27586206896552</v>
      </c>
      <c r="K18" s="428"/>
      <c r="L18" s="377"/>
    </row>
    <row r="19" spans="1:15" ht="27.75">
      <c r="A19" s="1607" t="s">
        <v>70</v>
      </c>
      <c r="B19" s="1608"/>
      <c r="C19" s="1609"/>
      <c r="D19" s="637" t="s">
        <v>143</v>
      </c>
      <c r="E19" s="757">
        <f>'28'!F19</f>
        <v>141368</v>
      </c>
      <c r="F19" s="737">
        <v>141431</v>
      </c>
      <c r="G19" s="689">
        <f t="shared" ref="G19" si="1">F19-E19</f>
        <v>63</v>
      </c>
      <c r="H19" s="679">
        <f>G19+'28'!H19</f>
        <v>-64</v>
      </c>
      <c r="I19" s="696"/>
      <c r="J19" s="681">
        <f>H19/DAY(B2)</f>
        <v>-2.2068965517241379</v>
      </c>
      <c r="K19" s="428"/>
      <c r="L19" s="377"/>
    </row>
    <row r="20" spans="1:15">
      <c r="A20" s="692" t="s">
        <v>144</v>
      </c>
      <c r="B20" s="693"/>
      <c r="C20" s="693"/>
      <c r="D20" s="637"/>
      <c r="E20" s="679"/>
      <c r="F20" s="460"/>
      <c r="G20" s="697">
        <f>G18+G19</f>
        <v>163</v>
      </c>
      <c r="H20" s="679">
        <f>G20+'28'!H20</f>
        <v>3656</v>
      </c>
      <c r="I20" s="698">
        <f>I18-J20</f>
        <v>-61.068965517241381</v>
      </c>
      <c r="J20" s="681">
        <f>H20/DAY(B2)</f>
        <v>126.06896551724138</v>
      </c>
      <c r="K20" s="428"/>
      <c r="L20" s="377"/>
    </row>
    <row r="21" spans="1:15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39" t="s">
        <v>146</v>
      </c>
      <c r="B22" s="589"/>
      <c r="C22" s="589"/>
      <c r="D22" s="523" t="s">
        <v>147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39" t="s">
        <v>148</v>
      </c>
      <c r="B23" s="589"/>
      <c r="C23" s="589"/>
      <c r="D23" s="523" t="s">
        <v>147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G27+'28'!H27</f>
        <v>5733945.3600000013</v>
      </c>
      <c r="I27" s="503"/>
      <c r="J27" s="552">
        <f>H27/DAY(B2)</f>
        <v>197722.2537931035</v>
      </c>
      <c r="K27" s="373"/>
      <c r="L27" s="443"/>
      <c r="N27" s="769"/>
      <c r="O27" s="769"/>
    </row>
    <row r="28" spans="1:15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G28+'28'!H28</f>
        <v>1197805.4399999985</v>
      </c>
      <c r="I28" s="505"/>
      <c r="J28" s="552">
        <f>H28/DAY(B2)</f>
        <v>41303.635862068913</v>
      </c>
      <c r="K28" s="373"/>
      <c r="L28" s="443"/>
      <c r="N28" s="769"/>
      <c r="O28" s="769"/>
    </row>
    <row r="29" spans="1:15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157</v>
      </c>
      <c r="B30" s="593"/>
      <c r="C30" s="594"/>
      <c r="D30" s="619" t="s">
        <v>158</v>
      </c>
      <c r="E30" s="699">
        <f>G19</f>
        <v>63</v>
      </c>
      <c r="F30" s="699">
        <v>146</v>
      </c>
      <c r="G30" s="502">
        <f>E30*F30</f>
        <v>9198</v>
      </c>
      <c r="H30" s="460">
        <f>G30+'28'!H30</f>
        <v>-9928</v>
      </c>
      <c r="I30" s="505"/>
      <c r="J30" s="552">
        <f>H30/DAY(B2)</f>
        <v>-342.34482758620692</v>
      </c>
      <c r="K30" s="373"/>
      <c r="L30" s="443"/>
      <c r="N30" s="769"/>
      <c r="O30" s="769"/>
    </row>
    <row r="31" spans="1:15" s="442" customFormat="1" ht="27">
      <c r="A31" s="592" t="s">
        <v>159</v>
      </c>
      <c r="B31" s="593"/>
      <c r="C31" s="594"/>
      <c r="D31" s="619" t="s">
        <v>143</v>
      </c>
      <c r="E31" s="699">
        <f>G18</f>
        <v>100</v>
      </c>
      <c r="F31" s="699">
        <v>80</v>
      </c>
      <c r="G31" s="502">
        <f>E31*F31</f>
        <v>8000</v>
      </c>
      <c r="H31" s="460">
        <f>G31+'28'!H31</f>
        <v>292000</v>
      </c>
      <c r="I31" s="505"/>
      <c r="J31" s="552"/>
      <c r="K31" s="373"/>
      <c r="L31" s="443"/>
      <c r="N31" s="769"/>
      <c r="O31" s="769"/>
    </row>
    <row r="32" spans="1:15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247098</v>
      </c>
      <c r="H32" s="460">
        <f>G32+'28'!H32</f>
        <v>7213822.7999999998</v>
      </c>
      <c r="I32" s="509"/>
      <c r="J32" s="552">
        <f>H32/DAY(B2)</f>
        <v>248752.51034482758</v>
      </c>
      <c r="K32" s="373"/>
      <c r="L32" s="443"/>
      <c r="N32" s="769"/>
      <c r="O32" s="769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</row>
    <row r="34" spans="1:15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1">
        <f>'28'!F35</f>
        <v>1023144</v>
      </c>
      <c r="F35" s="741">
        <v>1026011</v>
      </c>
      <c r="G35" s="473">
        <f t="shared" ref="G35:G46" si="3">F35-E35</f>
        <v>2867</v>
      </c>
      <c r="H35" s="460">
        <f>G35+'28'!H35</f>
        <v>-2703</v>
      </c>
      <c r="I35" s="455"/>
      <c r="J35" s="552">
        <f>H35/DAY(B2)</f>
        <v>-93.206896551724142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1">
        <f>'28'!F36</f>
        <v>19200</v>
      </c>
      <c r="F36" s="741">
        <v>19808</v>
      </c>
      <c r="G36" s="473">
        <f t="shared" si="3"/>
        <v>608</v>
      </c>
      <c r="H36" s="460">
        <f>G36+'28'!H36</f>
        <v>-653.00000000000182</v>
      </c>
      <c r="I36" s="455"/>
      <c r="J36" s="552">
        <f>H36/DAY(B2)</f>
        <v>-22.517241379310409</v>
      </c>
      <c r="K36" s="428"/>
      <c r="L36" s="377"/>
    </row>
    <row r="37" spans="1:15" s="441" customFormat="1">
      <c r="A37" s="1102" t="s">
        <v>165</v>
      </c>
      <c r="B37" s="1106"/>
      <c r="C37" s="1106"/>
      <c r="D37" s="627" t="s">
        <v>131</v>
      </c>
      <c r="E37" s="742">
        <f>'28'!F37</f>
        <v>173741</v>
      </c>
      <c r="F37" s="742">
        <v>175158</v>
      </c>
      <c r="G37" s="652">
        <f t="shared" si="3"/>
        <v>1417</v>
      </c>
      <c r="H37" s="705">
        <f>G37+'28'!H37</f>
        <v>-1412</v>
      </c>
      <c r="I37" s="706"/>
      <c r="J37" s="707">
        <f>H37/DAY(B2)</f>
        <v>-48.689655172413794</v>
      </c>
      <c r="K37" s="1104"/>
      <c r="L37" s="1105"/>
      <c r="N37" s="770"/>
      <c r="O37" s="770"/>
    </row>
    <row r="38" spans="1:15" s="441" customFormat="1">
      <c r="A38" s="1102" t="s">
        <v>166</v>
      </c>
      <c r="B38" s="1106"/>
      <c r="C38" s="1106"/>
      <c r="D38" s="627" t="s">
        <v>131</v>
      </c>
      <c r="E38" s="742">
        <f>'28'!F38</f>
        <v>195523</v>
      </c>
      <c r="F38" s="1107">
        <v>197105</v>
      </c>
      <c r="G38" s="652">
        <f t="shared" si="3"/>
        <v>1582</v>
      </c>
      <c r="H38" s="705">
        <f>G38+'28'!H38</f>
        <v>-1354</v>
      </c>
      <c r="I38" s="706"/>
      <c r="J38" s="707">
        <f>H38/DAY(B2)</f>
        <v>-46.689655172413794</v>
      </c>
      <c r="K38" s="1104"/>
      <c r="L38" s="1105"/>
      <c r="N38" s="770"/>
      <c r="O38" s="770"/>
    </row>
    <row r="39" spans="1:15" s="441" customFormat="1">
      <c r="A39" s="1102" t="s">
        <v>167</v>
      </c>
      <c r="B39" s="1106"/>
      <c r="C39" s="1106"/>
      <c r="D39" s="627" t="s">
        <v>131</v>
      </c>
      <c r="E39" s="742">
        <f>'28'!F39</f>
        <v>397563</v>
      </c>
      <c r="F39" s="742">
        <v>401127</v>
      </c>
      <c r="G39" s="652">
        <f t="shared" si="3"/>
        <v>3564</v>
      </c>
      <c r="H39" s="705">
        <f>G39+'28'!H39</f>
        <v>-3737</v>
      </c>
      <c r="I39" s="706"/>
      <c r="J39" s="707">
        <f>H39/DAY(B2)</f>
        <v>-128.86206896551724</v>
      </c>
      <c r="K39" s="1104"/>
      <c r="L39" s="1105"/>
      <c r="N39" s="770"/>
      <c r="O39" s="770"/>
    </row>
    <row r="40" spans="1:15" s="441" customFormat="1">
      <c r="A40" s="1108" t="s">
        <v>168</v>
      </c>
      <c r="B40" s="1109"/>
      <c r="C40" s="1109"/>
      <c r="D40" s="627" t="s">
        <v>131</v>
      </c>
      <c r="E40" s="742">
        <f>'28'!F40</f>
        <v>6379</v>
      </c>
      <c r="F40" s="742">
        <v>6837</v>
      </c>
      <c r="G40" s="652">
        <f t="shared" si="3"/>
        <v>458</v>
      </c>
      <c r="H40" s="705">
        <f>G40+'28'!H40</f>
        <v>-276</v>
      </c>
      <c r="I40" s="706"/>
      <c r="J40" s="707">
        <f>H40/DAY(B2)</f>
        <v>-9.5172413793103452</v>
      </c>
      <c r="K40" s="1110"/>
      <c r="L40" s="1105"/>
      <c r="N40" s="770"/>
      <c r="O40" s="770"/>
    </row>
    <row r="41" spans="1:15" s="441" customFormat="1">
      <c r="A41" s="1102" t="s">
        <v>169</v>
      </c>
      <c r="B41" s="1106"/>
      <c r="C41" s="1106"/>
      <c r="D41" s="627" t="s">
        <v>131</v>
      </c>
      <c r="E41" s="742">
        <f>'28'!F41</f>
        <v>322024</v>
      </c>
      <c r="F41" s="742">
        <v>324353</v>
      </c>
      <c r="G41" s="652">
        <f>F41-E41</f>
        <v>2329</v>
      </c>
      <c r="H41" s="705">
        <f>G41+'28'!H41</f>
        <v>-5289</v>
      </c>
      <c r="I41" s="706"/>
      <c r="J41" s="707">
        <f>H41/DAY(B2)</f>
        <v>-182.37931034482759</v>
      </c>
      <c r="K41" s="1104"/>
      <c r="L41" s="1105"/>
      <c r="N41" s="770"/>
      <c r="O41" s="770"/>
    </row>
    <row r="42" spans="1:15">
      <c r="A42" s="578" t="s">
        <v>170</v>
      </c>
      <c r="B42" s="579"/>
      <c r="C42" s="579"/>
      <c r="D42" s="523" t="s">
        <v>131</v>
      </c>
      <c r="E42" s="741">
        <f>'28'!F42</f>
        <v>59210</v>
      </c>
      <c r="F42" s="741">
        <v>59210</v>
      </c>
      <c r="G42" s="473">
        <f t="shared" si="3"/>
        <v>0</v>
      </c>
      <c r="H42" s="460">
        <f>G42+'28'!H42</f>
        <v>11.110000000000582</v>
      </c>
      <c r="I42" s="455"/>
      <c r="J42" s="552">
        <f>H42/DAY(B2)</f>
        <v>0.38310344827588216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1">
        <f>'28'!F43</f>
        <v>1115293</v>
      </c>
      <c r="F43" s="741">
        <v>1117914</v>
      </c>
      <c r="G43" s="473">
        <f t="shared" si="3"/>
        <v>2621</v>
      </c>
      <c r="H43" s="460">
        <f>G43+'28'!H43</f>
        <v>-2538</v>
      </c>
      <c r="I43" s="455"/>
      <c r="J43" s="552">
        <f>H43/DAY(B2)</f>
        <v>-87.517241379310349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1">
        <f>'28'!F45</f>
        <v>0</v>
      </c>
      <c r="F45" s="741">
        <v>0</v>
      </c>
      <c r="G45" s="473">
        <f t="shared" si="3"/>
        <v>0</v>
      </c>
      <c r="H45" s="460">
        <f>G45+'28'!H45</f>
        <v>-614</v>
      </c>
      <c r="I45" s="455"/>
      <c r="J45" s="552">
        <f>H45/DAY(B2)</f>
        <v>-21.172413793103448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1">
        <f>'28'!F46</f>
        <v>0</v>
      </c>
      <c r="F46" s="741">
        <v>0</v>
      </c>
      <c r="G46" s="473">
        <f t="shared" si="3"/>
        <v>0</v>
      </c>
      <c r="H46" s="460">
        <f>G46+'28'!H46</f>
        <v>-187.49</v>
      </c>
      <c r="I46" s="455"/>
      <c r="J46" s="552">
        <f>H46/DAY(B2)</f>
        <v>-6.4651724137931037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-17950.89</v>
      </c>
      <c r="I47" s="455"/>
      <c r="J47" s="552">
        <f>H47/DAY(B2)</f>
        <v>-618.99620689655171</v>
      </c>
      <c r="K47" s="428"/>
      <c r="L47" s="377"/>
    </row>
    <row r="48" spans="1:15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2" t="s">
        <v>163</v>
      </c>
      <c r="B49" s="1103"/>
      <c r="C49" s="1103"/>
      <c r="D49" s="627" t="s">
        <v>131</v>
      </c>
      <c r="E49" s="742">
        <f>'28'!F49</f>
        <v>260732.13</v>
      </c>
      <c r="F49" s="742">
        <v>260732.13</v>
      </c>
      <c r="G49" s="652">
        <f t="shared" ref="G49:G58" si="4">F49-E49</f>
        <v>0</v>
      </c>
      <c r="H49" s="705">
        <f>G49+'28'!H49</f>
        <v>-31.869999999995343</v>
      </c>
      <c r="I49" s="706"/>
      <c r="J49" s="707">
        <f>H49/DAY(B2)</f>
        <v>-1.0989655172412187</v>
      </c>
      <c r="K49" s="1104"/>
      <c r="L49" s="1105"/>
      <c r="N49" s="770"/>
      <c r="O49" s="770"/>
    </row>
    <row r="50" spans="1:15" s="441" customFormat="1">
      <c r="A50" s="1102" t="s">
        <v>177</v>
      </c>
      <c r="B50" s="1103" t="s">
        <v>277</v>
      </c>
      <c r="C50" s="1103"/>
      <c r="D50" s="627" t="s">
        <v>131</v>
      </c>
      <c r="E50" s="742">
        <f>'28'!F50</f>
        <v>532761</v>
      </c>
      <c r="F50" s="742">
        <v>533719</v>
      </c>
      <c r="G50" s="652">
        <f t="shared" si="4"/>
        <v>958</v>
      </c>
      <c r="H50" s="705">
        <f>G50+'28'!H50</f>
        <v>-2037</v>
      </c>
      <c r="I50" s="706"/>
      <c r="J50" s="707">
        <f>H50/DAY(B2)</f>
        <v>-70.241379310344826</v>
      </c>
      <c r="K50" s="1104"/>
      <c r="L50" s="1105"/>
      <c r="N50" s="770"/>
      <c r="O50" s="770"/>
    </row>
    <row r="51" spans="1:15" s="441" customFormat="1">
      <c r="A51" s="1102" t="s">
        <v>165</v>
      </c>
      <c r="B51" s="1103"/>
      <c r="C51" s="1103"/>
      <c r="D51" s="627" t="s">
        <v>131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4"/>
      <c r="L51" s="1105"/>
      <c r="N51" s="770"/>
      <c r="O51" s="770"/>
    </row>
    <row r="52" spans="1:15" s="441" customFormat="1">
      <c r="A52" s="1102" t="s">
        <v>178</v>
      </c>
      <c r="B52" s="1103"/>
      <c r="C52" s="1103"/>
      <c r="D52" s="627" t="s">
        <v>131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4"/>
      <c r="L52" s="1105"/>
      <c r="N52" s="770"/>
      <c r="O52" s="770"/>
    </row>
    <row r="53" spans="1:15" s="441" customFormat="1">
      <c r="A53" s="1102" t="s">
        <v>167</v>
      </c>
      <c r="B53" s="1103"/>
      <c r="C53" s="1103"/>
      <c r="D53" s="627" t="s">
        <v>131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4"/>
      <c r="L53" s="1105"/>
      <c r="N53" s="770"/>
      <c r="O53" s="770"/>
    </row>
    <row r="54" spans="1:15">
      <c r="A54" s="578" t="s">
        <v>179</v>
      </c>
      <c r="B54" s="601"/>
      <c r="C54" s="601"/>
      <c r="D54" s="523" t="s">
        <v>131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0</v>
      </c>
      <c r="I54" s="455"/>
      <c r="J54" s="552">
        <f>H54/DAY(B2)</f>
        <v>0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2">
        <f>'28'!F55</f>
        <v>113553</v>
      </c>
      <c r="F55" s="742">
        <v>117226</v>
      </c>
      <c r="G55" s="652">
        <f t="shared" si="4"/>
        <v>3673</v>
      </c>
      <c r="H55" s="705">
        <f>G55+'28'!H55</f>
        <v>-5984</v>
      </c>
      <c r="I55" s="706"/>
      <c r="J55" s="707">
        <f>H55/DAY(B2)</f>
        <v>-206.34482758620689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2">
        <f>'28'!F56</f>
        <v>649011</v>
      </c>
      <c r="F56" s="742">
        <v>649022</v>
      </c>
      <c r="G56" s="473">
        <f t="shared" si="4"/>
        <v>11</v>
      </c>
      <c r="H56" s="460">
        <f>G56+'28'!H56</f>
        <v>-20</v>
      </c>
      <c r="I56" s="455"/>
      <c r="J56" s="552">
        <f>H56/DAY(B2)</f>
        <v>-0.68965517241379315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2">
        <f>'28'!F58</f>
        <v>53820</v>
      </c>
      <c r="F58" s="742">
        <v>53986</v>
      </c>
      <c r="G58" s="473">
        <f t="shared" si="4"/>
        <v>166</v>
      </c>
      <c r="H58" s="460">
        <f>G58+'28'!H58</f>
        <v>-194</v>
      </c>
      <c r="I58" s="455"/>
      <c r="J58" s="552">
        <f>H58/DAY(B2)</f>
        <v>-6.6896551724137927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-8267.2600000000639</v>
      </c>
      <c r="I59" s="455">
        <f>G7-G60</f>
        <v>1246.4600000000064</v>
      </c>
      <c r="J59" s="552">
        <f>H59/DAY(B2)</f>
        <v>-285.07793103448495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-19314.820000000094</v>
      </c>
      <c r="I60" s="455">
        <f>G13-G60</f>
        <v>-720.5399999999936</v>
      </c>
      <c r="J60" s="552">
        <f>H60/DAY(B2)</f>
        <v>-666.02827586207218</v>
      </c>
      <c r="K60" s="428"/>
      <c r="L60" s="377"/>
    </row>
    <row r="61" spans="1:15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40" t="s">
        <v>98</v>
      </c>
      <c r="B64" s="1541"/>
      <c r="C64" s="1542"/>
      <c r="D64" s="523" t="s">
        <v>186</v>
      </c>
      <c r="E64" s="514">
        <f>'28'!F64</f>
        <v>169304</v>
      </c>
      <c r="F64" s="737">
        <v>169669</v>
      </c>
      <c r="G64" s="473">
        <f t="shared" si="5"/>
        <v>365</v>
      </c>
      <c r="H64" s="460">
        <f>G64+'28'!H64</f>
        <v>-353</v>
      </c>
      <c r="I64" s="480"/>
      <c r="J64" s="552">
        <f>H64/DAY(B2)</f>
        <v>-12.172413793103448</v>
      </c>
      <c r="K64" s="428"/>
      <c r="L64" s="377"/>
    </row>
    <row r="65" spans="1:12" ht="27.75">
      <c r="A65" s="1540" t="s">
        <v>99</v>
      </c>
      <c r="B65" s="1541"/>
      <c r="C65" s="1542"/>
      <c r="D65" s="523" t="s">
        <v>186</v>
      </c>
      <c r="E65" s="514">
        <f>'28'!F65</f>
        <v>169452</v>
      </c>
      <c r="F65" s="744">
        <v>169867</v>
      </c>
      <c r="G65" s="473">
        <f t="shared" si="5"/>
        <v>415</v>
      </c>
      <c r="H65" s="460">
        <f>G65+'28'!H65</f>
        <v>-435</v>
      </c>
      <c r="I65" s="489"/>
      <c r="J65" s="552">
        <f>H65/DAY(B2)</f>
        <v>-15</v>
      </c>
      <c r="K65" s="428"/>
      <c r="L65" s="377"/>
    </row>
    <row r="66" spans="1:12" ht="27.75">
      <c r="A66" s="1540" t="s">
        <v>100</v>
      </c>
      <c r="B66" s="1541"/>
      <c r="C66" s="1542"/>
      <c r="D66" s="523" t="s">
        <v>186</v>
      </c>
      <c r="E66" s="514">
        <f>'28'!F66</f>
        <v>67095</v>
      </c>
      <c r="F66" s="737">
        <v>67531</v>
      </c>
      <c r="G66" s="473">
        <f t="shared" si="5"/>
        <v>436</v>
      </c>
      <c r="H66" s="460">
        <f>G66+'28'!H66</f>
        <v>-439</v>
      </c>
      <c r="I66" s="480"/>
      <c r="J66" s="552">
        <f>H66/DAY(B2)</f>
        <v>-15.137931034482758</v>
      </c>
      <c r="K66" s="428"/>
      <c r="L66" s="377"/>
    </row>
    <row r="67" spans="1:12" ht="27.75">
      <c r="A67" s="1540" t="s">
        <v>101</v>
      </c>
      <c r="B67" s="1541"/>
      <c r="C67" s="1542"/>
      <c r="D67" s="523" t="s">
        <v>186</v>
      </c>
      <c r="E67" s="514">
        <f>'28'!F67</f>
        <v>264088</v>
      </c>
      <c r="F67" s="737">
        <v>264497</v>
      </c>
      <c r="G67" s="473">
        <f t="shared" si="5"/>
        <v>409</v>
      </c>
      <c r="H67" s="460">
        <f>G67+'28'!H67</f>
        <v>-462</v>
      </c>
      <c r="I67" s="489"/>
      <c r="J67" s="552">
        <f>H67/DAY(B2)</f>
        <v>-15.931034482758621</v>
      </c>
      <c r="K67" s="429"/>
      <c r="L67" s="377"/>
    </row>
    <row r="68" spans="1:12" ht="27.75">
      <c r="A68" s="1540" t="s">
        <v>102</v>
      </c>
      <c r="B68" s="1541"/>
      <c r="C68" s="1542"/>
      <c r="D68" s="523" t="s">
        <v>186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40" t="s">
        <v>103</v>
      </c>
      <c r="B69" s="1541"/>
      <c r="C69" s="1542"/>
      <c r="D69" s="523" t="s">
        <v>186</v>
      </c>
      <c r="E69" s="514">
        <f>'28'!F69</f>
        <v>87057</v>
      </c>
      <c r="F69" s="737">
        <v>87263</v>
      </c>
      <c r="G69" s="473">
        <f t="shared" si="5"/>
        <v>206</v>
      </c>
      <c r="H69" s="460">
        <f>G69+'28'!H69</f>
        <v>-252</v>
      </c>
      <c r="I69" s="516"/>
      <c r="J69" s="552">
        <f>H69/DAY(B2)</f>
        <v>-8.6896551724137936</v>
      </c>
      <c r="K69" s="431"/>
      <c r="L69" s="377"/>
    </row>
    <row r="70" spans="1:12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</row>
    <row r="72" spans="1:12" ht="27.75">
      <c r="A72" s="1540" t="s">
        <v>190</v>
      </c>
      <c r="B72" s="1541"/>
      <c r="C72" s="1542"/>
      <c r="D72" s="523" t="s">
        <v>186</v>
      </c>
      <c r="E72" s="762">
        <f>'28'!F72</f>
        <v>856201</v>
      </c>
      <c r="F72" s="746">
        <v>856211</v>
      </c>
      <c r="G72" s="473">
        <f t="shared" ref="G72:G84" si="6">F72-E72</f>
        <v>10</v>
      </c>
      <c r="H72" s="460">
        <f>G72+'28'!H72</f>
        <v>-24</v>
      </c>
      <c r="I72" s="480"/>
      <c r="J72" s="552">
        <f>H72/DAY(B2)</f>
        <v>-0.82758620689655171</v>
      </c>
      <c r="K72" s="431"/>
      <c r="L72" s="377"/>
    </row>
    <row r="73" spans="1:12" ht="27.75">
      <c r="A73" s="1540" t="s">
        <v>191</v>
      </c>
      <c r="B73" s="1541"/>
      <c r="C73" s="1542"/>
      <c r="D73" s="523" t="s">
        <v>186</v>
      </c>
      <c r="E73" s="762">
        <f>'28'!F73</f>
        <v>885970</v>
      </c>
      <c r="F73" s="747">
        <v>885971</v>
      </c>
      <c r="G73" s="652">
        <f>F73-E73</f>
        <v>1</v>
      </c>
      <c r="H73" s="460">
        <f>G73+'28'!H73</f>
        <v>137</v>
      </c>
      <c r="I73" s="480"/>
      <c r="J73" s="552">
        <f>H73/DAY(B2)</f>
        <v>4.7241379310344831</v>
      </c>
      <c r="K73" s="430"/>
      <c r="L73" s="377"/>
    </row>
    <row r="74" spans="1:12" ht="27.75">
      <c r="A74" s="1540" t="s">
        <v>192</v>
      </c>
      <c r="B74" s="1541"/>
      <c r="C74" s="1542"/>
      <c r="D74" s="523" t="s">
        <v>186</v>
      </c>
      <c r="E74" s="762">
        <f>'28'!F74</f>
        <v>88691</v>
      </c>
      <c r="F74" s="747">
        <v>88694</v>
      </c>
      <c r="G74" s="473">
        <f t="shared" si="6"/>
        <v>3</v>
      </c>
      <c r="H74" s="460">
        <f>G74+'28'!H74</f>
        <v>32</v>
      </c>
      <c r="I74" s="480"/>
      <c r="J74" s="552">
        <f>H74/DAY(B2)</f>
        <v>1.103448275862069</v>
      </c>
      <c r="K74" s="431"/>
      <c r="L74" s="377"/>
    </row>
    <row r="75" spans="1:12" ht="27.75">
      <c r="A75" s="1543" t="s">
        <v>193</v>
      </c>
      <c r="B75" s="1544"/>
      <c r="C75" s="1545"/>
      <c r="D75" s="523" t="s">
        <v>186</v>
      </c>
      <c r="E75" s="762">
        <f>'28'!F75</f>
        <v>15812</v>
      </c>
      <c r="F75" s="747">
        <v>15940</v>
      </c>
      <c r="G75" s="473">
        <f t="shared" si="6"/>
        <v>128</v>
      </c>
      <c r="H75" s="460">
        <f>G75+'28'!H75</f>
        <v>-131</v>
      </c>
      <c r="I75" s="480"/>
      <c r="J75" s="552">
        <f>H75/DAY(B2)</f>
        <v>-4.5172413793103452</v>
      </c>
      <c r="K75" s="430"/>
      <c r="L75" s="377"/>
    </row>
    <row r="76" spans="1:12" ht="27.75">
      <c r="A76" s="1543" t="s">
        <v>194</v>
      </c>
      <c r="B76" s="1544"/>
      <c r="C76" s="1545"/>
      <c r="D76" s="523" t="s">
        <v>186</v>
      </c>
      <c r="E76" s="762">
        <f>'28'!F76</f>
        <v>9181</v>
      </c>
      <c r="F76" s="747">
        <v>9261</v>
      </c>
      <c r="G76" s="473">
        <f t="shared" si="6"/>
        <v>80</v>
      </c>
      <c r="H76" s="460">
        <f>G76+'28'!H76</f>
        <v>1042</v>
      </c>
      <c r="I76" s="505"/>
      <c r="J76" s="552">
        <f>H76/DAY(B2)</f>
        <v>35.931034482758619</v>
      </c>
      <c r="K76" s="430"/>
      <c r="L76" s="377"/>
    </row>
    <row r="77" spans="1:12" ht="27.75">
      <c r="A77" s="1540" t="s">
        <v>195</v>
      </c>
      <c r="B77" s="1541"/>
      <c r="C77" s="1542"/>
      <c r="D77" s="523" t="s">
        <v>186</v>
      </c>
      <c r="E77" s="762">
        <f>'28'!F77</f>
        <v>704262</v>
      </c>
      <c r="F77" s="747">
        <v>704314</v>
      </c>
      <c r="G77" s="652">
        <f t="shared" si="6"/>
        <v>52</v>
      </c>
      <c r="H77" s="460">
        <f>G77+'28'!H77</f>
        <v>-60</v>
      </c>
      <c r="I77" s="505"/>
      <c r="J77" s="552">
        <f>H77/DAY(B2)</f>
        <v>-2.0689655172413794</v>
      </c>
      <c r="K77" s="430"/>
      <c r="L77" s="377"/>
    </row>
    <row r="78" spans="1:12" ht="27.75">
      <c r="A78" s="1142" t="s">
        <v>196</v>
      </c>
      <c r="B78" s="1115"/>
      <c r="C78" s="1115"/>
      <c r="D78" s="523" t="s">
        <v>186</v>
      </c>
      <c r="E78" s="762">
        <f>'28'!F78</f>
        <v>675237</v>
      </c>
      <c r="F78" s="747">
        <v>675299</v>
      </c>
      <c r="G78" s="652">
        <f t="shared" si="6"/>
        <v>62</v>
      </c>
      <c r="H78" s="460">
        <f>G78+'28'!H78</f>
        <v>-115</v>
      </c>
      <c r="I78" s="505"/>
      <c r="J78" s="552">
        <f>H78/DAY(B2)</f>
        <v>-3.9655172413793105</v>
      </c>
      <c r="K78" s="430"/>
      <c r="L78" s="377"/>
    </row>
    <row r="79" spans="1:12" ht="27.75">
      <c r="A79" s="1543" t="s">
        <v>91</v>
      </c>
      <c r="B79" s="1544"/>
      <c r="C79" s="1545"/>
      <c r="D79" s="524" t="s">
        <v>186</v>
      </c>
      <c r="E79" s="762">
        <f>'28'!F79</f>
        <v>835114</v>
      </c>
      <c r="F79" s="748">
        <v>835257</v>
      </c>
      <c r="G79" s="473">
        <f t="shared" si="6"/>
        <v>143</v>
      </c>
      <c r="H79" s="460">
        <f>G79+'28'!H79</f>
        <v>-897</v>
      </c>
      <c r="I79" s="505"/>
      <c r="J79" s="552">
        <f>H79/DAY(B2)</f>
        <v>-30.931034482758619</v>
      </c>
      <c r="K79" s="430"/>
      <c r="L79" s="377"/>
    </row>
    <row r="80" spans="1:12" ht="27.75">
      <c r="A80" s="1543" t="s">
        <v>197</v>
      </c>
      <c r="B80" s="1544"/>
      <c r="C80" s="1545"/>
      <c r="D80" s="524" t="s">
        <v>186</v>
      </c>
      <c r="E80" s="762">
        <f>'28'!F80</f>
        <v>538277</v>
      </c>
      <c r="F80" s="747">
        <v>538632</v>
      </c>
      <c r="G80" s="473">
        <f t="shared" si="6"/>
        <v>355</v>
      </c>
      <c r="H80" s="460">
        <f>G80+'28'!H80</f>
        <v>-3759</v>
      </c>
      <c r="I80" s="505"/>
      <c r="J80" s="552">
        <f>H80/DAY(B2)</f>
        <v>-129.62068965517241</v>
      </c>
      <c r="K80" s="430"/>
      <c r="L80" s="377"/>
    </row>
    <row r="81" spans="1:15" ht="27.75">
      <c r="A81" s="1543" t="s">
        <v>198</v>
      </c>
      <c r="B81" s="1544"/>
      <c r="C81" s="1545"/>
      <c r="D81" s="524" t="s">
        <v>186</v>
      </c>
      <c r="E81" s="762">
        <f>'28'!F81</f>
        <v>642715</v>
      </c>
      <c r="F81" s="747">
        <v>642845</v>
      </c>
      <c r="G81" s="473">
        <f t="shared" si="6"/>
        <v>130</v>
      </c>
      <c r="H81" s="460">
        <f>G81+'28'!H81</f>
        <v>-140</v>
      </c>
      <c r="I81" s="505"/>
      <c r="J81" s="552">
        <f>H81/DAY(B2)</f>
        <v>-4.8275862068965516</v>
      </c>
      <c r="K81" s="430"/>
      <c r="L81" s="377"/>
    </row>
    <row r="82" spans="1:15" ht="27.75">
      <c r="A82" s="1543" t="s">
        <v>92</v>
      </c>
      <c r="B82" s="1544"/>
      <c r="C82" s="1545"/>
      <c r="D82" s="485" t="s">
        <v>131</v>
      </c>
      <c r="E82" s="762">
        <f>'28'!F82</f>
        <v>108646</v>
      </c>
      <c r="F82" s="744">
        <v>108670</v>
      </c>
      <c r="G82" s="473">
        <f t="shared" si="6"/>
        <v>24</v>
      </c>
      <c r="H82" s="460">
        <f>G82+'28'!H82</f>
        <v>-11</v>
      </c>
      <c r="I82" s="486"/>
      <c r="J82" s="552">
        <f>H82/DAY(B2)</f>
        <v>-0.37931034482758619</v>
      </c>
      <c r="K82" s="430"/>
      <c r="L82" s="377"/>
    </row>
    <row r="83" spans="1:15" ht="27.75">
      <c r="A83" s="1543" t="s">
        <v>199</v>
      </c>
      <c r="B83" s="1544"/>
      <c r="C83" s="1545"/>
      <c r="D83" s="620" t="s">
        <v>131</v>
      </c>
      <c r="E83" s="762">
        <f>'28'!F83</f>
        <v>26956</v>
      </c>
      <c r="F83" s="470">
        <v>27277</v>
      </c>
      <c r="G83" s="473">
        <f t="shared" si="6"/>
        <v>321</v>
      </c>
      <c r="H83" s="460">
        <f>G83+'28'!H83</f>
        <v>-274</v>
      </c>
      <c r="I83" s="481"/>
      <c r="J83" s="552">
        <f>H83/DAY(B2)</f>
        <v>-9.4482758620689662</v>
      </c>
      <c r="K83" s="429"/>
      <c r="L83" s="377"/>
    </row>
    <row r="84" spans="1:15">
      <c r="A84" s="1143" t="s">
        <v>200</v>
      </c>
      <c r="B84" s="571"/>
      <c r="C84" s="571"/>
      <c r="D84" s="478" t="s">
        <v>131</v>
      </c>
      <c r="E84" s="762">
        <f>'28'!F84</f>
        <v>521455</v>
      </c>
      <c r="F84" s="705">
        <v>522240</v>
      </c>
      <c r="G84" s="473">
        <f t="shared" si="6"/>
        <v>785</v>
      </c>
      <c r="H84" s="460">
        <f>G84+'28'!H84</f>
        <v>-840</v>
      </c>
      <c r="I84" s="481"/>
      <c r="J84" s="552">
        <f>H84/DAY(B2)</f>
        <v>-28.96551724137931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2094</v>
      </c>
      <c r="H85" s="460">
        <f>G85+'28'!H85</f>
        <v>-2166.0000000000073</v>
      </c>
      <c r="I85" s="481"/>
      <c r="J85" s="552">
        <f>H85/DAY(B2)</f>
        <v>-74.689655172414049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182</v>
      </c>
      <c r="E86" s="705">
        <f>'28'!F86</f>
        <v>461744</v>
      </c>
      <c r="F86" s="749">
        <v>461791</v>
      </c>
      <c r="G86" s="705">
        <f t="shared" ref="G86:G91" si="7">F86-E86</f>
        <v>47</v>
      </c>
      <c r="H86" s="705">
        <f t="shared" ref="H86:H88" si="8">G86</f>
        <v>47</v>
      </c>
      <c r="I86" s="652"/>
      <c r="J86" s="707">
        <f>H86/DAY(B2)</f>
        <v>1.6206896551724137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182</v>
      </c>
      <c r="E87" s="705">
        <f>'28'!F87</f>
        <v>82008</v>
      </c>
      <c r="F87" s="749">
        <v>82038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1.0344827586206897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182</v>
      </c>
      <c r="E88" s="705">
        <f>'28'!F88</f>
        <v>155122</v>
      </c>
      <c r="F88" s="749">
        <v>155234</v>
      </c>
      <c r="G88" s="705">
        <f t="shared" si="7"/>
        <v>112</v>
      </c>
      <c r="H88" s="705">
        <f t="shared" si="8"/>
        <v>112</v>
      </c>
      <c r="I88" s="652"/>
      <c r="J88" s="707">
        <f>H88/DAY(B2)</f>
        <v>3.8620689655172415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203</v>
      </c>
      <c r="B89" s="731"/>
      <c r="C89" s="731"/>
      <c r="D89" s="732" t="s">
        <v>182</v>
      </c>
      <c r="E89" s="705">
        <f>'28'!F89</f>
        <v>65798</v>
      </c>
      <c r="F89" s="647">
        <v>65824</v>
      </c>
      <c r="G89" s="705">
        <f t="shared" si="7"/>
        <v>26</v>
      </c>
      <c r="H89" s="705">
        <f>G89</f>
        <v>26</v>
      </c>
      <c r="I89" s="652"/>
      <c r="J89" s="707">
        <f>H89/DAY(B2)</f>
        <v>0.89655172413793105</v>
      </c>
      <c r="K89" s="733"/>
      <c r="L89" s="734"/>
    </row>
    <row r="90" spans="1:15" s="735" customFormat="1">
      <c r="A90" s="730" t="s">
        <v>203</v>
      </c>
      <c r="B90" s="731"/>
      <c r="C90" s="731"/>
      <c r="D90" s="732" t="s">
        <v>182</v>
      </c>
      <c r="E90" s="705">
        <f>'28'!F90</f>
        <v>3338</v>
      </c>
      <c r="F90" s="647">
        <v>3341</v>
      </c>
      <c r="G90" s="705">
        <f t="shared" si="7"/>
        <v>3</v>
      </c>
      <c r="H90" s="705">
        <f>G90</f>
        <v>3</v>
      </c>
      <c r="I90" s="652"/>
      <c r="J90" s="707">
        <f>H90/DAY(B2)</f>
        <v>0.10344827586206896</v>
      </c>
      <c r="K90" s="733"/>
      <c r="L90" s="734"/>
    </row>
    <row r="91" spans="1:15" s="735" customFormat="1">
      <c r="A91" s="730" t="s">
        <v>347</v>
      </c>
      <c r="B91" s="731"/>
      <c r="C91" s="731"/>
      <c r="D91" s="732"/>
      <c r="E91" s="705">
        <f>'28'!F91</f>
        <v>28229</v>
      </c>
      <c r="F91" s="647">
        <v>28239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59" t="s">
        <v>205</v>
      </c>
      <c r="B93" s="1560"/>
      <c r="C93" s="1561"/>
      <c r="D93" s="523" t="s">
        <v>143</v>
      </c>
      <c r="E93" s="758">
        <f>'28'!F93</f>
        <v>247272</v>
      </c>
      <c r="F93" s="737">
        <v>247344</v>
      </c>
      <c r="G93" s="473">
        <f>F93-E93</f>
        <v>72</v>
      </c>
      <c r="H93" s="460">
        <f>G93+'28'!H93</f>
        <v>-8</v>
      </c>
      <c r="I93" s="480"/>
      <c r="J93" s="552">
        <f>H93/DAY(B2)</f>
        <v>-0.27586206896551724</v>
      </c>
      <c r="K93" s="429"/>
      <c r="L93" s="377"/>
    </row>
    <row r="94" spans="1:15" ht="27.75">
      <c r="A94" s="1559" t="s">
        <v>206</v>
      </c>
      <c r="B94" s="1560"/>
      <c r="C94" s="1561"/>
      <c r="D94" s="523" t="s">
        <v>143</v>
      </c>
      <c r="E94" s="758">
        <f>'28'!F94</f>
        <v>189233</v>
      </c>
      <c r="F94" s="737">
        <v>189344</v>
      </c>
      <c r="G94" s="473">
        <f>F94-E94</f>
        <v>111</v>
      </c>
      <c r="H94" s="460">
        <f>G94+'28'!H94</f>
        <v>-110</v>
      </c>
      <c r="I94" s="480"/>
      <c r="J94" s="552">
        <f>H94/DAY(B2)</f>
        <v>-3.7931034482758621</v>
      </c>
      <c r="K94" s="380"/>
      <c r="L94" s="377"/>
    </row>
    <row r="95" spans="1:15">
      <c r="A95" s="1591" t="s">
        <v>207</v>
      </c>
      <c r="B95" s="1592"/>
      <c r="C95" s="1593"/>
      <c r="D95" s="523"/>
      <c r="E95" s="758"/>
      <c r="F95" s="737">
        <v>3</v>
      </c>
      <c r="G95" s="473">
        <f>G93+G94</f>
        <v>183</v>
      </c>
      <c r="H95" s="460">
        <f>G95+'28'!H95</f>
        <v>-304</v>
      </c>
      <c r="I95" s="480"/>
      <c r="J95" s="552">
        <f>H95/DAY(B2)</f>
        <v>-10.482758620689655</v>
      </c>
      <c r="K95" s="380"/>
      <c r="L95" s="377"/>
    </row>
    <row r="96" spans="1:15" ht="27.75">
      <c r="A96" s="1559" t="s">
        <v>208</v>
      </c>
      <c r="B96" s="1560"/>
      <c r="C96" s="1561"/>
      <c r="D96" s="523" t="s">
        <v>143</v>
      </c>
      <c r="E96" s="758">
        <f>'28'!F96</f>
        <v>415899</v>
      </c>
      <c r="F96" s="737">
        <v>415960</v>
      </c>
      <c r="G96" s="473">
        <f t="shared" ref="G96:G101" si="9">F96-E96</f>
        <v>61</v>
      </c>
      <c r="H96" s="460">
        <f>G96+'28'!H96</f>
        <v>-39</v>
      </c>
      <c r="I96" s="480"/>
      <c r="J96" s="552">
        <f>H96/DAY(B2)</f>
        <v>-1.3448275862068966</v>
      </c>
      <c r="K96" s="380"/>
      <c r="L96" s="377"/>
    </row>
    <row r="97" spans="1:15" ht="27.75">
      <c r="A97" s="1139" t="s">
        <v>209</v>
      </c>
      <c r="B97" s="1140"/>
      <c r="C97" s="1140"/>
      <c r="D97" s="523" t="s">
        <v>143</v>
      </c>
      <c r="E97" s="758">
        <f>'28'!F97</f>
        <v>103138</v>
      </c>
      <c r="F97" s="737">
        <v>103151</v>
      </c>
      <c r="G97" s="473">
        <f t="shared" si="9"/>
        <v>13</v>
      </c>
      <c r="H97" s="460">
        <f>G97+'28'!H97</f>
        <v>-12</v>
      </c>
      <c r="I97" s="480"/>
      <c r="J97" s="552">
        <f>H97/DAY(B2)</f>
        <v>-0.41379310344827586</v>
      </c>
      <c r="K97" s="427"/>
      <c r="L97" s="377"/>
    </row>
    <row r="98" spans="1:15" ht="27.75">
      <c r="A98" s="1139" t="s">
        <v>210</v>
      </c>
      <c r="B98" s="1140"/>
      <c r="C98" s="1140"/>
      <c r="D98" s="523" t="s">
        <v>143</v>
      </c>
      <c r="E98" s="758">
        <f>'28'!F98</f>
        <v>98617</v>
      </c>
      <c r="F98" s="737">
        <v>98634</v>
      </c>
      <c r="G98" s="473">
        <f t="shared" si="9"/>
        <v>17</v>
      </c>
      <c r="H98" s="460">
        <f>G98+'28'!H98</f>
        <v>-23</v>
      </c>
      <c r="I98" s="480"/>
      <c r="J98" s="552">
        <f>H98/DAY(B2)</f>
        <v>-0.7931034482758621</v>
      </c>
      <c r="K98" s="432"/>
      <c r="L98" s="377"/>
    </row>
    <row r="99" spans="1:15" ht="27.75">
      <c r="A99" s="1139" t="s">
        <v>211</v>
      </c>
      <c r="B99" s="1140"/>
      <c r="C99" s="1140"/>
      <c r="D99" s="523" t="s">
        <v>143</v>
      </c>
      <c r="E99" s="758">
        <f>'28'!F99</f>
        <v>150347</v>
      </c>
      <c r="F99" s="737">
        <v>150394</v>
      </c>
      <c r="G99" s="473">
        <f t="shared" si="9"/>
        <v>47</v>
      </c>
      <c r="H99" s="460">
        <f>G99+'28'!H99</f>
        <v>-11</v>
      </c>
      <c r="I99" s="480"/>
      <c r="J99" s="552">
        <f>H99/DAY(B2)</f>
        <v>-0.37931034482758619</v>
      </c>
      <c r="K99" s="380"/>
      <c r="L99" s="377"/>
    </row>
    <row r="100" spans="1:15" ht="27.75">
      <c r="A100" s="1139" t="s">
        <v>212</v>
      </c>
      <c r="B100" s="1140"/>
      <c r="C100" s="1140"/>
      <c r="D100" s="523" t="s">
        <v>143</v>
      </c>
      <c r="E100" s="758">
        <f>'28'!F100</f>
        <v>7763</v>
      </c>
      <c r="F100" s="737">
        <v>7791</v>
      </c>
      <c r="G100" s="473">
        <f t="shared" si="9"/>
        <v>28</v>
      </c>
      <c r="H100" s="460">
        <f>G100+'28'!H100</f>
        <v>-6</v>
      </c>
      <c r="I100" s="480"/>
      <c r="J100" s="552">
        <f>H100/DAY(B2)</f>
        <v>-0.20689655172413793</v>
      </c>
      <c r="K100" s="380"/>
      <c r="L100" s="377"/>
    </row>
    <row r="101" spans="1:15" ht="27.75">
      <c r="A101" s="1139" t="s">
        <v>213</v>
      </c>
      <c r="B101" s="1140"/>
      <c r="C101" s="1140"/>
      <c r="D101" s="523" t="s">
        <v>143</v>
      </c>
      <c r="E101" s="758">
        <f>'28'!F101</f>
        <v>5652</v>
      </c>
      <c r="F101" s="737">
        <v>5664</v>
      </c>
      <c r="G101" s="473">
        <f t="shared" si="9"/>
        <v>12</v>
      </c>
      <c r="H101" s="460">
        <f>G101+'28'!H101</f>
        <v>-10</v>
      </c>
      <c r="I101" s="480"/>
      <c r="J101" s="552">
        <f>H101/DAY(B2)</f>
        <v>-0.34482758620689657</v>
      </c>
      <c r="K101" s="380"/>
      <c r="L101" s="377"/>
    </row>
    <row r="102" spans="1:15">
      <c r="A102" s="1591" t="s">
        <v>215</v>
      </c>
      <c r="B102" s="1592"/>
      <c r="C102" s="1593"/>
      <c r="D102" s="524"/>
      <c r="E102" s="486"/>
      <c r="F102" s="486"/>
      <c r="G102" s="525">
        <f>SUM(G96:G101)</f>
        <v>178</v>
      </c>
      <c r="H102" s="460">
        <f>G102+'28'!H102</f>
        <v>-101</v>
      </c>
      <c r="I102" s="526"/>
      <c r="J102" s="552">
        <f>H102/DAY(B2)</f>
        <v>-3.4827586206896552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51" t="s">
        <v>218</v>
      </c>
      <c r="B105" s="1552"/>
      <c r="C105" s="1138"/>
      <c r="D105" s="622" t="s">
        <v>143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51" t="s">
        <v>76</v>
      </c>
      <c r="B106" s="1552"/>
      <c r="C106" s="1138"/>
      <c r="D106" s="622" t="s">
        <v>143</v>
      </c>
      <c r="E106" s="533">
        <f>'28'!F106</f>
        <v>36156</v>
      </c>
      <c r="F106" s="660">
        <v>36162</v>
      </c>
      <c r="G106" s="532">
        <f t="shared" ref="G106:G107" si="10">F106-E106</f>
        <v>6</v>
      </c>
      <c r="H106" s="533">
        <f>SUM(G106+'1'!G77)</f>
        <v>59</v>
      </c>
      <c r="I106" s="532"/>
      <c r="J106" s="558">
        <f>H106/DAY(B2)</f>
        <v>2.0344827586206895</v>
      </c>
      <c r="N106" s="769"/>
      <c r="O106" s="769"/>
    </row>
    <row r="107" spans="1:15" s="442" customFormat="1" ht="27">
      <c r="A107" s="1551" t="s">
        <v>77</v>
      </c>
      <c r="B107" s="1596"/>
      <c r="C107" s="1552"/>
      <c r="D107" s="622" t="s">
        <v>143</v>
      </c>
      <c r="E107" s="533">
        <f>'28'!F107</f>
        <v>19816</v>
      </c>
      <c r="F107" s="660">
        <v>19820</v>
      </c>
      <c r="G107" s="532">
        <f t="shared" si="10"/>
        <v>4</v>
      </c>
      <c r="H107" s="533">
        <f>SUM(G107+'1'!G78)</f>
        <v>118</v>
      </c>
      <c r="I107" s="532"/>
      <c r="J107" s="558">
        <f>H107/DAY(B2)</f>
        <v>4.068965517241379</v>
      </c>
      <c r="N107" s="769"/>
      <c r="O107" s="769"/>
    </row>
    <row r="108" spans="1:15" s="442" customFormat="1" ht="27">
      <c r="A108" s="1553" t="s">
        <v>201</v>
      </c>
      <c r="B108" s="1554"/>
      <c r="C108" s="1138"/>
      <c r="D108" s="622"/>
      <c r="E108" s="533">
        <f>'28'!F108</f>
        <v>0</v>
      </c>
      <c r="F108" s="660"/>
      <c r="G108" s="532">
        <f>SUM(G105:G107)</f>
        <v>10</v>
      </c>
      <c r="H108" s="533">
        <f>SUM(G108+'1'!G79)</f>
        <v>163</v>
      </c>
      <c r="I108" s="532"/>
      <c r="J108" s="558">
        <f>H108/DAY(B2)</f>
        <v>5.6206896551724137</v>
      </c>
      <c r="N108" s="769"/>
      <c r="O108" s="769"/>
    </row>
    <row r="109" spans="1:15" s="442" customFormat="1" ht="27">
      <c r="A109" s="1557" t="s">
        <v>78</v>
      </c>
      <c r="B109" s="1558"/>
      <c r="C109" s="1138"/>
      <c r="D109" s="622" t="s">
        <v>143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51" t="s">
        <v>219</v>
      </c>
      <c r="B110" s="1552"/>
      <c r="C110" s="1138"/>
      <c r="D110" s="622" t="s">
        <v>143</v>
      </c>
      <c r="E110" s="533">
        <f>'28'!F110</f>
        <v>64692</v>
      </c>
      <c r="F110" s="660">
        <v>64779</v>
      </c>
      <c r="G110" s="532">
        <f>F110-E110</f>
        <v>87</v>
      </c>
      <c r="H110" s="533">
        <f>SUM(G110+'1'!G81)</f>
        <v>218.64000000001397</v>
      </c>
      <c r="I110" s="532"/>
      <c r="J110" s="558">
        <f>H110/DAY(B2)</f>
        <v>7.5393103448280678</v>
      </c>
      <c r="N110" s="769"/>
      <c r="O110" s="769"/>
    </row>
    <row r="111" spans="1:15" s="442" customFormat="1" ht="27">
      <c r="A111" s="1551" t="s">
        <v>220</v>
      </c>
      <c r="B111" s="1552"/>
      <c r="C111" s="1138"/>
      <c r="D111" s="622" t="s">
        <v>143</v>
      </c>
      <c r="E111" s="533">
        <f>'28'!F111</f>
        <v>33078</v>
      </c>
      <c r="F111" s="660">
        <v>33129</v>
      </c>
      <c r="G111" s="532">
        <f t="shared" ref="G111:G112" si="11">F111-E111</f>
        <v>51</v>
      </c>
      <c r="H111" s="533">
        <f>SUM(G111+'1'!G82)</f>
        <v>75.899999999994179</v>
      </c>
      <c r="I111" s="532"/>
      <c r="J111" s="558">
        <f>H111/DAY(B2)</f>
        <v>2.6172413793101441</v>
      </c>
      <c r="N111" s="769"/>
      <c r="O111" s="769"/>
    </row>
    <row r="112" spans="1:15" s="442" customFormat="1" ht="27">
      <c r="A112" s="1551" t="s">
        <v>221</v>
      </c>
      <c r="B112" s="1552"/>
      <c r="C112" s="1138"/>
      <c r="D112" s="622" t="s">
        <v>143</v>
      </c>
      <c r="E112" s="533">
        <f>'28'!F112</f>
        <v>4621</v>
      </c>
      <c r="F112" s="660">
        <v>4621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3" t="s">
        <v>109</v>
      </c>
      <c r="B113" s="1554"/>
      <c r="C113" s="1138"/>
      <c r="D113" s="622"/>
      <c r="E113" s="533">
        <f>'28'!F113</f>
        <v>0</v>
      </c>
      <c r="F113" s="660"/>
      <c r="G113" s="532">
        <f>SUM(G110:G112)</f>
        <v>138</v>
      </c>
      <c r="H113" s="533">
        <f>SUM(G113+'1'!G84)</f>
        <v>954</v>
      </c>
      <c r="I113" s="532"/>
      <c r="J113" s="558">
        <f>H113/DAY(B2)</f>
        <v>32.896551724137929</v>
      </c>
      <c r="N113" s="769"/>
      <c r="O113" s="769"/>
    </row>
    <row r="114" spans="1:15" s="442" customFormat="1" ht="27">
      <c r="A114" s="1557" t="s">
        <v>222</v>
      </c>
      <c r="B114" s="1558"/>
      <c r="C114" s="1138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51" t="s">
        <v>223</v>
      </c>
      <c r="B115" s="1552"/>
      <c r="C115" s="574"/>
      <c r="D115" s="622" t="s">
        <v>143</v>
      </c>
      <c r="E115" s="533">
        <f>'28'!F115</f>
        <v>11974</v>
      </c>
      <c r="F115" s="660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69"/>
      <c r="O115" s="769"/>
    </row>
    <row r="116" spans="1:15" s="442" customFormat="1" ht="27">
      <c r="A116" s="1551" t="s">
        <v>224</v>
      </c>
      <c r="B116" s="1552"/>
      <c r="C116" s="574"/>
      <c r="D116" s="622" t="s">
        <v>143</v>
      </c>
      <c r="E116" s="533">
        <f>'28'!F116</f>
        <v>8538</v>
      </c>
      <c r="F116" s="660">
        <v>8549</v>
      </c>
      <c r="G116" s="534">
        <f t="shared" ref="G116:G117" si="12">F116-E116</f>
        <v>11</v>
      </c>
      <c r="H116" s="533">
        <f>SUM(G116+'1'!G93)</f>
        <v>100</v>
      </c>
      <c r="I116" s="532"/>
      <c r="J116" s="558">
        <f>H116/DAY(B2)</f>
        <v>3.4482758620689653</v>
      </c>
      <c r="N116" s="769"/>
      <c r="O116" s="769"/>
    </row>
    <row r="117" spans="1:15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42</v>
      </c>
      <c r="H118" s="533">
        <f>SUM(G118+'1'!G96)</f>
        <v>128</v>
      </c>
      <c r="I118" s="534"/>
      <c r="J118" s="558">
        <f>H118/DAY(B2)</f>
        <v>4.4137931034482758</v>
      </c>
      <c r="N118" s="769"/>
      <c r="O118" s="770"/>
    </row>
    <row r="119" spans="1:15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135</v>
      </c>
      <c r="H119" s="533">
        <f>SUM(G119+'1'!G97)</f>
        <v>152</v>
      </c>
      <c r="I119" s="535"/>
      <c r="J119" s="559">
        <f>H119/DAY(B2)</f>
        <v>5.2413793103448274</v>
      </c>
      <c r="N119" s="769"/>
      <c r="O119" s="770"/>
    </row>
    <row r="120" spans="1:15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138</v>
      </c>
      <c r="H121" s="533">
        <f>SUM(G121+'1'!G101)</f>
        <v>143</v>
      </c>
      <c r="I121" s="535"/>
      <c r="J121" s="559">
        <f>H121/DAY(B2)</f>
        <v>4.931034482758621</v>
      </c>
      <c r="N121" s="769"/>
      <c r="O121" s="770"/>
    </row>
    <row r="122" spans="1:15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39" t="s">
        <v>230</v>
      </c>
      <c r="B124" s="1140"/>
      <c r="C124" s="1140"/>
      <c r="D124" s="523" t="s">
        <v>140</v>
      </c>
      <c r="E124" s="737">
        <f>'28'!F124</f>
        <v>839146</v>
      </c>
      <c r="F124" s="737">
        <v>839407</v>
      </c>
      <c r="G124" s="473">
        <f t="shared" ref="G124:G128" si="13">F124-E124</f>
        <v>261</v>
      </c>
      <c r="H124" s="460">
        <f>G124+'28'!H124</f>
        <v>-263</v>
      </c>
      <c r="I124" s="526"/>
      <c r="J124" s="552">
        <f>H124/DAY(B2)</f>
        <v>-9.068965517241379</v>
      </c>
      <c r="K124" s="380"/>
      <c r="L124" s="377"/>
    </row>
    <row r="125" spans="1:15" ht="27.75">
      <c r="A125" s="1139" t="s">
        <v>231</v>
      </c>
      <c r="B125" s="1140"/>
      <c r="C125" s="1140"/>
      <c r="D125" s="523" t="s">
        <v>140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40" t="s">
        <v>232</v>
      </c>
      <c r="B126" s="1541"/>
      <c r="C126" s="1542"/>
      <c r="D126" s="523" t="s">
        <v>140</v>
      </c>
      <c r="E126" s="737">
        <f>'28'!F126</f>
        <v>148453</v>
      </c>
      <c r="F126" s="737">
        <v>148513</v>
      </c>
      <c r="G126" s="473">
        <f t="shared" si="13"/>
        <v>60</v>
      </c>
      <c r="H126" s="460">
        <f>G126+'28'!H126</f>
        <v>-84</v>
      </c>
      <c r="I126" s="526"/>
      <c r="J126" s="552">
        <f>H126/DAY(B2)</f>
        <v>-2.896551724137931</v>
      </c>
      <c r="K126" s="380"/>
      <c r="L126" s="377"/>
    </row>
    <row r="127" spans="1:15" ht="27.75">
      <c r="A127" s="609" t="s">
        <v>233</v>
      </c>
      <c r="B127" s="1140"/>
      <c r="C127" s="1140"/>
      <c r="D127" s="523" t="s">
        <v>140</v>
      </c>
      <c r="E127" s="737">
        <f>'28'!F127</f>
        <v>32011</v>
      </c>
      <c r="F127" s="753">
        <v>32041</v>
      </c>
      <c r="G127" s="473">
        <f t="shared" si="13"/>
        <v>30</v>
      </c>
      <c r="H127" s="460">
        <f>G127+'28'!H127</f>
        <v>-30</v>
      </c>
      <c r="I127" s="526"/>
      <c r="J127" s="552">
        <f>H127/DAY(B2)</f>
        <v>-1.0344827586206897</v>
      </c>
      <c r="K127" s="380"/>
      <c r="L127" s="377"/>
    </row>
    <row r="128" spans="1:15" ht="27.75">
      <c r="A128" s="609" t="s">
        <v>234</v>
      </c>
      <c r="B128" s="1140"/>
      <c r="C128" s="1140"/>
      <c r="D128" s="523" t="s">
        <v>140</v>
      </c>
      <c r="E128" s="737">
        <f>'28'!F128</f>
        <v>9009</v>
      </c>
      <c r="F128" s="753">
        <v>9011</v>
      </c>
      <c r="G128" s="473">
        <f t="shared" si="13"/>
        <v>2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347.39999999999418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39" t="s">
        <v>237</v>
      </c>
      <c r="B131" s="1140"/>
      <c r="C131" s="1140"/>
      <c r="D131" s="523" t="s">
        <v>238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39" t="s">
        <v>239</v>
      </c>
      <c r="B132" s="1140"/>
      <c r="C132" s="1140"/>
      <c r="D132" s="523" t="s">
        <v>238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39" t="s">
        <v>240</v>
      </c>
      <c r="B133" s="1140"/>
      <c r="C133" s="1140"/>
      <c r="D133" s="523" t="s">
        <v>238</v>
      </c>
      <c r="E133" s="767">
        <f>'28'!F133</f>
        <v>40419</v>
      </c>
      <c r="F133" s="753">
        <v>40429</v>
      </c>
      <c r="G133" s="473">
        <f t="shared" si="14"/>
        <v>10</v>
      </c>
      <c r="H133" s="460">
        <f>G133+'28'!H133</f>
        <v>-24</v>
      </c>
      <c r="I133" s="480"/>
      <c r="J133" s="552">
        <f>H133/DAY(B2)</f>
        <v>-0.82758620689655171</v>
      </c>
    </row>
    <row r="134" spans="1:15" ht="27.75">
      <c r="A134" s="1139" t="s">
        <v>241</v>
      </c>
      <c r="B134" s="1140"/>
      <c r="C134" s="1140"/>
      <c r="D134" s="523" t="s">
        <v>238</v>
      </c>
      <c r="E134" s="767">
        <f>'28'!F134</f>
        <v>300</v>
      </c>
      <c r="F134" s="753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39" t="s">
        <v>242</v>
      </c>
      <c r="B135" s="1140"/>
      <c r="C135" s="1140"/>
      <c r="D135" s="523" t="s">
        <v>238</v>
      </c>
      <c r="E135" s="767">
        <f>'28'!F135</f>
        <v>41953</v>
      </c>
      <c r="F135" s="753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39" t="s">
        <v>243</v>
      </c>
      <c r="B136" s="1140"/>
      <c r="C136" s="1140"/>
      <c r="D136" s="523" t="s">
        <v>238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39" t="s">
        <v>244</v>
      </c>
      <c r="B137" s="1140"/>
      <c r="C137" s="1140"/>
      <c r="D137" s="523" t="s">
        <v>238</v>
      </c>
      <c r="E137" s="766">
        <f>'28'!F137</f>
        <v>22886.2</v>
      </c>
      <c r="F137" s="744">
        <v>22891.42</v>
      </c>
      <c r="G137" s="473">
        <f t="shared" si="14"/>
        <v>5.2199999999975262</v>
      </c>
      <c r="H137" s="460">
        <f>G137+'28'!H137</f>
        <v>-7.0000000003346941E-2</v>
      </c>
      <c r="I137" s="480">
        <f>G135+G136+G137</f>
        <v>22.219999999997526</v>
      </c>
      <c r="J137" s="552">
        <f>H137/DAY(B2)</f>
        <v>-2.4137931035636876E-3</v>
      </c>
    </row>
    <row r="138" spans="1:15" ht="27.75">
      <c r="A138" s="1139" t="s">
        <v>245</v>
      </c>
      <c r="B138" s="1140"/>
      <c r="C138" s="1140"/>
      <c r="D138" s="523" t="s">
        <v>238</v>
      </c>
      <c r="E138" s="766">
        <f>'28'!F138</f>
        <v>25091.39</v>
      </c>
      <c r="F138" s="744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39" t="s">
        <v>246</v>
      </c>
      <c r="B139" s="1140"/>
      <c r="C139" s="1140"/>
      <c r="D139" s="523" t="s">
        <v>238</v>
      </c>
      <c r="E139" s="766">
        <f>'28'!F139</f>
        <v>70509.100000000006</v>
      </c>
      <c r="F139" s="744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39" t="s">
        <v>247</v>
      </c>
      <c r="B140" s="1140"/>
      <c r="C140" s="1140"/>
      <c r="D140" s="523" t="s">
        <v>238</v>
      </c>
      <c r="E140" s="767">
        <f>'28'!F140</f>
        <v>2109.6999999999998</v>
      </c>
      <c r="F140" s="753">
        <v>2119.34</v>
      </c>
      <c r="G140" s="473">
        <f t="shared" si="14"/>
        <v>9.6400000000003274</v>
      </c>
      <c r="H140" s="460">
        <f>G140+'28'!H140</f>
        <v>-9.8399999999996908</v>
      </c>
      <c r="I140" s="542"/>
      <c r="J140" s="552">
        <f>H140/DAY(B2)</f>
        <v>-0.33931034482757555</v>
      </c>
    </row>
    <row r="141" spans="1:15" ht="27.75">
      <c r="A141" s="1139" t="s">
        <v>248</v>
      </c>
      <c r="B141" s="1140"/>
      <c r="C141" s="1140"/>
      <c r="D141" s="523" t="s">
        <v>238</v>
      </c>
      <c r="E141" s="766">
        <f>'28'!F141</f>
        <v>4636.88</v>
      </c>
      <c r="F141" s="737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-8259.6899999999441</v>
      </c>
      <c r="I143" s="480"/>
      <c r="J143" s="552">
        <f>H143/DAY(B2)</f>
        <v>-284.81689655172221</v>
      </c>
      <c r="K143" s="380"/>
      <c r="L143" s="377"/>
    </row>
    <row r="144" spans="1:15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0.25524046511627907</v>
      </c>
      <c r="H144" s="460">
        <f>G144+'28'!H144</f>
        <v>-0.49884523245444246</v>
      </c>
      <c r="I144" s="544"/>
      <c r="J144" s="552">
        <f>H144/DAY(B2)</f>
        <v>-1.7201559739808362E-2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-5697.8899999999994</v>
      </c>
      <c r="I145" s="480"/>
      <c r="J145" s="552">
        <f>H145/DAY(B2)</f>
        <v>-196.47896551724136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0.27967441860465114</v>
      </c>
      <c r="H146" s="460">
        <f>G146+'28'!H146</f>
        <v>-0.43503562576664756</v>
      </c>
      <c r="I146" s="544"/>
      <c r="J146" s="552">
        <f>H146/DAY(B2)</f>
        <v>-1.5001228474711985E-2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3564</v>
      </c>
      <c r="H147" s="460">
        <f>G147+'28'!H147</f>
        <v>-3737</v>
      </c>
      <c r="I147" s="545"/>
      <c r="J147" s="552">
        <f>H147/DAY(B2)</f>
        <v>-128.86206896551724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0.1657674418604651</v>
      </c>
      <c r="H148" s="460">
        <f>G148+'28'!H148</f>
        <v>-0.25210802238817343</v>
      </c>
      <c r="I148" s="545"/>
      <c r="J148" s="552">
        <f>H148/DAY(B2)</f>
        <v>-8.6933800823508073E-3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1582</v>
      </c>
      <c r="H149" s="460">
        <f>G149+'28'!H149</f>
        <v>-1353.9300000000512</v>
      </c>
      <c r="I149" s="480"/>
      <c r="J149" s="552">
        <f>H149/DAY(B2)</f>
        <v>-46.687241379312113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7.3581395348837203E-2</v>
      </c>
      <c r="H150" s="460">
        <f>G150+'28'!H150</f>
        <v>-0.10070312187426614</v>
      </c>
      <c r="I150" s="545"/>
      <c r="J150" s="552">
        <f>H150/DAY(B2)</f>
        <v>-3.4725214439402115E-3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1566</v>
      </c>
      <c r="H151" s="460">
        <f>G151+'28'!H151</f>
        <v>-1597.0000000000018</v>
      </c>
      <c r="I151" s="545"/>
      <c r="J151" s="552">
        <f>H151/DAY(B2)</f>
        <v>-55.068965517241445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7.2837209302325581E-2</v>
      </c>
      <c r="H152" s="460">
        <f>G152+'28'!H152</f>
        <v>-0.1313077712188595</v>
      </c>
      <c r="I152" s="480"/>
      <c r="J152" s="552">
        <f>H152/DAY(B2)</f>
        <v>-4.5278541799606727E-3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-1412.1300000000047</v>
      </c>
      <c r="I153" s="480"/>
      <c r="J153" s="552">
        <f>H153/DAY(B2)</f>
        <v>-48.694137931034646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6.5900930232557928E-2</v>
      </c>
      <c r="H154" s="460">
        <f>G154+'28'!H154</f>
        <v>-0.10166333071364793</v>
      </c>
      <c r="I154" s="568"/>
      <c r="J154" s="569">
        <f>H154/DAY(B2)</f>
        <v>-3.5056320935740663E-3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262</v>
      </c>
      <c r="B161" s="795"/>
      <c r="C161" s="795"/>
      <c r="D161" s="620" t="s">
        <v>186</v>
      </c>
      <c r="E161" s="763">
        <f>'28'!F161</f>
        <v>40682</v>
      </c>
      <c r="F161" s="803">
        <v>40762</v>
      </c>
      <c r="G161" s="473">
        <f t="shared" ref="G161:G164" si="15">F161-E161</f>
        <v>80</v>
      </c>
    </row>
    <row r="162" spans="1:7">
      <c r="A162" s="794" t="s">
        <v>263</v>
      </c>
      <c r="B162" s="795"/>
      <c r="C162" s="795"/>
      <c r="D162" s="620" t="s">
        <v>186</v>
      </c>
      <c r="E162" s="763">
        <f>'28'!F162</f>
        <v>106862</v>
      </c>
      <c r="F162" s="803">
        <v>107302</v>
      </c>
      <c r="G162" s="473">
        <f t="shared" si="15"/>
        <v>440</v>
      </c>
    </row>
    <row r="163" spans="1:7">
      <c r="A163" s="794" t="s">
        <v>264</v>
      </c>
      <c r="B163" s="795"/>
      <c r="C163" s="795"/>
      <c r="D163" s="620" t="s">
        <v>186</v>
      </c>
      <c r="E163" s="763">
        <f>'28'!F163</f>
        <v>60818</v>
      </c>
      <c r="F163" s="803">
        <v>61025</v>
      </c>
      <c r="G163" s="473">
        <f t="shared" si="15"/>
        <v>207</v>
      </c>
    </row>
    <row r="164" spans="1:7">
      <c r="A164" s="794" t="s">
        <v>265</v>
      </c>
      <c r="B164" s="795"/>
      <c r="C164" s="795"/>
      <c r="D164" s="620" t="s">
        <v>186</v>
      </c>
      <c r="E164" s="763">
        <f>'28'!F164</f>
        <v>6834</v>
      </c>
      <c r="F164" s="803">
        <v>6845</v>
      </c>
      <c r="G164" s="473">
        <f t="shared" si="15"/>
        <v>11</v>
      </c>
    </row>
    <row r="165" spans="1:7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187</v>
      </c>
      <c r="B166" s="797"/>
      <c r="C166" s="797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2" t="s">
        <v>98</v>
      </c>
      <c r="B167" s="1612"/>
      <c r="C167" s="1612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12" t="s">
        <v>99</v>
      </c>
      <c r="B168" s="1612"/>
      <c r="C168" s="1612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12" t="s">
        <v>100</v>
      </c>
      <c r="B169" s="1612"/>
      <c r="C169" s="1612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12" t="s">
        <v>101</v>
      </c>
      <c r="B170" s="1612"/>
      <c r="C170" s="1612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12" t="s">
        <v>102</v>
      </c>
      <c r="B171" s="1612"/>
      <c r="C171" s="1612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2" t="s">
        <v>103</v>
      </c>
      <c r="B172" s="1612"/>
      <c r="C172" s="1612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8"/>
      <c r="B173" s="799"/>
      <c r="C173" s="799"/>
      <c r="D173" s="800"/>
      <c r="E173" s="802"/>
      <c r="F173" s="1029"/>
      <c r="G173" s="802">
        <f>SUM(G161:G172)</f>
        <v>2569</v>
      </c>
    </row>
    <row r="174" spans="1:7" ht="27.75">
      <c r="A174" s="1587" t="s">
        <v>350</v>
      </c>
      <c r="B174" s="1550"/>
      <c r="C174" s="784"/>
      <c r="D174" s="1494" t="s">
        <v>186</v>
      </c>
      <c r="E174" s="1495">
        <v>18993</v>
      </c>
      <c r="F174" s="1495">
        <v>18997</v>
      </c>
      <c r="G174" s="1496">
        <f t="shared" ref="G174:G176" si="19">F174-E174</f>
        <v>4</v>
      </c>
    </row>
    <row r="175" spans="1:7" ht="27.75">
      <c r="A175" s="1587" t="s">
        <v>351</v>
      </c>
      <c r="B175" s="1550"/>
      <c r="C175" s="454"/>
      <c r="D175" s="1494" t="s">
        <v>186</v>
      </c>
      <c r="E175" s="1499">
        <v>27621</v>
      </c>
      <c r="F175" s="1499">
        <v>27625</v>
      </c>
      <c r="G175" s="1496">
        <f t="shared" si="19"/>
        <v>4</v>
      </c>
    </row>
    <row r="176" spans="1:7" ht="27.75">
      <c r="A176" s="1587" t="s">
        <v>350</v>
      </c>
      <c r="B176" s="1550"/>
      <c r="C176" s="454"/>
      <c r="D176" s="1494" t="s">
        <v>186</v>
      </c>
      <c r="E176" s="1495">
        <v>70323</v>
      </c>
      <c r="F176" s="1495">
        <v>70323</v>
      </c>
      <c r="G176" s="1496">
        <f t="shared" si="19"/>
        <v>0</v>
      </c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topLeftCell="A153" zoomScale="60" zoomScaleNormal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44012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1" t="s">
        <v>119</v>
      </c>
      <c r="D3" s="612">
        <v>29</v>
      </c>
      <c r="E3" s="1696" t="s">
        <v>120</v>
      </c>
      <c r="F3" s="1696"/>
      <c r="G3" s="462"/>
      <c r="H3" s="463"/>
      <c r="I3" s="463"/>
      <c r="J3" s="615"/>
      <c r="K3" s="371"/>
      <c r="L3" s="292"/>
      <c r="O3" s="1021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697" t="s">
        <v>129</v>
      </c>
      <c r="B6" s="1698"/>
      <c r="C6" s="1698"/>
      <c r="D6" s="471"/>
      <c r="E6" s="471"/>
      <c r="F6" s="471"/>
      <c r="G6" s="471"/>
      <c r="H6" s="472"/>
      <c r="I6" s="472"/>
      <c r="J6" s="551"/>
      <c r="K6" s="427"/>
      <c r="L6" s="377"/>
      <c r="O6" s="1022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556810.66999999993</v>
      </c>
      <c r="F7" s="455">
        <f>E7+21500</f>
        <v>578310.66999999993</v>
      </c>
      <c r="G7" s="773">
        <f>F7-E7</f>
        <v>21500</v>
      </c>
      <c r="H7" s="460">
        <f>G7+'29'!H7</f>
        <v>656357.66999999993</v>
      </c>
      <c r="I7" s="474">
        <f>'1'!I7</f>
        <v>12000</v>
      </c>
      <c r="J7" s="552">
        <f>H7/DAY(B2)</f>
        <v>21878.588999999996</v>
      </c>
      <c r="K7" s="549">
        <v>1375467</v>
      </c>
      <c r="L7" s="377"/>
      <c r="N7" s="440">
        <f>F7-'1'!E7</f>
        <v>-343642.33000000007</v>
      </c>
      <c r="O7" s="804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563826.83000000007</v>
      </c>
      <c r="F8" s="475">
        <f>E8+21500</f>
        <v>585326.83000000007</v>
      </c>
      <c r="G8" s="476">
        <f>F8-E8</f>
        <v>21500</v>
      </c>
      <c r="H8" s="460">
        <f>G8+'29'!H8</f>
        <v>658604.83000000007</v>
      </c>
      <c r="I8" s="477"/>
      <c r="J8" s="552">
        <f>H8/DAY(B2)</f>
        <v>21953.494333333336</v>
      </c>
      <c r="K8" s="549">
        <v>1715917</v>
      </c>
      <c r="L8" s="425">
        <v>1728480</v>
      </c>
      <c r="M8" s="440">
        <f>L8-K8</f>
        <v>12563</v>
      </c>
      <c r="N8" s="440">
        <f>F8-'1'!E8</f>
        <v>-341395.16999999993</v>
      </c>
      <c r="O8" s="804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 t="shared" ref="G9:G12" si="0">F9-E9</f>
        <v>16950</v>
      </c>
      <c r="H9" s="460">
        <f>G9+'29'!H9</f>
        <v>0</v>
      </c>
      <c r="I9" s="479">
        <f>I7-J7</f>
        <v>-9878.5889999999963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4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si="0"/>
        <v>0</v>
      </c>
      <c r="H10" s="460">
        <f>G10+'29'!H10</f>
        <v>-2606.2500000000005</v>
      </c>
      <c r="I10" s="480"/>
      <c r="J10" s="552">
        <f>H10/DAY(B2)</f>
        <v>-86.875000000000014</v>
      </c>
      <c r="K10" s="428"/>
      <c r="L10" s="377"/>
      <c r="N10" s="440">
        <f>F10-'1'!E10</f>
        <v>-2323</v>
      </c>
      <c r="O10" s="804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-22933.250000000058</v>
      </c>
      <c r="I13" s="482">
        <f>G7-G13</f>
        <v>4550</v>
      </c>
      <c r="J13" s="552">
        <f>H13/DAY(B2)</f>
        <v>-764.44166666666865</v>
      </c>
      <c r="K13" s="428"/>
      <c r="L13" s="377"/>
      <c r="N13" s="440">
        <f>F13-'1'!E13</f>
        <v>0</v>
      </c>
      <c r="O13" s="804"/>
    </row>
    <row r="14" spans="1:15" ht="29.25">
      <c r="A14" s="1699" t="s">
        <v>138</v>
      </c>
      <c r="B14" s="1700"/>
      <c r="C14" s="1700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39" t="s">
        <v>139</v>
      </c>
      <c r="B15" s="589"/>
      <c r="C15" s="589"/>
      <c r="D15" s="523" t="s">
        <v>140</v>
      </c>
      <c r="E15" s="455">
        <f>'29'!F15</f>
        <v>1726717.72</v>
      </c>
      <c r="F15" s="700">
        <f>E15+700</f>
        <v>1727417.72</v>
      </c>
      <c r="G15" s="773">
        <f>(F15-E15)</f>
        <v>700</v>
      </c>
      <c r="H15" s="460">
        <f>G15+'29'!H15</f>
        <v>23734.719999999972</v>
      </c>
      <c r="I15" s="474">
        <f>'1'!I15</f>
        <v>800</v>
      </c>
      <c r="J15" s="552">
        <f>H15/DAY(B2)</f>
        <v>791.15733333333242</v>
      </c>
      <c r="K15" s="428"/>
      <c r="L15" s="377"/>
      <c r="N15" s="440">
        <f>F15-'1'!E15</f>
        <v>23734.719999999972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8.8426666666675828</v>
      </c>
      <c r="J16" s="553"/>
      <c r="K16" s="428"/>
      <c r="L16" s="377"/>
      <c r="N16" s="440">
        <f>F16-'1'!E16</f>
        <v>0</v>
      </c>
      <c r="O16" s="804"/>
    </row>
    <row r="17" spans="1:15" ht="29.25">
      <c r="A17" s="1699" t="s">
        <v>141</v>
      </c>
      <c r="B17" s="1700"/>
      <c r="C17" s="1700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88" t="s">
        <v>142</v>
      </c>
      <c r="B18" s="1689"/>
      <c r="C18" s="1689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3790</v>
      </c>
      <c r="I18" s="474">
        <f>'1'!I18</f>
        <v>65</v>
      </c>
      <c r="J18" s="552">
        <f>H18/DAY(B2)</f>
        <v>126.33333333333333</v>
      </c>
      <c r="K18" s="428"/>
      <c r="L18" s="377"/>
      <c r="N18" s="440">
        <f>F18-'1'!E18</f>
        <v>0</v>
      </c>
      <c r="O18" s="804"/>
    </row>
    <row r="19" spans="1:15" ht="27.75">
      <c r="A19" s="1688" t="s">
        <v>70</v>
      </c>
      <c r="B19" s="1689"/>
      <c r="C19" s="1689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4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0">
        <f>G18+G19</f>
        <v>134</v>
      </c>
      <c r="H20" s="460">
        <f>G20+'29'!H20</f>
        <v>3790</v>
      </c>
      <c r="I20" s="492">
        <f>I18-J20</f>
        <v>-61.333333333333329</v>
      </c>
      <c r="J20" s="552">
        <f>H20/DAY(B2)</f>
        <v>126.33333333333333</v>
      </c>
      <c r="K20" s="428"/>
      <c r="L20" s="377"/>
      <c r="N20" s="440">
        <f>F20-'1'!E20</f>
        <v>0</v>
      </c>
      <c r="O20" s="804"/>
    </row>
    <row r="21" spans="1:15" ht="29.25">
      <c r="A21" s="1699" t="s">
        <v>145</v>
      </c>
      <c r="B21" s="1700"/>
      <c r="C21" s="1700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39" t="s">
        <v>146</v>
      </c>
      <c r="B22" s="589"/>
      <c r="C22" s="589"/>
      <c r="D22" s="523" t="s">
        <v>147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39" t="s">
        <v>148</v>
      </c>
      <c r="B23" s="589"/>
      <c r="C23" s="589"/>
      <c r="D23" s="523" t="s">
        <v>147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149</v>
      </c>
      <c r="B24" s="591"/>
      <c r="C24" s="591"/>
      <c r="D24" s="511" t="s">
        <v>147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1023">
        <f>E27*F27</f>
        <v>193500</v>
      </c>
      <c r="H27" s="460">
        <f>G27+'29'!H27</f>
        <v>5927445.3600000013</v>
      </c>
      <c r="I27" s="503"/>
      <c r="J27" s="552">
        <f>H27/DAY(B2)</f>
        <v>197581.51200000005</v>
      </c>
      <c r="K27" s="373"/>
      <c r="L27" s="443"/>
      <c r="N27" s="440"/>
      <c r="O27" s="804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1023">
        <f>E28*F28</f>
        <v>36400</v>
      </c>
      <c r="H28" s="460">
        <f>G28+'29'!H28</f>
        <v>1234205.4399999985</v>
      </c>
      <c r="I28" s="505"/>
      <c r="J28" s="552">
        <f>H28/DAY(B2)</f>
        <v>41140.181333333283</v>
      </c>
      <c r="K28" s="373"/>
      <c r="L28" s="443"/>
      <c r="N28" s="440"/>
      <c r="O28" s="804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3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3">
        <f>E30*F30</f>
        <v>9344</v>
      </c>
      <c r="H30" s="460">
        <f>G30+'29'!H30</f>
        <v>-584</v>
      </c>
      <c r="I30" s="505"/>
      <c r="J30" s="552">
        <f>H30/DAY(B2)</f>
        <v>-19.466666666666665</v>
      </c>
      <c r="K30" s="373"/>
      <c r="L30" s="443"/>
      <c r="N30" s="440"/>
      <c r="O30" s="804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3">
        <f>E31*F31</f>
        <v>5600</v>
      </c>
      <c r="H31" s="460">
        <f>G31+'29'!H31</f>
        <v>297600</v>
      </c>
      <c r="I31" s="505"/>
      <c r="J31" s="552">
        <f>H31/DAY(B2)</f>
        <v>9920</v>
      </c>
      <c r="K31" s="373"/>
      <c r="L31" s="443"/>
      <c r="N31" s="440"/>
      <c r="O31" s="804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244844</v>
      </c>
      <c r="H32" s="460">
        <f>G32+'29'!H32</f>
        <v>7458666.7999999998</v>
      </c>
      <c r="I32" s="509"/>
      <c r="J32" s="552">
        <f>H32/DAY(B2)</f>
        <v>248622.22666666665</v>
      </c>
      <c r="K32" s="373"/>
      <c r="L32" s="443"/>
      <c r="N32" s="440"/>
      <c r="O32" s="804"/>
    </row>
    <row r="33" spans="1:15" ht="25.5">
      <c r="A33" s="1704" t="s">
        <v>161</v>
      </c>
      <c r="B33" s="1705"/>
      <c r="C33" s="1705"/>
      <c r="D33" s="1705"/>
      <c r="E33" s="1705"/>
      <c r="F33" s="1705"/>
      <c r="G33" s="1705"/>
      <c r="H33" s="1705"/>
      <c r="I33" s="1705"/>
      <c r="J33" s="1706"/>
      <c r="K33" s="428"/>
      <c r="L33" s="377"/>
      <c r="N33" s="440"/>
      <c r="O33" s="804"/>
    </row>
    <row r="34" spans="1:15" ht="21.95" customHeight="1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4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4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4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4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4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4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4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11.110000000000582</v>
      </c>
      <c r="I42" s="455"/>
      <c r="J42" s="552">
        <f>H42/DAY(B2)</f>
        <v>0.37033333333335272</v>
      </c>
      <c r="K42" s="428"/>
      <c r="L42" s="377"/>
      <c r="N42" s="440">
        <f>F42-'1'!E42</f>
        <v>0</v>
      </c>
      <c r="O42" s="804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4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-614</v>
      </c>
      <c r="I45" s="455"/>
      <c r="J45" s="552">
        <f>H45/DAY(B2)</f>
        <v>-20.466666666666665</v>
      </c>
      <c r="K45" s="428"/>
      <c r="L45" s="377"/>
      <c r="N45" s="440">
        <f>F45-'1'!E45</f>
        <v>0</v>
      </c>
      <c r="O45" s="804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-187.49</v>
      </c>
      <c r="I46" s="455"/>
      <c r="J46" s="552">
        <f>H46/DAY(B2)</f>
        <v>-6.2496666666666671</v>
      </c>
      <c r="K46" s="428"/>
      <c r="L46" s="377"/>
      <c r="N46" s="440">
        <f>F46-'1'!E46</f>
        <v>0</v>
      </c>
      <c r="O46" s="804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11.110000000000582</v>
      </c>
      <c r="I47" s="455"/>
      <c r="J47" s="552">
        <f>H47/DAY(B2)</f>
        <v>0.37033333333335272</v>
      </c>
      <c r="K47" s="428"/>
      <c r="L47" s="377"/>
      <c r="N47" s="440">
        <f>F47-'1'!E47</f>
        <v>0</v>
      </c>
      <c r="O47" s="804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-32</v>
      </c>
      <c r="I49" s="455"/>
      <c r="J49" s="552">
        <f>H49/DAY(B2)</f>
        <v>-1.0666666666666667</v>
      </c>
      <c r="K49" s="428"/>
      <c r="L49" s="377"/>
      <c r="O49" s="804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-1093</v>
      </c>
      <c r="I50" s="455"/>
      <c r="J50" s="552">
        <f>H50/DAY(B2)</f>
        <v>-36.43333333333333</v>
      </c>
      <c r="K50" s="428"/>
      <c r="L50" s="377"/>
      <c r="O50" s="804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0</v>
      </c>
      <c r="I54" s="455"/>
      <c r="J54" s="552">
        <f>H54/DAY(B2)</f>
        <v>0</v>
      </c>
      <c r="K54" s="428"/>
      <c r="L54" s="377"/>
      <c r="O54" s="804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5">
        <v>117636</v>
      </c>
      <c r="G55" s="473">
        <f t="shared" si="4"/>
        <v>410</v>
      </c>
      <c r="H55" s="460">
        <f>G55+'29'!H55</f>
        <v>-5574</v>
      </c>
      <c r="I55" s="455"/>
      <c r="J55" s="552">
        <f>H55/DAY(B2)</f>
        <v>-185.8</v>
      </c>
      <c r="K55" s="428"/>
      <c r="L55" s="377"/>
      <c r="O55" s="804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-10</v>
      </c>
      <c r="I56" s="455"/>
      <c r="J56" s="552">
        <f>H56/DAY(B2)</f>
        <v>-0.33333333333333331</v>
      </c>
      <c r="K56" s="427"/>
      <c r="L56" s="377"/>
      <c r="O56" s="804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-194</v>
      </c>
      <c r="I58" s="455"/>
      <c r="J58" s="552">
        <f>H58/DAY(B2)</f>
        <v>-6.4666666666666668</v>
      </c>
      <c r="K58" s="428"/>
      <c r="L58" s="377"/>
      <c r="O58" s="804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-6903.3300000000127</v>
      </c>
      <c r="I59" s="455">
        <f>G7-G60</f>
        <v>2174.0699999999488</v>
      </c>
      <c r="J59" s="552">
        <f>H59/DAY(B2)</f>
        <v>-230.11100000000042</v>
      </c>
      <c r="K59" s="428"/>
      <c r="L59" s="377"/>
      <c r="O59" s="804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11.109999999956926</v>
      </c>
      <c r="I60" s="455">
        <f>G13-G60</f>
        <v>-2375.9300000000512</v>
      </c>
      <c r="J60" s="552">
        <f>H60/DAY(B2)</f>
        <v>0.37033333333189755</v>
      </c>
      <c r="K60" s="428"/>
      <c r="L60" s="377"/>
      <c r="O60" s="804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690" t="s">
        <v>98</v>
      </c>
      <c r="B64" s="1546"/>
      <c r="C64" s="1546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4"/>
    </row>
    <row r="65" spans="1:15" ht="27.75">
      <c r="A65" s="1690" t="s">
        <v>99</v>
      </c>
      <c r="B65" s="1546"/>
      <c r="C65" s="1546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4"/>
    </row>
    <row r="66" spans="1:15" ht="27.75">
      <c r="A66" s="1690" t="s">
        <v>100</v>
      </c>
      <c r="B66" s="1546"/>
      <c r="C66" s="1546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4"/>
    </row>
    <row r="67" spans="1:15" ht="27.75">
      <c r="A67" s="1690" t="s">
        <v>101</v>
      </c>
      <c r="B67" s="1546"/>
      <c r="C67" s="1546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4"/>
    </row>
    <row r="68" spans="1:15" ht="27.75">
      <c r="A68" s="1690" t="s">
        <v>102</v>
      </c>
      <c r="B68" s="1546"/>
      <c r="C68" s="1546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690" t="s">
        <v>103</v>
      </c>
      <c r="B69" s="1546"/>
      <c r="C69" s="1546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4"/>
    </row>
    <row r="70" spans="1:15" ht="27.75">
      <c r="A70" s="1707" t="s">
        <v>188</v>
      </c>
      <c r="B70" s="1612"/>
      <c r="C70" s="1612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701" t="s">
        <v>189</v>
      </c>
      <c r="B71" s="1702"/>
      <c r="C71" s="1702"/>
      <c r="D71" s="1702"/>
      <c r="E71" s="1702"/>
      <c r="F71" s="1702"/>
      <c r="G71" s="1702"/>
      <c r="H71" s="1702"/>
      <c r="I71" s="1702"/>
      <c r="J71" s="1703"/>
      <c r="K71" s="430"/>
      <c r="L71" s="377"/>
      <c r="O71" s="804"/>
    </row>
    <row r="72" spans="1:15" ht="27.75">
      <c r="A72" s="1690" t="s">
        <v>190</v>
      </c>
      <c r="B72" s="1546"/>
      <c r="C72" s="1546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-13</v>
      </c>
      <c r="I72" s="480"/>
      <c r="J72" s="552">
        <f>H72/DAY(B2)</f>
        <v>-0.43333333333333335</v>
      </c>
      <c r="K72" s="431"/>
      <c r="L72" s="377"/>
      <c r="O72" s="804"/>
    </row>
    <row r="73" spans="1:15" ht="27.75">
      <c r="A73" s="1690" t="s">
        <v>191</v>
      </c>
      <c r="B73" s="1546"/>
      <c r="C73" s="1546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138</v>
      </c>
      <c r="I73" s="480"/>
      <c r="J73" s="552">
        <f>H73/DAY(B2)</f>
        <v>4.5999999999999996</v>
      </c>
      <c r="K73" s="430"/>
      <c r="L73" s="377"/>
      <c r="O73" s="804"/>
    </row>
    <row r="74" spans="1:15" ht="27.75">
      <c r="A74" s="1690" t="s">
        <v>192</v>
      </c>
      <c r="B74" s="1546"/>
      <c r="C74" s="1546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34</v>
      </c>
      <c r="I74" s="480"/>
      <c r="J74" s="552">
        <f>H74/DAY(B2)</f>
        <v>1.1333333333333333</v>
      </c>
      <c r="K74" s="431"/>
      <c r="L74" s="377"/>
      <c r="O74" s="804"/>
    </row>
    <row r="75" spans="1:15" ht="27.75">
      <c r="A75" s="1712" t="s">
        <v>193</v>
      </c>
      <c r="B75" s="1713"/>
      <c r="C75" s="1713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4"/>
    </row>
    <row r="76" spans="1:15" ht="27.75">
      <c r="A76" s="1712" t="s">
        <v>194</v>
      </c>
      <c r="B76" s="1713"/>
      <c r="C76" s="1713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1117</v>
      </c>
      <c r="I76" s="505"/>
      <c r="J76" s="552">
        <f>H76/DAY(B2)</f>
        <v>37.233333333333334</v>
      </c>
      <c r="K76" s="430"/>
      <c r="L76" s="377"/>
      <c r="O76" s="804"/>
    </row>
    <row r="77" spans="1:15" ht="27.75">
      <c r="A77" s="1690" t="s">
        <v>195</v>
      </c>
      <c r="B77" s="1546"/>
      <c r="C77" s="1546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4"/>
    </row>
    <row r="78" spans="1:15" ht="27.75">
      <c r="A78" s="1142" t="s">
        <v>196</v>
      </c>
      <c r="B78" s="1115"/>
      <c r="C78" s="1115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4"/>
    </row>
    <row r="79" spans="1:15" ht="27.75">
      <c r="A79" s="1712" t="s">
        <v>91</v>
      </c>
      <c r="B79" s="1713"/>
      <c r="C79" s="1713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-738</v>
      </c>
      <c r="I79" s="505"/>
      <c r="J79" s="552">
        <f>H79/DAY(B2)</f>
        <v>-24.6</v>
      </c>
      <c r="K79" s="430"/>
      <c r="L79" s="377"/>
      <c r="O79" s="804"/>
    </row>
    <row r="80" spans="1:15" ht="27.75">
      <c r="A80" s="1712" t="s">
        <v>197</v>
      </c>
      <c r="B80" s="1713"/>
      <c r="C80" s="1713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-3378</v>
      </c>
      <c r="I80" s="505"/>
      <c r="J80" s="552">
        <f>H80/DAY(B2)</f>
        <v>-112.6</v>
      </c>
      <c r="K80" s="430"/>
      <c r="L80" s="377"/>
      <c r="O80" s="804"/>
    </row>
    <row r="81" spans="1:15" ht="27.75">
      <c r="A81" s="1712" t="s">
        <v>198</v>
      </c>
      <c r="B81" s="1713"/>
      <c r="C81" s="1713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4"/>
    </row>
    <row r="82" spans="1:15" ht="27.75">
      <c r="A82" s="1712" t="s">
        <v>92</v>
      </c>
      <c r="B82" s="1713"/>
      <c r="C82" s="1713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4"/>
    </row>
    <row r="83" spans="1:15" ht="27.75">
      <c r="A83" s="1712" t="s">
        <v>199</v>
      </c>
      <c r="B83" s="1713"/>
      <c r="C83" s="1713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4"/>
    </row>
    <row r="84" spans="1:15" ht="29.25">
      <c r="A84" s="1143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4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33.999999999992724</v>
      </c>
      <c r="I85" s="481"/>
      <c r="J85" s="552">
        <f>H85/DAY(B2)</f>
        <v>1.1333333333330908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'29'!F86</f>
        <v>461791</v>
      </c>
      <c r="F86" s="647">
        <v>461821</v>
      </c>
      <c r="G86" s="705">
        <f t="shared" ref="G86:G91" si="7">F86-E86</f>
        <v>30</v>
      </c>
      <c r="H86" s="460">
        <f>G86+'29'!H86</f>
        <v>77</v>
      </c>
      <c r="I86" s="652"/>
      <c r="J86" s="707">
        <f>H86/DAY(B2)</f>
        <v>2.5666666666666669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182</v>
      </c>
      <c r="E87" s="455">
        <f>'29'!F87</f>
        <v>82038</v>
      </c>
      <c r="F87" s="647">
        <v>82073</v>
      </c>
      <c r="G87" s="705">
        <f t="shared" si="7"/>
        <v>35</v>
      </c>
      <c r="H87" s="460">
        <f>G87+'29'!H87</f>
        <v>65</v>
      </c>
      <c r="I87" s="652"/>
      <c r="J87" s="707">
        <f>H87/DAY(B2)</f>
        <v>2.1666666666666665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'29'!F88</f>
        <v>155234</v>
      </c>
      <c r="F88" s="647">
        <v>155323</v>
      </c>
      <c r="G88" s="705">
        <f t="shared" si="7"/>
        <v>89</v>
      </c>
      <c r="H88" s="460">
        <f>G88+'29'!H88</f>
        <v>201</v>
      </c>
      <c r="I88" s="652"/>
      <c r="J88" s="707">
        <f>H88/DAY(B2)</f>
        <v>6.7</v>
      </c>
      <c r="K88" s="733"/>
      <c r="L88" s="734"/>
      <c r="O88" s="804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'29'!F89</f>
        <v>65824</v>
      </c>
      <c r="F89" s="647">
        <v>65846</v>
      </c>
      <c r="G89" s="705">
        <f t="shared" si="7"/>
        <v>22</v>
      </c>
      <c r="H89" s="460">
        <f>G89+'29'!H89</f>
        <v>48</v>
      </c>
      <c r="I89" s="652"/>
      <c r="J89" s="707">
        <f>H89/DAY(B2)</f>
        <v>1.6</v>
      </c>
      <c r="K89" s="733"/>
      <c r="L89" s="734"/>
      <c r="N89" s="777"/>
      <c r="O89" s="804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'29'!F90</f>
        <v>3341</v>
      </c>
      <c r="F90" s="647">
        <v>3344</v>
      </c>
      <c r="G90" s="705">
        <f t="shared" si="7"/>
        <v>3</v>
      </c>
      <c r="H90" s="460">
        <f>G90+'29'!H90</f>
        <v>6</v>
      </c>
      <c r="I90" s="652"/>
      <c r="J90" s="707">
        <f>H90/DAY(B2)</f>
        <v>0.2</v>
      </c>
      <c r="K90" s="733"/>
      <c r="L90" s="734"/>
      <c r="N90" s="777"/>
      <c r="O90" s="804"/>
    </row>
    <row r="91" spans="1:15" s="735" customFormat="1" ht="29.25">
      <c r="A91" s="730" t="s">
        <v>347</v>
      </c>
      <c r="B91" s="731"/>
      <c r="C91" s="731"/>
      <c r="D91" s="732"/>
      <c r="E91" s="455">
        <f>'29'!F91</f>
        <v>28239</v>
      </c>
      <c r="F91" s="647">
        <v>28250</v>
      </c>
      <c r="G91" s="705">
        <f t="shared" si="7"/>
        <v>11</v>
      </c>
      <c r="H91" s="460">
        <f>G91+'29'!H91</f>
        <v>21</v>
      </c>
      <c r="I91" s="652"/>
      <c r="J91" s="707">
        <f>H91/DAY(B2)</f>
        <v>0.7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88" t="s">
        <v>205</v>
      </c>
      <c r="B93" s="1689"/>
      <c r="C93" s="1689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4"/>
    </row>
    <row r="94" spans="1:15" ht="27.75">
      <c r="A94" s="1688" t="s">
        <v>206</v>
      </c>
      <c r="B94" s="1689"/>
      <c r="C94" s="1689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4"/>
    </row>
    <row r="95" spans="1:15" ht="29.25">
      <c r="A95" s="1714" t="s">
        <v>207</v>
      </c>
      <c r="B95" s="1715"/>
      <c r="C95" s="1715"/>
      <c r="D95" s="523"/>
      <c r="E95" s="455"/>
      <c r="F95" s="484"/>
      <c r="G95" s="473">
        <f>G93+G94</f>
        <v>118</v>
      </c>
      <c r="H95" s="460">
        <f>G95+'29'!H95</f>
        <v>-186</v>
      </c>
      <c r="I95" s="480"/>
      <c r="J95" s="552">
        <f>H95/DAY(B2)</f>
        <v>-6.2</v>
      </c>
      <c r="K95" s="380"/>
      <c r="L95" s="377"/>
      <c r="O95" s="804"/>
    </row>
    <row r="96" spans="1:15" ht="27.75">
      <c r="A96" s="1688" t="s">
        <v>208</v>
      </c>
      <c r="B96" s="1689"/>
      <c r="C96" s="1689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4"/>
    </row>
    <row r="97" spans="1:15" ht="27.75">
      <c r="A97" s="1139" t="s">
        <v>209</v>
      </c>
      <c r="B97" s="1140"/>
      <c r="C97" s="1140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4"/>
    </row>
    <row r="98" spans="1:15" ht="27.75">
      <c r="A98" s="1139" t="s">
        <v>210</v>
      </c>
      <c r="B98" s="1140"/>
      <c r="C98" s="1140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4"/>
    </row>
    <row r="99" spans="1:15" ht="27.75">
      <c r="A99" s="1139" t="s">
        <v>211</v>
      </c>
      <c r="B99" s="1140"/>
      <c r="C99" s="1140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4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4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4"/>
    </row>
    <row r="102" spans="1:15" ht="29.25">
      <c r="A102" s="1714" t="s">
        <v>215</v>
      </c>
      <c r="B102" s="1715"/>
      <c r="C102" s="1715"/>
      <c r="D102" s="524"/>
      <c r="E102" s="524"/>
      <c r="F102" s="524"/>
      <c r="G102" s="525">
        <f>SUM(G96:G101)</f>
        <v>101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4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718" t="s">
        <v>217</v>
      </c>
      <c r="B104" s="1719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93" t="s">
        <v>218</v>
      </c>
      <c r="B105" s="1606"/>
      <c r="C105" s="1137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93" t="s">
        <v>76</v>
      </c>
      <c r="B106" s="1606"/>
      <c r="C106" s="1137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4"/>
    </row>
    <row r="107" spans="1:15" s="442" customFormat="1" ht="27.75">
      <c r="A107" s="1693" t="s">
        <v>77</v>
      </c>
      <c r="B107" s="1606"/>
      <c r="C107" s="1606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120</v>
      </c>
      <c r="I107" s="532"/>
      <c r="J107" s="558">
        <f>H107/DAY(B2)</f>
        <v>4</v>
      </c>
      <c r="O107" s="804"/>
    </row>
    <row r="108" spans="1:15" s="442" customFormat="1" ht="27.75">
      <c r="A108" s="1682" t="s">
        <v>201</v>
      </c>
      <c r="B108" s="1683"/>
      <c r="C108" s="1137"/>
      <c r="D108" s="622"/>
      <c r="E108" s="532"/>
      <c r="F108" s="532"/>
      <c r="G108" s="532">
        <f>SUM(G105:G107)</f>
        <v>2</v>
      </c>
      <c r="H108" s="460">
        <f>G108+'29'!H108</f>
        <v>165</v>
      </c>
      <c r="I108" s="532"/>
      <c r="J108" s="558">
        <f>H108/DAY(B2)</f>
        <v>5.5</v>
      </c>
      <c r="O108" s="804"/>
    </row>
    <row r="109" spans="1:15" s="442" customFormat="1" ht="27.75">
      <c r="A109" s="1710" t="s">
        <v>78</v>
      </c>
      <c r="B109" s="1711"/>
      <c r="C109" s="1137"/>
      <c r="D109" s="622" t="s">
        <v>143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93" t="s">
        <v>219</v>
      </c>
      <c r="B110" s="1606"/>
      <c r="C110" s="1137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282.64000000001397</v>
      </c>
      <c r="I110" s="532"/>
      <c r="J110" s="558">
        <f>H110/DAY(B2)</f>
        <v>9.4213333333337985</v>
      </c>
      <c r="O110" s="804"/>
    </row>
    <row r="111" spans="1:15" s="442" customFormat="1" ht="27.75">
      <c r="A111" s="1693" t="s">
        <v>220</v>
      </c>
      <c r="B111" s="1606"/>
      <c r="C111" s="1137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75.899999999994179</v>
      </c>
      <c r="I111" s="532"/>
      <c r="J111" s="558">
        <f>H111/DAY(B2)</f>
        <v>2.5299999999998062</v>
      </c>
      <c r="O111" s="804"/>
    </row>
    <row r="112" spans="1:15" s="442" customFormat="1" ht="27.75">
      <c r="A112" s="1693" t="s">
        <v>221</v>
      </c>
      <c r="B112" s="1606"/>
      <c r="C112" s="1137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708" t="s">
        <v>109</v>
      </c>
      <c r="B113" s="1709"/>
      <c r="C113" s="1137"/>
      <c r="D113" s="622"/>
      <c r="E113" s="532"/>
      <c r="F113" s="532"/>
      <c r="G113" s="532">
        <f>SUM(G110:G112)</f>
        <v>64</v>
      </c>
      <c r="H113" s="460">
        <f>G113+'29'!H113</f>
        <v>1018</v>
      </c>
      <c r="I113" s="532"/>
      <c r="J113" s="558">
        <f>H113/DAY(B2)</f>
        <v>33.93333333333333</v>
      </c>
      <c r="O113" s="804"/>
    </row>
    <row r="114" spans="1:15" s="442" customFormat="1" ht="27.75">
      <c r="A114" s="1710" t="s">
        <v>222</v>
      </c>
      <c r="B114" s="1711"/>
      <c r="C114" s="1137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93" t="s">
        <v>223</v>
      </c>
      <c r="B115" s="1606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4"/>
    </row>
    <row r="116" spans="1:15" s="442" customFormat="1" ht="27.75">
      <c r="A116" s="1693" t="s">
        <v>224</v>
      </c>
      <c r="B116" s="1606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93" t="s">
        <v>225</v>
      </c>
      <c r="B117" s="1606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682" t="s">
        <v>201</v>
      </c>
      <c r="B118" s="1683"/>
      <c r="C118" s="574"/>
      <c r="D118" s="623"/>
      <c r="E118" s="534"/>
      <c r="F118" s="534"/>
      <c r="G118" s="534">
        <f>SUM(G115:G117)</f>
        <v>14</v>
      </c>
      <c r="H118" s="460">
        <f>G118+'29'!H118</f>
        <v>142</v>
      </c>
      <c r="I118" s="534"/>
      <c r="J118" s="558">
        <f>H118/DAY(B2)</f>
        <v>4.7333333333333334</v>
      </c>
      <c r="O118" s="804"/>
    </row>
    <row r="119" spans="1:15" s="446" customFormat="1" ht="27.75">
      <c r="A119" s="1684" t="s">
        <v>226</v>
      </c>
      <c r="B119" s="1685"/>
      <c r="C119" s="1136"/>
      <c r="D119" s="624" t="s">
        <v>143</v>
      </c>
      <c r="E119" s="535"/>
      <c r="F119" s="536"/>
      <c r="G119" s="536">
        <f>SUM(G19+G93)</f>
        <v>72</v>
      </c>
      <c r="H119" s="460">
        <f>G119+'29'!H119</f>
        <v>224</v>
      </c>
      <c r="I119" s="535"/>
      <c r="J119" s="559">
        <f>H119/DAY(B2)</f>
        <v>7.4666666666666668</v>
      </c>
      <c r="O119" s="804"/>
    </row>
    <row r="120" spans="1:15" s="446" customFormat="1" ht="27.75">
      <c r="A120" s="1684" t="s">
        <v>227</v>
      </c>
      <c r="B120" s="1685"/>
      <c r="C120" s="1136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271</v>
      </c>
      <c r="I120" s="535"/>
      <c r="J120" s="559">
        <f>H120/DAY(B2)</f>
        <v>9.0333333333333332</v>
      </c>
      <c r="O120" s="804"/>
    </row>
    <row r="121" spans="1:15" s="446" customFormat="1" ht="27.75">
      <c r="A121" s="1684" t="s">
        <v>228</v>
      </c>
      <c r="B121" s="1685"/>
      <c r="C121" s="1136"/>
      <c r="D121" s="624" t="s">
        <v>143</v>
      </c>
      <c r="E121" s="535"/>
      <c r="F121" s="534"/>
      <c r="G121" s="534">
        <f>SUM(G113)</f>
        <v>64</v>
      </c>
      <c r="H121" s="460">
        <f>G121+'29'!H121</f>
        <v>207</v>
      </c>
      <c r="I121" s="535"/>
      <c r="J121" s="559">
        <f>H121/DAY(B2)</f>
        <v>6.9</v>
      </c>
      <c r="O121" s="804"/>
    </row>
    <row r="122" spans="1:15" s="442" customFormat="1" ht="27.75">
      <c r="A122" s="1686"/>
      <c r="B122" s="1687"/>
      <c r="C122" s="1137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716" t="s">
        <v>229</v>
      </c>
      <c r="B123" s="1717"/>
      <c r="C123" s="1717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39" t="s">
        <v>230</v>
      </c>
      <c r="B124" s="1140"/>
      <c r="C124" s="1140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4"/>
    </row>
    <row r="125" spans="1:15" ht="21.95" customHeight="1">
      <c r="A125" s="1139" t="s">
        <v>231</v>
      </c>
      <c r="B125" s="1140"/>
      <c r="C125" s="1140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690" t="s">
        <v>232</v>
      </c>
      <c r="B126" s="1546"/>
      <c r="C126" s="1546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4"/>
    </row>
    <row r="127" spans="1:15" ht="21.95" customHeight="1">
      <c r="A127" s="609" t="s">
        <v>233</v>
      </c>
      <c r="B127" s="1140"/>
      <c r="C127" s="1140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4"/>
    </row>
    <row r="128" spans="1:15" ht="21.95" customHeight="1">
      <c r="A128" s="609" t="s">
        <v>234</v>
      </c>
      <c r="B128" s="1140"/>
      <c r="C128" s="1140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4"/>
    </row>
    <row r="129" spans="1:15" s="281" customFormat="1" ht="21.75" customHeight="1">
      <c r="A129" s="609" t="s">
        <v>235</v>
      </c>
      <c r="B129" s="1140"/>
      <c r="C129" s="1140"/>
      <c r="D129" s="523"/>
      <c r="E129" s="455"/>
      <c r="F129" s="478"/>
      <c r="G129" s="473">
        <f>G15-SUM(G124:G128)</f>
        <v>321.60000000000582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0</v>
      </c>
      <c r="I133" s="480"/>
      <c r="J133" s="552">
        <f>H133/DAY(B2)</f>
        <v>0</v>
      </c>
      <c r="O133" s="804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4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4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0</v>
      </c>
      <c r="I137" s="480">
        <f>G135+G136+G137</f>
        <v>2.0700000000033469</v>
      </c>
      <c r="J137" s="552">
        <f>H137/DAY(B2)</f>
        <v>0</v>
      </c>
      <c r="O137" s="804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4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4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0</v>
      </c>
      <c r="I140" s="542"/>
      <c r="J140" s="552">
        <f>H140/DAY(B2)</f>
        <v>0</v>
      </c>
      <c r="O140" s="804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4"/>
    </row>
    <row r="142" spans="1:15" ht="21.95" customHeight="1">
      <c r="A142" s="1691" t="s">
        <v>249</v>
      </c>
      <c r="B142" s="1692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88" t="s">
        <v>250</v>
      </c>
      <c r="B143" s="1689"/>
      <c r="C143" s="1689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-3018.8199999999488</v>
      </c>
      <c r="I143" s="480"/>
      <c r="J143" s="552">
        <f>H143/DAY(B2)</f>
        <v>-100.62733333333162</v>
      </c>
      <c r="K143" s="380"/>
      <c r="L143" s="377"/>
      <c r="O143" s="804"/>
    </row>
    <row r="144" spans="1:15" ht="21.95" customHeight="1">
      <c r="A144" s="1688" t="s">
        <v>251</v>
      </c>
      <c r="B144" s="1689"/>
      <c r="C144" s="1689"/>
      <c r="D144" s="523" t="s">
        <v>24</v>
      </c>
      <c r="E144" s="511"/>
      <c r="F144" s="511"/>
      <c r="G144" s="543">
        <f>G143/G7</f>
        <v>0.24376139534883698</v>
      </c>
      <c r="H144" s="460">
        <f>G144+'29'!H144</f>
        <v>-0.25508383710560545</v>
      </c>
      <c r="I144" s="544"/>
      <c r="J144" s="552">
        <f>H144/DAY(B2)</f>
        <v>-8.5027945701868484E-3</v>
      </c>
      <c r="K144" s="380"/>
      <c r="L144" s="377"/>
      <c r="O144" s="804"/>
    </row>
    <row r="145" spans="1:15" ht="21.95" customHeight="1">
      <c r="A145" s="1688" t="s">
        <v>252</v>
      </c>
      <c r="B145" s="1689"/>
      <c r="C145" s="1689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11.110000000000582</v>
      </c>
      <c r="I145" s="480"/>
      <c r="J145" s="552">
        <f>H145/DAY(B2)</f>
        <v>0.37033333333335272</v>
      </c>
      <c r="K145" s="380"/>
      <c r="L145" s="377"/>
      <c r="O145" s="804"/>
    </row>
    <row r="146" spans="1:15" ht="21.95" customHeight="1">
      <c r="A146" s="1688" t="s">
        <v>253</v>
      </c>
      <c r="B146" s="1689"/>
      <c r="C146" s="1689"/>
      <c r="D146" s="523" t="s">
        <v>24</v>
      </c>
      <c r="E146" s="455"/>
      <c r="F146" s="455"/>
      <c r="G146" s="543">
        <f>G145/G7</f>
        <v>0.26553488372093026</v>
      </c>
      <c r="H146" s="460">
        <f>G146+'29'!H146</f>
        <v>-0.1695007420457173</v>
      </c>
      <c r="I146" s="544"/>
      <c r="J146" s="552">
        <f>H146/DAY(B2)</f>
        <v>-5.6500247348572437E-3</v>
      </c>
      <c r="K146" s="380"/>
      <c r="L146" s="377"/>
      <c r="O146" s="804"/>
    </row>
    <row r="147" spans="1:15" ht="21.95" customHeight="1">
      <c r="A147" s="1688" t="s">
        <v>254</v>
      </c>
      <c r="B147" s="1689"/>
      <c r="C147" s="1689"/>
      <c r="D147" s="523" t="s">
        <v>131</v>
      </c>
      <c r="E147" s="455"/>
      <c r="F147" s="455"/>
      <c r="G147" s="460">
        <f>G39+G53</f>
        <v>3737</v>
      </c>
      <c r="H147" s="460">
        <f>G147+'29'!H147</f>
        <v>0</v>
      </c>
      <c r="I147" s="545"/>
      <c r="J147" s="552">
        <f>H147/DAY(B2)</f>
        <v>0</v>
      </c>
      <c r="K147" s="380"/>
      <c r="L147" s="377"/>
      <c r="O147" s="804"/>
    </row>
    <row r="148" spans="1:15" ht="21.95" customHeight="1">
      <c r="A148" s="1688" t="s">
        <v>255</v>
      </c>
      <c r="B148" s="1689"/>
      <c r="C148" s="1689"/>
      <c r="D148" s="523" t="s">
        <v>24</v>
      </c>
      <c r="E148" s="455"/>
      <c r="F148" s="455"/>
      <c r="G148" s="543">
        <f>G147/G7</f>
        <v>0.17381395348837209</v>
      </c>
      <c r="H148" s="460">
        <f>G148+'29'!H148</f>
        <v>-7.8294068899801339E-2</v>
      </c>
      <c r="I148" s="545"/>
      <c r="J148" s="552">
        <f>H148/DAY(B2)</f>
        <v>-2.6098022966600447E-3</v>
      </c>
      <c r="O148" s="804"/>
    </row>
    <row r="149" spans="1:15" ht="21.95" customHeight="1">
      <c r="A149" s="1688" t="s">
        <v>256</v>
      </c>
      <c r="B149" s="1689"/>
      <c r="C149" s="1689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0</v>
      </c>
      <c r="I149" s="480"/>
      <c r="J149" s="552">
        <f>H149/DAY(B2)</f>
        <v>0</v>
      </c>
      <c r="K149" s="381"/>
      <c r="O149" s="804"/>
    </row>
    <row r="150" spans="1:15" ht="21.95" customHeight="1">
      <c r="A150" s="1688" t="s">
        <v>257</v>
      </c>
      <c r="B150" s="1689"/>
      <c r="C150" s="1689"/>
      <c r="D150" s="523" t="s">
        <v>24</v>
      </c>
      <c r="E150" s="455"/>
      <c r="F150" s="455"/>
      <c r="G150" s="543">
        <f>G149/G7</f>
        <v>6.2973488372095404E-2</v>
      </c>
      <c r="H150" s="460">
        <f>G150+'29'!H150</f>
        <v>-3.7729633502170734E-2</v>
      </c>
      <c r="I150" s="545"/>
      <c r="J150" s="552">
        <f>H150/DAY(B2)</f>
        <v>-1.2576544500723578E-3</v>
      </c>
      <c r="O150" s="804"/>
    </row>
    <row r="151" spans="1:15" ht="21.95" customHeight="1">
      <c r="A151" s="1688" t="s">
        <v>258</v>
      </c>
      <c r="B151" s="1689"/>
      <c r="C151" s="1689"/>
      <c r="D151" s="523" t="s">
        <v>182</v>
      </c>
      <c r="E151" s="455"/>
      <c r="F151" s="455"/>
      <c r="G151" s="460">
        <f>G36+G50</f>
        <v>1597</v>
      </c>
      <c r="H151" s="460">
        <f>G151+'29'!H151</f>
        <v>-1.8189894035458565E-12</v>
      </c>
      <c r="I151" s="545"/>
      <c r="J151" s="552">
        <f>H151/DAY(B2)</f>
        <v>-6.0632980118195215E-14</v>
      </c>
      <c r="O151" s="804"/>
    </row>
    <row r="152" spans="1:15" ht="21.95" customHeight="1">
      <c r="A152" s="1688" t="s">
        <v>259</v>
      </c>
      <c r="B152" s="1689"/>
      <c r="C152" s="1689"/>
      <c r="D152" s="523" t="s">
        <v>24</v>
      </c>
      <c r="E152" s="455"/>
      <c r="F152" s="455"/>
      <c r="G152" s="543">
        <f>G151/G7</f>
        <v>7.4279069767441863E-2</v>
      </c>
      <c r="H152" s="460">
        <f>G152+'29'!H152</f>
        <v>-5.702870145141764E-2</v>
      </c>
      <c r="I152" s="480"/>
      <c r="J152" s="552">
        <f>H152/DAY(B2)</f>
        <v>-1.9009567150472548E-3</v>
      </c>
      <c r="O152" s="804"/>
    </row>
    <row r="153" spans="1:15" ht="27.75">
      <c r="A153" s="1688" t="s">
        <v>260</v>
      </c>
      <c r="B153" s="1689"/>
      <c r="C153" s="1689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0</v>
      </c>
      <c r="I153" s="480"/>
      <c r="J153" s="552">
        <f>H153/DAY(B2)</f>
        <v>0</v>
      </c>
      <c r="O153" s="804"/>
    </row>
    <row r="154" spans="1:15" ht="28.5" thickBot="1">
      <c r="A154" s="1694" t="s">
        <v>261</v>
      </c>
      <c r="B154" s="1695"/>
      <c r="C154" s="1695"/>
      <c r="D154" s="625" t="s">
        <v>24</v>
      </c>
      <c r="E154" s="565"/>
      <c r="F154" s="565"/>
      <c r="G154" s="566">
        <f>G153/G7</f>
        <v>6.5680465116279285E-2</v>
      </c>
      <c r="H154" s="567">
        <f>G154+'29'!H154</f>
        <v>-3.5982865597368643E-2</v>
      </c>
      <c r="I154" s="568"/>
      <c r="J154" s="569">
        <f>H154/DAY(B2)</f>
        <v>-1.1994288532456215E-3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262</v>
      </c>
      <c r="B161" s="785"/>
      <c r="C161" s="785"/>
      <c r="D161" s="511" t="s">
        <v>186</v>
      </c>
      <c r="E161" s="455">
        <f>'29'!F161</f>
        <v>40762</v>
      </c>
      <c r="F161" s="658">
        <v>40843</v>
      </c>
      <c r="G161" s="473">
        <f t="shared" ref="G161:G164" si="15">F161-E161</f>
        <v>81</v>
      </c>
    </row>
    <row r="162" spans="1:7" ht="21.95" customHeight="1">
      <c r="A162" s="784" t="s">
        <v>263</v>
      </c>
      <c r="B162" s="785"/>
      <c r="C162" s="785"/>
      <c r="D162" s="511" t="s">
        <v>186</v>
      </c>
      <c r="E162" s="455">
        <f>'29'!F162</f>
        <v>107302</v>
      </c>
      <c r="F162" s="658">
        <v>107766</v>
      </c>
      <c r="G162" s="473">
        <f t="shared" si="15"/>
        <v>464</v>
      </c>
    </row>
    <row r="163" spans="1:7" ht="21.95" customHeight="1">
      <c r="A163" s="784" t="s">
        <v>264</v>
      </c>
      <c r="B163" s="785"/>
      <c r="C163" s="785"/>
      <c r="D163" s="511" t="s">
        <v>186</v>
      </c>
      <c r="E163" s="455">
        <f>'29'!F163</f>
        <v>61025</v>
      </c>
      <c r="F163" s="658">
        <v>61230</v>
      </c>
      <c r="G163" s="473">
        <f t="shared" si="15"/>
        <v>205</v>
      </c>
    </row>
    <row r="164" spans="1:7" ht="21.95" customHeight="1">
      <c r="A164" s="784" t="s">
        <v>265</v>
      </c>
      <c r="B164" s="785"/>
      <c r="C164" s="785"/>
      <c r="D164" s="511" t="s">
        <v>186</v>
      </c>
      <c r="E164" s="455">
        <f>'29'!F164</f>
        <v>6845</v>
      </c>
      <c r="F164" s="658">
        <v>6853</v>
      </c>
      <c r="G164" s="473">
        <f t="shared" si="15"/>
        <v>8</v>
      </c>
    </row>
    <row r="165" spans="1:7" ht="21.95" customHeight="1">
      <c r="A165" s="786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46" t="s">
        <v>98</v>
      </c>
      <c r="B167" s="1546"/>
      <c r="C167" s="1546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546" t="s">
        <v>99</v>
      </c>
      <c r="B168" s="1546"/>
      <c r="C168" s="1546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546" t="s">
        <v>100</v>
      </c>
      <c r="B169" s="1546"/>
      <c r="C169" s="1546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546" t="s">
        <v>101</v>
      </c>
      <c r="B170" s="1546"/>
      <c r="C170" s="1546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546" t="s">
        <v>102</v>
      </c>
      <c r="B171" s="1546"/>
      <c r="C171" s="1546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46" t="s">
        <v>103</v>
      </c>
      <c r="B172" s="1546"/>
      <c r="C172" s="1546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587"/>
      <c r="B173" s="1550"/>
      <c r="C173" s="785"/>
      <c r="D173" s="523"/>
      <c r="G173" s="538">
        <f>SUM(G161:G172)</f>
        <v>2699</v>
      </c>
    </row>
    <row r="174" spans="1:7" ht="21.95" customHeight="1">
      <c r="A174" s="1587" t="s">
        <v>350</v>
      </c>
      <c r="B174" s="1550"/>
      <c r="C174" s="784"/>
      <c r="D174" s="1494" t="s">
        <v>186</v>
      </c>
      <c r="E174" s="1495">
        <v>18997</v>
      </c>
      <c r="F174" s="1495">
        <v>19002</v>
      </c>
      <c r="G174" s="1496">
        <f t="shared" ref="G174:G176" si="18">F174-E174</f>
        <v>5</v>
      </c>
    </row>
    <row r="175" spans="1:7" ht="21.95" customHeight="1">
      <c r="A175" s="1587" t="s">
        <v>351</v>
      </c>
      <c r="B175" s="1550"/>
      <c r="C175" s="454"/>
      <c r="D175" s="1494" t="s">
        <v>186</v>
      </c>
      <c r="E175" s="1499">
        <v>27625</v>
      </c>
      <c r="F175" s="1499">
        <v>27630</v>
      </c>
      <c r="G175" s="1496">
        <f t="shared" si="18"/>
        <v>5</v>
      </c>
    </row>
    <row r="176" spans="1:7" ht="21.95" customHeight="1">
      <c r="A176" s="1587" t="s">
        <v>350</v>
      </c>
      <c r="B176" s="1550"/>
      <c r="C176" s="454"/>
      <c r="D176" s="1494" t="s">
        <v>186</v>
      </c>
      <c r="E176" s="1495">
        <v>70323</v>
      </c>
      <c r="F176" s="1495">
        <v>70336</v>
      </c>
      <c r="G176" s="1496">
        <f t="shared" si="18"/>
        <v>13</v>
      </c>
    </row>
    <row r="178" spans="1:15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19">F178-E178</f>
        <v>19067.400000000001</v>
      </c>
      <c r="N178" s="718"/>
      <c r="O178" s="723"/>
    </row>
    <row r="179" spans="1:15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topLeftCell="A145" zoomScale="55" zoomScaleNormal="75" zoomScaleSheetLayoutView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44347</v>
      </c>
      <c r="C2" s="1141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578310.66999999993</v>
      </c>
      <c r="F7" s="455">
        <f>E7+21500</f>
        <v>599810.66999999993</v>
      </c>
      <c r="G7" s="473">
        <f>F7-E7</f>
        <v>21500</v>
      </c>
      <c r="H7" s="460">
        <f>G7+'30'!H7</f>
        <v>677857.66999999993</v>
      </c>
      <c r="I7" s="474">
        <f>'1'!I7</f>
        <v>12000</v>
      </c>
      <c r="J7" s="552">
        <f>H7/DAY(B2)</f>
        <v>21866.376451612901</v>
      </c>
      <c r="K7" s="549">
        <v>1375467</v>
      </c>
      <c r="L7" s="377"/>
      <c r="N7" s="440">
        <f>F7-'1'!E7</f>
        <v>-322142.33000000007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585326.83000000007</v>
      </c>
      <c r="F8" s="475">
        <f>E8+21500</f>
        <v>606826.83000000007</v>
      </c>
      <c r="G8" s="476">
        <f>F8-E8</f>
        <v>21500</v>
      </c>
      <c r="H8" s="460">
        <f>G8+'30'!H8</f>
        <v>680104.83000000007</v>
      </c>
      <c r="I8" s="477"/>
      <c r="J8" s="552">
        <f>H8/DAY(B2)</f>
        <v>21938.86548387097</v>
      </c>
      <c r="K8" s="549">
        <v>1715917</v>
      </c>
      <c r="L8" s="425">
        <v>1728480</v>
      </c>
      <c r="M8" s="440">
        <f>L8-K8</f>
        <v>12563</v>
      </c>
      <c r="N8" s="440">
        <f>F8-'1'!E8</f>
        <v>-319895.16999999993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16950</v>
      </c>
      <c r="I9" s="479">
        <f>I7-J7</f>
        <v>-9866.3764516129013</v>
      </c>
      <c r="J9" s="552">
        <f>H9/DAY(B2)</f>
        <v>546.77419354838707</v>
      </c>
      <c r="K9" s="428">
        <f>K8-100</f>
        <v>1715817</v>
      </c>
      <c r="L9" s="377"/>
      <c r="N9" s="440">
        <f>F9-'1'!E9</f>
        <v>16950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-2606.2500000000005</v>
      </c>
      <c r="I10" s="480"/>
      <c r="J10" s="552">
        <f>H10/DAY(B2)</f>
        <v>-84.07258064516131</v>
      </c>
      <c r="K10" s="428"/>
      <c r="L10" s="377"/>
      <c r="N10" s="440">
        <f>F10-'1'!E10</f>
        <v>-2323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-5983.2500000000582</v>
      </c>
      <c r="I13" s="482">
        <f>G7-G13</f>
        <v>4550</v>
      </c>
      <c r="J13" s="552">
        <f>H13/DAY(B2)</f>
        <v>-193.0080645161309</v>
      </c>
      <c r="K13" s="428"/>
      <c r="L13" s="377"/>
      <c r="N13" s="440">
        <f>F13-'1'!E13</f>
        <v>0</v>
      </c>
      <c r="O13" s="382"/>
    </row>
    <row r="14" spans="1:15" ht="29.2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39" t="s">
        <v>139</v>
      </c>
      <c r="B15" s="589"/>
      <c r="C15" s="589"/>
      <c r="D15" s="523" t="s">
        <v>140</v>
      </c>
      <c r="E15" s="522">
        <v>1683884</v>
      </c>
      <c r="F15" s="700">
        <f>E15+700</f>
        <v>1684584</v>
      </c>
      <c r="G15" s="473">
        <f>(F15-E15)</f>
        <v>700</v>
      </c>
      <c r="H15" s="460">
        <f>G15+'30'!H15</f>
        <v>24434.719999999972</v>
      </c>
      <c r="I15" s="474">
        <f>'1'!I15</f>
        <v>800</v>
      </c>
      <c r="J15" s="552">
        <f>H15/DAY(B2)</f>
        <v>788.21677419354751</v>
      </c>
      <c r="K15" s="428"/>
      <c r="L15" s="377"/>
      <c r="N15" s="440">
        <f>F15-'1'!E15</f>
        <v>-19099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11.783225806452492</v>
      </c>
      <c r="J16" s="553"/>
      <c r="K16" s="428"/>
      <c r="L16" s="377"/>
      <c r="N16" s="440">
        <f>F16-'1'!E16</f>
        <v>0</v>
      </c>
      <c r="O16" s="382"/>
    </row>
    <row r="17" spans="1:15" ht="29.2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3850</v>
      </c>
      <c r="I18" s="474">
        <f>'1'!I18</f>
        <v>65</v>
      </c>
      <c r="J18" s="552">
        <f>H18/DAY(B2)</f>
        <v>124.19354838709677</v>
      </c>
      <c r="K18" s="428"/>
      <c r="L18" s="377"/>
      <c r="N18" s="440">
        <f>F18-'1'!E18</f>
        <v>-1</v>
      </c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-1883</v>
      </c>
      <c r="I19" s="489"/>
      <c r="J19" s="552">
        <f>H19/DAY(B2)</f>
        <v>-60.741935483870968</v>
      </c>
      <c r="K19" s="428"/>
      <c r="L19" s="377"/>
      <c r="N19" s="440">
        <f>F19-'1'!E19</f>
        <v>-1883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1967</v>
      </c>
      <c r="I20" s="492">
        <f>I18-J20</f>
        <v>1.5483870967741922</v>
      </c>
      <c r="J20" s="552">
        <f>H20/DAY(B2)</f>
        <v>63.451612903225808</v>
      </c>
      <c r="K20" s="428"/>
      <c r="L20" s="377"/>
      <c r="N20" s="440">
        <f>F20-'1'!E20</f>
        <v>0</v>
      </c>
      <c r="O20" s="382"/>
    </row>
    <row r="21" spans="1:15" ht="29.2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39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39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502">
        <f>E27*F27</f>
        <v>193500</v>
      </c>
      <c r="H27" s="460">
        <f>G27+'30'!H27</f>
        <v>6120945.3600000013</v>
      </c>
      <c r="I27" s="503"/>
      <c r="J27" s="552">
        <f>H27/DAY(B2)</f>
        <v>197449.85032258069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502">
        <f>E28*F28</f>
        <v>36400</v>
      </c>
      <c r="H28" s="460">
        <f>G28+'30'!H28</f>
        <v>1270605.4399999985</v>
      </c>
      <c r="I28" s="505"/>
      <c r="J28" s="552">
        <f>H28/DAY(B2)</f>
        <v>40987.272258064469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-275502</v>
      </c>
      <c r="I30" s="505"/>
      <c r="J30" s="552">
        <f>H30/DAY(B2)</f>
        <v>-8887.1612903225814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302400</v>
      </c>
      <c r="I31" s="505"/>
      <c r="J31" s="552">
        <f>H31/DAY(B2)</f>
        <v>9754.8387096774186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-40218</v>
      </c>
      <c r="H32" s="460">
        <f>G32+'30'!H32</f>
        <v>7418448.7999999998</v>
      </c>
      <c r="I32" s="509"/>
      <c r="J32" s="552">
        <f>H32/DAY(B2)</f>
        <v>239304.8</v>
      </c>
      <c r="K32" s="373"/>
      <c r="L32" s="443"/>
      <c r="N32" s="440">
        <f>F32-'1'!E32</f>
        <v>0</v>
      </c>
      <c r="O32" s="382"/>
    </row>
    <row r="33" spans="1:15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-78226</v>
      </c>
      <c r="I35" s="455"/>
      <c r="J35" s="552">
        <f>H35/DAY(B2)</f>
        <v>-2523.4193548387098</v>
      </c>
      <c r="K35" s="428"/>
      <c r="L35" s="377"/>
      <c r="N35" s="440">
        <f>F35-'1'!E35</f>
        <v>-78226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-20288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-42334</v>
      </c>
      <c r="I37" s="455"/>
      <c r="J37" s="552">
        <f>H37/DAY(B2)</f>
        <v>-1365.6129032258063</v>
      </c>
      <c r="K37" s="428"/>
      <c r="L37" s="377"/>
      <c r="N37" s="440">
        <f>F37-'1'!E37</f>
        <v>-42334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1249</v>
      </c>
      <c r="I38" s="455"/>
      <c r="J38" s="552">
        <f>H38/DAY(B2)</f>
        <v>40.29032258064516</v>
      </c>
      <c r="K38" s="428"/>
      <c r="L38" s="377"/>
      <c r="N38" s="440">
        <f>F38-'1'!E38</f>
        <v>-42054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-96691</v>
      </c>
      <c r="I39" s="455"/>
      <c r="J39" s="552">
        <f>H39/DAY(B2)</f>
        <v>-3119.0645161290322</v>
      </c>
      <c r="K39" s="428"/>
      <c r="L39" s="377"/>
      <c r="N39" s="440">
        <f>F39-'1'!E39</f>
        <v>-96691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-6224</v>
      </c>
      <c r="I40" s="455"/>
      <c r="J40" s="552">
        <f>H40/DAY(B2)</f>
        <v>-200.7741935483871</v>
      </c>
      <c r="K40" s="429"/>
      <c r="L40" s="377"/>
      <c r="N40" s="440">
        <f>F40-'1'!E40</f>
        <v>-6224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-89164</v>
      </c>
      <c r="I41" s="455"/>
      <c r="J41" s="552">
        <f>H41/DAY(B2)</f>
        <v>-2876.2580645161293</v>
      </c>
      <c r="K41" s="428"/>
      <c r="L41" s="377"/>
      <c r="N41" s="440">
        <f>F41-'1'!E41</f>
        <v>-89164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1.1100000000005821</v>
      </c>
      <c r="I42" s="455"/>
      <c r="J42" s="552">
        <f>H42/DAY(B2)</f>
        <v>3.5806451612922001E-2</v>
      </c>
      <c r="K42" s="428"/>
      <c r="L42" s="377"/>
      <c r="N42" s="440">
        <f>H42-'1'!E42</f>
        <v>-59208.89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-78208</v>
      </c>
      <c r="I43" s="455"/>
      <c r="J43" s="552">
        <f>H43/DAY(B2)</f>
        <v>-2522.8387096774195</v>
      </c>
      <c r="K43" s="428"/>
      <c r="L43" s="377"/>
      <c r="N43" s="440">
        <f>H43-'1'!E43</f>
        <v>-1198660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0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-0.49000000000000909</v>
      </c>
      <c r="I46" s="455"/>
      <c r="J46" s="552">
        <f>H46/DAY(B2)</f>
        <v>-1.5806451612903519E-2</v>
      </c>
      <c r="K46" s="428"/>
      <c r="L46" s="377"/>
      <c r="N46" s="440">
        <f>H46-'1'!E46</f>
        <v>-0.49000000000000909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-388622.89</v>
      </c>
      <c r="I47" s="455"/>
      <c r="J47" s="552">
        <f>H47/DAY(B2)</f>
        <v>-12536.222258064516</v>
      </c>
      <c r="K47" s="428"/>
      <c r="L47" s="377"/>
      <c r="N47" s="440">
        <f>H47-'1'!E47</f>
        <v>-388622.89</v>
      </c>
      <c r="O47" s="382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-32</v>
      </c>
      <c r="I49" s="455"/>
      <c r="J49" s="552">
        <f>H49/DAY(B2)</f>
        <v>-1.032258064516129</v>
      </c>
      <c r="K49" s="428"/>
      <c r="L49" s="377"/>
      <c r="N49" s="440">
        <f>H49-'1'!E49</f>
        <v>-260764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-33220</v>
      </c>
      <c r="I50" s="455"/>
      <c r="J50" s="552">
        <f>H50/DAY(B2)</f>
        <v>-1071.6129032258063</v>
      </c>
      <c r="K50" s="428"/>
      <c r="L50" s="377"/>
      <c r="N50" s="440">
        <f>H50-'1'!E50</f>
        <v>-567883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-1664.3300000000163</v>
      </c>
      <c r="I53" s="455"/>
      <c r="J53" s="552">
        <f>H53/DAY(B2)</f>
        <v>-53.688064516129558</v>
      </c>
      <c r="K53" s="428"/>
      <c r="L53" s="377"/>
      <c r="N53" s="440">
        <f>H53-'1'!E53</f>
        <v>-435896.33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-1217</v>
      </c>
      <c r="I54" s="455"/>
      <c r="J54" s="552">
        <f>H54/DAY(B2)</f>
        <v>-39.258064516129032</v>
      </c>
      <c r="K54" s="428"/>
      <c r="L54" s="377"/>
      <c r="N54" s="440">
        <f>H54-'1'!E54</f>
        <v>-16184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-55099</v>
      </c>
      <c r="I55" s="455"/>
      <c r="J55" s="552">
        <f>H55/DAY(B2)</f>
        <v>-1777.3870967741937</v>
      </c>
      <c r="K55" s="428"/>
      <c r="L55" s="377"/>
      <c r="N55" s="440">
        <f>H55-'1'!E55</f>
        <v>-172735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-31844</v>
      </c>
      <c r="I56" s="455"/>
      <c r="J56" s="552">
        <f>H56/DAY(B2)</f>
        <v>-1027.2258064516129</v>
      </c>
      <c r="K56" s="427"/>
      <c r="L56" s="377"/>
      <c r="N56" s="440">
        <f>H56-'1'!E56</f>
        <v>-680876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-4555</v>
      </c>
      <c r="I58" s="455"/>
      <c r="J58" s="552">
        <f>H58/DAY(B2)</f>
        <v>-146.93548387096774</v>
      </c>
      <c r="K58" s="428"/>
      <c r="L58" s="377"/>
      <c r="N58" s="440">
        <f>H58-'1'!E58</f>
        <v>-58541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-127631.33000000002</v>
      </c>
      <c r="I59" s="455">
        <f>G7-G60</f>
        <v>530862</v>
      </c>
      <c r="J59" s="552">
        <f>H59/DAY(B2)</f>
        <v>-4117.1396774193554</v>
      </c>
      <c r="K59" s="428"/>
      <c r="L59" s="377"/>
      <c r="N59" s="440">
        <f>H59-'1'!E59</f>
        <v>-127631.33000000002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-509350.89</v>
      </c>
      <c r="I60" s="455">
        <f>G13-G60</f>
        <v>526312</v>
      </c>
      <c r="J60" s="552">
        <f>H60/DAY(B2)</f>
        <v>-16430.673870967741</v>
      </c>
      <c r="K60" s="428"/>
      <c r="L60" s="377"/>
      <c r="N60" s="440">
        <f>H60-'1'!E60</f>
        <v>-509350.89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-10090</v>
      </c>
      <c r="I64" s="480"/>
      <c r="J64" s="552">
        <f>H64/DAY(B2)</f>
        <v>-325.48387096774195</v>
      </c>
      <c r="K64" s="428"/>
      <c r="L64" s="377"/>
      <c r="N64" s="440">
        <f>H64-'1'!E64</f>
        <v>-180112</v>
      </c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-9304</v>
      </c>
      <c r="I65" s="489"/>
      <c r="J65" s="552">
        <f>H65/DAY(B2)</f>
        <v>-300.12903225806451</v>
      </c>
      <c r="K65" s="428"/>
      <c r="L65" s="377"/>
      <c r="N65" s="440">
        <f>H65-'1'!E65</f>
        <v>-179606</v>
      </c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-11165</v>
      </c>
      <c r="I66" s="480"/>
      <c r="J66" s="552">
        <f>H66/DAY(B2)</f>
        <v>-360.16129032258067</v>
      </c>
      <c r="K66" s="428"/>
      <c r="L66" s="377"/>
      <c r="N66" s="440">
        <f>H66-'1'!E66</f>
        <v>-79135</v>
      </c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-12767</v>
      </c>
      <c r="I67" s="489"/>
      <c r="J67" s="552">
        <f>H67/DAY(B2)</f>
        <v>-411.83870967741933</v>
      </c>
      <c r="K67" s="429"/>
      <c r="L67" s="377"/>
      <c r="N67" s="440">
        <f>H67-'1'!E67</f>
        <v>-277726</v>
      </c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-5766</v>
      </c>
      <c r="I69" s="516"/>
      <c r="J69" s="552">
        <f>H69/DAY(B2)</f>
        <v>-186</v>
      </c>
      <c r="K69" s="431"/>
      <c r="L69" s="377"/>
      <c r="N69" s="440">
        <f>H69-'1'!E69</f>
        <v>-93281</v>
      </c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440">
        <f>H71-'1'!E71</f>
        <v>0</v>
      </c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-392</v>
      </c>
      <c r="I72" s="480"/>
      <c r="J72" s="552">
        <f>H72/DAY(B2)</f>
        <v>-12.64516129032258</v>
      </c>
      <c r="K72" s="431"/>
      <c r="L72" s="377"/>
      <c r="N72" s="440">
        <f>H72-'1'!E72</f>
        <v>-856614</v>
      </c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103</v>
      </c>
      <c r="I73" s="480"/>
      <c r="J73" s="552">
        <f>H73/DAY(B2)</f>
        <v>3.3225806451612905</v>
      </c>
      <c r="K73" s="430"/>
      <c r="L73" s="377"/>
      <c r="N73" s="440">
        <f>H73-'1'!E73</f>
        <v>-885869</v>
      </c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-86076</v>
      </c>
      <c r="I74" s="480"/>
      <c r="J74" s="552">
        <f>H74/DAY(B2)</f>
        <v>-2776.6451612903224</v>
      </c>
      <c r="K74" s="431"/>
      <c r="L74" s="377"/>
      <c r="N74" s="440">
        <f>H74-'1'!E74</f>
        <v>-174772</v>
      </c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-3402</v>
      </c>
      <c r="I75" s="480"/>
      <c r="J75" s="552">
        <f>H75/DAY(B2)</f>
        <v>-109.74193548387096</v>
      </c>
      <c r="K75" s="430"/>
      <c r="L75" s="377"/>
      <c r="N75" s="440">
        <f>H75-'1'!E75</f>
        <v>-19473</v>
      </c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-800</v>
      </c>
      <c r="I76" s="505"/>
      <c r="J76" s="552">
        <f>H76/DAY(B2)</f>
        <v>-25.806451612903224</v>
      </c>
      <c r="K76" s="430"/>
      <c r="L76" s="377"/>
      <c r="N76" s="440">
        <f>H76-'1'!E76</f>
        <v>-10136</v>
      </c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-1535</v>
      </c>
      <c r="I77" s="505"/>
      <c r="J77" s="552">
        <f>H77/DAY(B2)</f>
        <v>-49.516129032258064</v>
      </c>
      <c r="K77" s="430"/>
      <c r="L77" s="377"/>
      <c r="N77" s="440">
        <f>H77-'1'!E77</f>
        <v>-705909</v>
      </c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-2382</v>
      </c>
      <c r="I78" s="505"/>
      <c r="J78" s="552">
        <f>H78/DAY(B2)</f>
        <v>-76.838709677419359</v>
      </c>
      <c r="K78" s="430"/>
      <c r="L78" s="377"/>
      <c r="N78" s="440">
        <f>H78-'1'!E78</f>
        <v>-677796</v>
      </c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-5144</v>
      </c>
      <c r="I79" s="505"/>
      <c r="J79" s="552">
        <f>H79/DAY(B2)</f>
        <v>-165.93548387096774</v>
      </c>
      <c r="K79" s="430"/>
      <c r="L79" s="377"/>
      <c r="N79" s="440">
        <f>H79-'1'!E79</f>
        <v>-840560</v>
      </c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-14733</v>
      </c>
      <c r="I80" s="505"/>
      <c r="J80" s="552">
        <f>H80/DAY(B2)</f>
        <v>-475.25806451612902</v>
      </c>
      <c r="K80" s="430"/>
      <c r="L80" s="377"/>
      <c r="N80" s="440">
        <f>H80-'1'!E80</f>
        <v>-553746</v>
      </c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-4087</v>
      </c>
      <c r="I81" s="505"/>
      <c r="J81" s="552">
        <f>H81/DAY(B2)</f>
        <v>-131.83870967741936</v>
      </c>
      <c r="K81" s="430"/>
      <c r="L81" s="377"/>
      <c r="N81" s="440">
        <f>H81-'1'!E81</f>
        <v>-647072</v>
      </c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-523</v>
      </c>
      <c r="I82" s="486"/>
      <c r="J82" s="552">
        <f>H82/DAY(B2)</f>
        <v>-16.870967741935484</v>
      </c>
      <c r="K82" s="430"/>
      <c r="L82" s="377"/>
      <c r="N82" s="440">
        <f>H82-'1'!E82</f>
        <v>-109204</v>
      </c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-7045</v>
      </c>
      <c r="I83" s="481"/>
      <c r="J83" s="552">
        <f>H83/DAY(B2)</f>
        <v>-227.25806451612902</v>
      </c>
      <c r="K83" s="429"/>
      <c r="L83" s="377"/>
      <c r="N83" s="440">
        <f>H83-'1'!E83</f>
        <v>-34596</v>
      </c>
      <c r="O83" s="382"/>
    </row>
    <row r="84" spans="1:15" ht="29.25">
      <c r="A84" s="1143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-22786</v>
      </c>
      <c r="I84" s="481"/>
      <c r="J84" s="552">
        <f>H84/DAY(B2)</f>
        <v>-735.0322580645161</v>
      </c>
      <c r="K84" s="380"/>
      <c r="L84" s="377"/>
      <c r="N84" s="440">
        <f>H84-'1'!E84</f>
        <v>-545866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-145928</v>
      </c>
      <c r="I85" s="481"/>
      <c r="J85" s="552">
        <f>H85/DAY(B2)</f>
        <v>-4707.3548387096771</v>
      </c>
      <c r="K85" s="380"/>
      <c r="L85" s="378"/>
      <c r="N85" s="440">
        <f>H85-'1'!E85</f>
        <v>-145928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'30'!F86</f>
        <v>461821</v>
      </c>
      <c r="F86" s="647">
        <v>460935</v>
      </c>
      <c r="G86" s="705">
        <f t="shared" ref="G86" si="7">F86-E86</f>
        <v>-886</v>
      </c>
      <c r="H86" s="460">
        <f>G86+'30'!H86</f>
        <v>-809</v>
      </c>
      <c r="I86" s="652"/>
      <c r="J86" s="707">
        <f>H86/DAY(B2)</f>
        <v>-26.096774193548388</v>
      </c>
      <c r="K86" s="733"/>
      <c r="L86" s="734"/>
      <c r="N86" s="440">
        <f>H86-'1'!E86</f>
        <v>-462630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182</v>
      </c>
      <c r="E87" s="455">
        <f>'30'!F87</f>
        <v>82073</v>
      </c>
      <c r="F87" s="647">
        <v>81375</v>
      </c>
      <c r="G87" s="705">
        <f t="shared" ref="G87:G91" si="8">F87-E87</f>
        <v>-698</v>
      </c>
      <c r="H87" s="460">
        <f>G87+'30'!H87</f>
        <v>-633</v>
      </c>
      <c r="I87" s="652"/>
      <c r="J87" s="707">
        <f>H87/DAY(B2)</f>
        <v>-20.419354838709676</v>
      </c>
      <c r="K87" s="733"/>
      <c r="L87" s="734"/>
      <c r="N87" s="440">
        <f>H87-'1'!E87</f>
        <v>-82706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'30'!F88</f>
        <v>155323</v>
      </c>
      <c r="F88" s="647">
        <v>153064</v>
      </c>
      <c r="G88" s="705">
        <f t="shared" si="8"/>
        <v>-2259</v>
      </c>
      <c r="H88" s="460">
        <f>G88+'30'!H88</f>
        <v>-2058</v>
      </c>
      <c r="I88" s="652"/>
      <c r="J88" s="707">
        <f>H88/DAY(B2)</f>
        <v>-66.387096774193552</v>
      </c>
      <c r="K88" s="733"/>
      <c r="L88" s="734"/>
      <c r="N88" s="440">
        <f>H88-'1'!E88</f>
        <v>-157381</v>
      </c>
      <c r="O88" s="713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'30'!F89</f>
        <v>65846</v>
      </c>
      <c r="F89" s="647">
        <v>65174.6</v>
      </c>
      <c r="G89" s="705">
        <f t="shared" si="8"/>
        <v>-671.40000000000146</v>
      </c>
      <c r="H89" s="460">
        <f>G89+'30'!H89</f>
        <v>-623.40000000000146</v>
      </c>
      <c r="I89" s="652"/>
      <c r="J89" s="707">
        <f>H89/DAY(B2)</f>
        <v>-20.109677419354885</v>
      </c>
      <c r="K89" s="733"/>
      <c r="L89" s="734"/>
      <c r="N89" s="440">
        <f>H89-'1'!E89</f>
        <v>-66469.399999999994</v>
      </c>
      <c r="O89" s="382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'30'!F90</f>
        <v>3344</v>
      </c>
      <c r="F90" s="647">
        <v>3273.6</v>
      </c>
      <c r="G90" s="705">
        <f t="shared" si="8"/>
        <v>-70.400000000000091</v>
      </c>
      <c r="H90" s="460">
        <f>G90+'30'!H90</f>
        <v>-64.400000000000091</v>
      </c>
      <c r="I90" s="652"/>
      <c r="J90" s="707">
        <f>H90/DAY(B2)</f>
        <v>-2.0774193548387125</v>
      </c>
      <c r="K90" s="733"/>
      <c r="L90" s="734"/>
      <c r="N90" s="440">
        <f>H90-'1'!E90</f>
        <v>-3408.4</v>
      </c>
      <c r="O90" s="382"/>
    </row>
    <row r="91" spans="1:15" s="735" customFormat="1" ht="29.25">
      <c r="A91" s="730" t="s">
        <v>347</v>
      </c>
      <c r="B91" s="731"/>
      <c r="C91" s="731"/>
      <c r="D91" s="732"/>
      <c r="E91" s="455">
        <f>'30'!F91</f>
        <v>28250</v>
      </c>
      <c r="F91" s="647">
        <v>28022</v>
      </c>
      <c r="G91" s="705">
        <f t="shared" si="8"/>
        <v>-228</v>
      </c>
      <c r="H91" s="460">
        <f>G91+'30'!H91</f>
        <v>-207</v>
      </c>
      <c r="I91" s="652"/>
      <c r="J91" s="707">
        <f>H91/DAY(B2)</f>
        <v>-6.67741935483871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-1864</v>
      </c>
      <c r="I93" s="480"/>
      <c r="J93" s="552">
        <f>H93/DAY(B2)</f>
        <v>-60.12903225806452</v>
      </c>
      <c r="K93" s="429"/>
      <c r="L93" s="377"/>
      <c r="N93" s="440">
        <f>H93-'1'!E93</f>
        <v>-249216</v>
      </c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-3333</v>
      </c>
      <c r="I94" s="480"/>
      <c r="J94" s="552">
        <f>H94/DAY(B2)</f>
        <v>-107.51612903225806</v>
      </c>
      <c r="K94" s="380"/>
      <c r="L94" s="377"/>
      <c r="N94" s="440">
        <f>H94-'1'!E94</f>
        <v>-192787</v>
      </c>
      <c r="O94" s="382"/>
    </row>
    <row r="95" spans="1:15" ht="29.25">
      <c r="A95" s="1591" t="s">
        <v>207</v>
      </c>
      <c r="B95" s="1592"/>
      <c r="C95" s="1593"/>
      <c r="D95" s="523"/>
      <c r="E95" s="484"/>
      <c r="F95" s="484"/>
      <c r="G95" s="473">
        <f>G93+G94</f>
        <v>-5197</v>
      </c>
      <c r="H95" s="460">
        <f>G95+'30'!H95</f>
        <v>-5383</v>
      </c>
      <c r="I95" s="480"/>
      <c r="J95" s="552">
        <f>H95/DAY(B2)</f>
        <v>-173.64516129032259</v>
      </c>
      <c r="K95" s="380"/>
      <c r="L95" s="377"/>
      <c r="N95" s="440">
        <f>H95-'1'!E95</f>
        <v>-5383</v>
      </c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-1716</v>
      </c>
      <c r="I96" s="480"/>
      <c r="J96" s="552">
        <f>H96/DAY(B2)</f>
        <v>-55.354838709677416</v>
      </c>
      <c r="K96" s="380"/>
      <c r="L96" s="377"/>
      <c r="N96" s="440">
        <f>H96-'1'!E96</f>
        <v>-417715</v>
      </c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-515</v>
      </c>
      <c r="I97" s="480"/>
      <c r="J97" s="552">
        <f>H97/DAY(B2)</f>
        <v>-16.612903225806452</v>
      </c>
      <c r="K97" s="427"/>
      <c r="L97" s="377"/>
      <c r="N97" s="440">
        <f>H97-'1'!E97</f>
        <v>-103678</v>
      </c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-707</v>
      </c>
      <c r="I98" s="480"/>
      <c r="J98" s="552">
        <f>H98/DAY(B2)</f>
        <v>-22.806451612903224</v>
      </c>
      <c r="K98" s="432"/>
      <c r="L98" s="377"/>
      <c r="N98" s="440">
        <f>H98-'1'!E98</f>
        <v>-99364</v>
      </c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-553</v>
      </c>
      <c r="I99" s="480"/>
      <c r="J99" s="552">
        <f>H99/DAY(B2)</f>
        <v>-17.838709677419356</v>
      </c>
      <c r="K99" s="380"/>
      <c r="L99" s="377"/>
      <c r="N99" s="440">
        <f>H99-'1'!E99</f>
        <v>-150958</v>
      </c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-428</v>
      </c>
      <c r="I100" s="480"/>
      <c r="J100" s="552">
        <f>H100/DAY(B2)</f>
        <v>-13.806451612903226</v>
      </c>
      <c r="K100" s="380"/>
      <c r="L100" s="377"/>
      <c r="N100" s="440">
        <f>H100-'1'!E100</f>
        <v>-8225</v>
      </c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-283</v>
      </c>
      <c r="I101" s="480"/>
      <c r="J101" s="552">
        <f>H101/DAY(B2)</f>
        <v>-9.129032258064516</v>
      </c>
      <c r="K101" s="380"/>
      <c r="L101" s="377"/>
      <c r="N101" s="440">
        <f>H101-'1'!E101</f>
        <v>-5957</v>
      </c>
      <c r="O101" s="382"/>
    </row>
    <row r="102" spans="1:15" ht="29.25">
      <c r="A102" s="1591" t="s">
        <v>215</v>
      </c>
      <c r="B102" s="1592"/>
      <c r="C102" s="1593"/>
      <c r="D102" s="524"/>
      <c r="E102" s="524"/>
      <c r="F102" s="524"/>
      <c r="G102" s="525">
        <f>SUM(G96:G101)</f>
        <v>-4202</v>
      </c>
      <c r="H102" s="460">
        <f>G102+'30'!H102</f>
        <v>-4202</v>
      </c>
      <c r="I102" s="526"/>
      <c r="J102" s="552">
        <f>H102/DAY(B2)</f>
        <v>-135.54838709677421</v>
      </c>
      <c r="K102" s="380"/>
      <c r="L102" s="377"/>
      <c r="N102" s="440">
        <f>H102-'1'!E102</f>
        <v>-4202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-83.6200000000008</v>
      </c>
      <c r="I105" s="532"/>
      <c r="J105" s="558">
        <f>H105/DAY(B2)</f>
        <v>-2.6974193548387353</v>
      </c>
      <c r="N105" s="440">
        <f>H105-'1'!E105</f>
        <v>-7720.6200000000008</v>
      </c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-150</v>
      </c>
      <c r="I106" s="532"/>
      <c r="J106" s="558">
        <f>H106/DAY(B2)</f>
        <v>-4.838709677419355</v>
      </c>
      <c r="N106" s="440">
        <f>H106-'1'!E106</f>
        <v>-36312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6</v>
      </c>
      <c r="I107" s="532"/>
      <c r="J107" s="558">
        <f>H107/DAY(B2)</f>
        <v>0.19354838709677419</v>
      </c>
      <c r="N107" s="440">
        <f>H107-'1'!E107</f>
        <v>-19816</v>
      </c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/>
      <c r="F108" s="532"/>
      <c r="G108" s="532">
        <f>SUM(G105:G107)</f>
        <v>-476</v>
      </c>
      <c r="H108" s="460">
        <f>G108+'30'!H108</f>
        <v>-311</v>
      </c>
      <c r="I108" s="532"/>
      <c r="J108" s="558">
        <f>H108/DAY(B2)</f>
        <v>-10.03225806451613</v>
      </c>
      <c r="N108" s="440">
        <f>H108-'1'!E108</f>
        <v>-311</v>
      </c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-1726.359999999986</v>
      </c>
      <c r="I110" s="532"/>
      <c r="J110" s="558">
        <f>H110/DAY(B2)</f>
        <v>-55.689032258064067</v>
      </c>
      <c r="N110" s="440">
        <f>H110-'1'!E110</f>
        <v>-66569.359999999986</v>
      </c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-475.10000000000582</v>
      </c>
      <c r="I111" s="532"/>
      <c r="J111" s="558">
        <f>H111/DAY(B2)</f>
        <v>-15.325806451613092</v>
      </c>
      <c r="N111" s="440">
        <f>H111-'1'!E111</f>
        <v>-33604.100000000006</v>
      </c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306</v>
      </c>
      <c r="I112" s="532"/>
      <c r="J112" s="558">
        <f>H112/DAY(B2)</f>
        <v>9.870967741935484</v>
      </c>
      <c r="N112" s="440">
        <f>H112-'1'!E112</f>
        <v>-4315</v>
      </c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/>
      <c r="F113" s="532"/>
      <c r="G113" s="532">
        <f>SUM(G110:G112)</f>
        <v>-2605</v>
      </c>
      <c r="H113" s="460">
        <f>G113+'30'!H113</f>
        <v>-1587</v>
      </c>
      <c r="I113" s="532"/>
      <c r="J113" s="558">
        <f>H113/DAY(B2)</f>
        <v>-51.193548387096776</v>
      </c>
      <c r="N113" s="440">
        <f>H113-'1'!E113</f>
        <v>-1587</v>
      </c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-12490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-137</v>
      </c>
      <c r="I116" s="532"/>
      <c r="J116" s="558">
        <f>H116/DAY(B2)</f>
        <v>-4.419354838709677</v>
      </c>
      <c r="N116" s="440">
        <f>H116-'1'!E116</f>
        <v>-8692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-759</v>
      </c>
      <c r="H118" s="460">
        <f>G118+'30'!H118</f>
        <v>-617</v>
      </c>
      <c r="I118" s="534"/>
      <c r="J118" s="558">
        <f>H118/DAY(B2)</f>
        <v>-19.903225806451612</v>
      </c>
      <c r="N118" s="440">
        <f>H118-'1'!E118</f>
        <v>-617</v>
      </c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-3523</v>
      </c>
      <c r="I119" s="535"/>
      <c r="J119" s="559">
        <f>H119/DAY(B2)</f>
        <v>-113.64516129032258</v>
      </c>
      <c r="N119" s="440">
        <f>H119-'1'!E119</f>
        <v>-3523</v>
      </c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-3378</v>
      </c>
      <c r="I120" s="535"/>
      <c r="J120" s="559">
        <f>H120/DAY(B2)</f>
        <v>-108.96774193548387</v>
      </c>
      <c r="N120" s="440">
        <f>H120-'1'!E120</f>
        <v>-3378</v>
      </c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/>
      <c r="G121" s="534">
        <f>SUM(G113)</f>
        <v>-2605</v>
      </c>
      <c r="H121" s="460">
        <f>G121+'30'!H121</f>
        <v>-2398</v>
      </c>
      <c r="I121" s="535"/>
      <c r="J121" s="559">
        <f>H121/DAY(B2)</f>
        <v>-77.354838709677423</v>
      </c>
      <c r="N121" s="440">
        <f>H121-'1'!E121</f>
        <v>-2398</v>
      </c>
      <c r="O121" s="382"/>
    </row>
    <row r="122" spans="1:15" s="442" customFormat="1" ht="27.75">
      <c r="A122" s="1549"/>
      <c r="B122" s="1550"/>
      <c r="C122" s="1137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-7304</v>
      </c>
      <c r="I124" s="526"/>
      <c r="J124" s="552">
        <f>H124/DAY(B2)</f>
        <v>-235.61290322580646</v>
      </c>
      <c r="K124" s="380"/>
      <c r="L124" s="377"/>
      <c r="N124" s="440">
        <f>H124-'1'!E124</f>
        <v>-846974</v>
      </c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-2106</v>
      </c>
      <c r="I126" s="526"/>
      <c r="J126" s="552">
        <f>H126/DAY(B2)</f>
        <v>-67.935483870967744</v>
      </c>
      <c r="K126" s="380"/>
      <c r="L126" s="377"/>
      <c r="N126" s="440">
        <f>H126-'1'!E126</f>
        <v>-150703</v>
      </c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-665</v>
      </c>
      <c r="I127" s="526"/>
      <c r="J127" s="552">
        <f>H127/DAY(B2)</f>
        <v>-21.451612903225808</v>
      </c>
      <c r="K127" s="380"/>
      <c r="L127" s="377"/>
      <c r="N127" s="440">
        <f>H127-'1'!E127</f>
        <v>-32736</v>
      </c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-40</v>
      </c>
      <c r="I128" s="480"/>
      <c r="J128" s="552">
        <f>H128/DAY(B2)</f>
        <v>-1.2903225806451613</v>
      </c>
      <c r="K128" s="380"/>
      <c r="L128" s="377"/>
      <c r="N128" s="440">
        <f>H128-'1'!E128</f>
        <v>-9052</v>
      </c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10815</v>
      </c>
      <c r="H129" s="460">
        <f>G129+'30'!H129</f>
        <v>10815</v>
      </c>
      <c r="I129" s="480"/>
      <c r="J129" s="552"/>
      <c r="K129" s="364"/>
      <c r="L129" s="292"/>
      <c r="N129" s="440">
        <f>H129-'1'!E129</f>
        <v>10815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-394</v>
      </c>
      <c r="I133" s="480"/>
      <c r="J133" s="552">
        <f>H133/DAY(B2)</f>
        <v>-12.709677419354838</v>
      </c>
      <c r="O133" s="382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-84.25</v>
      </c>
      <c r="I137" s="480">
        <f>G135+G136+G137</f>
        <v>-485.25</v>
      </c>
      <c r="J137" s="552">
        <f>H137/DAY(B2)</f>
        <v>-2.717741935483871</v>
      </c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-274.87999999999988</v>
      </c>
      <c r="I140" s="542"/>
      <c r="J140" s="552">
        <f>H140/DAY(B2)</f>
        <v>-8.8670967741935449</v>
      </c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-159452.81999999995</v>
      </c>
      <c r="I143" s="480"/>
      <c r="J143" s="552">
        <f>H143/DAY(B2)</f>
        <v>-5143.6393548387077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-7.2759999999999998</v>
      </c>
      <c r="H144" s="460">
        <f>G144+'30'!H144</f>
        <v>-7.531083837105605</v>
      </c>
      <c r="I144" s="544"/>
      <c r="J144" s="552">
        <f>H144/DAY(B2)</f>
        <v>-0.24293818829372921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-170521.89</v>
      </c>
      <c r="I145" s="480"/>
      <c r="J145" s="552">
        <f>H145/DAY(B2)</f>
        <v>-5500.7061290322581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-7.9317674418604653</v>
      </c>
      <c r="H146" s="460">
        <f>G146+'30'!H146</f>
        <v>-8.101268183906182</v>
      </c>
      <c r="I146" s="544"/>
      <c r="J146" s="552">
        <f>H146/DAY(B2)</f>
        <v>-0.2613312317389091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-98355</v>
      </c>
      <c r="H147" s="460">
        <f>G147+'30'!H147</f>
        <v>-98355</v>
      </c>
      <c r="I147" s="545"/>
      <c r="J147" s="552">
        <f>H147/DAY(B2)</f>
        <v>-3172.7419354838707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-4.5746511627906976</v>
      </c>
      <c r="H148" s="460">
        <f>G148+'30'!H148</f>
        <v>-4.6529452316904987</v>
      </c>
      <c r="I148" s="545"/>
      <c r="J148" s="552">
        <f>H148/DAY(B2)</f>
        <v>-0.15009500747388704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1249</v>
      </c>
      <c r="H149" s="460">
        <f>G149+'30'!H149</f>
        <v>1249</v>
      </c>
      <c r="I149" s="480"/>
      <c r="J149" s="552">
        <f>H149/DAY(B2)</f>
        <v>40.29032258064516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5.8093023255813954E-2</v>
      </c>
      <c r="H150" s="460">
        <f>G150+'30'!H150</f>
        <v>2.036338975364322E-2</v>
      </c>
      <c r="I150" s="545"/>
      <c r="J150" s="552">
        <f>H150/DAY(B2)</f>
        <v>6.5688354044010383E-4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-31954</v>
      </c>
      <c r="H151" s="460">
        <f>G151+'30'!H151</f>
        <v>-31954</v>
      </c>
      <c r="I151" s="545"/>
      <c r="J151" s="552">
        <f>H151/DAY(B2)</f>
        <v>-1030.7741935483871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-1.4862325581395348</v>
      </c>
      <c r="H152" s="460">
        <f>G152+'30'!H152</f>
        <v>-1.5432612595909525</v>
      </c>
      <c r="I152" s="480"/>
      <c r="J152" s="552">
        <f>H152/DAY(B2)</f>
        <v>-4.9782621277127501E-2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-42334</v>
      </c>
      <c r="H153" s="460">
        <f>G153+'30'!H153</f>
        <v>-42334</v>
      </c>
      <c r="I153" s="480"/>
      <c r="J153" s="552">
        <f>H153/DAY(B2)</f>
        <v>-1365.6129032258063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-1.9690232558139535</v>
      </c>
      <c r="H154" s="460">
        <f>G154+'30'!H154</f>
        <v>-2.0050061214113222</v>
      </c>
      <c r="I154" s="568"/>
      <c r="J154" s="569">
        <f>H154/DAY(B2)</f>
        <v>-6.4677616819720077E-2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262</v>
      </c>
      <c r="B161" s="785"/>
      <c r="C161" s="785"/>
      <c r="D161" s="511" t="s">
        <v>186</v>
      </c>
      <c r="E161" s="658">
        <v>38350</v>
      </c>
      <c r="F161" s="658">
        <v>38434</v>
      </c>
      <c r="G161" s="473">
        <f t="shared" ref="G161:G164" si="16">F161-E161</f>
        <v>84</v>
      </c>
    </row>
    <row r="162" spans="1:7" ht="29.25">
      <c r="A162" s="784" t="s">
        <v>263</v>
      </c>
      <c r="B162" s="785"/>
      <c r="C162" s="785"/>
      <c r="D162" s="511" t="s">
        <v>186</v>
      </c>
      <c r="E162" s="658">
        <v>94392</v>
      </c>
      <c r="F162" s="658">
        <v>94790</v>
      </c>
      <c r="G162" s="473">
        <f t="shared" si="16"/>
        <v>398</v>
      </c>
    </row>
    <row r="163" spans="1:7" ht="29.25">
      <c r="A163" s="784" t="s">
        <v>264</v>
      </c>
      <c r="B163" s="785"/>
      <c r="C163" s="785"/>
      <c r="D163" s="511" t="s">
        <v>186</v>
      </c>
      <c r="E163" s="658">
        <v>44727</v>
      </c>
      <c r="F163" s="658">
        <v>44933</v>
      </c>
      <c r="G163" s="473">
        <f t="shared" si="16"/>
        <v>206</v>
      </c>
    </row>
    <row r="164" spans="1:7" ht="29.25">
      <c r="A164" s="784" t="s">
        <v>265</v>
      </c>
      <c r="B164" s="785"/>
      <c r="C164" s="785"/>
      <c r="D164" s="511" t="s">
        <v>186</v>
      </c>
      <c r="E164" s="658">
        <v>6554</v>
      </c>
      <c r="F164" s="658">
        <v>6560</v>
      </c>
      <c r="G164" s="473">
        <f t="shared" si="16"/>
        <v>6</v>
      </c>
    </row>
    <row r="165" spans="1:7" ht="29.25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587" t="s">
        <v>350</v>
      </c>
      <c r="B174" s="1550"/>
      <c r="C174" s="785"/>
      <c r="D174" s="523" t="s">
        <v>186</v>
      </c>
    </row>
    <row r="175" spans="1:7" ht="29.25">
      <c r="A175" s="1587" t="s">
        <v>351</v>
      </c>
      <c r="B175" s="1550"/>
      <c r="C175" s="785"/>
      <c r="D175" s="523" t="s">
        <v>186</v>
      </c>
    </row>
    <row r="176" spans="1:7" ht="29.25"/>
    <row r="177" spans="1:15" ht="29.25"/>
    <row r="178" spans="1:15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</row>
    <row r="2" spans="1:15" ht="28.5" customHeight="1">
      <c r="A2" s="1" t="s">
        <v>0</v>
      </c>
      <c r="B2" s="1" t="s">
        <v>0</v>
      </c>
      <c r="C2" s="1113" t="s">
        <v>1</v>
      </c>
      <c r="D2" s="4" t="s">
        <v>4</v>
      </c>
      <c r="E2" s="1523" t="s">
        <v>7</v>
      </c>
      <c r="F2" s="1523"/>
      <c r="G2" s="1523"/>
      <c r="H2" s="1529" t="s">
        <v>15</v>
      </c>
      <c r="I2" s="1529"/>
      <c r="J2" s="1529"/>
      <c r="K2" s="1113" t="s">
        <v>16</v>
      </c>
      <c r="L2" s="1529" t="s">
        <v>17</v>
      </c>
      <c r="M2" s="1529"/>
      <c r="N2" s="1529"/>
      <c r="O2" s="111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122127</v>
      </c>
      <c r="E12" s="19">
        <f>'9'!G96</f>
        <v>93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285.94000000000233</v>
      </c>
      <c r="J12" s="19">
        <f>'9'!G70</f>
        <v>0</v>
      </c>
      <c r="K12" s="23">
        <f t="shared" si="1"/>
        <v>285.94000000000233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143229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257</v>
      </c>
      <c r="J13" s="19">
        <f>'10'!G70</f>
        <v>0</v>
      </c>
      <c r="K13" s="23">
        <f t="shared" si="1"/>
        <v>257</v>
      </c>
      <c r="L13" s="19">
        <f>'10'!G71</f>
        <v>0</v>
      </c>
      <c r="M13" s="19">
        <f>'10'!G72</f>
        <v>10</v>
      </c>
      <c r="N13" s="19">
        <v>0</v>
      </c>
      <c r="O13" s="23">
        <f t="shared" si="2"/>
        <v>10</v>
      </c>
    </row>
    <row r="14" spans="1:15">
      <c r="A14" s="16">
        <v>11</v>
      </c>
      <c r="B14" s="17">
        <v>11</v>
      </c>
      <c r="C14" s="27"/>
      <c r="D14" s="19">
        <f>'11'!F8</f>
        <v>166058.97</v>
      </c>
      <c r="E14" s="19">
        <f>'11'!G96</f>
        <v>77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281</v>
      </c>
      <c r="J14" s="19">
        <f>'11'!G70</f>
        <v>0</v>
      </c>
      <c r="K14" s="23">
        <f t="shared" si="1"/>
        <v>281</v>
      </c>
      <c r="L14" s="19">
        <f>'11'!G71</f>
        <v>0</v>
      </c>
      <c r="M14" s="19">
        <f>'11'!G72</f>
        <v>11</v>
      </c>
      <c r="N14" s="19">
        <v>0</v>
      </c>
      <c r="O14" s="23">
        <f t="shared" si="2"/>
        <v>11</v>
      </c>
    </row>
    <row r="15" spans="1:15">
      <c r="A15" s="16">
        <v>12</v>
      </c>
      <c r="B15" s="26">
        <v>12</v>
      </c>
      <c r="C15" s="27"/>
      <c r="D15" s="19">
        <f>'12'!F8</f>
        <v>187298.87</v>
      </c>
      <c r="E15" s="19">
        <f>'12'!G96</f>
        <v>91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282.99000000000524</v>
      </c>
      <c r="J15" s="19">
        <f>'12'!G70</f>
        <v>0</v>
      </c>
      <c r="K15" s="23">
        <f t="shared" si="1"/>
        <v>282.99000000000524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208910.27</v>
      </c>
      <c r="E16" s="19">
        <f>'13'!G96</f>
        <v>101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281.00999999999476</v>
      </c>
      <c r="J16" s="19">
        <f>'13'!G70</f>
        <v>0</v>
      </c>
      <c r="K16" s="23">
        <f t="shared" si="1"/>
        <v>281.00999999999476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231082.51</v>
      </c>
      <c r="E17" s="19">
        <f>'14'!G96</f>
        <v>74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275.39999999999418</v>
      </c>
      <c r="J17" s="19">
        <f>'14'!G71</f>
        <v>0</v>
      </c>
      <c r="K17" s="23">
        <f t="shared" si="1"/>
        <v>275.39999999999418</v>
      </c>
      <c r="L17" s="19">
        <f>'14'!G72</f>
        <v>14</v>
      </c>
      <c r="M17" s="19">
        <f>'14'!G73</f>
        <v>1</v>
      </c>
      <c r="N17" s="19">
        <v>0</v>
      </c>
      <c r="O17" s="23">
        <f t="shared" si="2"/>
        <v>15</v>
      </c>
    </row>
    <row r="18" spans="1:15">
      <c r="A18" s="16">
        <v>15</v>
      </c>
      <c r="B18" s="26">
        <v>15</v>
      </c>
      <c r="C18" s="18"/>
      <c r="D18" s="19">
        <f>'15'!F8</f>
        <v>253628.81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299.85000000000582</v>
      </c>
      <c r="J18" s="19">
        <f>'15'!G71</f>
        <v>0</v>
      </c>
      <c r="K18" s="23">
        <f t="shared" si="1"/>
        <v>299.85000000000582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14" t="s">
        <v>279</v>
      </c>
      <c r="B2" s="195">
        <v>42328</v>
      </c>
      <c r="C2" s="1743" t="s">
        <v>280</v>
      </c>
      <c r="D2" s="1744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3" t="s">
        <v>281</v>
      </c>
      <c r="B3" s="189"/>
      <c r="C3" s="189"/>
      <c r="D3" s="113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50" t="s">
        <v>129</v>
      </c>
      <c r="B6" s="1751"/>
      <c r="C6" s="175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6" t="s">
        <v>138</v>
      </c>
      <c r="B14" s="1737"/>
      <c r="C14" s="173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6" t="s">
        <v>141</v>
      </c>
      <c r="B17" s="1737"/>
      <c r="C17" s="173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0" t="s">
        <v>142</v>
      </c>
      <c r="B18" s="1721"/>
      <c r="C18" s="1722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0" t="s">
        <v>70</v>
      </c>
      <c r="B19" s="1721"/>
      <c r="C19" s="1722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6" t="s">
        <v>145</v>
      </c>
      <c r="B21" s="1737"/>
      <c r="C21" s="173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0" t="s">
        <v>146</v>
      </c>
      <c r="B22" s="1131"/>
      <c r="C22" s="1132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0" t="s">
        <v>148</v>
      </c>
      <c r="B23" s="1131"/>
      <c r="C23" s="1132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39" t="s">
        <v>150</v>
      </c>
      <c r="B25" s="1740"/>
      <c r="C25" s="1741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18.75" customHeight="1">
      <c r="A33" s="1146" t="s">
        <v>162</v>
      </c>
      <c r="B33" s="1147"/>
      <c r="C33" s="114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6" t="s">
        <v>176</v>
      </c>
      <c r="B47" s="1147"/>
      <c r="C47" s="114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32" t="s">
        <v>98</v>
      </c>
      <c r="B63" s="1733"/>
      <c r="C63" s="1734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32" t="s">
        <v>99</v>
      </c>
      <c r="B64" s="1733"/>
      <c r="C64" s="1734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32" t="s">
        <v>100</v>
      </c>
      <c r="B65" s="1733"/>
      <c r="C65" s="1734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32" t="s">
        <v>101</v>
      </c>
      <c r="B66" s="1733"/>
      <c r="C66" s="1734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32" t="s">
        <v>102</v>
      </c>
      <c r="B67" s="1733"/>
      <c r="C67" s="1734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32" t="s">
        <v>103</v>
      </c>
      <c r="B68" s="1733"/>
      <c r="C68" s="1734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32" t="s">
        <v>190</v>
      </c>
      <c r="B70" s="1733"/>
      <c r="C70" s="1734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32" t="s">
        <v>191</v>
      </c>
      <c r="B71" s="1733"/>
      <c r="C71" s="1734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32" t="s">
        <v>192</v>
      </c>
      <c r="B72" s="1733"/>
      <c r="C72" s="1734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29" t="s">
        <v>193</v>
      </c>
      <c r="B73" s="1730"/>
      <c r="C73" s="1731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29" t="s">
        <v>194</v>
      </c>
      <c r="B74" s="1730"/>
      <c r="C74" s="1731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32" t="s">
        <v>195</v>
      </c>
      <c r="B75" s="1733"/>
      <c r="C75" s="1734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5" t="s">
        <v>91</v>
      </c>
      <c r="B76" s="1727"/>
      <c r="C76" s="1728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5" t="s">
        <v>197</v>
      </c>
      <c r="B77" s="1727"/>
      <c r="C77" s="1728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5" t="s">
        <v>198</v>
      </c>
      <c r="B78" s="1727"/>
      <c r="C78" s="1728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26" t="s">
        <v>92</v>
      </c>
      <c r="B79" s="1727"/>
      <c r="C79" s="1728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26" t="s">
        <v>199</v>
      </c>
      <c r="B80" s="1727"/>
      <c r="C80" s="1728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26" t="s">
        <v>286</v>
      </c>
      <c r="B81" s="1727"/>
      <c r="C81" s="1728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0" t="s">
        <v>206</v>
      </c>
      <c r="B84" s="1721"/>
      <c r="C84" s="1722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0" t="s">
        <v>208</v>
      </c>
      <c r="B85" s="1721"/>
      <c r="C85" s="1722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0" t="s">
        <v>209</v>
      </c>
      <c r="B86" s="1721"/>
      <c r="C86" s="1722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0" t="s">
        <v>210</v>
      </c>
      <c r="B87" s="1721"/>
      <c r="C87" s="1722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0" t="s">
        <v>211</v>
      </c>
      <c r="B88" s="1721"/>
      <c r="C88" s="1722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0" t="s">
        <v>212</v>
      </c>
      <c r="B89" s="1721"/>
      <c r="C89" s="1722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0" t="s">
        <v>213</v>
      </c>
      <c r="B90" s="1721"/>
      <c r="C90" s="1722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0" t="s">
        <v>218</v>
      </c>
      <c r="B91" s="1721"/>
      <c r="C91" s="1722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0" t="s">
        <v>76</v>
      </c>
      <c r="B92" s="1721"/>
      <c r="C92" s="1722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0" t="s">
        <v>77</v>
      </c>
      <c r="B93" s="1721"/>
      <c r="C93" s="1722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0" t="s">
        <v>205</v>
      </c>
      <c r="B94" s="1721"/>
      <c r="C94" s="1722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23" t="s">
        <v>229</v>
      </c>
      <c r="B95" s="1724"/>
      <c r="C95" s="172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1"/>
      <c r="C97" s="1132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48" t="s">
        <v>249</v>
      </c>
      <c r="B98" s="174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0" t="s">
        <v>250</v>
      </c>
      <c r="B99" s="1721"/>
      <c r="C99" s="1722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0" t="s">
        <v>251</v>
      </c>
      <c r="B100" s="1721"/>
      <c r="C100" s="172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0" t="s">
        <v>252</v>
      </c>
      <c r="B101" s="1721"/>
      <c r="C101" s="1722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0" t="s">
        <v>253</v>
      </c>
      <c r="B102" s="1721"/>
      <c r="C102" s="172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0" t="s">
        <v>254</v>
      </c>
      <c r="B103" s="1721"/>
      <c r="C103" s="1722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0" t="s">
        <v>255</v>
      </c>
      <c r="B104" s="1721"/>
      <c r="C104" s="172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0" t="s">
        <v>256</v>
      </c>
      <c r="B105" s="1721"/>
      <c r="C105" s="1722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0" t="s">
        <v>257</v>
      </c>
      <c r="B106" s="1721"/>
      <c r="C106" s="172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0" t="s">
        <v>258</v>
      </c>
      <c r="B107" s="1721"/>
      <c r="C107" s="1722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0" t="s">
        <v>259</v>
      </c>
      <c r="B108" s="1721"/>
      <c r="C108" s="172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0" t="s">
        <v>260</v>
      </c>
      <c r="B109" s="1721"/>
      <c r="C109" s="1722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20" t="s">
        <v>261</v>
      </c>
      <c r="B110" s="1721"/>
      <c r="C110" s="172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29" t="s">
        <v>119</v>
      </c>
      <c r="D3" s="386">
        <v>32</v>
      </c>
      <c r="E3" s="1756" t="s">
        <v>120</v>
      </c>
      <c r="F3" s="175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58" t="s">
        <v>129</v>
      </c>
      <c r="B6" s="1759"/>
      <c r="C6" s="176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556810.66999999993</v>
      </c>
      <c r="F7" s="306">
        <v>3615871.9</v>
      </c>
      <c r="G7" s="307">
        <f>F7-E7</f>
        <v>3059061.23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1223453.1499999999</v>
      </c>
      <c r="I10" s="69"/>
      <c r="J10" s="58">
        <f>H10/DAY(B2)</f>
        <v>40781.77166666666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1457298.85</v>
      </c>
      <c r="I13" s="369">
        <f>G7-G13</f>
        <v>1561879.13</v>
      </c>
      <c r="J13" s="308">
        <f>H13/DAY(B2)</f>
        <v>48576.628333333334</v>
      </c>
      <c r="K13" s="59"/>
      <c r="L13" s="117"/>
    </row>
    <row r="14" spans="1:12" ht="23.25" customHeight="1">
      <c r="A14" s="1761" t="s">
        <v>138</v>
      </c>
      <c r="B14" s="1762"/>
      <c r="C14" s="1763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1726717.72</v>
      </c>
      <c r="F15" s="266">
        <v>1040573.68</v>
      </c>
      <c r="G15" s="318">
        <f>(F15-E15)</f>
        <v>-686144.03999999992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61" t="s">
        <v>141</v>
      </c>
      <c r="B17" s="1762"/>
      <c r="C17" s="1763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3" t="s">
        <v>142</v>
      </c>
      <c r="B18" s="1754"/>
      <c r="C18" s="1755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3960</v>
      </c>
      <c r="I18" s="158">
        <f>'1'!I18</f>
        <v>65</v>
      </c>
      <c r="J18" s="58">
        <f>H18/DAY(B2)</f>
        <v>132</v>
      </c>
      <c r="K18" s="59"/>
      <c r="L18" s="117"/>
    </row>
    <row r="19" spans="1:12" ht="23.25" customHeight="1">
      <c r="A19" s="1753" t="s">
        <v>70</v>
      </c>
      <c r="B19" s="1754"/>
      <c r="C19" s="1755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-37757</v>
      </c>
      <c r="I20" s="127">
        <f>J20-I18</f>
        <v>-1323.5666666666666</v>
      </c>
      <c r="J20" s="58">
        <f>H20/DAY(B2)</f>
        <v>-1258.5666666666666</v>
      </c>
      <c r="K20" s="59"/>
      <c r="L20" s="117"/>
    </row>
    <row r="21" spans="1:12" ht="23.25" customHeight="1">
      <c r="A21" s="1761" t="s">
        <v>145</v>
      </c>
      <c r="B21" s="1762"/>
      <c r="C21" s="1763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1" t="s">
        <v>146</v>
      </c>
      <c r="B22" s="1122"/>
      <c r="C22" s="1123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1" t="s">
        <v>148</v>
      </c>
      <c r="B23" s="1122"/>
      <c r="C23" s="1123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7" t="s">
        <v>150</v>
      </c>
      <c r="B25" s="1768"/>
      <c r="C25" s="1769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3059061.23</v>
      </c>
      <c r="F27" s="412">
        <v>10.86</v>
      </c>
      <c r="G27" s="366">
        <f>E27*F27</f>
        <v>33221404.957799997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-686144.03999999992</v>
      </c>
      <c r="F28" s="412">
        <v>44</v>
      </c>
      <c r="G28" s="366">
        <f>E28*F28</f>
        <v>-30190337.759999998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-903167.80220000073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23.25" customHeight="1">
      <c r="A33" s="1116" t="s">
        <v>162</v>
      </c>
      <c r="B33" s="1117"/>
      <c r="C33" s="1118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4786698.5000000009</v>
      </c>
      <c r="I46" s="56"/>
      <c r="J46" s="58">
        <f>H46/DAY(B2)</f>
        <v>159556.6166666667</v>
      </c>
      <c r="K46" s="59"/>
      <c r="L46" s="117"/>
    </row>
    <row r="47" spans="1:12" ht="23.25" customHeight="1">
      <c r="A47" s="1116" t="s">
        <v>176</v>
      </c>
      <c r="B47" s="1117"/>
      <c r="C47" s="1118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532940.71</v>
      </c>
      <c r="I48" s="56"/>
      <c r="J48" s="58">
        <f>H48/DAY(B2)</f>
        <v>17764.690333333332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172097.75</v>
      </c>
      <c r="I49" s="56"/>
      <c r="J49" s="58">
        <f>H49/DAY(B2)</f>
        <v>5736.5916666666662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40504.01</v>
      </c>
      <c r="I53" s="56"/>
      <c r="J53" s="58">
        <f>H53/DAY(B2)</f>
        <v>1350.1336666666668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618301.59</v>
      </c>
      <c r="I54" s="56"/>
      <c r="J54" s="58">
        <f>H54/DAY(B2)</f>
        <v>20610.053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-314076</v>
      </c>
      <c r="I55" s="56"/>
      <c r="J55" s="58">
        <f>H55/DAY(B2)</f>
        <v>-10469.200000000001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-52114.05</v>
      </c>
      <c r="I57" s="56"/>
      <c r="J57" s="58">
        <f>H57/DAY(B2)</f>
        <v>-1737.135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2163431.34</v>
      </c>
      <c r="I58" s="56">
        <f>G7-G59</f>
        <v>-3917286.7600000002</v>
      </c>
      <c r="J58" s="58">
        <f>H58/DAY(B2)</f>
        <v>72114.377999999997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6957033.1699999999</v>
      </c>
      <c r="I59" s="56">
        <f>G13-G59</f>
        <v>-5479165.8900000006</v>
      </c>
      <c r="J59" s="58">
        <f>H59/DAY(B2)</f>
        <v>231901.10566666667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70" t="s">
        <v>98</v>
      </c>
      <c r="B63" s="1771"/>
      <c r="C63" s="1772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70" t="s">
        <v>99</v>
      </c>
      <c r="B64" s="1771"/>
      <c r="C64" s="1772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70" t="s">
        <v>100</v>
      </c>
      <c r="B65" s="1771"/>
      <c r="C65" s="1772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70" t="s">
        <v>101</v>
      </c>
      <c r="B66" s="1771"/>
      <c r="C66" s="1772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70" t="s">
        <v>102</v>
      </c>
      <c r="B67" s="1771"/>
      <c r="C67" s="1772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70" t="s">
        <v>103</v>
      </c>
      <c r="B68" s="1771"/>
      <c r="C68" s="1772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73" t="s">
        <v>188</v>
      </c>
      <c r="B69" s="1774"/>
      <c r="C69" s="1775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4" t="s">
        <v>189</v>
      </c>
      <c r="B70" s="1765"/>
      <c r="C70" s="1765"/>
      <c r="D70" s="1765"/>
      <c r="E70" s="1765"/>
      <c r="F70" s="1765"/>
      <c r="G70" s="1765"/>
      <c r="H70" s="1765"/>
      <c r="I70" s="1765"/>
      <c r="J70" s="1766"/>
      <c r="K70" s="83"/>
      <c r="L70" s="117"/>
    </row>
    <row r="71" spans="1:12" ht="23.25" customHeight="1">
      <c r="A71" s="1770" t="s">
        <v>190</v>
      </c>
      <c r="B71" s="1771"/>
      <c r="C71" s="1772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70" t="s">
        <v>191</v>
      </c>
      <c r="B72" s="1771"/>
      <c r="C72" s="1772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-2064</v>
      </c>
      <c r="I72" s="69"/>
      <c r="J72" s="58">
        <f>H72/DAY(B2)</f>
        <v>-68.8</v>
      </c>
      <c r="K72" s="83"/>
      <c r="L72" s="117"/>
    </row>
    <row r="73" spans="1:12" ht="23.25" customHeight="1">
      <c r="A73" s="1770" t="s">
        <v>192</v>
      </c>
      <c r="B73" s="1771"/>
      <c r="C73" s="1772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694480</v>
      </c>
      <c r="I73" s="69"/>
      <c r="J73" s="58">
        <f>H73/DAY(B2)</f>
        <v>23149.333333333332</v>
      </c>
      <c r="K73" s="85"/>
      <c r="L73" s="117"/>
    </row>
    <row r="74" spans="1:12" ht="23.25" customHeight="1">
      <c r="A74" s="1776" t="s">
        <v>193</v>
      </c>
      <c r="B74" s="1777"/>
      <c r="C74" s="1778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76" t="s">
        <v>194</v>
      </c>
      <c r="B75" s="1777"/>
      <c r="C75" s="1778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607384</v>
      </c>
      <c r="I75" s="112"/>
      <c r="J75" s="58">
        <f>H75/DAY(B2)</f>
        <v>20246.133333333335</v>
      </c>
      <c r="K75" s="83"/>
      <c r="L75" s="117"/>
    </row>
    <row r="76" spans="1:12" ht="23.25" customHeight="1">
      <c r="A76" s="1770" t="s">
        <v>195</v>
      </c>
      <c r="B76" s="1771"/>
      <c r="C76" s="1772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4" t="s">
        <v>196</v>
      </c>
      <c r="B77" s="1125"/>
      <c r="C77" s="1126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79" t="s">
        <v>91</v>
      </c>
      <c r="B78" s="1780"/>
      <c r="C78" s="1781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-158997</v>
      </c>
      <c r="I78" s="112"/>
      <c r="J78" s="58">
        <f>H78/DAY(B2)</f>
        <v>-5299.9</v>
      </c>
      <c r="K78" s="83"/>
      <c r="L78" s="117"/>
    </row>
    <row r="79" spans="1:12" ht="23.25" customHeight="1">
      <c r="A79" s="1779" t="s">
        <v>197</v>
      </c>
      <c r="B79" s="1780"/>
      <c r="C79" s="1781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-201318.40000000002</v>
      </c>
      <c r="I79" s="112"/>
      <c r="J79" s="58">
        <f>H79/DAY(B2)</f>
        <v>-6710.6133333333337</v>
      </c>
      <c r="K79" s="83"/>
      <c r="L79" s="117"/>
    </row>
    <row r="80" spans="1:12" ht="23.25" customHeight="1">
      <c r="A80" s="1779" t="s">
        <v>198</v>
      </c>
      <c r="B80" s="1780"/>
      <c r="C80" s="1781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82" t="s">
        <v>92</v>
      </c>
      <c r="B81" s="1780"/>
      <c r="C81" s="1781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82" t="s">
        <v>199</v>
      </c>
      <c r="B82" s="1780"/>
      <c r="C82" s="1781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7" t="s">
        <v>200</v>
      </c>
      <c r="B83" s="1127"/>
      <c r="C83" s="1128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2142129.92</v>
      </c>
      <c r="I84" s="68"/>
      <c r="J84" s="58">
        <f>H84/DAY(B2)</f>
        <v>71404.330666666661</v>
      </c>
      <c r="K84" s="88"/>
      <c r="L84" s="44"/>
    </row>
    <row r="85" spans="1:12" s="38" customFormat="1" ht="23.25" customHeight="1">
      <c r="A85" s="1119" t="s">
        <v>204</v>
      </c>
      <c r="B85" s="398"/>
      <c r="C85" s="1120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3" t="s">
        <v>205</v>
      </c>
      <c r="B86" s="1754"/>
      <c r="C86" s="1755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3" t="s">
        <v>206</v>
      </c>
      <c r="B87" s="1754"/>
      <c r="C87" s="1755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83" t="s">
        <v>207</v>
      </c>
      <c r="B88" s="1784"/>
      <c r="C88" s="1785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3" t="s">
        <v>208</v>
      </c>
      <c r="B89" s="1754"/>
      <c r="C89" s="1755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21" t="s">
        <v>209</v>
      </c>
      <c r="B90" s="1122"/>
      <c r="C90" s="1123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0</v>
      </c>
      <c r="I90" s="69"/>
      <c r="J90" s="58">
        <f>H90/DAY(B2)</f>
        <v>0</v>
      </c>
      <c r="K90" s="43"/>
      <c r="L90" s="117"/>
    </row>
    <row r="91" spans="1:12" ht="23.25" customHeight="1">
      <c r="A91" s="1121" t="s">
        <v>210</v>
      </c>
      <c r="B91" s="1122"/>
      <c r="C91" s="1123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21" t="s">
        <v>211</v>
      </c>
      <c r="B92" s="1122"/>
      <c r="C92" s="1123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21" t="s">
        <v>212</v>
      </c>
      <c r="B93" s="1122"/>
      <c r="C93" s="1123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21" t="s">
        <v>213</v>
      </c>
      <c r="B94" s="1122"/>
      <c r="C94" s="1123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83" t="s">
        <v>215</v>
      </c>
      <c r="B95" s="1784"/>
      <c r="C95" s="1785"/>
      <c r="D95" s="274"/>
      <c r="E95" s="416"/>
      <c r="F95" s="274"/>
      <c r="G95" s="411">
        <f>SUM(G89:G94)</f>
        <v>-123799</v>
      </c>
      <c r="H95" s="57">
        <f>G95+'29'!H102</f>
        <v>-123900</v>
      </c>
      <c r="I95" s="140"/>
      <c r="J95" s="58">
        <f>H95/DAY(B2)</f>
        <v>-4130</v>
      </c>
      <c r="K95" s="88"/>
      <c r="L95" s="117"/>
    </row>
    <row r="96" spans="1:12" ht="23.25" customHeight="1">
      <c r="A96" s="1786" t="s">
        <v>229</v>
      </c>
      <c r="B96" s="1787"/>
      <c r="C96" s="1788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70" t="s">
        <v>232</v>
      </c>
      <c r="B99" s="1771"/>
      <c r="C99" s="1772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233</v>
      </c>
      <c r="B100" s="1122"/>
      <c r="C100" s="1123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234</v>
      </c>
      <c r="B101" s="1122"/>
      <c r="C101" s="1123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89" t="s">
        <v>249</v>
      </c>
      <c r="B102" s="1790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3" t="s">
        <v>250</v>
      </c>
      <c r="B103" s="1754"/>
      <c r="C103" s="1755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-147074.21000000008</v>
      </c>
      <c r="I103" s="69"/>
      <c r="J103" s="58">
        <f>H103/DAY(B2)</f>
        <v>-4902.4736666666695</v>
      </c>
      <c r="K103" s="88"/>
      <c r="L103" s="117"/>
    </row>
    <row r="104" spans="1:12" ht="23.25" customHeight="1">
      <c r="A104" s="1753" t="s">
        <v>251</v>
      </c>
      <c r="B104" s="1754"/>
      <c r="C104" s="1755"/>
      <c r="D104" s="268" t="s">
        <v>24</v>
      </c>
      <c r="E104" s="269"/>
      <c r="F104" s="269"/>
      <c r="G104" s="280">
        <f>G103/G7</f>
        <v>-4.537814367318177E-2</v>
      </c>
      <c r="H104" s="57">
        <f>G104+'29'!H144</f>
        <v>-0.54422337612762428</v>
      </c>
      <c r="I104" s="84"/>
      <c r="J104" s="58">
        <f>H104/DAY(B2)</f>
        <v>-1.8140779204254144E-2</v>
      </c>
      <c r="K104" s="111"/>
      <c r="L104" s="117"/>
    </row>
    <row r="105" spans="1:12" ht="23.25" customHeight="1">
      <c r="A105" s="1753" t="s">
        <v>252</v>
      </c>
      <c r="B105" s="1754"/>
      <c r="C105" s="1755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3" t="s">
        <v>253</v>
      </c>
      <c r="B106" s="1754"/>
      <c r="C106" s="1755"/>
      <c r="D106" s="268" t="s">
        <v>24</v>
      </c>
      <c r="E106" s="265"/>
      <c r="F106" s="265"/>
      <c r="G106" s="280">
        <f>G105/G7</f>
        <v>0.75724763770092962</v>
      </c>
      <c r="H106" s="57">
        <f>G106+'29'!H146</f>
        <v>0.32221201193428206</v>
      </c>
      <c r="I106" s="84"/>
      <c r="J106" s="58">
        <f>H106/DAY(B2)</f>
        <v>1.0740400397809402E-2</v>
      </c>
      <c r="K106" s="111"/>
      <c r="L106" s="117"/>
    </row>
    <row r="107" spans="1:12" ht="23.25" customHeight="1">
      <c r="A107" s="1753" t="s">
        <v>254</v>
      </c>
      <c r="B107" s="1754"/>
      <c r="C107" s="1755"/>
      <c r="D107" s="268" t="s">
        <v>131</v>
      </c>
      <c r="E107" s="265"/>
      <c r="F107" s="265"/>
      <c r="G107" s="277">
        <f>G38+G52</f>
        <v>2158210.69</v>
      </c>
      <c r="H107" s="57">
        <f>G107+'29'!H147</f>
        <v>2154473.69</v>
      </c>
      <c r="I107" s="86"/>
      <c r="J107" s="58">
        <f>H107/DAY(B2)</f>
        <v>71815.789666666664</v>
      </c>
      <c r="K107" s="111"/>
      <c r="L107" s="117"/>
    </row>
    <row r="108" spans="1:12" ht="23.25" customHeight="1">
      <c r="A108" s="1753" t="s">
        <v>255</v>
      </c>
      <c r="B108" s="1754"/>
      <c r="C108" s="1755"/>
      <c r="D108" s="268" t="s">
        <v>24</v>
      </c>
      <c r="E108" s="265"/>
      <c r="F108" s="265"/>
      <c r="G108" s="280">
        <f>G107/G7</f>
        <v>0.70551405406161161</v>
      </c>
      <c r="H108" s="57">
        <f>G108+'29'!H148</f>
        <v>0.45340603167343818</v>
      </c>
      <c r="I108" s="86"/>
      <c r="J108" s="58">
        <f>H108/DAY(B2)</f>
        <v>1.5113534389114607E-2</v>
      </c>
    </row>
    <row r="109" spans="1:12" ht="23.25" customHeight="1">
      <c r="A109" s="1753" t="s">
        <v>256</v>
      </c>
      <c r="B109" s="1754"/>
      <c r="C109" s="1755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3" t="s">
        <v>257</v>
      </c>
      <c r="B110" s="1754"/>
      <c r="C110" s="1755"/>
      <c r="D110" s="268" t="s">
        <v>24</v>
      </c>
      <c r="E110" s="265"/>
      <c r="F110" s="265"/>
      <c r="G110" s="280">
        <f>G109/G7</f>
        <v>0.3866727701949268</v>
      </c>
      <c r="H110" s="57">
        <f>G110+'29'!H150</f>
        <v>0.28596964832066063</v>
      </c>
      <c r="I110" s="86"/>
      <c r="J110" s="58">
        <f>H110/DAY(B2)</f>
        <v>9.532321610688687E-3</v>
      </c>
    </row>
    <row r="111" spans="1:12" ht="23.25" customHeight="1">
      <c r="A111" s="1753" t="s">
        <v>258</v>
      </c>
      <c r="B111" s="1754"/>
      <c r="C111" s="1755"/>
      <c r="D111" s="268" t="s">
        <v>182</v>
      </c>
      <c r="E111" s="265"/>
      <c r="F111" s="265"/>
      <c r="G111" s="277">
        <f>G35+G49</f>
        <v>848649.22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3" t="s">
        <v>259</v>
      </c>
      <c r="B112" s="1754"/>
      <c r="C112" s="1755"/>
      <c r="D112" s="268" t="s">
        <v>24</v>
      </c>
      <c r="E112" s="265"/>
      <c r="F112" s="265"/>
      <c r="G112" s="280">
        <f>G111/G7</f>
        <v>0.27742145586278438</v>
      </c>
      <c r="H112" s="57">
        <f>G112+'29'!H152</f>
        <v>0.14611368464392488</v>
      </c>
      <c r="I112" s="69"/>
      <c r="J112" s="58">
        <f>H112/DAY(B2)</f>
        <v>4.8704561547974956E-3</v>
      </c>
    </row>
    <row r="113" spans="1:10" ht="23.25" customHeight="1">
      <c r="A113" s="1753" t="s">
        <v>260</v>
      </c>
      <c r="B113" s="1754"/>
      <c r="C113" s="1755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3" t="s">
        <v>261</v>
      </c>
      <c r="B114" s="1754"/>
      <c r="C114" s="1755"/>
      <c r="D114" s="268" t="s">
        <v>24</v>
      </c>
      <c r="E114" s="265"/>
      <c r="F114" s="265"/>
      <c r="G114" s="280">
        <f>G113/G7</f>
        <v>0.20431531865741698</v>
      </c>
      <c r="H114" s="57">
        <f>G114+'29'!H154</f>
        <v>0.10265198794376905</v>
      </c>
      <c r="I114" s="69"/>
      <c r="J114" s="58">
        <f>H114/DAY(B2)</f>
        <v>3.4217329314589684E-3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-1606</v>
      </c>
      <c r="I122" s="69">
        <f>G120+G121+G122</f>
        <v>-20271.419999999998</v>
      </c>
      <c r="J122" s="58">
        <f>H122/DAY(B2)</f>
        <v>-53.533333333333331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2021-07-22T12:29:49Z</dcterms:modified>
</cp:coreProperties>
</file>