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9\"/>
    </mc:Choice>
  </mc:AlternateContent>
  <xr:revisionPtr revIDLastSave="0" documentId="13_ncr:1_{A392480B-6DC6-4F78-8AE7-F3F46106380A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L5" i="4"/>
  <c r="L6" i="4"/>
  <c r="N6" i="4" s="1"/>
  <c r="L7" i="4"/>
  <c r="L8" i="4"/>
  <c r="N8" i="4" s="1"/>
  <c r="L9" i="4"/>
  <c r="L10" i="4"/>
  <c r="L11" i="4"/>
  <c r="L12" i="4"/>
  <c r="N12" i="4" s="1"/>
  <c r="L13" i="4"/>
  <c r="L14" i="4"/>
  <c r="N14" i="4" s="1"/>
  <c r="L15" i="4"/>
  <c r="L16" i="4"/>
  <c r="L17" i="4"/>
  <c r="L18" i="4"/>
  <c r="N18" i="4" s="1"/>
  <c r="L19" i="4"/>
  <c r="L20" i="4"/>
  <c r="N20" i="4" s="1"/>
  <c r="L21" i="4"/>
  <c r="L22" i="4"/>
  <c r="L23" i="4"/>
  <c r="L24" i="4"/>
  <c r="N24" i="4" s="1"/>
  <c r="L25" i="4"/>
  <c r="L26" i="4"/>
  <c r="N26" i="4" s="1"/>
  <c r="L27" i="4"/>
  <c r="L28" i="4"/>
  <c r="L29" i="4"/>
  <c r="L30" i="4"/>
  <c r="N30" i="4" s="1"/>
  <c r="L31" i="4"/>
  <c r="L32" i="4"/>
  <c r="N32" i="4" s="1"/>
  <c r="L2" i="4"/>
  <c r="N2" i="4" s="1"/>
  <c r="N3" i="4"/>
  <c r="N4" i="4"/>
  <c r="N5" i="4"/>
  <c r="N7" i="4"/>
  <c r="N9" i="4"/>
  <c r="N10" i="4"/>
  <c r="N11" i="4"/>
  <c r="N13" i="4"/>
  <c r="N15" i="4"/>
  <c r="N16" i="4"/>
  <c r="N17" i="4"/>
  <c r="N19" i="4"/>
  <c r="N21" i="4"/>
  <c r="N22" i="4"/>
  <c r="N23" i="4"/>
  <c r="N25" i="4"/>
  <c r="N27" i="4"/>
  <c r="N28" i="4"/>
  <c r="N29" i="4"/>
  <c r="N31" i="4"/>
  <c r="F36" i="2" l="1"/>
  <c r="E36" i="2"/>
  <c r="D2" i="4" l="1"/>
  <c r="D7" i="2"/>
  <c r="D4" i="4" s="1"/>
  <c r="D6" i="2"/>
  <c r="D3" i="4" s="1"/>
  <c r="D8" i="2" l="1"/>
  <c r="G31" i="4"/>
  <c r="G32" i="4"/>
  <c r="F31" i="4"/>
  <c r="F32" i="4"/>
  <c r="D9" i="2" l="1"/>
  <c r="D5" i="4"/>
  <c r="G35" i="1"/>
  <c r="E31" i="4" s="1"/>
  <c r="H35" i="1"/>
  <c r="I35" i="1"/>
  <c r="G36" i="1"/>
  <c r="E32" i="4" s="1"/>
  <c r="H36" i="1"/>
  <c r="I36" i="1"/>
  <c r="G35" i="2"/>
  <c r="D10" i="2" l="1"/>
  <c r="D6" i="4"/>
  <c r="J36" i="1"/>
  <c r="K36" i="1" s="1"/>
  <c r="L36" i="1" s="1"/>
  <c r="J32" i="4" s="1"/>
  <c r="J35" i="1"/>
  <c r="K35" i="1" s="1"/>
  <c r="L35" i="1" s="1"/>
  <c r="J31" i="4" s="1"/>
  <c r="D11" i="2" l="1"/>
  <c r="D7" i="4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D12" i="2"/>
  <c r="D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E37" i="1"/>
  <c r="F37" i="1"/>
  <c r="I6" i="1"/>
  <c r="H6" i="1"/>
  <c r="G34" i="1"/>
  <c r="E30" i="4" s="1"/>
  <c r="H34" i="1"/>
  <c r="I34" i="1"/>
  <c r="D13" i="2" l="1"/>
  <c r="D9" i="4"/>
  <c r="J34" i="1"/>
  <c r="K34" i="1" s="1"/>
  <c r="L34" i="1"/>
  <c r="J30" i="4" s="1"/>
  <c r="D14" i="2" l="1"/>
  <c r="D10" i="4"/>
  <c r="C37" i="1"/>
  <c r="G6" i="1"/>
  <c r="D15" i="2" l="1"/>
  <c r="D11" i="4"/>
  <c r="E2" i="4"/>
  <c r="G40" i="2"/>
  <c r="G46" i="2" s="1"/>
  <c r="D16" i="2" l="1"/>
  <c r="D12" i="4"/>
  <c r="H31" i="1"/>
  <c r="I31" i="1"/>
  <c r="H32" i="1"/>
  <c r="I32" i="1"/>
  <c r="H33" i="1"/>
  <c r="I33" i="1"/>
  <c r="G31" i="1"/>
  <c r="E27" i="4" s="1"/>
  <c r="G32" i="1"/>
  <c r="E28" i="4" s="1"/>
  <c r="G33" i="1"/>
  <c r="E29" i="4" s="1"/>
  <c r="D17" i="2" l="1"/>
  <c r="D13" i="4"/>
  <c r="J32" i="1"/>
  <c r="K32" i="1" s="1"/>
  <c r="J33" i="1"/>
  <c r="K33" i="1" s="1"/>
  <c r="J31" i="1"/>
  <c r="K31" i="1" s="1"/>
  <c r="D18" i="2" l="1"/>
  <c r="D14" i="4"/>
  <c r="L31" i="1"/>
  <c r="J27" i="4" s="1"/>
  <c r="L32" i="1"/>
  <c r="J28" i="4" s="1"/>
  <c r="L33" i="1"/>
  <c r="J29" i="4" s="1"/>
  <c r="D19" i="2" l="1"/>
  <c r="D15" i="4"/>
  <c r="G27" i="1"/>
  <c r="E23" i="4" s="1"/>
  <c r="G28" i="1"/>
  <c r="E24" i="4" s="1"/>
  <c r="G29" i="1"/>
  <c r="E25" i="4" s="1"/>
  <c r="G30" i="1"/>
  <c r="E26" i="4" s="1"/>
  <c r="D20" i="2" l="1"/>
  <c r="D16" i="4"/>
  <c r="H9" i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D21" i="2" l="1"/>
  <c r="D17" i="4"/>
  <c r="H37" i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D22" i="2" l="1"/>
  <c r="D18" i="4"/>
  <c r="I37" i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D23" i="2" l="1"/>
  <c r="D19" i="4"/>
  <c r="K6" i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D24" i="2" l="1"/>
  <c r="D20" i="4"/>
  <c r="L6" i="1"/>
  <c r="D25" i="2" l="1"/>
  <c r="D21" i="4"/>
  <c r="L37" i="1"/>
  <c r="J2" i="4"/>
  <c r="D26" i="2" l="1"/>
  <c r="D22" i="4"/>
  <c r="D27" i="2" l="1"/>
  <c r="D23" i="4"/>
  <c r="D28" i="2" l="1"/>
  <c r="D24" i="4"/>
  <c r="D29" i="2" l="1"/>
  <c r="D25" i="4"/>
  <c r="D30" i="2" l="1"/>
  <c r="D26" i="4"/>
  <c r="D31" i="2" l="1"/>
  <c r="D27" i="4"/>
  <c r="D32" i="2" l="1"/>
  <c r="D28" i="4"/>
  <c r="D33" i="2" l="1"/>
  <c r="D29" i="4"/>
  <c r="D34" i="2" l="1"/>
  <c r="D30" i="4"/>
  <c r="D35" i="2" l="1"/>
  <c r="D32" i="4" s="1"/>
  <c r="D31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<sst xmlns="http://schemas.openxmlformats.org/spreadsheetml/2006/main" count="117" uniqueCount="45">
  <si>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</si>
  <si>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</si>
  <si>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</si>
  <si>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</si>
  <si>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</si>
  <si>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</si>
  <si>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</si>
  <si>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</si>
  <si>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</si>
  <si>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</si>
  <si>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</si>
  <si>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</si>
  <si>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</si>
  <si>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</si>
  <si>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</si>
  <si>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</si>
  <si>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</si>
  <si>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</si>
  <si>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</si>
  <si>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</si>
  <si>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</si>
  <si>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</si>
  <si>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</si>
  <si>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</si>
  <si>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</si>
  <si>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</si>
  <si>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</si>
  <si>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</si>
  <si>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</si>
  <si>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</si>
  <si>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</si>
  <si>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</si>
  <si>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</si>
  <si>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</si>
  <si>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</si>
  <si>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</si>
  <si>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</si>
  <si>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2019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</si>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</sst>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opLeftCell="A19" zoomScale="90" zoomScaleNormal="90" workbookViewId="0">
      <selection activeCell="I38" sqref="I38"/>
    </sheetView>
  </sheetViews>
  <sheetFormatPr defaultColWidth="11.5703125" defaultRowHeight="15" x14ac:dyDescent="0.25"/>
  <cols>
    <col min="1" max="1" width="25.4257812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5</v>
      </c>
      <c r="D2" s="45">
        <f>Water!D5</f>
        <v>2019</v>
      </c>
      <c r="E2" s="43">
        <f>Electricity!G6</f>
        <v>26800.00000000291</v>
      </c>
      <c r="F2" s="43">
        <f>Electricity!E6</f>
        <v>5159.9999999998545</v>
      </c>
      <c r="G2" s="43">
        <f>Electricity!F6</f>
        <v>21640.000000003056</v>
      </c>
      <c r="H2" s="47">
        <v>1553.67</v>
      </c>
      <c r="I2" s="57" t="s">
        <v>28</v>
      </c>
      <c r="J2" s="106">
        <f>Electricity!L6</f>
        <v>31161565.593603011</v>
      </c>
      <c r="K2" s="43">
        <f>J2/E2</f>
        <v>1162.7449848358069</v>
      </c>
      <c r="L2" s="43">
        <f>Water!G5</f>
        <v>253</v>
      </c>
      <c r="M2" s="58">
        <v>12550</v>
      </c>
      <c r="N2" s="106">
        <f>TOTAL!L2*TOTAL!M2</f>
        <v>3175150</v>
      </c>
      <c r="O2" s="43">
        <v>161</v>
      </c>
    </row>
    <row r="3" spans="1:15" x14ac:dyDescent="0.25">
      <c r="A3" s="48" t="s">
        <v>44</v>
      </c>
      <c r="B3" s="45">
        <v>2</v>
      </c>
      <c r="C3" s="45">
        <v>5</v>
      </c>
      <c r="D3" s="45">
        <f>Water!D6</f>
        <v>2019</v>
      </c>
      <c r="E3" s="43">
        <f>Electricity!G7</f>
        <v>24199.999999997999</v>
      </c>
      <c r="F3" s="43">
        <f>Electricity!E7</f>
        <v>6320.0000000006185</v>
      </c>
      <c r="G3" s="43">
        <f>Electricity!F7</f>
        <v>17879.999999997381</v>
      </c>
      <c r="H3" s="47">
        <v>1553.67</v>
      </c>
      <c r="I3" s="57" t="s">
        <v>28</v>
      </c>
      <c r="J3" s="106">
        <f>Electricity!L7</f>
        <v>29019075.379198205</v>
      </c>
      <c r="K3" s="43">
        <f t="shared" ref="K3:K32" si="0">J3/E3</f>
        <v>1199.1353462479588</v>
      </c>
      <c r="L3" s="43">
        <f>Water!G6</f>
        <v>379</v>
      </c>
      <c r="M3" s="58">
        <v>12550</v>
      </c>
      <c r="N3" s="106">
        <f>TOTAL!L3*TOTAL!M3</f>
        <v>4756450</v>
      </c>
      <c r="O3" s="43">
        <v>161</v>
      </c>
    </row>
    <row r="4" spans="1:15" x14ac:dyDescent="0.25">
      <c r="A4" s="48" t="s">
        <v>44</v>
      </c>
      <c r="B4" s="45">
        <v>3</v>
      </c>
      <c r="C4" s="45">
        <v>5</v>
      </c>
      <c r="D4" s="45">
        <f>Water!D7</f>
        <v>2019</v>
      </c>
      <c r="E4" s="43">
        <f>Electricity!G8</f>
        <v>29320.000000002437</v>
      </c>
      <c r="F4" s="43">
        <f>Electricity!E8</f>
        <v>3679.9999999993815</v>
      </c>
      <c r="G4" s="43">
        <f>Electricity!F8</f>
        <v>25640.000000003056</v>
      </c>
      <c r="H4" s="47">
        <v>1553.67</v>
      </c>
      <c r="I4" s="57" t="s">
        <v>28</v>
      </c>
      <c r="J4" s="106">
        <f>Electricity!L8</f>
        <v>33049502.515202258</v>
      </c>
      <c r="K4" s="43">
        <f t="shared" si="0"/>
        <v>1127.1999493587828</v>
      </c>
      <c r="L4" s="43">
        <f>Water!G7</f>
        <v>369</v>
      </c>
      <c r="M4" s="58">
        <v>12550</v>
      </c>
      <c r="N4" s="106">
        <f>TOTAL!L4*TOTAL!M4</f>
        <v>4630950</v>
      </c>
      <c r="O4" s="43">
        <v>161</v>
      </c>
    </row>
    <row r="5" spans="1:15" x14ac:dyDescent="0.25">
      <c r="A5" s="48" t="s">
        <v>44</v>
      </c>
      <c r="B5" s="45">
        <v>4</v>
      </c>
      <c r="C5" s="45">
        <v>5</v>
      </c>
      <c r="D5" s="45">
        <f>Water!D8</f>
        <v>2019</v>
      </c>
      <c r="E5" s="43">
        <f>Electricity!G9</f>
        <v>27119.999999997162</v>
      </c>
      <c r="F5" s="43">
        <f>Electricity!E9</f>
        <v>5079.9999999999272</v>
      </c>
      <c r="G5" s="43">
        <f>Electricity!F9</f>
        <v>22039.999999997235</v>
      </c>
      <c r="H5" s="47">
        <v>1553.67</v>
      </c>
      <c r="I5" s="57" t="s">
        <v>28</v>
      </c>
      <c r="J5" s="106">
        <f>Electricity!L9</f>
        <v>31458544.435196947</v>
      </c>
      <c r="K5" s="43">
        <f t="shared" si="0"/>
        <v>1159.975827256646</v>
      </c>
      <c r="L5" s="43">
        <f>Water!G8</f>
        <v>239</v>
      </c>
      <c r="M5" s="58">
        <v>12550</v>
      </c>
      <c r="N5" s="106">
        <f>TOTAL!L5*TOTAL!M5</f>
        <v>2999450</v>
      </c>
      <c r="O5" s="43">
        <v>161</v>
      </c>
    </row>
    <row r="6" spans="1:15" x14ac:dyDescent="0.25">
      <c r="A6" s="48" t="s">
        <v>44</v>
      </c>
      <c r="B6" s="45">
        <v>5</v>
      </c>
      <c r="C6" s="45">
        <v>5</v>
      </c>
      <c r="D6" s="45">
        <f>Water!D9</f>
        <v>2019</v>
      </c>
      <c r="E6" s="43">
        <f>Electricity!G10</f>
        <v>27920.000000000982</v>
      </c>
      <c r="F6" s="43">
        <f>Electricity!E10</f>
        <v>5560.0000000004002</v>
      </c>
      <c r="G6" s="43">
        <f>Electricity!F10</f>
        <v>22360.000000000582</v>
      </c>
      <c r="H6" s="47">
        <v>1553.67</v>
      </c>
      <c r="I6" s="57" t="s">
        <v>28</v>
      </c>
      <c r="J6" s="106">
        <f>Electricity!L10</f>
        <v>32561608.704001252</v>
      </c>
      <c r="K6" s="43">
        <f t="shared" si="0"/>
        <v>1166.2467300859637</v>
      </c>
      <c r="L6" s="43">
        <f>Water!G9</f>
        <v>239</v>
      </c>
      <c r="M6" s="58">
        <v>12550</v>
      </c>
      <c r="N6" s="106">
        <f>TOTAL!L6*TOTAL!M6</f>
        <v>2999450</v>
      </c>
      <c r="O6" s="43">
        <v>161</v>
      </c>
    </row>
    <row r="7" spans="1:15" x14ac:dyDescent="0.25">
      <c r="A7" s="48" t="s">
        <v>44</v>
      </c>
      <c r="B7" s="45">
        <v>6</v>
      </c>
      <c r="C7" s="45">
        <v>5</v>
      </c>
      <c r="D7" s="45">
        <f>Water!D10</f>
        <v>2019</v>
      </c>
      <c r="E7" s="43">
        <f>Electricity!G11</f>
        <v>27079.999999999018</v>
      </c>
      <c r="F7" s="43">
        <f>Electricity!E11</f>
        <v>5279.9999999997453</v>
      </c>
      <c r="G7" s="43">
        <f>Electricity!F11</f>
        <v>21799.999999999272</v>
      </c>
      <c r="H7" s="47">
        <v>1553.67</v>
      </c>
      <c r="I7" s="57" t="s">
        <v>28</v>
      </c>
      <c r="J7" s="106">
        <f>Electricity!L11</f>
        <v>31522182.758398823</v>
      </c>
      <c r="K7" s="43">
        <f t="shared" si="0"/>
        <v>1164.0392451403238</v>
      </c>
      <c r="L7" s="43">
        <f>Water!G10</f>
        <v>344</v>
      </c>
      <c r="M7" s="58">
        <v>12550</v>
      </c>
      <c r="N7" s="106">
        <f>TOTAL!L7*TOTAL!M7</f>
        <v>4317200</v>
      </c>
      <c r="O7" s="43">
        <v>161</v>
      </c>
    </row>
    <row r="8" spans="1:15" x14ac:dyDescent="0.25">
      <c r="A8" s="48" t="s">
        <v>44</v>
      </c>
      <c r="B8" s="45">
        <v>7</v>
      </c>
      <c r="C8" s="45">
        <v>5</v>
      </c>
      <c r="D8" s="45">
        <f>Water!D11</f>
        <v>2019</v>
      </c>
      <c r="E8" s="43">
        <f>Electricity!G12</f>
        <v>36440.000000003238</v>
      </c>
      <c r="F8" s="43">
        <f>Electricity!E12</f>
        <v>8640.0000000003274</v>
      </c>
      <c r="G8" s="43">
        <f>Electricity!F12</f>
        <v>27800.00000000291</v>
      </c>
      <c r="H8" s="47">
        <v>1553.67</v>
      </c>
      <c r="I8" s="57" t="s">
        <v>28</v>
      </c>
      <c r="J8" s="106">
        <f>Electricity!L12</f>
        <v>43231634.227203608</v>
      </c>
      <c r="K8" s="43">
        <f t="shared" si="0"/>
        <v>1186.3785463007621</v>
      </c>
      <c r="L8" s="43">
        <f>Water!G11</f>
        <v>441</v>
      </c>
      <c r="M8" s="58">
        <v>12550</v>
      </c>
      <c r="N8" s="106">
        <f>TOTAL!L8*TOTAL!M8</f>
        <v>5534550</v>
      </c>
      <c r="O8" s="43">
        <v>161</v>
      </c>
    </row>
    <row r="9" spans="1:15" x14ac:dyDescent="0.25">
      <c r="A9" s="48" t="s">
        <v>44</v>
      </c>
      <c r="B9" s="45">
        <v>8</v>
      </c>
      <c r="C9" s="45">
        <v>5</v>
      </c>
      <c r="D9" s="45">
        <f>Water!D12</f>
        <v>2019</v>
      </c>
      <c r="E9" s="43">
        <f>Electricity!G13</f>
        <v>22999.999999999091</v>
      </c>
      <c r="F9" s="43">
        <f>Electricity!E13</f>
        <v>1679.9999999993815</v>
      </c>
      <c r="G9" s="43">
        <f>Electricity!F13</f>
        <v>21319.999999999709</v>
      </c>
      <c r="H9" s="47">
        <v>1553.67</v>
      </c>
      <c r="I9" s="57" t="s">
        <v>28</v>
      </c>
      <c r="J9" s="106">
        <f>Electricity!L13</f>
        <v>25285627.084798709</v>
      </c>
      <c r="K9" s="43">
        <f t="shared" si="0"/>
        <v>1099.3750906434657</v>
      </c>
      <c r="L9" s="43">
        <f>Water!G12</f>
        <v>244</v>
      </c>
      <c r="M9" s="58">
        <v>12550</v>
      </c>
      <c r="N9" s="106">
        <f>TOTAL!L9*TOTAL!M9</f>
        <v>3062200</v>
      </c>
      <c r="O9" s="43">
        <v>161</v>
      </c>
    </row>
    <row r="10" spans="1:15" x14ac:dyDescent="0.25">
      <c r="A10" s="48" t="s">
        <v>44</v>
      </c>
      <c r="B10" s="45">
        <v>9</v>
      </c>
      <c r="C10" s="45">
        <v>5</v>
      </c>
      <c r="D10" s="45">
        <f>Water!D13</f>
        <v>2019</v>
      </c>
      <c r="E10" s="43">
        <f>Electricity!G14</f>
        <v>21119.999999999891</v>
      </c>
      <c r="F10" s="43">
        <f>Electricity!E14</f>
        <v>4640.0000000003274</v>
      </c>
      <c r="G10" s="43">
        <f>Electricity!F14</f>
        <v>16479.999999999563</v>
      </c>
      <c r="H10" s="47">
        <v>1553.67</v>
      </c>
      <c r="I10" s="57" t="s">
        <v>28</v>
      </c>
      <c r="J10" s="106">
        <f>Electricity!L14</f>
        <v>24861371.596800055</v>
      </c>
      <c r="K10" s="43">
        <f t="shared" si="0"/>
        <v>1177.148276363645</v>
      </c>
      <c r="L10" s="43">
        <f>Water!G13</f>
        <v>244</v>
      </c>
      <c r="M10" s="58">
        <v>12550</v>
      </c>
      <c r="N10" s="106">
        <f>TOTAL!L10*TOTAL!M10</f>
        <v>3062200</v>
      </c>
      <c r="O10" s="43">
        <v>161</v>
      </c>
    </row>
    <row r="11" spans="1:15" x14ac:dyDescent="0.25">
      <c r="A11" s="48" t="s">
        <v>44</v>
      </c>
      <c r="B11" s="45">
        <v>10</v>
      </c>
      <c r="C11" s="45">
        <v>5</v>
      </c>
      <c r="D11" s="45">
        <f>Water!D14</f>
        <v>2019</v>
      </c>
      <c r="E11" s="43">
        <f>Electricity!G15</f>
        <v>26399.999999998727</v>
      </c>
      <c r="F11" s="43">
        <f>Electricity!E15</f>
        <v>4800.0000000001819</v>
      </c>
      <c r="G11" s="43">
        <f>Electricity!F15</f>
        <v>21599.999999998545</v>
      </c>
      <c r="H11" s="47">
        <v>1553.67</v>
      </c>
      <c r="I11" s="57" t="s">
        <v>28</v>
      </c>
      <c r="J11" s="106">
        <f>Electricity!L15</f>
        <v>30546395.135998745</v>
      </c>
      <c r="K11" s="43">
        <f t="shared" si="0"/>
        <v>1157.06042181819</v>
      </c>
      <c r="L11" s="43">
        <f>Water!G14</f>
        <v>429</v>
      </c>
      <c r="M11" s="58">
        <v>12550</v>
      </c>
      <c r="N11" s="106">
        <f>TOTAL!L11*TOTAL!M11</f>
        <v>5383950</v>
      </c>
      <c r="O11" s="43">
        <v>161</v>
      </c>
    </row>
    <row r="12" spans="1:15" x14ac:dyDescent="0.25">
      <c r="A12" s="48" t="s">
        <v>44</v>
      </c>
      <c r="B12" s="45">
        <v>11</v>
      </c>
      <c r="C12" s="45">
        <v>5</v>
      </c>
      <c r="D12" s="45">
        <f>Water!D15</f>
        <v>2019</v>
      </c>
      <c r="E12" s="43">
        <f>Electricity!G16</f>
        <v>26040.000000001783</v>
      </c>
      <c r="F12" s="43">
        <f>Electricity!E16</f>
        <v>4640.0000000003274</v>
      </c>
      <c r="G12" s="43">
        <f>Electricity!F16</f>
        <v>21400.000000001455</v>
      </c>
      <c r="H12" s="47">
        <v>1553.67</v>
      </c>
      <c r="I12" s="57" t="s">
        <v>28</v>
      </c>
      <c r="J12" s="106">
        <f>Electricity!L16</f>
        <v>30079714.099202059</v>
      </c>
      <c r="K12" s="43">
        <f t="shared" si="0"/>
        <v>1155.1349500460828</v>
      </c>
      <c r="L12" s="43">
        <f>Water!G15</f>
        <v>299</v>
      </c>
      <c r="M12" s="58">
        <v>12550</v>
      </c>
      <c r="N12" s="106">
        <f>TOTAL!L12*TOTAL!M12</f>
        <v>3752450</v>
      </c>
      <c r="O12" s="43">
        <v>161</v>
      </c>
    </row>
    <row r="13" spans="1:15" x14ac:dyDescent="0.25">
      <c r="A13" s="48" t="s">
        <v>44</v>
      </c>
      <c r="B13" s="45">
        <v>12</v>
      </c>
      <c r="C13" s="45">
        <v>5</v>
      </c>
      <c r="D13" s="45">
        <f>Water!D16</f>
        <v>2019</v>
      </c>
      <c r="E13" s="43">
        <f>Electricity!G17</f>
        <v>26279.999999999745</v>
      </c>
      <c r="F13" s="43">
        <f>Electricity!E17</f>
        <v>4960.0000000000364</v>
      </c>
      <c r="G13" s="43">
        <f>Electricity!F17</f>
        <v>21319.999999999709</v>
      </c>
      <c r="H13" s="47">
        <v>1553.67</v>
      </c>
      <c r="I13" s="57" t="s">
        <v>28</v>
      </c>
      <c r="J13" s="106">
        <f>Electricity!L17</f>
        <v>30503969.587199748</v>
      </c>
      <c r="K13" s="43">
        <f t="shared" si="0"/>
        <v>1160.7294363470337</v>
      </c>
      <c r="L13" s="43">
        <f>Water!G16</f>
        <v>215</v>
      </c>
      <c r="M13" s="58">
        <v>12550</v>
      </c>
      <c r="N13" s="106">
        <f>TOTAL!L13*TOTAL!M13</f>
        <v>2698250</v>
      </c>
      <c r="O13" s="43">
        <v>161</v>
      </c>
    </row>
    <row r="14" spans="1:15" x14ac:dyDescent="0.25">
      <c r="A14" s="48" t="s">
        <v>44</v>
      </c>
      <c r="B14" s="45">
        <v>13</v>
      </c>
      <c r="C14" s="45">
        <v>5</v>
      </c>
      <c r="D14" s="45">
        <f>Water!D17</f>
        <v>2019</v>
      </c>
      <c r="E14" s="43">
        <f>Electricity!G18</f>
        <v>26560.0000000004</v>
      </c>
      <c r="F14" s="43">
        <f>Electricity!E18</f>
        <v>5519.9999999995271</v>
      </c>
      <c r="G14" s="43">
        <f>Electricity!F18</f>
        <v>21040.000000000873</v>
      </c>
      <c r="H14" s="47">
        <v>1553.67</v>
      </c>
      <c r="I14" s="57" t="s">
        <v>28</v>
      </c>
      <c r="J14" s="106">
        <f>Electricity!L18</f>
        <v>31097927.270400174</v>
      </c>
      <c r="K14" s="43">
        <f t="shared" si="0"/>
        <v>1170.8556954216756</v>
      </c>
      <c r="L14" s="43">
        <f>Water!G17</f>
        <v>233</v>
      </c>
      <c r="M14" s="58">
        <v>12550</v>
      </c>
      <c r="N14" s="106">
        <f>TOTAL!L14*TOTAL!M14</f>
        <v>2924150</v>
      </c>
      <c r="O14" s="43">
        <v>161</v>
      </c>
    </row>
    <row r="15" spans="1:15" x14ac:dyDescent="0.25">
      <c r="A15" s="48" t="s">
        <v>44</v>
      </c>
      <c r="B15" s="45">
        <v>14</v>
      </c>
      <c r="C15" s="45">
        <v>5</v>
      </c>
      <c r="D15" s="45">
        <f>Water!D18</f>
        <v>2019</v>
      </c>
      <c r="E15" s="43">
        <f>Electricity!G19</f>
        <v>23039.999999997235</v>
      </c>
      <c r="F15" s="43">
        <f>Electricity!E19</f>
        <v>5680.000000000291</v>
      </c>
      <c r="G15" s="43">
        <f>Electricity!F19</f>
        <v>17359.999999996944</v>
      </c>
      <c r="H15" s="47">
        <v>1553.67</v>
      </c>
      <c r="I15" s="57" t="s">
        <v>28</v>
      </c>
      <c r="J15" s="106">
        <f>Electricity!L19</f>
        <v>27449330.073597223</v>
      </c>
      <c r="K15" s="43">
        <f t="shared" si="0"/>
        <v>1191.3771733333558</v>
      </c>
      <c r="L15" s="43">
        <f>Water!G18</f>
        <v>396</v>
      </c>
      <c r="M15" s="58">
        <v>12550</v>
      </c>
      <c r="N15" s="106">
        <f>TOTAL!L15*TOTAL!M15</f>
        <v>4969800</v>
      </c>
      <c r="O15" s="43">
        <v>161</v>
      </c>
    </row>
    <row r="16" spans="1:15" x14ac:dyDescent="0.25">
      <c r="A16" s="48" t="s">
        <v>44</v>
      </c>
      <c r="B16" s="45">
        <v>15</v>
      </c>
      <c r="C16" s="45">
        <v>5</v>
      </c>
      <c r="D16" s="45">
        <f>Water!D19</f>
        <v>2019</v>
      </c>
      <c r="E16" s="43">
        <f>Electricity!G20</f>
        <v>23120.00000000171</v>
      </c>
      <c r="F16" s="43">
        <f>Electricity!E20</f>
        <v>880.00000000010914</v>
      </c>
      <c r="G16" s="43">
        <f>Electricity!F20</f>
        <v>22240.000000001601</v>
      </c>
      <c r="H16" s="47">
        <v>1553.67</v>
      </c>
      <c r="I16" s="57" t="s">
        <v>28</v>
      </c>
      <c r="J16" s="106">
        <f>Electricity!L20</f>
        <v>24988648.24320187</v>
      </c>
      <c r="K16" s="43">
        <f t="shared" si="0"/>
        <v>1080.8238859515582</v>
      </c>
      <c r="L16" s="43">
        <f>Water!G19</f>
        <v>335</v>
      </c>
      <c r="M16" s="58">
        <v>12550</v>
      </c>
      <c r="N16" s="106">
        <f>TOTAL!L16*TOTAL!M16</f>
        <v>4204250</v>
      </c>
      <c r="O16" s="43">
        <v>161</v>
      </c>
    </row>
    <row r="17" spans="1:15" x14ac:dyDescent="0.25">
      <c r="A17" s="48" t="s">
        <v>44</v>
      </c>
      <c r="B17" s="45">
        <v>16</v>
      </c>
      <c r="C17" s="45">
        <v>5</v>
      </c>
      <c r="D17" s="45">
        <f>Water!D20</f>
        <v>2019</v>
      </c>
      <c r="E17" s="43">
        <f>Electricity!G21</f>
        <v>33960.000000000946</v>
      </c>
      <c r="F17" s="43">
        <f>Electricity!E21</f>
        <v>8239.9999999997817</v>
      </c>
      <c r="G17" s="43">
        <f>Electricity!F21</f>
        <v>25720.000000001164</v>
      </c>
      <c r="H17" s="47">
        <v>1553.67</v>
      </c>
      <c r="I17" s="57" t="s">
        <v>28</v>
      </c>
      <c r="J17" s="106">
        <f>Electricity!L21</f>
        <v>40389122.457600884</v>
      </c>
      <c r="K17" s="43">
        <f t="shared" si="0"/>
        <v>1189.314559999993</v>
      </c>
      <c r="L17" s="43">
        <f>Water!G20</f>
        <v>238</v>
      </c>
      <c r="M17" s="58">
        <v>12550</v>
      </c>
      <c r="N17" s="106">
        <f>TOTAL!L17*TOTAL!M17</f>
        <v>2986900</v>
      </c>
      <c r="O17" s="43">
        <v>161</v>
      </c>
    </row>
    <row r="18" spans="1:15" x14ac:dyDescent="0.25">
      <c r="A18" s="48" t="s">
        <v>44</v>
      </c>
      <c r="B18" s="45">
        <v>17</v>
      </c>
      <c r="C18" s="45">
        <v>5</v>
      </c>
      <c r="D18" s="45">
        <f>Water!D21</f>
        <v>2019</v>
      </c>
      <c r="E18" s="43">
        <f>Electricity!G22</f>
        <v>27199.999999997999</v>
      </c>
      <c r="F18" s="43">
        <f>Electricity!E22</f>
        <v>5439.9999999995998</v>
      </c>
      <c r="G18" s="43">
        <f>Electricity!F22</f>
        <v>21759.999999998399</v>
      </c>
      <c r="H18" s="47">
        <v>1553.67</v>
      </c>
      <c r="I18" s="57" t="s">
        <v>28</v>
      </c>
      <c r="J18" s="106">
        <f>Electricity!L22</f>
        <v>31734310.502397668</v>
      </c>
      <c r="K18" s="43">
        <f t="shared" si="0"/>
        <v>1166.7025920000001</v>
      </c>
      <c r="L18" s="43">
        <f>Water!G21</f>
        <v>238</v>
      </c>
      <c r="M18" s="58">
        <v>12550</v>
      </c>
      <c r="N18" s="106">
        <f>TOTAL!L18*TOTAL!M18</f>
        <v>2986900</v>
      </c>
      <c r="O18" s="43">
        <v>161</v>
      </c>
    </row>
    <row r="19" spans="1:15" x14ac:dyDescent="0.25">
      <c r="A19" s="48" t="s">
        <v>44</v>
      </c>
      <c r="B19" s="45">
        <v>18</v>
      </c>
      <c r="C19" s="45">
        <v>5</v>
      </c>
      <c r="D19" s="45">
        <f>Water!D22</f>
        <v>2019</v>
      </c>
      <c r="E19" s="43">
        <f>Electricity!G23</f>
        <v>26160.000000001673</v>
      </c>
      <c r="F19" s="43">
        <f>Electricity!E23</f>
        <v>4440.0000000005093</v>
      </c>
      <c r="G19" s="43">
        <f>Electricity!F23</f>
        <v>21720.000000001164</v>
      </c>
      <c r="H19" s="47">
        <v>1553.67</v>
      </c>
      <c r="I19" s="57" t="s">
        <v>28</v>
      </c>
      <c r="J19" s="106">
        <f>Electricity!L23</f>
        <v>30100926.873602044</v>
      </c>
      <c r="K19" s="43">
        <f t="shared" si="0"/>
        <v>1150.6470517431237</v>
      </c>
      <c r="L19" s="43">
        <f>Water!G22</f>
        <v>420</v>
      </c>
      <c r="M19" s="58">
        <v>12550</v>
      </c>
      <c r="N19" s="106">
        <f>TOTAL!L19*TOTAL!M19</f>
        <v>5271000</v>
      </c>
      <c r="O19" s="43">
        <v>161</v>
      </c>
    </row>
    <row r="20" spans="1:15" x14ac:dyDescent="0.25">
      <c r="A20" s="48" t="s">
        <v>44</v>
      </c>
      <c r="B20" s="45">
        <v>19</v>
      </c>
      <c r="C20" s="45">
        <v>5</v>
      </c>
      <c r="D20" s="45">
        <f>Water!D23</f>
        <v>2019</v>
      </c>
      <c r="E20" s="43">
        <f>Electricity!G24</f>
        <v>27440.000000000509</v>
      </c>
      <c r="F20" s="43">
        <f>Electricity!E24</f>
        <v>5239.9999999997817</v>
      </c>
      <c r="G20" s="43">
        <f>Electricity!F24</f>
        <v>22200.000000000728</v>
      </c>
      <c r="H20" s="47">
        <v>1553.67</v>
      </c>
      <c r="I20" s="57" t="s">
        <v>28</v>
      </c>
      <c r="J20" s="106">
        <f>Electricity!L24</f>
        <v>31882799.923200425</v>
      </c>
      <c r="K20" s="43">
        <f t="shared" si="0"/>
        <v>1161.9096181924137</v>
      </c>
      <c r="L20" s="43">
        <f>Water!G23</f>
        <v>269</v>
      </c>
      <c r="M20" s="58">
        <v>12550</v>
      </c>
      <c r="N20" s="106">
        <f>TOTAL!L20*TOTAL!M20</f>
        <v>3375950</v>
      </c>
      <c r="O20" s="43">
        <v>161</v>
      </c>
    </row>
    <row r="21" spans="1:15" x14ac:dyDescent="0.25">
      <c r="A21" s="48" t="s">
        <v>44</v>
      </c>
      <c r="B21" s="45">
        <v>20</v>
      </c>
      <c r="C21" s="45">
        <v>5</v>
      </c>
      <c r="D21" s="45">
        <f>Water!D24</f>
        <v>2019</v>
      </c>
      <c r="E21" s="43">
        <f>Electricity!G25</f>
        <v>27759.999999999309</v>
      </c>
      <c r="F21" s="43">
        <f>Electricity!E25</f>
        <v>5279.9999999997453</v>
      </c>
      <c r="G21" s="43">
        <f>Electricity!F25</f>
        <v>22479.999999999563</v>
      </c>
      <c r="H21" s="47">
        <v>1553.67</v>
      </c>
      <c r="I21" s="57" t="s">
        <v>28</v>
      </c>
      <c r="J21" s="106">
        <f>Electricity!L25</f>
        <v>32243417.087999132</v>
      </c>
      <c r="K21" s="43">
        <f t="shared" si="0"/>
        <v>1161.5063792507181</v>
      </c>
      <c r="L21" s="43">
        <f>Water!G24</f>
        <v>226</v>
      </c>
      <c r="M21" s="58">
        <v>12550</v>
      </c>
      <c r="N21" s="106">
        <f>TOTAL!L21*TOTAL!M21</f>
        <v>2836300</v>
      </c>
      <c r="O21" s="43">
        <v>161</v>
      </c>
    </row>
    <row r="22" spans="1:15" x14ac:dyDescent="0.25">
      <c r="A22" s="48" t="s">
        <v>44</v>
      </c>
      <c r="B22" s="45">
        <v>21</v>
      </c>
      <c r="C22" s="45">
        <v>5</v>
      </c>
      <c r="D22" s="45">
        <f>Water!D25</f>
        <v>2019</v>
      </c>
      <c r="E22" s="43">
        <f>Electricity!G26</f>
        <v>28599.999999999454</v>
      </c>
      <c r="F22" s="43">
        <f>Electricity!E26</f>
        <v>5640.0000000003274</v>
      </c>
      <c r="G22" s="43">
        <f>Electricity!F26</f>
        <v>22959.999999999127</v>
      </c>
      <c r="H22" s="47">
        <v>1553.67</v>
      </c>
      <c r="I22" s="57" t="s">
        <v>28</v>
      </c>
      <c r="J22" s="106">
        <f>Electricity!L26</f>
        <v>33325268.582399596</v>
      </c>
      <c r="K22" s="43">
        <f t="shared" si="0"/>
        <v>1165.2191812028052</v>
      </c>
      <c r="L22" s="43">
        <f>Water!G25</f>
        <v>314</v>
      </c>
      <c r="M22" s="58">
        <v>12550</v>
      </c>
      <c r="N22" s="106">
        <f>TOTAL!L22*TOTAL!M22</f>
        <v>3940700</v>
      </c>
      <c r="O22" s="43">
        <v>161</v>
      </c>
    </row>
    <row r="23" spans="1:15" x14ac:dyDescent="0.25">
      <c r="A23" s="48" t="s">
        <v>44</v>
      </c>
      <c r="B23" s="45">
        <v>22</v>
      </c>
      <c r="C23" s="45">
        <v>5</v>
      </c>
      <c r="D23" s="45">
        <f>Water!D26</f>
        <v>2019</v>
      </c>
      <c r="E23" s="43">
        <f>Electricity!G27</f>
        <v>29039.999999999054</v>
      </c>
      <c r="F23" s="43">
        <f>Electricity!E27</f>
        <v>5239.9999999997817</v>
      </c>
      <c r="G23" s="43">
        <f>Electricity!F27</f>
        <v>23799.999999999272</v>
      </c>
      <c r="H23" s="47">
        <v>1553.67</v>
      </c>
      <c r="I23" s="57" t="s">
        <v>28</v>
      </c>
      <c r="J23" s="106">
        <f>Electricity!L27</f>
        <v>33579821.875198886</v>
      </c>
      <c r="K23" s="43">
        <f t="shared" si="0"/>
        <v>1156.3299543801645</v>
      </c>
      <c r="L23" s="43">
        <f>Water!G26</f>
        <v>401</v>
      </c>
      <c r="M23" s="58">
        <v>12550</v>
      </c>
      <c r="N23" s="106">
        <f>TOTAL!L23*TOTAL!M23</f>
        <v>5032550</v>
      </c>
      <c r="O23" s="43">
        <v>161</v>
      </c>
    </row>
    <row r="24" spans="1:15" x14ac:dyDescent="0.25">
      <c r="A24" s="48" t="s">
        <v>44</v>
      </c>
      <c r="B24" s="45">
        <v>23</v>
      </c>
      <c r="C24" s="45">
        <v>5</v>
      </c>
      <c r="D24" s="45">
        <f>Water!D27</f>
        <v>2019</v>
      </c>
      <c r="E24" s="43">
        <f>Electricity!G28</f>
        <v>26600.000000000364</v>
      </c>
      <c r="F24" s="43">
        <f>Electricity!E28</f>
        <v>4600.0000000003638</v>
      </c>
      <c r="G24" s="43">
        <f>Electricity!F28</f>
        <v>22000</v>
      </c>
      <c r="H24" s="47">
        <v>1553.67</v>
      </c>
      <c r="I24" s="57" t="s">
        <v>28</v>
      </c>
      <c r="J24" s="106">
        <f>Electricity!L28</f>
        <v>30652459.008000579</v>
      </c>
      <c r="K24" s="43">
        <f t="shared" si="0"/>
        <v>1152.3480830075248</v>
      </c>
      <c r="L24" s="43">
        <f>Water!G27</f>
        <v>245</v>
      </c>
      <c r="M24" s="58">
        <v>12550</v>
      </c>
      <c r="N24" s="106">
        <f>TOTAL!L24*TOTAL!M24</f>
        <v>3074750</v>
      </c>
      <c r="O24" s="43">
        <v>161</v>
      </c>
    </row>
    <row r="25" spans="1:15" x14ac:dyDescent="0.25">
      <c r="A25" s="48" t="s">
        <v>44</v>
      </c>
      <c r="B25" s="45">
        <v>24</v>
      </c>
      <c r="C25" s="45">
        <v>5</v>
      </c>
      <c r="D25" s="45">
        <f>Water!D28</f>
        <v>2019</v>
      </c>
      <c r="E25" s="43">
        <f>Electricity!G29</f>
        <v>27919.999999999163</v>
      </c>
      <c r="F25" s="43">
        <f>Electricity!E29</f>
        <v>5599.9999999994543</v>
      </c>
      <c r="G25" s="43">
        <f>Electricity!F29</f>
        <v>22319.999999999709</v>
      </c>
      <c r="H25" s="47">
        <v>1553.67</v>
      </c>
      <c r="I25" s="57" t="s">
        <v>28</v>
      </c>
      <c r="J25" s="106">
        <f>Electricity!L29</f>
        <v>32582821.478398826</v>
      </c>
      <c r="K25" s="43">
        <f t="shared" si="0"/>
        <v>1167.0064999426863</v>
      </c>
      <c r="L25" s="43">
        <f>Water!G28</f>
        <v>227</v>
      </c>
      <c r="M25" s="58">
        <v>12550</v>
      </c>
      <c r="N25" s="106">
        <f>TOTAL!L25*TOTAL!M25</f>
        <v>2848850</v>
      </c>
      <c r="O25" s="43">
        <v>161</v>
      </c>
    </row>
    <row r="26" spans="1:15" x14ac:dyDescent="0.25">
      <c r="A26" s="48" t="s">
        <v>44</v>
      </c>
      <c r="B26" s="45">
        <v>25</v>
      </c>
      <c r="C26" s="45">
        <v>5</v>
      </c>
      <c r="D26" s="45">
        <f>Water!D29</f>
        <v>2019</v>
      </c>
      <c r="E26" s="43">
        <f>Electricity!G30</f>
        <v>26520.000000001346</v>
      </c>
      <c r="F26" s="43">
        <f>Electricity!E30</f>
        <v>4960.0000000000364</v>
      </c>
      <c r="G26" s="43">
        <f>Electricity!F30</f>
        <v>21560.00000000131</v>
      </c>
      <c r="H26" s="47">
        <v>1553.67</v>
      </c>
      <c r="I26" s="57" t="s">
        <v>28</v>
      </c>
      <c r="J26" s="106">
        <f>Electricity!L30</f>
        <v>30758522.880001444</v>
      </c>
      <c r="K26" s="43">
        <f t="shared" si="0"/>
        <v>1159.8236380090455</v>
      </c>
      <c r="L26" s="43">
        <f>Water!G29</f>
        <v>405</v>
      </c>
      <c r="M26" s="58">
        <v>12550</v>
      </c>
      <c r="N26" s="106">
        <f>TOTAL!L26*TOTAL!M26</f>
        <v>5082750</v>
      </c>
      <c r="O26" s="43">
        <v>161</v>
      </c>
    </row>
    <row r="27" spans="1:15" x14ac:dyDescent="0.25">
      <c r="A27" s="48" t="s">
        <v>44</v>
      </c>
      <c r="B27" s="45">
        <v>26</v>
      </c>
      <c r="C27" s="45">
        <v>5</v>
      </c>
      <c r="D27" s="45">
        <f>Water!D30</f>
        <v>2019</v>
      </c>
      <c r="E27" s="43">
        <f>Electricity!G31</f>
        <v>25639.999999999418</v>
      </c>
      <c r="F27" s="43">
        <f>Electricity!E31</f>
        <v>4360.0000000005821</v>
      </c>
      <c r="G27" s="43">
        <f>Electricity!F31</f>
        <v>21279.999999998836</v>
      </c>
      <c r="H27" s="47">
        <v>1553.67</v>
      </c>
      <c r="I27" s="57" t="s">
        <v>28</v>
      </c>
      <c r="J27" s="106">
        <f>Electricity!L31</f>
        <v>29506969.190399691</v>
      </c>
      <c r="K27" s="43">
        <f t="shared" si="0"/>
        <v>1150.8178311388597</v>
      </c>
      <c r="L27" s="43">
        <f>Water!G30</f>
        <v>291</v>
      </c>
      <c r="M27" s="58">
        <v>12550</v>
      </c>
      <c r="N27" s="106">
        <f>TOTAL!L27*TOTAL!M27</f>
        <v>3652050</v>
      </c>
      <c r="O27" s="43">
        <v>161</v>
      </c>
    </row>
    <row r="28" spans="1:15" x14ac:dyDescent="0.25">
      <c r="A28" s="48" t="s">
        <v>44</v>
      </c>
      <c r="B28" s="45">
        <v>27</v>
      </c>
      <c r="C28" s="45">
        <v>5</v>
      </c>
      <c r="D28" s="45">
        <f>Water!D31</f>
        <v>2019</v>
      </c>
      <c r="E28" s="43">
        <f>Electricity!G32</f>
        <v>27839.999999999236</v>
      </c>
      <c r="F28" s="43">
        <f>Electricity!E32</f>
        <v>5839.999999999236</v>
      </c>
      <c r="G28" s="43">
        <f>Electricity!F32</f>
        <v>22000</v>
      </c>
      <c r="H28" s="47">
        <v>1553.67</v>
      </c>
      <c r="I28" s="57" t="s">
        <v>28</v>
      </c>
      <c r="J28" s="106">
        <f>Electricity!L32</f>
        <v>32625247.027198784</v>
      </c>
      <c r="K28" s="43">
        <f t="shared" si="0"/>
        <v>1171.8838731034368</v>
      </c>
      <c r="L28" s="43">
        <f>Water!G31</f>
        <v>285</v>
      </c>
      <c r="M28" s="58">
        <v>12550</v>
      </c>
      <c r="N28" s="106">
        <f>TOTAL!L28*TOTAL!M28</f>
        <v>3576750</v>
      </c>
      <c r="O28" s="43">
        <v>161</v>
      </c>
    </row>
    <row r="29" spans="1:15" x14ac:dyDescent="0.25">
      <c r="A29" s="48" t="s">
        <v>44</v>
      </c>
      <c r="B29" s="45">
        <v>28</v>
      </c>
      <c r="C29" s="45">
        <v>5</v>
      </c>
      <c r="D29" s="45">
        <f>Water!D32</f>
        <v>2019</v>
      </c>
      <c r="E29" s="43">
        <f>Electricity!G33</f>
        <v>26400.000000000546</v>
      </c>
      <c r="F29" s="43">
        <f>Electricity!E33</f>
        <v>4720.0000000002547</v>
      </c>
      <c r="G29" s="43">
        <f>Electricity!F33</f>
        <v>21680.000000000291</v>
      </c>
      <c r="H29" s="47">
        <v>1553.67</v>
      </c>
      <c r="I29" s="57" t="s">
        <v>28</v>
      </c>
      <c r="J29" s="106">
        <f>Electricity!L33</f>
        <v>30503969.587200712</v>
      </c>
      <c r="K29" s="43">
        <f t="shared" si="0"/>
        <v>1155.4533934545486</v>
      </c>
      <c r="L29" s="43">
        <f>Water!G32</f>
        <v>286</v>
      </c>
      <c r="M29" s="58">
        <v>12550</v>
      </c>
      <c r="N29" s="106">
        <f>TOTAL!L29*TOTAL!M29</f>
        <v>3589300</v>
      </c>
      <c r="O29" s="43">
        <v>161</v>
      </c>
    </row>
    <row r="30" spans="1:15" s="43" customFormat="1" x14ac:dyDescent="0.25">
      <c r="A30" s="48" t="s">
        <v>44</v>
      </c>
      <c r="B30" s="45">
        <v>29</v>
      </c>
      <c r="C30" s="45">
        <v>5</v>
      </c>
      <c r="D30" s="45">
        <f>Water!D33</f>
        <v>2019</v>
      </c>
      <c r="E30" s="43">
        <f>Electricity!G34</f>
        <v>26839.999999999236</v>
      </c>
      <c r="F30" s="43">
        <f>Electricity!E34</f>
        <v>5039.9999999999636</v>
      </c>
      <c r="G30" s="43">
        <f>Electricity!F34</f>
        <v>21799.999999999272</v>
      </c>
      <c r="H30" s="47">
        <v>1553.67</v>
      </c>
      <c r="I30" s="57" t="s">
        <v>28</v>
      </c>
      <c r="J30" s="106">
        <f>Electricity!L34</f>
        <v>31140352.819199175</v>
      </c>
      <c r="K30" s="43">
        <f t="shared" si="0"/>
        <v>1160.2217890909114</v>
      </c>
      <c r="L30" s="43">
        <f>Water!G33</f>
        <v>384</v>
      </c>
      <c r="M30" s="58">
        <v>12550</v>
      </c>
      <c r="N30" s="106">
        <f>TOTAL!L30*TOTAL!M30</f>
        <v>4819200</v>
      </c>
      <c r="O30" s="43">
        <v>161</v>
      </c>
    </row>
    <row r="31" spans="1:15" s="43" customFormat="1" x14ac:dyDescent="0.25">
      <c r="A31" s="48" t="s">
        <v>44</v>
      </c>
      <c r="B31" s="45">
        <v>30</v>
      </c>
      <c r="C31" s="45">
        <v>5</v>
      </c>
      <c r="D31" s="45">
        <f>Water!D34</f>
        <v>2019</v>
      </c>
      <c r="E31" s="43">
        <f>Electricity!G35</f>
        <v>26760.000000002947</v>
      </c>
      <c r="F31" s="43">
        <f>Electricity!E35</f>
        <v>4320.0000000006185</v>
      </c>
      <c r="G31" s="43">
        <f>Electricity!F35</f>
        <v>22440.000000002328</v>
      </c>
      <c r="H31" s="47">
        <v>1553.67</v>
      </c>
      <c r="I31" s="57" t="s">
        <v>28</v>
      </c>
      <c r="J31" s="106">
        <f>Electricity!L35</f>
        <v>30673671.78240345</v>
      </c>
      <c r="K31" s="43">
        <f t="shared" si="0"/>
        <v>1146.2508139910342</v>
      </c>
      <c r="L31" s="43">
        <f>Water!G34</f>
        <v>245</v>
      </c>
      <c r="M31" s="58">
        <v>12550</v>
      </c>
      <c r="N31" s="106">
        <f>TOTAL!L31*TOTAL!M31</f>
        <v>3074750</v>
      </c>
      <c r="O31" s="43">
        <v>161</v>
      </c>
    </row>
    <row r="32" spans="1:15" s="43" customFormat="1" x14ac:dyDescent="0.25">
      <c r="A32" s="48" t="s">
        <v>44</v>
      </c>
      <c r="B32" s="45">
        <v>31</v>
      </c>
      <c r="C32" s="45">
        <v>5</v>
      </c>
      <c r="D32" s="45">
        <f>Water!D35</f>
        <v>2019</v>
      </c>
      <c r="E32" s="43">
        <f>Electricity!G36</f>
        <v>26519.999999998618</v>
      </c>
      <c r="F32" s="43">
        <f>Electricity!E36</f>
        <v>5239.9999999997817</v>
      </c>
      <c r="G32" s="43">
        <f>Electricity!F36</f>
        <v>21279.999999998836</v>
      </c>
      <c r="H32" s="47">
        <v>1553.67</v>
      </c>
      <c r="I32" s="57" t="s">
        <v>28</v>
      </c>
      <c r="J32" s="106">
        <f>Electricity!L36</f>
        <v>30907012.30079842</v>
      </c>
      <c r="K32" s="43">
        <f t="shared" si="0"/>
        <v>1165.4227866063361</v>
      </c>
      <c r="L32" s="43">
        <f>Water!G35</f>
        <v>312</v>
      </c>
      <c r="M32" s="58">
        <v>12550</v>
      </c>
      <c r="N32" s="106">
        <f>TOTAL!L32*TOTAL!M32</f>
        <v>3915600</v>
      </c>
      <c r="O32" s="43">
        <v>161</v>
      </c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tabSelected="1" view="pageBreakPreview" zoomScale="70" zoomScaleNormal="80" zoomScaleSheetLayoutView="70" workbookViewId="0">
      <pane ySplit="4" topLeftCell="A5" activePane="bottomLeft" state="frozen"/>
      <selection pane="bottomLeft" activeCell="I9" sqref="I9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18" t="s">
        <v>37</v>
      </c>
      <c r="C1" s="119"/>
      <c r="D1" s="119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0" t="s">
        <v>0</v>
      </c>
      <c r="C2" s="132" t="s">
        <v>33</v>
      </c>
      <c r="D2" s="123" t="s">
        <v>9</v>
      </c>
      <c r="E2" s="126" t="s">
        <v>38</v>
      </c>
      <c r="F2" s="127"/>
      <c r="G2" s="127"/>
      <c r="H2" s="127"/>
      <c r="I2" s="127"/>
      <c r="J2" s="127"/>
      <c r="K2" s="127"/>
      <c r="L2" s="128"/>
      <c r="M2" s="2"/>
      <c r="N2" s="2"/>
      <c r="O2" s="1"/>
      <c r="P2" s="1"/>
      <c r="Q2" s="1"/>
    </row>
    <row r="3" spans="2:17" s="23" customFormat="1" ht="25.5" customHeight="1" x14ac:dyDescent="0.25">
      <c r="B3" s="121"/>
      <c r="C3" s="133"/>
      <c r="D3" s="124"/>
      <c r="E3" s="20" t="s">
        <v>7</v>
      </c>
      <c r="F3" s="24" t="s">
        <v>13</v>
      </c>
      <c r="G3" s="24" t="s">
        <v>16</v>
      </c>
      <c r="H3" s="129" t="s">
        <v>17</v>
      </c>
      <c r="I3" s="130"/>
      <c r="J3" s="131"/>
      <c r="K3" s="114" t="s">
        <v>35</v>
      </c>
      <c r="L3" s="116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2"/>
      <c r="C4" s="52"/>
      <c r="D4" s="125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5"/>
      <c r="L4" s="117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43586</v>
      </c>
      <c r="C6" s="59">
        <v>161</v>
      </c>
      <c r="D6" s="87">
        <v>1035.78</v>
      </c>
      <c r="E6" s="113">
        <v>5159.9999999998545</v>
      </c>
      <c r="F6" s="113">
        <v>21640.000000003056</v>
      </c>
      <c r="G6" s="80">
        <f>F6+E6</f>
        <v>26800.00000000291</v>
      </c>
      <c r="H6" s="81">
        <f t="shared" ref="H6:H33" si="0">E6*1.5*D6</f>
        <v>8016937.1999997739</v>
      </c>
      <c r="I6" s="81">
        <f t="shared" ref="I6:I33" si="1">F6*D6</f>
        <v>22414279.200003166</v>
      </c>
      <c r="J6" s="81">
        <f t="shared" ref="J6:J30" si="2">I6+H6</f>
        <v>30431216.400002941</v>
      </c>
      <c r="K6" s="81">
        <f>J6*0.024</f>
        <v>730349.19360007066</v>
      </c>
      <c r="L6" s="104">
        <f>J6+K6</f>
        <v>31161565.593603011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43587</v>
      </c>
      <c r="C7" s="59">
        <v>161</v>
      </c>
      <c r="D7" s="87">
        <v>1035.78</v>
      </c>
      <c r="E7" s="113">
        <v>6320.0000000006185</v>
      </c>
      <c r="F7" s="113">
        <v>17879.999999997381</v>
      </c>
      <c r="G7" s="80">
        <f t="shared" ref="G7:G33" si="3">F7+E7</f>
        <v>24199.999999997999</v>
      </c>
      <c r="H7" s="81">
        <f t="shared" si="0"/>
        <v>9819194.4000009615</v>
      </c>
      <c r="I7" s="81">
        <f t="shared" si="1"/>
        <v>18519746.399997286</v>
      </c>
      <c r="J7" s="81">
        <f t="shared" si="2"/>
        <v>28338940.799998246</v>
      </c>
      <c r="K7" s="81">
        <f t="shared" ref="K7:K36" si="4">J7*0.024</f>
        <v>680134.57919995789</v>
      </c>
      <c r="L7" s="104">
        <f>J7+K7</f>
        <v>29019075.379198205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43588</v>
      </c>
      <c r="C8" s="59">
        <v>161</v>
      </c>
      <c r="D8" s="87">
        <v>1035.78</v>
      </c>
      <c r="E8" s="113">
        <v>3679.9999999993815</v>
      </c>
      <c r="F8" s="113">
        <v>25640.000000003056</v>
      </c>
      <c r="G8" s="80">
        <f t="shared" si="3"/>
        <v>29320.000000002437</v>
      </c>
      <c r="H8" s="81">
        <f t="shared" si="0"/>
        <v>5717505.5999990394</v>
      </c>
      <c r="I8" s="81">
        <f t="shared" si="1"/>
        <v>26557399.200003166</v>
      </c>
      <c r="J8" s="81">
        <f t="shared" si="2"/>
        <v>32274904.800002206</v>
      </c>
      <c r="K8" s="81">
        <f t="shared" si="4"/>
        <v>774597.71520005295</v>
      </c>
      <c r="L8" s="104">
        <f t="shared" ref="L8:L30" si="5">J8+K8</f>
        <v>33049502.515202258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43589</v>
      </c>
      <c r="C9" s="59">
        <v>161</v>
      </c>
      <c r="D9" s="87">
        <v>1035.78</v>
      </c>
      <c r="E9" s="113">
        <v>5079.9999999999272</v>
      </c>
      <c r="F9" s="113">
        <v>22039.999999997235</v>
      </c>
      <c r="G9" s="80">
        <f t="shared" si="3"/>
        <v>27119.999999997162</v>
      </c>
      <c r="H9" s="81">
        <f t="shared" si="0"/>
        <v>7892643.5999998869</v>
      </c>
      <c r="I9" s="81">
        <f t="shared" si="1"/>
        <v>22828591.199997135</v>
      </c>
      <c r="J9" s="81">
        <f t="shared" si="2"/>
        <v>30721234.799997021</v>
      </c>
      <c r="K9" s="81">
        <f t="shared" si="4"/>
        <v>737309.63519992854</v>
      </c>
      <c r="L9" s="104">
        <f t="shared" si="5"/>
        <v>31458544.435196947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43590</v>
      </c>
      <c r="C10" s="59">
        <v>161</v>
      </c>
      <c r="D10" s="87">
        <v>1035.78</v>
      </c>
      <c r="E10" s="113">
        <v>5560.0000000004002</v>
      </c>
      <c r="F10" s="113">
        <v>22360.000000000582</v>
      </c>
      <c r="G10" s="80">
        <f t="shared" si="3"/>
        <v>27920.000000000982</v>
      </c>
      <c r="H10" s="81">
        <f t="shared" si="0"/>
        <v>8638405.2000006214</v>
      </c>
      <c r="I10" s="81">
        <f t="shared" si="1"/>
        <v>23160040.800000601</v>
      </c>
      <c r="J10" s="81">
        <f t="shared" si="2"/>
        <v>31798446.000001222</v>
      </c>
      <c r="K10" s="81">
        <f t="shared" si="4"/>
        <v>763162.70400002936</v>
      </c>
      <c r="L10" s="104">
        <f t="shared" si="5"/>
        <v>32561608.704001252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43591</v>
      </c>
      <c r="C11" s="59">
        <v>161</v>
      </c>
      <c r="D11" s="87">
        <v>1035.78</v>
      </c>
      <c r="E11" s="113">
        <v>5279.9999999997453</v>
      </c>
      <c r="F11" s="113">
        <v>21799.999999999272</v>
      </c>
      <c r="G11" s="80">
        <f t="shared" si="3"/>
        <v>27079.999999999018</v>
      </c>
      <c r="H11" s="81">
        <f t="shared" si="0"/>
        <v>8203377.5999996038</v>
      </c>
      <c r="I11" s="81">
        <f t="shared" si="1"/>
        <v>22580003.999999247</v>
      </c>
      <c r="J11" s="81">
        <f t="shared" si="2"/>
        <v>30783381.59999885</v>
      </c>
      <c r="K11" s="81">
        <f t="shared" si="4"/>
        <v>738801.15839997237</v>
      </c>
      <c r="L11" s="104">
        <f t="shared" si="5"/>
        <v>31522182.758398823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43592</v>
      </c>
      <c r="C12" s="59">
        <v>161</v>
      </c>
      <c r="D12" s="87">
        <v>1035.78</v>
      </c>
      <c r="E12" s="113">
        <v>8640.0000000003274</v>
      </c>
      <c r="F12" s="113">
        <v>27800.00000000291</v>
      </c>
      <c r="G12" s="80">
        <f t="shared" si="3"/>
        <v>36440.000000003238</v>
      </c>
      <c r="H12" s="81">
        <f t="shared" si="0"/>
        <v>13423708.800000509</v>
      </c>
      <c r="I12" s="81">
        <f t="shared" si="1"/>
        <v>28794684.000003014</v>
      </c>
      <c r="J12" s="81">
        <f t="shared" si="2"/>
        <v>42218392.800003521</v>
      </c>
      <c r="K12" s="81">
        <f t="shared" si="4"/>
        <v>1013241.4272000846</v>
      </c>
      <c r="L12" s="104">
        <f t="shared" si="5"/>
        <v>43231634.227203608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43593</v>
      </c>
      <c r="C13" s="59">
        <v>161</v>
      </c>
      <c r="D13" s="87">
        <v>1035.78</v>
      </c>
      <c r="E13" s="113">
        <v>1679.9999999993815</v>
      </c>
      <c r="F13" s="113">
        <v>21319.999999999709</v>
      </c>
      <c r="G13" s="80">
        <f t="shared" si="3"/>
        <v>22999.999999999091</v>
      </c>
      <c r="H13" s="81">
        <f t="shared" si="0"/>
        <v>2610165.599999039</v>
      </c>
      <c r="I13" s="81">
        <f t="shared" si="1"/>
        <v>22082829.5999997</v>
      </c>
      <c r="J13" s="81">
        <f t="shared" si="2"/>
        <v>24692995.19999874</v>
      </c>
      <c r="K13" s="81">
        <f t="shared" si="4"/>
        <v>592631.88479996973</v>
      </c>
      <c r="L13" s="104">
        <f t="shared" si="5"/>
        <v>25285627.084798709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43594</v>
      </c>
      <c r="C14" s="59">
        <v>161</v>
      </c>
      <c r="D14" s="87">
        <v>1035.78</v>
      </c>
      <c r="E14" s="113">
        <v>4640.0000000003274</v>
      </c>
      <c r="F14" s="113">
        <v>16479.999999999563</v>
      </c>
      <c r="G14" s="80">
        <f t="shared" si="3"/>
        <v>21119.999999999891</v>
      </c>
      <c r="H14" s="81">
        <f t="shared" si="0"/>
        <v>7209028.8000005083</v>
      </c>
      <c r="I14" s="81">
        <f t="shared" si="1"/>
        <v>17069654.399999548</v>
      </c>
      <c r="J14" s="81">
        <f t="shared" si="2"/>
        <v>24278683.200000055</v>
      </c>
      <c r="K14" s="81">
        <f t="shared" si="4"/>
        <v>582688.39680000138</v>
      </c>
      <c r="L14" s="104">
        <f t="shared" si="5"/>
        <v>24861371.596800055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43595</v>
      </c>
      <c r="C15" s="59">
        <v>161</v>
      </c>
      <c r="D15" s="87">
        <v>1035.78</v>
      </c>
      <c r="E15" s="113">
        <v>4800.0000000001819</v>
      </c>
      <c r="F15" s="113">
        <v>21599.999999998545</v>
      </c>
      <c r="G15" s="80">
        <f t="shared" si="3"/>
        <v>26399.999999998727</v>
      </c>
      <c r="H15" s="81">
        <f t="shared" si="0"/>
        <v>7457616.0000002822</v>
      </c>
      <c r="I15" s="81">
        <f t="shared" si="1"/>
        <v>22372847.999998491</v>
      </c>
      <c r="J15" s="81">
        <f t="shared" si="2"/>
        <v>29830463.999998774</v>
      </c>
      <c r="K15" s="81">
        <f t="shared" si="4"/>
        <v>715931.1359999706</v>
      </c>
      <c r="L15" s="104">
        <f t="shared" si="5"/>
        <v>30546395.135998745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43596</v>
      </c>
      <c r="C16" s="59">
        <v>161</v>
      </c>
      <c r="D16" s="87">
        <v>1035.78</v>
      </c>
      <c r="E16" s="113">
        <v>4640.0000000003274</v>
      </c>
      <c r="F16" s="113">
        <v>21400.000000001455</v>
      </c>
      <c r="G16" s="80">
        <f t="shared" si="3"/>
        <v>26040.000000001783</v>
      </c>
      <c r="H16" s="81">
        <f t="shared" si="0"/>
        <v>7209028.8000005083</v>
      </c>
      <c r="I16" s="81">
        <f t="shared" si="1"/>
        <v>22165692.000001505</v>
      </c>
      <c r="J16" s="81">
        <f t="shared" si="2"/>
        <v>29374720.800002012</v>
      </c>
      <c r="K16" s="81">
        <f t="shared" si="4"/>
        <v>704993.29920004832</v>
      </c>
      <c r="L16" s="104">
        <f t="shared" si="5"/>
        <v>30079714.099202059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43597</v>
      </c>
      <c r="C17" s="59">
        <v>161</v>
      </c>
      <c r="D17" s="87">
        <v>1035.78</v>
      </c>
      <c r="E17" s="113">
        <v>4960.0000000000364</v>
      </c>
      <c r="F17" s="113">
        <v>21319.999999999709</v>
      </c>
      <c r="G17" s="80">
        <f t="shared" si="3"/>
        <v>26279.999999999745</v>
      </c>
      <c r="H17" s="81">
        <f t="shared" si="0"/>
        <v>7706203.2000000561</v>
      </c>
      <c r="I17" s="81">
        <f t="shared" si="1"/>
        <v>22082829.5999997</v>
      </c>
      <c r="J17" s="81">
        <f t="shared" si="2"/>
        <v>29789032.799999755</v>
      </c>
      <c r="K17" s="81">
        <f t="shared" si="4"/>
        <v>714936.78719999408</v>
      </c>
      <c r="L17" s="104">
        <f t="shared" si="5"/>
        <v>30503969.587199748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43598</v>
      </c>
      <c r="C18" s="59">
        <v>161</v>
      </c>
      <c r="D18" s="87">
        <v>1035.78</v>
      </c>
      <c r="E18" s="113">
        <v>5519.9999999995271</v>
      </c>
      <c r="F18" s="113">
        <v>21040.000000000873</v>
      </c>
      <c r="G18" s="80">
        <f t="shared" si="3"/>
        <v>26560.0000000004</v>
      </c>
      <c r="H18" s="81">
        <f t="shared" si="0"/>
        <v>8576258.3999992646</v>
      </c>
      <c r="I18" s="81">
        <f t="shared" si="1"/>
        <v>21792811.200000905</v>
      </c>
      <c r="J18" s="81">
        <f t="shared" si="2"/>
        <v>30369069.600000169</v>
      </c>
      <c r="K18" s="81">
        <f t="shared" si="4"/>
        <v>728857.67040000402</v>
      </c>
      <c r="L18" s="104">
        <f t="shared" si="5"/>
        <v>31097927.270400174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43599</v>
      </c>
      <c r="C19" s="59">
        <v>161</v>
      </c>
      <c r="D19" s="87">
        <v>1035.78</v>
      </c>
      <c r="E19" s="113">
        <v>5680.000000000291</v>
      </c>
      <c r="F19" s="113">
        <v>17359.999999996944</v>
      </c>
      <c r="G19" s="80">
        <f t="shared" si="3"/>
        <v>23039.999999997235</v>
      </c>
      <c r="H19" s="81">
        <f t="shared" si="0"/>
        <v>8824845.6000004523</v>
      </c>
      <c r="I19" s="81">
        <f t="shared" si="1"/>
        <v>17981140.799996834</v>
      </c>
      <c r="J19" s="81">
        <f t="shared" si="2"/>
        <v>26805986.399997286</v>
      </c>
      <c r="K19" s="81">
        <f t="shared" si="4"/>
        <v>643343.6735999349</v>
      </c>
      <c r="L19" s="104">
        <f t="shared" si="5"/>
        <v>27449330.073597223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43600</v>
      </c>
      <c r="C20" s="59">
        <v>161</v>
      </c>
      <c r="D20" s="87">
        <v>1035.78</v>
      </c>
      <c r="E20" s="113">
        <v>880.00000000010914</v>
      </c>
      <c r="F20" s="113">
        <v>22240.000000001601</v>
      </c>
      <c r="G20" s="80">
        <f t="shared" si="3"/>
        <v>23120.00000000171</v>
      </c>
      <c r="H20" s="81">
        <f t="shared" si="0"/>
        <v>1367229.6000001696</v>
      </c>
      <c r="I20" s="81">
        <f t="shared" si="1"/>
        <v>23035747.200001657</v>
      </c>
      <c r="J20" s="81">
        <f t="shared" si="2"/>
        <v>24402976.800001826</v>
      </c>
      <c r="K20" s="81">
        <f t="shared" si="4"/>
        <v>585671.44320004387</v>
      </c>
      <c r="L20" s="104">
        <f t="shared" si="5"/>
        <v>24988648.24320187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43601</v>
      </c>
      <c r="C21" s="59">
        <v>161</v>
      </c>
      <c r="D21" s="87">
        <v>1035.78</v>
      </c>
      <c r="E21" s="113">
        <v>8239.9999999997817</v>
      </c>
      <c r="F21" s="113">
        <v>25720.000000001164</v>
      </c>
      <c r="G21" s="80">
        <f t="shared" si="3"/>
        <v>33960.000000000946</v>
      </c>
      <c r="H21" s="81">
        <f t="shared" si="0"/>
        <v>12802240.79999966</v>
      </c>
      <c r="I21" s="81">
        <f t="shared" si="1"/>
        <v>26640261.600001205</v>
      </c>
      <c r="J21" s="81">
        <f t="shared" si="2"/>
        <v>39442502.400000863</v>
      </c>
      <c r="K21" s="81">
        <f t="shared" si="4"/>
        <v>946620.05760002078</v>
      </c>
      <c r="L21" s="104">
        <f t="shared" si="5"/>
        <v>40389122.457600884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43602</v>
      </c>
      <c r="C22" s="59">
        <v>161</v>
      </c>
      <c r="D22" s="87">
        <v>1035.78</v>
      </c>
      <c r="E22" s="113">
        <v>5439.9999999995998</v>
      </c>
      <c r="F22" s="113">
        <v>21759.999999998399</v>
      </c>
      <c r="G22" s="80">
        <f t="shared" si="3"/>
        <v>27199.999999997999</v>
      </c>
      <c r="H22" s="81">
        <f t="shared" si="0"/>
        <v>8451964.7999993786</v>
      </c>
      <c r="I22" s="81">
        <f t="shared" si="1"/>
        <v>22538572.799998343</v>
      </c>
      <c r="J22" s="81">
        <f t="shared" si="2"/>
        <v>30990537.599997722</v>
      </c>
      <c r="K22" s="81">
        <f t="shared" si="4"/>
        <v>743772.90239994531</v>
      </c>
      <c r="L22" s="104">
        <f t="shared" si="5"/>
        <v>31734310.502397668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43603</v>
      </c>
      <c r="C23" s="59">
        <v>161</v>
      </c>
      <c r="D23" s="87">
        <v>1035.78</v>
      </c>
      <c r="E23" s="113">
        <v>4440.0000000005093</v>
      </c>
      <c r="F23" s="113">
        <v>21720.000000001164</v>
      </c>
      <c r="G23" s="80">
        <f t="shared" si="3"/>
        <v>26160.000000001673</v>
      </c>
      <c r="H23" s="81">
        <f t="shared" si="0"/>
        <v>6898294.8000007914</v>
      </c>
      <c r="I23" s="81">
        <f t="shared" si="1"/>
        <v>22497141.600001205</v>
      </c>
      <c r="J23" s="81">
        <f t="shared" si="2"/>
        <v>29395436.400001995</v>
      </c>
      <c r="K23" s="81">
        <f t="shared" si="4"/>
        <v>705490.47360004787</v>
      </c>
      <c r="L23" s="104">
        <f t="shared" si="5"/>
        <v>30100926.873602044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43604</v>
      </c>
      <c r="C24" s="59">
        <v>161</v>
      </c>
      <c r="D24" s="87">
        <v>1035.78</v>
      </c>
      <c r="E24" s="113">
        <v>5239.9999999997817</v>
      </c>
      <c r="F24" s="113">
        <v>22200.000000000728</v>
      </c>
      <c r="G24" s="80">
        <f t="shared" si="3"/>
        <v>27440.000000000509</v>
      </c>
      <c r="H24" s="81">
        <f t="shared" si="0"/>
        <v>8141230.7999996608</v>
      </c>
      <c r="I24" s="81">
        <f t="shared" si="1"/>
        <v>22994316.000000753</v>
      </c>
      <c r="J24" s="81">
        <f t="shared" si="2"/>
        <v>31135546.800000414</v>
      </c>
      <c r="K24" s="81">
        <f t="shared" si="4"/>
        <v>747253.12320000993</v>
      </c>
      <c r="L24" s="104">
        <f t="shared" si="5"/>
        <v>31882799.923200425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43605</v>
      </c>
      <c r="C25" s="59">
        <v>161</v>
      </c>
      <c r="D25" s="87">
        <v>1035.78</v>
      </c>
      <c r="E25" s="113">
        <v>5279.9999999997453</v>
      </c>
      <c r="F25" s="113">
        <v>22479.999999999563</v>
      </c>
      <c r="G25" s="80">
        <f t="shared" si="3"/>
        <v>27759.999999999309</v>
      </c>
      <c r="H25" s="81">
        <f t="shared" si="0"/>
        <v>8203377.5999996038</v>
      </c>
      <c r="I25" s="81">
        <f t="shared" si="1"/>
        <v>23284334.399999548</v>
      </c>
      <c r="J25" s="81">
        <f t="shared" si="2"/>
        <v>31487711.999999151</v>
      </c>
      <c r="K25" s="81">
        <f t="shared" si="4"/>
        <v>755705.08799997962</v>
      </c>
      <c r="L25" s="104">
        <f t="shared" si="5"/>
        <v>32243417.087999132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43606</v>
      </c>
      <c r="C26" s="59">
        <v>161</v>
      </c>
      <c r="D26" s="87">
        <v>1035.78</v>
      </c>
      <c r="E26" s="113">
        <v>5640.0000000003274</v>
      </c>
      <c r="F26" s="113">
        <v>22959.999999999127</v>
      </c>
      <c r="G26" s="80">
        <f t="shared" si="3"/>
        <v>28599.999999999454</v>
      </c>
      <c r="H26" s="81">
        <f t="shared" si="0"/>
        <v>8762698.8000005092</v>
      </c>
      <c r="I26" s="81">
        <f t="shared" si="1"/>
        <v>23781508.799999095</v>
      </c>
      <c r="J26" s="81">
        <f t="shared" si="2"/>
        <v>32544207.599999607</v>
      </c>
      <c r="K26" s="81">
        <f t="shared" si="4"/>
        <v>781060.98239999055</v>
      </c>
      <c r="L26" s="104">
        <f>J26+K26</f>
        <v>33325268.582399596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43607</v>
      </c>
      <c r="C27" s="59">
        <v>161</v>
      </c>
      <c r="D27" s="87">
        <v>1035.78</v>
      </c>
      <c r="E27" s="113">
        <v>5239.9999999997817</v>
      </c>
      <c r="F27" s="113">
        <v>23799.999999999272</v>
      </c>
      <c r="G27" s="80">
        <f t="shared" si="3"/>
        <v>29039.999999999054</v>
      </c>
      <c r="H27" s="81">
        <f t="shared" si="0"/>
        <v>8141230.7999996608</v>
      </c>
      <c r="I27" s="81">
        <f t="shared" si="1"/>
        <v>24651563.999999247</v>
      </c>
      <c r="J27" s="81">
        <f t="shared" si="2"/>
        <v>32792794.799998909</v>
      </c>
      <c r="K27" s="81">
        <f t="shared" si="4"/>
        <v>787027.07519997389</v>
      </c>
      <c r="L27" s="104">
        <f t="shared" si="5"/>
        <v>33579821.875198886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43608</v>
      </c>
      <c r="C28" s="59">
        <v>161</v>
      </c>
      <c r="D28" s="87">
        <v>1035.78</v>
      </c>
      <c r="E28" s="113">
        <v>4600.0000000003638</v>
      </c>
      <c r="F28" s="113">
        <v>22000</v>
      </c>
      <c r="G28" s="80">
        <f t="shared" si="3"/>
        <v>26600.000000000364</v>
      </c>
      <c r="H28" s="81">
        <f t="shared" si="0"/>
        <v>7146882.0000005653</v>
      </c>
      <c r="I28" s="81">
        <f t="shared" si="1"/>
        <v>22787160</v>
      </c>
      <c r="J28" s="81">
        <f t="shared" si="2"/>
        <v>29934042.000000566</v>
      </c>
      <c r="K28" s="81">
        <f t="shared" si="4"/>
        <v>718417.00800001365</v>
      </c>
      <c r="L28" s="104">
        <f t="shared" si="5"/>
        <v>30652459.008000579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43609</v>
      </c>
      <c r="C29" s="59">
        <v>161</v>
      </c>
      <c r="D29" s="87">
        <v>1035.78</v>
      </c>
      <c r="E29" s="113">
        <v>5599.9999999994543</v>
      </c>
      <c r="F29" s="113">
        <v>22319.999999999709</v>
      </c>
      <c r="G29" s="80">
        <f t="shared" si="3"/>
        <v>27919.999999999163</v>
      </c>
      <c r="H29" s="81">
        <f t="shared" si="0"/>
        <v>8700551.9999991525</v>
      </c>
      <c r="I29" s="81">
        <f t="shared" si="1"/>
        <v>23118609.5999997</v>
      </c>
      <c r="J29" s="81">
        <f t="shared" si="2"/>
        <v>31819161.599998854</v>
      </c>
      <c r="K29" s="81">
        <f t="shared" si="4"/>
        <v>763659.87839997257</v>
      </c>
      <c r="L29" s="104">
        <f t="shared" si="5"/>
        <v>32582821.478398826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43610</v>
      </c>
      <c r="C30" s="59">
        <v>161</v>
      </c>
      <c r="D30" s="87">
        <v>1035.78</v>
      </c>
      <c r="E30" s="113">
        <v>4960.0000000000364</v>
      </c>
      <c r="F30" s="113">
        <v>21560.00000000131</v>
      </c>
      <c r="G30" s="80">
        <f t="shared" si="3"/>
        <v>26520.000000001346</v>
      </c>
      <c r="H30" s="81">
        <f t="shared" si="0"/>
        <v>7706203.2000000561</v>
      </c>
      <c r="I30" s="81">
        <f t="shared" si="1"/>
        <v>22331416.800001357</v>
      </c>
      <c r="J30" s="81">
        <f t="shared" si="2"/>
        <v>30037620.000001412</v>
      </c>
      <c r="K30" s="81">
        <f t="shared" si="4"/>
        <v>720902.88000003388</v>
      </c>
      <c r="L30" s="104">
        <f t="shared" si="5"/>
        <v>30758522.880001444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43611</v>
      </c>
      <c r="C31" s="59">
        <v>161</v>
      </c>
      <c r="D31" s="87">
        <v>1035.78</v>
      </c>
      <c r="E31" s="113">
        <v>4360.0000000005821</v>
      </c>
      <c r="F31" s="113">
        <v>21279.999999998836</v>
      </c>
      <c r="G31" s="80">
        <f t="shared" si="3"/>
        <v>25639.999999999418</v>
      </c>
      <c r="H31" s="81">
        <f t="shared" si="0"/>
        <v>6774001.2000009045</v>
      </c>
      <c r="I31" s="81">
        <f t="shared" si="1"/>
        <v>22041398.399998795</v>
      </c>
      <c r="J31" s="81">
        <f t="shared" ref="J31:J33" si="6">I31+H31</f>
        <v>28815399.5999997</v>
      </c>
      <c r="K31" s="81">
        <f t="shared" si="4"/>
        <v>691569.59039999277</v>
      </c>
      <c r="L31" s="104">
        <f t="shared" ref="L31:L33" si="7">J31+K31</f>
        <v>29506969.190399691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43612</v>
      </c>
      <c r="C32" s="59">
        <v>161</v>
      </c>
      <c r="D32" s="87">
        <v>1035.78</v>
      </c>
      <c r="E32" s="113">
        <v>5839.999999999236</v>
      </c>
      <c r="F32" s="113">
        <v>22000</v>
      </c>
      <c r="G32" s="80">
        <f t="shared" si="3"/>
        <v>27839.999999999236</v>
      </c>
      <c r="H32" s="81">
        <f t="shared" si="0"/>
        <v>9073432.7999988124</v>
      </c>
      <c r="I32" s="81">
        <f t="shared" si="1"/>
        <v>22787160</v>
      </c>
      <c r="J32" s="81">
        <f t="shared" si="6"/>
        <v>31860592.799998812</v>
      </c>
      <c r="K32" s="81">
        <f t="shared" si="4"/>
        <v>764654.22719997156</v>
      </c>
      <c r="L32" s="104">
        <f t="shared" si="7"/>
        <v>32625247.027198784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43613</v>
      </c>
      <c r="C33" s="59">
        <v>161</v>
      </c>
      <c r="D33" s="87">
        <v>1035.78</v>
      </c>
      <c r="E33" s="113">
        <v>4720.0000000002547</v>
      </c>
      <c r="F33" s="113">
        <v>21680.000000000291</v>
      </c>
      <c r="G33" s="80">
        <f t="shared" si="3"/>
        <v>26400.000000000546</v>
      </c>
      <c r="H33" s="81">
        <f t="shared" si="0"/>
        <v>7333322.4000003953</v>
      </c>
      <c r="I33" s="81">
        <f t="shared" si="1"/>
        <v>22455710.4000003</v>
      </c>
      <c r="J33" s="81">
        <f t="shared" si="6"/>
        <v>29789032.800000697</v>
      </c>
      <c r="K33" s="81">
        <f t="shared" si="4"/>
        <v>714936.78720001678</v>
      </c>
      <c r="L33" s="104">
        <f t="shared" si="7"/>
        <v>30503969.587200712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43614</v>
      </c>
      <c r="C34" s="59">
        <v>161</v>
      </c>
      <c r="D34" s="87">
        <v>1035.78</v>
      </c>
      <c r="E34" s="113">
        <v>5039.9999999999636</v>
      </c>
      <c r="F34" s="113">
        <v>21799.999999999272</v>
      </c>
      <c r="G34" s="80">
        <f t="shared" ref="G34" si="8">F34+E34</f>
        <v>26839.999999999236</v>
      </c>
      <c r="H34" s="81">
        <f t="shared" ref="H34" si="9">E34*1.5*D34</f>
        <v>7830496.799999943</v>
      </c>
      <c r="I34" s="81">
        <f t="shared" ref="I34" si="10">F34*D34</f>
        <v>22580003.999999247</v>
      </c>
      <c r="J34" s="81">
        <f t="shared" ref="J34" si="11">I34+H34</f>
        <v>30410500.799999192</v>
      </c>
      <c r="K34" s="81">
        <f t="shared" si="4"/>
        <v>729852.01919998066</v>
      </c>
      <c r="L34" s="104">
        <f t="shared" ref="L34" si="12">J34+K34</f>
        <v>31140352.819199175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43615</v>
      </c>
      <c r="C35" s="59">
        <v>161</v>
      </c>
      <c r="D35" s="87">
        <v>1035.78</v>
      </c>
      <c r="E35" s="113">
        <v>4320.0000000006185</v>
      </c>
      <c r="F35" s="113">
        <v>22440.000000002328</v>
      </c>
      <c r="G35" s="80">
        <f t="shared" ref="G35:G36" si="13">F35+E35</f>
        <v>26760.000000002947</v>
      </c>
      <c r="H35" s="81">
        <f t="shared" ref="H35:H36" si="14">E35*1.5*D35</f>
        <v>6711854.4000009606</v>
      </c>
      <c r="I35" s="81">
        <f t="shared" ref="I35:I36" si="15">F35*D35</f>
        <v>23242903.20000241</v>
      </c>
      <c r="J35" s="81">
        <f t="shared" ref="J35:J36" si="16">I35+H35</f>
        <v>29954757.600003369</v>
      </c>
      <c r="K35" s="81">
        <f t="shared" si="4"/>
        <v>718914.18240008084</v>
      </c>
      <c r="L35" s="104">
        <f t="shared" ref="L35:L36" si="17">J35+K35</f>
        <v>30673671.78240345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43616</v>
      </c>
      <c r="C36" s="59">
        <v>161</v>
      </c>
      <c r="D36" s="87">
        <v>1035.78</v>
      </c>
      <c r="E36" s="113">
        <v>5239.9999999997817</v>
      </c>
      <c r="F36" s="113">
        <v>21279.999999998836</v>
      </c>
      <c r="G36" s="80">
        <f t="shared" si="13"/>
        <v>26519.999999998618</v>
      </c>
      <c r="H36" s="81">
        <f t="shared" si="14"/>
        <v>8141230.7999996608</v>
      </c>
      <c r="I36" s="81">
        <f t="shared" si="15"/>
        <v>22041398.399998795</v>
      </c>
      <c r="J36" s="81">
        <f t="shared" si="16"/>
        <v>30182629.199998457</v>
      </c>
      <c r="K36" s="81">
        <f t="shared" si="4"/>
        <v>724383.10079996299</v>
      </c>
      <c r="L36" s="104">
        <f t="shared" si="17"/>
        <v>30907012.30079842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4508</v>
      </c>
      <c r="D37" s="88"/>
      <c r="E37" s="82">
        <f t="shared" ref="E37:L37" si="18">SUM(E6:E36)</f>
        <v>156720.00000000023</v>
      </c>
      <c r="F37" s="82">
        <f t="shared" si="18"/>
        <v>678920.00000000186</v>
      </c>
      <c r="G37" s="82">
        <f t="shared" si="18"/>
        <v>835640.00000000221</v>
      </c>
      <c r="H37" s="82">
        <f t="shared" si="18"/>
        <v>243491162.40000042</v>
      </c>
      <c r="I37" s="82">
        <f t="shared" si="18"/>
        <v>703211757.60000217</v>
      </c>
      <c r="J37" s="82">
        <f t="shared" si="18"/>
        <v>946702920.00000226</v>
      </c>
      <c r="K37" s="82">
        <f t="shared" si="18"/>
        <v>22720870.080000058</v>
      </c>
      <c r="L37" s="82">
        <f t="shared" si="18"/>
        <v>969423790.08000231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G40" sqref="G40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4" t="s">
        <v>3</v>
      </c>
      <c r="C1" s="134"/>
      <c r="D1" s="134"/>
      <c r="E1" s="134"/>
      <c r="F1" s="134"/>
      <c r="G1" s="134"/>
    </row>
    <row r="2" spans="1:43" ht="15" customHeight="1" x14ac:dyDescent="0.25">
      <c r="B2" s="134"/>
      <c r="C2" s="134"/>
      <c r="D2" s="134"/>
      <c r="E2" s="134"/>
      <c r="F2" s="134"/>
      <c r="G2" s="134"/>
    </row>
    <row r="3" spans="1:43" s="63" customFormat="1" ht="27" customHeight="1" x14ac:dyDescent="0.3">
      <c r="A3" s="61"/>
      <c r="B3" s="135" t="s">
        <v>0</v>
      </c>
      <c r="C3" s="135" t="s">
        <v>22</v>
      </c>
      <c r="D3" s="136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5"/>
      <c r="C4" s="135"/>
      <c r="D4" s="137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5</v>
      </c>
      <c r="D5" s="78">
        <v>2019</v>
      </c>
      <c r="E5" s="108">
        <v>46</v>
      </c>
      <c r="F5" s="108">
        <v>207</v>
      </c>
      <c r="G5" s="56">
        <f>E5+F5</f>
        <v>253</v>
      </c>
    </row>
    <row r="6" spans="1:43" ht="15.75" x14ac:dyDescent="0.25">
      <c r="B6" s="78">
        <v>2</v>
      </c>
      <c r="C6" s="78">
        <v>5</v>
      </c>
      <c r="D6" s="78">
        <f>D5</f>
        <v>2019</v>
      </c>
      <c r="E6" s="108">
        <v>74</v>
      </c>
      <c r="F6" s="108">
        <v>305</v>
      </c>
      <c r="G6" s="56">
        <f t="shared" ref="G6:G34" si="0">E6+F6</f>
        <v>379</v>
      </c>
    </row>
    <row r="7" spans="1:43" ht="15.75" x14ac:dyDescent="0.25">
      <c r="B7" s="78">
        <v>3</v>
      </c>
      <c r="C7" s="78">
        <v>5</v>
      </c>
      <c r="D7" s="78">
        <f t="shared" ref="D7:D35" si="1">D6</f>
        <v>2019</v>
      </c>
      <c r="E7" s="108">
        <v>70</v>
      </c>
      <c r="F7" s="108">
        <v>299</v>
      </c>
      <c r="G7" s="56">
        <f t="shared" si="0"/>
        <v>369</v>
      </c>
    </row>
    <row r="8" spans="1:43" ht="15.75" x14ac:dyDescent="0.25">
      <c r="B8" s="78">
        <v>4</v>
      </c>
      <c r="C8" s="78">
        <v>5</v>
      </c>
      <c r="D8" s="78">
        <f t="shared" si="1"/>
        <v>2019</v>
      </c>
      <c r="E8" s="108">
        <v>44</v>
      </c>
      <c r="F8" s="108">
        <v>195</v>
      </c>
      <c r="G8" s="56">
        <f t="shared" si="0"/>
        <v>239</v>
      </c>
    </row>
    <row r="9" spans="1:43" ht="15.75" x14ac:dyDescent="0.25">
      <c r="B9" s="78">
        <v>5</v>
      </c>
      <c r="C9" s="78">
        <v>5</v>
      </c>
      <c r="D9" s="78">
        <f t="shared" si="1"/>
        <v>2019</v>
      </c>
      <c r="E9" s="109">
        <v>44</v>
      </c>
      <c r="F9" s="109">
        <v>195</v>
      </c>
      <c r="G9" s="56">
        <f t="shared" si="0"/>
        <v>239</v>
      </c>
    </row>
    <row r="10" spans="1:43" ht="15.75" x14ac:dyDescent="0.25">
      <c r="B10" s="78">
        <v>6</v>
      </c>
      <c r="C10" s="78">
        <v>5</v>
      </c>
      <c r="D10" s="78">
        <f t="shared" si="1"/>
        <v>2019</v>
      </c>
      <c r="E10" s="108">
        <v>65</v>
      </c>
      <c r="F10" s="108">
        <v>279</v>
      </c>
      <c r="G10" s="56">
        <f t="shared" si="0"/>
        <v>344</v>
      </c>
    </row>
    <row r="11" spans="1:43" ht="15.75" x14ac:dyDescent="0.25">
      <c r="B11" s="78">
        <v>7</v>
      </c>
      <c r="C11" s="78">
        <v>5</v>
      </c>
      <c r="D11" s="78">
        <f t="shared" si="1"/>
        <v>2019</v>
      </c>
      <c r="E11" s="108">
        <v>70</v>
      </c>
      <c r="F11" s="108">
        <v>371</v>
      </c>
      <c r="G11" s="56">
        <f t="shared" si="0"/>
        <v>441</v>
      </c>
    </row>
    <row r="12" spans="1:43" ht="15.75" x14ac:dyDescent="0.25">
      <c r="B12" s="78">
        <v>8</v>
      </c>
      <c r="C12" s="78">
        <v>5</v>
      </c>
      <c r="D12" s="78">
        <f t="shared" si="1"/>
        <v>2019</v>
      </c>
      <c r="E12" s="108">
        <v>45</v>
      </c>
      <c r="F12" s="108">
        <v>199</v>
      </c>
      <c r="G12" s="56">
        <f t="shared" si="0"/>
        <v>244</v>
      </c>
    </row>
    <row r="13" spans="1:43" ht="15.75" x14ac:dyDescent="0.25">
      <c r="B13" s="78">
        <v>9</v>
      </c>
      <c r="C13" s="78">
        <v>5</v>
      </c>
      <c r="D13" s="78">
        <f t="shared" si="1"/>
        <v>2019</v>
      </c>
      <c r="E13" s="108">
        <v>45</v>
      </c>
      <c r="F13" s="108">
        <v>199</v>
      </c>
      <c r="G13" s="56">
        <f t="shared" si="0"/>
        <v>244</v>
      </c>
    </row>
    <row r="14" spans="1:43" ht="15.75" x14ac:dyDescent="0.25">
      <c r="B14" s="78">
        <v>10</v>
      </c>
      <c r="C14" s="78">
        <v>5</v>
      </c>
      <c r="D14" s="78">
        <f t="shared" si="1"/>
        <v>2019</v>
      </c>
      <c r="E14" s="108">
        <v>84</v>
      </c>
      <c r="F14" s="108">
        <v>345</v>
      </c>
      <c r="G14" s="56">
        <f t="shared" si="0"/>
        <v>429</v>
      </c>
    </row>
    <row r="15" spans="1:43" ht="15.75" x14ac:dyDescent="0.25">
      <c r="B15" s="78">
        <v>11</v>
      </c>
      <c r="C15" s="78">
        <v>5</v>
      </c>
      <c r="D15" s="78">
        <f t="shared" si="1"/>
        <v>2019</v>
      </c>
      <c r="E15" s="108">
        <v>58</v>
      </c>
      <c r="F15" s="109">
        <v>241</v>
      </c>
      <c r="G15" s="56">
        <f t="shared" si="0"/>
        <v>299</v>
      </c>
    </row>
    <row r="16" spans="1:43" ht="15.75" x14ac:dyDescent="0.25">
      <c r="B16" s="78">
        <v>12</v>
      </c>
      <c r="C16" s="78">
        <v>5</v>
      </c>
      <c r="D16" s="78">
        <f t="shared" si="1"/>
        <v>2019</v>
      </c>
      <c r="E16" s="109">
        <v>42</v>
      </c>
      <c r="F16" s="109">
        <v>173</v>
      </c>
      <c r="G16" s="56">
        <f t="shared" si="0"/>
        <v>215</v>
      </c>
    </row>
    <row r="17" spans="2:7" ht="15.75" x14ac:dyDescent="0.25">
      <c r="B17" s="78">
        <v>13</v>
      </c>
      <c r="C17" s="78">
        <v>5</v>
      </c>
      <c r="D17" s="78">
        <f t="shared" si="1"/>
        <v>2019</v>
      </c>
      <c r="E17" s="108">
        <v>48</v>
      </c>
      <c r="F17" s="109">
        <v>185</v>
      </c>
      <c r="G17" s="56">
        <f t="shared" si="0"/>
        <v>233</v>
      </c>
    </row>
    <row r="18" spans="2:7" ht="15.75" x14ac:dyDescent="0.25">
      <c r="B18" s="78">
        <v>14</v>
      </c>
      <c r="C18" s="78">
        <v>5</v>
      </c>
      <c r="D18" s="78">
        <f t="shared" si="1"/>
        <v>2019</v>
      </c>
      <c r="E18" s="108">
        <v>74</v>
      </c>
      <c r="F18" s="108">
        <v>322</v>
      </c>
      <c r="G18" s="56">
        <f t="shared" si="0"/>
        <v>396</v>
      </c>
    </row>
    <row r="19" spans="2:7" ht="15.75" x14ac:dyDescent="0.25">
      <c r="B19" s="78">
        <v>15</v>
      </c>
      <c r="C19" s="78">
        <v>5</v>
      </c>
      <c r="D19" s="78">
        <f t="shared" si="1"/>
        <v>2019</v>
      </c>
      <c r="E19" s="108">
        <v>70</v>
      </c>
      <c r="F19" s="108">
        <v>265</v>
      </c>
      <c r="G19" s="56">
        <f t="shared" si="0"/>
        <v>335</v>
      </c>
    </row>
    <row r="20" spans="2:7" ht="15.75" x14ac:dyDescent="0.25">
      <c r="B20" s="78">
        <v>16</v>
      </c>
      <c r="C20" s="78">
        <v>5</v>
      </c>
      <c r="D20" s="78">
        <f t="shared" si="1"/>
        <v>2019</v>
      </c>
      <c r="E20" s="108">
        <v>47</v>
      </c>
      <c r="F20" s="108">
        <v>191</v>
      </c>
      <c r="G20" s="56">
        <f t="shared" si="0"/>
        <v>238</v>
      </c>
    </row>
    <row r="21" spans="2:7" ht="15.75" x14ac:dyDescent="0.25">
      <c r="B21" s="78">
        <v>17</v>
      </c>
      <c r="C21" s="78">
        <v>5</v>
      </c>
      <c r="D21" s="78">
        <f t="shared" si="1"/>
        <v>2019</v>
      </c>
      <c r="E21" s="108">
        <v>47</v>
      </c>
      <c r="F21" s="108">
        <v>191</v>
      </c>
      <c r="G21" s="56">
        <f t="shared" si="0"/>
        <v>238</v>
      </c>
    </row>
    <row r="22" spans="2:7" ht="15.75" x14ac:dyDescent="0.25">
      <c r="B22" s="78">
        <v>18</v>
      </c>
      <c r="C22" s="78">
        <v>5</v>
      </c>
      <c r="D22" s="78">
        <f t="shared" si="1"/>
        <v>2019</v>
      </c>
      <c r="E22" s="108">
        <v>82</v>
      </c>
      <c r="F22" s="108">
        <v>338</v>
      </c>
      <c r="G22" s="56">
        <f t="shared" si="0"/>
        <v>420</v>
      </c>
    </row>
    <row r="23" spans="2:7" ht="15.75" x14ac:dyDescent="0.25">
      <c r="B23" s="78">
        <v>19</v>
      </c>
      <c r="C23" s="78">
        <v>5</v>
      </c>
      <c r="D23" s="78">
        <f t="shared" si="1"/>
        <v>2019</v>
      </c>
      <c r="E23" s="109">
        <v>52</v>
      </c>
      <c r="F23" s="109">
        <v>217</v>
      </c>
      <c r="G23" s="56">
        <f t="shared" si="0"/>
        <v>269</v>
      </c>
    </row>
    <row r="24" spans="2:7" ht="15.75" x14ac:dyDescent="0.25">
      <c r="B24" s="78">
        <v>20</v>
      </c>
      <c r="C24" s="78">
        <v>5</v>
      </c>
      <c r="D24" s="78">
        <f t="shared" si="1"/>
        <v>2019</v>
      </c>
      <c r="E24" s="108">
        <v>45</v>
      </c>
      <c r="F24" s="108">
        <v>181</v>
      </c>
      <c r="G24" s="56">
        <f t="shared" si="0"/>
        <v>226</v>
      </c>
    </row>
    <row r="25" spans="2:7" ht="15.75" x14ac:dyDescent="0.25">
      <c r="B25" s="78">
        <v>21</v>
      </c>
      <c r="C25" s="78">
        <v>5</v>
      </c>
      <c r="D25" s="78">
        <f t="shared" si="1"/>
        <v>2019</v>
      </c>
      <c r="E25" s="108">
        <v>62</v>
      </c>
      <c r="F25" s="108">
        <v>252</v>
      </c>
      <c r="G25" s="56">
        <f t="shared" si="0"/>
        <v>314</v>
      </c>
    </row>
    <row r="26" spans="2:7" ht="15.75" x14ac:dyDescent="0.25">
      <c r="B26" s="78">
        <v>22</v>
      </c>
      <c r="C26" s="78">
        <v>5</v>
      </c>
      <c r="D26" s="78">
        <f t="shared" si="1"/>
        <v>2019</v>
      </c>
      <c r="E26" s="108">
        <v>78</v>
      </c>
      <c r="F26" s="108">
        <v>323</v>
      </c>
      <c r="G26" s="56">
        <f t="shared" si="0"/>
        <v>401</v>
      </c>
    </row>
    <row r="27" spans="2:7" ht="15.75" x14ac:dyDescent="0.25">
      <c r="B27" s="78">
        <v>23</v>
      </c>
      <c r="C27" s="78">
        <v>5</v>
      </c>
      <c r="D27" s="78">
        <f t="shared" si="1"/>
        <v>2019</v>
      </c>
      <c r="E27" s="108">
        <v>48</v>
      </c>
      <c r="F27" s="108">
        <v>197</v>
      </c>
      <c r="G27" s="56">
        <f t="shared" si="0"/>
        <v>245</v>
      </c>
    </row>
    <row r="28" spans="2:7" ht="15.75" x14ac:dyDescent="0.25">
      <c r="B28" s="78">
        <v>24</v>
      </c>
      <c r="C28" s="78">
        <v>5</v>
      </c>
      <c r="D28" s="78">
        <f t="shared" si="1"/>
        <v>2019</v>
      </c>
      <c r="E28" s="108">
        <v>43</v>
      </c>
      <c r="F28" s="108">
        <v>184</v>
      </c>
      <c r="G28" s="56">
        <f t="shared" si="0"/>
        <v>227</v>
      </c>
    </row>
    <row r="29" spans="2:7" ht="15.75" x14ac:dyDescent="0.25">
      <c r="B29" s="78">
        <v>25</v>
      </c>
      <c r="C29" s="78">
        <v>5</v>
      </c>
      <c r="D29" s="78">
        <f t="shared" si="1"/>
        <v>2019</v>
      </c>
      <c r="E29" s="108">
        <v>79</v>
      </c>
      <c r="F29" s="108">
        <v>326</v>
      </c>
      <c r="G29" s="56">
        <f t="shared" si="0"/>
        <v>405</v>
      </c>
    </row>
    <row r="30" spans="2:7" ht="15.75" x14ac:dyDescent="0.25">
      <c r="B30" s="78">
        <v>26</v>
      </c>
      <c r="C30" s="78">
        <v>5</v>
      </c>
      <c r="D30" s="78">
        <f t="shared" si="1"/>
        <v>2019</v>
      </c>
      <c r="E30" s="109">
        <v>58</v>
      </c>
      <c r="F30" s="109">
        <v>233</v>
      </c>
      <c r="G30" s="56">
        <f t="shared" si="0"/>
        <v>291</v>
      </c>
    </row>
    <row r="31" spans="2:7" ht="15.75" x14ac:dyDescent="0.25">
      <c r="B31" s="78">
        <v>27</v>
      </c>
      <c r="C31" s="78">
        <v>5</v>
      </c>
      <c r="D31" s="78">
        <f t="shared" si="1"/>
        <v>2019</v>
      </c>
      <c r="E31" s="108">
        <v>55</v>
      </c>
      <c r="F31" s="108">
        <v>230</v>
      </c>
      <c r="G31" s="56">
        <f t="shared" si="0"/>
        <v>285</v>
      </c>
    </row>
    <row r="32" spans="2:7" ht="15.75" x14ac:dyDescent="0.25">
      <c r="B32" s="78">
        <v>28</v>
      </c>
      <c r="C32" s="78">
        <v>5</v>
      </c>
      <c r="D32" s="78">
        <f t="shared" si="1"/>
        <v>2019</v>
      </c>
      <c r="E32" s="108">
        <v>56</v>
      </c>
      <c r="F32" s="108">
        <v>230</v>
      </c>
      <c r="G32" s="56">
        <f t="shared" si="0"/>
        <v>286</v>
      </c>
    </row>
    <row r="33" spans="2:9" ht="15.75" x14ac:dyDescent="0.25">
      <c r="B33" s="78">
        <v>29</v>
      </c>
      <c r="C33" s="78">
        <v>5</v>
      </c>
      <c r="D33" s="78">
        <f t="shared" si="1"/>
        <v>2019</v>
      </c>
      <c r="E33" s="108">
        <v>74</v>
      </c>
      <c r="F33" s="108">
        <v>310</v>
      </c>
      <c r="G33" s="56">
        <f t="shared" si="0"/>
        <v>384</v>
      </c>
    </row>
    <row r="34" spans="2:9" ht="15.75" x14ac:dyDescent="0.25">
      <c r="B34" s="78">
        <v>30</v>
      </c>
      <c r="C34" s="78">
        <v>5</v>
      </c>
      <c r="D34" s="78">
        <f t="shared" si="1"/>
        <v>2019</v>
      </c>
      <c r="E34" s="108">
        <v>46</v>
      </c>
      <c r="F34" s="108">
        <v>199</v>
      </c>
      <c r="G34" s="56">
        <f t="shared" si="0"/>
        <v>245</v>
      </c>
    </row>
    <row r="35" spans="2:9" ht="15.75" x14ac:dyDescent="0.25">
      <c r="B35" s="78">
        <v>31</v>
      </c>
      <c r="C35" s="78">
        <v>5</v>
      </c>
      <c r="D35" s="78">
        <f t="shared" si="1"/>
        <v>2019</v>
      </c>
      <c r="E35" s="108">
        <v>69</v>
      </c>
      <c r="F35" s="108">
        <v>243</v>
      </c>
      <c r="G35" s="56">
        <f t="shared" ref="G35" si="2">E35+F35</f>
        <v>312</v>
      </c>
    </row>
    <row r="36" spans="2:9" ht="21" x14ac:dyDescent="0.35">
      <c r="B36" s="64"/>
      <c r="C36" s="64"/>
      <c r="D36" s="64"/>
      <c r="E36" s="14">
        <f>SUM(E5:E35)</f>
        <v>1820</v>
      </c>
      <c r="F36" s="14">
        <f>SUM(F5:F35)</f>
        <v>7625</v>
      </c>
      <c r="G36" s="14">
        <f>SUM(G5:G35)</f>
        <v>9445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E36+F36</f>
        <v>9445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118534750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2023-03-10T08:58:54Z</dcterms:modified>
</cp:coreProperties>
</file>