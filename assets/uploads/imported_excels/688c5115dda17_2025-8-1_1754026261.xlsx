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F5CD539-7900-404A-AAE3-813636F7BB3E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2" l="1"/>
  <c r="N32" i="2"/>
  <c r="N31" i="2"/>
  <c r="N30" i="2"/>
  <c r="E32" i="2"/>
  <c r="E31" i="2"/>
  <c r="E30" i="2"/>
  <c r="C31" i="2"/>
  <c r="C30" i="2"/>
  <c r="Y25" i="2"/>
  <c r="W2" i="2"/>
  <c r="AB31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AB30" i="2"/>
  <c r="AB29" i="2"/>
  <c r="AB28" i="2"/>
  <c r="Y30" i="2"/>
  <c r="Y29" i="2"/>
  <c r="N27" i="2"/>
  <c r="U31" i="2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U32" i="2"/>
  <c r="W31" i="2" s="1"/>
  <c r="U30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<sst xmlns="http://schemas.openxmlformats.org/spreadsheetml/2006/main" count="77" uniqueCount="40">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</sst>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2"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0</v>
      </c>
      <c r="F2" s="110" t="e">
        <f>('August 2025'!C2*0.27)/('August 2025'!C2+'August 2025'!E2)</f>
        <v>#DIV/0!</v>
      </c>
      <c r="G2" s="97" t="str">
        <f>'August 2025'!U2</f>
        <v>0</v>
      </c>
      <c r="H2" s="113">
        <v>0.62</v>
      </c>
      <c r="I2" s="98" t="str">
        <f>'August 2025'!W2</f>
        <v>0</v>
      </c>
      <c r="J2" s="99">
        <v>2.42</v>
      </c>
      <c r="K2" s="106">
        <f>'August 2025'!AB2*5.04</f>
        <v>0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0</v>
      </c>
      <c r="P2" s="100">
        <f>'August 2025'!AD2</f>
        <v>0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0</v>
      </c>
      <c r="F3" s="110" t="e">
        <f>('August 2025'!C3*0.27)/('August 2025'!C3+'August 2025'!E3)</f>
        <v>#DIV/0!</v>
      </c>
      <c r="G3" s="97" t="str">
        <f>'August 2025'!U3</f>
        <v>0</v>
      </c>
      <c r="H3" s="113">
        <v>0.62</v>
      </c>
      <c r="I3" s="98">
        <f>'August 2025'!W3</f>
        <v>0</v>
      </c>
      <c r="J3" s="99">
        <v>2.42</v>
      </c>
      <c r="K3" s="106">
        <f>'August 2025'!AB3*5.04</f>
        <v>0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0</v>
      </c>
      <c r="P3" s="100">
        <f>'August 2025'!AD3</f>
        <v>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0</v>
      </c>
      <c r="F4" s="110" t="e">
        <f>('August 2025'!C4*0.27)/('August 2025'!C4+'August 2025'!E4)</f>
        <v>#DIV/0!</v>
      </c>
      <c r="G4" s="97" t="str">
        <f>'August 2025'!U4</f>
        <v>0</v>
      </c>
      <c r="H4" s="113">
        <v>0.62</v>
      </c>
      <c r="I4" s="98">
        <f>'August 2025'!W4</f>
        <v>0</v>
      </c>
      <c r="J4" s="99">
        <v>2.42</v>
      </c>
      <c r="K4" s="106">
        <f>'August 2025'!AB4*5.04</f>
        <v>0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0</v>
      </c>
      <c r="P4" s="100">
        <f>'August 2025'!AD4</f>
        <v>0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0</v>
      </c>
      <c r="F5" s="110" t="e">
        <f>('August 2025'!C5*0.27)/('August 2025'!C5+'August 2025'!E5)</f>
        <v>#DIV/0!</v>
      </c>
      <c r="G5" s="97" t="str">
        <f>'August 2025'!U5</f>
        <v>0</v>
      </c>
      <c r="H5" s="113">
        <v>0.62</v>
      </c>
      <c r="I5" s="98">
        <f>'August 2025'!W5</f>
        <v>0</v>
      </c>
      <c r="J5" s="99">
        <v>2.42</v>
      </c>
      <c r="K5" s="106">
        <f>'August 2025'!AB5*5.04</f>
        <v>0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0</v>
      </c>
      <c r="P5" s="100">
        <f>'August 2025'!AD5</f>
        <v>0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0</v>
      </c>
      <c r="F6" s="110" t="e">
        <f>('August 2025'!C6*0.27)/('August 2025'!C6+'August 2025'!E6)</f>
        <v>#DIV/0!</v>
      </c>
      <c r="G6" s="97" t="str">
        <f>'August 2025'!U6</f>
        <v>0</v>
      </c>
      <c r="H6" s="113">
        <v>0.62</v>
      </c>
      <c r="I6" s="98">
        <f>'August 2025'!W6</f>
        <v>0</v>
      </c>
      <c r="J6" s="99">
        <v>2.42</v>
      </c>
      <c r="K6" s="106">
        <f>'August 2025'!AB6*5.04</f>
        <v>0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0</v>
      </c>
      <c r="P6" s="100">
        <f>'August 2025'!AD6</f>
        <v>0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0</v>
      </c>
      <c r="F7" s="110" t="e">
        <f>('August 2025'!C7*0.27)/('August 2025'!C7+'August 2025'!E7)</f>
        <v>#DIV/0!</v>
      </c>
      <c r="G7" s="97" t="str">
        <f>'August 2025'!U7</f>
        <v>0</v>
      </c>
      <c r="H7" s="113">
        <v>0.62</v>
      </c>
      <c r="I7" s="98">
        <f>'August 2025'!W7</f>
        <v>0</v>
      </c>
      <c r="J7" s="99">
        <v>2.42</v>
      </c>
      <c r="K7" s="106">
        <f>'August 2025'!AB7*5.04</f>
        <v>0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0</v>
      </c>
      <c r="P7" s="100">
        <f>'August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0</v>
      </c>
      <c r="F8" s="110" t="e">
        <f>('August 2025'!C8*0.27)/('August 2025'!C8+'August 2025'!E8)</f>
        <v>#DIV/0!</v>
      </c>
      <c r="G8" s="97" t="str">
        <f>'August 2025'!U8</f>
        <v>0</v>
      </c>
      <c r="H8" s="113">
        <v>0.62</v>
      </c>
      <c r="I8" s="98">
        <f>'August 2025'!W8</f>
        <v>0</v>
      </c>
      <c r="J8" s="99">
        <v>2.42</v>
      </c>
      <c r="K8" s="106">
        <f>'August 2025'!AB8*5.04</f>
        <v>0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0</v>
      </c>
      <c r="P8" s="100">
        <f>'August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0</v>
      </c>
      <c r="F9" s="110" t="e">
        <f>('August 2025'!C9*0.27)/('August 2025'!C9+'August 2025'!E9)</f>
        <v>#DIV/0!</v>
      </c>
      <c r="G9" s="97" t="str">
        <f>'August 2025'!U9</f>
        <v>0</v>
      </c>
      <c r="H9" s="113">
        <v>0.62</v>
      </c>
      <c r="I9" s="98">
        <f>'August 2025'!W9</f>
        <v>0</v>
      </c>
      <c r="J9" s="99">
        <v>2.42</v>
      </c>
      <c r="K9" s="106">
        <f>'August 2025'!AB9*5.04</f>
        <v>0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0</v>
      </c>
      <c r="P9" s="100">
        <f>'August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0</v>
      </c>
      <c r="F10" s="110" t="e">
        <f>('August 2025'!C10*0.27)/('August 2025'!C10+'August 2025'!E10)</f>
        <v>#DIV/0!</v>
      </c>
      <c r="G10" s="97" t="str">
        <f>'August 2025'!U10</f>
        <v>0</v>
      </c>
      <c r="H10" s="113">
        <v>0.62</v>
      </c>
      <c r="I10" s="98">
        <f>'August 2025'!W10</f>
        <v>0</v>
      </c>
      <c r="J10" s="99">
        <v>2.42</v>
      </c>
      <c r="K10" s="106">
        <f>'August 2025'!AB10*5.04</f>
        <v>0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0</v>
      </c>
      <c r="P10" s="100">
        <f>'August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0</v>
      </c>
      <c r="F11" s="110" t="e">
        <f>('August 2025'!C11*0.27)/('August 2025'!C11+'August 2025'!E11)</f>
        <v>#DIV/0!</v>
      </c>
      <c r="G11" s="97" t="str">
        <f>'August 2025'!U11</f>
        <v>0</v>
      </c>
      <c r="H11" s="113">
        <v>0.62</v>
      </c>
      <c r="I11" s="98">
        <f>'August 2025'!W11</f>
        <v>0</v>
      </c>
      <c r="J11" s="99">
        <v>2.42</v>
      </c>
      <c r="K11" s="106">
        <f>'August 2025'!AB11*5.04</f>
        <v>0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0</v>
      </c>
      <c r="P11" s="100">
        <f>'August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0</v>
      </c>
      <c r="F12" s="110" t="e">
        <f>('August 2025'!C12*0.27)/('August 2025'!C12+'August 2025'!E12)</f>
        <v>#DIV/0!</v>
      </c>
      <c r="G12" s="97" t="str">
        <f>'August 2025'!U12</f>
        <v>0</v>
      </c>
      <c r="H12" s="113">
        <v>0.62</v>
      </c>
      <c r="I12" s="98">
        <f>'August 2025'!W12</f>
        <v>0</v>
      </c>
      <c r="J12" s="99">
        <v>2.42</v>
      </c>
      <c r="K12" s="106">
        <f>'August 2025'!AB12*5.04</f>
        <v>0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0</v>
      </c>
      <c r="P12" s="100">
        <f>'August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0</v>
      </c>
      <c r="F13" s="110" t="e">
        <f>('August 2025'!C13*0.27)/('August 2025'!C13+'August 2025'!E13)</f>
        <v>#DIV/0!</v>
      </c>
      <c r="G13" s="97" t="str">
        <f>'August 2025'!U13</f>
        <v>0</v>
      </c>
      <c r="H13" s="113">
        <v>0.62</v>
      </c>
      <c r="I13" s="98">
        <f>'August 2025'!W13</f>
        <v>0</v>
      </c>
      <c r="J13" s="99">
        <v>2.42</v>
      </c>
      <c r="K13" s="106">
        <f>'August 2025'!AB13*5.04</f>
        <v>0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0</v>
      </c>
      <c r="P13" s="100">
        <f>'August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0</v>
      </c>
      <c r="F14" s="110" t="e">
        <f>('August 2025'!C14*0.27)/('August 2025'!C14+'August 2025'!E14)</f>
        <v>#DIV/0!</v>
      </c>
      <c r="G14" s="97" t="str">
        <f>'August 2025'!U14</f>
        <v>0</v>
      </c>
      <c r="H14" s="113">
        <v>0.62</v>
      </c>
      <c r="I14" s="98">
        <f>'August 2025'!W14</f>
        <v>0</v>
      </c>
      <c r="J14" s="99">
        <v>2.42</v>
      </c>
      <c r="K14" s="106">
        <f>'August 2025'!AB14*5.04</f>
        <v>0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0</v>
      </c>
      <c r="P14" s="100">
        <f>'August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0</v>
      </c>
      <c r="F15" s="110" t="e">
        <f>('August 2025'!C15*0.27)/('August 2025'!C15+'August 2025'!E15)</f>
        <v>#DIV/0!</v>
      </c>
      <c r="G15" s="97" t="str">
        <f>'August 2025'!U15</f>
        <v>0</v>
      </c>
      <c r="H15" s="113">
        <v>0.62</v>
      </c>
      <c r="I15" s="98">
        <f>'August 2025'!W15</f>
        <v>0</v>
      </c>
      <c r="J15" s="99">
        <v>2.42</v>
      </c>
      <c r="K15" s="106">
        <f>'August 2025'!AB15*5.04</f>
        <v>0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0</v>
      </c>
      <c r="P15" s="100">
        <f>'August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0</v>
      </c>
      <c r="F16" s="110" t="e">
        <f>('August 2025'!C16*0.27)/('August 2025'!C16+'August 2025'!E16)</f>
        <v>#DIV/0!</v>
      </c>
      <c r="G16" s="97" t="str">
        <f>'August 2025'!U16</f>
        <v>0</v>
      </c>
      <c r="H16" s="113">
        <v>0.62</v>
      </c>
      <c r="I16" s="98">
        <f>'August 2025'!W16</f>
        <v>0</v>
      </c>
      <c r="J16" s="99">
        <v>2.42</v>
      </c>
      <c r="K16" s="106">
        <f>'August 2025'!AB16*5.04</f>
        <v>0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0</v>
      </c>
      <c r="P16" s="100">
        <f>'August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0</v>
      </c>
      <c r="F17" s="110" t="e">
        <f>('August 2025'!C17*0.27)/('August 2025'!C17+'August 2025'!E17)</f>
        <v>#DIV/0!</v>
      </c>
      <c r="G17" s="97" t="str">
        <f>'August 2025'!U17</f>
        <v>0</v>
      </c>
      <c r="H17" s="113">
        <v>0.62</v>
      </c>
      <c r="I17" s="98">
        <f>'August 2025'!W17</f>
        <v>0</v>
      </c>
      <c r="J17" s="99">
        <v>2.42</v>
      </c>
      <c r="K17" s="106">
        <f>'August 2025'!AB17*5.04</f>
        <v>0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0</v>
      </c>
      <c r="P17" s="100">
        <f>'August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0</v>
      </c>
      <c r="F18" s="110" t="e">
        <f>('August 2025'!C18*0.27)/('August 2025'!C18+'August 2025'!E18)</f>
        <v>#DIV/0!</v>
      </c>
      <c r="G18" s="97" t="str">
        <f>'August 2025'!U18</f>
        <v>0</v>
      </c>
      <c r="H18" s="113">
        <v>0.62</v>
      </c>
      <c r="I18" s="98">
        <f>'August 2025'!W18</f>
        <v>0</v>
      </c>
      <c r="J18" s="99">
        <v>2.42</v>
      </c>
      <c r="K18" s="106">
        <f>'August 2025'!AB18*5.04</f>
        <v>0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0</v>
      </c>
      <c r="P18" s="100">
        <f>'August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0</v>
      </c>
      <c r="F19" s="110" t="e">
        <f>('August 2025'!C19*0.27)/('August 2025'!C19+'August 2025'!E19)</f>
        <v>#DIV/0!</v>
      </c>
      <c r="G19" s="97" t="str">
        <f>'August 2025'!U19</f>
        <v>0</v>
      </c>
      <c r="H19" s="113">
        <v>0.62</v>
      </c>
      <c r="I19" s="98">
        <f>'August 2025'!W19</f>
        <v>0</v>
      </c>
      <c r="J19" s="99">
        <v>2.42</v>
      </c>
      <c r="K19" s="106">
        <f>'August 2025'!AB19*5.04</f>
        <v>0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0</v>
      </c>
      <c r="P19" s="100">
        <f>'August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0</v>
      </c>
      <c r="F20" s="110" t="e">
        <f>('August 2025'!C20*0.27)/('August 2025'!C20+'August 2025'!E20)</f>
        <v>#DIV/0!</v>
      </c>
      <c r="G20" s="97" t="str">
        <f>'August 2025'!U20</f>
        <v>0</v>
      </c>
      <c r="H20" s="113">
        <v>0.62</v>
      </c>
      <c r="I20" s="98">
        <f>'August 2025'!W20</f>
        <v>0</v>
      </c>
      <c r="J20" s="99">
        <v>2.42</v>
      </c>
      <c r="K20" s="106">
        <f>'August 2025'!AB20*5.04</f>
        <v>0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0</v>
      </c>
      <c r="P20" s="100">
        <f>'August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0</v>
      </c>
      <c r="F21" s="110" t="e">
        <f>('August 2025'!C21*0.27)/('August 2025'!C21+'August 2025'!E21)</f>
        <v>#DIV/0!</v>
      </c>
      <c r="G21" s="97" t="str">
        <f>'August 2025'!U21</f>
        <v>0</v>
      </c>
      <c r="H21" s="113">
        <v>0.62</v>
      </c>
      <c r="I21" s="98">
        <f>'August 2025'!W21</f>
        <v>0</v>
      </c>
      <c r="J21" s="99">
        <v>2.42</v>
      </c>
      <c r="K21" s="106">
        <f>'August 2025'!AB21*5.04</f>
        <v>0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0</v>
      </c>
      <c r="P21" s="100">
        <f>'August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0</v>
      </c>
      <c r="F22" s="110" t="e">
        <f>('August 2025'!C22*0.27)/('August 2025'!C22+'August 2025'!E22)</f>
        <v>#DIV/0!</v>
      </c>
      <c r="G22" s="97" t="str">
        <f>'August 2025'!U22</f>
        <v>0</v>
      </c>
      <c r="H22" s="113">
        <v>0.62</v>
      </c>
      <c r="I22" s="98">
        <f>'August 2025'!W22</f>
        <v>0</v>
      </c>
      <c r="J22" s="99">
        <v>2.42</v>
      </c>
      <c r="K22" s="106">
        <f>'August 2025'!AB22*5.04</f>
        <v>0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0</v>
      </c>
      <c r="P22" s="100">
        <f>'August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0</v>
      </c>
      <c r="F23" s="110" t="e">
        <f>('August 2025'!C23*0.27)/('August 2025'!C23+'August 2025'!E23)</f>
        <v>#DIV/0!</v>
      </c>
      <c r="G23" s="97" t="str">
        <f>'August 2025'!U23</f>
        <v>0</v>
      </c>
      <c r="H23" s="113">
        <v>0.62</v>
      </c>
      <c r="I23" s="98">
        <f>'August 2025'!W23</f>
        <v>0</v>
      </c>
      <c r="J23" s="99">
        <v>2.42</v>
      </c>
      <c r="K23" s="106">
        <f>'August 2025'!AB23*5.04</f>
        <v>0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0</v>
      </c>
      <c r="P23" s="100">
        <f>'August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0</v>
      </c>
      <c r="F24" s="110" t="e">
        <f>('August 2025'!C24*0.27)/('August 2025'!C24+'August 2025'!E24)</f>
        <v>#DIV/0!</v>
      </c>
      <c r="G24" s="97" t="str">
        <f>'August 2025'!U24</f>
        <v>0</v>
      </c>
      <c r="H24" s="113">
        <v>0.62</v>
      </c>
      <c r="I24" s="98">
        <f>'August 2025'!W24</f>
        <v>0</v>
      </c>
      <c r="J24" s="99">
        <v>2.42</v>
      </c>
      <c r="K24" s="106">
        <f>'August 2025'!AB24*5.04</f>
        <v>0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0</v>
      </c>
      <c r="P24" s="100">
        <f>'August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0</v>
      </c>
      <c r="F25" s="110" t="e">
        <f>('August 2025'!C25*0.27)/('August 2025'!C25+'August 2025'!E25)</f>
        <v>#DIV/0!</v>
      </c>
      <c r="G25" s="97" t="str">
        <f>'August 2025'!U25</f>
        <v>0</v>
      </c>
      <c r="H25" s="113">
        <v>0.62</v>
      </c>
      <c r="I25" s="98">
        <f>'August 2025'!W25</f>
        <v>0</v>
      </c>
      <c r="J25" s="99">
        <v>2.42</v>
      </c>
      <c r="K25" s="106">
        <f>'August 2025'!AB25*5.04</f>
        <v>0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0</v>
      </c>
      <c r="P25" s="100">
        <f>'August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0</v>
      </c>
      <c r="F26" s="110" t="e">
        <f>('August 2025'!C26*0.27)/('August 2025'!C26+'August 2025'!E26)</f>
        <v>#DIV/0!</v>
      </c>
      <c r="G26" s="97" t="str">
        <f>'August 2025'!U26</f>
        <v>0</v>
      </c>
      <c r="H26" s="113">
        <v>0.62</v>
      </c>
      <c r="I26" s="98">
        <f>'August 2025'!W26</f>
        <v>0</v>
      </c>
      <c r="J26" s="99">
        <v>2.42</v>
      </c>
      <c r="K26" s="106">
        <f>'August 2025'!AB26*5.04</f>
        <v>0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0</v>
      </c>
      <c r="P26" s="100">
        <f>'August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0</v>
      </c>
      <c r="F27" s="110" t="e">
        <f>('August 2025'!C27*0.27)/('August 2025'!C27+'August 2025'!E27)</f>
        <v>#DIV/0!</v>
      </c>
      <c r="G27" s="97" t="str">
        <f>'August 2025'!U27</f>
        <v>0</v>
      </c>
      <c r="H27" s="113">
        <v>0.62</v>
      </c>
      <c r="I27" s="98">
        <f>'August 2025'!W27</f>
        <v>0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0</v>
      </c>
      <c r="P27" s="100">
        <f>'August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0</v>
      </c>
      <c r="F28" s="110" t="e">
        <f>('August 2025'!C28*0.27)/('August 2025'!C28+'August 2025'!E28)</f>
        <v>#DIV/0!</v>
      </c>
      <c r="G28" s="97" t="str">
        <f>'August 2025'!U28</f>
        <v>0</v>
      </c>
      <c r="H28" s="113">
        <v>0.62</v>
      </c>
      <c r="I28" s="98">
        <f>'August 2025'!W28</f>
        <v>0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0</v>
      </c>
      <c r="P28" s="100">
        <f>'August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0</v>
      </c>
      <c r="F29" s="110" t="e">
        <f>('August 2025'!C29*0.27)/('August 2025'!C29+'August 2025'!E29)</f>
        <v>#DIV/0!</v>
      </c>
      <c r="G29" s="97" t="str">
        <f>'August 2025'!U29</f>
        <v>0</v>
      </c>
      <c r="H29" s="113">
        <v>0.62</v>
      </c>
      <c r="I29" s="98">
        <f>'August 2025'!W29</f>
        <v>0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0</v>
      </c>
      <c r="P29" s="100">
        <f>'August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0</v>
      </c>
      <c r="F30" s="110" t="e">
        <f>('August 2025'!C30*0.27)/('August 2025'!C30+'August 2025'!E30)</f>
        <v>#DIV/0!</v>
      </c>
      <c r="G30" s="97" t="str">
        <f>'August 2025'!U30</f>
        <v>0</v>
      </c>
      <c r="H30" s="113">
        <v>0.62</v>
      </c>
      <c r="I30" s="98">
        <f>'August 2025'!W30</f>
        <v>0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0</v>
      </c>
      <c r="P30" s="100">
        <f>'August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0</v>
      </c>
      <c r="F31" s="110" t="e">
        <f>('August 2025'!C32*0.27)/('August 2025'!C32+'August 2025'!E32)</f>
        <v>#DIV/0!</v>
      </c>
      <c r="G31" s="97" t="str">
        <f>'August 2025'!U32</f>
        <v>0</v>
      </c>
      <c r="H31" s="113">
        <v>0.62</v>
      </c>
      <c r="I31" s="98">
        <f>'August 2025'!W32</f>
        <v>0</v>
      </c>
      <c r="J31" s="99">
        <v>2.42</v>
      </c>
      <c r="K31" s="106">
        <f>'August 2025'!AB32*5.04</f>
        <v>0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0</v>
      </c>
      <c r="P31" s="100">
        <f>'August 2025'!AD32</f>
        <v>0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2025'!AB33*5.04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Z2" sqref="Z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 t="str">
        <f>IF((B3-B2)&lt;0,"0",B3-B2)</f>
        <v>0</v>
      </c>
      <c r="D2" s="9">
        <v>868083</v>
      </c>
      <c r="E2" s="14" t="str">
        <f>IF((D3-D2)&lt;0,"0",D3-D2)</f>
        <v>0</v>
      </c>
      <c r="F2" s="27">
        <v>1704</v>
      </c>
      <c r="G2" s="67">
        <f>F3-F2</f>
        <v>0</v>
      </c>
      <c r="H2" s="69">
        <f>C2+E2-G2</f>
        <v>0</v>
      </c>
      <c r="I2" s="73">
        <f>H2-K2-M2-O2-Q2</f>
        <v>-45871.329999999994</v>
      </c>
      <c r="J2" s="32">
        <f t="shared" ref="J2:J29" si="0">I3-I2</f>
        <v>0.32999999999447027</v>
      </c>
      <c r="K2" s="19">
        <f>A2</f>
        <v>45870</v>
      </c>
      <c r="L2" s="30">
        <v>7935</v>
      </c>
      <c r="M2" s="31">
        <v>0</v>
      </c>
      <c r="N2" s="32" t="str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/>
      <c r="T2" s="123"/>
      <c r="U2" s="32" t="str">
        <f>IF((S2-S3+T2)=S2,"0",(S2-S3+T2))</f>
        <v>0</v>
      </c>
      <c r="V2" s="40">
        <v>23567</v>
      </c>
      <c r="W2" s="32" t="str">
        <f t="shared" ref="W2:W29" si="1">IF(V3-V2&lt;0,"0",V3-V2)</f>
        <v>0</v>
      </c>
      <c r="X2" s="43">
        <v>61265</v>
      </c>
      <c r="Y2" s="14" t="str">
        <f>IF((X3-X2)&lt;0,"0",X3-X2)</f>
        <v>0</v>
      </c>
      <c r="Z2" s="46">
        <v>1400</v>
      </c>
      <c r="AA2" s="52"/>
      <c r="AB2" s="32" t="str">
        <f>IF((Z2-Z3+AA2)=Z2,"0",(Z2-Z3+AA2))</f>
        <v>0</v>
      </c>
      <c r="AC2" s="12"/>
      <c r="AD2" s="17"/>
    </row>
    <row r="3" spans="1:30" ht="20.7" customHeight="1" x14ac:dyDescent="0.2">
      <c r="A3" s="19">
        <v>45871</v>
      </c>
      <c r="B3" s="10"/>
      <c r="C3" s="14">
        <f t="shared" ref="C3:C31" si="2">IF((B4-B3)&lt;0,"0",B4-B3)</f>
        <v>0</v>
      </c>
      <c r="D3" s="11"/>
      <c r="E3" s="14">
        <f t="shared" ref="E3:E32" si="3">IF((D4-D3)&lt;0,"0",D4-D3)</f>
        <v>0</v>
      </c>
      <c r="F3" s="27">
        <v>1704</v>
      </c>
      <c r="G3" s="67">
        <f t="shared" ref="G3:G29" si="4">F4-F3</f>
        <v>0</v>
      </c>
      <c r="H3" s="69">
        <f t="shared" ref="H3:H32" si="5">C3+E3-G3</f>
        <v>0</v>
      </c>
      <c r="I3" s="73">
        <f t="shared" ref="I3:I32" si="6">H3-K3-M3-O3-Q3</f>
        <v>-45871</v>
      </c>
      <c r="J3" s="32">
        <f t="shared" si="0"/>
        <v>-1</v>
      </c>
      <c r="K3" s="20">
        <f t="shared" ref="K3:K33" si="7">A3</f>
        <v>45871</v>
      </c>
      <c r="L3" s="33"/>
      <c r="M3" s="31">
        <v>0</v>
      </c>
      <c r="N3" s="32" t="str">
        <f t="shared" ref="N3:N33" si="8">IF((L3-L4+M3)=L3,"0",(L3-L4+M3))</f>
        <v>0</v>
      </c>
      <c r="O3" s="85"/>
      <c r="P3" s="86"/>
      <c r="Q3" s="85"/>
      <c r="R3" s="86"/>
      <c r="S3" s="38"/>
      <c r="T3" s="123"/>
      <c r="U3" s="32" t="str">
        <f t="shared" ref="U3:U29" si="9">IF((S3-S4+T3)=S3,"0",(S3-S4+T3))</f>
        <v>0</v>
      </c>
      <c r="V3" s="41"/>
      <c r="W3" s="32">
        <f t="shared" si="1"/>
        <v>0</v>
      </c>
      <c r="X3" s="43"/>
      <c r="Y3" s="14">
        <f t="shared" ref="Y3:Y29" si="10">IF((X4-X3)&lt;0,"0",X4-X3)</f>
        <v>0</v>
      </c>
      <c r="Z3" s="46"/>
      <c r="AA3" s="52"/>
      <c r="AB3" s="32" t="str">
        <f t="shared" ref="AB3:AB29" si="11">IF((Z3-Z4+AA3)=Z3,"0",(Z3-Z4+AA3))</f>
        <v>0</v>
      </c>
      <c r="AC3" s="13"/>
      <c r="AD3" s="18"/>
    </row>
    <row r="4" spans="1:30" ht="20.7" customHeight="1" x14ac:dyDescent="0.2">
      <c r="A4" s="19">
        <v>45872</v>
      </c>
      <c r="B4" s="10"/>
      <c r="C4" s="14">
        <f t="shared" si="2"/>
        <v>0</v>
      </c>
      <c r="D4" s="11"/>
      <c r="E4" s="14">
        <f t="shared" si="3"/>
        <v>0</v>
      </c>
      <c r="F4" s="27">
        <v>1704</v>
      </c>
      <c r="G4" s="67">
        <f t="shared" si="4"/>
        <v>0</v>
      </c>
      <c r="H4" s="69">
        <f t="shared" si="5"/>
        <v>0</v>
      </c>
      <c r="I4" s="73">
        <f t="shared" si="6"/>
        <v>-45872</v>
      </c>
      <c r="J4" s="32">
        <f t="shared" si="0"/>
        <v>-1</v>
      </c>
      <c r="K4" s="20">
        <f t="shared" si="7"/>
        <v>45872</v>
      </c>
      <c r="L4" s="33"/>
      <c r="M4" s="31">
        <v>0</v>
      </c>
      <c r="N4" s="32" t="str">
        <f t="shared" si="8"/>
        <v>0</v>
      </c>
      <c r="O4" s="85"/>
      <c r="P4" s="86"/>
      <c r="Q4" s="85"/>
      <c r="R4" s="86"/>
      <c r="S4" s="38"/>
      <c r="T4" s="123"/>
      <c r="U4" s="32" t="str">
        <f t="shared" si="9"/>
        <v>0</v>
      </c>
      <c r="V4" s="41"/>
      <c r="W4" s="32">
        <f t="shared" si="1"/>
        <v>0</v>
      </c>
      <c r="X4" s="43"/>
      <c r="Y4" s="14">
        <f t="shared" si="10"/>
        <v>0</v>
      </c>
      <c r="Z4" s="46"/>
      <c r="AA4" s="52"/>
      <c r="AB4" s="32" t="str">
        <f t="shared" si="11"/>
        <v>0</v>
      </c>
      <c r="AC4" s="13"/>
      <c r="AD4" s="18"/>
    </row>
    <row r="5" spans="1:30" ht="20.7" customHeight="1" x14ac:dyDescent="0.2">
      <c r="A5" s="19">
        <v>45873</v>
      </c>
      <c r="B5" s="10"/>
      <c r="C5" s="14">
        <f t="shared" si="2"/>
        <v>0</v>
      </c>
      <c r="D5" s="11"/>
      <c r="E5" s="14">
        <f t="shared" si="3"/>
        <v>0</v>
      </c>
      <c r="F5" s="27">
        <v>1704</v>
      </c>
      <c r="G5" s="67">
        <f t="shared" si="4"/>
        <v>0</v>
      </c>
      <c r="H5" s="69">
        <f t="shared" si="5"/>
        <v>0</v>
      </c>
      <c r="I5" s="73">
        <f t="shared" si="6"/>
        <v>-45873</v>
      </c>
      <c r="J5" s="32">
        <f t="shared" si="0"/>
        <v>-1</v>
      </c>
      <c r="K5" s="20">
        <f t="shared" si="7"/>
        <v>45873</v>
      </c>
      <c r="L5" s="33"/>
      <c r="M5" s="31">
        <v>0</v>
      </c>
      <c r="N5" s="32" t="str">
        <f t="shared" si="8"/>
        <v>0</v>
      </c>
      <c r="O5" s="85"/>
      <c r="P5" s="86"/>
      <c r="Q5" s="85"/>
      <c r="R5" s="86"/>
      <c r="S5" s="38"/>
      <c r="T5" s="123"/>
      <c r="U5" s="32" t="str">
        <f t="shared" si="9"/>
        <v>0</v>
      </c>
      <c r="V5" s="41"/>
      <c r="W5" s="32">
        <f t="shared" si="1"/>
        <v>0</v>
      </c>
      <c r="X5" s="43"/>
      <c r="Y5" s="14">
        <f t="shared" si="10"/>
        <v>0</v>
      </c>
      <c r="Z5" s="46"/>
      <c r="AA5" s="52"/>
      <c r="AB5" s="32" t="str">
        <f t="shared" si="11"/>
        <v>0</v>
      </c>
      <c r="AC5" s="13"/>
      <c r="AD5" s="18"/>
    </row>
    <row r="6" spans="1:30" ht="20.7" customHeight="1" x14ac:dyDescent="0.2">
      <c r="A6" s="19">
        <v>45874</v>
      </c>
      <c r="B6" s="10"/>
      <c r="C6" s="14">
        <f t="shared" si="2"/>
        <v>0</v>
      </c>
      <c r="D6" s="11"/>
      <c r="E6" s="14">
        <f t="shared" si="3"/>
        <v>0</v>
      </c>
      <c r="F6" s="27">
        <v>1704</v>
      </c>
      <c r="G6" s="67">
        <f t="shared" si="4"/>
        <v>0</v>
      </c>
      <c r="H6" s="69">
        <f t="shared" si="5"/>
        <v>0</v>
      </c>
      <c r="I6" s="73">
        <f t="shared" si="6"/>
        <v>-45874</v>
      </c>
      <c r="J6" s="32">
        <f t="shared" si="0"/>
        <v>-1</v>
      </c>
      <c r="K6" s="20">
        <f t="shared" si="7"/>
        <v>45874</v>
      </c>
      <c r="L6" s="33"/>
      <c r="M6" s="31">
        <v>0</v>
      </c>
      <c r="N6" s="32" t="str">
        <f t="shared" si="8"/>
        <v>0</v>
      </c>
      <c r="O6" s="85"/>
      <c r="P6" s="86"/>
      <c r="Q6" s="85"/>
      <c r="R6" s="86"/>
      <c r="S6" s="38"/>
      <c r="T6" s="123"/>
      <c r="U6" s="32" t="str">
        <f t="shared" si="9"/>
        <v>0</v>
      </c>
      <c r="V6" s="41"/>
      <c r="W6" s="32">
        <f t="shared" si="1"/>
        <v>0</v>
      </c>
      <c r="X6" s="43"/>
      <c r="Y6" s="14">
        <f t="shared" si="10"/>
        <v>0</v>
      </c>
      <c r="Z6" s="46"/>
      <c r="AA6" s="52"/>
      <c r="AB6" s="32" t="str">
        <f t="shared" si="11"/>
        <v>0</v>
      </c>
      <c r="AC6" s="13"/>
      <c r="AD6" s="18"/>
    </row>
    <row r="7" spans="1:30" ht="20.7" customHeight="1" x14ac:dyDescent="0.2">
      <c r="A7" s="19">
        <v>45875</v>
      </c>
      <c r="B7" s="10"/>
      <c r="C7" s="14">
        <f t="shared" si="2"/>
        <v>0</v>
      </c>
      <c r="D7" s="11"/>
      <c r="E7" s="14">
        <f t="shared" si="3"/>
        <v>0</v>
      </c>
      <c r="F7" s="27">
        <v>1704</v>
      </c>
      <c r="G7" s="67">
        <f t="shared" si="4"/>
        <v>0</v>
      </c>
      <c r="H7" s="69">
        <f t="shared" si="5"/>
        <v>0</v>
      </c>
      <c r="I7" s="73">
        <f t="shared" si="6"/>
        <v>-45875</v>
      </c>
      <c r="J7" s="32">
        <f t="shared" si="0"/>
        <v>-1</v>
      </c>
      <c r="K7" s="20">
        <f t="shared" si="7"/>
        <v>45875</v>
      </c>
      <c r="L7" s="33"/>
      <c r="M7" s="31">
        <v>0</v>
      </c>
      <c r="N7" s="32" t="str">
        <f t="shared" si="8"/>
        <v>0</v>
      </c>
      <c r="O7" s="85"/>
      <c r="P7" s="86"/>
      <c r="Q7" s="85"/>
      <c r="R7" s="86"/>
      <c r="S7" s="38"/>
      <c r="T7" s="123"/>
      <c r="U7" s="32" t="str">
        <f t="shared" si="9"/>
        <v>0</v>
      </c>
      <c r="V7" s="41"/>
      <c r="W7" s="32">
        <f t="shared" si="1"/>
        <v>0</v>
      </c>
      <c r="X7" s="43"/>
      <c r="Y7" s="14">
        <f t="shared" si="10"/>
        <v>0</v>
      </c>
      <c r="Z7" s="46"/>
      <c r="AA7" s="52"/>
      <c r="AB7" s="32" t="str">
        <f t="shared" si="11"/>
        <v>0</v>
      </c>
      <c r="AC7" s="13"/>
      <c r="AD7" s="18"/>
    </row>
    <row r="8" spans="1:30" ht="20.7" customHeight="1" x14ac:dyDescent="0.2">
      <c r="A8" s="19">
        <v>45876</v>
      </c>
      <c r="B8" s="10"/>
      <c r="C8" s="14">
        <f t="shared" si="2"/>
        <v>0</v>
      </c>
      <c r="D8" s="11"/>
      <c r="E8" s="14">
        <f t="shared" si="3"/>
        <v>0</v>
      </c>
      <c r="F8" s="27">
        <v>1704</v>
      </c>
      <c r="G8" s="67">
        <f t="shared" si="4"/>
        <v>0</v>
      </c>
      <c r="H8" s="69">
        <f t="shared" si="5"/>
        <v>0</v>
      </c>
      <c r="I8" s="73">
        <f t="shared" si="6"/>
        <v>-45876</v>
      </c>
      <c r="J8" s="32">
        <f t="shared" si="0"/>
        <v>-1</v>
      </c>
      <c r="K8" s="20">
        <f t="shared" si="7"/>
        <v>45876</v>
      </c>
      <c r="L8" s="33"/>
      <c r="M8" s="31">
        <v>0</v>
      </c>
      <c r="N8" s="32" t="str">
        <f t="shared" si="8"/>
        <v>0</v>
      </c>
      <c r="O8" s="85"/>
      <c r="P8" s="86"/>
      <c r="Q8" s="85"/>
      <c r="R8" s="86"/>
      <c r="S8" s="38"/>
      <c r="T8" s="123"/>
      <c r="U8" s="32" t="str">
        <f t="shared" si="9"/>
        <v>0</v>
      </c>
      <c r="V8" s="41"/>
      <c r="W8" s="32">
        <f t="shared" si="1"/>
        <v>0</v>
      </c>
      <c r="X8" s="43"/>
      <c r="Y8" s="14">
        <f t="shared" si="10"/>
        <v>0</v>
      </c>
      <c r="Z8" s="46"/>
      <c r="AA8" s="52"/>
      <c r="AB8" s="32" t="str">
        <f t="shared" si="11"/>
        <v>0</v>
      </c>
      <c r="AC8" s="13"/>
      <c r="AD8" s="18"/>
    </row>
    <row r="9" spans="1:30" ht="20.7" customHeight="1" x14ac:dyDescent="0.2">
      <c r="A9" s="19">
        <v>45877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-45877</v>
      </c>
      <c r="J9" s="32">
        <f t="shared" si="0"/>
        <v>-1</v>
      </c>
      <c r="K9" s="20">
        <f t="shared" si="7"/>
        <v>45877</v>
      </c>
      <c r="L9" s="33"/>
      <c r="M9" s="31">
        <v>0</v>
      </c>
      <c r="N9" s="32" t="str">
        <f t="shared" si="8"/>
        <v>0</v>
      </c>
      <c r="O9" s="85"/>
      <c r="P9" s="86"/>
      <c r="Q9" s="85"/>
      <c r="R9" s="86"/>
      <c r="S9" s="38"/>
      <c r="T9" s="123"/>
      <c r="U9" s="32" t="str">
        <f t="shared" si="9"/>
        <v>0</v>
      </c>
      <c r="V9" s="41"/>
      <c r="W9" s="32">
        <f t="shared" si="1"/>
        <v>0</v>
      </c>
      <c r="X9" s="43"/>
      <c r="Y9" s="14">
        <f t="shared" si="10"/>
        <v>0</v>
      </c>
      <c r="Z9" s="47"/>
      <c r="AA9" s="52"/>
      <c r="AB9" s="32" t="str">
        <f t="shared" si="11"/>
        <v>0</v>
      </c>
      <c r="AC9" s="13"/>
      <c r="AD9" s="18"/>
    </row>
    <row r="10" spans="1:30" ht="20.7" customHeight="1" x14ac:dyDescent="0.2">
      <c r="A10" s="19">
        <v>45878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-45878</v>
      </c>
      <c r="J10" s="32">
        <f t="shared" si="0"/>
        <v>-1</v>
      </c>
      <c r="K10" s="20">
        <f t="shared" si="7"/>
        <v>45878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/>
      <c r="T10" s="123"/>
      <c r="U10" s="32" t="str">
        <f t="shared" si="9"/>
        <v>0</v>
      </c>
      <c r="V10" s="41"/>
      <c r="W10" s="32">
        <f t="shared" si="1"/>
        <v>0</v>
      </c>
      <c r="X10" s="43"/>
      <c r="Y10" s="14">
        <f t="shared" si="10"/>
        <v>0</v>
      </c>
      <c r="Z10" s="47"/>
      <c r="AA10" s="52"/>
      <c r="AB10" s="32" t="str">
        <f t="shared" si="11"/>
        <v>0</v>
      </c>
      <c r="AC10" s="13"/>
      <c r="AD10" s="18"/>
    </row>
    <row r="11" spans="1:30" ht="20.7" customHeight="1" x14ac:dyDescent="0.2">
      <c r="A11" s="19">
        <v>45879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-45879</v>
      </c>
      <c r="J11" s="32">
        <f t="shared" si="0"/>
        <v>-1</v>
      </c>
      <c r="K11" s="20">
        <f t="shared" si="7"/>
        <v>45879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/>
      <c r="T11" s="123"/>
      <c r="U11" s="32" t="str">
        <f t="shared" si="9"/>
        <v>0</v>
      </c>
      <c r="V11" s="41"/>
      <c r="W11" s="32">
        <f t="shared" si="1"/>
        <v>0</v>
      </c>
      <c r="X11" s="43"/>
      <c r="Y11" s="14">
        <f t="shared" si="10"/>
        <v>0</v>
      </c>
      <c r="Z11" s="47"/>
      <c r="AA11" s="52"/>
      <c r="AB11" s="32" t="str">
        <f t="shared" si="11"/>
        <v>0</v>
      </c>
      <c r="AC11" s="13"/>
      <c r="AD11" s="18"/>
    </row>
    <row r="12" spans="1:30" ht="20.7" customHeight="1" x14ac:dyDescent="0.2">
      <c r="A12" s="19">
        <v>45880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-45880</v>
      </c>
      <c r="J12" s="32">
        <f t="shared" si="0"/>
        <v>-1</v>
      </c>
      <c r="K12" s="20">
        <f t="shared" si="7"/>
        <v>45880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/>
      <c r="T12" s="123"/>
      <c r="U12" s="32" t="str">
        <f t="shared" si="9"/>
        <v>0</v>
      </c>
      <c r="V12" s="41"/>
      <c r="W12" s="32">
        <f t="shared" si="1"/>
        <v>0</v>
      </c>
      <c r="X12" s="43"/>
      <c r="Y12" s="14">
        <f t="shared" si="10"/>
        <v>0</v>
      </c>
      <c r="Z12" s="47"/>
      <c r="AA12" s="52"/>
      <c r="AB12" s="32" t="str">
        <f t="shared" si="11"/>
        <v>0</v>
      </c>
      <c r="AC12" s="13"/>
      <c r="AD12" s="18"/>
    </row>
    <row r="13" spans="1:30" ht="20.7" customHeight="1" x14ac:dyDescent="0.2">
      <c r="A13" s="19">
        <v>45881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-45881</v>
      </c>
      <c r="J13" s="32">
        <f t="shared" si="0"/>
        <v>-1</v>
      </c>
      <c r="K13" s="20">
        <f t="shared" si="7"/>
        <v>45881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/>
      <c r="T13" s="123"/>
      <c r="U13" s="32" t="str">
        <f t="shared" si="9"/>
        <v>0</v>
      </c>
      <c r="V13" s="41"/>
      <c r="W13" s="32">
        <f t="shared" si="1"/>
        <v>0</v>
      </c>
      <c r="X13" s="43"/>
      <c r="Y13" s="14">
        <f t="shared" si="10"/>
        <v>0</v>
      </c>
      <c r="Z13" s="47"/>
      <c r="AA13" s="52"/>
      <c r="AB13" s="32" t="str">
        <f t="shared" si="11"/>
        <v>0</v>
      </c>
      <c r="AC13" s="13"/>
      <c r="AD13" s="18"/>
    </row>
    <row r="14" spans="1:30" ht="20.7" customHeight="1" x14ac:dyDescent="0.2">
      <c r="A14" s="19">
        <v>45882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-45882</v>
      </c>
      <c r="J14" s="32">
        <f t="shared" si="0"/>
        <v>-1</v>
      </c>
      <c r="K14" s="20">
        <f t="shared" si="7"/>
        <v>45882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/>
      <c r="T14" s="123"/>
      <c r="U14" s="32" t="str">
        <f t="shared" si="9"/>
        <v>0</v>
      </c>
      <c r="V14" s="41"/>
      <c r="W14" s="32">
        <f t="shared" si="1"/>
        <v>0</v>
      </c>
      <c r="X14" s="43"/>
      <c r="Y14" s="14">
        <f t="shared" si="10"/>
        <v>0</v>
      </c>
      <c r="Z14" s="47"/>
      <c r="AA14" s="52"/>
      <c r="AB14" s="32" t="str">
        <f t="shared" si="11"/>
        <v>0</v>
      </c>
      <c r="AC14" s="13"/>
      <c r="AD14" s="18"/>
    </row>
    <row r="15" spans="1:30" ht="20.7" customHeight="1" x14ac:dyDescent="0.2">
      <c r="A15" s="19">
        <v>45883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-45883</v>
      </c>
      <c r="J15" s="32">
        <f t="shared" si="0"/>
        <v>-1</v>
      </c>
      <c r="K15" s="20">
        <f t="shared" si="7"/>
        <v>45883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/>
      <c r="T15" s="123"/>
      <c r="U15" s="32" t="str">
        <f t="shared" si="9"/>
        <v>0</v>
      </c>
      <c r="V15" s="41"/>
      <c r="W15" s="32">
        <f t="shared" si="1"/>
        <v>0</v>
      </c>
      <c r="X15" s="44"/>
      <c r="Y15" s="14">
        <f t="shared" si="10"/>
        <v>0</v>
      </c>
      <c r="Z15" s="47"/>
      <c r="AA15" s="52"/>
      <c r="AB15" s="32" t="str">
        <f t="shared" si="11"/>
        <v>0</v>
      </c>
      <c r="AC15" s="13"/>
      <c r="AD15" s="18"/>
    </row>
    <row r="16" spans="1:30" ht="20.7" customHeight="1" x14ac:dyDescent="0.2">
      <c r="A16" s="19">
        <v>45884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-45884</v>
      </c>
      <c r="J16" s="32">
        <f t="shared" si="0"/>
        <v>-1</v>
      </c>
      <c r="K16" s="20">
        <f t="shared" si="7"/>
        <v>45884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/>
      <c r="T16" s="123"/>
      <c r="U16" s="32" t="str">
        <f t="shared" si="9"/>
        <v>0</v>
      </c>
      <c r="V16" s="41"/>
      <c r="W16" s="32">
        <f t="shared" si="1"/>
        <v>0</v>
      </c>
      <c r="X16" s="124"/>
      <c r="Y16" s="14">
        <f t="shared" si="10"/>
        <v>0</v>
      </c>
      <c r="Z16" s="47"/>
      <c r="AA16" s="52"/>
      <c r="AB16" s="32" t="str">
        <f t="shared" si="11"/>
        <v>0</v>
      </c>
      <c r="AC16" s="13"/>
      <c r="AD16" s="18"/>
    </row>
    <row r="17" spans="1:30" ht="20.7" customHeight="1" x14ac:dyDescent="0.2">
      <c r="A17" s="19">
        <v>45885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-45885</v>
      </c>
      <c r="J17" s="32">
        <f t="shared" si="0"/>
        <v>-1</v>
      </c>
      <c r="K17" s="20">
        <f t="shared" si="7"/>
        <v>45885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/>
      <c r="T17" s="123"/>
      <c r="U17" s="32" t="str">
        <f t="shared" si="9"/>
        <v>0</v>
      </c>
      <c r="V17" s="41"/>
      <c r="W17" s="32">
        <f t="shared" si="1"/>
        <v>0</v>
      </c>
      <c r="X17" s="44"/>
      <c r="Y17" s="14">
        <f t="shared" si="10"/>
        <v>0</v>
      </c>
      <c r="Z17" s="47"/>
      <c r="AA17" s="52"/>
      <c r="AB17" s="32" t="str">
        <f t="shared" si="11"/>
        <v>0</v>
      </c>
      <c r="AC17" s="13"/>
      <c r="AD17" s="18"/>
    </row>
    <row r="18" spans="1:30" ht="20.7" customHeight="1" x14ac:dyDescent="0.2">
      <c r="A18" s="19">
        <v>45886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-45886</v>
      </c>
      <c r="J18" s="32">
        <f t="shared" si="0"/>
        <v>-1</v>
      </c>
      <c r="K18" s="20">
        <f t="shared" si="7"/>
        <v>45886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/>
      <c r="T18" s="123"/>
      <c r="U18" s="32" t="str">
        <f t="shared" si="9"/>
        <v>0</v>
      </c>
      <c r="V18" s="41"/>
      <c r="W18" s="32">
        <f t="shared" si="1"/>
        <v>0</v>
      </c>
      <c r="X18" s="44"/>
      <c r="Y18" s="14">
        <f t="shared" si="10"/>
        <v>0</v>
      </c>
      <c r="Z18" s="47"/>
      <c r="AA18" s="52"/>
      <c r="AB18" s="32" t="str">
        <f t="shared" si="11"/>
        <v>0</v>
      </c>
      <c r="AC18" s="13"/>
      <c r="AD18" s="18"/>
    </row>
    <row r="19" spans="1:30" ht="20.7" customHeight="1" x14ac:dyDescent="0.2">
      <c r="A19" s="19">
        <v>45887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-45887</v>
      </c>
      <c r="J19" s="32">
        <f t="shared" si="0"/>
        <v>-1</v>
      </c>
      <c r="K19" s="20">
        <f t="shared" si="7"/>
        <v>45887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/>
      <c r="T19" s="123"/>
      <c r="U19" s="32" t="str">
        <f t="shared" si="9"/>
        <v>0</v>
      </c>
      <c r="V19" s="41"/>
      <c r="W19" s="32">
        <f t="shared" si="1"/>
        <v>0</v>
      </c>
      <c r="X19" s="44"/>
      <c r="Y19" s="14">
        <f t="shared" si="10"/>
        <v>0</v>
      </c>
      <c r="Z19" s="47"/>
      <c r="AA19" s="52"/>
      <c r="AB19" s="32" t="str">
        <f t="shared" si="11"/>
        <v>0</v>
      </c>
      <c r="AC19" s="13"/>
      <c r="AD19" s="18"/>
    </row>
    <row r="20" spans="1:30" ht="20.7" customHeight="1" x14ac:dyDescent="0.2">
      <c r="A20" s="19">
        <v>45888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-45888</v>
      </c>
      <c r="J20" s="32">
        <f t="shared" si="0"/>
        <v>-1</v>
      </c>
      <c r="K20" s="20">
        <f t="shared" si="7"/>
        <v>45888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/>
      <c r="T20" s="123"/>
      <c r="U20" s="32" t="str">
        <f t="shared" si="9"/>
        <v>0</v>
      </c>
      <c r="V20" s="41"/>
      <c r="W20" s="32">
        <f t="shared" si="1"/>
        <v>0</v>
      </c>
      <c r="X20" s="44"/>
      <c r="Y20" s="14">
        <f t="shared" si="10"/>
        <v>0</v>
      </c>
      <c r="Z20" s="47"/>
      <c r="AA20" s="52"/>
      <c r="AB20" s="32" t="str">
        <f t="shared" si="11"/>
        <v>0</v>
      </c>
      <c r="AC20" s="13"/>
      <c r="AD20" s="18"/>
    </row>
    <row r="21" spans="1:30" ht="20.7" customHeight="1" x14ac:dyDescent="0.2">
      <c r="A21" s="19">
        <v>45889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-45889</v>
      </c>
      <c r="J21" s="32">
        <f t="shared" si="0"/>
        <v>-1</v>
      </c>
      <c r="K21" s="20">
        <f t="shared" si="7"/>
        <v>45889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/>
      <c r="T21" s="123"/>
      <c r="U21" s="32" t="str">
        <f t="shared" si="9"/>
        <v>0</v>
      </c>
      <c r="V21" s="41"/>
      <c r="W21" s="32">
        <f t="shared" si="1"/>
        <v>0</v>
      </c>
      <c r="X21" s="44"/>
      <c r="Y21" s="14">
        <f t="shared" si="10"/>
        <v>0</v>
      </c>
      <c r="Z21" s="47"/>
      <c r="AA21" s="52"/>
      <c r="AB21" s="32" t="str">
        <f t="shared" si="11"/>
        <v>0</v>
      </c>
      <c r="AC21" s="13"/>
      <c r="AD21" s="18"/>
    </row>
    <row r="22" spans="1:30" ht="20.7" customHeight="1" x14ac:dyDescent="0.2">
      <c r="A22" s="19">
        <v>45890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-45890</v>
      </c>
      <c r="J22" s="32">
        <f t="shared" si="0"/>
        <v>-1</v>
      </c>
      <c r="K22" s="20">
        <f t="shared" si="7"/>
        <v>45890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/>
      <c r="T22" s="123"/>
      <c r="U22" s="32" t="str">
        <f t="shared" si="9"/>
        <v>0</v>
      </c>
      <c r="V22" s="41"/>
      <c r="W22" s="32">
        <f t="shared" si="1"/>
        <v>0</v>
      </c>
      <c r="X22" s="44"/>
      <c r="Y22" s="14">
        <f t="shared" si="10"/>
        <v>0</v>
      </c>
      <c r="Z22" s="47"/>
      <c r="AA22" s="52"/>
      <c r="AB22" s="32" t="str">
        <f t="shared" si="11"/>
        <v>0</v>
      </c>
      <c r="AC22" s="13"/>
      <c r="AD22" s="18"/>
    </row>
    <row r="23" spans="1:30" ht="20.7" customHeight="1" x14ac:dyDescent="0.2">
      <c r="A23" s="19">
        <v>45891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-45891</v>
      </c>
      <c r="J23" s="32">
        <f t="shared" si="0"/>
        <v>-1</v>
      </c>
      <c r="K23" s="20">
        <f t="shared" si="7"/>
        <v>45891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/>
      <c r="T23" s="37"/>
      <c r="U23" s="32" t="str">
        <f t="shared" si="9"/>
        <v>0</v>
      </c>
      <c r="V23" s="41"/>
      <c r="W23" s="32">
        <f t="shared" si="1"/>
        <v>0</v>
      </c>
      <c r="X23" s="44"/>
      <c r="Y23" s="14">
        <f t="shared" si="10"/>
        <v>0</v>
      </c>
      <c r="Z23" s="47"/>
      <c r="AA23" s="52"/>
      <c r="AB23" s="32" t="str">
        <f t="shared" si="11"/>
        <v>0</v>
      </c>
      <c r="AC23" s="13"/>
      <c r="AD23" s="18"/>
    </row>
    <row r="24" spans="1:30" ht="20.7" customHeight="1" x14ac:dyDescent="0.2">
      <c r="A24" s="19">
        <v>45892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-45892</v>
      </c>
      <c r="J24" s="32">
        <f t="shared" si="0"/>
        <v>-1</v>
      </c>
      <c r="K24" s="20">
        <f t="shared" si="7"/>
        <v>45892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/>
      <c r="T24" s="37"/>
      <c r="U24" s="32" t="str">
        <f t="shared" si="9"/>
        <v>0</v>
      </c>
      <c r="V24" s="41"/>
      <c r="W24" s="32">
        <f t="shared" si="1"/>
        <v>0</v>
      </c>
      <c r="X24" s="44"/>
      <c r="Y24" s="14">
        <f t="shared" si="10"/>
        <v>0</v>
      </c>
      <c r="Z24" s="47"/>
      <c r="AA24" s="52"/>
      <c r="AB24" s="32" t="str">
        <f t="shared" si="11"/>
        <v>0</v>
      </c>
      <c r="AC24" s="13"/>
      <c r="AD24" s="18"/>
    </row>
    <row r="25" spans="1:30" ht="20.7" customHeight="1" x14ac:dyDescent="0.2">
      <c r="A25" s="19">
        <v>45893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-45893</v>
      </c>
      <c r="J25" s="32">
        <f t="shared" si="0"/>
        <v>-1</v>
      </c>
      <c r="K25" s="20">
        <f t="shared" si="7"/>
        <v>45893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/>
      <c r="T25" s="37"/>
      <c r="U25" s="32" t="str">
        <f t="shared" si="9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1"/>
        <v>0</v>
      </c>
      <c r="AC25" s="13"/>
      <c r="AD25" s="18"/>
    </row>
    <row r="26" spans="1:30" ht="20.7" customHeight="1" x14ac:dyDescent="0.2">
      <c r="A26" s="19">
        <v>45894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-45894</v>
      </c>
      <c r="J26" s="32">
        <f t="shared" si="0"/>
        <v>-1</v>
      </c>
      <c r="K26" s="20">
        <f t="shared" si="7"/>
        <v>45894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/>
      <c r="T26" s="37"/>
      <c r="U26" s="32" t="str">
        <f t="shared" si="9"/>
        <v>0</v>
      </c>
      <c r="V26" s="41"/>
      <c r="W26" s="32">
        <f t="shared" si="1"/>
        <v>0</v>
      </c>
      <c r="X26" s="44"/>
      <c r="Y26" s="14">
        <f t="shared" si="10"/>
        <v>0</v>
      </c>
      <c r="Z26" s="47"/>
      <c r="AA26" s="52"/>
      <c r="AB26" s="32" t="str">
        <f t="shared" si="11"/>
        <v>0</v>
      </c>
      <c r="AC26" s="13"/>
      <c r="AD26" s="18"/>
    </row>
    <row r="27" spans="1:30" ht="20.7" customHeight="1" x14ac:dyDescent="0.2">
      <c r="A27" s="19">
        <v>45895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-45895</v>
      </c>
      <c r="J27" s="32">
        <f t="shared" si="0"/>
        <v>-1</v>
      </c>
      <c r="K27" s="20">
        <f t="shared" si="7"/>
        <v>45895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/>
      <c r="T27" s="37"/>
      <c r="U27" s="32" t="str">
        <f t="shared" si="9"/>
        <v>0</v>
      </c>
      <c r="V27" s="41"/>
      <c r="W27" s="32">
        <f t="shared" si="1"/>
        <v>0</v>
      </c>
      <c r="X27" s="44"/>
      <c r="Y27" s="14">
        <f t="shared" si="10"/>
        <v>0</v>
      </c>
      <c r="Z27" s="47"/>
      <c r="AA27" s="52"/>
      <c r="AB27" s="32" t="str">
        <f t="shared" si="11"/>
        <v>0</v>
      </c>
      <c r="AC27" s="13"/>
      <c r="AD27" s="18"/>
    </row>
    <row r="28" spans="1:30" ht="20.7" customHeight="1" x14ac:dyDescent="0.2">
      <c r="A28" s="19">
        <v>45896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-45896</v>
      </c>
      <c r="J28" s="32">
        <f t="shared" si="0"/>
        <v>-1</v>
      </c>
      <c r="K28" s="20">
        <f t="shared" si="7"/>
        <v>45896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/>
      <c r="T28" s="37"/>
      <c r="U28" s="32" t="str">
        <f t="shared" si="9"/>
        <v>0</v>
      </c>
      <c r="V28" s="41"/>
      <c r="W28" s="32">
        <f t="shared" si="1"/>
        <v>0</v>
      </c>
      <c r="X28" s="44"/>
      <c r="Y28" s="14">
        <f t="shared" si="10"/>
        <v>0</v>
      </c>
      <c r="Z28" s="47"/>
      <c r="AA28" s="52"/>
      <c r="AB28" s="32" t="str">
        <f t="shared" si="11"/>
        <v>0</v>
      </c>
      <c r="AC28" s="13"/>
      <c r="AD28" s="18"/>
    </row>
    <row r="29" spans="1:30" ht="20.7" customHeight="1" x14ac:dyDescent="0.2">
      <c r="A29" s="19">
        <v>45897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-45897</v>
      </c>
      <c r="J29" s="32">
        <f t="shared" si="0"/>
        <v>-1</v>
      </c>
      <c r="K29" s="20">
        <f t="shared" si="7"/>
        <v>45897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/>
      <c r="T29" s="37"/>
      <c r="U29" s="32" t="str">
        <f t="shared" si="9"/>
        <v>0</v>
      </c>
      <c r="V29" s="41"/>
      <c r="W29" s="32">
        <f t="shared" si="1"/>
        <v>0</v>
      </c>
      <c r="X29" s="44"/>
      <c r="Y29" s="14">
        <f t="shared" si="10"/>
        <v>0</v>
      </c>
      <c r="Z29" s="47"/>
      <c r="AA29" s="52"/>
      <c r="AB29" s="32" t="str">
        <f t="shared" si="11"/>
        <v>0</v>
      </c>
      <c r="AC29" s="13"/>
      <c r="AD29" s="18"/>
    </row>
    <row r="30" spans="1:30" ht="20.7" customHeight="1" x14ac:dyDescent="0.2">
      <c r="A30" s="19">
        <v>45898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-45898</v>
      </c>
      <c r="J30" s="32">
        <f>I32-I30</f>
        <v>-2</v>
      </c>
      <c r="K30" s="20">
        <f t="shared" si="7"/>
        <v>45898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/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45899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>F32-F31</f>
        <v>0</v>
      </c>
      <c r="H31" s="69">
        <f t="shared" ref="H31" si="12">C31+E31-G31</f>
        <v>0</v>
      </c>
      <c r="I31" s="73">
        <f t="shared" ref="I31" si="13">H31-K31-M31-O31-Q31</f>
        <v>-45899</v>
      </c>
      <c r="J31" s="32">
        <f>I32-I31</f>
        <v>-1</v>
      </c>
      <c r="K31" s="20">
        <f t="shared" ref="K31" si="14">A31</f>
        <v>45899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/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45900</v>
      </c>
      <c r="B32" s="10"/>
      <c r="C32" s="14">
        <f>IF((B33-B32)&lt;0,"0",B33-B32)</f>
        <v>0</v>
      </c>
      <c r="D32" s="11"/>
      <c r="E32" s="14">
        <f t="shared" si="3"/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-45900</v>
      </c>
      <c r="J32" s="32">
        <f>I33-I32</f>
        <v>45900</v>
      </c>
      <c r="K32" s="20">
        <f t="shared" si="7"/>
        <v>45900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/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45901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/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0</v>
      </c>
      <c r="D34" s="77"/>
      <c r="E34" s="76">
        <f>SUM(E2:E33)</f>
        <v>0</v>
      </c>
      <c r="F34" s="78"/>
      <c r="G34" s="76">
        <f>SUM(G2:G33)</f>
        <v>0</v>
      </c>
      <c r="H34" s="77">
        <f>SUM(H2:H33)</f>
        <v>0</v>
      </c>
      <c r="I34" s="76">
        <f>SUM(I2:I32)</f>
        <v>-1422436.33</v>
      </c>
      <c r="J34" s="76">
        <f>SUM(J2:J33)</f>
        <v>45870.329999999994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0</v>
      </c>
      <c r="U34" s="76">
        <f>SUM(U2:U33)</f>
        <v>0</v>
      </c>
      <c r="V34" s="75"/>
      <c r="W34" s="76">
        <f>SUM(W2:W33)</f>
        <v>0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174</v>
      </c>
      <c r="AD34" s="80">
        <f>SUM(AD2:AD33)</f>
        <v>370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2025-08-01T05:27:56Z</dcterms:modified>
  <cp:category/>
  <cp:contentStatus/>
</cp:coreProperties>
</file>