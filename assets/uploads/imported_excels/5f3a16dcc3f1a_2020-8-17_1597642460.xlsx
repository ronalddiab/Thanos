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1" i="3"/>
  <c r="G21"/>
  <c r="G20"/>
  <c r="AF20"/>
  <c r="AC19" i="13"/>
  <c r="AC20"/>
  <c r="H19" i="23" s="1"/>
  <c r="AC21" i="13"/>
  <c r="H20" i="23" s="1"/>
  <c r="AC22" i="13"/>
  <c r="AF19" i="3"/>
  <c r="G19"/>
  <c r="G18"/>
  <c r="AF18"/>
  <c r="AF17"/>
  <c r="G17"/>
  <c r="AF16"/>
  <c r="G16"/>
  <c r="L15"/>
  <c r="L16"/>
  <c r="L17"/>
  <c r="L18"/>
  <c r="L19"/>
  <c r="L20"/>
  <c r="L21"/>
  <c r="L22"/>
  <c r="AF15"/>
  <c r="G15"/>
  <c r="G14"/>
  <c r="AF14"/>
  <c r="AF13"/>
  <c r="G13"/>
  <c r="M12"/>
  <c r="G12"/>
  <c r="AF12"/>
  <c r="AF11"/>
  <c r="M11"/>
  <c r="G11"/>
  <c r="M10"/>
  <c r="G10"/>
  <c r="AF10"/>
  <c r="AF9"/>
  <c r="M9"/>
  <c r="G9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AF8" i="3" l="1"/>
  <c r="M8"/>
  <c r="G8"/>
  <c r="G10" i="15"/>
  <c r="G11"/>
  <c r="G12"/>
  <c r="G13"/>
  <c r="G14"/>
  <c r="AF7" i="3" l="1"/>
  <c r="M7"/>
  <c r="G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O4" i="18" l="1"/>
  <c r="O5"/>
  <c r="O6"/>
  <c r="Q7" s="1"/>
  <c r="O7"/>
  <c r="O8"/>
  <c r="O9"/>
  <c r="O10"/>
  <c r="Q11" s="1"/>
  <c r="O11"/>
  <c r="Q12" s="1"/>
  <c r="O12"/>
  <c r="O13"/>
  <c r="O14"/>
  <c r="Q15" s="1"/>
  <c r="O15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AF6" i="3"/>
  <c r="K8"/>
  <c r="K9"/>
  <c r="K7"/>
  <c r="K6"/>
  <c r="M6"/>
  <c r="N7" s="1"/>
  <c r="G6"/>
  <c r="J4" i="18" s="1"/>
  <c r="AF5" i="3"/>
  <c r="M5"/>
  <c r="G5"/>
  <c r="J3" i="18" s="1"/>
  <c r="F21" i="10"/>
  <c r="F22"/>
  <c r="F23"/>
  <c r="F24"/>
  <c r="F25"/>
  <c r="F26"/>
  <c r="F27"/>
  <c r="F28"/>
  <c r="F29"/>
  <c r="F30"/>
  <c r="F31"/>
  <c r="F32"/>
  <c r="F33"/>
  <c r="F34"/>
  <c r="F35"/>
  <c r="G21"/>
  <c r="G22"/>
  <c r="G23"/>
  <c r="G24"/>
  <c r="G25"/>
  <c r="G26"/>
  <c r="G27"/>
  <c r="G28"/>
  <c r="G29"/>
  <c r="G30"/>
  <c r="G31"/>
  <c r="G32"/>
  <c r="G33"/>
  <c r="G34"/>
  <c r="G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5"/>
  <c r="Q6"/>
  <c r="Q8"/>
  <c r="Q9"/>
  <c r="Q10"/>
  <c r="Q13"/>
  <c r="Q14"/>
  <c r="Q16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5" i="3"/>
  <c r="N8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D29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B32" i="26"/>
  <c r="AG12" i="3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AK44" i="1"/>
  <c r="AS44" s="1"/>
  <c r="AT44" s="1"/>
  <c r="K18" i="14" l="1"/>
  <c r="K19"/>
  <c r="K20"/>
  <c r="D58" i="3"/>
  <c r="N17" i="12"/>
  <c r="P17" s="1"/>
  <c r="E16" i="3"/>
  <c r="K15" i="10" s="1"/>
  <c r="K5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5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21" i="23" l="1"/>
  <c r="K21" i="10"/>
  <c r="F20" i="23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9" i="1" l="1"/>
  <c r="D11" s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charset val="1"/>
          </rPr>
          <t>michael.wendo:</t>
        </r>
        <r>
          <rPr>
            <sz val="9"/>
            <color indexed="81"/>
            <rFont val="Tahoma"/>
            <charset val="1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<sst xmlns="http://schemas.openxmlformats.org/spreadsheetml/2006/main" count="533" uniqueCount="321">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</sst>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782.06</c:v>
                </c:pt>
                <c:pt idx="1">
                  <c:v>788.41</c:v>
                </c:pt>
                <c:pt idx="2">
                  <c:v>793.6099999999999</c:v>
                </c:pt>
                <c:pt idx="3">
                  <c:v>776.02</c:v>
                </c:pt>
                <c:pt idx="4">
                  <c:v>778.12</c:v>
                </c:pt>
                <c:pt idx="5">
                  <c:v>771.7</c:v>
                </c:pt>
                <c:pt idx="6">
                  <c:v>822.74</c:v>
                </c:pt>
                <c:pt idx="7">
                  <c:v>886.95</c:v>
                </c:pt>
                <c:pt idx="8">
                  <c:v>798.82999999999993</c:v>
                </c:pt>
                <c:pt idx="9">
                  <c:v>777.96</c:v>
                </c:pt>
                <c:pt idx="10">
                  <c:v>763.8</c:v>
                </c:pt>
                <c:pt idx="11">
                  <c:v>756.53</c:v>
                </c:pt>
                <c:pt idx="12">
                  <c:v>779.34999999999991</c:v>
                </c:pt>
                <c:pt idx="13">
                  <c:v>758.66000000000008</c:v>
                </c:pt>
                <c:pt idx="14">
                  <c:v>736.99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989376"/>
        <c:axId val="1219952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996800"/>
        <c:axId val="121998336"/>
      </c:lineChart>
      <c:catAx>
        <c:axId val="12198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5264"/>
        <c:crosses val="autoZero"/>
        <c:auto val="1"/>
        <c:lblAlgn val="ctr"/>
        <c:lblOffset val="100"/>
      </c:catAx>
      <c:valAx>
        <c:axId val="1219952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89376"/>
        <c:crosses val="autoZero"/>
        <c:crossBetween val="between"/>
        <c:majorUnit val="200"/>
      </c:valAx>
      <c:catAx>
        <c:axId val="121996800"/>
        <c:scaling>
          <c:orientation val="minMax"/>
        </c:scaling>
        <c:delete val="1"/>
        <c:axPos val="b"/>
        <c:tickLblPos val="none"/>
        <c:crossAx val="121998336"/>
        <c:crosses val="autoZero"/>
        <c:auto val="1"/>
        <c:lblAlgn val="ctr"/>
        <c:lblOffset val="100"/>
      </c:catAx>
      <c:valAx>
        <c:axId val="1219983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6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920192"/>
        <c:axId val="1249217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923264"/>
        <c:axId val="124929152"/>
      </c:lineChart>
      <c:catAx>
        <c:axId val="1249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1728"/>
        <c:crosses val="autoZero"/>
        <c:auto val="1"/>
        <c:lblAlgn val="ctr"/>
        <c:lblOffset val="100"/>
      </c:catAx>
      <c:valAx>
        <c:axId val="12492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0192"/>
        <c:crosses val="autoZero"/>
        <c:crossBetween val="between"/>
        <c:majorUnit val="200"/>
      </c:valAx>
      <c:catAx>
        <c:axId val="124923264"/>
        <c:scaling>
          <c:orientation val="minMax"/>
        </c:scaling>
        <c:delete val="1"/>
        <c:axPos val="b"/>
        <c:tickLblPos val="none"/>
        <c:crossAx val="124929152"/>
        <c:crosses val="autoZero"/>
        <c:auto val="1"/>
        <c:lblAlgn val="ctr"/>
        <c:lblOffset val="100"/>
      </c:catAx>
      <c:valAx>
        <c:axId val="1249291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3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844.05</c:v>
                </c:pt>
                <c:pt idx="16">
                  <c:v>758.66000000000008</c:v>
                </c:pt>
                <c:pt idx="17">
                  <c:v>736.99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5392384"/>
        <c:axId val="125393920"/>
      </c:lineChart>
      <c:catAx>
        <c:axId val="12539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93920"/>
        <c:crosses val="autoZero"/>
        <c:auto val="1"/>
        <c:lblAlgn val="ctr"/>
        <c:lblOffset val="200"/>
        <c:tickLblSkip val="1"/>
      </c:catAx>
      <c:valAx>
        <c:axId val="125393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9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5418496"/>
        <c:axId val="150610688"/>
      </c:lineChart>
      <c:catAx>
        <c:axId val="12541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10688"/>
        <c:crosses val="autoZero"/>
        <c:auto val="1"/>
        <c:lblAlgn val="ctr"/>
        <c:lblOffset val="100"/>
      </c:catAx>
      <c:valAx>
        <c:axId val="150610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1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0655744"/>
        <c:axId val="150657664"/>
      </c:lineChart>
      <c:catAx>
        <c:axId val="150655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7664"/>
        <c:crosses val="autoZero"/>
        <c:auto val="1"/>
        <c:lblAlgn val="ctr"/>
        <c:lblOffset val="100"/>
      </c:catAx>
      <c:valAx>
        <c:axId val="150657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5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5164544"/>
        <c:axId val="125170816"/>
      </c:lineChart>
      <c:catAx>
        <c:axId val="12516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70816"/>
        <c:crosses val="autoZero"/>
        <c:auto val="1"/>
        <c:lblAlgn val="ctr"/>
        <c:lblOffset val="100"/>
      </c:catAx>
      <c:valAx>
        <c:axId val="125170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64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-316381.38400000002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0627840"/>
        <c:axId val="150629376"/>
      </c:lineChart>
      <c:catAx>
        <c:axId val="15062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29376"/>
        <c:crosses val="autoZero"/>
        <c:auto val="1"/>
        <c:lblAlgn val="ctr"/>
        <c:lblOffset val="100"/>
      </c:catAx>
      <c:valAx>
        <c:axId val="150629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2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244800"/>
        <c:axId val="151246336"/>
      </c:lineChart>
      <c:catAx>
        <c:axId val="15124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6336"/>
        <c:crosses val="autoZero"/>
        <c:auto val="1"/>
        <c:lblAlgn val="ctr"/>
        <c:lblOffset val="100"/>
      </c:catAx>
      <c:valAx>
        <c:axId val="15124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741.42</c:v>
                </c:pt>
                <c:pt idx="3">
                  <c:v>782.06</c:v>
                </c:pt>
                <c:pt idx="4">
                  <c:v>788.41</c:v>
                </c:pt>
                <c:pt idx="5">
                  <c:v>793.6099999999999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822.74</c:v>
                </c:pt>
                <c:pt idx="10">
                  <c:v>886.95</c:v>
                </c:pt>
                <c:pt idx="11">
                  <c:v>798.82999999999993</c:v>
                </c:pt>
                <c:pt idx="12">
                  <c:v>777.96</c:v>
                </c:pt>
                <c:pt idx="13">
                  <c:v>763.8</c:v>
                </c:pt>
                <c:pt idx="14">
                  <c:v>756.53</c:v>
                </c:pt>
                <c:pt idx="15">
                  <c:v>779.34999999999991</c:v>
                </c:pt>
                <c:pt idx="16">
                  <c:v>758.66000000000008</c:v>
                </c:pt>
                <c:pt idx="17">
                  <c:v>736.99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676032"/>
        <c:axId val="151677568"/>
      </c:lineChart>
      <c:catAx>
        <c:axId val="1516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7568"/>
        <c:crosses val="autoZero"/>
        <c:auto val="1"/>
        <c:lblAlgn val="ctr"/>
        <c:lblOffset val="100"/>
      </c:catAx>
      <c:valAx>
        <c:axId val="15167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851"/>
          <c:y val="7.47132470511122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714432"/>
        <c:axId val="152441216"/>
      </c:lineChart>
      <c:catAx>
        <c:axId val="1517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1216"/>
        <c:crosses val="autoZero"/>
        <c:auto val="1"/>
        <c:lblAlgn val="ctr"/>
        <c:lblOffset val="200"/>
        <c:tickLblSkip val="1"/>
      </c:catAx>
      <c:valAx>
        <c:axId val="152441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2482560"/>
        <c:axId val="152484096"/>
      </c:lineChart>
      <c:catAx>
        <c:axId val="15248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84096"/>
        <c:crosses val="autoZero"/>
        <c:auto val="1"/>
        <c:lblAlgn val="ctr"/>
        <c:lblOffset val="100"/>
      </c:catAx>
      <c:valAx>
        <c:axId val="15248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8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2496384"/>
        <c:axId val="152809856"/>
      </c:lineChart>
      <c:catAx>
        <c:axId val="15249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09856"/>
        <c:crosses val="autoZero"/>
        <c:auto val="1"/>
        <c:lblAlgn val="ctr"/>
        <c:lblOffset val="100"/>
      </c:catAx>
      <c:valAx>
        <c:axId val="1528098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6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2990464"/>
        <c:axId val="152992384"/>
      </c:lineChart>
      <c:catAx>
        <c:axId val="152990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2384"/>
        <c:crosses val="autoZero"/>
        <c:auto val="1"/>
        <c:lblAlgn val="ctr"/>
        <c:lblOffset val="100"/>
      </c:catAx>
      <c:valAx>
        <c:axId val="152992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0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3164800"/>
        <c:axId val="153170688"/>
      </c:lineChart>
      <c:catAx>
        <c:axId val="1531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70688"/>
        <c:crosses val="autoZero"/>
        <c:auto val="1"/>
        <c:lblAlgn val="ctr"/>
        <c:lblOffset val="100"/>
      </c:catAx>
      <c:valAx>
        <c:axId val="15317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3200128"/>
        <c:axId val="153201664"/>
      </c:lineChart>
      <c:catAx>
        <c:axId val="15320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01664"/>
        <c:crosses val="autoZero"/>
        <c:auto val="1"/>
        <c:lblAlgn val="ctr"/>
        <c:lblOffset val="100"/>
      </c:catAx>
      <c:valAx>
        <c:axId val="15320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0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496192"/>
        <c:axId val="153502080"/>
      </c:lineChart>
      <c:catAx>
        <c:axId val="15349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2080"/>
        <c:crosses val="autoZero"/>
        <c:auto val="1"/>
        <c:lblAlgn val="ctr"/>
        <c:lblOffset val="100"/>
      </c:catAx>
      <c:valAx>
        <c:axId val="15350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095"/>
          <c:y val="7.471324705111265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2237696"/>
        <c:axId val="1222392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2245120"/>
        <c:axId val="122246656"/>
      </c:lineChart>
      <c:catAx>
        <c:axId val="1222376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39232"/>
        <c:crosses val="autoZero"/>
        <c:lblAlgn val="ctr"/>
        <c:lblOffset val="100"/>
        <c:tickMarkSkip val="1"/>
      </c:catAx>
      <c:valAx>
        <c:axId val="122239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37696"/>
        <c:crosses val="autoZero"/>
        <c:crossBetween val="between"/>
      </c:valAx>
      <c:catAx>
        <c:axId val="122245120"/>
        <c:scaling>
          <c:orientation val="minMax"/>
        </c:scaling>
        <c:delete val="1"/>
        <c:axPos val="b"/>
        <c:numFmt formatCode="[$-409]d\-mmm\-yy;@" sourceLinked="1"/>
        <c:tickLblPos val="none"/>
        <c:crossAx val="122246656"/>
        <c:crosses val="autoZero"/>
        <c:lblAlgn val="ctr"/>
        <c:lblOffset val="100"/>
      </c:catAx>
      <c:valAx>
        <c:axId val="1222466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45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2283520"/>
        <c:axId val="122285056"/>
      </c:lineChart>
      <c:catAx>
        <c:axId val="12228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85056"/>
        <c:crosses val="autoZero"/>
        <c:auto val="1"/>
        <c:lblAlgn val="ctr"/>
        <c:lblOffset val="100"/>
      </c:catAx>
      <c:valAx>
        <c:axId val="1222850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8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5028480"/>
        <c:axId val="155038464"/>
      </c:lineChart>
      <c:catAx>
        <c:axId val="15502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8464"/>
        <c:crosses val="autoZero"/>
        <c:auto val="1"/>
        <c:lblAlgn val="ctr"/>
        <c:lblOffset val="100"/>
      </c:catAx>
      <c:valAx>
        <c:axId val="1550384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2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5491328"/>
        <c:axId val="1554972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5498752"/>
        <c:axId val="155500544"/>
      </c:lineChart>
      <c:catAx>
        <c:axId val="1554913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97216"/>
        <c:crosses val="autoZero"/>
        <c:lblAlgn val="ctr"/>
        <c:lblOffset val="100"/>
        <c:tickMarkSkip val="1"/>
      </c:catAx>
      <c:valAx>
        <c:axId val="15549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91328"/>
        <c:crosses val="autoZero"/>
        <c:crossBetween val="between"/>
      </c:valAx>
      <c:catAx>
        <c:axId val="155498752"/>
        <c:scaling>
          <c:orientation val="minMax"/>
        </c:scaling>
        <c:delete val="1"/>
        <c:axPos val="b"/>
        <c:numFmt formatCode="General" sourceLinked="1"/>
        <c:tickLblPos val="none"/>
        <c:crossAx val="155500544"/>
        <c:crosses val="autoZero"/>
        <c:lblAlgn val="ctr"/>
        <c:lblOffset val="100"/>
      </c:catAx>
      <c:valAx>
        <c:axId val="155500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98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950464"/>
        <c:axId val="155952256"/>
      </c:lineChart>
      <c:catAx>
        <c:axId val="15595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2256"/>
        <c:crosses val="autoZero"/>
        <c:auto val="1"/>
        <c:lblAlgn val="ctr"/>
        <c:lblOffset val="100"/>
      </c:catAx>
      <c:valAx>
        <c:axId val="15595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972736"/>
        <c:axId val="155974272"/>
      </c:lineChart>
      <c:catAx>
        <c:axId val="15597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74272"/>
        <c:crosses val="autoZero"/>
        <c:auto val="1"/>
        <c:lblAlgn val="ctr"/>
        <c:lblOffset val="100"/>
      </c:catAx>
      <c:valAx>
        <c:axId val="15597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7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5219584"/>
        <c:axId val="12522112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5235200"/>
        <c:axId val="125236736"/>
      </c:lineChart>
      <c:catAx>
        <c:axId val="1252195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21120"/>
        <c:crosses val="autoZero"/>
        <c:lblAlgn val="ctr"/>
        <c:lblOffset val="100"/>
        <c:tickMarkSkip val="1"/>
      </c:catAx>
      <c:valAx>
        <c:axId val="1252211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9584"/>
        <c:crosses val="autoZero"/>
        <c:crossBetween val="between"/>
      </c:valAx>
      <c:catAx>
        <c:axId val="125235200"/>
        <c:scaling>
          <c:orientation val="minMax"/>
        </c:scaling>
        <c:delete val="1"/>
        <c:axPos val="b"/>
        <c:numFmt formatCode="[$-409]d\-mmm\-yy;@" sourceLinked="1"/>
        <c:tickLblPos val="none"/>
        <c:crossAx val="125236736"/>
        <c:crosses val="autoZero"/>
        <c:lblAlgn val="ctr"/>
        <c:lblOffset val="100"/>
      </c:catAx>
      <c:valAx>
        <c:axId val="1252367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5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6474368"/>
        <c:axId val="1564761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6477696"/>
        <c:axId val="156483584"/>
      </c:lineChart>
      <c:catAx>
        <c:axId val="1564743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6160"/>
        <c:crosses val="autoZero"/>
        <c:lblAlgn val="ctr"/>
        <c:lblOffset val="100"/>
        <c:tickMarkSkip val="1"/>
      </c:catAx>
      <c:valAx>
        <c:axId val="15647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4368"/>
        <c:crosses val="autoZero"/>
        <c:crossBetween val="between"/>
      </c:valAx>
      <c:catAx>
        <c:axId val="156477696"/>
        <c:scaling>
          <c:orientation val="minMax"/>
        </c:scaling>
        <c:delete val="1"/>
        <c:axPos val="b"/>
        <c:numFmt formatCode="General" sourceLinked="1"/>
        <c:tickLblPos val="none"/>
        <c:crossAx val="156483584"/>
        <c:crosses val="autoZero"/>
        <c:lblAlgn val="ctr"/>
        <c:lblOffset val="100"/>
      </c:catAx>
      <c:valAx>
        <c:axId val="156483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8132480"/>
        <c:axId val="15794585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7947392"/>
        <c:axId val="157948928"/>
      </c:lineChart>
      <c:catAx>
        <c:axId val="1581324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5856"/>
        <c:crosses val="autoZero"/>
        <c:lblAlgn val="ctr"/>
        <c:lblOffset val="100"/>
        <c:tickMarkSkip val="1"/>
      </c:catAx>
      <c:valAx>
        <c:axId val="157945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2480"/>
        <c:crosses val="autoZero"/>
        <c:crossBetween val="between"/>
      </c:valAx>
      <c:catAx>
        <c:axId val="157947392"/>
        <c:scaling>
          <c:orientation val="minMax"/>
        </c:scaling>
        <c:delete val="1"/>
        <c:axPos val="b"/>
        <c:numFmt formatCode="[$-409]d\-mmm\-yy;@" sourceLinked="1"/>
        <c:tickLblPos val="none"/>
        <c:crossAx val="157948928"/>
        <c:crosses val="autoZero"/>
        <c:lblAlgn val="ctr"/>
        <c:lblOffset val="100"/>
      </c:catAx>
      <c:valAx>
        <c:axId val="1579489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73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012160"/>
        <c:axId val="1580136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015488"/>
        <c:axId val="158017024"/>
      </c:lineChart>
      <c:catAx>
        <c:axId val="158012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3696"/>
        <c:crosses val="autoZero"/>
        <c:lblAlgn val="ctr"/>
        <c:lblOffset val="100"/>
        <c:tickMarkSkip val="1"/>
      </c:catAx>
      <c:valAx>
        <c:axId val="15801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2160"/>
        <c:crosses val="autoZero"/>
        <c:crossBetween val="between"/>
      </c:valAx>
      <c:catAx>
        <c:axId val="158015488"/>
        <c:scaling>
          <c:orientation val="minMax"/>
        </c:scaling>
        <c:delete val="1"/>
        <c:axPos val="b"/>
        <c:numFmt formatCode="General" sourceLinked="1"/>
        <c:tickLblPos val="none"/>
        <c:crossAx val="158017024"/>
        <c:crosses val="autoZero"/>
        <c:lblAlgn val="ctr"/>
        <c:lblOffset val="100"/>
      </c:catAx>
      <c:valAx>
        <c:axId val="158017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5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528832"/>
        <c:axId val="159551488"/>
      </c:lineChart>
      <c:catAx>
        <c:axId val="159528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1488"/>
        <c:crosses val="autoZero"/>
        <c:auto val="1"/>
        <c:lblAlgn val="ctr"/>
        <c:lblOffset val="100"/>
      </c:catAx>
      <c:valAx>
        <c:axId val="159551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28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576448"/>
        <c:axId val="159578368"/>
      </c:lineChart>
      <c:catAx>
        <c:axId val="159576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78368"/>
        <c:crosses val="autoZero"/>
        <c:auto val="1"/>
        <c:lblAlgn val="ctr"/>
        <c:lblOffset val="100"/>
      </c:catAx>
      <c:valAx>
        <c:axId val="1595783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76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844.05</c:v>
                </c:pt>
                <c:pt idx="16">
                  <c:v>758.66000000000008</c:v>
                </c:pt>
                <c:pt idx="17">
                  <c:v>736.99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349376"/>
        <c:axId val="159355264"/>
      </c:lineChart>
      <c:catAx>
        <c:axId val="15934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55264"/>
        <c:crosses val="autoZero"/>
        <c:auto val="1"/>
        <c:lblAlgn val="ctr"/>
        <c:lblOffset val="200"/>
        <c:tickLblSkip val="1"/>
      </c:catAx>
      <c:valAx>
        <c:axId val="1593552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0309632"/>
        <c:axId val="160311168"/>
      </c:lineChart>
      <c:catAx>
        <c:axId val="16030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1168"/>
        <c:crosses val="autoZero"/>
        <c:auto val="1"/>
        <c:lblAlgn val="ctr"/>
        <c:lblOffset val="100"/>
      </c:catAx>
      <c:valAx>
        <c:axId val="1603111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0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-316381.38400000002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339840"/>
        <c:axId val="160341376"/>
      </c:lineChart>
      <c:catAx>
        <c:axId val="1603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1376"/>
        <c:crosses val="autoZero"/>
        <c:auto val="1"/>
        <c:lblAlgn val="ctr"/>
        <c:lblOffset val="100"/>
      </c:catAx>
      <c:valAx>
        <c:axId val="160341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242496"/>
        <c:axId val="161261056"/>
      </c:lineChart>
      <c:catAx>
        <c:axId val="161242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61056"/>
        <c:crosses val="autoZero"/>
        <c:auto val="1"/>
        <c:lblAlgn val="ctr"/>
        <c:lblOffset val="100"/>
      </c:catAx>
      <c:valAx>
        <c:axId val="161261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2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417088"/>
        <c:axId val="161460224"/>
      </c:lineChart>
      <c:catAx>
        <c:axId val="16141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60224"/>
        <c:crosses val="autoZero"/>
        <c:auto val="1"/>
        <c:lblAlgn val="ctr"/>
        <c:lblOffset val="100"/>
      </c:catAx>
      <c:valAx>
        <c:axId val="1614602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1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844.05</c:v>
                </c:pt>
                <c:pt idx="16">
                  <c:v>758.66000000000008</c:v>
                </c:pt>
                <c:pt idx="17">
                  <c:v>736.99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476992"/>
        <c:axId val="161478528"/>
      </c:lineChart>
      <c:catAx>
        <c:axId val="16147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78528"/>
        <c:crosses val="autoZero"/>
        <c:auto val="1"/>
        <c:lblAlgn val="ctr"/>
        <c:lblOffset val="200"/>
        <c:tickLblSkip val="1"/>
      </c:catAx>
      <c:valAx>
        <c:axId val="161478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7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183616"/>
        <c:axId val="161185152"/>
      </c:lineChart>
      <c:catAx>
        <c:axId val="16118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85152"/>
        <c:crosses val="autoZero"/>
        <c:auto val="1"/>
        <c:lblAlgn val="ctr"/>
        <c:lblOffset val="100"/>
      </c:catAx>
      <c:valAx>
        <c:axId val="1611851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8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06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-316381.38400000002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209728"/>
        <c:axId val="162006144"/>
      </c:lineChart>
      <c:catAx>
        <c:axId val="16120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06144"/>
        <c:crosses val="autoZero"/>
        <c:auto val="1"/>
        <c:lblAlgn val="ctr"/>
        <c:lblOffset val="100"/>
      </c:catAx>
      <c:valAx>
        <c:axId val="162006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0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927744"/>
        <c:axId val="162929664"/>
      </c:lineChart>
      <c:catAx>
        <c:axId val="162927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29664"/>
        <c:crosses val="autoZero"/>
        <c:auto val="1"/>
        <c:lblAlgn val="ctr"/>
        <c:lblOffset val="100"/>
      </c:catAx>
      <c:valAx>
        <c:axId val="162929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27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946432"/>
        <c:axId val="162981376"/>
      </c:lineChart>
      <c:catAx>
        <c:axId val="162946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81376"/>
        <c:crosses val="autoZero"/>
        <c:auto val="1"/>
        <c:lblAlgn val="ctr"/>
        <c:lblOffset val="100"/>
      </c:catAx>
      <c:valAx>
        <c:axId val="162981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64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145600"/>
        <c:axId val="163147136"/>
      </c:lineChart>
      <c:catAx>
        <c:axId val="1631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7136"/>
        <c:crosses val="autoZero"/>
        <c:auto val="1"/>
        <c:lblAlgn val="ctr"/>
        <c:lblOffset val="200"/>
        <c:tickLblSkip val="1"/>
      </c:catAx>
      <c:valAx>
        <c:axId val="163147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184000"/>
        <c:axId val="163316864"/>
      </c:lineChart>
      <c:catAx>
        <c:axId val="1631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6864"/>
        <c:crosses val="autoZero"/>
        <c:auto val="1"/>
        <c:lblAlgn val="ctr"/>
        <c:lblOffset val="100"/>
      </c:catAx>
      <c:valAx>
        <c:axId val="16331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337344"/>
        <c:axId val="163338880"/>
      </c:lineChart>
      <c:catAx>
        <c:axId val="16333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8880"/>
        <c:crosses val="autoZero"/>
        <c:auto val="1"/>
        <c:lblAlgn val="ctr"/>
        <c:lblOffset val="100"/>
      </c:catAx>
      <c:valAx>
        <c:axId val="16333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846784"/>
        <c:axId val="163869440"/>
      </c:lineChart>
      <c:catAx>
        <c:axId val="16384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9440"/>
        <c:crosses val="autoZero"/>
        <c:auto val="1"/>
        <c:lblAlgn val="ctr"/>
        <c:lblOffset val="100"/>
      </c:catAx>
      <c:valAx>
        <c:axId val="163869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46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652736"/>
        <c:axId val="163654656"/>
      </c:lineChart>
      <c:catAx>
        <c:axId val="163652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54656"/>
        <c:crosses val="autoZero"/>
        <c:auto val="1"/>
        <c:lblAlgn val="ctr"/>
        <c:lblOffset val="100"/>
      </c:catAx>
      <c:valAx>
        <c:axId val="163654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52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683712"/>
        <c:axId val="163693696"/>
      </c:lineChart>
      <c:catAx>
        <c:axId val="16368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93696"/>
        <c:crosses val="autoZero"/>
        <c:auto val="1"/>
        <c:lblAlgn val="ctr"/>
        <c:lblOffset val="200"/>
        <c:tickLblSkip val="1"/>
      </c:catAx>
      <c:valAx>
        <c:axId val="163693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8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381824"/>
        <c:axId val="164383360"/>
      </c:lineChart>
      <c:catAx>
        <c:axId val="1643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83360"/>
        <c:crosses val="autoZero"/>
        <c:auto val="1"/>
        <c:lblAlgn val="ctr"/>
        <c:lblOffset val="100"/>
      </c:catAx>
      <c:valAx>
        <c:axId val="1643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403840"/>
        <c:axId val="164413824"/>
      </c:lineChart>
      <c:catAx>
        <c:axId val="1644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13824"/>
        <c:crosses val="autoZero"/>
        <c:auto val="1"/>
        <c:lblAlgn val="ctr"/>
        <c:lblOffset val="100"/>
      </c:catAx>
      <c:valAx>
        <c:axId val="16441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7%20JUL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41431.87000000001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G35">
            <v>38000</v>
          </cell>
          <cell r="M35">
            <v>12366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2" sqref="P12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8</v>
      </c>
      <c r="D2" s="482">
        <v>2020</v>
      </c>
      <c r="E2" s="483">
        <f>'UTILITY REPORT 1'!F3</f>
        <v>1872</v>
      </c>
      <c r="F2" s="484">
        <f>('UTILITY REPORT 1'!E3*'UTILITY REPORT 1'!D3)/'UTILITY REPORT 1'!F3</f>
        <v>0.39605769230769228</v>
      </c>
      <c r="G2" s="484">
        <f>IF('Utility summery'!M6&lt;0,"0",'Utility summery'!M6)</f>
        <v>315873.14000000007</v>
      </c>
      <c r="H2" s="492">
        <v>0</v>
      </c>
      <c r="I2" s="484">
        <f>IF('UTILITY REPORT 1'!G3&lt;0,"0",'UTILITY REPORT 1'!G3)</f>
        <v>51</v>
      </c>
      <c r="J2" s="492">
        <v>0</v>
      </c>
      <c r="K2" s="483">
        <f>'UTILITY REPORT 1'!C3</f>
        <v>0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8</v>
      </c>
      <c r="D3" s="482">
        <v>2020</v>
      </c>
      <c r="E3" s="483">
        <f>'UTILITY REPORT 1'!F4</f>
        <v>2030</v>
      </c>
      <c r="F3" s="484">
        <f>('UTILITY REPORT 1'!E4*'UTILITY REPORT 1'!D4)/'UTILITY REPORT 1'!F4</f>
        <v>0.38525123152709356</v>
      </c>
      <c r="G3" s="484">
        <f>IF('Utility summery'!M7&lt;0,"0",'Utility summery'!M7)</f>
        <v>25.784000000002564</v>
      </c>
      <c r="H3" s="492">
        <v>0</v>
      </c>
      <c r="I3" s="484">
        <f>IF('UTILITY REPORT 1'!G4&lt;0,"0",'UTILITY REPORT 1'!G4)</f>
        <v>53</v>
      </c>
      <c r="J3" s="492">
        <v>0</v>
      </c>
      <c r="K3" s="483">
        <f>'UTILITY REPORT 1'!C4</f>
        <v>0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2" si="0">B3+1</f>
        <v>3</v>
      </c>
      <c r="C4" s="481">
        <v>8</v>
      </c>
      <c r="D4" s="482">
        <v>2020</v>
      </c>
      <c r="E4" s="483">
        <f>'UTILITY REPORT 1'!F5</f>
        <v>1818</v>
      </c>
      <c r="F4" s="484">
        <f>('UTILITY REPORT 1'!E5*'UTILITY REPORT 1'!D5)/'UTILITY REPORT 1'!F5</f>
        <v>0.43366886688668865</v>
      </c>
      <c r="G4" s="484">
        <f>IF('Utility summery'!M8&lt;0,"0",'Utility summery'!M8)</f>
        <v>12.847999999992318</v>
      </c>
      <c r="H4" s="492">
        <v>0</v>
      </c>
      <c r="I4" s="484">
        <f>IF('UTILITY REPORT 1'!G5&lt;0,"0",'UTILITY REPORT 1'!G5)</f>
        <v>42</v>
      </c>
      <c r="J4" s="492">
        <v>0</v>
      </c>
      <c r="K4" s="483">
        <f>'UTILITY REPORT 1'!C5</f>
        <v>0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8</v>
      </c>
      <c r="D5" s="482">
        <v>2020</v>
      </c>
      <c r="E5" s="483">
        <f>'UTILITY REPORT 1'!F6</f>
        <v>1980</v>
      </c>
      <c r="F5" s="484">
        <f>('UTILITY REPORT 1'!E6*'UTILITY REPORT 1'!D6)/'UTILITY REPORT 1'!F6</f>
        <v>0.40081313131313129</v>
      </c>
      <c r="G5" s="484">
        <f>IF('Utility summery'!M9&lt;0,"0",'Utility summery'!M9)</f>
        <v>12.584000000002563</v>
      </c>
      <c r="H5" s="492">
        <v>0</v>
      </c>
      <c r="I5" s="484">
        <f>IF('UTILITY REPORT 1'!G6&lt;0,"0",'UTILITY REPORT 1'!G6)</f>
        <v>67</v>
      </c>
      <c r="J5" s="492">
        <v>0</v>
      </c>
      <c r="K5" s="483">
        <f>'UTILITY REPORT 1'!C6</f>
        <v>0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8</v>
      </c>
      <c r="D6" s="482">
        <v>2020</v>
      </c>
      <c r="E6" s="483">
        <f>'UTILITY REPORT 1'!F7</f>
        <v>1724</v>
      </c>
      <c r="F6" s="484">
        <f>('UTILITY REPORT 1'!E7*'UTILITY REPORT 1'!D7)/'UTILITY REPORT 1'!F7</f>
        <v>0.4501276102088167</v>
      </c>
      <c r="G6" s="484">
        <f>IF('Utility summery'!M10&lt;0,"0",'Utility summery'!M10)</f>
        <v>32.559999999974394</v>
      </c>
      <c r="H6" s="492">
        <v>0</v>
      </c>
      <c r="I6" s="484">
        <f>IF('UTILITY REPORT 1'!G7&lt;0,"0",'UTILITY REPORT 1'!G7)</f>
        <v>49</v>
      </c>
      <c r="J6" s="492">
        <v>0</v>
      </c>
      <c r="K6" s="483">
        <f>'UTILITY REPORT 1'!C7</f>
        <v>0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8</v>
      </c>
      <c r="D7" s="482">
        <v>2020</v>
      </c>
      <c r="E7" s="483">
        <f>'UTILITY REPORT 1'!F8</f>
        <v>1892</v>
      </c>
      <c r="F7" s="484">
        <f>('UTILITY REPORT 1'!E8*'UTILITY REPORT 1'!D8)/'UTILITY REPORT 1'!F8</f>
        <v>0.41126849894291756</v>
      </c>
      <c r="G7" s="484">
        <f>IF('Utility summery'!M11&lt;0,"0",'Utility summery'!M11)</f>
        <v>26.047999999992317</v>
      </c>
      <c r="H7" s="492">
        <v>0</v>
      </c>
      <c r="I7" s="484">
        <f>IF('UTILITY REPORT 1'!G8&lt;0,"0",'UTILITY REPORT 1'!G8)</f>
        <v>66</v>
      </c>
      <c r="J7" s="492">
        <v>0</v>
      </c>
      <c r="K7" s="483">
        <f>'UTILITY REPORT 1'!C8</f>
        <v>0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8</v>
      </c>
      <c r="D8" s="482">
        <v>2020</v>
      </c>
      <c r="E8" s="483">
        <f>'UTILITY REPORT 1'!F9</f>
        <v>1882</v>
      </c>
      <c r="F8" s="484">
        <f>('UTILITY REPORT 1'!E9*'UTILITY REPORT 1'!D9)/'UTILITY REPORT 1'!F9</f>
        <v>0.41004250797024444</v>
      </c>
      <c r="G8" s="484">
        <f>IF('Utility summery'!M12&lt;0,"0",'Utility summery'!M12)</f>
        <v>32.647999999992322</v>
      </c>
      <c r="H8" s="492">
        <v>0</v>
      </c>
      <c r="I8" s="484">
        <f>IF('UTILITY REPORT 1'!G9&lt;0,"0",'UTILITY REPORT 1'!G9)</f>
        <v>51</v>
      </c>
      <c r="J8" s="492">
        <v>0</v>
      </c>
      <c r="K8" s="483">
        <f>'UTILITY REPORT 1'!C9</f>
        <v>0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8</v>
      </c>
      <c r="D9" s="482">
        <v>2020</v>
      </c>
      <c r="E9" s="483">
        <f>'UTILITY REPORT 1'!F10</f>
        <v>2028</v>
      </c>
      <c r="F9" s="484">
        <f>('UTILITY REPORT 1'!E10*'UTILITY REPORT 1'!D10)/'UTILITY REPORT 1'!F10</f>
        <v>0.40569033530571991</v>
      </c>
      <c r="G9" s="484">
        <f>IF('Utility summery'!M13&lt;0,"0",'Utility summery'!M13)</f>
        <v>31.900000000000002</v>
      </c>
      <c r="H9" s="492">
        <v>0</v>
      </c>
      <c r="I9" s="484">
        <f>IF('UTILITY REPORT 1'!G10&lt;0,"0",'UTILITY REPORT 1'!G10)</f>
        <v>61</v>
      </c>
      <c r="J9" s="492">
        <v>0</v>
      </c>
      <c r="K9" s="483">
        <f>'UTILITY REPORT 1'!C10</f>
        <v>0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8</v>
      </c>
      <c r="D10" s="482">
        <v>2020</v>
      </c>
      <c r="E10" s="483">
        <f>'UTILITY REPORT 1'!F11</f>
        <v>2022</v>
      </c>
      <c r="F10" s="484">
        <f>('UTILITY REPORT 1'!E11*'UTILITY REPORT 1'!D11)/'UTILITY REPORT 1'!F11</f>
        <v>0.4386498516320475</v>
      </c>
      <c r="G10" s="484">
        <f>IF('Utility summery'!M14&lt;0,"0",'Utility summery'!M14)</f>
        <v>43.868000000005125</v>
      </c>
      <c r="H10" s="492">
        <v>0</v>
      </c>
      <c r="I10" s="484">
        <f>IF('UTILITY REPORT 1'!G11&lt;0,"0",'UTILITY REPORT 1'!G11)</f>
        <v>63</v>
      </c>
      <c r="J10" s="492">
        <v>0</v>
      </c>
      <c r="K10" s="483">
        <f>'UTILITY REPORT 1'!C11</f>
        <v>1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8</v>
      </c>
      <c r="D11" s="482">
        <v>2020</v>
      </c>
      <c r="E11" s="483">
        <f>'UTILITY REPORT 1'!F12</f>
        <v>1848</v>
      </c>
      <c r="F11" s="484">
        <f>('UTILITY REPORT 1'!E12*'UTILITY REPORT 1'!D12)/'UTILITY REPORT 1'!F12</f>
        <v>0.43226731601731599</v>
      </c>
      <c r="G11" s="484">
        <f>IF('Utility summery'!M15&lt;0,"0",'Utility summery'!M15)</f>
        <v>49.104000000015368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8</v>
      </c>
      <c r="D12" s="482">
        <v>2020</v>
      </c>
      <c r="E12" s="483">
        <f>'UTILITY REPORT 1'!F13</f>
        <v>1828</v>
      </c>
      <c r="F12" s="484">
        <f>('UTILITY REPORT 1'!E13*'UTILITY REPORT 1'!D13)/'UTILITY REPORT 1'!F13</f>
        <v>0.42557986870897158</v>
      </c>
      <c r="G12" s="484">
        <f>IF('Utility summery'!M16&lt;0,"0",'Utility summery'!M16)</f>
        <v>52.975999999971833</v>
      </c>
      <c r="H12" s="492">
        <v>0</v>
      </c>
      <c r="I12" s="484">
        <f>IF('UTILITY REPORT 1'!G13&lt;0,"0",'UTILITY REPORT 1'!G13)</f>
        <v>67</v>
      </c>
      <c r="J12" s="492">
        <v>0</v>
      </c>
      <c r="K12" s="483">
        <f>'UTILITY REPORT 1'!C13</f>
        <v>1</v>
      </c>
      <c r="L12" s="485" t="e">
        <f>E12*F12+G12*H12+#REF!*#REF!+I12*J12</f>
        <v>#REF!</v>
      </c>
    </row>
    <row r="13" spans="1:12">
      <c r="A13" s="480" t="s">
        <v>283</v>
      </c>
      <c r="B13" s="481">
        <f t="shared" si="0"/>
        <v>12</v>
      </c>
      <c r="C13" s="481">
        <v>8</v>
      </c>
      <c r="D13" s="482">
        <v>2020</v>
      </c>
      <c r="E13" s="483">
        <f>'UTILITY REPORT 1'!F14</f>
        <v>1765</v>
      </c>
      <c r="F13" s="484">
        <f>('UTILITY REPORT 1'!E14*'UTILITY REPORT 1'!D14)/'UTILITY REPORT 1'!F14</f>
        <v>0.43274787535410764</v>
      </c>
      <c r="G13" s="484">
        <f>IF('Utility summery'!M17&lt;0,"0",'Utility summery'!M17)</f>
        <v>32.604000000015368</v>
      </c>
      <c r="H13" s="492">
        <v>0</v>
      </c>
      <c r="I13" s="484">
        <f>IF('UTILITY REPORT 1'!G14&lt;0,"0",'UTILITY REPORT 1'!G14)</f>
        <v>100</v>
      </c>
      <c r="J13" s="492">
        <v>0</v>
      </c>
      <c r="K13" s="483">
        <f>'UTILITY REPORT 1'!C14</f>
        <v>0</v>
      </c>
      <c r="L13" s="485" t="e">
        <f>E13*F13+G13*H13+#REF!*#REF!+I13*J13</f>
        <v>#REF!</v>
      </c>
    </row>
    <row r="14" spans="1:12">
      <c r="A14" s="480" t="s">
        <v>283</v>
      </c>
      <c r="B14" s="481">
        <f t="shared" si="0"/>
        <v>13</v>
      </c>
      <c r="C14" s="481">
        <v>8</v>
      </c>
      <c r="D14" s="482">
        <v>2020</v>
      </c>
      <c r="E14" s="483">
        <f>'UTILITY REPORT 1'!F15</f>
        <v>1824</v>
      </c>
      <c r="F14" s="484">
        <f>('UTILITY REPORT 1'!E15*'UTILITY REPORT 1'!D15)/'UTILITY REPORT 1'!F15</f>
        <v>0.41476425438596487</v>
      </c>
      <c r="G14" s="484">
        <f>IF('Utility summery'!M18&lt;0,"0",'Utility summery'!M18)</f>
        <v>31.94400000004098</v>
      </c>
      <c r="H14" s="492">
        <v>0</v>
      </c>
      <c r="I14" s="484">
        <f>IF('UTILITY REPORT 1'!G15&lt;0,"0",'UTILITY REPORT 1'!G15)</f>
        <v>63</v>
      </c>
      <c r="J14" s="492">
        <v>0</v>
      </c>
      <c r="K14" s="483">
        <f>'UTILITY REPORT 1'!C15</f>
        <v>0</v>
      </c>
      <c r="L14" s="485" t="e">
        <f>E14*F14+G14*H14+#REF!*#REF!+I14*J14</f>
        <v>#REF!</v>
      </c>
    </row>
    <row r="15" spans="1:12">
      <c r="A15" s="480" t="s">
        <v>283</v>
      </c>
      <c r="B15" s="481">
        <f t="shared" si="0"/>
        <v>14</v>
      </c>
      <c r="C15" s="481">
        <v>8</v>
      </c>
      <c r="D15" s="482">
        <v>2020</v>
      </c>
      <c r="E15" s="483">
        <f>'UTILITY REPORT 1'!F16</f>
        <v>1987</v>
      </c>
      <c r="F15" s="484">
        <f>('UTILITY REPORT 1'!E16*'UTILITY REPORT 1'!D16)/'UTILITY REPORT 1'!F16</f>
        <v>0.39222445898339198</v>
      </c>
      <c r="G15" s="484">
        <f>IF('Utility summery'!M19&lt;0,"0",'Utility summery'!M19)</f>
        <v>46.331999999994885</v>
      </c>
      <c r="H15" s="492">
        <v>0</v>
      </c>
      <c r="I15" s="484">
        <f>IF('UTILITY REPORT 1'!G16&lt;0,"0",'UTILITY REPORT 1'!G16)</f>
        <v>51</v>
      </c>
      <c r="J15" s="492">
        <v>0</v>
      </c>
      <c r="K15" s="483">
        <f>'UTILITY REPORT 1'!C16</f>
        <v>0</v>
      </c>
      <c r="L15" s="485" t="e">
        <f>E15*F15+G15*H15+#REF!*#REF!+I15*J15</f>
        <v>#REF!</v>
      </c>
    </row>
    <row r="16" spans="1:12">
      <c r="A16" s="480" t="s">
        <v>283</v>
      </c>
      <c r="B16" s="481">
        <f t="shared" si="0"/>
        <v>15</v>
      </c>
      <c r="C16" s="481">
        <v>8</v>
      </c>
      <c r="D16" s="482">
        <v>2020</v>
      </c>
      <c r="E16" s="483">
        <f>'UTILITY REPORT 1'!F17</f>
        <v>1746</v>
      </c>
      <c r="F16" s="484">
        <f>('UTILITY REPORT 1'!E17*'UTILITY REPORT 1'!D17)/'UTILITY REPORT 1'!F17</f>
        <v>0.43451317296678127</v>
      </c>
      <c r="G16" s="484">
        <f>IF('Utility summery'!M20&lt;0,"0",'Utility summery'!M20)</f>
        <v>37.839999999961584</v>
      </c>
      <c r="H16" s="492">
        <v>0</v>
      </c>
      <c r="I16" s="484">
        <f>IF('UTILITY REPORT 1'!G17&lt;0,"0",'UTILITY REPORT 1'!G17)</f>
        <v>49</v>
      </c>
      <c r="J16" s="492">
        <v>0</v>
      </c>
      <c r="K16" s="483">
        <f>'UTILITY REPORT 1'!C17</f>
        <v>0</v>
      </c>
      <c r="L16" s="485" t="e">
        <f>E16*F16+G16*H16+#REF!*#REF!+I16*J16</f>
        <v>#REF!</v>
      </c>
    </row>
    <row r="17" spans="1:12">
      <c r="A17" s="480" t="s">
        <v>283</v>
      </c>
      <c r="B17" s="481">
        <f t="shared" si="0"/>
        <v>16</v>
      </c>
      <c r="C17" s="481">
        <v>8</v>
      </c>
      <c r="D17" s="482">
        <v>2020</v>
      </c>
      <c r="E17" s="483">
        <f>'UTILITY REPORT 1'!F18</f>
        <v>1704</v>
      </c>
      <c r="F17" s="484">
        <f>('UTILITY REPORT 1'!E18*'UTILITY REPORT 1'!D18)/'UTILITY REPORT 1'!F18</f>
        <v>0.43250586854460094</v>
      </c>
      <c r="G17" s="484">
        <f>IF('Utility summery'!M21&lt;0,"0",'Utility summery'!M21)</f>
        <v>39.20400000001537</v>
      </c>
      <c r="H17" s="492">
        <v>0</v>
      </c>
      <c r="I17" s="484">
        <f>IF('UTILITY REPORT 1'!G18&lt;0,"0",'UTILITY REPORT 1'!G18)</f>
        <v>47</v>
      </c>
      <c r="J17" s="492">
        <v>0</v>
      </c>
      <c r="K17" s="483">
        <f>'UTILITY REPORT 1'!C18</f>
        <v>0</v>
      </c>
      <c r="L17" s="485" t="e">
        <f>E17*F17+G17*H17+#REF!*#REF!+I17*J17</f>
        <v>#REF!</v>
      </c>
    </row>
    <row r="18" spans="1:12">
      <c r="A18" s="480" t="s">
        <v>283</v>
      </c>
      <c r="B18" s="481">
        <f t="shared" si="0"/>
        <v>17</v>
      </c>
      <c r="C18" s="481">
        <v>8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 t="str">
        <f>IF('Utility summery'!M22&lt;0,"0",'Utility summery'!M22)</f>
        <v>0</v>
      </c>
      <c r="H18" s="492">
        <v>0</v>
      </c>
      <c r="I18" s="484" t="str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8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8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8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8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8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8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8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8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8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8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8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8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8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 t="s">
        <v>283</v>
      </c>
      <c r="B32" s="481">
        <f t="shared" si="0"/>
        <v>31</v>
      </c>
      <c r="C32" s="481">
        <v>8</v>
      </c>
      <c r="D32" s="482">
        <v>2020</v>
      </c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L18" sqref="L1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8</v>
      </c>
      <c r="D2" s="546">
        <v>2020</v>
      </c>
      <c r="E2" s="547">
        <f>'UTILITY REPORT 1'!I3</f>
        <v>16.850000000000001</v>
      </c>
      <c r="F2" s="547">
        <f>'UTILITY REPORT 1'!E3</f>
        <v>741.42</v>
      </c>
      <c r="G2" s="548">
        <f>'UTILITY REPORT 1'!F3</f>
        <v>1872</v>
      </c>
      <c r="H2" s="547">
        <f>IF('Kit report'!F4&lt;0,"0",'Kit report'!F4)</f>
        <v>143.99999999986903</v>
      </c>
      <c r="I2" s="547">
        <f>IF('Kit report'!X4&lt;0,"0",'Kit report'!X4)</f>
        <v>19.999999999890861</v>
      </c>
      <c r="J2" s="547">
        <f>IF('Utility summery'!H6&lt;0,"0",'Utility summery'!H6)</f>
        <v>48</v>
      </c>
      <c r="K2" s="548">
        <f>IF('UTILITY REPORT 1'!H3&lt;0,"0",'UTILITY REPORT 1'!H3)</f>
        <v>78</v>
      </c>
      <c r="L2" s="547">
        <f>'Water-Meter'!K6</f>
        <v>1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51</v>
      </c>
      <c r="Q2" s="471">
        <f>IF('Water-Meter'!U6&lt;0,"0",'Water-Meter'!U6)</f>
        <v>80</v>
      </c>
      <c r="R2" s="471">
        <f>IF('Water-Meter'!X6&lt;0,"0",'Water-Meter'!X6)</f>
        <v>0</v>
      </c>
      <c r="S2" s="471">
        <f>IF('Water-Meter'!AA6&lt;0,"0",'Water-Meter'!AA6)</f>
        <v>35</v>
      </c>
      <c r="T2" s="471">
        <f>IF('Water-Meter'!AD6&lt;0,"0",'Water-Meter'!AD6)</f>
        <v>12</v>
      </c>
      <c r="U2" s="471">
        <f>IF('Water-Meter'!AG6&lt;0,"0",'Water-Meter'!AG6)</f>
        <v>0</v>
      </c>
      <c r="V2" s="471">
        <f>IF('Water-Meter'!AJ6&lt;0,"0",'Water-Meter'!AJ6)</f>
        <v>43</v>
      </c>
      <c r="W2" s="31">
        <f>'Water-Meter'!AN6</f>
        <v>170</v>
      </c>
      <c r="X2" s="558">
        <f>Total!K2</f>
        <v>0</v>
      </c>
    </row>
    <row r="3" spans="1:24">
      <c r="A3" s="542" t="s">
        <v>283</v>
      </c>
      <c r="B3" s="539">
        <f>B2+1</f>
        <v>2</v>
      </c>
      <c r="C3" s="545">
        <v>8</v>
      </c>
      <c r="D3" s="546">
        <v>2020</v>
      </c>
      <c r="E3" s="540">
        <f>'UTILITY REPORT 1'!I4</f>
        <v>0</v>
      </c>
      <c r="F3" s="540">
        <f>'UTILITY REPORT 1'!E4</f>
        <v>782.06</v>
      </c>
      <c r="G3" s="541">
        <f>'UTILITY REPORT 1'!F4</f>
        <v>2030</v>
      </c>
      <c r="H3" s="540">
        <f>IF('Kit report'!F5&lt;0,"0",'Kit report'!F5)</f>
        <v>167.99999999995634</v>
      </c>
      <c r="I3" s="540">
        <f>IF('Kit report'!X5&lt;0,"0",'Kit report'!X5)</f>
        <v>39.99999999996362</v>
      </c>
      <c r="J3" s="540">
        <f>IF('Utility summery'!H7&lt;0,"0",'Utility summery'!H7)</f>
        <v>31</v>
      </c>
      <c r="K3" s="541">
        <f>IF('UTILITY REPORT 1'!H4&lt;0,"0",'UTILITY REPORT 1'!H4)</f>
        <v>156</v>
      </c>
      <c r="L3" s="540">
        <f>'Water-Meter'!K7</f>
        <v>1</v>
      </c>
      <c r="M3" s="541">
        <f>'Water-Meter'!H7</f>
        <v>0</v>
      </c>
      <c r="N3" s="541">
        <f>'Water-Meter'!Q7</f>
        <v>1</v>
      </c>
      <c r="O3" s="540" t="e">
        <f>K3*E3+H3*I3+#REF!*#REF!+J3*L3</f>
        <v>#REF!</v>
      </c>
      <c r="P3" s="547">
        <f>'Water-Meter'!E7</f>
        <v>53</v>
      </c>
      <c r="Q3" s="289">
        <f>IF('Water-Meter'!U7&lt;0,"0",'Water-Meter'!U7)</f>
        <v>97</v>
      </c>
      <c r="R3" s="289">
        <f>IF('Water-Meter'!X7&lt;0,"0",'Water-Meter'!X7)</f>
        <v>0</v>
      </c>
      <c r="S3" s="289">
        <f>IF('Water-Meter'!AA7&lt;0,"0",'Water-Meter'!AA7)</f>
        <v>38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33</v>
      </c>
      <c r="W3" s="31">
        <f>'Water-Meter'!AN7</f>
        <v>185</v>
      </c>
      <c r="X3" s="558">
        <f>Total!K3</f>
        <v>0</v>
      </c>
    </row>
    <row r="4" spans="1:24">
      <c r="A4" s="542" t="s">
        <v>283</v>
      </c>
      <c r="B4" s="539">
        <f t="shared" ref="B4:B32" si="0">B3+1</f>
        <v>3</v>
      </c>
      <c r="C4" s="545">
        <v>8</v>
      </c>
      <c r="D4" s="546">
        <v>2020</v>
      </c>
      <c r="E4" s="540">
        <f>'UTILITY REPORT 1'!I5</f>
        <v>25.31</v>
      </c>
      <c r="F4" s="540">
        <f>'UTILITY REPORT 1'!E5</f>
        <v>788.41</v>
      </c>
      <c r="G4" s="541">
        <f>'UTILITY REPORT 1'!F5</f>
        <v>1818</v>
      </c>
      <c r="H4" s="540">
        <f>IF('Kit report'!F6&lt;0,"0",'Kit report'!F6)</f>
        <v>132.00000000004366</v>
      </c>
      <c r="I4" s="540">
        <f>IF('Kit report'!X6&lt;0,"0",'Kit report'!X6)</f>
        <v>20.00000000007276</v>
      </c>
      <c r="J4" s="540">
        <f>IF('Utility summery'!H8&lt;0,"0",'Utility summery'!H8)</f>
        <v>70</v>
      </c>
      <c r="K4" s="541">
        <f>IF('UTILITY REPORT 1'!H5&lt;0,"0",'UTILITY REPORT 1'!H5)</f>
        <v>0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42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40</v>
      </c>
      <c r="T4" s="289">
        <f>IF('Water-Meter'!AD8&lt;0,"0",'Water-Meter'!AD8)</f>
        <v>20</v>
      </c>
      <c r="U4" s="289">
        <f>IF('Water-Meter'!AG8&lt;0,"0",'Water-Meter'!AG8)</f>
        <v>0</v>
      </c>
      <c r="V4" s="289">
        <f>IF('Water-Meter'!AJ8&lt;0,"0",'Water-Meter'!AJ8)</f>
        <v>12</v>
      </c>
      <c r="W4" s="31">
        <f>'Water-Meter'!AN8</f>
        <v>155</v>
      </c>
      <c r="X4" s="558">
        <f>Total!K4</f>
        <v>0</v>
      </c>
    </row>
    <row r="5" spans="1:24">
      <c r="A5" s="542" t="s">
        <v>283</v>
      </c>
      <c r="B5" s="539">
        <f t="shared" si="0"/>
        <v>4</v>
      </c>
      <c r="C5" s="545">
        <v>8</v>
      </c>
      <c r="D5" s="546">
        <v>2020</v>
      </c>
      <c r="E5" s="540">
        <f>'UTILITY REPORT 1'!I6</f>
        <v>149.86000000000001</v>
      </c>
      <c r="F5" s="540">
        <f>'UTILITY REPORT 1'!E6</f>
        <v>793.6099999999999</v>
      </c>
      <c r="G5" s="541">
        <f>'UTILITY REPORT 1'!F6</f>
        <v>1980</v>
      </c>
      <c r="H5" s="540">
        <f>IF('Kit report'!F7&lt;0,"0",'Kit report'!F7)</f>
        <v>180</v>
      </c>
      <c r="I5" s="540">
        <f>IF('Kit report'!X7&lt;0,"0",'Kit report'!X7)</f>
        <v>20.00000000007276</v>
      </c>
      <c r="J5" s="540">
        <f>IF('Utility summery'!H9&lt;0,"0",'Utility summery'!H9)</f>
        <v>36</v>
      </c>
      <c r="K5" s="541">
        <f>IF('UTILITY REPORT 1'!H6&lt;0,"0",'UTILITY REPORT 1'!H6)</f>
        <v>55</v>
      </c>
      <c r="L5" s="540">
        <f>'Water-Meter'!K9</f>
        <v>0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67</v>
      </c>
      <c r="Q5" s="289">
        <f>IF('Water-Meter'!U9&lt;0,"0",'Water-Meter'!U9)</f>
        <v>87</v>
      </c>
      <c r="R5" s="289">
        <f>IF('Water-Meter'!X9&lt;0,"0",'Water-Meter'!X9)</f>
        <v>0</v>
      </c>
      <c r="S5" s="289">
        <f>IF('Water-Meter'!AA9&lt;0,"0",'Water-Meter'!AA9)</f>
        <v>37</v>
      </c>
      <c r="T5" s="289">
        <f>IF('Water-Meter'!AD9&lt;0,"0",'Water-Meter'!AD9)</f>
        <v>16</v>
      </c>
      <c r="U5" s="289">
        <f>IF('Water-Meter'!AG9&lt;0,"0",'Water-Meter'!AG9)</f>
        <v>0</v>
      </c>
      <c r="V5" s="289">
        <f>IF('Water-Meter'!AJ9&lt;0,"0",'Water-Meter'!AJ9)</f>
        <v>2</v>
      </c>
      <c r="W5" s="31">
        <f>'Water-Meter'!AN9</f>
        <v>142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8</v>
      </c>
      <c r="D6" s="546">
        <v>2020</v>
      </c>
      <c r="E6" s="540">
        <f>'UTILITY REPORT 1'!I7</f>
        <v>87.31</v>
      </c>
      <c r="F6" s="540">
        <f>'UTILITY REPORT 1'!E7</f>
        <v>776.02</v>
      </c>
      <c r="G6" s="541">
        <f>'UTILITY REPORT 1'!F7</f>
        <v>1724</v>
      </c>
      <c r="H6" s="540">
        <f>IF('Kit report'!F8&lt;0,"0",'Kit report'!F8)</f>
        <v>167.99999999995634</v>
      </c>
      <c r="I6" s="540">
        <f>IF('Kit report'!X8&lt;0,"0",'Kit report'!X8)</f>
        <v>19.999999999890861</v>
      </c>
      <c r="J6" s="540">
        <f>IF('Utility summery'!H10&lt;0,"0",'Utility summery'!H10)</f>
        <v>21</v>
      </c>
      <c r="K6" s="541">
        <f>IF('UTILITY REPORT 1'!H7&lt;0,"0",'UTILITY REPORT 1'!H7)</f>
        <v>56</v>
      </c>
      <c r="L6" s="540">
        <f>'Water-Meter'!K10</f>
        <v>1</v>
      </c>
      <c r="M6" s="541">
        <f>'Water-Meter'!H10</f>
        <v>0</v>
      </c>
      <c r="N6" s="541">
        <f>'Water-Meter'!Q10</f>
        <v>1</v>
      </c>
      <c r="O6" s="540" t="e">
        <f>K6*E6+H6*I6+#REF!*#REF!+J6*L6</f>
        <v>#REF!</v>
      </c>
      <c r="P6" s="547">
        <f>'Water-Meter'!E10</f>
        <v>49</v>
      </c>
      <c r="Q6" s="289">
        <f>IF('Water-Meter'!U10&lt;0,"0",'Water-Meter'!U10)</f>
        <v>89</v>
      </c>
      <c r="R6" s="289">
        <f>IF('Water-Meter'!X10&lt;0,"0",'Water-Meter'!X10)</f>
        <v>0</v>
      </c>
      <c r="S6" s="289">
        <f>IF('Water-Meter'!AA10&lt;0,"0",'Water-Meter'!AA10)</f>
        <v>38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143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8</v>
      </c>
      <c r="D7" s="546">
        <v>2020</v>
      </c>
      <c r="E7" s="540">
        <f>'UTILITY REPORT 1'!I8</f>
        <v>52.6</v>
      </c>
      <c r="F7" s="540">
        <f>'UTILITY REPORT 1'!E8</f>
        <v>778.12</v>
      </c>
      <c r="G7" s="541">
        <f>'UTILITY REPORT 1'!F8</f>
        <v>1892</v>
      </c>
      <c r="H7" s="540">
        <f>IF('Kit report'!F9&lt;0,"0",'Kit report'!F9)</f>
        <v>156.00000000013097</v>
      </c>
      <c r="I7" s="540">
        <f>IF('Kit report'!X9&lt;0,"0",'Kit report'!X9)</f>
        <v>39.99999999996362</v>
      </c>
      <c r="J7" s="540">
        <f>IF('Utility summery'!H11&lt;0,"0",'Utility summery'!H11)</f>
        <v>40</v>
      </c>
      <c r="K7" s="541">
        <f>IF('UTILITY REPORT 1'!H8&lt;0,"0",'UTILITY REPORT 1'!H8)</f>
        <v>50</v>
      </c>
      <c r="L7" s="540">
        <f>'Water-Meter'!K11</f>
        <v>1</v>
      </c>
      <c r="M7" s="541">
        <f>'Water-Meter'!H11</f>
        <v>0</v>
      </c>
      <c r="N7" s="541">
        <f>'Water-Meter'!Q11</f>
        <v>3</v>
      </c>
      <c r="O7" s="540" t="e">
        <f>K7*E7+H7*I7+#REF!*#REF!+J7*L7</f>
        <v>#REF!</v>
      </c>
      <c r="P7" s="547">
        <f>'Water-Meter'!E11</f>
        <v>66</v>
      </c>
      <c r="Q7" s="289">
        <f>IF('Water-Meter'!U11&lt;0,"0",'Water-Meter'!U11)</f>
        <v>87</v>
      </c>
      <c r="R7" s="289">
        <f>IF('Water-Meter'!X11&lt;0,"0",'Water-Meter'!X11)</f>
        <v>0</v>
      </c>
      <c r="S7" s="289">
        <f>IF('Water-Meter'!AA11&lt;0,"0",'Water-Meter'!AA11)</f>
        <v>37</v>
      </c>
      <c r="T7" s="289">
        <f>IF('Water-Meter'!AD11&lt;0,"0",'Water-Meter'!AD11)</f>
        <v>16</v>
      </c>
      <c r="U7" s="289">
        <f>IF('Water-Meter'!AG11&lt;0,"0",'Water-Meter'!AG11)</f>
        <v>0</v>
      </c>
      <c r="V7" s="289">
        <f>IF('Water-Meter'!AJ11&lt;0,"0",'Water-Meter'!AJ11)</f>
        <v>5</v>
      </c>
      <c r="W7" s="31">
        <f>'Water-Meter'!AN11</f>
        <v>145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8</v>
      </c>
      <c r="D8" s="546">
        <v>2020</v>
      </c>
      <c r="E8" s="540">
        <f>'UTILITY REPORT 1'!I9</f>
        <v>0</v>
      </c>
      <c r="F8" s="540">
        <f>'UTILITY REPORT 1'!E9</f>
        <v>771.7</v>
      </c>
      <c r="G8" s="541">
        <f>'UTILITY REPORT 1'!F9</f>
        <v>1882</v>
      </c>
      <c r="H8" s="540">
        <f>IF('Kit report'!F10&lt;0,"0",'Kit report'!F10)</f>
        <v>155.99999999991269</v>
      </c>
      <c r="I8" s="540">
        <f>IF('Kit report'!X10&lt;0,"0",'Kit report'!X10)</f>
        <v>60.00000000003638</v>
      </c>
      <c r="J8" s="540">
        <f>IF('Utility summery'!H12&lt;0,"0",'Utility summery'!H12)</f>
        <v>38</v>
      </c>
      <c r="K8" s="541">
        <f>IF('UTILITY REPORT 1'!H9&lt;0,"0",'UTILITY REPORT 1'!H9)</f>
        <v>55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51</v>
      </c>
      <c r="Q8" s="289">
        <f>IF('Water-Meter'!U12&lt;0,"0",'Water-Meter'!U12)</f>
        <v>87</v>
      </c>
      <c r="R8" s="289">
        <f>IF('Water-Meter'!X12&lt;0,"0",'Water-Meter'!X12)</f>
        <v>0</v>
      </c>
      <c r="S8" s="289">
        <f>IF('Water-Meter'!AA12&lt;0,"0",'Water-Meter'!AA12)</f>
        <v>38</v>
      </c>
      <c r="T8" s="289">
        <f>IF('Water-Meter'!AD12&lt;0,"0",'Water-Meter'!AD12)</f>
        <v>15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140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8</v>
      </c>
      <c r="D9" s="546">
        <v>2020</v>
      </c>
      <c r="E9" s="540">
        <f>'UTILITY REPORT 1'!I10</f>
        <v>21.08</v>
      </c>
      <c r="F9" s="540">
        <f>'UTILITY REPORT 1'!E10</f>
        <v>822.74</v>
      </c>
      <c r="G9" s="541">
        <f>'UTILITY REPORT 1'!F10</f>
        <v>2028</v>
      </c>
      <c r="H9" s="540">
        <f>IF('Kit report'!F11&lt;0,"0",'Kit report'!F11)</f>
        <v>180</v>
      </c>
      <c r="I9" s="540">
        <f>IF('Kit report'!X11&lt;0,"0",'Kit report'!X11)</f>
        <v>60.00000000003638</v>
      </c>
      <c r="J9" s="540">
        <f>IF('Utility summery'!H13&lt;0,"0",'Utility summery'!H13)</f>
        <v>30</v>
      </c>
      <c r="K9" s="541">
        <f>IF('UTILITY REPORT 1'!H10&lt;0,"0",'UTILITY REPORT 1'!H10)</f>
        <v>55</v>
      </c>
      <c r="L9" s="540">
        <f>'Water-Meter'!K13</f>
        <v>1</v>
      </c>
      <c r="M9" s="541">
        <f>'Water-Meter'!H13</f>
        <v>0</v>
      </c>
      <c r="N9" s="541">
        <f>'Water-Meter'!Q13</f>
        <v>2</v>
      </c>
      <c r="O9" s="540" t="e">
        <f>K9*E9+H9*I9+#REF!*#REF!+J9*L9</f>
        <v>#REF!</v>
      </c>
      <c r="P9" s="547">
        <f>'Water-Meter'!E13</f>
        <v>61</v>
      </c>
      <c r="Q9" s="289">
        <f>IF('Water-Meter'!U13&lt;0,"0",'Water-Meter'!U13)</f>
        <v>84</v>
      </c>
      <c r="R9" s="289">
        <f>IF('Water-Meter'!X13&lt;0,"0",'Water-Meter'!X13)</f>
        <v>0</v>
      </c>
      <c r="S9" s="289">
        <f>IF('Water-Meter'!AA13&lt;0,"0",'Water-Meter'!AA13)</f>
        <v>37</v>
      </c>
      <c r="T9" s="289">
        <f>IF('Water-Meter'!AD13&lt;0,"0",'Water-Meter'!AD13)</f>
        <v>16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137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8</v>
      </c>
      <c r="D10" s="546">
        <v>2020</v>
      </c>
      <c r="E10" s="540">
        <f>'UTILITY REPORT 1'!I11</f>
        <v>70</v>
      </c>
      <c r="F10" s="540">
        <f>'UTILITY REPORT 1'!E11</f>
        <v>886.95</v>
      </c>
      <c r="G10" s="541">
        <f>'UTILITY REPORT 1'!F11</f>
        <v>2022</v>
      </c>
      <c r="H10" s="540">
        <f>IF('Kit report'!F12&lt;0,"0",'Kit report'!F12)</f>
        <v>204.00000000008731</v>
      </c>
      <c r="I10" s="540">
        <f>IF('Kit report'!X12&lt;0,"0",'Kit report'!X12)</f>
        <v>39.99999999996362</v>
      </c>
      <c r="J10" s="540">
        <f>IF('Utility summery'!H14&lt;0,"0",'Utility summery'!H14)</f>
        <v>37</v>
      </c>
      <c r="K10" s="541">
        <f>IF('UTILITY REPORT 1'!H11&lt;0,"0",'UTILITY REPORT 1'!H11)</f>
        <v>53</v>
      </c>
      <c r="L10" s="540">
        <f>'Water-Meter'!K14</f>
        <v>0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63</v>
      </c>
      <c r="Q10" s="289">
        <f>IF('Water-Meter'!U14&lt;0,"0",'Water-Meter'!U14)</f>
        <v>84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15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136</v>
      </c>
      <c r="X10" s="558">
        <f>Total!K10</f>
        <v>1</v>
      </c>
    </row>
    <row r="11" spans="1:24">
      <c r="A11" s="542" t="s">
        <v>283</v>
      </c>
      <c r="B11" s="539">
        <f t="shared" si="0"/>
        <v>10</v>
      </c>
      <c r="C11" s="545">
        <v>8</v>
      </c>
      <c r="D11" s="546">
        <v>2020</v>
      </c>
      <c r="E11" s="540">
        <f>'UTILITY REPORT 1'!I12</f>
        <v>31.31</v>
      </c>
      <c r="F11" s="540">
        <f>'UTILITY REPORT 1'!E12</f>
        <v>798.82999999999993</v>
      </c>
      <c r="G11" s="541">
        <f>'UTILITY REPORT 1'!F12</f>
        <v>1848</v>
      </c>
      <c r="H11" s="540">
        <f>IF('Kit report'!F13&lt;0,"0",'Kit report'!F13)</f>
        <v>203.99999999986903</v>
      </c>
      <c r="I11" s="540">
        <f>IF('Kit report'!X13&lt;0,"0",'Kit report'!X13)</f>
        <v>39.99999999996362</v>
      </c>
      <c r="J11" s="540">
        <f>IF('Utility summery'!H15&lt;0,"0",'Utility summery'!H15)</f>
        <v>30</v>
      </c>
      <c r="K11" s="541">
        <f>IF('UTILITY REPORT 1'!H12&lt;0,"0",'UTILITY REPORT 1'!H12)</f>
        <v>52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37</v>
      </c>
      <c r="T11" s="289">
        <f>IF('Water-Meter'!AD15&lt;0,"0",'Water-Meter'!AD15)</f>
        <v>16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53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8</v>
      </c>
      <c r="D12" s="546">
        <v>2020</v>
      </c>
      <c r="E12" s="540">
        <f>'UTILITY REPORT 1'!I13</f>
        <v>197.35</v>
      </c>
      <c r="F12" s="540">
        <f>'UTILITY REPORT 1'!E13</f>
        <v>777.96</v>
      </c>
      <c r="G12" s="541">
        <f>'UTILITY REPORT 1'!F13</f>
        <v>1828</v>
      </c>
      <c r="H12" s="540">
        <f>IF('Kit report'!F14&lt;0,"0",'Kit report'!F14)</f>
        <v>192.00000000004366</v>
      </c>
      <c r="I12" s="540">
        <f>IF('Kit report'!X14&lt;0,"0",'Kit report'!X14)</f>
        <v>40.000000000145519</v>
      </c>
      <c r="J12" s="540">
        <f>IF('Utility summery'!H16&lt;0,"0",'Utility summery'!H16)</f>
        <v>32</v>
      </c>
      <c r="K12" s="541">
        <f>IF('UTILITY REPORT 1'!H13&lt;0,"0",'UTILITY REPORT 1'!H13)</f>
        <v>50</v>
      </c>
      <c r="L12" s="540">
        <f>'Water-Meter'!K16</f>
        <v>1</v>
      </c>
      <c r="M12" s="541">
        <f>'Water-Meter'!H16</f>
        <v>0</v>
      </c>
      <c r="N12" s="541">
        <f>'Water-Meter'!Q16</f>
        <v>2</v>
      </c>
      <c r="O12" s="540" t="e">
        <f>K12*E12+H12*I12+#REF!*#REF!+J12*L12</f>
        <v>#REF!</v>
      </c>
      <c r="P12" s="547">
        <f>'Water-Meter'!E16</f>
        <v>67</v>
      </c>
      <c r="Q12" s="289">
        <f>IF('Water-Meter'!U16&lt;0,"0",'Water-Meter'!U16)</f>
        <v>68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15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120</v>
      </c>
      <c r="X12" s="558">
        <f>Total!K12</f>
        <v>1</v>
      </c>
    </row>
    <row r="13" spans="1:24">
      <c r="A13" s="542" t="s">
        <v>283</v>
      </c>
      <c r="B13" s="539">
        <f t="shared" si="0"/>
        <v>12</v>
      </c>
      <c r="C13" s="545">
        <v>8</v>
      </c>
      <c r="D13" s="546">
        <v>2020</v>
      </c>
      <c r="E13" s="540">
        <f>'UTILITY REPORT 1'!I14</f>
        <v>0</v>
      </c>
      <c r="F13" s="540">
        <f>'UTILITY REPORT 1'!E14</f>
        <v>763.8</v>
      </c>
      <c r="G13" s="541">
        <f>'UTILITY REPORT 1'!F14</f>
        <v>1765</v>
      </c>
      <c r="H13" s="540">
        <f>IF('Kit report'!F15&lt;0,"0",'Kit report'!F15)</f>
        <v>144.00000000008731</v>
      </c>
      <c r="I13" s="540">
        <f>IF('Kit report'!X15&lt;0,"0",'Kit report'!X15)</f>
        <v>19.999999999890861</v>
      </c>
      <c r="J13" s="540">
        <f>IF('Utility summery'!H17&lt;0,"0",'Utility summery'!H17)</f>
        <v>36</v>
      </c>
      <c r="K13" s="541">
        <f>IF('UTILITY REPORT 1'!H14&lt;0,"0",'UTILITY REPORT 1'!H14)</f>
        <v>52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100</v>
      </c>
      <c r="Q13" s="289">
        <f>IF('Water-Meter'!U17&lt;0,"0",'Water-Meter'!U17)</f>
        <v>76</v>
      </c>
      <c r="R13" s="289">
        <f>IF('Water-Meter'!X17&lt;0,"0",'Water-Meter'!X17)</f>
        <v>0</v>
      </c>
      <c r="S13" s="289">
        <f>IF('Water-Meter'!AA17&lt;0,"0",'Water-Meter'!AA17)</f>
        <v>38</v>
      </c>
      <c r="T13" s="289">
        <f>IF('Water-Meter'!AD17&lt;0,"0",'Water-Meter'!AD17)</f>
        <v>13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127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8</v>
      </c>
      <c r="D14" s="546">
        <v>2020</v>
      </c>
      <c r="E14" s="540">
        <f>'UTILITY REPORT 1'!I15</f>
        <v>10.17</v>
      </c>
      <c r="F14" s="540">
        <f>'UTILITY REPORT 1'!E15</f>
        <v>756.53</v>
      </c>
      <c r="G14" s="541">
        <f>'UTILITY REPORT 1'!F15</f>
        <v>1824</v>
      </c>
      <c r="H14" s="540">
        <f>IF('Kit report'!F16&lt;0,"0",'Kit report'!F16)</f>
        <v>155.99999999991269</v>
      </c>
      <c r="I14" s="540">
        <f>IF('Kit report'!X16&lt;0,"0",'Kit report'!X16)</f>
        <v>20.00000000007276</v>
      </c>
      <c r="J14" s="540">
        <f>IF('Utility summery'!H18&lt;0,"0",'Utility summery'!H18)</f>
        <v>36</v>
      </c>
      <c r="K14" s="541">
        <f>IF('UTILITY REPORT 1'!H15&lt;0,"0",'UTILITY REPORT 1'!H15)</f>
        <v>52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63</v>
      </c>
      <c r="Q14" s="289">
        <f>IF('Water-Meter'!U18&lt;0,"0",'Water-Meter'!U18)</f>
        <v>87</v>
      </c>
      <c r="R14" s="289">
        <f>IF('Water-Meter'!X18&lt;0,"0",'Water-Meter'!X18)</f>
        <v>0</v>
      </c>
      <c r="S14" s="289">
        <f>IF('Water-Meter'!AA18&lt;0,"0",'Water-Meter'!AA18)</f>
        <v>37</v>
      </c>
      <c r="T14" s="289">
        <f>IF('Water-Meter'!AD18&lt;0,"0",'Water-Meter'!AD18)</f>
        <v>13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137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8</v>
      </c>
      <c r="D15" s="546">
        <v>2020</v>
      </c>
      <c r="E15" s="540">
        <f>'UTILITY REPORT 1'!I16</f>
        <v>12.78</v>
      </c>
      <c r="F15" s="540">
        <f>'UTILITY REPORT 1'!E16</f>
        <v>779.34999999999991</v>
      </c>
      <c r="G15" s="541">
        <f>'UTILITY REPORT 1'!F16</f>
        <v>1987</v>
      </c>
      <c r="H15" s="540">
        <f>IF('Kit report'!F17&lt;0,"0",'Kit report'!F17)</f>
        <v>167.99999999995634</v>
      </c>
      <c r="I15" s="540">
        <f>IF('Kit report'!X17&lt;0,"0",'Kit report'!X17)</f>
        <v>119.99999999989086</v>
      </c>
      <c r="J15" s="540">
        <f>IF('Utility summery'!H19&lt;0,"0",'Utility summery'!H19)</f>
        <v>30</v>
      </c>
      <c r="K15" s="541">
        <f>IF('UTILITY REPORT 1'!H16&lt;0,"0",'UTILITY REPORT 1'!H16)</f>
        <v>181</v>
      </c>
      <c r="L15" s="540">
        <f>'Water-Meter'!K19</f>
        <v>1</v>
      </c>
      <c r="M15" s="541">
        <f>'Water-Meter'!H19</f>
        <v>0</v>
      </c>
      <c r="N15" s="541">
        <f>'Water-Meter'!Q19</f>
        <v>1</v>
      </c>
      <c r="O15" s="540" t="e">
        <f>K15*E15+H15*I15+#REF!*#REF!+J15*L15</f>
        <v>#REF!</v>
      </c>
      <c r="P15" s="547">
        <f>'Water-Meter'!E19</f>
        <v>51</v>
      </c>
      <c r="Q15" s="289">
        <f>IF('Water-Meter'!U19&lt;0,"0",'Water-Meter'!U19)</f>
        <v>97</v>
      </c>
      <c r="R15" s="289">
        <f>IF('Water-Meter'!X19&lt;0,"0",'Water-Meter'!X19)</f>
        <v>0</v>
      </c>
      <c r="S15" s="289">
        <f>IF('Water-Meter'!AA19&lt;0,"0",'Water-Meter'!AA19)</f>
        <v>36</v>
      </c>
      <c r="T15" s="289">
        <f>IF('Water-Meter'!AD19&lt;0,"0",'Water-Meter'!AD19)</f>
        <v>12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145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8</v>
      </c>
      <c r="D16" s="546">
        <v>2020</v>
      </c>
      <c r="E16" s="540">
        <f>'UTILITY REPORT 1'!I17</f>
        <v>0</v>
      </c>
      <c r="F16" s="540">
        <f>'UTILITY REPORT 1'!E17</f>
        <v>758.66000000000008</v>
      </c>
      <c r="G16" s="541">
        <f>'UTILITY REPORT 1'!F17</f>
        <v>1746</v>
      </c>
      <c r="H16" s="540">
        <f>IF('Kit report'!F18&lt;0,"0",'Kit report'!F18)</f>
        <v>156.00000000013097</v>
      </c>
      <c r="I16" s="540">
        <f>IF('Kit report'!X18&lt;0,"0",'Kit report'!X18)</f>
        <v>80.000000000109139</v>
      </c>
      <c r="J16" s="540">
        <f>IF('Utility summery'!H20&lt;0,"0",'Utility summery'!H20)</f>
        <v>31</v>
      </c>
      <c r="K16" s="541">
        <f>IF('UTILITY REPORT 1'!H17&lt;0,"0",'UTILITY REPORT 1'!H17)</f>
        <v>101</v>
      </c>
      <c r="L16" s="540">
        <f>'Water-Meter'!K20</f>
        <v>1</v>
      </c>
      <c r="M16" s="541">
        <f>'Water-Meter'!H20</f>
        <v>0</v>
      </c>
      <c r="N16" s="541">
        <f>'Water-Meter'!Q20</f>
        <v>1</v>
      </c>
      <c r="O16" s="540" t="e">
        <f>K16*E16+H16*I16+#REF!*#REF!+J16*L16</f>
        <v>#REF!</v>
      </c>
      <c r="P16" s="547">
        <f>'Water-Meter'!E20</f>
        <v>49</v>
      </c>
      <c r="Q16" s="289">
        <f>IF('Water-Meter'!U20&lt;0,"0",'Water-Meter'!U20)</f>
        <v>88</v>
      </c>
      <c r="R16" s="289">
        <f>IF('Water-Meter'!X20&lt;0,"0",'Water-Meter'!X20)</f>
        <v>0</v>
      </c>
      <c r="S16" s="289">
        <f>IF('Water-Meter'!AA20&lt;0,"0",'Water-Meter'!AA20)</f>
        <v>35</v>
      </c>
      <c r="T16" s="289">
        <f>IF('Water-Meter'!AD20&lt;0,"0",'Water-Meter'!AD20)</f>
        <v>12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135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8</v>
      </c>
      <c r="D17" s="546">
        <v>2020</v>
      </c>
      <c r="E17" s="540">
        <f>'UTILITY REPORT 1'!I18</f>
        <v>64.7</v>
      </c>
      <c r="F17" s="540">
        <f>'UTILITY REPORT 1'!E18</f>
        <v>736.99</v>
      </c>
      <c r="G17" s="541">
        <f>'UTILITY REPORT 1'!F18</f>
        <v>1704</v>
      </c>
      <c r="H17" s="540">
        <f>IF('Kit report'!F19&lt;0,"0",'Kit report'!F19)</f>
        <v>155.99999999991269</v>
      </c>
      <c r="I17" s="540">
        <f>IF('Kit report'!X19&lt;0,"0",'Kit report'!X19)</f>
        <v>19.999999999890861</v>
      </c>
      <c r="J17" s="540">
        <f>IF('Utility summery'!H21&lt;0,"0",'Utility summery'!H21)</f>
        <v>35</v>
      </c>
      <c r="K17" s="541">
        <f>IF('UTILITY REPORT 1'!H18&lt;0,"0",'UTILITY REPORT 1'!H18)</f>
        <v>0</v>
      </c>
      <c r="L17" s="540">
        <f>'Water-Meter'!K21</f>
        <v>1</v>
      </c>
      <c r="M17" s="541">
        <f>'Water-Meter'!H21</f>
        <v>0</v>
      </c>
      <c r="N17" s="541">
        <f>'Water-Meter'!Q21</f>
        <v>1</v>
      </c>
      <c r="O17" s="540" t="e">
        <f>K17*E17+H17*I17+#REF!*#REF!+J17*L17</f>
        <v>#REF!</v>
      </c>
      <c r="P17" s="547">
        <f>'Water-Meter'!E21</f>
        <v>47</v>
      </c>
      <c r="Q17" s="289">
        <f>IF('Water-Meter'!U21&lt;0,"0",'Water-Meter'!U21)</f>
        <v>87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11</v>
      </c>
      <c r="U17" s="289">
        <f>IF('Water-Meter'!AG21&lt;0,"0",'Water-Meter'!AG21)</f>
        <v>0</v>
      </c>
      <c r="V17" s="289">
        <f>IF('Water-Meter'!AJ21&lt;0,"0",'Water-Meter'!AJ21)</f>
        <v>1</v>
      </c>
      <c r="W17" s="31">
        <f>'Water-Meter'!AN21</f>
        <v>136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8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 t="str">
        <f>IF('Kit report'!F20&lt;0,"0",'Kit report'!F20)</f>
        <v>0</v>
      </c>
      <c r="I18" s="540" t="str">
        <f>IF('Kit report'!X20&lt;0,"0",'Kit report'!X20)</f>
        <v>0</v>
      </c>
      <c r="J18" s="540" t="str">
        <f>IF('Utility summery'!H22&lt;0,"0",'Utility summery'!H22)</f>
        <v>0</v>
      </c>
      <c r="K18" s="541" t="str">
        <f>IF('UTILITY REPORT 1'!H19&lt;0,"0",'UTILITY REPORT 1'!H19)</f>
        <v>0</v>
      </c>
      <c r="L18" s="540" t="str">
        <f>'Water-Meter'!K22</f>
        <v>0</v>
      </c>
      <c r="M18" s="541" t="str">
        <f>'Water-Meter'!H22</f>
        <v>0</v>
      </c>
      <c r="N18" s="541" t="str">
        <f>'Water-Meter'!Q22</f>
        <v>0</v>
      </c>
      <c r="O18" s="540" t="e">
        <f>K18*E18+H18*I18+#REF!*#REF!+J18*L18</f>
        <v>#REF!</v>
      </c>
      <c r="P18" s="547" t="str">
        <f>'Water-Meter'!E22</f>
        <v>0</v>
      </c>
      <c r="Q18" s="289" t="str">
        <f>IF('Water-Meter'!U22&lt;0,"0",'Water-Meter'!U22)</f>
        <v>0</v>
      </c>
      <c r="R18" s="289" t="str">
        <f>IF('Water-Meter'!X22&lt;0,"0",'Water-Meter'!X22)</f>
        <v>0</v>
      </c>
      <c r="S18" s="289" t="str">
        <f>IF('Water-Meter'!AA22&lt;0,"0",'Water-Meter'!AA22)</f>
        <v>0</v>
      </c>
      <c r="T18" s="289" t="str">
        <f>IF('Water-Meter'!AD22&lt;0,"0",'Water-Meter'!AD22)</f>
        <v>0</v>
      </c>
      <c r="U18" s="289" t="str">
        <f>IF('Water-Meter'!AG22&lt;0,"0",'Water-Meter'!AG22)</f>
        <v>0</v>
      </c>
      <c r="V18" s="289" t="str">
        <f>IF('Water-Meter'!AJ22&lt;0,"0",'Water-Meter'!AJ22)</f>
        <v>0</v>
      </c>
      <c r="W18" s="31">
        <f>'Water-Meter'!AN22</f>
        <v>-14802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8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8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8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8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8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8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8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8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8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8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8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8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8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 t="s">
        <v>283</v>
      </c>
      <c r="B32" s="539">
        <f t="shared" si="0"/>
        <v>31</v>
      </c>
      <c r="C32" s="545">
        <v>8</v>
      </c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44044</v>
      </c>
      <c r="B3" s="470">
        <f>Gen!C11</f>
        <v>0</v>
      </c>
      <c r="C3" s="471">
        <f>'Summery Report'!E5</f>
        <v>0</v>
      </c>
      <c r="D3" s="472">
        <v>1</v>
      </c>
      <c r="E3" s="471">
        <f>Gen!T11</f>
        <v>741.42</v>
      </c>
      <c r="F3" s="471">
        <f>Gen!U11</f>
        <v>1872</v>
      </c>
      <c r="G3" s="471">
        <f>'Water-Meter'!E6</f>
        <v>51</v>
      </c>
      <c r="H3" s="471">
        <f>'Utility report '!AC6</f>
        <v>78</v>
      </c>
      <c r="I3" s="471">
        <f>Gen!AK11</f>
        <v>16.850000000000001</v>
      </c>
    </row>
    <row r="4" spans="1:9" ht="13.5">
      <c r="A4" s="468">
        <f>Gen!B12</f>
        <v>44045</v>
      </c>
      <c r="B4" s="470">
        <f>Gen!C12</f>
        <v>0</v>
      </c>
      <c r="C4" s="471">
        <f>'Summery Report'!E6</f>
        <v>0</v>
      </c>
      <c r="D4" s="472">
        <v>1</v>
      </c>
      <c r="E4" s="471">
        <f>Gen!T12</f>
        <v>782.06</v>
      </c>
      <c r="F4" s="471">
        <f>Gen!U12</f>
        <v>2030</v>
      </c>
      <c r="G4" s="471">
        <f>'Water-Meter'!E7</f>
        <v>53</v>
      </c>
      <c r="H4" s="471">
        <f>'Utility report '!AC7</f>
        <v>156</v>
      </c>
      <c r="I4" s="471">
        <f>Gen!AK12</f>
        <v>0</v>
      </c>
    </row>
    <row r="5" spans="1:9" ht="13.5">
      <c r="A5" s="468">
        <f>Gen!B13</f>
        <v>44046</v>
      </c>
      <c r="B5" s="470">
        <f>Gen!C13</f>
        <v>0</v>
      </c>
      <c r="C5" s="471">
        <f>'Summery Report'!E7</f>
        <v>0</v>
      </c>
      <c r="D5" s="472">
        <v>1</v>
      </c>
      <c r="E5" s="471">
        <f>Gen!T13</f>
        <v>788.41</v>
      </c>
      <c r="F5" s="471">
        <f>Gen!U13</f>
        <v>1818</v>
      </c>
      <c r="G5" s="471">
        <f>'Water-Meter'!E8</f>
        <v>42</v>
      </c>
      <c r="H5" s="471">
        <f>'Utility report '!AC8</f>
        <v>0</v>
      </c>
      <c r="I5" s="471">
        <f>Gen!AK13</f>
        <v>25.31</v>
      </c>
    </row>
    <row r="6" spans="1:9" ht="13.5">
      <c r="A6" s="468">
        <f>Gen!B14</f>
        <v>44047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793.6099999999999</v>
      </c>
      <c r="F6" s="471">
        <f>Gen!U14</f>
        <v>1980</v>
      </c>
      <c r="G6" s="471">
        <f>'Water-Meter'!E9</f>
        <v>67</v>
      </c>
      <c r="H6" s="471">
        <f>'Utility report '!AC9</f>
        <v>55</v>
      </c>
      <c r="I6" s="471">
        <f>Gen!AK14</f>
        <v>149.86000000000001</v>
      </c>
    </row>
    <row r="7" spans="1:9" ht="13.5">
      <c r="A7" s="468">
        <f>Gen!B15</f>
        <v>44048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776.02</v>
      </c>
      <c r="F7" s="471">
        <f>Gen!U15</f>
        <v>1724</v>
      </c>
      <c r="G7" s="471">
        <f>'Water-Meter'!E10</f>
        <v>49</v>
      </c>
      <c r="H7" s="471">
        <f>'Utility report '!AC10</f>
        <v>56</v>
      </c>
      <c r="I7" s="471">
        <f>Gen!AK15</f>
        <v>87.31</v>
      </c>
    </row>
    <row r="8" spans="1:9" ht="13.5">
      <c r="A8" s="468">
        <f>Gen!B16</f>
        <v>44049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778.12</v>
      </c>
      <c r="F8" s="471">
        <f>Gen!U16</f>
        <v>1892</v>
      </c>
      <c r="G8" s="471">
        <f>'Water-Meter'!E11</f>
        <v>66</v>
      </c>
      <c r="H8" s="471">
        <f>'Utility report '!AC11</f>
        <v>50</v>
      </c>
      <c r="I8" s="471">
        <f>Gen!AK16</f>
        <v>52.6</v>
      </c>
    </row>
    <row r="9" spans="1:9" ht="13.5">
      <c r="A9" s="468">
        <f>Gen!B17</f>
        <v>44050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771.7</v>
      </c>
      <c r="F9" s="471">
        <f>Gen!U17</f>
        <v>1882</v>
      </c>
      <c r="G9" s="471">
        <f>'Water-Meter'!E12</f>
        <v>51</v>
      </c>
      <c r="H9" s="471">
        <f>'Utility report '!AC12</f>
        <v>55</v>
      </c>
      <c r="I9" s="471">
        <f>Gen!AK17</f>
        <v>0</v>
      </c>
    </row>
    <row r="10" spans="1:9" ht="13.5">
      <c r="A10" s="468">
        <f>Gen!B18</f>
        <v>44051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822.74</v>
      </c>
      <c r="F10" s="471">
        <f>Gen!U18</f>
        <v>2028</v>
      </c>
      <c r="G10" s="471">
        <f>'Water-Meter'!E13</f>
        <v>61</v>
      </c>
      <c r="H10" s="471">
        <f>'Utility report '!AC13</f>
        <v>55</v>
      </c>
      <c r="I10" s="471">
        <f>Gen!AK18</f>
        <v>21.08</v>
      </c>
    </row>
    <row r="11" spans="1:9" ht="13.5">
      <c r="A11" s="468">
        <f>Gen!B19</f>
        <v>44052</v>
      </c>
      <c r="B11" s="470">
        <f>Gen!C19</f>
        <v>1.2999999999999999E-2</v>
      </c>
      <c r="C11" s="471">
        <f>'Summery Report'!E13</f>
        <v>1</v>
      </c>
      <c r="D11" s="472">
        <v>1</v>
      </c>
      <c r="E11" s="471">
        <f>Gen!T19</f>
        <v>886.95</v>
      </c>
      <c r="F11" s="471">
        <f>Gen!U19</f>
        <v>2022</v>
      </c>
      <c r="G11" s="471">
        <f>'Water-Meter'!E14</f>
        <v>63</v>
      </c>
      <c r="H11" s="471">
        <f>'Utility report '!AC14</f>
        <v>53</v>
      </c>
      <c r="I11" s="471">
        <f>Gen!AK19</f>
        <v>70</v>
      </c>
    </row>
    <row r="12" spans="1:9" ht="13.5">
      <c r="A12" s="468">
        <f>Gen!B20</f>
        <v>44053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798.82999999999993</v>
      </c>
      <c r="F12" s="471">
        <f>Gen!U20</f>
        <v>1848</v>
      </c>
      <c r="G12" s="471">
        <f>'Water-Meter'!E15</f>
        <v>55</v>
      </c>
      <c r="H12" s="471">
        <f>'Utility report '!AC15</f>
        <v>52</v>
      </c>
      <c r="I12" s="471">
        <f>Gen!AK20</f>
        <v>31.31</v>
      </c>
    </row>
    <row r="13" spans="1:9" ht="13.5">
      <c r="A13" s="468">
        <f>Gen!B21</f>
        <v>44054</v>
      </c>
      <c r="B13" s="470">
        <f>Gen!C21</f>
        <v>0.01</v>
      </c>
      <c r="C13" s="471">
        <f>'Summery Report'!E15</f>
        <v>1</v>
      </c>
      <c r="D13" s="472">
        <v>1</v>
      </c>
      <c r="E13" s="471">
        <f>Gen!T21</f>
        <v>777.96</v>
      </c>
      <c r="F13" s="471">
        <f>Gen!U21</f>
        <v>1828</v>
      </c>
      <c r="G13" s="471">
        <f>'Water-Meter'!E16</f>
        <v>67</v>
      </c>
      <c r="H13" s="471">
        <f>'Utility report '!AC16</f>
        <v>50</v>
      </c>
      <c r="I13" s="471">
        <f>Gen!AK21</f>
        <v>197.35</v>
      </c>
    </row>
    <row r="14" spans="1:9" ht="13.5">
      <c r="A14" s="468">
        <f>Gen!B22</f>
        <v>44055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763.8</v>
      </c>
      <c r="F14" s="471">
        <f>Gen!U22</f>
        <v>1765</v>
      </c>
      <c r="G14" s="471">
        <f>'Water-Meter'!E17</f>
        <v>100</v>
      </c>
      <c r="H14" s="471">
        <f>'Utility report '!AC17</f>
        <v>52</v>
      </c>
      <c r="I14" s="471">
        <f>Gen!AK22</f>
        <v>0</v>
      </c>
    </row>
    <row r="15" spans="1:9" ht="13.5">
      <c r="A15" s="468">
        <f>Gen!B23</f>
        <v>44056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756.53</v>
      </c>
      <c r="F15" s="471">
        <f>Gen!U23</f>
        <v>1824</v>
      </c>
      <c r="G15" s="471">
        <f>'Water-Meter'!E18</f>
        <v>63</v>
      </c>
      <c r="H15" s="471">
        <f>'Utility report '!AC18</f>
        <v>52</v>
      </c>
      <c r="I15" s="471">
        <f>Gen!AK23</f>
        <v>10.17</v>
      </c>
    </row>
    <row r="16" spans="1:9" ht="13.5">
      <c r="A16" s="468">
        <f>Gen!B24</f>
        <v>44057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779.34999999999991</v>
      </c>
      <c r="F16" s="471">
        <f>Gen!U24</f>
        <v>1987</v>
      </c>
      <c r="G16" s="471">
        <f>'Water-Meter'!E19</f>
        <v>51</v>
      </c>
      <c r="H16" s="471">
        <f>'Utility report '!AC19</f>
        <v>181</v>
      </c>
      <c r="I16" s="471">
        <f>Gen!AK24</f>
        <v>12.78</v>
      </c>
    </row>
    <row r="17" spans="1:9" ht="13.5">
      <c r="A17" s="468">
        <f>Gen!B25</f>
        <v>44058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758.66000000000008</v>
      </c>
      <c r="F17" s="471">
        <f>Gen!U25</f>
        <v>1746</v>
      </c>
      <c r="G17" s="471">
        <f>'Water-Meter'!E20</f>
        <v>49</v>
      </c>
      <c r="H17" s="471">
        <f>'Utility report '!AC20</f>
        <v>101</v>
      </c>
      <c r="I17" s="471">
        <f>Gen!AK25</f>
        <v>0</v>
      </c>
    </row>
    <row r="18" spans="1:9" ht="13.5">
      <c r="A18" s="468">
        <f>Gen!B26</f>
        <v>44059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736.99</v>
      </c>
      <c r="F18" s="471">
        <f>Gen!U26</f>
        <v>1704</v>
      </c>
      <c r="G18" s="471">
        <f>'Water-Meter'!E21</f>
        <v>47</v>
      </c>
      <c r="H18" s="471">
        <f>'Utility report '!AC21</f>
        <v>0</v>
      </c>
      <c r="I18" s="471">
        <f>Gen!AK26</f>
        <v>64.7</v>
      </c>
    </row>
    <row r="19" spans="1:9" ht="13.5">
      <c r="A19" s="468">
        <f>Gen!B27</f>
        <v>44060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 t="str">
        <f>'Water-Meter'!E22</f>
        <v>0</v>
      </c>
      <c r="H19" s="471">
        <f>'Utility report '!AC22</f>
        <v>-36988</v>
      </c>
      <c r="I19" s="471">
        <f>Gen!AK27</f>
        <v>0</v>
      </c>
    </row>
    <row r="20" spans="1:9" ht="13.5">
      <c r="A20" s="468">
        <f>Gen!B28</f>
        <v>44061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44062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44063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44064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44065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44066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44067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44068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44069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44070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44071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44072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44073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44074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44044</v>
      </c>
      <c r="B6" s="6">
        <f>'Summery Report'!E5</f>
        <v>0</v>
      </c>
      <c r="C6" s="6">
        <f>Gen!U11</f>
        <v>1872</v>
      </c>
      <c r="D6" s="177">
        <f>Gen!T11</f>
        <v>741.42</v>
      </c>
      <c r="E6" s="177">
        <f>Gen!AK11</f>
        <v>16.850000000000001</v>
      </c>
      <c r="F6" s="177">
        <f>Gen!AS11</f>
        <v>758.27</v>
      </c>
      <c r="G6" s="180">
        <f>'Utility report '!AC6</f>
        <v>78</v>
      </c>
      <c r="H6" s="180">
        <f>'Utility report '!AE6</f>
        <v>48</v>
      </c>
      <c r="I6" s="348">
        <f>'Water-Meter'!E6</f>
        <v>51</v>
      </c>
      <c r="J6" s="182">
        <f>'Lpg (2)'!B10</f>
        <v>85</v>
      </c>
      <c r="K6" s="182">
        <f>'Lpg (2)'!C10</f>
        <v>85</v>
      </c>
      <c r="L6" s="182">
        <f>'Lpg (2)'!D10</f>
        <v>85</v>
      </c>
      <c r="M6" s="528">
        <f>'Lpg (2)'!G10</f>
        <v>315873.14000000007</v>
      </c>
      <c r="N6" s="6"/>
      <c r="O6" s="175">
        <f>E6</f>
        <v>16.850000000000001</v>
      </c>
      <c r="P6" s="174" t="e">
        <f>'[1]Lpg (2)'!#REF!</f>
        <v>#REF!</v>
      </c>
      <c r="Q6" s="175" t="e">
        <f>'[1]Summery Report'!#REF!</f>
        <v>#REF!</v>
      </c>
      <c r="R6" s="175" t="e">
        <f t="shared" ref="R6:R37" si="0">N6/B6</f>
        <v>#DIV/0!</v>
      </c>
      <c r="S6" s="535" t="e">
        <f t="shared" ref="S6:S37" si="1">Q6/B6</f>
        <v>#REF!</v>
      </c>
    </row>
    <row r="7" spans="1:19" ht="14.25">
      <c r="A7" s="534">
        <f>Gen!B12</f>
        <v>44045</v>
      </c>
      <c r="B7" s="6">
        <f>'Summery Report'!E6</f>
        <v>0</v>
      </c>
      <c r="C7" s="6">
        <f>Gen!U12</f>
        <v>2030</v>
      </c>
      <c r="D7" s="177">
        <f>Gen!T12</f>
        <v>782.06</v>
      </c>
      <c r="E7" s="177">
        <f>Gen!AK12</f>
        <v>0</v>
      </c>
      <c r="F7" s="177">
        <f>Gen!AS12</f>
        <v>782.06</v>
      </c>
      <c r="G7" s="180">
        <f>'Utility report '!AC7</f>
        <v>156</v>
      </c>
      <c r="H7" s="180">
        <f>'Utility report '!AE7</f>
        <v>31</v>
      </c>
      <c r="I7" s="348">
        <f>'Water-Meter'!E7</f>
        <v>53</v>
      </c>
      <c r="J7" s="182">
        <f>'Lpg (2)'!B11</f>
        <v>85</v>
      </c>
      <c r="K7" s="182">
        <f>'Lpg (2)'!C11</f>
        <v>85</v>
      </c>
      <c r="L7" s="182">
        <f>'Lpg (2)'!D11</f>
        <v>85</v>
      </c>
      <c r="M7" s="528">
        <f>'Lpg (2)'!G11</f>
        <v>25.784000000002564</v>
      </c>
      <c r="N7" s="175">
        <f>D7*1.4</f>
        <v>1094.8839999999998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 t="e">
        <f t="shared" si="0"/>
        <v>#DIV/0!</v>
      </c>
      <c r="S7" s="535" t="e">
        <f t="shared" si="1"/>
        <v>#REF!</v>
      </c>
    </row>
    <row r="8" spans="1:19" ht="14.25">
      <c r="A8" s="534">
        <f>Gen!B13</f>
        <v>44046</v>
      </c>
      <c r="B8" s="6">
        <f>'Summery Report'!E7</f>
        <v>0</v>
      </c>
      <c r="C8" s="6">
        <f>Gen!U13</f>
        <v>1818</v>
      </c>
      <c r="D8" s="177">
        <f>Gen!T13</f>
        <v>788.41</v>
      </c>
      <c r="E8" s="177">
        <f>Gen!AK13</f>
        <v>25.31</v>
      </c>
      <c r="F8" s="177">
        <f>Gen!AS13</f>
        <v>813.71999999999991</v>
      </c>
      <c r="G8" s="180">
        <f>'Utility report '!AC8</f>
        <v>0</v>
      </c>
      <c r="H8" s="180">
        <f>'Utility report '!AE8</f>
        <v>70</v>
      </c>
      <c r="I8" s="348">
        <f>'Water-Meter'!E8</f>
        <v>42</v>
      </c>
      <c r="J8" s="182">
        <f>'Lpg (2)'!B12</f>
        <v>85</v>
      </c>
      <c r="K8" s="182">
        <f>'Lpg (2)'!C12</f>
        <v>85</v>
      </c>
      <c r="L8" s="182">
        <f>'Lpg (2)'!D12</f>
        <v>84</v>
      </c>
      <c r="M8" s="528">
        <f>'Lpg (2)'!G12</f>
        <v>12.847999999992318</v>
      </c>
      <c r="N8" s="175">
        <f t="shared" ref="N8:O36" si="2">D8*1.4</f>
        <v>1103.7739999999999</v>
      </c>
      <c r="O8" s="175">
        <f t="shared" si="2"/>
        <v>35.433999999999997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5" t="e">
        <f t="shared" si="1"/>
        <v>#REF!</v>
      </c>
    </row>
    <row r="9" spans="1:19" ht="14.25">
      <c r="A9" s="534">
        <f>Gen!B14</f>
        <v>44047</v>
      </c>
      <c r="B9" s="6">
        <f>'Summery Report'!E8</f>
        <v>0</v>
      </c>
      <c r="C9" s="6">
        <f>Gen!U14</f>
        <v>1980</v>
      </c>
      <c r="D9" s="177">
        <f>Gen!T14</f>
        <v>793.6099999999999</v>
      </c>
      <c r="E9" s="177">
        <f>Gen!AK14</f>
        <v>149.86000000000001</v>
      </c>
      <c r="F9" s="177">
        <f>Gen!AS14</f>
        <v>943.46999999999991</v>
      </c>
      <c r="G9" s="180">
        <f>'Utility report '!AC9</f>
        <v>55</v>
      </c>
      <c r="H9" s="180">
        <f>'Utility report '!AE9</f>
        <v>36</v>
      </c>
      <c r="I9" s="348">
        <f>'Water-Meter'!E9</f>
        <v>67</v>
      </c>
      <c r="J9" s="182">
        <f>'Lpg (2)'!B13</f>
        <v>85</v>
      </c>
      <c r="K9" s="182">
        <f>'Lpg (2)'!C13</f>
        <v>85</v>
      </c>
      <c r="L9" s="182">
        <f>'Lpg (2)'!D13</f>
        <v>84</v>
      </c>
      <c r="M9" s="528">
        <f>'Lpg (2)'!G13</f>
        <v>12.584000000002563</v>
      </c>
      <c r="N9" s="175">
        <f t="shared" si="2"/>
        <v>1111.0539999999999</v>
      </c>
      <c r="O9" s="175">
        <f t="shared" si="2"/>
        <v>209.804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44048</v>
      </c>
      <c r="B10" s="6">
        <f>'Summery Report'!E9</f>
        <v>0</v>
      </c>
      <c r="C10" s="6">
        <f>Gen!U15</f>
        <v>1724</v>
      </c>
      <c r="D10" s="177">
        <f>Gen!T15</f>
        <v>776.02</v>
      </c>
      <c r="E10" s="177">
        <f>Gen!AK15</f>
        <v>87.31</v>
      </c>
      <c r="F10" s="177">
        <f>Gen!AS15</f>
        <v>863.32999999999993</v>
      </c>
      <c r="G10" s="180">
        <f>'Utility report '!AC10</f>
        <v>56</v>
      </c>
      <c r="H10" s="180">
        <f>'Utility report '!AE10</f>
        <v>21</v>
      </c>
      <c r="I10" s="348">
        <f>'Water-Meter'!E10</f>
        <v>49</v>
      </c>
      <c r="J10" s="182">
        <f>'Lpg (2)'!B14</f>
        <v>85</v>
      </c>
      <c r="K10" s="182">
        <f>'Lpg (2)'!C14</f>
        <v>85</v>
      </c>
      <c r="L10" s="182">
        <f>'Lpg (2)'!D14</f>
        <v>83</v>
      </c>
      <c r="M10" s="528">
        <f>'Lpg (2)'!G14</f>
        <v>32.559999999974394</v>
      </c>
      <c r="N10" s="175">
        <f t="shared" si="2"/>
        <v>1086.4279999999999</v>
      </c>
      <c r="O10" s="175">
        <f t="shared" si="2"/>
        <v>122.23399999999999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44049</v>
      </c>
      <c r="B11" s="6">
        <f>'Summery Report'!E10</f>
        <v>0</v>
      </c>
      <c r="C11" s="6">
        <f>Gen!U16</f>
        <v>1892</v>
      </c>
      <c r="D11" s="177">
        <f>Gen!T16</f>
        <v>778.12</v>
      </c>
      <c r="E11" s="177">
        <f>Gen!AK16</f>
        <v>52.6</v>
      </c>
      <c r="F11" s="177">
        <f>Gen!AS16</f>
        <v>830.72</v>
      </c>
      <c r="G11" s="180">
        <f>'Utility report '!AC11</f>
        <v>50</v>
      </c>
      <c r="H11" s="180">
        <f>'Utility report '!AE11</f>
        <v>40</v>
      </c>
      <c r="I11" s="348">
        <f>'Water-Meter'!E11</f>
        <v>66</v>
      </c>
      <c r="J11" s="182">
        <f>'Lpg (2)'!B15</f>
        <v>85</v>
      </c>
      <c r="K11" s="182">
        <f>'Lpg (2)'!C15</f>
        <v>85</v>
      </c>
      <c r="L11" s="182">
        <f>'Lpg (2)'!D15</f>
        <v>81</v>
      </c>
      <c r="M11" s="528">
        <f>'Lpg (2)'!G15</f>
        <v>26.047999999992317</v>
      </c>
      <c r="N11" s="175">
        <f t="shared" si="2"/>
        <v>1089.3679999999999</v>
      </c>
      <c r="O11" s="175">
        <f t="shared" si="2"/>
        <v>73.64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44050</v>
      </c>
      <c r="B12" s="6">
        <f>'Summery Report'!E11</f>
        <v>0</v>
      </c>
      <c r="C12" s="6">
        <f>Gen!U17</f>
        <v>1882</v>
      </c>
      <c r="D12" s="177">
        <f>Gen!T17</f>
        <v>771.7</v>
      </c>
      <c r="E12" s="177">
        <f>Gen!AK17</f>
        <v>0</v>
      </c>
      <c r="F12" s="177">
        <f>Gen!AS17</f>
        <v>771.7</v>
      </c>
      <c r="G12" s="180">
        <f>'Utility report '!AC12</f>
        <v>55</v>
      </c>
      <c r="H12" s="180">
        <f>'Utility report '!AE12</f>
        <v>38</v>
      </c>
      <c r="I12" s="348">
        <f>'Water-Meter'!E12</f>
        <v>51</v>
      </c>
      <c r="J12" s="182">
        <f>'Lpg (2)'!B16</f>
        <v>85</v>
      </c>
      <c r="K12" s="182">
        <f>'Lpg (2)'!C16</f>
        <v>85</v>
      </c>
      <c r="L12" s="182">
        <f>'Lpg (2)'!D16</f>
        <v>76</v>
      </c>
      <c r="M12" s="528">
        <f>'Lpg (2)'!G16</f>
        <v>32.647999999992322</v>
      </c>
      <c r="N12" s="175">
        <f t="shared" si="2"/>
        <v>1080.3799999999999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44051</v>
      </c>
      <c r="B13" s="6">
        <f>'Summery Report'!E12</f>
        <v>0</v>
      </c>
      <c r="C13" s="6">
        <f>Gen!U18</f>
        <v>2028</v>
      </c>
      <c r="D13" s="177">
        <f>Gen!T18</f>
        <v>822.74</v>
      </c>
      <c r="E13" s="177">
        <f>Gen!AK18</f>
        <v>21.08</v>
      </c>
      <c r="F13" s="177">
        <f>Gen!AS18</f>
        <v>843.82</v>
      </c>
      <c r="G13" s="180">
        <f>'Utility report '!AC13</f>
        <v>55</v>
      </c>
      <c r="H13" s="180">
        <f>'Utility report '!AE13</f>
        <v>30</v>
      </c>
      <c r="I13" s="348">
        <f>'Water-Meter'!E13</f>
        <v>61</v>
      </c>
      <c r="J13" s="182">
        <f>'Lpg (2)'!B17</f>
        <v>85</v>
      </c>
      <c r="K13" s="182">
        <f>'Lpg (2)'!C17</f>
        <v>85</v>
      </c>
      <c r="L13" s="182">
        <f>'Lpg (2)'!D17</f>
        <v>69</v>
      </c>
      <c r="M13" s="528">
        <f>'Lpg (2)'!G17</f>
        <v>31.900000000000002</v>
      </c>
      <c r="N13" s="175">
        <f t="shared" si="2"/>
        <v>1151.836</v>
      </c>
      <c r="O13" s="175">
        <f t="shared" si="2"/>
        <v>29.511999999999997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44052</v>
      </c>
      <c r="B14" s="6">
        <f>'Summery Report'!E13</f>
        <v>1</v>
      </c>
      <c r="C14" s="6">
        <f>Gen!U19</f>
        <v>2022</v>
      </c>
      <c r="D14" s="177">
        <f>Gen!T19</f>
        <v>886.95</v>
      </c>
      <c r="E14" s="177">
        <f>Gen!AK19</f>
        <v>70</v>
      </c>
      <c r="F14" s="177">
        <f>Gen!AS19</f>
        <v>956.95</v>
      </c>
      <c r="G14" s="180">
        <f>'Utility report '!AC14</f>
        <v>53</v>
      </c>
      <c r="H14" s="180">
        <f>'Utility report '!AE14</f>
        <v>37</v>
      </c>
      <c r="I14" s="348">
        <f>'Water-Meter'!E14</f>
        <v>63</v>
      </c>
      <c r="J14" s="182">
        <f>'Lpg (2)'!B18</f>
        <v>85</v>
      </c>
      <c r="K14" s="182">
        <f>'Lpg (2)'!C18</f>
        <v>85</v>
      </c>
      <c r="L14" s="182">
        <f>'Lpg (2)'!D18</f>
        <v>61</v>
      </c>
      <c r="M14" s="528">
        <f>'Lpg (2)'!G18</f>
        <v>43.868000000005125</v>
      </c>
      <c r="N14" s="175">
        <f t="shared" si="2"/>
        <v>1241.73</v>
      </c>
      <c r="O14" s="175">
        <f t="shared" si="2"/>
        <v>98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1241.73</v>
      </c>
      <c r="S14" s="535" t="e">
        <f t="shared" si="1"/>
        <v>#REF!</v>
      </c>
    </row>
    <row r="15" spans="1:19" ht="14.25">
      <c r="A15" s="534">
        <f>Gen!B20</f>
        <v>44053</v>
      </c>
      <c r="B15" s="6">
        <f>'Summery Report'!E14</f>
        <v>1</v>
      </c>
      <c r="C15" s="6">
        <f>Gen!U20</f>
        <v>1848</v>
      </c>
      <c r="D15" s="177">
        <f>Gen!T20</f>
        <v>798.82999999999993</v>
      </c>
      <c r="E15" s="177">
        <f>Gen!AK20</f>
        <v>31.31</v>
      </c>
      <c r="F15" s="177">
        <f>Gen!AS20</f>
        <v>830.13999999999987</v>
      </c>
      <c r="G15" s="180">
        <f>'Utility report '!AC15</f>
        <v>52</v>
      </c>
      <c r="H15" s="180">
        <f>'Utility report '!AE15</f>
        <v>30</v>
      </c>
      <c r="I15" s="348">
        <f>'Water-Meter'!E15</f>
        <v>55</v>
      </c>
      <c r="J15" s="182">
        <f>'Lpg (2)'!B19</f>
        <v>85</v>
      </c>
      <c r="K15" s="182">
        <f>'Lpg (2)'!C19</f>
        <v>85</v>
      </c>
      <c r="L15" s="182">
        <f>'Lpg (2)'!D19</f>
        <v>59</v>
      </c>
      <c r="M15" s="528">
        <f>'Lpg (2)'!G19</f>
        <v>49.104000000015368</v>
      </c>
      <c r="N15" s="175">
        <f t="shared" si="2"/>
        <v>1118.3619999999999</v>
      </c>
      <c r="O15" s="175">
        <f t="shared" si="2"/>
        <v>43.833999999999996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1118.3619999999999</v>
      </c>
      <c r="S15" s="535" t="e">
        <f t="shared" si="1"/>
        <v>#REF!</v>
      </c>
    </row>
    <row r="16" spans="1:19" ht="14.25">
      <c r="A16" s="534">
        <f>Gen!B21</f>
        <v>44054</v>
      </c>
      <c r="B16" s="6">
        <f>'Summery Report'!E15</f>
        <v>1</v>
      </c>
      <c r="C16" s="6">
        <f>Gen!U21</f>
        <v>1828</v>
      </c>
      <c r="D16" s="177">
        <f>Gen!T21</f>
        <v>777.96</v>
      </c>
      <c r="E16" s="177">
        <f>Gen!AK21</f>
        <v>197.35</v>
      </c>
      <c r="F16" s="177">
        <f>Gen!AS21</f>
        <v>975.31000000000006</v>
      </c>
      <c r="G16" s="180">
        <f>'Utility report '!AC16</f>
        <v>50</v>
      </c>
      <c r="H16" s="180">
        <f>'Utility report '!AE16</f>
        <v>32</v>
      </c>
      <c r="I16" s="348">
        <f>'Water-Meter'!E16</f>
        <v>67</v>
      </c>
      <c r="J16" s="182">
        <f>'Lpg (2)'!B20</f>
        <v>85</v>
      </c>
      <c r="K16" s="182">
        <f>'Lpg (2)'!C20</f>
        <v>85</v>
      </c>
      <c r="L16" s="182">
        <f>'Lpg (2)'!D20</f>
        <v>56</v>
      </c>
      <c r="M16" s="528">
        <f>'Lpg (2)'!G20</f>
        <v>52.975999999971833</v>
      </c>
      <c r="N16" s="175">
        <f t="shared" si="2"/>
        <v>1089.144</v>
      </c>
      <c r="O16" s="175">
        <f t="shared" si="2"/>
        <v>276.28999999999996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1089.144</v>
      </c>
      <c r="S16" s="535" t="e">
        <f t="shared" si="1"/>
        <v>#REF!</v>
      </c>
    </row>
    <row r="17" spans="1:19" ht="14.25">
      <c r="A17" s="534">
        <f>Gen!B22</f>
        <v>44055</v>
      </c>
      <c r="B17" s="6">
        <f>'Summery Report'!E16</f>
        <v>0</v>
      </c>
      <c r="C17" s="6">
        <f>Gen!U22</f>
        <v>1765</v>
      </c>
      <c r="D17" s="177">
        <f>Gen!T22</f>
        <v>763.8</v>
      </c>
      <c r="E17" s="177">
        <f>Gen!AK22</f>
        <v>0</v>
      </c>
      <c r="F17" s="177">
        <f>Gen!AS22</f>
        <v>763.8</v>
      </c>
      <c r="G17" s="180">
        <f>'Utility report '!AC17</f>
        <v>52</v>
      </c>
      <c r="H17" s="180">
        <f>'Utility report '!AE17</f>
        <v>36</v>
      </c>
      <c r="I17" s="348">
        <f>'Water-Meter'!E17</f>
        <v>100</v>
      </c>
      <c r="J17" s="182">
        <f>'Lpg (2)'!B21</f>
        <v>85</v>
      </c>
      <c r="K17" s="182">
        <f>'Lpg (2)'!C22</f>
        <v>85</v>
      </c>
      <c r="L17" s="182">
        <f>'Lpg (2)'!D21</f>
        <v>52</v>
      </c>
      <c r="M17" s="528">
        <f>'Lpg (2)'!G21</f>
        <v>32.604000000015368</v>
      </c>
      <c r="N17" s="175">
        <f t="shared" si="2"/>
        <v>1069.32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44056</v>
      </c>
      <c r="B18" s="6">
        <f>'Summery Report'!E17</f>
        <v>0</v>
      </c>
      <c r="C18" s="6">
        <f>Gen!U23</f>
        <v>1824</v>
      </c>
      <c r="D18" s="177">
        <f>Gen!T23</f>
        <v>756.53</v>
      </c>
      <c r="E18" s="177">
        <f>Gen!AK23</f>
        <v>10.17</v>
      </c>
      <c r="F18" s="177">
        <f>Gen!AS23</f>
        <v>766.69999999999993</v>
      </c>
      <c r="G18" s="180">
        <f>'Utility report '!AC18</f>
        <v>52</v>
      </c>
      <c r="H18" s="180">
        <f>'Utility report '!AE18</f>
        <v>36</v>
      </c>
      <c r="I18" s="348">
        <f>'Water-Meter'!E18</f>
        <v>63</v>
      </c>
      <c r="J18" s="182">
        <f>'Lpg (2)'!B22</f>
        <v>85</v>
      </c>
      <c r="K18" s="182">
        <f>'Lpg (2)'!C23</f>
        <v>85</v>
      </c>
      <c r="L18" s="182">
        <f>'Lpg (2)'!D22</f>
        <v>48</v>
      </c>
      <c r="M18" s="528">
        <f>'Lpg (2)'!G22</f>
        <v>31.94400000004098</v>
      </c>
      <c r="N18" s="175">
        <f t="shared" si="2"/>
        <v>1059.1419999999998</v>
      </c>
      <c r="O18" s="175">
        <f t="shared" si="2"/>
        <v>14.238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44057</v>
      </c>
      <c r="B19" s="6">
        <f>'Summery Report'!E18</f>
        <v>0</v>
      </c>
      <c r="C19" s="6">
        <f>Gen!U24</f>
        <v>1987</v>
      </c>
      <c r="D19" s="177">
        <f>Gen!T24</f>
        <v>779.34999999999991</v>
      </c>
      <c r="E19" s="177">
        <f>Gen!AK24</f>
        <v>12.78</v>
      </c>
      <c r="F19" s="177">
        <f>Gen!AS24</f>
        <v>792.12999999999988</v>
      </c>
      <c r="G19" s="180">
        <f>'Utility report '!AC19</f>
        <v>181</v>
      </c>
      <c r="H19" s="180">
        <f>'Utility report '!AE19</f>
        <v>30</v>
      </c>
      <c r="I19" s="348">
        <f>'Water-Meter'!E19</f>
        <v>51</v>
      </c>
      <c r="J19" s="182">
        <f>'Lpg (2)'!B23</f>
        <v>85</v>
      </c>
      <c r="K19" s="182">
        <f>'Lpg (2)'!C24</f>
        <v>85</v>
      </c>
      <c r="L19" s="182">
        <f>'Lpg (2)'!D23</f>
        <v>46</v>
      </c>
      <c r="M19" s="528">
        <f>'Lpg (2)'!G23</f>
        <v>46.331999999994885</v>
      </c>
      <c r="N19" s="175">
        <f t="shared" si="2"/>
        <v>1091.0899999999997</v>
      </c>
      <c r="O19" s="175">
        <f t="shared" si="2"/>
        <v>17.891999999999999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44058</v>
      </c>
      <c r="B20" s="6">
        <f>'Summery Report'!E19</f>
        <v>0</v>
      </c>
      <c r="C20" s="6">
        <f>Gen!U25</f>
        <v>1746</v>
      </c>
      <c r="D20" s="177">
        <f>Gen!T25</f>
        <v>758.66000000000008</v>
      </c>
      <c r="E20" s="177">
        <f>Gen!AK25</f>
        <v>0</v>
      </c>
      <c r="F20" s="177">
        <f>Gen!AS25</f>
        <v>758.66000000000008</v>
      </c>
      <c r="G20" s="180">
        <f>'Utility report '!AC20</f>
        <v>101</v>
      </c>
      <c r="H20" s="180">
        <f>'Utility report '!AE20</f>
        <v>31</v>
      </c>
      <c r="I20" s="348">
        <f>'Water-Meter'!E20</f>
        <v>49</v>
      </c>
      <c r="J20" s="182">
        <f>'Lpg (2)'!B24</f>
        <v>85</v>
      </c>
      <c r="K20" s="182">
        <f>'Lpg (2)'!C25</f>
        <v>85</v>
      </c>
      <c r="L20" s="182">
        <f>'Lpg (2)'!D24</f>
        <v>44</v>
      </c>
      <c r="M20" s="528">
        <f>'Lpg (2)'!G24</f>
        <v>37.839999999961584</v>
      </c>
      <c r="N20" s="175">
        <f t="shared" si="2"/>
        <v>1062.124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44059</v>
      </c>
      <c r="B21" s="6">
        <f>'Summery Report'!E20</f>
        <v>0</v>
      </c>
      <c r="C21" s="6">
        <f>Gen!U26</f>
        <v>1704</v>
      </c>
      <c r="D21" s="177">
        <f>Gen!T26</f>
        <v>736.99</v>
      </c>
      <c r="E21" s="177">
        <f>Gen!AK26</f>
        <v>64.7</v>
      </c>
      <c r="F21" s="177">
        <f>Gen!AS26</f>
        <v>801.69</v>
      </c>
      <c r="G21" s="180">
        <f>'Utility report '!AC21</f>
        <v>0</v>
      </c>
      <c r="H21" s="180">
        <f>'Utility report '!AE21</f>
        <v>35</v>
      </c>
      <c r="I21" s="348">
        <f>'Water-Meter'!E21</f>
        <v>47</v>
      </c>
      <c r="J21" s="182">
        <f>'Lpg (2)'!B25</f>
        <v>85</v>
      </c>
      <c r="K21" s="182">
        <f>'Lpg (2)'!C25</f>
        <v>85</v>
      </c>
      <c r="L21" s="182">
        <f>'Lpg (2)'!D25</f>
        <v>40</v>
      </c>
      <c r="M21" s="528">
        <f>'Lpg (2)'!G25</f>
        <v>39.20400000001537</v>
      </c>
      <c r="N21" s="175">
        <f t="shared" si="2"/>
        <v>1031.7860000000001</v>
      </c>
      <c r="O21" s="175">
        <f t="shared" si="2"/>
        <v>90.58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44060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-36988</v>
      </c>
      <c r="H22" s="180">
        <f>'Utility report '!AE22</f>
        <v>-203901</v>
      </c>
      <c r="I22" s="348" t="str">
        <f>'Water-Meter'!E22</f>
        <v>0</v>
      </c>
      <c r="J22" s="182">
        <f>'Lpg (2)'!B26</f>
        <v>85</v>
      </c>
      <c r="K22" s="182">
        <f>'Lpg (2)'!C26</f>
        <v>85</v>
      </c>
      <c r="L22" s="182">
        <f>'Lpg (2)'!D26</f>
        <v>37</v>
      </c>
      <c r="M22" s="528">
        <f>'Lpg (2)'!G26</f>
        <v>-316381.38400000002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44061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44062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44063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44064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44065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44066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44067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44068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44069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44070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44071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44072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44073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44074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3</v>
      </c>
      <c r="C39" s="537">
        <f>SUM(C7:C35)</f>
        <v>28078</v>
      </c>
      <c r="D39" s="537">
        <f>SUM(D7:D35)</f>
        <v>11771.73</v>
      </c>
      <c r="E39" s="537">
        <f t="shared" ref="E39:S39" si="3">SUM(E7:E35)</f>
        <v>722.47</v>
      </c>
      <c r="F39" s="537">
        <f t="shared" si="3"/>
        <v>12494.199999999997</v>
      </c>
      <c r="G39" s="537">
        <f t="shared" si="3"/>
        <v>-36020</v>
      </c>
      <c r="H39" s="537">
        <f t="shared" si="3"/>
        <v>-203368</v>
      </c>
      <c r="I39" s="537">
        <f t="shared" si="3"/>
        <v>884</v>
      </c>
      <c r="J39" s="537">
        <f t="shared" si="3"/>
        <v>1360</v>
      </c>
      <c r="K39" s="537">
        <f t="shared" si="3"/>
        <v>1360</v>
      </c>
      <c r="L39" s="537">
        <f t="shared" si="3"/>
        <v>1005</v>
      </c>
      <c r="M39" s="537">
        <f t="shared" si="3"/>
        <v>-315873.14</v>
      </c>
      <c r="N39" s="537">
        <f t="shared" si="3"/>
        <v>16480.421999999999</v>
      </c>
      <c r="O39" s="537">
        <f t="shared" si="3"/>
        <v>1011.458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M1" activePane="topRight" state="frozen"/>
      <selection pane="topRight" activeCell="AB22" sqref="AB2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41431.87000000001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16713</v>
      </c>
      <c r="U5" s="212"/>
      <c r="V5" s="212"/>
      <c r="W5" s="212"/>
      <c r="X5" s="565"/>
      <c r="Y5" s="212"/>
      <c r="Z5" s="212"/>
      <c r="AA5" s="212"/>
      <c r="AB5" s="564">
        <v>35942</v>
      </c>
      <c r="AC5" s="136"/>
      <c r="AD5" s="750">
        <v>203320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44044</v>
      </c>
      <c r="B6" s="494">
        <f>'Summery Report'!E5</f>
        <v>0</v>
      </c>
      <c r="C6" s="156">
        <f>Gen!C11</f>
        <v>0</v>
      </c>
      <c r="D6" s="495">
        <f>'Summery Report'!E5</f>
        <v>0</v>
      </c>
      <c r="E6" s="496">
        <f>SUM(F3)</f>
        <v>1.3262195121951219</v>
      </c>
      <c r="F6" s="497" t="e">
        <f>SUM(J6*E6)/D6</f>
        <v>#DIV/0!</v>
      </c>
      <c r="G6" s="497" t="e">
        <f t="shared" ref="G6:G36" si="0">SUM(L6*E6)/D6</f>
        <v>#DIV/0!</v>
      </c>
      <c r="H6" s="496">
        <f>Gen!D11</f>
        <v>41431.87000000001</v>
      </c>
      <c r="I6" s="498">
        <f>Gen!F11</f>
        <v>0</v>
      </c>
      <c r="J6" s="140">
        <f>Gen!T11</f>
        <v>741.42</v>
      </c>
      <c r="K6" s="140">
        <f>Gen!AK11</f>
        <v>16.850000000000001</v>
      </c>
      <c r="L6" s="140">
        <f t="shared" ref="L6:L37" si="1">SUM(J6:K6)</f>
        <v>758.27</v>
      </c>
      <c r="M6" s="527">
        <f>'Water-Meter'!K46</f>
        <v>349.48762158613545</v>
      </c>
      <c r="N6" s="201">
        <f>'Water-Meter'!E6</f>
        <v>51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7.5</v>
      </c>
      <c r="T6" s="565">
        <v>16725</v>
      </c>
      <c r="U6" s="499">
        <f>T6-T5</f>
        <v>12</v>
      </c>
      <c r="V6" s="501" t="s">
        <v>246</v>
      </c>
      <c r="W6" s="212"/>
      <c r="X6" s="565"/>
      <c r="Y6" s="499">
        <f>X6-X5</f>
        <v>0</v>
      </c>
      <c r="Z6" s="499">
        <f t="shared" ref="Z6:AA6" si="3">Y6-Y5</f>
        <v>0</v>
      </c>
      <c r="AA6" s="499">
        <f t="shared" si="3"/>
        <v>0</v>
      </c>
      <c r="AB6" s="564">
        <v>36020</v>
      </c>
      <c r="AC6" s="136">
        <f>AB6-AB5</f>
        <v>78</v>
      </c>
      <c r="AD6" s="564">
        <v>203368</v>
      </c>
      <c r="AE6" s="219">
        <f>AD6-AD5</f>
        <v>48</v>
      </c>
      <c r="AF6" s="314">
        <f>'Lpg (2)'!B10*2000/85</f>
        <v>2000</v>
      </c>
      <c r="AG6" s="315">
        <f>'Lpg (2)'!C10*1000/85</f>
        <v>1000</v>
      </c>
      <c r="AH6" s="316">
        <f>'Lpg (2)'!D10*1000/85</f>
        <v>1000</v>
      </c>
      <c r="AI6" s="502">
        <f>SUM(AF6*2000)+(AG6*1000)+(AH6*1000)</f>
        <v>6000000</v>
      </c>
      <c r="AJ6" s="503">
        <f t="shared" ref="AJ6:AJ36" si="4">SUM(AI5-AI6)</f>
        <v>-6000000</v>
      </c>
      <c r="AK6" s="220"/>
    </row>
    <row r="7" spans="1:37" ht="19.5" thickBot="1">
      <c r="A7" s="94">
        <f>Gen!B12</f>
        <v>44045</v>
      </c>
      <c r="B7" s="494">
        <f>'Summery Report'!E6</f>
        <v>0</v>
      </c>
      <c r="C7" s="156">
        <f>Gen!C12</f>
        <v>0</v>
      </c>
      <c r="D7" s="495">
        <f>'Summery Report'!E6</f>
        <v>0</v>
      </c>
      <c r="E7" s="496">
        <f>SUM(E6)</f>
        <v>1.3262195121951219</v>
      </c>
      <c r="F7" s="497" t="e">
        <f>SUM(J7*E7)/D7</f>
        <v>#DIV/0!</v>
      </c>
      <c r="G7" s="497" t="e">
        <f t="shared" si="0"/>
        <v>#DIV/0!</v>
      </c>
      <c r="H7" s="496">
        <f>Gen!D12</f>
        <v>40673.600000000013</v>
      </c>
      <c r="I7" s="498">
        <f>Gen!F12</f>
        <v>0</v>
      </c>
      <c r="J7" s="140">
        <f>Gen!T12</f>
        <v>782.06</v>
      </c>
      <c r="K7" s="140">
        <f>Gen!AK12</f>
        <v>0</v>
      </c>
      <c r="L7" s="140">
        <f t="shared" si="1"/>
        <v>782.06</v>
      </c>
      <c r="M7" s="527">
        <f>'Water-Meter'!K47</f>
        <v>388.24984631228608</v>
      </c>
      <c r="N7" s="201">
        <f>'Water-Meter'!E7</f>
        <v>53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7.5</v>
      </c>
      <c r="T7" s="565">
        <v>16749</v>
      </c>
      <c r="U7" s="499">
        <f t="shared" ref="U7:U36" si="6">T7-T6</f>
        <v>24</v>
      </c>
      <c r="V7" s="501">
        <f t="shared" ref="V7:V9" si="7">SUM(U7*S7)</f>
        <v>180</v>
      </c>
      <c r="W7" s="212"/>
      <c r="X7" s="563"/>
      <c r="Y7" s="499">
        <f t="shared" ref="Y7:Y36" si="8">X7-X6</f>
        <v>0</v>
      </c>
      <c r="Z7" s="501">
        <f t="shared" ref="Z7:Z36" si="9">SUM(Y7*W7)</f>
        <v>0</v>
      </c>
      <c r="AA7" s="501">
        <f t="shared" ref="AA7:AA36" si="10">SUM(Z7*X9)</f>
        <v>0</v>
      </c>
      <c r="AB7" s="564">
        <v>36176</v>
      </c>
      <c r="AC7" s="136">
        <f t="shared" ref="AC7:AC27" si="11">AB7-AB6</f>
        <v>156</v>
      </c>
      <c r="AD7" s="564">
        <v>203399</v>
      </c>
      <c r="AE7" s="219">
        <f>AD7-AD6</f>
        <v>31</v>
      </c>
      <c r="AF7" s="314">
        <f>'Lpg (2)'!B11*2000/85</f>
        <v>2000</v>
      </c>
      <c r="AG7" s="315">
        <f>'Lpg (2)'!C11*1000/85</f>
        <v>1000</v>
      </c>
      <c r="AH7" s="316">
        <f>'Lpg (2)'!D11*1000/85</f>
        <v>1000</v>
      </c>
      <c r="AI7" s="504">
        <f t="shared" ref="AI7:AI14" si="12">SUM(AF6*2000)+(AG7*1000)+(AH7*1000)</f>
        <v>6000000</v>
      </c>
      <c r="AJ7" s="503">
        <f t="shared" si="4"/>
        <v>0</v>
      </c>
      <c r="AK7" s="142"/>
    </row>
    <row r="8" spans="1:37" ht="19.5" thickBot="1">
      <c r="A8" s="94">
        <f>Gen!B13</f>
        <v>44046</v>
      </c>
      <c r="B8" s="494">
        <f>'Summery Report'!E7</f>
        <v>0</v>
      </c>
      <c r="C8" s="156">
        <f>Gen!C13</f>
        <v>0</v>
      </c>
      <c r="D8" s="495">
        <f>'Summery Report'!E7</f>
        <v>0</v>
      </c>
      <c r="E8" s="496">
        <f t="shared" ref="E8:E36" si="13">SUM(E7)</f>
        <v>1.3262195121951219</v>
      </c>
      <c r="F8" s="497" t="e">
        <f t="shared" ref="F8:F36" si="14">SUM(J8*E8)/D8</f>
        <v>#DIV/0!</v>
      </c>
      <c r="G8" s="497" t="e">
        <f t="shared" si="0"/>
        <v>#DIV/0!</v>
      </c>
      <c r="H8" s="496">
        <f>Gen!D13</f>
        <v>39891.540000000015</v>
      </c>
      <c r="I8" s="498">
        <f>Gen!F13</f>
        <v>0</v>
      </c>
      <c r="J8" s="140">
        <f>Gen!T13</f>
        <v>788.41</v>
      </c>
      <c r="K8" s="140">
        <f>Gen!AK13</f>
        <v>25.31</v>
      </c>
      <c r="L8" s="140">
        <f t="shared" si="1"/>
        <v>813.71999999999991</v>
      </c>
      <c r="M8" s="527">
        <f>'Water-Meter'!K48</f>
        <v>442.42455644984216</v>
      </c>
      <c r="N8" s="201">
        <f>'Water-Meter'!E8</f>
        <v>42</v>
      </c>
      <c r="O8" s="212"/>
      <c r="P8" s="753"/>
      <c r="Q8" s="499">
        <f t="shared" si="2"/>
        <v>0</v>
      </c>
      <c r="R8" s="500">
        <f t="shared" si="5"/>
        <v>0</v>
      </c>
      <c r="S8" s="446">
        <v>7.5</v>
      </c>
      <c r="T8" s="565">
        <v>16749</v>
      </c>
      <c r="U8" s="499">
        <f t="shared" si="6"/>
        <v>0</v>
      </c>
      <c r="V8" s="501">
        <f t="shared" si="7"/>
        <v>0</v>
      </c>
      <c r="W8" s="446"/>
      <c r="X8" s="563"/>
      <c r="Y8" s="499">
        <f t="shared" si="8"/>
        <v>0</v>
      </c>
      <c r="Z8" s="501">
        <f t="shared" si="9"/>
        <v>0</v>
      </c>
      <c r="AA8" s="501">
        <f t="shared" si="10"/>
        <v>0</v>
      </c>
      <c r="AB8" s="564">
        <v>36176</v>
      </c>
      <c r="AC8" s="136">
        <f t="shared" si="11"/>
        <v>0</v>
      </c>
      <c r="AD8" s="564">
        <v>203469</v>
      </c>
      <c r="AE8" s="219">
        <f t="shared" ref="AE8:AE37" si="15">AD8-AD7</f>
        <v>70</v>
      </c>
      <c r="AF8" s="314">
        <f>'Lpg (2)'!B12*2000/85</f>
        <v>2000</v>
      </c>
      <c r="AG8" s="315">
        <f>'Lpg (2)'!C12*1000/85</f>
        <v>1000</v>
      </c>
      <c r="AH8" s="316">
        <f>'Lpg (2)'!D12*1000/85</f>
        <v>988.23529411764707</v>
      </c>
      <c r="AI8" s="504">
        <f t="shared" si="12"/>
        <v>5988235.2941176472</v>
      </c>
      <c r="AJ8" s="503">
        <f t="shared" si="4"/>
        <v>11764.705882352777</v>
      </c>
      <c r="AK8" s="142"/>
    </row>
    <row r="9" spans="1:37" ht="19.5" thickBot="1">
      <c r="A9" s="94">
        <f>Gen!B14</f>
        <v>44047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39077.820000000014</v>
      </c>
      <c r="I9" s="498">
        <f>Gen!F14</f>
        <v>0</v>
      </c>
      <c r="J9" s="140">
        <f>Gen!T14</f>
        <v>793.6099999999999</v>
      </c>
      <c r="K9" s="140">
        <f>Gen!AK14</f>
        <v>149.86000000000001</v>
      </c>
      <c r="L9" s="140">
        <f t="shared" si="1"/>
        <v>943.46999999999991</v>
      </c>
      <c r="M9" s="527">
        <f>'Water-Meter'!K49</f>
        <v>518.61522762432105</v>
      </c>
      <c r="N9" s="201">
        <f>'Water-Meter'!E9</f>
        <v>67</v>
      </c>
      <c r="O9" s="212"/>
      <c r="P9" s="753"/>
      <c r="Q9" s="499">
        <f t="shared" si="2"/>
        <v>0</v>
      </c>
      <c r="R9" s="500">
        <f t="shared" si="5"/>
        <v>0</v>
      </c>
      <c r="S9" s="446">
        <v>7.5</v>
      </c>
      <c r="T9" s="565">
        <v>16749</v>
      </c>
      <c r="U9" s="499">
        <f t="shared" si="6"/>
        <v>0</v>
      </c>
      <c r="V9" s="501">
        <f t="shared" si="7"/>
        <v>0</v>
      </c>
      <c r="W9" s="446">
        <v>2.7</v>
      </c>
      <c r="X9" s="563">
        <v>24606</v>
      </c>
      <c r="Y9" s="499">
        <f t="shared" si="8"/>
        <v>24606</v>
      </c>
      <c r="Z9" s="501">
        <f t="shared" si="9"/>
        <v>66436.200000000012</v>
      </c>
      <c r="AA9" s="501">
        <f t="shared" si="10"/>
        <v>1637785202.4000003</v>
      </c>
      <c r="AB9" s="564">
        <v>36231</v>
      </c>
      <c r="AC9" s="136">
        <f t="shared" si="11"/>
        <v>55</v>
      </c>
      <c r="AD9" s="564">
        <v>203505</v>
      </c>
      <c r="AE9" s="219">
        <f t="shared" si="15"/>
        <v>36</v>
      </c>
      <c r="AF9" s="314">
        <f>'Lpg (2)'!B13*2000/85</f>
        <v>2000</v>
      </c>
      <c r="AG9" s="315">
        <f>'Lpg (2)'!C13*1000/85</f>
        <v>1000</v>
      </c>
      <c r="AH9" s="316">
        <f>'Lpg (2)'!D13*1000/85</f>
        <v>988.23529411764707</v>
      </c>
      <c r="AI9" s="504">
        <f t="shared" si="12"/>
        <v>5988235.2941176472</v>
      </c>
      <c r="AJ9" s="503">
        <f t="shared" si="4"/>
        <v>0</v>
      </c>
      <c r="AK9" s="142"/>
    </row>
    <row r="10" spans="1:37" ht="19.5" thickBot="1">
      <c r="A10" s="94">
        <f>Gen!B15</f>
        <v>44048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38134.350000000013</v>
      </c>
      <c r="I10" s="498">
        <f>Gen!F15</f>
        <v>0</v>
      </c>
      <c r="J10" s="140">
        <f>Gen!T15</f>
        <v>776.02</v>
      </c>
      <c r="K10" s="140">
        <f>Gen!AK15</f>
        <v>87.31</v>
      </c>
      <c r="L10" s="140">
        <f t="shared" si="1"/>
        <v>863.32999999999993</v>
      </c>
      <c r="M10" s="527">
        <f>'Water-Meter'!K50</f>
        <v>579.19289144062293</v>
      </c>
      <c r="N10" s="201">
        <f>'Water-Meter'!E10</f>
        <v>49</v>
      </c>
      <c r="O10" s="212"/>
      <c r="P10" s="753"/>
      <c r="Q10" s="499">
        <f t="shared" si="2"/>
        <v>0</v>
      </c>
      <c r="R10" s="500">
        <f t="shared" si="5"/>
        <v>0</v>
      </c>
      <c r="S10" s="446">
        <v>7.5</v>
      </c>
      <c r="T10" s="565">
        <v>16749</v>
      </c>
      <c r="U10" s="499">
        <f t="shared" si="6"/>
        <v>0</v>
      </c>
      <c r="V10" s="501">
        <f t="shared" ref="V10:V16" si="16">SUM(U10*S10)</f>
        <v>0</v>
      </c>
      <c r="W10" s="446">
        <v>2.7</v>
      </c>
      <c r="X10" s="563">
        <v>24630</v>
      </c>
      <c r="Y10" s="499">
        <f t="shared" si="8"/>
        <v>24</v>
      </c>
      <c r="Z10" s="501">
        <f t="shared" si="9"/>
        <v>64.800000000000011</v>
      </c>
      <c r="AA10" s="501">
        <f t="shared" si="10"/>
        <v>1599004.8000000003</v>
      </c>
      <c r="AB10" s="564">
        <v>36287</v>
      </c>
      <c r="AC10" s="136">
        <f t="shared" si="11"/>
        <v>56</v>
      </c>
      <c r="AD10" s="564">
        <v>203526</v>
      </c>
      <c r="AE10" s="219">
        <f t="shared" si="15"/>
        <v>21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976.47058823529414</v>
      </c>
      <c r="AI10" s="504">
        <f t="shared" si="12"/>
        <v>5976470.5882352944</v>
      </c>
      <c r="AJ10" s="503">
        <f t="shared" si="4"/>
        <v>11764.705882352777</v>
      </c>
      <c r="AK10" s="142"/>
    </row>
    <row r="11" spans="1:37" ht="19.5" thickBot="1">
      <c r="A11" s="94">
        <f>Gen!B16</f>
        <v>44049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37271.020000000011</v>
      </c>
      <c r="I11" s="498">
        <f>Gen!F16</f>
        <v>0</v>
      </c>
      <c r="J11" s="140">
        <f>Gen!T16</f>
        <v>778.12</v>
      </c>
      <c r="K11" s="140">
        <f>Gen!AK16</f>
        <v>52.6</v>
      </c>
      <c r="L11" s="140">
        <f t="shared" si="1"/>
        <v>830.72</v>
      </c>
      <c r="M11" s="527">
        <f>'Water-Meter'!K51</f>
        <v>588.89158765302659</v>
      </c>
      <c r="N11" s="201">
        <f>'Water-Meter'!E11</f>
        <v>66</v>
      </c>
      <c r="O11" s="212"/>
      <c r="P11" s="753"/>
      <c r="Q11" s="499">
        <f t="shared" si="2"/>
        <v>0</v>
      </c>
      <c r="R11" s="500">
        <f t="shared" si="5"/>
        <v>0</v>
      </c>
      <c r="S11" s="446">
        <v>7.5</v>
      </c>
      <c r="T11" s="565">
        <v>16749</v>
      </c>
      <c r="U11" s="499">
        <f t="shared" si="6"/>
        <v>0</v>
      </c>
      <c r="V11" s="501">
        <f t="shared" si="16"/>
        <v>0</v>
      </c>
      <c r="W11" s="446">
        <v>2.7</v>
      </c>
      <c r="X11" s="563">
        <v>24652</v>
      </c>
      <c r="Y11" s="499">
        <f t="shared" si="8"/>
        <v>22</v>
      </c>
      <c r="Z11" s="501">
        <f t="shared" si="9"/>
        <v>59.400000000000006</v>
      </c>
      <c r="AA11" s="501">
        <f t="shared" si="10"/>
        <v>1467120.6</v>
      </c>
      <c r="AB11" s="564">
        <v>36337</v>
      </c>
      <c r="AC11" s="136">
        <f t="shared" si="11"/>
        <v>50</v>
      </c>
      <c r="AD11" s="564">
        <v>203566</v>
      </c>
      <c r="AE11" s="219">
        <f t="shared" si="15"/>
        <v>40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952.94117647058829</v>
      </c>
      <c r="AI11" s="504">
        <f t="shared" si="12"/>
        <v>5952941.176470588</v>
      </c>
      <c r="AJ11" s="503">
        <f t="shared" si="4"/>
        <v>23529.411764706485</v>
      </c>
      <c r="AK11" s="142"/>
    </row>
    <row r="12" spans="1:37" ht="19.5" thickBot="1">
      <c r="A12" s="94">
        <f>Gen!B17</f>
        <v>44050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36440.30000000001</v>
      </c>
      <c r="I12" s="498">
        <f>Gen!F17</f>
        <v>0</v>
      </c>
      <c r="J12" s="140">
        <f>Gen!T17</f>
        <v>771.7</v>
      </c>
      <c r="K12" s="140">
        <f>Gen!AK17</f>
        <v>0</v>
      </c>
      <c r="L12" s="140">
        <f t="shared" si="1"/>
        <v>771.7</v>
      </c>
      <c r="M12" s="527">
        <f>'Water-Meter'!K52</f>
        <v>571.60064544466923</v>
      </c>
      <c r="N12" s="201">
        <f>'Water-Meter'!E12</f>
        <v>51</v>
      </c>
      <c r="O12" s="212"/>
      <c r="P12" s="753"/>
      <c r="Q12" s="499">
        <f t="shared" si="2"/>
        <v>0</v>
      </c>
      <c r="R12" s="500">
        <f t="shared" si="5"/>
        <v>0</v>
      </c>
      <c r="S12" s="446">
        <v>7.5</v>
      </c>
      <c r="T12" s="565">
        <v>16749</v>
      </c>
      <c r="U12" s="499">
        <f t="shared" si="6"/>
        <v>0</v>
      </c>
      <c r="V12" s="501">
        <f t="shared" si="16"/>
        <v>0</v>
      </c>
      <c r="W12" s="446">
        <v>2.7</v>
      </c>
      <c r="X12" s="563">
        <v>24676</v>
      </c>
      <c r="Y12" s="499">
        <f t="shared" si="8"/>
        <v>24</v>
      </c>
      <c r="Z12" s="501">
        <f t="shared" si="9"/>
        <v>64.800000000000011</v>
      </c>
      <c r="AA12" s="501">
        <f t="shared" si="10"/>
        <v>1602115.2000000002</v>
      </c>
      <c r="AB12" s="564">
        <v>36392</v>
      </c>
      <c r="AC12" s="136">
        <f t="shared" si="11"/>
        <v>55</v>
      </c>
      <c r="AD12" s="564">
        <v>203604</v>
      </c>
      <c r="AE12" s="219">
        <f t="shared" si="15"/>
        <v>38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894.11764705882354</v>
      </c>
      <c r="AI12" s="504">
        <f t="shared" si="12"/>
        <v>5894117.6470588231</v>
      </c>
      <c r="AJ12" s="503">
        <f t="shared" si="4"/>
        <v>58823.529411764815</v>
      </c>
      <c r="AK12" s="142"/>
    </row>
    <row r="13" spans="1:37" ht="19.5" thickBot="1">
      <c r="A13" s="94">
        <f>Gen!B18</f>
        <v>44051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35668.600000000013</v>
      </c>
      <c r="I13" s="498">
        <f>Gen!F18</f>
        <v>0</v>
      </c>
      <c r="J13" s="140">
        <f>Gen!T18</f>
        <v>822.74</v>
      </c>
      <c r="K13" s="140">
        <f>Gen!AK18</f>
        <v>21.08</v>
      </c>
      <c r="L13" s="140">
        <f t="shared" si="1"/>
        <v>843.82</v>
      </c>
      <c r="M13" s="527">
        <f>'Water-Meter'!K53</f>
        <v>574.56424271700564</v>
      </c>
      <c r="N13" s="201">
        <f>'Water-Meter'!E13</f>
        <v>61</v>
      </c>
      <c r="O13" s="212"/>
      <c r="P13" s="753"/>
      <c r="Q13" s="499">
        <f t="shared" si="2"/>
        <v>0</v>
      </c>
      <c r="R13" s="500">
        <f t="shared" si="5"/>
        <v>0</v>
      </c>
      <c r="S13" s="446">
        <v>7.5</v>
      </c>
      <c r="T13" s="565">
        <v>16749</v>
      </c>
      <c r="U13" s="499">
        <f t="shared" si="6"/>
        <v>0</v>
      </c>
      <c r="V13" s="501">
        <f t="shared" si="16"/>
        <v>0</v>
      </c>
      <c r="W13" s="446">
        <v>2.5</v>
      </c>
      <c r="X13" s="563">
        <v>24699</v>
      </c>
      <c r="Y13" s="499">
        <f t="shared" si="8"/>
        <v>23</v>
      </c>
      <c r="Z13" s="501">
        <f t="shared" si="9"/>
        <v>57.5</v>
      </c>
      <c r="AA13" s="501">
        <f t="shared" si="10"/>
        <v>1423010</v>
      </c>
      <c r="AB13" s="564">
        <v>36447</v>
      </c>
      <c r="AC13" s="136">
        <f t="shared" si="11"/>
        <v>55</v>
      </c>
      <c r="AD13" s="564">
        <v>203634</v>
      </c>
      <c r="AE13" s="219">
        <f t="shared" si="15"/>
        <v>30</v>
      </c>
      <c r="AF13" s="314">
        <f>'Lpg (2)'!B17*2000/85</f>
        <v>2000</v>
      </c>
      <c r="AG13" s="315">
        <f>'Lpg (2)'!C17*1000/85</f>
        <v>1000</v>
      </c>
      <c r="AH13" s="316">
        <f>'Lpg (2)'!D17*1000/85</f>
        <v>811.76470588235293</v>
      </c>
      <c r="AI13" s="504">
        <f t="shared" si="12"/>
        <v>5811764.7058823528</v>
      </c>
      <c r="AJ13" s="503">
        <f t="shared" si="4"/>
        <v>82352.941176470369</v>
      </c>
      <c r="AK13" s="143"/>
    </row>
    <row r="14" spans="1:37" ht="19.5" thickBot="1">
      <c r="A14" s="94">
        <f>Gen!B19</f>
        <v>44052</v>
      </c>
      <c r="B14" s="494">
        <f>'Summery Report'!E13</f>
        <v>1</v>
      </c>
      <c r="C14" s="156">
        <f>Gen!C19</f>
        <v>1.2999999999999999E-2</v>
      </c>
      <c r="D14" s="495">
        <f>'Summery Report'!E13</f>
        <v>1</v>
      </c>
      <c r="E14" s="496">
        <f t="shared" si="13"/>
        <v>1.3262195121951219</v>
      </c>
      <c r="F14" s="497">
        <f t="shared" si="14"/>
        <v>1176.2903963414635</v>
      </c>
      <c r="G14" s="497">
        <f t="shared" si="0"/>
        <v>1269.125762195122</v>
      </c>
      <c r="H14" s="496">
        <f>Gen!D19</f>
        <v>34824.780000000013</v>
      </c>
      <c r="I14" s="498">
        <f>Gen!F19</f>
        <v>0</v>
      </c>
      <c r="J14" s="140">
        <f>Gen!T19</f>
        <v>886.95</v>
      </c>
      <c r="K14" s="140">
        <f>Gen!AK19</f>
        <v>70</v>
      </c>
      <c r="L14" s="140">
        <f t="shared" si="1"/>
        <v>956.95</v>
      </c>
      <c r="M14" s="527">
        <f>'Water-Meter'!K54</f>
        <v>564.11351976790911</v>
      </c>
      <c r="N14" s="201">
        <f>'Water-Meter'!E14</f>
        <v>63</v>
      </c>
      <c r="O14" s="212"/>
      <c r="P14" s="753"/>
      <c r="Q14" s="499">
        <f t="shared" si="2"/>
        <v>0</v>
      </c>
      <c r="R14" s="500">
        <f t="shared" si="5"/>
        <v>0</v>
      </c>
      <c r="S14" s="446">
        <v>7.5</v>
      </c>
      <c r="T14" s="565">
        <v>16749</v>
      </c>
      <c r="U14" s="499">
        <f t="shared" si="6"/>
        <v>0</v>
      </c>
      <c r="V14" s="501">
        <f t="shared" si="16"/>
        <v>0</v>
      </c>
      <c r="W14" s="446">
        <v>2.5</v>
      </c>
      <c r="X14" s="563">
        <v>24724</v>
      </c>
      <c r="Y14" s="499">
        <f t="shared" si="8"/>
        <v>25</v>
      </c>
      <c r="Z14" s="501">
        <f t="shared" si="9"/>
        <v>62.5</v>
      </c>
      <c r="AA14" s="501">
        <f t="shared" si="10"/>
        <v>1548187.5</v>
      </c>
      <c r="AB14" s="564">
        <v>36500</v>
      </c>
      <c r="AC14" s="136">
        <f t="shared" si="11"/>
        <v>53</v>
      </c>
      <c r="AD14" s="564">
        <v>203671</v>
      </c>
      <c r="AE14" s="219">
        <f t="shared" si="15"/>
        <v>37</v>
      </c>
      <c r="AF14" s="314">
        <f>'Lpg (2)'!B18*2000/85</f>
        <v>2000</v>
      </c>
      <c r="AG14" s="315">
        <f>'Lpg (2)'!C18*1000/85</f>
        <v>1000</v>
      </c>
      <c r="AH14" s="316">
        <f>'Lpg (2)'!D18*1000/85</f>
        <v>717.64705882352939</v>
      </c>
      <c r="AI14" s="504">
        <f t="shared" si="12"/>
        <v>5717647.0588235296</v>
      </c>
      <c r="AJ14" s="503">
        <f t="shared" si="4"/>
        <v>94117.647058823146</v>
      </c>
      <c r="AK14" s="142"/>
    </row>
    <row r="15" spans="1:37" ht="19.5" thickBot="1">
      <c r="A15" s="94">
        <f>Gen!B20</f>
        <v>44053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1059.4239329268291</v>
      </c>
      <c r="G15" s="497">
        <f t="shared" si="0"/>
        <v>1100.9478658536584</v>
      </c>
      <c r="H15" s="496">
        <f>Gen!D20</f>
        <v>33867.830000000016</v>
      </c>
      <c r="I15" s="498">
        <f>Gen!F20</f>
        <v>0</v>
      </c>
      <c r="J15" s="140">
        <f>Gen!T20</f>
        <v>798.82999999999993</v>
      </c>
      <c r="K15" s="140">
        <f>Gen!AK20</f>
        <v>31.31</v>
      </c>
      <c r="L15" s="140">
        <f t="shared" si="1"/>
        <v>830.13999999999987</v>
      </c>
      <c r="M15" s="527">
        <f>'Water-Meter'!K55</f>
        <v>541.55216423348941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7.5</v>
      </c>
      <c r="T15" s="565">
        <v>16749</v>
      </c>
      <c r="U15" s="499">
        <f t="shared" si="6"/>
        <v>0</v>
      </c>
      <c r="V15" s="501">
        <f t="shared" si="16"/>
        <v>0</v>
      </c>
      <c r="W15" s="446">
        <v>2.5</v>
      </c>
      <c r="X15" s="563">
        <v>24748</v>
      </c>
      <c r="Y15" s="499">
        <f t="shared" si="8"/>
        <v>24</v>
      </c>
      <c r="Z15" s="501">
        <f t="shared" si="9"/>
        <v>60</v>
      </c>
      <c r="AA15" s="501">
        <f t="shared" si="10"/>
        <v>1487700</v>
      </c>
      <c r="AB15" s="564">
        <v>36552</v>
      </c>
      <c r="AC15" s="136">
        <f t="shared" si="11"/>
        <v>52</v>
      </c>
      <c r="AD15" s="564">
        <v>203701</v>
      </c>
      <c r="AE15" s="219">
        <f>AD15-AD14</f>
        <v>30</v>
      </c>
      <c r="AF15" s="314">
        <f>'Lpg (2)'!B19*2000/85</f>
        <v>2000</v>
      </c>
      <c r="AG15" s="315">
        <f>'Lpg (2)'!C19*1000/85</f>
        <v>1000</v>
      </c>
      <c r="AH15" s="316">
        <f>'Lpg (2)'!D19*1000/85</f>
        <v>694.11764705882354</v>
      </c>
      <c r="AI15" s="504">
        <f t="shared" ref="AI15:AI35" si="17">SUM(AF15*2000)+(AG15*1000)+(AH15*1000)</f>
        <v>5694117.6470588231</v>
      </c>
      <c r="AJ15" s="503">
        <f t="shared" si="4"/>
        <v>23529.411764706485</v>
      </c>
      <c r="AK15" s="142"/>
    </row>
    <row r="16" spans="1:37" ht="19.5" thickBot="1">
      <c r="A16" s="94">
        <f>Gen!B21</f>
        <v>44054</v>
      </c>
      <c r="B16" s="494">
        <f>'Summery Report'!E15</f>
        <v>1</v>
      </c>
      <c r="C16" s="156">
        <f>Gen!C21</f>
        <v>0.01</v>
      </c>
      <c r="D16" s="495">
        <f>'Summery Report'!E15</f>
        <v>1</v>
      </c>
      <c r="E16" s="496">
        <f t="shared" si="13"/>
        <v>1.3262195121951219</v>
      </c>
      <c r="F16" s="497">
        <f t="shared" si="14"/>
        <v>1031.7457317073172</v>
      </c>
      <c r="G16" s="497">
        <f t="shared" si="0"/>
        <v>1293.4751524390244</v>
      </c>
      <c r="H16" s="496">
        <f>Gen!D21</f>
        <v>33037.690000000017</v>
      </c>
      <c r="I16" s="498">
        <f>Gen!F21</f>
        <v>0</v>
      </c>
      <c r="J16" s="140">
        <f>Gen!T21</f>
        <v>777.96</v>
      </c>
      <c r="K16" s="140">
        <f>Gen!AK21</f>
        <v>197.35</v>
      </c>
      <c r="L16" s="140">
        <f t="shared" si="1"/>
        <v>975.31000000000006</v>
      </c>
      <c r="M16" s="527">
        <f>'Water-Meter'!K56</f>
        <v>473.81231986492867</v>
      </c>
      <c r="N16" s="201">
        <f>'Water-Meter'!E16</f>
        <v>67</v>
      </c>
      <c r="O16" s="212"/>
      <c r="P16" s="753"/>
      <c r="Q16" s="499">
        <f t="shared" si="2"/>
        <v>0</v>
      </c>
      <c r="R16" s="500">
        <f t="shared" si="5"/>
        <v>0</v>
      </c>
      <c r="S16" s="446">
        <v>7.5</v>
      </c>
      <c r="T16" s="565">
        <v>16749</v>
      </c>
      <c r="U16" s="499">
        <f t="shared" si="6"/>
        <v>0</v>
      </c>
      <c r="V16" s="501">
        <f t="shared" si="16"/>
        <v>0</v>
      </c>
      <c r="W16" s="446">
        <v>2.5</v>
      </c>
      <c r="X16" s="563">
        <v>24771</v>
      </c>
      <c r="Y16" s="499">
        <f t="shared" si="8"/>
        <v>23</v>
      </c>
      <c r="Z16" s="501">
        <f t="shared" si="9"/>
        <v>57.5</v>
      </c>
      <c r="AA16" s="501">
        <f t="shared" si="10"/>
        <v>1427150</v>
      </c>
      <c r="AB16" s="564">
        <v>36602</v>
      </c>
      <c r="AC16" s="136">
        <f t="shared" si="11"/>
        <v>50</v>
      </c>
      <c r="AD16" s="564">
        <v>203733</v>
      </c>
      <c r="AE16" s="219">
        <f t="shared" si="15"/>
        <v>32</v>
      </c>
      <c r="AF16" s="314">
        <f>'Lpg (2)'!B20*2000/85</f>
        <v>2000</v>
      </c>
      <c r="AG16" s="315">
        <f>'Lpg (2)'!C20*1000/85</f>
        <v>1000</v>
      </c>
      <c r="AH16" s="316">
        <f>'Lpg (2)'!D20*1000/85</f>
        <v>658.82352941176475</v>
      </c>
      <c r="AI16" s="504">
        <f t="shared" si="17"/>
        <v>5658823.5294117648</v>
      </c>
      <c r="AJ16" s="503">
        <f t="shared" si="4"/>
        <v>35294.11764705833</v>
      </c>
      <c r="AK16" s="142"/>
    </row>
    <row r="17" spans="1:37" ht="19.5" thickBot="1">
      <c r="A17" s="94">
        <f>Gen!B22</f>
        <v>44055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32062.380000000016</v>
      </c>
      <c r="I17" s="498">
        <f>Gen!F22</f>
        <v>0</v>
      </c>
      <c r="J17" s="140">
        <f>Gen!T22</f>
        <v>763.8</v>
      </c>
      <c r="K17" s="140">
        <f>Gen!AK22</f>
        <v>0</v>
      </c>
      <c r="L17" s="140">
        <f t="shared" si="1"/>
        <v>763.8</v>
      </c>
      <c r="M17" s="527">
        <f>'Water-Meter'!K57</f>
        <v>466.841948079742</v>
      </c>
      <c r="N17" s="201">
        <f>'Water-Meter'!E17</f>
        <v>100</v>
      </c>
      <c r="O17" s="212"/>
      <c r="P17" s="753"/>
      <c r="Q17" s="499">
        <f>SUM(P18-P16)</f>
        <v>0</v>
      </c>
      <c r="R17" s="500">
        <f t="shared" si="5"/>
        <v>0</v>
      </c>
      <c r="S17" s="446">
        <v>7.5</v>
      </c>
      <c r="T17" s="565">
        <v>16749</v>
      </c>
      <c r="U17" s="499">
        <f t="shared" si="6"/>
        <v>0</v>
      </c>
      <c r="V17" s="501">
        <f t="shared" ref="V17:V36" si="18">SUM(U17*S17)</f>
        <v>0</v>
      </c>
      <c r="W17" s="446">
        <v>2.5</v>
      </c>
      <c r="X17" s="563">
        <v>24795</v>
      </c>
      <c r="Y17" s="499">
        <f t="shared" si="8"/>
        <v>24</v>
      </c>
      <c r="Z17" s="501">
        <f t="shared" si="9"/>
        <v>60</v>
      </c>
      <c r="AA17" s="501">
        <f t="shared" si="10"/>
        <v>1489200</v>
      </c>
      <c r="AB17" s="564">
        <v>36654</v>
      </c>
      <c r="AC17" s="136">
        <f t="shared" si="11"/>
        <v>52</v>
      </c>
      <c r="AD17" s="564">
        <v>203769</v>
      </c>
      <c r="AE17" s="219">
        <f t="shared" si="15"/>
        <v>36</v>
      </c>
      <c r="AF17" s="314">
        <f>'Lpg (2)'!B21*2000/85</f>
        <v>2000</v>
      </c>
      <c r="AG17" s="315">
        <f>'Lpg (2)'!C21*1000/85</f>
        <v>1000</v>
      </c>
      <c r="AH17" s="316">
        <f>'Lpg (2)'!D21*1000/85</f>
        <v>611.76470588235293</v>
      </c>
      <c r="AI17" s="504">
        <f t="shared" si="17"/>
        <v>5611764.7058823528</v>
      </c>
      <c r="AJ17" s="503">
        <f t="shared" si="4"/>
        <v>47058.823529412039</v>
      </c>
      <c r="AK17" s="142"/>
    </row>
    <row r="18" spans="1:37" ht="19.5" thickBot="1">
      <c r="A18" s="94">
        <f>Gen!B23</f>
        <v>44056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31298.580000000016</v>
      </c>
      <c r="I18" s="498">
        <f>Gen!F23</f>
        <v>0</v>
      </c>
      <c r="J18" s="140">
        <f>Gen!T23</f>
        <v>756.53</v>
      </c>
      <c r="K18" s="140">
        <f>Gen!AK23</f>
        <v>10.17</v>
      </c>
      <c r="L18" s="140">
        <f t="shared" si="1"/>
        <v>766.69999999999993</v>
      </c>
      <c r="M18" s="527">
        <f>'Water-Meter'!K58</f>
        <v>450.80320757300603</v>
      </c>
      <c r="N18" s="201">
        <f>'Water-Meter'!E18</f>
        <v>63</v>
      </c>
      <c r="O18" s="212"/>
      <c r="P18" s="753"/>
      <c r="Q18" s="499"/>
      <c r="R18" s="500">
        <f t="shared" si="5"/>
        <v>0</v>
      </c>
      <c r="S18" s="446">
        <v>7.5</v>
      </c>
      <c r="T18" s="565">
        <v>16749</v>
      </c>
      <c r="U18" s="499">
        <f t="shared" si="6"/>
        <v>0</v>
      </c>
      <c r="V18" s="501">
        <f t="shared" si="18"/>
        <v>0</v>
      </c>
      <c r="W18" s="446">
        <v>2.5</v>
      </c>
      <c r="X18" s="563">
        <v>24820</v>
      </c>
      <c r="Y18" s="499">
        <f t="shared" si="8"/>
        <v>25</v>
      </c>
      <c r="Z18" s="501">
        <f t="shared" si="9"/>
        <v>62.5</v>
      </c>
      <c r="AA18" s="501">
        <f t="shared" si="10"/>
        <v>1551250</v>
      </c>
      <c r="AB18" s="564">
        <v>36706</v>
      </c>
      <c r="AC18" s="136">
        <f t="shared" si="11"/>
        <v>52</v>
      </c>
      <c r="AD18" s="564">
        <v>203805</v>
      </c>
      <c r="AE18" s="219">
        <f t="shared" si="15"/>
        <v>36</v>
      </c>
      <c r="AF18" s="314">
        <f>'Lpg (2)'!B22*2000/85</f>
        <v>2000</v>
      </c>
      <c r="AG18" s="315">
        <f>'Lpg (2)'!C22*1000/85</f>
        <v>1000</v>
      </c>
      <c r="AH18" s="316">
        <f>'Lpg (2)'!D22*1000/85</f>
        <v>564.70588235294122</v>
      </c>
      <c r="AI18" s="504">
        <f t="shared" si="17"/>
        <v>5564705.8823529407</v>
      </c>
      <c r="AJ18" s="503">
        <f t="shared" si="4"/>
        <v>47058.823529412039</v>
      </c>
      <c r="AK18" s="142"/>
    </row>
    <row r="19" spans="1:37" ht="19.5" thickBot="1">
      <c r="A19" s="94">
        <f>Gen!B24</f>
        <v>44057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48531.880000000019</v>
      </c>
      <c r="I19" s="498">
        <f>Gen!F24</f>
        <v>18000</v>
      </c>
      <c r="J19" s="140">
        <f>Gen!T24</f>
        <v>779.34999999999991</v>
      </c>
      <c r="K19" s="140">
        <f>Gen!AK24</f>
        <v>12.78</v>
      </c>
      <c r="L19" s="140">
        <f t="shared" si="1"/>
        <v>792.12999999999988</v>
      </c>
      <c r="M19" s="527">
        <f>'Water-Meter'!K59</f>
        <v>490.7104985071856</v>
      </c>
      <c r="N19" s="201">
        <f>'Water-Meter'!E19</f>
        <v>51</v>
      </c>
      <c r="O19" s="212"/>
      <c r="P19" s="753"/>
      <c r="Q19" s="499"/>
      <c r="R19" s="500">
        <f t="shared" si="5"/>
        <v>0</v>
      </c>
      <c r="S19" s="446">
        <v>7.5</v>
      </c>
      <c r="T19" s="565">
        <v>16773</v>
      </c>
      <c r="U19" s="499">
        <f t="shared" si="6"/>
        <v>24</v>
      </c>
      <c r="V19" s="501">
        <f t="shared" si="18"/>
        <v>180</v>
      </c>
      <c r="W19" s="446">
        <v>2.5</v>
      </c>
      <c r="X19" s="563">
        <v>24820</v>
      </c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>
        <v>36887</v>
      </c>
      <c r="AC19" s="136">
        <f t="shared" si="11"/>
        <v>181</v>
      </c>
      <c r="AD19" s="564">
        <v>203835</v>
      </c>
      <c r="AE19" s="219">
        <f t="shared" si="15"/>
        <v>30</v>
      </c>
      <c r="AF19" s="314">
        <f>'Lpg (2)'!B23*2000/85</f>
        <v>2000</v>
      </c>
      <c r="AG19" s="315">
        <f>'Lpg (2)'!C23*1000/85</f>
        <v>1000</v>
      </c>
      <c r="AH19" s="316">
        <f>'Lpg (2)'!D23*1000/85</f>
        <v>541.17647058823525</v>
      </c>
      <c r="AI19" s="504">
        <f t="shared" si="17"/>
        <v>5541176.4705882352</v>
      </c>
      <c r="AJ19" s="503">
        <f t="shared" si="4"/>
        <v>23529.411764705554</v>
      </c>
      <c r="AK19" s="142"/>
    </row>
    <row r="20" spans="1:37" ht="19.5" thickBot="1">
      <c r="A20" s="94">
        <f>Gen!B25</f>
        <v>44058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47739.750000000022</v>
      </c>
      <c r="I20" s="498">
        <f>Gen!F25</f>
        <v>0</v>
      </c>
      <c r="J20" s="140">
        <f>Gen!T25</f>
        <v>758.66000000000008</v>
      </c>
      <c r="K20" s="140">
        <f>Gen!AK25</f>
        <v>0</v>
      </c>
      <c r="L20" s="140">
        <f t="shared" si="1"/>
        <v>758.66000000000008</v>
      </c>
      <c r="M20" s="527">
        <f>'Water-Meter'!K60</f>
        <v>493.51185845158278</v>
      </c>
      <c r="N20" s="201">
        <f>'Water-Meter'!E20</f>
        <v>49</v>
      </c>
      <c r="O20" s="212"/>
      <c r="P20" s="753"/>
      <c r="Q20" s="499">
        <f t="shared" si="2"/>
        <v>0</v>
      </c>
      <c r="R20" s="500">
        <f t="shared" si="5"/>
        <v>0</v>
      </c>
      <c r="S20" s="446">
        <v>7.5</v>
      </c>
      <c r="T20" s="565">
        <v>16780</v>
      </c>
      <c r="U20" s="499">
        <f t="shared" si="6"/>
        <v>7</v>
      </c>
      <c r="V20" s="501">
        <f t="shared" si="18"/>
        <v>52.5</v>
      </c>
      <c r="W20" s="446">
        <v>2.5</v>
      </c>
      <c r="X20" s="563">
        <v>24820</v>
      </c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>
        <v>36988</v>
      </c>
      <c r="AC20" s="136">
        <f t="shared" si="11"/>
        <v>101</v>
      </c>
      <c r="AD20" s="564">
        <v>203866</v>
      </c>
      <c r="AE20" s="219">
        <f t="shared" si="15"/>
        <v>31</v>
      </c>
      <c r="AF20" s="314">
        <f>'Lpg (2)'!B24*2000/85</f>
        <v>2000</v>
      </c>
      <c r="AG20" s="315">
        <f>'Lpg (2)'!C24*1000/85</f>
        <v>1000</v>
      </c>
      <c r="AH20" s="316">
        <f>'Lpg (2)'!D24*1000/85</f>
        <v>517.64705882352939</v>
      </c>
      <c r="AI20" s="504">
        <f t="shared" si="17"/>
        <v>5517647.0588235296</v>
      </c>
      <c r="AJ20" s="503">
        <f t="shared" si="4"/>
        <v>23529.411764705554</v>
      </c>
      <c r="AK20" s="142"/>
    </row>
    <row r="21" spans="1:37" ht="19.5" thickBot="1">
      <c r="A21" s="94">
        <f>Gen!B26</f>
        <v>44059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46981.090000000018</v>
      </c>
      <c r="I21" s="498">
        <f>Gen!F26</f>
        <v>0</v>
      </c>
      <c r="J21" s="140">
        <f>Gen!T26</f>
        <v>736.99</v>
      </c>
      <c r="K21" s="140">
        <f>Gen!AK26</f>
        <v>64.7</v>
      </c>
      <c r="L21" s="140">
        <f t="shared" si="1"/>
        <v>801.69</v>
      </c>
      <c r="M21" s="527">
        <f>'Water-Meter'!K61</f>
        <v>509.67428970179469</v>
      </c>
      <c r="N21" s="201">
        <f>'Water-Meter'!E21</f>
        <v>47</v>
      </c>
      <c r="O21" s="212"/>
      <c r="P21" s="753"/>
      <c r="Q21" s="499">
        <f t="shared" si="2"/>
        <v>0</v>
      </c>
      <c r="R21" s="500">
        <f t="shared" si="5"/>
        <v>0</v>
      </c>
      <c r="S21" s="446">
        <v>7.5</v>
      </c>
      <c r="T21" s="565">
        <v>16780</v>
      </c>
      <c r="U21" s="499">
        <f>T22-T20</f>
        <v>-16780</v>
      </c>
      <c r="V21" s="501">
        <f t="shared" si="18"/>
        <v>-125850</v>
      </c>
      <c r="W21" s="446">
        <v>2.5</v>
      </c>
      <c r="X21" s="563">
        <v>24820</v>
      </c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>
        <v>36988</v>
      </c>
      <c r="AC21" s="136">
        <f t="shared" si="11"/>
        <v>0</v>
      </c>
      <c r="AD21" s="564">
        <v>203901</v>
      </c>
      <c r="AE21" s="219">
        <f t="shared" si="15"/>
        <v>35</v>
      </c>
      <c r="AF21" s="314">
        <f>'Lpg (2)'!B25*2000/85</f>
        <v>2000</v>
      </c>
      <c r="AG21" s="315">
        <f>'Lpg (2)'!C25*1000/85</f>
        <v>1000</v>
      </c>
      <c r="AH21" s="316">
        <f>'Lpg (2)'!D25*1000/85</f>
        <v>470.58823529411762</v>
      </c>
      <c r="AI21" s="504">
        <f t="shared" si="17"/>
        <v>5470588.2352941176</v>
      </c>
      <c r="AJ21" s="503">
        <f t="shared" si="4"/>
        <v>47058.823529412039</v>
      </c>
      <c r="AK21" s="142"/>
    </row>
    <row r="22" spans="1:37" ht="19.5" thickBot="1">
      <c r="A22" s="94">
        <f>Gen!B27</f>
        <v>44060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46179.400000000016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529.48507380134311</v>
      </c>
      <c r="N22" s="201" t="str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-16780</v>
      </c>
      <c r="V22" s="501">
        <f t="shared" si="18"/>
        <v>0</v>
      </c>
      <c r="W22" s="446"/>
      <c r="X22" s="563"/>
      <c r="Y22" s="499">
        <f t="shared" si="8"/>
        <v>-24820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-36988</v>
      </c>
      <c r="AD22" s="564"/>
      <c r="AE22" s="219">
        <f t="shared" si="15"/>
        <v>-203901</v>
      </c>
      <c r="AF22" s="314">
        <f>'Lpg (2)'!B26*2000/85</f>
        <v>2000</v>
      </c>
      <c r="AG22" s="315">
        <f>'Lpg (2)'!C26*1000/85</f>
        <v>1000</v>
      </c>
      <c r="AH22" s="316">
        <f>'Lpg (2)'!D26*1000/85</f>
        <v>435.29411764705884</v>
      </c>
      <c r="AI22" s="504">
        <f t="shared" si="17"/>
        <v>5435294.1176470593</v>
      </c>
      <c r="AJ22" s="503">
        <f t="shared" si="4"/>
        <v>35294.11764705833</v>
      </c>
      <c r="AK22" s="142"/>
    </row>
    <row r="23" spans="1:37" ht="19.5" thickBot="1">
      <c r="A23" s="94">
        <f>Gen!B28</f>
        <v>44061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46179.400000000016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5435294.1176470593</v>
      </c>
      <c r="AK23" s="142"/>
    </row>
    <row r="24" spans="1:37" ht="19.5" thickBot="1">
      <c r="A24" s="94">
        <f>Gen!B29</f>
        <v>44062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46179.400000000016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44063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46179.400000000016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44064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46179.400000000016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44065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46179.400000000016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44066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46179.400000000016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44067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46179.400000000016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44068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46179.400000000016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44069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46179.400000000016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44070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46179.400000000016</v>
      </c>
      <c r="I32" s="498">
        <f>Gen!F37</f>
        <v>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44071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46179.400000000016</v>
      </c>
      <c r="I33" s="498">
        <f>Gen!F38</f>
        <v>10000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44072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46179.400000000016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44073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46179.400000000016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44074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46179.400000000016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12513.15</v>
      </c>
      <c r="K37" s="163"/>
      <c r="L37" s="140">
        <f t="shared" si="1"/>
        <v>12513.15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4" sqref="W2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44044</v>
      </c>
      <c r="B3" s="791" t="s">
        <v>156</v>
      </c>
      <c r="C3" s="792"/>
      <c r="D3" s="196"/>
      <c r="E3" s="699">
        <v>8750.7000000000007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7991</v>
      </c>
      <c r="P3" s="709">
        <f>'Water-Meter'!J5</f>
        <v>7991</v>
      </c>
      <c r="Q3" s="195"/>
      <c r="R3" s="696"/>
      <c r="S3" s="697"/>
      <c r="T3" s="791" t="s">
        <v>156</v>
      </c>
      <c r="U3" s="792"/>
      <c r="V3" s="196"/>
      <c r="W3" s="700">
        <v>7812.1</v>
      </c>
      <c r="X3" s="710">
        <f t="shared" ref="X3:X35" si="0">(W3-V3)*200</f>
        <v>1562420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0</v>
      </c>
      <c r="B4" s="715">
        <f>Gen!B11</f>
        <v>44044</v>
      </c>
      <c r="C4" s="716"/>
      <c r="D4" s="717">
        <f t="shared" ref="D4:D23" si="1">E3</f>
        <v>8750.7000000000007</v>
      </c>
      <c r="E4" s="699">
        <v>8751.9</v>
      </c>
      <c r="F4" s="717">
        <f t="shared" ref="F4:F15" si="2">SUM(E4-D4)*120</f>
        <v>143.99999999986903</v>
      </c>
      <c r="G4" s="716"/>
      <c r="H4" s="718">
        <f>B4</f>
        <v>44044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44044</v>
      </c>
      <c r="N4" s="716"/>
      <c r="O4" s="196">
        <f>'Water-Meter'!J6</f>
        <v>7992</v>
      </c>
      <c r="P4" s="728">
        <f>'Water-Meter'!J6</f>
        <v>7992</v>
      </c>
      <c r="Q4" s="740">
        <f>N4-O3</f>
        <v>-7991</v>
      </c>
      <c r="R4" s="744">
        <f t="shared" ref="R4:R20" si="4">SUM(Q4/1615)</f>
        <v>-4.9479876160990708</v>
      </c>
      <c r="S4" s="745">
        <f>Gen!T11</f>
        <v>741.42</v>
      </c>
      <c r="T4" s="742">
        <f>M4</f>
        <v>44044</v>
      </c>
      <c r="U4" s="716"/>
      <c r="V4" s="717">
        <f t="shared" ref="V4:V33" si="5">W3</f>
        <v>7812.1</v>
      </c>
      <c r="W4" s="700">
        <v>7812.2</v>
      </c>
      <c r="X4" s="736">
        <f t="shared" si="0"/>
        <v>19.999999999890861</v>
      </c>
      <c r="Y4" s="727">
        <f>T4</f>
        <v>44044</v>
      </c>
      <c r="Z4" s="716"/>
      <c r="AA4" s="716"/>
      <c r="AB4" s="728">
        <f>'Water-Meter'!P6</f>
        <v>20203</v>
      </c>
      <c r="AC4" s="729">
        <f>AA4-AB3</f>
        <v>0</v>
      </c>
    </row>
    <row r="5" spans="1:29" ht="19.5" thickBot="1">
      <c r="A5" s="712">
        <f>Gen!C12</f>
        <v>0</v>
      </c>
      <c r="B5" s="719">
        <f>Gen!B12</f>
        <v>44045</v>
      </c>
      <c r="C5" s="698"/>
      <c r="D5" s="703">
        <f t="shared" si="1"/>
        <v>8751.9</v>
      </c>
      <c r="E5" s="699">
        <v>8753.2999999999993</v>
      </c>
      <c r="F5" s="703">
        <f t="shared" si="2"/>
        <v>167.99999999995634</v>
      </c>
      <c r="G5" s="698"/>
      <c r="H5" s="720">
        <f t="shared" ref="H5:H35" si="6">B5</f>
        <v>44045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44045</v>
      </c>
      <c r="N5" s="698"/>
      <c r="O5" s="196">
        <f>'Water-Meter'!J7</f>
        <v>7993</v>
      </c>
      <c r="P5" s="702">
        <f>'Water-Meter'!J7</f>
        <v>7993</v>
      </c>
      <c r="Q5" s="740">
        <f t="shared" ref="Q5:Q20" si="8">N5-O4</f>
        <v>-7992</v>
      </c>
      <c r="R5" s="746">
        <f t="shared" si="4"/>
        <v>-4.9486068111455106</v>
      </c>
      <c r="S5" s="747">
        <f>Gen!T12</f>
        <v>782.06</v>
      </c>
      <c r="T5" s="735">
        <f t="shared" ref="T5:T30" si="9">M5</f>
        <v>44045</v>
      </c>
      <c r="U5" s="698"/>
      <c r="V5" s="703">
        <f t="shared" si="5"/>
        <v>7812.2</v>
      </c>
      <c r="W5" s="700">
        <v>7812.4</v>
      </c>
      <c r="X5" s="736">
        <f t="shared" si="0"/>
        <v>39.99999999996362</v>
      </c>
      <c r="Y5" s="730">
        <f t="shared" ref="Y5:Y30" si="10">T5</f>
        <v>44045</v>
      </c>
      <c r="Z5" s="698"/>
      <c r="AA5" s="698"/>
      <c r="AB5" s="728">
        <f>'Water-Meter'!P7</f>
        <v>20204</v>
      </c>
      <c r="AC5" s="729">
        <f t="shared" ref="AC5:AC35" si="11">AA5-AB4</f>
        <v>-20203</v>
      </c>
    </row>
    <row r="6" spans="1:29" ht="19.5" thickBot="1">
      <c r="A6" s="712">
        <f>Gen!C13</f>
        <v>0</v>
      </c>
      <c r="B6" s="719">
        <f>Gen!B13</f>
        <v>44046</v>
      </c>
      <c r="C6" s="698"/>
      <c r="D6" s="703">
        <f t="shared" si="1"/>
        <v>8753.2999999999993</v>
      </c>
      <c r="E6" s="699">
        <v>8754.4</v>
      </c>
      <c r="F6" s="703">
        <f t="shared" si="2"/>
        <v>132.00000000004366</v>
      </c>
      <c r="G6" s="698"/>
      <c r="H6" s="720">
        <f t="shared" si="6"/>
        <v>44046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44046</v>
      </c>
      <c r="N6" s="698"/>
      <c r="O6" s="196">
        <f>'Water-Meter'!J8</f>
        <v>7994</v>
      </c>
      <c r="P6" s="702">
        <f>'Water-Meter'!J8</f>
        <v>7994</v>
      </c>
      <c r="Q6" s="740">
        <f t="shared" si="8"/>
        <v>-7993</v>
      </c>
      <c r="R6" s="746">
        <f t="shared" si="4"/>
        <v>-4.9492260061919504</v>
      </c>
      <c r="S6" s="747">
        <f>Gen!T13</f>
        <v>788.41</v>
      </c>
      <c r="T6" s="735">
        <f t="shared" si="9"/>
        <v>44046</v>
      </c>
      <c r="U6" s="698"/>
      <c r="V6" s="703">
        <f t="shared" si="5"/>
        <v>7812.4</v>
      </c>
      <c r="W6" s="700">
        <v>7812.5</v>
      </c>
      <c r="X6" s="736">
        <f t="shared" si="0"/>
        <v>20.00000000007276</v>
      </c>
      <c r="Y6" s="730">
        <f t="shared" si="10"/>
        <v>44046</v>
      </c>
      <c r="Z6" s="698"/>
      <c r="AA6" s="698"/>
      <c r="AB6" s="728">
        <f>'Water-Meter'!P8</f>
        <v>20205</v>
      </c>
      <c r="AC6" s="729">
        <f t="shared" si="11"/>
        <v>-20204</v>
      </c>
    </row>
    <row r="7" spans="1:29" ht="19.5" thickBot="1">
      <c r="A7" s="712">
        <f>Gen!C14</f>
        <v>0</v>
      </c>
      <c r="B7" s="719">
        <f>Gen!B14</f>
        <v>44047</v>
      </c>
      <c r="C7" s="698"/>
      <c r="D7" s="703">
        <f t="shared" si="1"/>
        <v>8754.4</v>
      </c>
      <c r="E7" s="699">
        <v>8755.9</v>
      </c>
      <c r="F7" s="703">
        <f t="shared" si="2"/>
        <v>180</v>
      </c>
      <c r="G7" s="698"/>
      <c r="H7" s="720">
        <f t="shared" si="6"/>
        <v>44047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44047</v>
      </c>
      <c r="N7" s="698"/>
      <c r="O7" s="196">
        <f>'Water-Meter'!J9</f>
        <v>7994</v>
      </c>
      <c r="P7" s="702">
        <f>'Water-Meter'!J9</f>
        <v>7994</v>
      </c>
      <c r="Q7" s="740">
        <f t="shared" si="8"/>
        <v>-7994</v>
      </c>
      <c r="R7" s="746">
        <f t="shared" si="4"/>
        <v>-4.9498452012383902</v>
      </c>
      <c r="S7" s="747">
        <f>Gen!T14</f>
        <v>793.6099999999999</v>
      </c>
      <c r="T7" s="735">
        <f t="shared" si="9"/>
        <v>44047</v>
      </c>
      <c r="U7" s="698"/>
      <c r="V7" s="703">
        <f t="shared" si="5"/>
        <v>7812.5</v>
      </c>
      <c r="W7" s="700">
        <v>7812.6</v>
      </c>
      <c r="X7" s="736">
        <f t="shared" si="0"/>
        <v>20.00000000007276</v>
      </c>
      <c r="Y7" s="730">
        <f t="shared" si="10"/>
        <v>44047</v>
      </c>
      <c r="Z7" s="698"/>
      <c r="AA7" s="698"/>
      <c r="AB7" s="728">
        <f>'Water-Meter'!P9</f>
        <v>20206</v>
      </c>
      <c r="AC7" s="729">
        <f t="shared" si="11"/>
        <v>-20205</v>
      </c>
    </row>
    <row r="8" spans="1:29" ht="19.5" thickBot="1">
      <c r="A8" s="712">
        <f>Gen!C15</f>
        <v>0</v>
      </c>
      <c r="B8" s="719">
        <f>Gen!B15</f>
        <v>44048</v>
      </c>
      <c r="C8" s="698"/>
      <c r="D8" s="703">
        <f t="shared" si="1"/>
        <v>8755.9</v>
      </c>
      <c r="E8" s="699">
        <v>8757.2999999999993</v>
      </c>
      <c r="F8" s="703">
        <f t="shared" si="2"/>
        <v>167.99999999995634</v>
      </c>
      <c r="G8" s="698"/>
      <c r="H8" s="720">
        <f t="shared" si="6"/>
        <v>44048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44048</v>
      </c>
      <c r="N8" s="698"/>
      <c r="O8" s="196">
        <f>'Water-Meter'!J10</f>
        <v>7995</v>
      </c>
      <c r="P8" s="702">
        <f>'Water-Meter'!J10</f>
        <v>7995</v>
      </c>
      <c r="Q8" s="740">
        <f t="shared" si="8"/>
        <v>-7994</v>
      </c>
      <c r="R8" s="746">
        <f t="shared" si="4"/>
        <v>-4.9498452012383902</v>
      </c>
      <c r="S8" s="747">
        <f>Gen!T15</f>
        <v>776.02</v>
      </c>
      <c r="T8" s="735">
        <f t="shared" si="9"/>
        <v>44048</v>
      </c>
      <c r="U8" s="698"/>
      <c r="V8" s="703">
        <f t="shared" si="5"/>
        <v>7812.6</v>
      </c>
      <c r="W8" s="700">
        <v>7812.7</v>
      </c>
      <c r="X8" s="736">
        <f t="shared" si="0"/>
        <v>19.999999999890861</v>
      </c>
      <c r="Y8" s="730">
        <f t="shared" si="10"/>
        <v>44048</v>
      </c>
      <c r="Z8" s="698"/>
      <c r="AA8" s="698"/>
      <c r="AB8" s="728">
        <f>'Water-Meter'!P10</f>
        <v>20207</v>
      </c>
      <c r="AC8" s="729">
        <f t="shared" si="11"/>
        <v>-20206</v>
      </c>
    </row>
    <row r="9" spans="1:29" ht="19.5" thickBot="1">
      <c r="A9" s="712">
        <f>Gen!C16</f>
        <v>0</v>
      </c>
      <c r="B9" s="719">
        <f>Gen!B16</f>
        <v>44049</v>
      </c>
      <c r="C9" s="698"/>
      <c r="D9" s="703">
        <f t="shared" si="1"/>
        <v>8757.2999999999993</v>
      </c>
      <c r="E9" s="699">
        <v>8758.6</v>
      </c>
      <c r="F9" s="703">
        <f t="shared" si="2"/>
        <v>156.00000000013097</v>
      </c>
      <c r="G9" s="698"/>
      <c r="H9" s="720">
        <f t="shared" si="6"/>
        <v>44049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44049</v>
      </c>
      <c r="N9" s="698"/>
      <c r="O9" s="196">
        <f>'Water-Meter'!J11</f>
        <v>7996</v>
      </c>
      <c r="P9" s="702">
        <f>'Water-Meter'!J11</f>
        <v>7996</v>
      </c>
      <c r="Q9" s="740">
        <f t="shared" si="8"/>
        <v>-7995</v>
      </c>
      <c r="R9" s="746">
        <f t="shared" si="4"/>
        <v>-4.95046439628483</v>
      </c>
      <c r="S9" s="747">
        <f>Gen!T16</f>
        <v>778.12</v>
      </c>
      <c r="T9" s="735">
        <f t="shared" si="9"/>
        <v>44049</v>
      </c>
      <c r="U9" s="698"/>
      <c r="V9" s="703">
        <f t="shared" si="5"/>
        <v>7812.7</v>
      </c>
      <c r="W9" s="700">
        <v>7812.9</v>
      </c>
      <c r="X9" s="736">
        <f t="shared" si="0"/>
        <v>39.99999999996362</v>
      </c>
      <c r="Y9" s="730">
        <f t="shared" si="10"/>
        <v>44049</v>
      </c>
      <c r="Z9" s="698"/>
      <c r="AA9" s="698"/>
      <c r="AB9" s="728">
        <f>'Water-Meter'!P11</f>
        <v>20210</v>
      </c>
      <c r="AC9" s="729">
        <f t="shared" si="11"/>
        <v>-20207</v>
      </c>
    </row>
    <row r="10" spans="1:29" ht="19.5" thickBot="1">
      <c r="A10" s="712">
        <f>Gen!C17</f>
        <v>0</v>
      </c>
      <c r="B10" s="719">
        <f>Gen!B17</f>
        <v>44050</v>
      </c>
      <c r="C10" s="698"/>
      <c r="D10" s="703">
        <f t="shared" si="1"/>
        <v>8758.6</v>
      </c>
      <c r="E10" s="699">
        <v>8759.9</v>
      </c>
      <c r="F10" s="703">
        <f t="shared" si="2"/>
        <v>155.99999999991269</v>
      </c>
      <c r="G10" s="698"/>
      <c r="H10" s="720">
        <f t="shared" si="6"/>
        <v>44050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44050</v>
      </c>
      <c r="N10" s="698"/>
      <c r="O10" s="196">
        <f>'Water-Meter'!J12</f>
        <v>7997</v>
      </c>
      <c r="P10" s="702">
        <f>'Water-Meter'!J12</f>
        <v>7997</v>
      </c>
      <c r="Q10" s="740">
        <f t="shared" si="8"/>
        <v>-7996</v>
      </c>
      <c r="R10" s="746">
        <f t="shared" si="4"/>
        <v>-4.951083591331269</v>
      </c>
      <c r="S10" s="747">
        <f>Gen!T17</f>
        <v>771.7</v>
      </c>
      <c r="T10" s="735">
        <f t="shared" si="9"/>
        <v>44050</v>
      </c>
      <c r="U10" s="698"/>
      <c r="V10" s="703">
        <f t="shared" si="5"/>
        <v>7812.9</v>
      </c>
      <c r="W10" s="700">
        <v>7813.2</v>
      </c>
      <c r="X10" s="736">
        <f t="shared" si="0"/>
        <v>60.00000000003638</v>
      </c>
      <c r="Y10" s="730">
        <f t="shared" si="10"/>
        <v>44050</v>
      </c>
      <c r="Z10" s="698"/>
      <c r="AA10" s="698"/>
      <c r="AB10" s="728">
        <f>'Water-Meter'!P12</f>
        <v>20211</v>
      </c>
      <c r="AC10" s="729">
        <f t="shared" si="11"/>
        <v>-20210</v>
      </c>
    </row>
    <row r="11" spans="1:29" ht="19.5" thickBot="1">
      <c r="A11" s="712">
        <f>Gen!C18</f>
        <v>0</v>
      </c>
      <c r="B11" s="719">
        <f>Gen!B18</f>
        <v>44051</v>
      </c>
      <c r="C11" s="698"/>
      <c r="D11" s="703">
        <f t="shared" si="1"/>
        <v>8759.9</v>
      </c>
      <c r="E11" s="699">
        <v>8761.4</v>
      </c>
      <c r="F11" s="703">
        <f t="shared" si="2"/>
        <v>180</v>
      </c>
      <c r="G11" s="698"/>
      <c r="H11" s="720">
        <f t="shared" si="6"/>
        <v>44051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44051</v>
      </c>
      <c r="N11" s="698"/>
      <c r="O11" s="196">
        <f>'Water-Meter'!J13</f>
        <v>7998</v>
      </c>
      <c r="P11" s="702">
        <f>'Water-Meter'!J13</f>
        <v>7998</v>
      </c>
      <c r="Q11" s="740">
        <f t="shared" si="8"/>
        <v>-7997</v>
      </c>
      <c r="R11" s="746">
        <f t="shared" si="4"/>
        <v>-4.9517027863777088</v>
      </c>
      <c r="S11" s="747">
        <f>Gen!T18</f>
        <v>822.74</v>
      </c>
      <c r="T11" s="735">
        <f t="shared" si="9"/>
        <v>44051</v>
      </c>
      <c r="U11" s="698"/>
      <c r="V11" s="703">
        <f t="shared" si="5"/>
        <v>7813.2</v>
      </c>
      <c r="W11" s="700">
        <v>7813.5</v>
      </c>
      <c r="X11" s="736">
        <f t="shared" si="0"/>
        <v>60.00000000003638</v>
      </c>
      <c r="Y11" s="730">
        <f t="shared" si="10"/>
        <v>44051</v>
      </c>
      <c r="Z11" s="698"/>
      <c r="AA11" s="698"/>
      <c r="AB11" s="728">
        <f>'Water-Meter'!P13</f>
        <v>20213</v>
      </c>
      <c r="AC11" s="729">
        <f t="shared" si="11"/>
        <v>-20211</v>
      </c>
    </row>
    <row r="12" spans="1:29" ht="19.5" thickBot="1">
      <c r="A12" s="712">
        <f>Gen!C19</f>
        <v>1.2999999999999999E-2</v>
      </c>
      <c r="B12" s="719">
        <f>Gen!B19</f>
        <v>44052</v>
      </c>
      <c r="C12" s="698"/>
      <c r="D12" s="703">
        <f t="shared" si="1"/>
        <v>8761.4</v>
      </c>
      <c r="E12" s="699">
        <v>8763.1</v>
      </c>
      <c r="F12" s="703">
        <f t="shared" si="2"/>
        <v>204.00000000008731</v>
      </c>
      <c r="G12" s="698"/>
      <c r="H12" s="720">
        <f t="shared" si="6"/>
        <v>44052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44052</v>
      </c>
      <c r="N12" s="698"/>
      <c r="O12" s="196">
        <f>'Water-Meter'!J14</f>
        <v>7998</v>
      </c>
      <c r="P12" s="702">
        <f>'Water-Meter'!J14</f>
        <v>7998</v>
      </c>
      <c r="Q12" s="740">
        <f t="shared" si="8"/>
        <v>-7998</v>
      </c>
      <c r="R12" s="746">
        <f t="shared" si="4"/>
        <v>-4.9523219814241486</v>
      </c>
      <c r="S12" s="747">
        <f>Gen!T19</f>
        <v>886.95</v>
      </c>
      <c r="T12" s="735">
        <f t="shared" si="9"/>
        <v>44052</v>
      </c>
      <c r="U12" s="698"/>
      <c r="V12" s="703">
        <f t="shared" si="5"/>
        <v>7813.5</v>
      </c>
      <c r="W12" s="700">
        <v>7813.7</v>
      </c>
      <c r="X12" s="736">
        <f t="shared" si="0"/>
        <v>39.99999999996362</v>
      </c>
      <c r="Y12" s="730">
        <f t="shared" si="10"/>
        <v>44052</v>
      </c>
      <c r="Z12" s="698"/>
      <c r="AA12" s="698"/>
      <c r="AB12" s="728">
        <f>'Water-Meter'!P14</f>
        <v>20214</v>
      </c>
      <c r="AC12" s="729">
        <f t="shared" si="11"/>
        <v>-20213</v>
      </c>
    </row>
    <row r="13" spans="1:29" ht="19.5" thickBot="1">
      <c r="A13" s="712">
        <f>Gen!C20</f>
        <v>1.2999999999999999E-2</v>
      </c>
      <c r="B13" s="719">
        <f>Gen!B20</f>
        <v>44053</v>
      </c>
      <c r="C13" s="698"/>
      <c r="D13" s="703">
        <f t="shared" si="1"/>
        <v>8763.1</v>
      </c>
      <c r="E13" s="699">
        <v>8764.7999999999993</v>
      </c>
      <c r="F13" s="703">
        <f t="shared" si="2"/>
        <v>203.99999999986903</v>
      </c>
      <c r="G13" s="698"/>
      <c r="H13" s="720">
        <f t="shared" si="6"/>
        <v>44053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44053</v>
      </c>
      <c r="N13" s="698"/>
      <c r="O13" s="196">
        <f>'Water-Meter'!J15</f>
        <v>7999</v>
      </c>
      <c r="P13" s="702">
        <f>'Water-Meter'!J15</f>
        <v>7999</v>
      </c>
      <c r="Q13" s="740">
        <f t="shared" si="8"/>
        <v>-7998</v>
      </c>
      <c r="R13" s="746">
        <f t="shared" si="4"/>
        <v>-4.9523219814241486</v>
      </c>
      <c r="S13" s="747">
        <f>Gen!T20</f>
        <v>798.82999999999993</v>
      </c>
      <c r="T13" s="735">
        <f t="shared" si="9"/>
        <v>44053</v>
      </c>
      <c r="U13" s="698"/>
      <c r="V13" s="703">
        <f t="shared" si="5"/>
        <v>7813.7</v>
      </c>
      <c r="W13" s="700">
        <v>7813.9</v>
      </c>
      <c r="X13" s="736">
        <f t="shared" si="0"/>
        <v>39.99999999996362</v>
      </c>
      <c r="Y13" s="730">
        <f t="shared" si="10"/>
        <v>44053</v>
      </c>
      <c r="Z13" s="698"/>
      <c r="AA13" s="698"/>
      <c r="AB13" s="728">
        <f>'Water-Meter'!P15</f>
        <v>20215</v>
      </c>
      <c r="AC13" s="729">
        <f t="shared" si="11"/>
        <v>-20214</v>
      </c>
    </row>
    <row r="14" spans="1:29" ht="19.5" thickBot="1">
      <c r="A14" s="712">
        <f>Gen!C21</f>
        <v>0.01</v>
      </c>
      <c r="B14" s="719">
        <f>Gen!B21</f>
        <v>44054</v>
      </c>
      <c r="C14" s="698"/>
      <c r="D14" s="703">
        <f t="shared" si="1"/>
        <v>8764.7999999999993</v>
      </c>
      <c r="E14" s="699">
        <v>8766.4</v>
      </c>
      <c r="F14" s="703">
        <f t="shared" si="2"/>
        <v>192.00000000004366</v>
      </c>
      <c r="G14" s="698"/>
      <c r="H14" s="720">
        <f t="shared" si="6"/>
        <v>44054</v>
      </c>
      <c r="I14" s="713"/>
      <c r="J14" s="763">
        <f>'Water-Meter'!G16</f>
        <v>38000</v>
      </c>
      <c r="K14" s="739">
        <f>'Water-Meter'!G16</f>
        <v>38000</v>
      </c>
      <c r="L14" s="726">
        <f t="shared" si="3"/>
        <v>0</v>
      </c>
      <c r="M14" s="730">
        <f t="shared" si="7"/>
        <v>44054</v>
      </c>
      <c r="N14" s="698"/>
      <c r="O14" s="196">
        <f>'Water-Meter'!J16</f>
        <v>8000</v>
      </c>
      <c r="P14" s="702">
        <f>'Water-Meter'!J16</f>
        <v>8000</v>
      </c>
      <c r="Q14" s="740">
        <f t="shared" si="8"/>
        <v>-7999</v>
      </c>
      <c r="R14" s="746">
        <f t="shared" si="4"/>
        <v>-4.9529411764705884</v>
      </c>
      <c r="S14" s="747">
        <f>Gen!T21</f>
        <v>777.96</v>
      </c>
      <c r="T14" s="735">
        <f t="shared" si="9"/>
        <v>44054</v>
      </c>
      <c r="U14" s="698"/>
      <c r="V14" s="703">
        <f t="shared" si="5"/>
        <v>7813.9</v>
      </c>
      <c r="W14" s="700">
        <v>7814.1</v>
      </c>
      <c r="X14" s="736">
        <f t="shared" si="0"/>
        <v>40.000000000145519</v>
      </c>
      <c r="Y14" s="730">
        <f t="shared" si="10"/>
        <v>44054</v>
      </c>
      <c r="Z14" s="698"/>
      <c r="AA14" s="698"/>
      <c r="AB14" s="728">
        <f>'Water-Meter'!P16</f>
        <v>20217</v>
      </c>
      <c r="AC14" s="729">
        <f t="shared" si="11"/>
        <v>-20215</v>
      </c>
    </row>
    <row r="15" spans="1:29" ht="19.5" thickBot="1">
      <c r="A15" s="712">
        <f>Gen!C22</f>
        <v>0</v>
      </c>
      <c r="B15" s="719">
        <f>Gen!B22</f>
        <v>44055</v>
      </c>
      <c r="C15" s="698"/>
      <c r="D15" s="703">
        <f t="shared" si="1"/>
        <v>8766.4</v>
      </c>
      <c r="E15" s="699">
        <v>8767.6</v>
      </c>
      <c r="F15" s="703">
        <f t="shared" si="2"/>
        <v>144.00000000008731</v>
      </c>
      <c r="G15" s="698"/>
      <c r="H15" s="720">
        <f t="shared" si="6"/>
        <v>44055</v>
      </c>
      <c r="I15" s="713"/>
      <c r="J15" s="763">
        <f>'Water-Meter'!G17</f>
        <v>38000</v>
      </c>
      <c r="K15" s="739">
        <f>'Water-Meter'!G17</f>
        <v>38000</v>
      </c>
      <c r="L15" s="726">
        <f t="shared" si="3"/>
        <v>0</v>
      </c>
      <c r="M15" s="730">
        <f t="shared" si="7"/>
        <v>44055</v>
      </c>
      <c r="N15" s="698"/>
      <c r="O15" s="196">
        <f>'Water-Meter'!J17</f>
        <v>8001</v>
      </c>
      <c r="P15" s="702">
        <f>'Water-Meter'!J17</f>
        <v>8001</v>
      </c>
      <c r="Q15" s="740">
        <f t="shared" si="8"/>
        <v>-8000</v>
      </c>
      <c r="R15" s="746">
        <f t="shared" si="4"/>
        <v>-4.9535603715170282</v>
      </c>
      <c r="S15" s="747">
        <f>Gen!T22</f>
        <v>763.8</v>
      </c>
      <c r="T15" s="735">
        <f t="shared" si="9"/>
        <v>44055</v>
      </c>
      <c r="U15" s="698"/>
      <c r="V15" s="703">
        <f t="shared" si="5"/>
        <v>7814.1</v>
      </c>
      <c r="W15" s="700">
        <v>7814.2</v>
      </c>
      <c r="X15" s="736">
        <f t="shared" si="0"/>
        <v>19.999999999890861</v>
      </c>
      <c r="Y15" s="730">
        <f t="shared" si="10"/>
        <v>44055</v>
      </c>
      <c r="Z15" s="698"/>
      <c r="AA15" s="698"/>
      <c r="AB15" s="728">
        <f>'Water-Meter'!P17</f>
        <v>20218</v>
      </c>
      <c r="AC15" s="729">
        <f t="shared" si="11"/>
        <v>-20217</v>
      </c>
    </row>
    <row r="16" spans="1:29" ht="19.5" thickBot="1">
      <c r="A16" s="712">
        <f>Gen!C23</f>
        <v>0</v>
      </c>
      <c r="B16" s="719">
        <f>Gen!B23</f>
        <v>44056</v>
      </c>
      <c r="C16" s="698"/>
      <c r="D16" s="703">
        <f t="shared" si="1"/>
        <v>8767.6</v>
      </c>
      <c r="E16" s="699">
        <v>8768.9</v>
      </c>
      <c r="F16" s="703">
        <f>SUM(E16-D16)*120</f>
        <v>155.99999999991269</v>
      </c>
      <c r="G16" s="698"/>
      <c r="H16" s="720">
        <f t="shared" si="6"/>
        <v>44056</v>
      </c>
      <c r="I16" s="713"/>
      <c r="J16" s="763">
        <f>'Water-Meter'!G18</f>
        <v>38000</v>
      </c>
      <c r="K16" s="739">
        <f>'Water-Meter'!G18</f>
        <v>38000</v>
      </c>
      <c r="L16" s="726">
        <f t="shared" si="3"/>
        <v>0</v>
      </c>
      <c r="M16" s="730">
        <f t="shared" si="7"/>
        <v>44056</v>
      </c>
      <c r="N16" s="698"/>
      <c r="O16" s="196">
        <f>'Water-Meter'!J18</f>
        <v>8002</v>
      </c>
      <c r="P16" s="702">
        <f>'Water-Meter'!J18</f>
        <v>8002</v>
      </c>
      <c r="Q16" s="740">
        <f t="shared" si="8"/>
        <v>-8001</v>
      </c>
      <c r="R16" s="746">
        <f t="shared" si="4"/>
        <v>-4.9541795665634671</v>
      </c>
      <c r="S16" s="747">
        <f>Gen!T23</f>
        <v>756.53</v>
      </c>
      <c r="T16" s="735">
        <f t="shared" si="9"/>
        <v>44056</v>
      </c>
      <c r="U16" s="698"/>
      <c r="V16" s="703">
        <f t="shared" si="5"/>
        <v>7814.2</v>
      </c>
      <c r="W16" s="700">
        <v>7814.3</v>
      </c>
      <c r="X16" s="736">
        <f t="shared" si="0"/>
        <v>20.00000000007276</v>
      </c>
      <c r="Y16" s="730">
        <f t="shared" si="10"/>
        <v>44056</v>
      </c>
      <c r="Z16" s="698"/>
      <c r="AA16" s="698"/>
      <c r="AB16" s="728">
        <f>'Water-Meter'!P18</f>
        <v>20219</v>
      </c>
      <c r="AC16" s="729">
        <f t="shared" si="11"/>
        <v>-20218</v>
      </c>
    </row>
    <row r="17" spans="1:29" ht="19.5" thickBot="1">
      <c r="A17" s="712">
        <f>Gen!C24</f>
        <v>0</v>
      </c>
      <c r="B17" s="719">
        <f>Gen!B24</f>
        <v>44057</v>
      </c>
      <c r="C17" s="698"/>
      <c r="D17" s="703">
        <f t="shared" si="1"/>
        <v>8768.9</v>
      </c>
      <c r="E17" s="699">
        <v>8770.2999999999993</v>
      </c>
      <c r="F17" s="703">
        <f>SUM(E17-D17)*120</f>
        <v>167.99999999995634</v>
      </c>
      <c r="G17" s="698"/>
      <c r="H17" s="720">
        <f t="shared" si="6"/>
        <v>44057</v>
      </c>
      <c r="I17" s="713"/>
      <c r="J17" s="763">
        <f>'Water-Meter'!G19</f>
        <v>38000</v>
      </c>
      <c r="K17" s="739">
        <f>'Water-Meter'!G19</f>
        <v>38000</v>
      </c>
      <c r="L17" s="726">
        <f t="shared" si="3"/>
        <v>0</v>
      </c>
      <c r="M17" s="730">
        <f t="shared" si="7"/>
        <v>44057</v>
      </c>
      <c r="N17" s="698"/>
      <c r="O17" s="196">
        <f>'Water-Meter'!J19</f>
        <v>8003</v>
      </c>
      <c r="P17" s="702">
        <f>'Water-Meter'!J19</f>
        <v>8003</v>
      </c>
      <c r="Q17" s="740">
        <f t="shared" si="8"/>
        <v>-8002</v>
      </c>
      <c r="R17" s="746">
        <f t="shared" si="4"/>
        <v>-4.954798761609907</v>
      </c>
      <c r="S17" s="747">
        <f>Gen!T24</f>
        <v>779.34999999999991</v>
      </c>
      <c r="T17" s="735">
        <f t="shared" si="9"/>
        <v>44057</v>
      </c>
      <c r="U17" s="698"/>
      <c r="V17" s="703">
        <f t="shared" si="5"/>
        <v>7814.3</v>
      </c>
      <c r="W17" s="700">
        <v>7814.9</v>
      </c>
      <c r="X17" s="736">
        <f t="shared" si="0"/>
        <v>119.99999999989086</v>
      </c>
      <c r="Y17" s="730">
        <f t="shared" si="10"/>
        <v>44057</v>
      </c>
      <c r="Z17" s="698"/>
      <c r="AA17" s="698"/>
      <c r="AB17" s="728">
        <f>'Water-Meter'!P19</f>
        <v>20220</v>
      </c>
      <c r="AC17" s="729">
        <f t="shared" si="11"/>
        <v>-20219</v>
      </c>
    </row>
    <row r="18" spans="1:29" ht="19.5" thickBot="1">
      <c r="A18" s="712">
        <f>Gen!C25</f>
        <v>0</v>
      </c>
      <c r="B18" s="719">
        <f>Gen!B25</f>
        <v>44058</v>
      </c>
      <c r="C18" s="698"/>
      <c r="D18" s="703">
        <f t="shared" si="1"/>
        <v>8770.2999999999993</v>
      </c>
      <c r="E18" s="699">
        <v>8771.6</v>
      </c>
      <c r="F18" s="703">
        <f t="shared" ref="F18:F22" si="12">SUM(E18-D18)*120</f>
        <v>156.00000000013097</v>
      </c>
      <c r="G18" s="698"/>
      <c r="H18" s="720">
        <f t="shared" si="6"/>
        <v>44058</v>
      </c>
      <c r="I18" s="713"/>
      <c r="J18" s="763">
        <f>'Water-Meter'!G20</f>
        <v>38000</v>
      </c>
      <c r="K18" s="739">
        <f>'Water-Meter'!G20</f>
        <v>38000</v>
      </c>
      <c r="L18" s="726">
        <f t="shared" si="3"/>
        <v>0</v>
      </c>
      <c r="M18" s="730">
        <f t="shared" si="7"/>
        <v>44058</v>
      </c>
      <c r="N18" s="698"/>
      <c r="O18" s="196">
        <f>'Water-Meter'!J20</f>
        <v>8004</v>
      </c>
      <c r="P18" s="702">
        <f>'Water-Meter'!J20</f>
        <v>8004</v>
      </c>
      <c r="Q18" s="740">
        <f t="shared" si="8"/>
        <v>-8003</v>
      </c>
      <c r="R18" s="746">
        <f t="shared" si="4"/>
        <v>-4.9554179566563468</v>
      </c>
      <c r="S18" s="747">
        <f>Gen!T25</f>
        <v>758.66000000000008</v>
      </c>
      <c r="T18" s="735">
        <f t="shared" si="9"/>
        <v>44058</v>
      </c>
      <c r="U18" s="698"/>
      <c r="V18" s="703">
        <f t="shared" si="5"/>
        <v>7814.9</v>
      </c>
      <c r="W18" s="700">
        <v>7815.3</v>
      </c>
      <c r="X18" s="736">
        <f t="shared" si="0"/>
        <v>80.000000000109139</v>
      </c>
      <c r="Y18" s="730">
        <f t="shared" si="10"/>
        <v>44058</v>
      </c>
      <c r="Z18" s="698"/>
      <c r="AA18" s="698"/>
      <c r="AB18" s="728">
        <f>'Water-Meter'!P20</f>
        <v>20221</v>
      </c>
      <c r="AC18" s="729">
        <f t="shared" si="11"/>
        <v>-20220</v>
      </c>
    </row>
    <row r="19" spans="1:29" ht="19.5" thickBot="1">
      <c r="A19" s="712">
        <f>Gen!C26</f>
        <v>0</v>
      </c>
      <c r="B19" s="719">
        <f>Gen!B26</f>
        <v>44059</v>
      </c>
      <c r="C19" s="701"/>
      <c r="D19" s="703">
        <f t="shared" si="1"/>
        <v>8771.6</v>
      </c>
      <c r="E19" s="699">
        <v>8772.9</v>
      </c>
      <c r="F19" s="703">
        <f t="shared" si="12"/>
        <v>155.99999999991269</v>
      </c>
      <c r="G19" s="698"/>
      <c r="H19" s="720">
        <f t="shared" si="6"/>
        <v>44059</v>
      </c>
      <c r="I19" s="714"/>
      <c r="J19" s="763">
        <f>'Water-Meter'!G21</f>
        <v>38000</v>
      </c>
      <c r="K19" s="739">
        <f>'Water-Meter'!G21</f>
        <v>38000</v>
      </c>
      <c r="L19" s="726">
        <f t="shared" si="3"/>
        <v>0</v>
      </c>
      <c r="M19" s="730">
        <f t="shared" si="7"/>
        <v>44059</v>
      </c>
      <c r="N19" s="701"/>
      <c r="O19" s="196">
        <f>'Water-Meter'!J21</f>
        <v>8005</v>
      </c>
      <c r="P19" s="702">
        <f>'Water-Meter'!J21</f>
        <v>8005</v>
      </c>
      <c r="Q19" s="740">
        <f t="shared" si="8"/>
        <v>-8004</v>
      </c>
      <c r="R19" s="746">
        <f t="shared" si="4"/>
        <v>-4.9560371517027866</v>
      </c>
      <c r="S19" s="747">
        <f>Gen!T26</f>
        <v>736.99</v>
      </c>
      <c r="T19" s="735">
        <f t="shared" si="9"/>
        <v>44059</v>
      </c>
      <c r="U19" s="701"/>
      <c r="V19" s="703">
        <f t="shared" si="5"/>
        <v>7815.3</v>
      </c>
      <c r="W19" s="700">
        <v>7815.4</v>
      </c>
      <c r="X19" s="736">
        <f t="shared" si="0"/>
        <v>19.999999999890861</v>
      </c>
      <c r="Y19" s="730">
        <f t="shared" si="10"/>
        <v>44059</v>
      </c>
      <c r="Z19" s="701"/>
      <c r="AA19" s="698"/>
      <c r="AB19" s="728">
        <f>'Water-Meter'!P21</f>
        <v>20222</v>
      </c>
      <c r="AC19" s="729">
        <f t="shared" si="11"/>
        <v>-20221</v>
      </c>
    </row>
    <row r="20" spans="1:29" ht="19.5" thickBot="1">
      <c r="A20" s="712">
        <f>Gen!C27</f>
        <v>0</v>
      </c>
      <c r="B20" s="719">
        <f>Gen!B27</f>
        <v>44060</v>
      </c>
      <c r="C20" s="701"/>
      <c r="D20" s="703">
        <f t="shared" si="1"/>
        <v>8772.9</v>
      </c>
      <c r="E20" s="699"/>
      <c r="F20" s="703">
        <f t="shared" si="12"/>
        <v>-1052748</v>
      </c>
      <c r="G20" s="698"/>
      <c r="H20" s="720">
        <f t="shared" si="6"/>
        <v>44060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44060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-8005</v>
      </c>
      <c r="R20" s="746">
        <f t="shared" si="4"/>
        <v>-4.9566563467492264</v>
      </c>
      <c r="S20" s="747">
        <f>Gen!T27</f>
        <v>0</v>
      </c>
      <c r="T20" s="735">
        <f t="shared" si="9"/>
        <v>44060</v>
      </c>
      <c r="U20" s="701"/>
      <c r="V20" s="703">
        <f t="shared" si="5"/>
        <v>7815.4</v>
      </c>
      <c r="W20" s="700"/>
      <c r="X20" s="736">
        <f t="shared" si="0"/>
        <v>-1563080</v>
      </c>
      <c r="Y20" s="730">
        <f t="shared" si="10"/>
        <v>44060</v>
      </c>
      <c r="Z20" s="701"/>
      <c r="AA20" s="698"/>
      <c r="AB20" s="728">
        <f>'Water-Meter'!P22</f>
        <v>0</v>
      </c>
      <c r="AC20" s="729">
        <f t="shared" si="11"/>
        <v>-20222</v>
      </c>
    </row>
    <row r="21" spans="1:29" ht="19.5" thickBot="1">
      <c r="A21" s="712">
        <f>Gen!C28</f>
        <v>0</v>
      </c>
      <c r="B21" s="719">
        <f>Gen!B28</f>
        <v>44061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44061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44061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44061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44061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44062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44062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44062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44062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44062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44063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44063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44063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44063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44063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44064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44064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44064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44065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44065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44065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44065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44065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44066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44066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44066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44066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44066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44067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44067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44067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44067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44067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44068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44068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44068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44068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44068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44069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44069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44069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44069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44069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44070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44070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44070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44070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44070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44071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44071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44071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44071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44071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44072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44072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44072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44072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44072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44073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44073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44073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44073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44073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44074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44074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44074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44074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44074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443.99999999986903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79.99999999992724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0" sqref="E20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44044</v>
      </c>
      <c r="B5" s="374">
        <f>'Daily report Gen'!Z6</f>
        <v>152886</v>
      </c>
      <c r="C5" s="88">
        <f>Gen!C11</f>
        <v>0</v>
      </c>
      <c r="D5" s="512">
        <f t="shared" ref="D5:D36" si="0">E5</f>
        <v>0</v>
      </c>
      <c r="E5" s="75"/>
      <c r="F5" s="71">
        <f>Gen!U9</f>
        <v>0</v>
      </c>
      <c r="G5" s="86">
        <f>Gen!T9</f>
        <v>0</v>
      </c>
      <c r="H5" s="86">
        <f>Gen!AK11</f>
        <v>16.850000000000001</v>
      </c>
      <c r="I5" s="86">
        <f t="shared" ref="I5:I36" si="1">SUM(G5:H5)</f>
        <v>16.850000000000001</v>
      </c>
      <c r="J5" s="525">
        <f>Gen!D11</f>
        <v>41431.87000000001</v>
      </c>
      <c r="K5" s="347">
        <f>'Water-Meter'!E6</f>
        <v>51</v>
      </c>
      <c r="L5" s="526">
        <f>'Lpg (2)'!G10</f>
        <v>315873.14000000007</v>
      </c>
      <c r="M5" s="80" t="e">
        <f>SUM(#REF!-#REF!)</f>
        <v>#REF!</v>
      </c>
    </row>
    <row r="6" spans="1:13">
      <c r="A6" s="54">
        <f>Gen!B12</f>
        <v>44045</v>
      </c>
      <c r="B6" s="374">
        <f>'Daily report Gen'!Z7</f>
        <v>25</v>
      </c>
      <c r="C6" s="88">
        <f>Gen!C12</f>
        <v>0</v>
      </c>
      <c r="D6" s="512">
        <f t="shared" si="0"/>
        <v>0</v>
      </c>
      <c r="E6" s="75"/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40673.600000000013</v>
      </c>
      <c r="K6" s="347">
        <f>'Water-Meter'!E7</f>
        <v>53</v>
      </c>
      <c r="L6" s="526">
        <f>'Lpg (2)'!G11</f>
        <v>25.784000000002564</v>
      </c>
      <c r="M6" s="80" t="e">
        <f>SUM(#REF!-#REF!)</f>
        <v>#REF!</v>
      </c>
    </row>
    <row r="7" spans="1:13">
      <c r="A7" s="54">
        <f>Gen!B13</f>
        <v>44046</v>
      </c>
      <c r="B7" s="374">
        <f>'Daily report Gen'!Z8</f>
        <v>24</v>
      </c>
      <c r="C7" s="88">
        <f>Gen!C13</f>
        <v>0</v>
      </c>
      <c r="D7" s="512">
        <f t="shared" si="0"/>
        <v>0</v>
      </c>
      <c r="E7" s="75"/>
      <c r="F7" s="71">
        <f>Gen!U11</f>
        <v>1872</v>
      </c>
      <c r="G7" s="86">
        <f>Gen!T11</f>
        <v>741.42</v>
      </c>
      <c r="H7" s="86">
        <f>Gen!AK13</f>
        <v>25.31</v>
      </c>
      <c r="I7" s="86">
        <f t="shared" si="1"/>
        <v>766.7299999999999</v>
      </c>
      <c r="J7" s="525">
        <f>Gen!D13</f>
        <v>39891.540000000015</v>
      </c>
      <c r="K7" s="347">
        <f>'Water-Meter'!E8</f>
        <v>42</v>
      </c>
      <c r="L7" s="526">
        <f>'Lpg (2)'!G12</f>
        <v>12.847999999992318</v>
      </c>
      <c r="M7" s="80" t="e">
        <f>SUM(#REF!-#REF!)</f>
        <v>#REF!</v>
      </c>
    </row>
    <row r="8" spans="1:13">
      <c r="A8" s="54">
        <f>Gen!B14</f>
        <v>44047</v>
      </c>
      <c r="B8" s="374">
        <f>'Daily report Gen'!Z9</f>
        <v>23</v>
      </c>
      <c r="C8" s="88">
        <f>Gen!C14</f>
        <v>0</v>
      </c>
      <c r="D8" s="512">
        <f>E8</f>
        <v>0</v>
      </c>
      <c r="E8" s="75"/>
      <c r="F8" s="71">
        <f>Gen!U12</f>
        <v>2030</v>
      </c>
      <c r="G8" s="86">
        <f>Gen!T12</f>
        <v>782.06</v>
      </c>
      <c r="H8" s="86">
        <f>Gen!AK14</f>
        <v>149.86000000000001</v>
      </c>
      <c r="I8" s="86">
        <f t="shared" si="1"/>
        <v>931.92</v>
      </c>
      <c r="J8" s="525">
        <f>Gen!D14</f>
        <v>39077.820000000014</v>
      </c>
      <c r="K8" s="347">
        <f>'Water-Meter'!E9</f>
        <v>67</v>
      </c>
      <c r="L8" s="526">
        <f>'Lpg (2)'!G13</f>
        <v>12.584000000002563</v>
      </c>
      <c r="M8" s="80" t="e">
        <f>SUM(#REF!-#REF!)</f>
        <v>#REF!</v>
      </c>
    </row>
    <row r="9" spans="1:13">
      <c r="A9" s="54">
        <f>Gen!B15</f>
        <v>44048</v>
      </c>
      <c r="B9" s="374">
        <f>'Daily report Gen'!Z10</f>
        <v>24</v>
      </c>
      <c r="C9" s="88">
        <f>Gen!C15</f>
        <v>0</v>
      </c>
      <c r="D9" s="512">
        <f t="shared" si="0"/>
        <v>0</v>
      </c>
      <c r="E9" s="75"/>
      <c r="F9" s="71">
        <f>Gen!U13</f>
        <v>1818</v>
      </c>
      <c r="G9" s="86">
        <f>Gen!T13</f>
        <v>788.41</v>
      </c>
      <c r="H9" s="86">
        <f>Gen!AK15</f>
        <v>87.31</v>
      </c>
      <c r="I9" s="86">
        <f t="shared" si="1"/>
        <v>875.72</v>
      </c>
      <c r="J9" s="525">
        <f>Gen!D15</f>
        <v>38134.350000000013</v>
      </c>
      <c r="K9" s="347">
        <f>'Water-Meter'!E10</f>
        <v>49</v>
      </c>
      <c r="L9" s="526">
        <f>'Lpg (2)'!G14</f>
        <v>32.559999999974394</v>
      </c>
      <c r="M9" s="80" t="e">
        <f>SUM(#REF!-#REF!)</f>
        <v>#REF!</v>
      </c>
    </row>
    <row r="10" spans="1:13">
      <c r="A10" s="54">
        <f>Gen!B16</f>
        <v>44049</v>
      </c>
      <c r="B10" s="374">
        <f>'Daily report Gen'!Z11</f>
        <v>24</v>
      </c>
      <c r="C10" s="88">
        <f>Gen!C16</f>
        <v>0</v>
      </c>
      <c r="D10" s="512">
        <f t="shared" si="0"/>
        <v>0</v>
      </c>
      <c r="E10" s="75"/>
      <c r="F10" s="71">
        <f>Gen!U14</f>
        <v>1980</v>
      </c>
      <c r="G10" s="86">
        <f>Gen!T14</f>
        <v>793.6099999999999</v>
      </c>
      <c r="H10" s="86">
        <f>Gen!AK16</f>
        <v>52.6</v>
      </c>
      <c r="I10" s="86">
        <f t="shared" si="1"/>
        <v>846.20999999999992</v>
      </c>
      <c r="J10" s="525">
        <f>Gen!D16</f>
        <v>37271.020000000011</v>
      </c>
      <c r="K10" s="347">
        <f>'Water-Meter'!E11</f>
        <v>66</v>
      </c>
      <c r="L10" s="526">
        <f>'Lpg (2)'!G15</f>
        <v>26.047999999992317</v>
      </c>
      <c r="M10" s="80" t="e">
        <f>SUM(#REF!-#REF!)</f>
        <v>#REF!</v>
      </c>
    </row>
    <row r="11" spans="1:13">
      <c r="A11" s="54">
        <f>Gen!B17</f>
        <v>44050</v>
      </c>
      <c r="B11" s="374">
        <f>'Daily report Gen'!Z12</f>
        <v>25</v>
      </c>
      <c r="C11" s="88">
        <f>Gen!C17</f>
        <v>0</v>
      </c>
      <c r="D11" s="512">
        <f t="shared" si="0"/>
        <v>0</v>
      </c>
      <c r="E11" s="75"/>
      <c r="F11" s="71">
        <f>Gen!U15</f>
        <v>1724</v>
      </c>
      <c r="G11" s="86">
        <f>Gen!T15</f>
        <v>776.02</v>
      </c>
      <c r="H11" s="86">
        <f>Gen!AK17</f>
        <v>0</v>
      </c>
      <c r="I11" s="86">
        <f t="shared" si="1"/>
        <v>776.02</v>
      </c>
      <c r="J11" s="525">
        <f>Gen!D17</f>
        <v>36440.30000000001</v>
      </c>
      <c r="K11" s="347">
        <f>'Water-Meter'!E12</f>
        <v>51</v>
      </c>
      <c r="L11" s="526">
        <f>'Lpg (2)'!G16</f>
        <v>32.647999999992322</v>
      </c>
      <c r="M11" s="80" t="e">
        <f>SUM(#REF!-#REF!)</f>
        <v>#REF!</v>
      </c>
    </row>
    <row r="12" spans="1:13">
      <c r="A12" s="54">
        <f>Gen!B18</f>
        <v>44051</v>
      </c>
      <c r="B12" s="374">
        <f>'Daily report Gen'!Z13</f>
        <v>24</v>
      </c>
      <c r="C12" s="88">
        <f>Gen!C18</f>
        <v>0</v>
      </c>
      <c r="D12" s="512">
        <f t="shared" si="0"/>
        <v>0</v>
      </c>
      <c r="E12" s="75"/>
      <c r="F12" s="71">
        <f>Gen!U16</f>
        <v>1892</v>
      </c>
      <c r="G12" s="86">
        <f>Gen!T16</f>
        <v>778.12</v>
      </c>
      <c r="H12" s="86">
        <f>Gen!AK18</f>
        <v>21.08</v>
      </c>
      <c r="I12" s="86">
        <f t="shared" si="1"/>
        <v>799.2</v>
      </c>
      <c r="J12" s="525">
        <f>Gen!D18</f>
        <v>35668.600000000013</v>
      </c>
      <c r="K12" s="347">
        <f>'Water-Meter'!E13</f>
        <v>61</v>
      </c>
      <c r="L12" s="526">
        <f>'Lpg (2)'!G17</f>
        <v>31.900000000000002</v>
      </c>
      <c r="M12" s="80" t="e">
        <f>SUM(#REF!-#REF!)</f>
        <v>#REF!</v>
      </c>
    </row>
    <row r="13" spans="1:13">
      <c r="A13" s="54">
        <f>Gen!B19</f>
        <v>44052</v>
      </c>
      <c r="B13" s="374">
        <f>'Daily report Gen'!Z14</f>
        <v>24</v>
      </c>
      <c r="C13" s="88">
        <f>Gen!C19</f>
        <v>1.2999999999999999E-2</v>
      </c>
      <c r="D13" s="512">
        <f t="shared" si="0"/>
        <v>1</v>
      </c>
      <c r="E13" s="75">
        <v>1</v>
      </c>
      <c r="F13" s="71">
        <f>Gen!U17</f>
        <v>1882</v>
      </c>
      <c r="G13" s="86">
        <f>Gen!T17</f>
        <v>771.7</v>
      </c>
      <c r="H13" s="86">
        <f>Gen!AK19</f>
        <v>70</v>
      </c>
      <c r="I13" s="86">
        <f t="shared" si="1"/>
        <v>841.7</v>
      </c>
      <c r="J13" s="525">
        <f>Gen!D19</f>
        <v>34824.780000000013</v>
      </c>
      <c r="K13" s="347">
        <f>'Water-Meter'!E14</f>
        <v>63</v>
      </c>
      <c r="L13" s="526">
        <f>'Lpg (2)'!G18</f>
        <v>43.868000000005125</v>
      </c>
      <c r="M13" s="80" t="e">
        <f>SUM(#REF!-#REF!)</f>
        <v>#REF!</v>
      </c>
    </row>
    <row r="14" spans="1:13">
      <c r="A14" s="54">
        <f>Gen!B20</f>
        <v>44053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2028</v>
      </c>
      <c r="G14" s="86">
        <f>Gen!T18</f>
        <v>822.74</v>
      </c>
      <c r="H14" s="86">
        <f>Gen!AK20</f>
        <v>31.31</v>
      </c>
      <c r="I14" s="86">
        <f t="shared" si="1"/>
        <v>854.05</v>
      </c>
      <c r="J14" s="525">
        <f>Gen!D20</f>
        <v>33867.830000000016</v>
      </c>
      <c r="K14" s="347">
        <f>'Water-Meter'!E15</f>
        <v>55</v>
      </c>
      <c r="L14" s="526">
        <f>'Lpg (2)'!G19</f>
        <v>49.104000000015368</v>
      </c>
      <c r="M14" s="80" t="e">
        <f>SUM(#REF!-#REF!)</f>
        <v>#REF!</v>
      </c>
    </row>
    <row r="15" spans="1:13">
      <c r="A15" s="54">
        <f>Gen!B21</f>
        <v>44054</v>
      </c>
      <c r="B15" s="374">
        <f>'Daily report Gen'!Z16</f>
        <v>23</v>
      </c>
      <c r="C15" s="88">
        <f>Gen!C21</f>
        <v>0.01</v>
      </c>
      <c r="D15" s="512">
        <f t="shared" si="0"/>
        <v>1</v>
      </c>
      <c r="E15" s="75">
        <v>1</v>
      </c>
      <c r="F15" s="71">
        <f>Gen!U19</f>
        <v>2022</v>
      </c>
      <c r="G15" s="86">
        <f>Gen!T19</f>
        <v>886.95</v>
      </c>
      <c r="H15" s="86">
        <f>Gen!AK21</f>
        <v>197.35</v>
      </c>
      <c r="I15" s="86">
        <f t="shared" si="1"/>
        <v>1084.3</v>
      </c>
      <c r="J15" s="525">
        <f>Gen!D21</f>
        <v>33037.690000000017</v>
      </c>
      <c r="K15" s="347">
        <f>'Water-Meter'!E16</f>
        <v>67</v>
      </c>
      <c r="L15" s="526">
        <f>'Lpg (2)'!G20</f>
        <v>52.975999999971833</v>
      </c>
      <c r="M15" s="80" t="e">
        <f>SUM(#REF!-#REF!)</f>
        <v>#REF!</v>
      </c>
    </row>
    <row r="16" spans="1:13">
      <c r="A16" s="54">
        <f>Gen!B22</f>
        <v>44055</v>
      </c>
      <c r="B16" s="374">
        <f>'Daily report Gen'!Z17</f>
        <v>25</v>
      </c>
      <c r="C16" s="88">
        <f>Gen!C22</f>
        <v>0</v>
      </c>
      <c r="D16" s="512">
        <f t="shared" si="0"/>
        <v>0</v>
      </c>
      <c r="E16" s="75"/>
      <c r="F16" s="71">
        <f>Gen!U20</f>
        <v>1848</v>
      </c>
      <c r="G16" s="86">
        <f>Gen!T20</f>
        <v>798.82999999999993</v>
      </c>
      <c r="H16" s="86">
        <f>Gen!AK22</f>
        <v>0</v>
      </c>
      <c r="I16" s="86">
        <f t="shared" si="1"/>
        <v>798.82999999999993</v>
      </c>
      <c r="J16" s="525">
        <f>Gen!D22</f>
        <v>32062.380000000016</v>
      </c>
      <c r="K16" s="347">
        <f>'Water-Meter'!E17</f>
        <v>100</v>
      </c>
      <c r="L16" s="526">
        <f>'Lpg (2)'!G21</f>
        <v>32.604000000015368</v>
      </c>
      <c r="M16" s="80" t="e">
        <f>SUM(#REF!-#REF!)</f>
        <v>#REF!</v>
      </c>
    </row>
    <row r="17" spans="1:13">
      <c r="A17" s="54">
        <f>Gen!B23</f>
        <v>44056</v>
      </c>
      <c r="B17" s="374">
        <f>'Daily report Gen'!Z18</f>
        <v>24</v>
      </c>
      <c r="C17" s="88">
        <f>Gen!C23</f>
        <v>0</v>
      </c>
      <c r="D17" s="512">
        <f t="shared" si="0"/>
        <v>0</v>
      </c>
      <c r="E17" s="75"/>
      <c r="F17" s="71">
        <f>Gen!U21</f>
        <v>1828</v>
      </c>
      <c r="G17" s="86">
        <f>Gen!T21</f>
        <v>777.96</v>
      </c>
      <c r="H17" s="86">
        <f>Gen!AK23</f>
        <v>10.17</v>
      </c>
      <c r="I17" s="86">
        <f t="shared" si="1"/>
        <v>788.13</v>
      </c>
      <c r="J17" s="525">
        <f>Gen!D23</f>
        <v>31298.580000000016</v>
      </c>
      <c r="K17" s="347">
        <f>'Water-Meter'!E18</f>
        <v>63</v>
      </c>
      <c r="L17" s="526">
        <f>'Lpg (2)'!G22</f>
        <v>31.94400000004098</v>
      </c>
      <c r="M17" s="80" t="e">
        <f>SUM(#REF!-#REF!)</f>
        <v>#REF!</v>
      </c>
    </row>
    <row r="18" spans="1:13">
      <c r="A18" s="54">
        <f>Gen!B24</f>
        <v>44057</v>
      </c>
      <c r="B18" s="374">
        <f>'Daily report Gen'!Z19</f>
        <v>25</v>
      </c>
      <c r="C18" s="88">
        <f>Gen!C24</f>
        <v>0</v>
      </c>
      <c r="D18" s="512">
        <f t="shared" si="0"/>
        <v>0</v>
      </c>
      <c r="E18" s="75"/>
      <c r="F18" s="71">
        <f>Gen!U22</f>
        <v>1765</v>
      </c>
      <c r="G18" s="86">
        <f>Gen!T22</f>
        <v>763.8</v>
      </c>
      <c r="H18" s="86">
        <f>Gen!AK24</f>
        <v>12.78</v>
      </c>
      <c r="I18" s="86">
        <f t="shared" si="1"/>
        <v>776.57999999999993</v>
      </c>
      <c r="J18" s="525">
        <f>Gen!D24</f>
        <v>48531.880000000019</v>
      </c>
      <c r="K18" s="347">
        <f>'Water-Meter'!E19</f>
        <v>51</v>
      </c>
      <c r="L18" s="526">
        <f>'Lpg (2)'!G23</f>
        <v>46.331999999994885</v>
      </c>
      <c r="M18" s="80" t="e">
        <f>SUM(#REF!-#REF!)</f>
        <v>#REF!</v>
      </c>
    </row>
    <row r="19" spans="1:13">
      <c r="A19" s="54">
        <f>Gen!B25</f>
        <v>44058</v>
      </c>
      <c r="B19" s="374">
        <f>'Daily report Gen'!Z20</f>
        <v>24</v>
      </c>
      <c r="C19" s="88">
        <f>Gen!C25</f>
        <v>0</v>
      </c>
      <c r="D19" s="512">
        <f t="shared" si="0"/>
        <v>0</v>
      </c>
      <c r="E19" s="75"/>
      <c r="F19" s="71">
        <f>Gen!U23</f>
        <v>1824</v>
      </c>
      <c r="G19" s="86">
        <f>Gen!T23</f>
        <v>756.53</v>
      </c>
      <c r="H19" s="86">
        <f>Gen!AK25</f>
        <v>0</v>
      </c>
      <c r="I19" s="86">
        <f t="shared" si="1"/>
        <v>756.53</v>
      </c>
      <c r="J19" s="525">
        <f>Gen!D25</f>
        <v>47739.750000000022</v>
      </c>
      <c r="K19" s="347">
        <f>'Water-Meter'!E20</f>
        <v>49</v>
      </c>
      <c r="L19" s="526">
        <f>'Lpg (2)'!G24</f>
        <v>37.839999999961584</v>
      </c>
      <c r="M19" s="80" t="e">
        <f>SUM(#REF!-#REF!)</f>
        <v>#REF!</v>
      </c>
    </row>
    <row r="20" spans="1:13">
      <c r="A20" s="54">
        <f>Gen!B26</f>
        <v>44059</v>
      </c>
      <c r="B20" s="374">
        <f>'Daily report Gen'!Z21</f>
        <v>25</v>
      </c>
      <c r="C20" s="88">
        <f>Gen!C26</f>
        <v>0</v>
      </c>
      <c r="D20" s="512">
        <f t="shared" si="0"/>
        <v>0</v>
      </c>
      <c r="E20" s="75"/>
      <c r="F20" s="71">
        <f>Gen!U24</f>
        <v>1987</v>
      </c>
      <c r="G20" s="86">
        <f>Gen!T24</f>
        <v>779.34999999999991</v>
      </c>
      <c r="H20" s="86">
        <f>Gen!AK26</f>
        <v>64.7</v>
      </c>
      <c r="I20" s="86">
        <f t="shared" si="1"/>
        <v>844.05</v>
      </c>
      <c r="J20" s="525">
        <f>Gen!D26</f>
        <v>46981.090000000018</v>
      </c>
      <c r="K20" s="347">
        <f>'Water-Meter'!E21</f>
        <v>47</v>
      </c>
      <c r="L20" s="526">
        <f>'Lpg (2)'!G25</f>
        <v>39.20400000001537</v>
      </c>
      <c r="M20" s="80" t="e">
        <f>SUM(#REF!-#REF!)</f>
        <v>#REF!</v>
      </c>
    </row>
    <row r="21" spans="1:13">
      <c r="A21" s="54">
        <f>Gen!B27</f>
        <v>44060</v>
      </c>
      <c r="B21" s="374">
        <f>'Daily report Gen'!Z22</f>
        <v>24</v>
      </c>
      <c r="C21" s="88">
        <f>Gen!C27</f>
        <v>0</v>
      </c>
      <c r="D21" s="512">
        <f t="shared" si="0"/>
        <v>0</v>
      </c>
      <c r="E21" s="75"/>
      <c r="F21" s="71">
        <f>Gen!U25</f>
        <v>1746</v>
      </c>
      <c r="G21" s="86">
        <f>Gen!T25</f>
        <v>758.66000000000008</v>
      </c>
      <c r="H21" s="86">
        <f>Gen!AK27</f>
        <v>0</v>
      </c>
      <c r="I21" s="86">
        <f t="shared" si="1"/>
        <v>758.66000000000008</v>
      </c>
      <c r="J21" s="525">
        <f>Gen!D27</f>
        <v>46179.400000000016</v>
      </c>
      <c r="K21" s="347" t="str">
        <f>'Water-Meter'!E22</f>
        <v>0</v>
      </c>
      <c r="L21" s="526">
        <f>'Lpg (2)'!G26</f>
        <v>-316381.38400000002</v>
      </c>
      <c r="M21" s="80" t="e">
        <f>SUM(#REF!-#REF!)</f>
        <v>#REF!</v>
      </c>
    </row>
    <row r="22" spans="1:13">
      <c r="A22" s="54">
        <f>Gen!B28</f>
        <v>44061</v>
      </c>
      <c r="B22" s="374">
        <f>'Daily report Gen'!Z23</f>
        <v>-153273</v>
      </c>
      <c r="C22" s="88">
        <f>Gen!C28</f>
        <v>0</v>
      </c>
      <c r="D22" s="512">
        <f t="shared" si="0"/>
        <v>0</v>
      </c>
      <c r="E22" s="75"/>
      <c r="F22" s="71">
        <f>Gen!U26</f>
        <v>1704</v>
      </c>
      <c r="G22" s="86">
        <f>Gen!T26</f>
        <v>736.99</v>
      </c>
      <c r="H22" s="86">
        <f>Gen!AK28</f>
        <v>0</v>
      </c>
      <c r="I22" s="86">
        <f t="shared" si="1"/>
        <v>736.99</v>
      </c>
      <c r="J22" s="525">
        <f>Gen!D28</f>
        <v>46179.400000000016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44062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46179.400000000016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44063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46179.400000000016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44064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46179.400000000016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44065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46179.400000000016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44066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46179.400000000016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44067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46179.400000000016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44068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46179.400000000016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44069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46179.400000000016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44070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46179.400000000016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44071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46179.400000000016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44072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46179.400000000016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44073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46179.400000000016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44074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46179.400000000016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46179.400000000016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I27" sqref="I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44044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/>
      <c r="M5" s="555"/>
      <c r="N5" s="360"/>
      <c r="O5" s="360"/>
      <c r="P5" s="391"/>
      <c r="Q5" s="360"/>
      <c r="R5" s="360"/>
      <c r="S5" s="391"/>
      <c r="T5" s="360"/>
      <c r="U5" s="360"/>
      <c r="V5" s="391"/>
      <c r="W5" s="360"/>
      <c r="X5" s="360"/>
      <c r="Y5" s="391"/>
      <c r="Z5" s="391"/>
      <c r="AA5" s="127"/>
      <c r="AB5" s="127"/>
      <c r="AC5" s="391"/>
    </row>
    <row r="6" spans="1:29" ht="20.100000000000001" customHeight="1">
      <c r="A6" s="308">
        <f>Gen!B11</f>
        <v>44044</v>
      </c>
      <c r="B6" s="392"/>
      <c r="C6" s="360">
        <v>21029.67</v>
      </c>
      <c r="D6" s="360">
        <v>20400.2</v>
      </c>
      <c r="E6" s="360"/>
      <c r="F6" s="360"/>
      <c r="G6" s="360">
        <v>16.850000000000001</v>
      </c>
      <c r="H6" s="360"/>
      <c r="I6" s="360">
        <v>30839.4</v>
      </c>
      <c r="J6" s="360">
        <v>20468.8</v>
      </c>
      <c r="K6" s="359">
        <f>L5</f>
        <v>0</v>
      </c>
      <c r="L6" s="360">
        <v>34779</v>
      </c>
      <c r="M6" s="359">
        <f>L6-K6</f>
        <v>34779</v>
      </c>
      <c r="N6" s="361">
        <f>O5</f>
        <v>0</v>
      </c>
      <c r="O6" s="360">
        <v>29890</v>
      </c>
      <c r="P6" s="359">
        <f>O6-N6</f>
        <v>29890</v>
      </c>
      <c r="Q6" s="359">
        <f>R5</f>
        <v>0</v>
      </c>
      <c r="R6" s="360">
        <v>35426</v>
      </c>
      <c r="S6" s="359">
        <f>R6-Q6</f>
        <v>35426</v>
      </c>
      <c r="T6" s="359">
        <f>U5</f>
        <v>0</v>
      </c>
      <c r="U6" s="360">
        <v>32182</v>
      </c>
      <c r="V6" s="359">
        <f>U6-T6</f>
        <v>32182</v>
      </c>
      <c r="W6" s="361">
        <f>X5</f>
        <v>0</v>
      </c>
      <c r="X6" s="360">
        <v>20609</v>
      </c>
      <c r="Y6" s="359">
        <f>X6-W6</f>
        <v>20609</v>
      </c>
      <c r="Z6" s="362">
        <f>Y6+V6+S6+P6+M6</f>
        <v>152886</v>
      </c>
      <c r="AA6" s="127">
        <v>134</v>
      </c>
      <c r="AB6" s="127">
        <v>78</v>
      </c>
      <c r="AC6" s="312">
        <f>Gen!T11</f>
        <v>741.42</v>
      </c>
    </row>
    <row r="7" spans="1:29" ht="20.100000000000001" customHeight="1">
      <c r="A7" s="308">
        <f>Gen!B12</f>
        <v>44045</v>
      </c>
      <c r="B7" s="392"/>
      <c r="C7" s="360">
        <v>20293.41</v>
      </c>
      <c r="D7" s="360">
        <v>20400.2</v>
      </c>
      <c r="E7" s="360"/>
      <c r="F7" s="360"/>
      <c r="G7" s="360"/>
      <c r="H7" s="360"/>
      <c r="I7" s="360">
        <v>30842.1</v>
      </c>
      <c r="J7" s="360">
        <v>20441.3</v>
      </c>
      <c r="K7" s="359">
        <f t="shared" ref="K7:K37" si="0">L6</f>
        <v>34779</v>
      </c>
      <c r="L7" s="360">
        <v>34779</v>
      </c>
      <c r="M7" s="359">
        <f t="shared" ref="M7:M37" si="1">L7-K7</f>
        <v>0</v>
      </c>
      <c r="N7" s="361">
        <f t="shared" ref="N7:N37" si="2">O6</f>
        <v>29890</v>
      </c>
      <c r="O7" s="360">
        <v>29902</v>
      </c>
      <c r="P7" s="359">
        <f t="shared" ref="P7:P37" si="3">O7-N7</f>
        <v>12</v>
      </c>
      <c r="Q7" s="359">
        <f t="shared" ref="Q7:Q37" si="4">R6</f>
        <v>35426</v>
      </c>
      <c r="R7" s="360">
        <v>35439</v>
      </c>
      <c r="S7" s="359">
        <f t="shared" ref="S7:S37" si="5">R7-Q7</f>
        <v>13</v>
      </c>
      <c r="T7" s="359">
        <f t="shared" ref="T7:T37" si="6">U6</f>
        <v>32182</v>
      </c>
      <c r="U7" s="360">
        <v>32182</v>
      </c>
      <c r="V7" s="359">
        <f t="shared" ref="V7:V37" si="7">U7-T7</f>
        <v>0</v>
      </c>
      <c r="W7" s="361">
        <f t="shared" ref="W7:W37" si="8">X6</f>
        <v>20609</v>
      </c>
      <c r="X7" s="360">
        <v>20609</v>
      </c>
      <c r="Y7" s="359">
        <f t="shared" ref="Y7:Y37" si="9">X7-W7</f>
        <v>0</v>
      </c>
      <c r="Z7" s="362">
        <f t="shared" ref="Z7:Z25" si="10">Y7+V7+S7+P7+M7</f>
        <v>25</v>
      </c>
      <c r="AA7" s="127">
        <v>135</v>
      </c>
      <c r="AB7" s="127">
        <v>76</v>
      </c>
      <c r="AC7" s="312">
        <f>Gen!T12</f>
        <v>782.06</v>
      </c>
    </row>
    <row r="8" spans="1:29" ht="20.100000000000001" customHeight="1">
      <c r="A8" s="308">
        <f>Gen!B13</f>
        <v>44046</v>
      </c>
      <c r="B8" s="392"/>
      <c r="C8" s="360">
        <v>19471.34</v>
      </c>
      <c r="D8" s="360">
        <v>20400.2</v>
      </c>
      <c r="E8" s="360"/>
      <c r="F8" s="360"/>
      <c r="G8" s="360">
        <v>25.31</v>
      </c>
      <c r="H8" s="360"/>
      <c r="I8" s="360">
        <v>30844.7</v>
      </c>
      <c r="J8" s="360">
        <v>20444.3</v>
      </c>
      <c r="K8" s="359">
        <f t="shared" si="0"/>
        <v>34779</v>
      </c>
      <c r="L8" s="360">
        <v>34792</v>
      </c>
      <c r="M8" s="359">
        <f t="shared" si="1"/>
        <v>13</v>
      </c>
      <c r="N8" s="361">
        <f t="shared" si="2"/>
        <v>29902</v>
      </c>
      <c r="O8" s="360">
        <v>29913</v>
      </c>
      <c r="P8" s="359">
        <f t="shared" si="3"/>
        <v>11</v>
      </c>
      <c r="Q8" s="359">
        <f t="shared" si="4"/>
        <v>35439</v>
      </c>
      <c r="R8" s="360">
        <v>35439</v>
      </c>
      <c r="S8" s="359">
        <f t="shared" si="5"/>
        <v>0</v>
      </c>
      <c r="T8" s="359">
        <f t="shared" si="6"/>
        <v>32182</v>
      </c>
      <c r="U8" s="360">
        <v>32182</v>
      </c>
      <c r="V8" s="359">
        <f t="shared" si="7"/>
        <v>0</v>
      </c>
      <c r="W8" s="361">
        <f t="shared" si="8"/>
        <v>20609</v>
      </c>
      <c r="X8" s="360">
        <v>20609</v>
      </c>
      <c r="Y8" s="359">
        <f t="shared" si="9"/>
        <v>0</v>
      </c>
      <c r="Z8" s="362">
        <f t="shared" si="10"/>
        <v>24</v>
      </c>
      <c r="AA8" s="127">
        <v>131</v>
      </c>
      <c r="AB8" s="127">
        <v>73</v>
      </c>
      <c r="AC8" s="312">
        <f>Gen!T13</f>
        <v>788.41</v>
      </c>
    </row>
    <row r="9" spans="1:29" ht="20.100000000000001" customHeight="1">
      <c r="A9" s="308">
        <f>Gen!B14</f>
        <v>44047</v>
      </c>
      <c r="B9" s="392"/>
      <c r="C9" s="360">
        <v>18702.93</v>
      </c>
      <c r="D9" s="360">
        <v>20400.2</v>
      </c>
      <c r="E9" s="360"/>
      <c r="F9" s="360"/>
      <c r="G9" s="360">
        <v>149.86000000000001</v>
      </c>
      <c r="H9" s="360"/>
      <c r="I9" s="360">
        <v>30847.3</v>
      </c>
      <c r="J9" s="360">
        <v>20446.599999999999</v>
      </c>
      <c r="K9" s="359">
        <f t="shared" si="0"/>
        <v>34792</v>
      </c>
      <c r="L9" s="360">
        <v>34792</v>
      </c>
      <c r="M9" s="359">
        <f t="shared" si="1"/>
        <v>0</v>
      </c>
      <c r="N9" s="361">
        <f t="shared" si="2"/>
        <v>29913</v>
      </c>
      <c r="O9" s="360">
        <v>29913</v>
      </c>
      <c r="P9" s="359">
        <f t="shared" si="3"/>
        <v>0</v>
      </c>
      <c r="Q9" s="359">
        <f t="shared" si="4"/>
        <v>35439</v>
      </c>
      <c r="R9" s="360">
        <v>35451</v>
      </c>
      <c r="S9" s="359">
        <f t="shared" si="5"/>
        <v>12</v>
      </c>
      <c r="T9" s="359">
        <f t="shared" si="6"/>
        <v>32182</v>
      </c>
      <c r="U9" s="360">
        <v>32182</v>
      </c>
      <c r="V9" s="359">
        <f t="shared" si="7"/>
        <v>0</v>
      </c>
      <c r="W9" s="361">
        <f t="shared" si="8"/>
        <v>20609</v>
      </c>
      <c r="X9" s="360">
        <v>20620</v>
      </c>
      <c r="Y9" s="359">
        <f t="shared" si="9"/>
        <v>11</v>
      </c>
      <c r="Z9" s="362">
        <f t="shared" si="10"/>
        <v>23</v>
      </c>
      <c r="AA9" s="127">
        <v>134</v>
      </c>
      <c r="AB9" s="127">
        <v>75</v>
      </c>
      <c r="AC9" s="312">
        <f>Gen!T14</f>
        <v>793.6099999999999</v>
      </c>
    </row>
    <row r="10" spans="1:29" ht="20.100000000000001" customHeight="1">
      <c r="A10" s="308">
        <f>Gen!B15</f>
        <v>44048</v>
      </c>
      <c r="B10" s="392"/>
      <c r="C10" s="360">
        <v>17734.150000000001</v>
      </c>
      <c r="D10" s="360">
        <v>20400.2</v>
      </c>
      <c r="E10" s="360"/>
      <c r="F10" s="360"/>
      <c r="G10" s="360">
        <v>87.31</v>
      </c>
      <c r="H10" s="360"/>
      <c r="I10" s="360">
        <v>30850.1</v>
      </c>
      <c r="J10" s="360">
        <v>20449.2</v>
      </c>
      <c r="K10" s="359">
        <f t="shared" si="0"/>
        <v>34792</v>
      </c>
      <c r="L10" s="360">
        <v>34804</v>
      </c>
      <c r="M10" s="359">
        <f t="shared" si="1"/>
        <v>12</v>
      </c>
      <c r="N10" s="361">
        <f t="shared" si="2"/>
        <v>29913</v>
      </c>
      <c r="O10" s="360">
        <v>29913</v>
      </c>
      <c r="P10" s="359">
        <f t="shared" si="3"/>
        <v>0</v>
      </c>
      <c r="Q10" s="359">
        <f t="shared" si="4"/>
        <v>35451</v>
      </c>
      <c r="R10" s="360">
        <v>35451</v>
      </c>
      <c r="S10" s="359">
        <f t="shared" si="5"/>
        <v>0</v>
      </c>
      <c r="T10" s="359">
        <f t="shared" si="6"/>
        <v>32182</v>
      </c>
      <c r="U10" s="360">
        <v>32182</v>
      </c>
      <c r="V10" s="359">
        <f t="shared" si="7"/>
        <v>0</v>
      </c>
      <c r="W10" s="361">
        <f t="shared" si="8"/>
        <v>20620</v>
      </c>
      <c r="X10" s="360">
        <v>20632</v>
      </c>
      <c r="Y10" s="359">
        <f t="shared" si="9"/>
        <v>12</v>
      </c>
      <c r="Z10" s="362">
        <f t="shared" si="10"/>
        <v>24</v>
      </c>
      <c r="AA10" s="127">
        <v>132</v>
      </c>
      <c r="AB10" s="127">
        <v>72</v>
      </c>
      <c r="AC10" s="312">
        <f>Gen!T15</f>
        <v>776.02</v>
      </c>
    </row>
    <row r="11" spans="1:29" ht="20.100000000000001" customHeight="1">
      <c r="A11" s="308">
        <f>Gen!B16</f>
        <v>44049</v>
      </c>
      <c r="B11" s="392"/>
      <c r="C11" s="360">
        <v>16874.82</v>
      </c>
      <c r="D11" s="360">
        <v>20400.2</v>
      </c>
      <c r="E11" s="360"/>
      <c r="F11" s="360"/>
      <c r="G11" s="360">
        <v>52.6</v>
      </c>
      <c r="H11" s="360"/>
      <c r="I11" s="360">
        <v>30852.7</v>
      </c>
      <c r="J11" s="360">
        <v>20451.7</v>
      </c>
      <c r="K11" s="359">
        <f t="shared" si="0"/>
        <v>34804</v>
      </c>
      <c r="L11" s="360">
        <v>34817</v>
      </c>
      <c r="M11" s="359">
        <f t="shared" si="1"/>
        <v>13</v>
      </c>
      <c r="N11" s="361">
        <f t="shared" si="2"/>
        <v>29913</v>
      </c>
      <c r="O11" s="360">
        <v>29924</v>
      </c>
      <c r="P11" s="359">
        <f t="shared" si="3"/>
        <v>11</v>
      </c>
      <c r="Q11" s="359">
        <f t="shared" si="4"/>
        <v>35451</v>
      </c>
      <c r="R11" s="360">
        <v>35451</v>
      </c>
      <c r="S11" s="359">
        <f t="shared" si="5"/>
        <v>0</v>
      </c>
      <c r="T11" s="359">
        <f t="shared" si="6"/>
        <v>32182</v>
      </c>
      <c r="U11" s="360">
        <v>32182</v>
      </c>
      <c r="V11" s="359">
        <f t="shared" si="7"/>
        <v>0</v>
      </c>
      <c r="W11" s="361">
        <f t="shared" si="8"/>
        <v>20632</v>
      </c>
      <c r="X11" s="360">
        <v>20632</v>
      </c>
      <c r="Y11" s="359">
        <f t="shared" si="9"/>
        <v>0</v>
      </c>
      <c r="Z11" s="362">
        <f t="shared" si="10"/>
        <v>24</v>
      </c>
      <c r="AA11" s="127">
        <v>135</v>
      </c>
      <c r="AB11" s="127">
        <v>73</v>
      </c>
      <c r="AC11" s="312">
        <f>Gen!T16</f>
        <v>778.12</v>
      </c>
    </row>
    <row r="12" spans="1:29" ht="20.100000000000001" customHeight="1">
      <c r="A12" s="308">
        <f>Gen!B17</f>
        <v>44050</v>
      </c>
      <c r="B12" s="392"/>
      <c r="C12" s="360">
        <v>16044.11</v>
      </c>
      <c r="D12" s="360">
        <v>20400.2</v>
      </c>
      <c r="E12" s="360"/>
      <c r="F12" s="360"/>
      <c r="G12" s="360"/>
      <c r="H12" s="360"/>
      <c r="I12" s="360">
        <v>30855.200000000001</v>
      </c>
      <c r="J12" s="360">
        <v>20454.2</v>
      </c>
      <c r="K12" s="359">
        <f t="shared" si="0"/>
        <v>34817</v>
      </c>
      <c r="L12" s="360">
        <v>34829</v>
      </c>
      <c r="M12" s="359">
        <f t="shared" si="1"/>
        <v>12</v>
      </c>
      <c r="N12" s="361">
        <f t="shared" si="2"/>
        <v>29924</v>
      </c>
      <c r="O12" s="360">
        <v>29924</v>
      </c>
      <c r="P12" s="359">
        <f t="shared" si="3"/>
        <v>0</v>
      </c>
      <c r="Q12" s="359">
        <f t="shared" si="4"/>
        <v>35451</v>
      </c>
      <c r="R12" s="360">
        <v>35451</v>
      </c>
      <c r="S12" s="359">
        <f t="shared" si="5"/>
        <v>0</v>
      </c>
      <c r="T12" s="359">
        <f t="shared" si="6"/>
        <v>32182</v>
      </c>
      <c r="U12" s="360">
        <v>32182</v>
      </c>
      <c r="V12" s="359">
        <f t="shared" si="7"/>
        <v>0</v>
      </c>
      <c r="W12" s="361">
        <f t="shared" si="8"/>
        <v>20632</v>
      </c>
      <c r="X12" s="360">
        <v>20645</v>
      </c>
      <c r="Y12" s="359">
        <f t="shared" si="9"/>
        <v>13</v>
      </c>
      <c r="Z12" s="362">
        <f t="shared" si="10"/>
        <v>25</v>
      </c>
      <c r="AA12" s="127">
        <v>131</v>
      </c>
      <c r="AB12" s="127">
        <v>72</v>
      </c>
      <c r="AC12" s="312">
        <f>Gen!T17</f>
        <v>771.7</v>
      </c>
    </row>
    <row r="13" spans="1:29" ht="20.100000000000001" customHeight="1">
      <c r="A13" s="308">
        <f>Gen!B18</f>
        <v>44051</v>
      </c>
      <c r="B13" s="392"/>
      <c r="C13" s="360">
        <v>15270.41</v>
      </c>
      <c r="D13" s="360">
        <v>20400.2</v>
      </c>
      <c r="E13" s="360"/>
      <c r="F13" s="360"/>
      <c r="G13" s="360">
        <v>21.08</v>
      </c>
      <c r="H13" s="360"/>
      <c r="I13" s="360">
        <v>30857.8</v>
      </c>
      <c r="J13" s="360">
        <v>20456.8</v>
      </c>
      <c r="K13" s="359">
        <f t="shared" si="0"/>
        <v>34829</v>
      </c>
      <c r="L13" s="360">
        <v>34829</v>
      </c>
      <c r="M13" s="359">
        <f t="shared" si="1"/>
        <v>0</v>
      </c>
      <c r="N13" s="361">
        <f t="shared" si="2"/>
        <v>29924</v>
      </c>
      <c r="O13" s="360">
        <v>29937</v>
      </c>
      <c r="P13" s="359">
        <f t="shared" si="3"/>
        <v>13</v>
      </c>
      <c r="Q13" s="359">
        <f t="shared" si="4"/>
        <v>35451</v>
      </c>
      <c r="R13" s="360">
        <v>35451</v>
      </c>
      <c r="S13" s="359">
        <f t="shared" si="5"/>
        <v>0</v>
      </c>
      <c r="T13" s="359">
        <f t="shared" si="6"/>
        <v>32182</v>
      </c>
      <c r="U13" s="360">
        <v>32182</v>
      </c>
      <c r="V13" s="359">
        <f t="shared" si="7"/>
        <v>0</v>
      </c>
      <c r="W13" s="361">
        <f t="shared" si="8"/>
        <v>20645</v>
      </c>
      <c r="X13" s="360">
        <v>20656</v>
      </c>
      <c r="Y13" s="359">
        <f t="shared" si="9"/>
        <v>11</v>
      </c>
      <c r="Z13" s="362">
        <f t="shared" si="10"/>
        <v>24</v>
      </c>
      <c r="AA13" s="127">
        <v>134</v>
      </c>
      <c r="AB13" s="127">
        <v>73</v>
      </c>
      <c r="AC13" s="312">
        <f>Gen!T18</f>
        <v>822.74</v>
      </c>
    </row>
    <row r="14" spans="1:29" ht="20.100000000000001" customHeight="1">
      <c r="A14" s="308">
        <f>Gen!B19</f>
        <v>44052</v>
      </c>
      <c r="B14" s="392">
        <v>0.01</v>
      </c>
      <c r="C14" s="360">
        <v>14424.58</v>
      </c>
      <c r="D14" s="360">
        <v>20400.2</v>
      </c>
      <c r="E14" s="360"/>
      <c r="F14" s="360"/>
      <c r="G14" s="360">
        <v>70</v>
      </c>
      <c r="H14" s="360"/>
      <c r="I14" s="360">
        <v>30860.7</v>
      </c>
      <c r="J14" s="360">
        <v>20459.400000000001</v>
      </c>
      <c r="K14" s="359">
        <f t="shared" si="0"/>
        <v>34829</v>
      </c>
      <c r="L14" s="360">
        <v>34842</v>
      </c>
      <c r="M14" s="359">
        <f t="shared" si="1"/>
        <v>13</v>
      </c>
      <c r="N14" s="361">
        <f t="shared" si="2"/>
        <v>29937</v>
      </c>
      <c r="O14" s="360">
        <v>29948</v>
      </c>
      <c r="P14" s="359">
        <f t="shared" si="3"/>
        <v>11</v>
      </c>
      <c r="Q14" s="359">
        <f t="shared" si="4"/>
        <v>35451</v>
      </c>
      <c r="R14" s="360">
        <v>35451</v>
      </c>
      <c r="S14" s="359">
        <f t="shared" si="5"/>
        <v>0</v>
      </c>
      <c r="T14" s="359">
        <f t="shared" si="6"/>
        <v>32182</v>
      </c>
      <c r="U14" s="360">
        <v>32182</v>
      </c>
      <c r="V14" s="359">
        <f t="shared" si="7"/>
        <v>0</v>
      </c>
      <c r="W14" s="361">
        <f t="shared" si="8"/>
        <v>20656</v>
      </c>
      <c r="X14" s="360">
        <v>20656</v>
      </c>
      <c r="Y14" s="359">
        <f t="shared" si="9"/>
        <v>0</v>
      </c>
      <c r="Z14" s="362">
        <f t="shared" si="10"/>
        <v>24</v>
      </c>
      <c r="AA14" s="127">
        <v>138</v>
      </c>
      <c r="AB14" s="127">
        <v>75</v>
      </c>
      <c r="AC14" s="312">
        <f>Gen!T19</f>
        <v>886.95</v>
      </c>
    </row>
    <row r="15" spans="1:29" ht="20.100000000000001" customHeight="1">
      <c r="A15" s="308">
        <f>Gen!B20</f>
        <v>44053</v>
      </c>
      <c r="B15" s="392">
        <v>0.01</v>
      </c>
      <c r="C15" s="360">
        <v>13465.63</v>
      </c>
      <c r="D15" s="360">
        <v>20400.2</v>
      </c>
      <c r="E15" s="360"/>
      <c r="F15" s="360"/>
      <c r="G15" s="360">
        <v>31.31</v>
      </c>
      <c r="H15" s="360"/>
      <c r="I15" s="360">
        <v>30863.9</v>
      </c>
      <c r="J15" s="360">
        <v>20461.8</v>
      </c>
      <c r="K15" s="359">
        <f t="shared" si="0"/>
        <v>34842</v>
      </c>
      <c r="L15" s="360">
        <v>34855</v>
      </c>
      <c r="M15" s="359">
        <f t="shared" si="1"/>
        <v>13</v>
      </c>
      <c r="N15" s="361">
        <f t="shared" si="2"/>
        <v>29948</v>
      </c>
      <c r="O15" s="360">
        <v>29948</v>
      </c>
      <c r="P15" s="359">
        <f t="shared" si="3"/>
        <v>0</v>
      </c>
      <c r="Q15" s="359">
        <f t="shared" si="4"/>
        <v>35451</v>
      </c>
      <c r="R15" s="360">
        <v>35451</v>
      </c>
      <c r="S15" s="359">
        <f t="shared" si="5"/>
        <v>0</v>
      </c>
      <c r="T15" s="359">
        <f t="shared" si="6"/>
        <v>32182</v>
      </c>
      <c r="U15" s="360">
        <v>32182</v>
      </c>
      <c r="V15" s="359">
        <f t="shared" si="7"/>
        <v>0</v>
      </c>
      <c r="W15" s="361">
        <f t="shared" si="8"/>
        <v>20656</v>
      </c>
      <c r="X15" s="360">
        <v>20667</v>
      </c>
      <c r="Y15" s="359">
        <f t="shared" si="9"/>
        <v>11</v>
      </c>
      <c r="Z15" s="362">
        <f t="shared" si="10"/>
        <v>24</v>
      </c>
      <c r="AA15" s="127">
        <v>135</v>
      </c>
      <c r="AB15" s="127">
        <v>73</v>
      </c>
      <c r="AC15" s="312">
        <f>Gen!T20</f>
        <v>798.82999999999993</v>
      </c>
    </row>
    <row r="16" spans="1:29" ht="20.100000000000001" customHeight="1">
      <c r="A16" s="308">
        <f>Gen!B21</f>
        <v>44054</v>
      </c>
      <c r="B16" s="392">
        <v>0.01</v>
      </c>
      <c r="C16" s="360">
        <v>12655.19</v>
      </c>
      <c r="D16" s="360">
        <v>20400.2</v>
      </c>
      <c r="E16" s="360"/>
      <c r="F16" s="360"/>
      <c r="G16" s="360">
        <v>197.35</v>
      </c>
      <c r="H16" s="360"/>
      <c r="I16" s="360">
        <v>30866.799999999999</v>
      </c>
      <c r="J16" s="360">
        <v>20464.099999999999</v>
      </c>
      <c r="K16" s="359">
        <f t="shared" si="0"/>
        <v>34855</v>
      </c>
      <c r="L16" s="360">
        <v>34866</v>
      </c>
      <c r="M16" s="359">
        <f>L16-K16</f>
        <v>11</v>
      </c>
      <c r="N16" s="361">
        <f t="shared" si="2"/>
        <v>29948</v>
      </c>
      <c r="O16" s="360">
        <v>29960</v>
      </c>
      <c r="P16" s="359">
        <f t="shared" si="3"/>
        <v>12</v>
      </c>
      <c r="Q16" s="359">
        <f t="shared" si="4"/>
        <v>35451</v>
      </c>
      <c r="R16" s="360">
        <v>35451</v>
      </c>
      <c r="S16" s="359">
        <f t="shared" si="5"/>
        <v>0</v>
      </c>
      <c r="T16" s="359">
        <f t="shared" si="6"/>
        <v>32182</v>
      </c>
      <c r="U16" s="360">
        <v>32182</v>
      </c>
      <c r="V16" s="359">
        <f t="shared" si="7"/>
        <v>0</v>
      </c>
      <c r="W16" s="361">
        <f t="shared" si="8"/>
        <v>20667</v>
      </c>
      <c r="X16" s="360">
        <v>20667</v>
      </c>
      <c r="Y16" s="359">
        <f t="shared" si="9"/>
        <v>0</v>
      </c>
      <c r="Z16" s="362">
        <f t="shared" si="10"/>
        <v>23</v>
      </c>
      <c r="AA16" s="127">
        <v>138</v>
      </c>
      <c r="AB16" s="127">
        <v>76</v>
      </c>
      <c r="AC16" s="312">
        <f>Gen!T21</f>
        <v>777.96</v>
      </c>
    </row>
    <row r="17" spans="1:29" ht="20.100000000000001" customHeight="1">
      <c r="A17" s="308">
        <f>Gen!B22</f>
        <v>44055</v>
      </c>
      <c r="B17" s="392"/>
      <c r="C17" s="360">
        <v>11679.88</v>
      </c>
      <c r="D17" s="360">
        <v>20400.2</v>
      </c>
      <c r="E17" s="585"/>
      <c r="F17" s="360"/>
      <c r="G17" s="360"/>
      <c r="H17" s="360"/>
      <c r="I17" s="360">
        <v>30869.5</v>
      </c>
      <c r="J17" s="360">
        <v>20466.3</v>
      </c>
      <c r="K17" s="359">
        <f>L16</f>
        <v>34866</v>
      </c>
      <c r="L17" s="360">
        <v>34866</v>
      </c>
      <c r="M17" s="359">
        <f>L17-K17</f>
        <v>0</v>
      </c>
      <c r="N17" s="361">
        <f t="shared" si="2"/>
        <v>29960</v>
      </c>
      <c r="O17" s="360">
        <v>29971</v>
      </c>
      <c r="P17" s="359">
        <f t="shared" si="3"/>
        <v>11</v>
      </c>
      <c r="Q17" s="359">
        <f t="shared" si="4"/>
        <v>35451</v>
      </c>
      <c r="R17" s="360">
        <v>35451</v>
      </c>
      <c r="S17" s="359">
        <f t="shared" si="5"/>
        <v>0</v>
      </c>
      <c r="T17" s="359">
        <f t="shared" si="6"/>
        <v>32182</v>
      </c>
      <c r="U17" s="360">
        <v>32182</v>
      </c>
      <c r="V17" s="359">
        <f t="shared" si="7"/>
        <v>0</v>
      </c>
      <c r="W17" s="361">
        <f t="shared" si="8"/>
        <v>20667</v>
      </c>
      <c r="X17" s="360">
        <v>20681</v>
      </c>
      <c r="Y17" s="359">
        <f t="shared" si="9"/>
        <v>14</v>
      </c>
      <c r="Z17" s="362">
        <f t="shared" si="10"/>
        <v>25</v>
      </c>
      <c r="AA17" s="127">
        <v>132</v>
      </c>
      <c r="AB17" s="127">
        <v>75</v>
      </c>
      <c r="AC17" s="312">
        <f>Gen!T22</f>
        <v>763.8</v>
      </c>
    </row>
    <row r="18" spans="1:29" ht="20.100000000000001" customHeight="1">
      <c r="A18" s="308">
        <f>Gen!B23</f>
        <v>44056</v>
      </c>
      <c r="B18" s="392"/>
      <c r="C18" s="360">
        <v>10896.43</v>
      </c>
      <c r="D18" s="360">
        <v>20400.2</v>
      </c>
      <c r="E18" s="360"/>
      <c r="F18" s="360"/>
      <c r="G18" s="360">
        <v>10.17</v>
      </c>
      <c r="H18" s="360"/>
      <c r="I18" s="360">
        <v>30872.1</v>
      </c>
      <c r="J18" s="360">
        <v>20468.7</v>
      </c>
      <c r="K18" s="359">
        <f>L17</f>
        <v>34866</v>
      </c>
      <c r="L18" s="360">
        <v>34879</v>
      </c>
      <c r="M18" s="359">
        <f t="shared" si="1"/>
        <v>13</v>
      </c>
      <c r="N18" s="361">
        <f t="shared" si="2"/>
        <v>29971</v>
      </c>
      <c r="O18" s="360">
        <v>29971</v>
      </c>
      <c r="P18" s="359">
        <f t="shared" si="3"/>
        <v>0</v>
      </c>
      <c r="Q18" s="359">
        <f t="shared" si="4"/>
        <v>35451</v>
      </c>
      <c r="R18" s="360">
        <v>35451</v>
      </c>
      <c r="S18" s="359">
        <f t="shared" si="5"/>
        <v>0</v>
      </c>
      <c r="T18" s="359">
        <f t="shared" si="6"/>
        <v>32182</v>
      </c>
      <c r="U18" s="360">
        <v>32182</v>
      </c>
      <c r="V18" s="359">
        <f t="shared" si="7"/>
        <v>0</v>
      </c>
      <c r="W18" s="361">
        <f t="shared" si="8"/>
        <v>20681</v>
      </c>
      <c r="X18" s="360">
        <v>20692</v>
      </c>
      <c r="Y18" s="359">
        <f t="shared" si="9"/>
        <v>11</v>
      </c>
      <c r="Z18" s="362">
        <f t="shared" si="10"/>
        <v>24</v>
      </c>
      <c r="AA18" s="127">
        <v>130</v>
      </c>
      <c r="AB18" s="127">
        <v>71</v>
      </c>
      <c r="AC18" s="312">
        <f>Gen!T23</f>
        <v>756.53</v>
      </c>
    </row>
    <row r="19" spans="1:29" ht="20.100000000000001" customHeight="1">
      <c r="A19" s="308">
        <f>Gen!B24</f>
        <v>44057</v>
      </c>
      <c r="B19" s="392"/>
      <c r="C19" s="360">
        <v>10129.379999999999</v>
      </c>
      <c r="D19" s="360">
        <v>20400.2</v>
      </c>
      <c r="E19" s="360"/>
      <c r="F19" s="360"/>
      <c r="G19" s="360">
        <v>12.78</v>
      </c>
      <c r="H19" s="360"/>
      <c r="I19" s="360">
        <v>30874.5</v>
      </c>
      <c r="J19" s="360">
        <v>20471.099999999999</v>
      </c>
      <c r="K19" s="359">
        <f t="shared" si="0"/>
        <v>34879</v>
      </c>
      <c r="L19" s="360">
        <v>34890</v>
      </c>
      <c r="M19" s="359">
        <f t="shared" si="1"/>
        <v>11</v>
      </c>
      <c r="N19" s="361">
        <f t="shared" si="2"/>
        <v>29971</v>
      </c>
      <c r="O19" s="360">
        <v>29985</v>
      </c>
      <c r="P19" s="359">
        <f t="shared" si="3"/>
        <v>14</v>
      </c>
      <c r="Q19" s="359">
        <f t="shared" si="4"/>
        <v>35451</v>
      </c>
      <c r="R19" s="360">
        <v>35451</v>
      </c>
      <c r="S19" s="359">
        <f t="shared" si="5"/>
        <v>0</v>
      </c>
      <c r="T19" s="359">
        <f t="shared" si="6"/>
        <v>32182</v>
      </c>
      <c r="U19" s="360">
        <v>32182</v>
      </c>
      <c r="V19" s="359">
        <f t="shared" si="7"/>
        <v>0</v>
      </c>
      <c r="W19" s="361">
        <f t="shared" si="8"/>
        <v>20692</v>
      </c>
      <c r="X19" s="360">
        <v>20692</v>
      </c>
      <c r="Y19" s="359">
        <f t="shared" si="9"/>
        <v>0</v>
      </c>
      <c r="Z19" s="362">
        <f t="shared" si="10"/>
        <v>25</v>
      </c>
      <c r="AA19" s="127">
        <v>132</v>
      </c>
      <c r="AB19" s="127">
        <v>69</v>
      </c>
      <c r="AC19" s="312">
        <f>Gen!T24</f>
        <v>779.34999999999991</v>
      </c>
    </row>
    <row r="20" spans="1:29" ht="20.100000000000001" customHeight="1">
      <c r="A20" s="308">
        <f>Gen!B25</f>
        <v>44058</v>
      </c>
      <c r="B20" s="392"/>
      <c r="C20" s="360">
        <v>26327.25</v>
      </c>
      <c r="D20" s="360">
        <v>21400.2</v>
      </c>
      <c r="E20" s="360"/>
      <c r="F20" s="360"/>
      <c r="G20" s="360"/>
      <c r="H20" s="360"/>
      <c r="I20" s="360">
        <v>30877.1</v>
      </c>
      <c r="J20" s="360">
        <v>20473.900000000001</v>
      </c>
      <c r="K20" s="359">
        <f t="shared" si="0"/>
        <v>34890</v>
      </c>
      <c r="L20" s="360">
        <v>34890</v>
      </c>
      <c r="M20" s="359">
        <f t="shared" si="1"/>
        <v>0</v>
      </c>
      <c r="N20" s="361">
        <f t="shared" si="2"/>
        <v>29985</v>
      </c>
      <c r="O20" s="360">
        <v>29996</v>
      </c>
      <c r="P20" s="359">
        <f t="shared" si="3"/>
        <v>11</v>
      </c>
      <c r="Q20" s="359">
        <f t="shared" si="4"/>
        <v>35451</v>
      </c>
      <c r="R20" s="360">
        <v>35451</v>
      </c>
      <c r="S20" s="359">
        <f t="shared" si="5"/>
        <v>0</v>
      </c>
      <c r="T20" s="359">
        <f t="shared" si="6"/>
        <v>32182</v>
      </c>
      <c r="U20" s="360">
        <v>32182</v>
      </c>
      <c r="V20" s="359">
        <f t="shared" si="7"/>
        <v>0</v>
      </c>
      <c r="W20" s="361">
        <f t="shared" si="8"/>
        <v>20692</v>
      </c>
      <c r="X20" s="360">
        <v>20705</v>
      </c>
      <c r="Y20" s="359">
        <f t="shared" si="9"/>
        <v>13</v>
      </c>
      <c r="Z20" s="362">
        <f t="shared" si="10"/>
        <v>24</v>
      </c>
      <c r="AA20" s="127">
        <v>130</v>
      </c>
      <c r="AB20" s="127">
        <v>72</v>
      </c>
      <c r="AC20" s="312">
        <f>Gen!T25</f>
        <v>758.66000000000008</v>
      </c>
    </row>
    <row r="21" spans="1:29" ht="20.100000000000001" customHeight="1">
      <c r="A21" s="308">
        <f>Gen!B26</f>
        <v>44059</v>
      </c>
      <c r="B21" s="392"/>
      <c r="C21" s="360">
        <v>25578.59</v>
      </c>
      <c r="D21" s="360">
        <v>21400.2</v>
      </c>
      <c r="E21" s="360"/>
      <c r="F21" s="360"/>
      <c r="G21" s="360">
        <v>64.7</v>
      </c>
      <c r="H21" s="360"/>
      <c r="I21" s="360">
        <v>30879.599999999999</v>
      </c>
      <c r="J21" s="360">
        <v>20476.2</v>
      </c>
      <c r="K21" s="359">
        <f t="shared" si="0"/>
        <v>34890</v>
      </c>
      <c r="L21" s="360">
        <v>34901</v>
      </c>
      <c r="M21" s="359">
        <f t="shared" si="1"/>
        <v>11</v>
      </c>
      <c r="N21" s="361">
        <f t="shared" si="2"/>
        <v>29996</v>
      </c>
      <c r="O21" s="360">
        <v>29996</v>
      </c>
      <c r="P21" s="359">
        <f t="shared" si="3"/>
        <v>0</v>
      </c>
      <c r="Q21" s="359">
        <f t="shared" si="4"/>
        <v>35451</v>
      </c>
      <c r="R21" s="360">
        <v>35451</v>
      </c>
      <c r="S21" s="359">
        <f t="shared" si="5"/>
        <v>0</v>
      </c>
      <c r="T21" s="359">
        <f t="shared" si="6"/>
        <v>32182</v>
      </c>
      <c r="U21" s="360">
        <v>32182</v>
      </c>
      <c r="V21" s="359">
        <f t="shared" si="7"/>
        <v>0</v>
      </c>
      <c r="W21" s="361">
        <f t="shared" si="8"/>
        <v>20705</v>
      </c>
      <c r="X21" s="360">
        <v>20719</v>
      </c>
      <c r="Y21" s="359">
        <f t="shared" si="9"/>
        <v>14</v>
      </c>
      <c r="Z21" s="362">
        <f t="shared" si="10"/>
        <v>25</v>
      </c>
      <c r="AA21" s="127">
        <v>131</v>
      </c>
      <c r="AB21" s="127">
        <v>71</v>
      </c>
      <c r="AC21" s="312">
        <f>Gen!T26</f>
        <v>736.99</v>
      </c>
    </row>
    <row r="22" spans="1:29" ht="18.75" customHeight="1">
      <c r="A22" s="308">
        <f>Gen!B27</f>
        <v>44060</v>
      </c>
      <c r="B22" s="392"/>
      <c r="C22" s="360">
        <v>24776.9</v>
      </c>
      <c r="D22" s="360">
        <v>21400.2</v>
      </c>
      <c r="E22" s="360"/>
      <c r="F22" s="360"/>
      <c r="G22" s="360"/>
      <c r="H22" s="360"/>
      <c r="I22" s="360">
        <v>30881.9</v>
      </c>
      <c r="J22" s="360">
        <v>20478.400000000001</v>
      </c>
      <c r="K22" s="359">
        <f t="shared" si="0"/>
        <v>34901</v>
      </c>
      <c r="L22" s="360">
        <v>34912</v>
      </c>
      <c r="M22" s="359">
        <f t="shared" si="1"/>
        <v>11</v>
      </c>
      <c r="N22" s="361">
        <f t="shared" si="2"/>
        <v>29996</v>
      </c>
      <c r="O22" s="360">
        <v>30009</v>
      </c>
      <c r="P22" s="359">
        <f t="shared" si="3"/>
        <v>13</v>
      </c>
      <c r="Q22" s="359">
        <f t="shared" si="4"/>
        <v>35451</v>
      </c>
      <c r="R22" s="360">
        <v>35451</v>
      </c>
      <c r="S22" s="359">
        <f t="shared" si="5"/>
        <v>0</v>
      </c>
      <c r="T22" s="359">
        <f t="shared" si="6"/>
        <v>32182</v>
      </c>
      <c r="U22" s="360">
        <v>32182</v>
      </c>
      <c r="V22" s="359">
        <f t="shared" si="7"/>
        <v>0</v>
      </c>
      <c r="W22" s="361">
        <f t="shared" si="8"/>
        <v>20719</v>
      </c>
      <c r="X22" s="360">
        <v>20719</v>
      </c>
      <c r="Y22" s="359">
        <f t="shared" si="9"/>
        <v>0</v>
      </c>
      <c r="Z22" s="362">
        <f t="shared" si="10"/>
        <v>24</v>
      </c>
      <c r="AA22" s="127">
        <v>130</v>
      </c>
      <c r="AB22" s="127">
        <v>70</v>
      </c>
      <c r="AC22" s="312">
        <f>Gen!T27</f>
        <v>0</v>
      </c>
    </row>
    <row r="23" spans="1:29" ht="20.100000000000001" customHeight="1">
      <c r="A23" s="308">
        <f>Gen!B28</f>
        <v>44061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34912</v>
      </c>
      <c r="L23" s="360"/>
      <c r="M23" s="359">
        <f t="shared" si="1"/>
        <v>-34912</v>
      </c>
      <c r="N23" s="361">
        <f t="shared" si="2"/>
        <v>30009</v>
      </c>
      <c r="O23" s="360"/>
      <c r="P23" s="359">
        <f t="shared" si="3"/>
        <v>-30009</v>
      </c>
      <c r="Q23" s="359">
        <f t="shared" si="4"/>
        <v>35451</v>
      </c>
      <c r="R23" s="360"/>
      <c r="S23" s="359">
        <f t="shared" si="5"/>
        <v>-35451</v>
      </c>
      <c r="T23" s="359">
        <f t="shared" si="6"/>
        <v>32182</v>
      </c>
      <c r="U23" s="360"/>
      <c r="V23" s="359">
        <f t="shared" si="7"/>
        <v>-32182</v>
      </c>
      <c r="W23" s="361">
        <f t="shared" si="8"/>
        <v>20719</v>
      </c>
      <c r="X23" s="360"/>
      <c r="Y23" s="359">
        <f t="shared" si="9"/>
        <v>-20719</v>
      </c>
      <c r="Z23" s="362">
        <f t="shared" si="10"/>
        <v>-153273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44062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44063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44064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44065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44066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44067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44068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44069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44070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44071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44072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44073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44074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6" zoomScale="110" zoomScaleNormal="110" workbookViewId="0">
      <pane xSplit="2" topLeftCell="C1" activePane="topRight" state="frozen"/>
      <selection pane="topRight" activeCell="I33" sqref="I33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44044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41431.87000000001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44044</v>
      </c>
      <c r="C11" s="683"/>
      <c r="D11" s="691">
        <f>SUM(D9+E11)</f>
        <v>41431.87000000001</v>
      </c>
      <c r="E11" s="269"/>
      <c r="F11" s="690"/>
      <c r="G11" s="351"/>
      <c r="H11" s="665"/>
      <c r="I11" s="250">
        <v>280.33999999999997</v>
      </c>
      <c r="J11" s="251"/>
      <c r="K11" s="250">
        <v>461.08</v>
      </c>
      <c r="L11" s="250"/>
      <c r="M11" s="351"/>
      <c r="N11" s="252"/>
      <c r="O11" s="253">
        <v>813</v>
      </c>
      <c r="P11" s="252"/>
      <c r="Q11" s="252">
        <v>1059</v>
      </c>
      <c r="R11" s="252"/>
      <c r="S11" s="670"/>
      <c r="T11" s="678">
        <f t="shared" si="0"/>
        <v>741.42</v>
      </c>
      <c r="U11" s="264">
        <f t="shared" si="1"/>
        <v>1872</v>
      </c>
      <c r="V11" s="679">
        <f t="shared" ref="V11:V41" si="4">T11/U11</f>
        <v>0.39605769230769228</v>
      </c>
      <c r="W11" s="257"/>
      <c r="X11" s="255"/>
      <c r="Y11" s="241">
        <v>16.850000000000001</v>
      </c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16.850000000000001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758.27</v>
      </c>
      <c r="AT11" s="267">
        <f>AS11*AV11</f>
        <v>0</v>
      </c>
      <c r="AU11" s="334">
        <f t="shared" ref="AU11:AU43" si="5">D11</f>
        <v>41431.87000000001</v>
      </c>
    </row>
    <row r="12" spans="2:47" ht="13.5" customHeight="1">
      <c r="B12" s="695">
        <v>44045</v>
      </c>
      <c r="C12" s="683"/>
      <c r="D12" s="691">
        <f t="shared" ref="D12:D43" si="6">SUM(D11-AS11+E12)</f>
        <v>40673.600000000013</v>
      </c>
      <c r="E12" s="269"/>
      <c r="F12" s="690"/>
      <c r="G12" s="351"/>
      <c r="H12" s="665">
        <v>404.99</v>
      </c>
      <c r="I12" s="250">
        <v>377.07</v>
      </c>
      <c r="J12" s="270"/>
      <c r="K12" s="250"/>
      <c r="L12" s="250"/>
      <c r="M12" s="351"/>
      <c r="N12" s="350">
        <v>1065</v>
      </c>
      <c r="O12" s="252">
        <v>965</v>
      </c>
      <c r="P12" s="252"/>
      <c r="Q12" s="252"/>
      <c r="R12" s="252"/>
      <c r="S12" s="670"/>
      <c r="T12" s="678">
        <f t="shared" si="0"/>
        <v>782.06</v>
      </c>
      <c r="U12" s="264">
        <f t="shared" si="1"/>
        <v>2030</v>
      </c>
      <c r="V12" s="679">
        <f t="shared" si="4"/>
        <v>0.38525123152709356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782.06</v>
      </c>
      <c r="AT12" s="267">
        <f t="shared" ref="AT12:AT44" si="7">AS12*AV12</f>
        <v>0</v>
      </c>
      <c r="AU12" s="334">
        <f t="shared" si="5"/>
        <v>40673.600000000013</v>
      </c>
    </row>
    <row r="13" spans="2:47" ht="13.5" customHeight="1">
      <c r="B13" s="695">
        <v>44046</v>
      </c>
      <c r="C13" s="683"/>
      <c r="D13" s="691">
        <f t="shared" si="6"/>
        <v>39891.540000000015</v>
      </c>
      <c r="E13" s="269"/>
      <c r="F13" s="690"/>
      <c r="G13" s="685"/>
      <c r="H13" s="665"/>
      <c r="I13" s="250"/>
      <c r="J13" s="270"/>
      <c r="K13" s="250">
        <v>419.82</v>
      </c>
      <c r="L13" s="250"/>
      <c r="M13" s="351">
        <v>368.59</v>
      </c>
      <c r="N13" s="350"/>
      <c r="O13" s="252"/>
      <c r="P13" s="252"/>
      <c r="Q13" s="252">
        <v>1020</v>
      </c>
      <c r="R13" s="252"/>
      <c r="S13" s="670">
        <v>798</v>
      </c>
      <c r="T13" s="678">
        <f t="shared" si="0"/>
        <v>788.41</v>
      </c>
      <c r="U13" s="264">
        <f t="shared" si="1"/>
        <v>1818</v>
      </c>
      <c r="V13" s="679">
        <f t="shared" si="4"/>
        <v>0.43366886688668865</v>
      </c>
      <c r="W13" s="257"/>
      <c r="X13" s="265"/>
      <c r="Y13" s="584">
        <v>25.31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25.31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813.71999999999991</v>
      </c>
      <c r="AT13" s="267">
        <f t="shared" si="7"/>
        <v>0</v>
      </c>
      <c r="AU13" s="334">
        <f t="shared" si="5"/>
        <v>39891.540000000015</v>
      </c>
    </row>
    <row r="14" spans="2:47" ht="13.5" customHeight="1">
      <c r="B14" s="695">
        <v>44047</v>
      </c>
      <c r="C14" s="683"/>
      <c r="D14" s="691">
        <f t="shared" si="6"/>
        <v>39077.820000000014</v>
      </c>
      <c r="E14" s="269"/>
      <c r="F14" s="690"/>
      <c r="G14" s="685"/>
      <c r="H14" s="665">
        <v>403.84</v>
      </c>
      <c r="I14" s="250"/>
      <c r="J14" s="270"/>
      <c r="K14" s="250"/>
      <c r="L14" s="250"/>
      <c r="M14" s="351">
        <v>389.77</v>
      </c>
      <c r="N14" s="350">
        <v>1057</v>
      </c>
      <c r="O14" s="252"/>
      <c r="P14" s="252"/>
      <c r="Q14" s="252"/>
      <c r="R14" s="252"/>
      <c r="S14" s="670">
        <v>923</v>
      </c>
      <c r="T14" s="678">
        <f t="shared" si="0"/>
        <v>793.6099999999999</v>
      </c>
      <c r="U14" s="264">
        <f t="shared" si="1"/>
        <v>1980</v>
      </c>
      <c r="V14" s="679">
        <f t="shared" si="4"/>
        <v>0.40081313131313129</v>
      </c>
      <c r="W14" s="257"/>
      <c r="X14" s="265"/>
      <c r="Z14" s="584"/>
      <c r="AA14" s="250"/>
      <c r="AB14" s="324"/>
      <c r="AC14" s="265">
        <v>96.12</v>
      </c>
      <c r="AD14" s="265">
        <v>53.74</v>
      </c>
      <c r="AE14" s="265"/>
      <c r="AF14" s="265"/>
      <c r="AG14" s="265"/>
      <c r="AH14" s="265"/>
      <c r="AI14" s="265"/>
      <c r="AJ14" s="451"/>
      <c r="AK14" s="322">
        <f t="shared" si="3"/>
        <v>149.86000000000001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943.46999999999991</v>
      </c>
      <c r="AT14" s="267">
        <f t="shared" si="7"/>
        <v>0</v>
      </c>
      <c r="AU14" s="334">
        <f t="shared" si="5"/>
        <v>39077.820000000014</v>
      </c>
    </row>
    <row r="15" spans="2:47" ht="13.5" customHeight="1">
      <c r="B15" s="695">
        <v>44048</v>
      </c>
      <c r="C15" s="683"/>
      <c r="D15" s="691">
        <f t="shared" si="6"/>
        <v>38134.350000000013</v>
      </c>
      <c r="E15" s="269"/>
      <c r="F15" s="690"/>
      <c r="G15" s="685"/>
      <c r="H15" s="665">
        <v>396.03</v>
      </c>
      <c r="I15" s="250">
        <v>379.99</v>
      </c>
      <c r="J15" s="270"/>
      <c r="K15" s="250"/>
      <c r="L15" s="250"/>
      <c r="M15" s="351"/>
      <c r="N15" s="350">
        <v>880</v>
      </c>
      <c r="O15" s="252">
        <v>844</v>
      </c>
      <c r="P15" s="252"/>
      <c r="Q15" s="252"/>
      <c r="R15" s="252"/>
      <c r="S15" s="670"/>
      <c r="T15" s="678">
        <f t="shared" si="0"/>
        <v>776.02</v>
      </c>
      <c r="U15" s="264">
        <f t="shared" si="1"/>
        <v>1724</v>
      </c>
      <c r="V15" s="679">
        <f t="shared" si="4"/>
        <v>0.4501276102088167</v>
      </c>
      <c r="W15" s="257"/>
      <c r="X15" s="265">
        <v>87.31</v>
      </c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87.31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863.32999999999993</v>
      </c>
      <c r="AT15" s="267">
        <f t="shared" si="7"/>
        <v>0</v>
      </c>
      <c r="AU15" s="334">
        <f t="shared" si="5"/>
        <v>38134.350000000013</v>
      </c>
    </row>
    <row r="16" spans="2:47" ht="13.5" customHeight="1">
      <c r="B16" s="695">
        <v>44049</v>
      </c>
      <c r="C16" s="683"/>
      <c r="D16" s="691">
        <f t="shared" si="6"/>
        <v>37271.020000000011</v>
      </c>
      <c r="E16" s="269"/>
      <c r="F16" s="690"/>
      <c r="G16" s="685"/>
      <c r="H16" s="665">
        <v>380.55</v>
      </c>
      <c r="I16" s="250"/>
      <c r="J16" s="270"/>
      <c r="K16" s="250"/>
      <c r="L16" s="250"/>
      <c r="M16" s="351">
        <v>397.57</v>
      </c>
      <c r="N16" s="350">
        <v>886</v>
      </c>
      <c r="O16" s="252"/>
      <c r="P16" s="252"/>
      <c r="Q16" s="252"/>
      <c r="R16" s="252"/>
      <c r="S16" s="670">
        <v>1006</v>
      </c>
      <c r="T16" s="678">
        <f t="shared" si="0"/>
        <v>778.12</v>
      </c>
      <c r="U16" s="264">
        <f t="shared" si="1"/>
        <v>1892</v>
      </c>
      <c r="V16" s="679">
        <f t="shared" si="4"/>
        <v>0.41126849894291756</v>
      </c>
      <c r="W16" s="257"/>
      <c r="X16" s="265"/>
      <c r="Y16" s="241">
        <v>52.6</v>
      </c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52.6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830.72</v>
      </c>
      <c r="AT16" s="267">
        <f t="shared" si="7"/>
        <v>0</v>
      </c>
      <c r="AU16" s="334">
        <f t="shared" si="5"/>
        <v>37271.020000000011</v>
      </c>
    </row>
    <row r="17" spans="2:47" ht="13.5" customHeight="1">
      <c r="B17" s="695">
        <v>44050</v>
      </c>
      <c r="C17" s="683"/>
      <c r="D17" s="691">
        <f t="shared" si="6"/>
        <v>36440.30000000001</v>
      </c>
      <c r="E17" s="269"/>
      <c r="F17" s="690"/>
      <c r="G17" s="685"/>
      <c r="H17" s="665"/>
      <c r="I17" s="250">
        <v>420.24</v>
      </c>
      <c r="J17" s="270"/>
      <c r="K17" s="250"/>
      <c r="L17" s="250"/>
      <c r="M17" s="351">
        <v>351.46</v>
      </c>
      <c r="N17" s="350"/>
      <c r="O17" s="252">
        <v>1048</v>
      </c>
      <c r="P17" s="252"/>
      <c r="Q17" s="252"/>
      <c r="R17" s="252"/>
      <c r="S17" s="670">
        <v>834</v>
      </c>
      <c r="T17" s="678">
        <f t="shared" si="0"/>
        <v>771.7</v>
      </c>
      <c r="U17" s="264">
        <f t="shared" si="1"/>
        <v>1882</v>
      </c>
      <c r="V17" s="679">
        <f t="shared" si="4"/>
        <v>0.41004250797024444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771.7</v>
      </c>
      <c r="AT17" s="267">
        <f t="shared" si="7"/>
        <v>0</v>
      </c>
      <c r="AU17" s="334">
        <f t="shared" si="5"/>
        <v>36440.30000000001</v>
      </c>
    </row>
    <row r="18" spans="2:47" ht="13.5" customHeight="1">
      <c r="B18" s="695">
        <v>44051</v>
      </c>
      <c r="C18" s="683"/>
      <c r="D18" s="691">
        <f t="shared" si="6"/>
        <v>35668.600000000013</v>
      </c>
      <c r="E18" s="269"/>
      <c r="F18" s="690"/>
      <c r="G18" s="685"/>
      <c r="H18" s="665">
        <v>354.43</v>
      </c>
      <c r="I18" s="250">
        <v>468.31</v>
      </c>
      <c r="J18" s="270"/>
      <c r="K18" s="250"/>
      <c r="L18" s="250"/>
      <c r="M18" s="351"/>
      <c r="N18" s="350">
        <v>863</v>
      </c>
      <c r="O18" s="252">
        <v>1165</v>
      </c>
      <c r="P18" s="252"/>
      <c r="Q18" s="252"/>
      <c r="R18" s="252"/>
      <c r="S18" s="670"/>
      <c r="T18" s="678">
        <f t="shared" si="0"/>
        <v>822.74</v>
      </c>
      <c r="U18" s="264">
        <f t="shared" si="1"/>
        <v>2028</v>
      </c>
      <c r="V18" s="679">
        <f t="shared" si="4"/>
        <v>0.40569033530571991</v>
      </c>
      <c r="W18" s="257"/>
      <c r="X18" s="265"/>
      <c r="Y18" s="241">
        <v>21.08</v>
      </c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21.08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843.82</v>
      </c>
      <c r="AT18" s="267">
        <f t="shared" si="7"/>
        <v>0</v>
      </c>
      <c r="AU18" s="334">
        <f t="shared" si="5"/>
        <v>35668.600000000013</v>
      </c>
    </row>
    <row r="19" spans="2:47" ht="13.5" customHeight="1">
      <c r="B19" s="695">
        <v>44052</v>
      </c>
      <c r="C19" s="683">
        <v>1.2999999999999999E-2</v>
      </c>
      <c r="D19" s="691">
        <f t="shared" si="6"/>
        <v>34824.780000000013</v>
      </c>
      <c r="E19" s="269"/>
      <c r="F19" s="690"/>
      <c r="G19" s="685"/>
      <c r="H19" s="665">
        <v>490.78</v>
      </c>
      <c r="I19" s="250"/>
      <c r="J19" s="270"/>
      <c r="K19" s="250"/>
      <c r="L19" s="250"/>
      <c r="M19" s="351">
        <v>396.17</v>
      </c>
      <c r="N19" s="350">
        <v>1162</v>
      </c>
      <c r="O19" s="252"/>
      <c r="P19" s="252"/>
      <c r="Q19" s="252"/>
      <c r="R19" s="252"/>
      <c r="S19" s="670">
        <v>860</v>
      </c>
      <c r="T19" s="678">
        <f t="shared" si="0"/>
        <v>886.95</v>
      </c>
      <c r="U19" s="264">
        <f t="shared" si="1"/>
        <v>2022</v>
      </c>
      <c r="V19" s="679">
        <f t="shared" si="4"/>
        <v>0.4386498516320475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>
        <v>70</v>
      </c>
      <c r="AJ19" s="451"/>
      <c r="AK19" s="322">
        <f t="shared" si="3"/>
        <v>70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956.95</v>
      </c>
      <c r="AT19" s="267">
        <f t="shared" si="7"/>
        <v>0</v>
      </c>
      <c r="AU19" s="334">
        <f t="shared" si="5"/>
        <v>34824.780000000013</v>
      </c>
    </row>
    <row r="20" spans="2:47" ht="14.25">
      <c r="B20" s="695">
        <v>44053</v>
      </c>
      <c r="C20" s="683">
        <v>1.2999999999999999E-2</v>
      </c>
      <c r="D20" s="691">
        <f t="shared" si="6"/>
        <v>33867.830000000016</v>
      </c>
      <c r="E20" s="269"/>
      <c r="F20" s="690"/>
      <c r="G20" s="685"/>
      <c r="H20" s="665">
        <v>381.65</v>
      </c>
      <c r="I20" s="265">
        <v>417.18</v>
      </c>
      <c r="J20" s="270"/>
      <c r="K20" s="250"/>
      <c r="L20" s="250"/>
      <c r="M20" s="628"/>
      <c r="N20" s="350">
        <v>817</v>
      </c>
      <c r="O20" s="252">
        <v>1031</v>
      </c>
      <c r="P20" s="252"/>
      <c r="Q20" s="252"/>
      <c r="R20" s="252"/>
      <c r="S20" s="671"/>
      <c r="T20" s="678">
        <f t="shared" si="0"/>
        <v>798.82999999999993</v>
      </c>
      <c r="U20" s="264">
        <f t="shared" si="1"/>
        <v>1848</v>
      </c>
      <c r="V20" s="679">
        <f t="shared" si="4"/>
        <v>0.43226731601731599</v>
      </c>
      <c r="W20" s="257"/>
      <c r="X20" s="265">
        <v>31.31</v>
      </c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31.31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830.13999999999987</v>
      </c>
      <c r="AT20" s="267">
        <f t="shared" si="7"/>
        <v>0</v>
      </c>
      <c r="AU20" s="334">
        <f t="shared" si="5"/>
        <v>33867.830000000016</v>
      </c>
    </row>
    <row r="21" spans="2:47" ht="14.25">
      <c r="B21" s="695">
        <v>44054</v>
      </c>
      <c r="C21" s="683">
        <v>0.01</v>
      </c>
      <c r="D21" s="691">
        <f t="shared" si="6"/>
        <v>33037.690000000017</v>
      </c>
      <c r="E21" s="269"/>
      <c r="F21" s="690"/>
      <c r="G21" s="685"/>
      <c r="H21" s="665"/>
      <c r="I21" s="265">
        <v>331.66</v>
      </c>
      <c r="J21" s="270"/>
      <c r="K21" s="250"/>
      <c r="L21" s="250"/>
      <c r="M21" s="590">
        <v>446.3</v>
      </c>
      <c r="N21" s="350"/>
      <c r="O21" s="350">
        <v>802</v>
      </c>
      <c r="P21" s="252"/>
      <c r="Q21" s="252"/>
      <c r="R21" s="252"/>
      <c r="S21" s="670">
        <v>1026</v>
      </c>
      <c r="T21" s="678">
        <f t="shared" si="0"/>
        <v>777.96</v>
      </c>
      <c r="U21" s="264">
        <f t="shared" si="1"/>
        <v>1828</v>
      </c>
      <c r="V21" s="679">
        <f t="shared" si="4"/>
        <v>0.42557986870897158</v>
      </c>
      <c r="W21" s="257"/>
      <c r="X21" s="265"/>
      <c r="Y21" s="241">
        <v>25.65</v>
      </c>
      <c r="Z21" s="265">
        <v>100.7</v>
      </c>
      <c r="AA21" s="250"/>
      <c r="AB21" s="324"/>
      <c r="AC21" s="265"/>
      <c r="AD21" s="265"/>
      <c r="AE21" s="265"/>
      <c r="AF21" s="265"/>
      <c r="AG21" s="265"/>
      <c r="AH21" s="265"/>
      <c r="AI21" s="265">
        <v>71</v>
      </c>
      <c r="AJ21" s="451"/>
      <c r="AK21" s="322">
        <f t="shared" si="3"/>
        <v>197.35</v>
      </c>
      <c r="AL21" s="259"/>
      <c r="AM21" s="260"/>
      <c r="AN21" s="266"/>
      <c r="AO21" s="272"/>
      <c r="AP21" s="272"/>
      <c r="AQ21" s="272"/>
      <c r="AR21" s="273"/>
      <c r="AS21" s="261">
        <f>SUM(AK21+T21)</f>
        <v>975.31000000000006</v>
      </c>
      <c r="AT21" s="267">
        <f t="shared" si="7"/>
        <v>0</v>
      </c>
      <c r="AU21" s="334">
        <f t="shared" si="5"/>
        <v>33037.690000000017</v>
      </c>
    </row>
    <row r="22" spans="2:47" ht="14.25">
      <c r="B22" s="695">
        <v>44055</v>
      </c>
      <c r="C22" s="683"/>
      <c r="D22" s="691">
        <f t="shared" si="6"/>
        <v>32062.380000000016</v>
      </c>
      <c r="E22" s="269"/>
      <c r="F22" s="690"/>
      <c r="G22" s="685"/>
      <c r="H22" s="665">
        <v>379.4</v>
      </c>
      <c r="I22" s="250"/>
      <c r="J22" s="270"/>
      <c r="K22" s="250"/>
      <c r="L22" s="250"/>
      <c r="M22" s="628">
        <v>384.4</v>
      </c>
      <c r="N22" s="350">
        <v>941</v>
      </c>
      <c r="O22" s="350"/>
      <c r="P22" s="252"/>
      <c r="Q22" s="252"/>
      <c r="R22" s="252"/>
      <c r="S22" s="670">
        <v>824</v>
      </c>
      <c r="T22" s="678">
        <f t="shared" si="0"/>
        <v>763.8</v>
      </c>
      <c r="U22" s="264">
        <f t="shared" si="1"/>
        <v>1765</v>
      </c>
      <c r="V22" s="679">
        <f t="shared" si="4"/>
        <v>0.43274787535410764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763.8</v>
      </c>
      <c r="AT22" s="267">
        <f t="shared" si="7"/>
        <v>0</v>
      </c>
      <c r="AU22" s="334">
        <f t="shared" si="5"/>
        <v>32062.380000000016</v>
      </c>
    </row>
    <row r="23" spans="2:47" ht="14.25">
      <c r="B23" s="695">
        <v>44056</v>
      </c>
      <c r="C23" s="683"/>
      <c r="D23" s="691">
        <f t="shared" si="6"/>
        <v>31298.580000000016</v>
      </c>
      <c r="E23" s="269"/>
      <c r="F23" s="690"/>
      <c r="G23" s="685"/>
      <c r="H23" s="665">
        <v>343.68</v>
      </c>
      <c r="I23" s="265">
        <v>412.85</v>
      </c>
      <c r="J23" s="270"/>
      <c r="K23" s="250"/>
      <c r="L23" s="250"/>
      <c r="M23" s="628"/>
      <c r="N23" s="350">
        <v>1002</v>
      </c>
      <c r="O23" s="252">
        <v>822</v>
      </c>
      <c r="P23" s="252"/>
      <c r="Q23" s="252"/>
      <c r="R23" s="252"/>
      <c r="S23" s="670"/>
      <c r="T23" s="678">
        <f t="shared" si="0"/>
        <v>756.53</v>
      </c>
      <c r="U23" s="264">
        <f t="shared" si="1"/>
        <v>1824</v>
      </c>
      <c r="V23" s="679">
        <f t="shared" si="4"/>
        <v>0.41476425438596487</v>
      </c>
      <c r="W23" s="257"/>
      <c r="X23" s="265">
        <v>10.17</v>
      </c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10.17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766.69999999999993</v>
      </c>
      <c r="AT23" s="267">
        <f t="shared" si="7"/>
        <v>0</v>
      </c>
      <c r="AU23" s="334">
        <f t="shared" si="5"/>
        <v>31298.580000000016</v>
      </c>
    </row>
    <row r="24" spans="2:47" ht="14.25">
      <c r="B24" s="695">
        <v>44057</v>
      </c>
      <c r="C24" s="683"/>
      <c r="D24" s="691">
        <f t="shared" si="6"/>
        <v>48531.880000000019</v>
      </c>
      <c r="E24" s="249">
        <v>18000</v>
      </c>
      <c r="F24" s="690">
        <v>18000</v>
      </c>
      <c r="G24" s="754" t="s">
        <v>310</v>
      </c>
      <c r="H24" s="665"/>
      <c r="I24" s="665">
        <v>328.28</v>
      </c>
      <c r="J24" s="270"/>
      <c r="K24" s="250"/>
      <c r="L24" s="250"/>
      <c r="M24" s="628">
        <v>451.07</v>
      </c>
      <c r="N24" s="350"/>
      <c r="O24" s="350">
        <v>870</v>
      </c>
      <c r="P24" s="252"/>
      <c r="Q24" s="252"/>
      <c r="R24" s="252"/>
      <c r="S24" s="670">
        <v>1117</v>
      </c>
      <c r="T24" s="678">
        <f t="shared" si="0"/>
        <v>779.34999999999991</v>
      </c>
      <c r="U24" s="264">
        <f t="shared" si="1"/>
        <v>1987</v>
      </c>
      <c r="V24" s="679">
        <f t="shared" si="4"/>
        <v>0.39222445898339198</v>
      </c>
      <c r="W24" s="257"/>
      <c r="X24" s="265"/>
      <c r="Y24" s="241">
        <v>12.78</v>
      </c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12.78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792.12999999999988</v>
      </c>
      <c r="AT24" s="267">
        <f t="shared" si="7"/>
        <v>0</v>
      </c>
      <c r="AU24" s="334">
        <f t="shared" si="5"/>
        <v>48531.880000000019</v>
      </c>
    </row>
    <row r="25" spans="2:47" ht="14.25">
      <c r="B25" s="695">
        <v>44058</v>
      </c>
      <c r="C25" s="683"/>
      <c r="D25" s="691">
        <f t="shared" si="6"/>
        <v>47739.750000000022</v>
      </c>
      <c r="E25" s="269"/>
      <c r="F25" s="690"/>
      <c r="G25" s="685"/>
      <c r="H25" s="665">
        <v>350.19</v>
      </c>
      <c r="I25" s="265"/>
      <c r="J25" s="270"/>
      <c r="K25" s="250"/>
      <c r="L25" s="250"/>
      <c r="M25" s="628">
        <v>408.47</v>
      </c>
      <c r="N25" s="350">
        <v>816</v>
      </c>
      <c r="O25" s="252"/>
      <c r="P25" s="252"/>
      <c r="Q25" s="252"/>
      <c r="R25" s="252"/>
      <c r="S25" s="670">
        <v>930</v>
      </c>
      <c r="T25" s="678">
        <f t="shared" si="0"/>
        <v>758.66000000000008</v>
      </c>
      <c r="U25" s="264">
        <f t="shared" si="1"/>
        <v>1746</v>
      </c>
      <c r="V25" s="679">
        <f t="shared" si="4"/>
        <v>0.43451317296678127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758.66000000000008</v>
      </c>
      <c r="AT25" s="267">
        <f t="shared" si="7"/>
        <v>0</v>
      </c>
      <c r="AU25" s="334">
        <f t="shared" si="5"/>
        <v>47739.750000000022</v>
      </c>
    </row>
    <row r="26" spans="2:47" ht="14.25">
      <c r="B26" s="695">
        <v>44059</v>
      </c>
      <c r="C26" s="683"/>
      <c r="D26" s="691">
        <f t="shared" si="6"/>
        <v>46981.090000000018</v>
      </c>
      <c r="E26" s="269"/>
      <c r="F26" s="690"/>
      <c r="G26" s="685"/>
      <c r="H26" s="665">
        <v>337.24</v>
      </c>
      <c r="I26" s="265">
        <v>399.75</v>
      </c>
      <c r="J26" s="270"/>
      <c r="K26" s="250"/>
      <c r="L26" s="250"/>
      <c r="M26" s="628"/>
      <c r="N26" s="350">
        <v>778</v>
      </c>
      <c r="O26" s="252">
        <v>926</v>
      </c>
      <c r="P26" s="252"/>
      <c r="Q26" s="252"/>
      <c r="R26" s="252"/>
      <c r="S26" s="670"/>
      <c r="T26" s="678">
        <f t="shared" si="0"/>
        <v>736.99</v>
      </c>
      <c r="U26" s="264">
        <f t="shared" si="1"/>
        <v>1704</v>
      </c>
      <c r="V26" s="679">
        <f t="shared" si="4"/>
        <v>0.43250586854460094</v>
      </c>
      <c r="W26" s="257"/>
      <c r="X26" s="265">
        <v>49.72</v>
      </c>
      <c r="Y26" s="241">
        <v>14.98</v>
      </c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64.7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801.69</v>
      </c>
      <c r="AT26" s="267">
        <f t="shared" si="7"/>
        <v>0</v>
      </c>
      <c r="AU26" s="334">
        <f t="shared" si="5"/>
        <v>46981.090000000018</v>
      </c>
    </row>
    <row r="27" spans="2:47" ht="14.25">
      <c r="B27" s="695">
        <v>44060</v>
      </c>
      <c r="C27" s="683"/>
      <c r="D27" s="691">
        <f t="shared" si="6"/>
        <v>46179.400000000016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46179.400000000016</v>
      </c>
    </row>
    <row r="28" spans="2:47" ht="14.25">
      <c r="B28" s="695">
        <v>44061</v>
      </c>
      <c r="C28" s="683"/>
      <c r="D28" s="691">
        <f t="shared" si="6"/>
        <v>46179.400000000016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46179.400000000016</v>
      </c>
    </row>
    <row r="29" spans="2:47" ht="14.25">
      <c r="B29" s="695">
        <v>44062</v>
      </c>
      <c r="C29" s="683"/>
      <c r="D29" s="691">
        <f t="shared" si="6"/>
        <v>46179.400000000016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46179.400000000016</v>
      </c>
    </row>
    <row r="30" spans="2:47" ht="14.25">
      <c r="B30" s="695">
        <v>44063</v>
      </c>
      <c r="C30" s="683"/>
      <c r="D30" s="691">
        <f t="shared" si="6"/>
        <v>46179.400000000016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46179.400000000016</v>
      </c>
    </row>
    <row r="31" spans="2:47" ht="14.25">
      <c r="B31" s="695">
        <v>44064</v>
      </c>
      <c r="C31" s="683"/>
      <c r="D31" s="691">
        <f t="shared" si="6"/>
        <v>46179.400000000016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46179.400000000016</v>
      </c>
    </row>
    <row r="32" spans="2:47" ht="14.25">
      <c r="B32" s="695">
        <v>44065</v>
      </c>
      <c r="C32" s="683"/>
      <c r="D32" s="691">
        <f t="shared" si="6"/>
        <v>46179.400000000016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46179.400000000016</v>
      </c>
    </row>
    <row r="33" spans="2:47" ht="14.25">
      <c r="B33" s="695">
        <v>44066</v>
      </c>
      <c r="C33" s="683"/>
      <c r="D33" s="691">
        <f t="shared" si="6"/>
        <v>46179.400000000016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46179.400000000016</v>
      </c>
    </row>
    <row r="34" spans="2:47" ht="14.25">
      <c r="B34" s="695">
        <v>44067</v>
      </c>
      <c r="C34" s="683"/>
      <c r="D34" s="691">
        <f t="shared" si="6"/>
        <v>46179.400000000016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46179.400000000016</v>
      </c>
    </row>
    <row r="35" spans="2:47" ht="14.25">
      <c r="B35" s="695">
        <v>44068</v>
      </c>
      <c r="C35" s="683"/>
      <c r="D35" s="691">
        <f t="shared" si="6"/>
        <v>46179.400000000016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46179.400000000016</v>
      </c>
    </row>
    <row r="36" spans="2:47" ht="14.25">
      <c r="B36" s="695">
        <v>44069</v>
      </c>
      <c r="C36" s="683"/>
      <c r="D36" s="691">
        <f t="shared" si="6"/>
        <v>46179.400000000016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46179.400000000016</v>
      </c>
    </row>
    <row r="37" spans="2:47" ht="14.25">
      <c r="B37" s="695">
        <v>44070</v>
      </c>
      <c r="C37" s="683"/>
      <c r="D37" s="691">
        <f t="shared" si="6"/>
        <v>46179.400000000016</v>
      </c>
      <c r="E37" s="269"/>
      <c r="F37" s="690"/>
      <c r="G37" s="628"/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46179.400000000016</v>
      </c>
    </row>
    <row r="38" spans="2:47" ht="14.25">
      <c r="B38" s="695">
        <v>44071</v>
      </c>
      <c r="C38" s="683"/>
      <c r="D38" s="691">
        <f t="shared" si="6"/>
        <v>46179.400000000016</v>
      </c>
      <c r="E38" s="269"/>
      <c r="F38" s="690">
        <v>10000</v>
      </c>
      <c r="G38" s="754" t="s">
        <v>310</v>
      </c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46179.400000000016</v>
      </c>
    </row>
    <row r="39" spans="2:47" ht="14.25">
      <c r="B39" s="695">
        <v>44072</v>
      </c>
      <c r="C39" s="683"/>
      <c r="D39" s="691">
        <f t="shared" si="6"/>
        <v>46179.400000000016</v>
      </c>
      <c r="E39" s="269"/>
      <c r="F39" s="690"/>
      <c r="G39" s="351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46179.400000000016</v>
      </c>
    </row>
    <row r="40" spans="2:47" ht="14.25">
      <c r="B40" s="695">
        <v>44073</v>
      </c>
      <c r="C40" s="683"/>
      <c r="D40" s="691">
        <f t="shared" si="6"/>
        <v>46179.400000000016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46179.400000000016</v>
      </c>
    </row>
    <row r="41" spans="2:47" ht="14.25">
      <c r="B41" s="695">
        <v>44074</v>
      </c>
      <c r="C41" s="683"/>
      <c r="D41" s="691">
        <f t="shared" si="6"/>
        <v>46179.400000000016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46179.400000000016</v>
      </c>
    </row>
    <row r="42" spans="2:47" ht="14.25">
      <c r="B42" s="695"/>
      <c r="C42" s="684"/>
      <c r="D42" s="691">
        <f t="shared" si="6"/>
        <v>46179.400000000016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46179.400000000016</v>
      </c>
    </row>
    <row r="43" spans="2:47" ht="14.25">
      <c r="B43" s="591" t="s">
        <v>25</v>
      </c>
      <c r="C43" s="554">
        <f>AVERAGE(C11:C42)</f>
        <v>1.1999999999999999E-2</v>
      </c>
      <c r="D43" s="689">
        <f t="shared" si="6"/>
        <v>46179.400000000016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46179.400000000016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18000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4222.78</v>
      </c>
      <c r="I45" s="363">
        <f t="shared" si="8"/>
        <v>3815.67</v>
      </c>
      <c r="J45" s="368">
        <f t="shared" si="8"/>
        <v>0</v>
      </c>
      <c r="K45" s="363">
        <f t="shared" si="8"/>
        <v>880.9</v>
      </c>
      <c r="L45" s="368">
        <f t="shared" si="8"/>
        <v>0</v>
      </c>
      <c r="M45" s="363">
        <f t="shared" si="8"/>
        <v>3593.8</v>
      </c>
      <c r="N45" s="368">
        <f t="shared" si="8"/>
        <v>10267</v>
      </c>
      <c r="O45" s="658">
        <f t="shared" si="8"/>
        <v>9286</v>
      </c>
      <c r="P45" s="368">
        <f t="shared" si="8"/>
        <v>0</v>
      </c>
      <c r="Q45" s="363">
        <f>SUM(Q11:Q43)</f>
        <v>2079</v>
      </c>
      <c r="R45" s="368">
        <f>SUM(R11:R44)</f>
        <v>0</v>
      </c>
      <c r="S45" s="363">
        <f>SUM(S11:S44)</f>
        <v>8318</v>
      </c>
      <c r="T45" s="655">
        <f t="shared" si="0"/>
        <v>12513.150000000001</v>
      </c>
      <c r="U45" s="363">
        <f>SUM(N45:S45)</f>
        <v>29950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178.51</v>
      </c>
      <c r="Y45" s="650">
        <f t="shared" si="9"/>
        <v>169.24999999999997</v>
      </c>
      <c r="Z45" s="281">
        <f t="shared" si="9"/>
        <v>100.7</v>
      </c>
      <c r="AA45" s="650">
        <f t="shared" si="9"/>
        <v>0</v>
      </c>
      <c r="AB45" s="281">
        <f t="shared" si="9"/>
        <v>0</v>
      </c>
      <c r="AC45" s="650">
        <f t="shared" si="9"/>
        <v>96.12</v>
      </c>
      <c r="AD45" s="281">
        <f>SUM(AD10:AD44)</f>
        <v>53.74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141</v>
      </c>
      <c r="AJ45" s="281">
        <f>SUM(AJ9:AJ39)</f>
        <v>0</v>
      </c>
      <c r="AK45" s="650">
        <f>SUM(AK9:AK44)</f>
        <v>739.32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13252.469999999998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782.07187499999998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28967942.250000004</v>
      </c>
      <c r="V47" s="373" t="s">
        <v>244</v>
      </c>
      <c r="AS47" s="618">
        <f>AS45*2143</f>
        <v>28400043.209999993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12655.282765399739</v>
      </c>
      <c r="V48" s="373" t="s">
        <v>245</v>
      </c>
      <c r="X48" s="234"/>
      <c r="Y48" s="234"/>
      <c r="Z48" s="234"/>
      <c r="AA48" s="234"/>
      <c r="AB48" s="234"/>
      <c r="AS48" s="372">
        <f>AS47/2289</f>
        <v>12407.183577981648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44044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44045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44046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44047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44048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44049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44050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44051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44052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44053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44054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44055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44056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44057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44058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44059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44060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44061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44062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44063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44064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44065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44066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44067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44068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44069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44070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44071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44072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44073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44074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F33" sqref="F3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/>
      <c r="G9" s="318"/>
      <c r="H9" s="34"/>
      <c r="I9" s="21"/>
      <c r="J9" s="118"/>
      <c r="N9" s="186"/>
      <c r="O9" s="186"/>
    </row>
    <row r="10" spans="1:15" ht="18.75">
      <c r="A10" s="96">
        <f>Gen!B11</f>
        <v>44044</v>
      </c>
      <c r="B10" s="318">
        <v>85</v>
      </c>
      <c r="C10" s="318">
        <v>85</v>
      </c>
      <c r="D10" s="318">
        <v>85</v>
      </c>
      <c r="E10" s="318"/>
      <c r="F10" s="318">
        <v>71789.350000000006</v>
      </c>
      <c r="G10" s="318">
        <f t="shared" ref="G10:G40" si="0">(F10-F9)*4.4</f>
        <v>315873.14000000007</v>
      </c>
      <c r="H10" s="113">
        <f>Gen!C11</f>
        <v>0</v>
      </c>
      <c r="I10" s="6" t="e">
        <f>SUM(F10/H10)</f>
        <v>#DIV/0!</v>
      </c>
      <c r="J10" s="118" t="e">
        <f t="shared" ref="J10:J40" si="1">SUM(G10/I10)</f>
        <v>#DIV/0!</v>
      </c>
      <c r="N10" s="186"/>
      <c r="O10" s="186"/>
    </row>
    <row r="11" spans="1:15" ht="18.75">
      <c r="A11" s="96">
        <f>Gen!B12</f>
        <v>44045</v>
      </c>
      <c r="B11" s="318">
        <v>85</v>
      </c>
      <c r="C11" s="318">
        <v>85</v>
      </c>
      <c r="D11" s="318">
        <v>85</v>
      </c>
      <c r="E11" s="318"/>
      <c r="F11" s="318">
        <v>71795.210000000006</v>
      </c>
      <c r="G11" s="318">
        <f t="shared" si="0"/>
        <v>25.784000000002564</v>
      </c>
      <c r="H11" s="113">
        <f>Gen!C12</f>
        <v>0</v>
      </c>
      <c r="I11" s="6" t="e">
        <f t="shared" ref="I11:I28" si="2">SUM(F11/H11)</f>
        <v>#DIV/0!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44046</v>
      </c>
      <c r="B12" s="318">
        <v>85</v>
      </c>
      <c r="C12" s="318">
        <v>85</v>
      </c>
      <c r="D12" s="318">
        <v>84</v>
      </c>
      <c r="E12" s="318"/>
      <c r="F12" s="318">
        <v>71798.13</v>
      </c>
      <c r="G12" s="318">
        <f t="shared" si="0"/>
        <v>12.847999999992318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44047</v>
      </c>
      <c r="B13" s="318">
        <v>85</v>
      </c>
      <c r="C13" s="318">
        <v>85</v>
      </c>
      <c r="D13" s="318">
        <v>84</v>
      </c>
      <c r="E13" s="318"/>
      <c r="F13" s="318">
        <v>71800.990000000005</v>
      </c>
      <c r="G13" s="318">
        <f t="shared" si="0"/>
        <v>12.584000000002563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44048</v>
      </c>
      <c r="B14" s="318">
        <v>85</v>
      </c>
      <c r="C14" s="318">
        <v>85</v>
      </c>
      <c r="D14" s="318">
        <v>83</v>
      </c>
      <c r="E14" s="318"/>
      <c r="F14" s="318">
        <v>71808.39</v>
      </c>
      <c r="G14" s="318">
        <f t="shared" si="0"/>
        <v>32.559999999974394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44049</v>
      </c>
      <c r="B15" s="318">
        <v>85</v>
      </c>
      <c r="C15" s="318">
        <v>85</v>
      </c>
      <c r="D15" s="318">
        <v>81</v>
      </c>
      <c r="E15" s="318"/>
      <c r="F15" s="318">
        <v>71814.31</v>
      </c>
      <c r="G15" s="318">
        <f t="shared" si="0"/>
        <v>26.047999999992317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44050</v>
      </c>
      <c r="B16" s="318">
        <v>85</v>
      </c>
      <c r="C16" s="318">
        <v>85</v>
      </c>
      <c r="D16" s="318">
        <v>76</v>
      </c>
      <c r="E16" s="318"/>
      <c r="F16" s="318">
        <v>71821.73</v>
      </c>
      <c r="G16" s="318">
        <f t="shared" si="0"/>
        <v>32.647999999992322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44051</v>
      </c>
      <c r="B17" s="318">
        <v>85</v>
      </c>
      <c r="C17" s="318">
        <v>85</v>
      </c>
      <c r="D17" s="318">
        <v>69</v>
      </c>
      <c r="E17" s="318"/>
      <c r="F17" s="318">
        <v>71828.98</v>
      </c>
      <c r="G17" s="318">
        <f t="shared" si="0"/>
        <v>31.900000000000002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44052</v>
      </c>
      <c r="B18" s="318">
        <v>85</v>
      </c>
      <c r="C18" s="318">
        <v>85</v>
      </c>
      <c r="D18" s="318">
        <v>61</v>
      </c>
      <c r="E18" s="318"/>
      <c r="F18" s="318">
        <v>71838.95</v>
      </c>
      <c r="G18" s="318">
        <f t="shared" si="0"/>
        <v>43.868000000005125</v>
      </c>
      <c r="H18" s="113">
        <f>Gen!C19</f>
        <v>1.2999999999999999E-2</v>
      </c>
      <c r="I18" s="6">
        <f t="shared" si="2"/>
        <v>5526073.076923077</v>
      </c>
      <c r="J18" s="118">
        <f t="shared" si="1"/>
        <v>7.9383676960766631E-6</v>
      </c>
      <c r="M18" s="186"/>
      <c r="N18" s="186"/>
    </row>
    <row r="19" spans="1:14" ht="18.75">
      <c r="A19" s="96">
        <f>Gen!B20</f>
        <v>44053</v>
      </c>
      <c r="B19" s="318">
        <v>85</v>
      </c>
      <c r="C19" s="318">
        <v>85</v>
      </c>
      <c r="D19" s="318">
        <v>59</v>
      </c>
      <c r="E19" s="318"/>
      <c r="F19" s="318">
        <v>71850.11</v>
      </c>
      <c r="G19" s="318">
        <f t="shared" si="0"/>
        <v>49.104000000015368</v>
      </c>
      <c r="H19" s="113">
        <f>Gen!C20</f>
        <v>1.2999999999999999E-2</v>
      </c>
      <c r="I19" s="6">
        <f t="shared" si="2"/>
        <v>5526931.538461539</v>
      </c>
      <c r="J19" s="118">
        <f t="shared" si="1"/>
        <v>8.884495792702332E-6</v>
      </c>
      <c r="M19" s="186"/>
      <c r="N19" s="186"/>
    </row>
    <row r="20" spans="1:14" ht="18.75">
      <c r="A20" s="96">
        <f>Gen!B21</f>
        <v>44054</v>
      </c>
      <c r="B20" s="318">
        <v>85</v>
      </c>
      <c r="C20" s="318">
        <v>85</v>
      </c>
      <c r="D20" s="318">
        <v>56</v>
      </c>
      <c r="E20" s="318"/>
      <c r="F20" s="318">
        <v>71862.149999999994</v>
      </c>
      <c r="G20" s="318">
        <f t="shared" si="0"/>
        <v>52.975999999971833</v>
      </c>
      <c r="H20" s="113">
        <f>Gen!C21</f>
        <v>0.01</v>
      </c>
      <c r="I20" s="6">
        <f t="shared" si="2"/>
        <v>7186214.9999999991</v>
      </c>
      <c r="J20" s="118">
        <f t="shared" si="1"/>
        <v>7.3718918791007279E-6</v>
      </c>
    </row>
    <row r="21" spans="1:14" ht="18.75">
      <c r="A21" s="96">
        <f>Gen!B22</f>
        <v>44055</v>
      </c>
      <c r="B21" s="318">
        <v>85</v>
      </c>
      <c r="C21" s="318">
        <v>85</v>
      </c>
      <c r="D21" s="318">
        <v>52</v>
      </c>
      <c r="E21" s="318"/>
      <c r="F21" s="318">
        <v>71869.56</v>
      </c>
      <c r="G21" s="318">
        <f t="shared" si="0"/>
        <v>32.604000000015368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44056</v>
      </c>
      <c r="B22" s="318">
        <v>85</v>
      </c>
      <c r="C22" s="318">
        <v>85</v>
      </c>
      <c r="D22" s="318">
        <v>48</v>
      </c>
      <c r="E22" s="318"/>
      <c r="F22" s="318">
        <v>71876.820000000007</v>
      </c>
      <c r="G22" s="318">
        <f t="shared" si="0"/>
        <v>31.94400000004098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44057</v>
      </c>
      <c r="B23" s="318">
        <v>85</v>
      </c>
      <c r="C23" s="318">
        <v>85</v>
      </c>
      <c r="D23" s="318">
        <v>46</v>
      </c>
      <c r="E23" s="318"/>
      <c r="F23" s="318">
        <v>71887.350000000006</v>
      </c>
      <c r="G23" s="318">
        <f t="shared" si="0"/>
        <v>46.331999999994885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44058</v>
      </c>
      <c r="B24" s="318">
        <v>85</v>
      </c>
      <c r="C24" s="318">
        <v>85</v>
      </c>
      <c r="D24" s="318">
        <v>44</v>
      </c>
      <c r="E24" s="318"/>
      <c r="F24" s="318">
        <v>71895.95</v>
      </c>
      <c r="G24" s="318">
        <f t="shared" si="0"/>
        <v>37.839999999961584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44059</v>
      </c>
      <c r="B25" s="318">
        <v>85</v>
      </c>
      <c r="C25" s="318">
        <v>85</v>
      </c>
      <c r="D25" s="318">
        <v>40</v>
      </c>
      <c r="E25" s="318"/>
      <c r="F25" s="318">
        <v>71904.86</v>
      </c>
      <c r="G25" s="318">
        <f t="shared" si="0"/>
        <v>39.20400000001537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44060</v>
      </c>
      <c r="B26" s="318">
        <v>85</v>
      </c>
      <c r="C26" s="318">
        <v>85</v>
      </c>
      <c r="D26" s="318">
        <v>37</v>
      </c>
      <c r="E26" s="318"/>
      <c r="F26" s="318"/>
      <c r="G26" s="318">
        <f t="shared" si="0"/>
        <v>-316381.38400000002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44061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44062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44063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44064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44065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44066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44067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44068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44069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44070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44071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44072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44073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44074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1149442.8400000001</v>
      </c>
      <c r="G42" s="103">
        <f>SUM(G10:G40)</f>
        <v>0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44044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44045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44046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44047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44048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44049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44050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44051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44052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44053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44054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44055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44056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44057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44058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44059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44060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44061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44062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44063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44064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44065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44066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44067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44068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44069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44070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44071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44072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44073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44074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6" zoomScale="94" zoomScaleNormal="94" workbookViewId="0">
      <pane xSplit="1" topLeftCell="S1" activePane="topRight" state="frozen"/>
      <selection pane="topRight" activeCell="I64" sqref="I6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6" t="s">
        <v>318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7"/>
      <c r="AL1" s="837"/>
      <c r="AM1" s="837"/>
      <c r="AN1" s="837"/>
    </row>
    <row r="2" spans="1:40" ht="13.5" customHeight="1" thickTop="1">
      <c r="A2" s="30"/>
      <c r="B2" s="30"/>
      <c r="C2" s="833" t="s">
        <v>52</v>
      </c>
      <c r="D2" s="833"/>
      <c r="E2" s="833"/>
      <c r="F2" s="833" t="s">
        <v>17</v>
      </c>
      <c r="G2" s="833"/>
      <c r="H2" s="833"/>
      <c r="I2" s="833" t="s">
        <v>131</v>
      </c>
      <c r="J2" s="833"/>
      <c r="K2" s="833"/>
      <c r="L2" s="833" t="s">
        <v>134</v>
      </c>
      <c r="M2" s="833"/>
      <c r="N2" s="833"/>
      <c r="O2" s="833" t="s">
        <v>132</v>
      </c>
      <c r="P2" s="833"/>
      <c r="Q2" s="833"/>
      <c r="R2" s="299"/>
      <c r="S2" s="844" t="s">
        <v>181</v>
      </c>
      <c r="T2" s="845"/>
      <c r="U2" s="846"/>
      <c r="V2" s="844" t="s">
        <v>182</v>
      </c>
      <c r="W2" s="845"/>
      <c r="X2" s="846"/>
      <c r="Y2" s="844" t="s">
        <v>183</v>
      </c>
      <c r="Z2" s="845"/>
      <c r="AA2" s="846"/>
      <c r="AB2" s="844" t="s">
        <v>184</v>
      </c>
      <c r="AC2" s="845"/>
      <c r="AD2" s="846"/>
      <c r="AE2" s="838" t="s">
        <v>239</v>
      </c>
      <c r="AF2" s="839"/>
      <c r="AG2" s="850"/>
      <c r="AH2" s="838" t="s">
        <v>243</v>
      </c>
      <c r="AI2" s="839"/>
      <c r="AJ2" s="850"/>
      <c r="AK2" s="838" t="s">
        <v>240</v>
      </c>
      <c r="AL2" s="839"/>
      <c r="AM2" s="839"/>
      <c r="AN2" s="842" t="s">
        <v>189</v>
      </c>
    </row>
    <row r="3" spans="1:40" ht="21.75" customHeight="1" thickBot="1">
      <c r="A3" s="834" t="s">
        <v>7</v>
      </c>
      <c r="B3" s="30"/>
      <c r="C3" s="833" t="s">
        <v>133</v>
      </c>
      <c r="D3" s="833" t="s">
        <v>15</v>
      </c>
      <c r="E3" s="833" t="s">
        <v>16</v>
      </c>
      <c r="F3" s="833" t="s">
        <v>133</v>
      </c>
      <c r="G3" s="833" t="s">
        <v>15</v>
      </c>
      <c r="H3" s="833" t="s">
        <v>16</v>
      </c>
      <c r="I3" s="833" t="s">
        <v>133</v>
      </c>
      <c r="J3" s="833" t="s">
        <v>15</v>
      </c>
      <c r="K3" s="833" t="s">
        <v>16</v>
      </c>
      <c r="L3" s="833" t="s">
        <v>133</v>
      </c>
      <c r="M3" s="833" t="s">
        <v>15</v>
      </c>
      <c r="N3" s="833" t="s">
        <v>16</v>
      </c>
      <c r="O3" s="833" t="s">
        <v>133</v>
      </c>
      <c r="P3" s="833" t="s">
        <v>15</v>
      </c>
      <c r="Q3" s="833" t="s">
        <v>16</v>
      </c>
      <c r="R3" s="852" t="s">
        <v>185</v>
      </c>
      <c r="S3" s="847"/>
      <c r="T3" s="848"/>
      <c r="U3" s="849"/>
      <c r="V3" s="847"/>
      <c r="W3" s="848"/>
      <c r="X3" s="849"/>
      <c r="Y3" s="847"/>
      <c r="Z3" s="848"/>
      <c r="AA3" s="849"/>
      <c r="AB3" s="847"/>
      <c r="AC3" s="848"/>
      <c r="AD3" s="849"/>
      <c r="AE3" s="840"/>
      <c r="AF3" s="841"/>
      <c r="AG3" s="851"/>
      <c r="AH3" s="840"/>
      <c r="AI3" s="841"/>
      <c r="AJ3" s="851"/>
      <c r="AK3" s="840"/>
      <c r="AL3" s="841"/>
      <c r="AM3" s="841"/>
      <c r="AN3" s="843"/>
    </row>
    <row r="4" spans="1:40" ht="15.75" thickTop="1">
      <c r="A4" s="835"/>
      <c r="B4" s="291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52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238256</v>
      </c>
      <c r="E5" s="59">
        <f t="shared" ref="E5:E15" si="1">IF((D5-D4)&lt;0,"0",(D5-D4))</f>
        <v>238256</v>
      </c>
      <c r="F5" s="97">
        <f t="shared" ref="F5:F37" si="2">G4</f>
        <v>0</v>
      </c>
      <c r="G5" s="452">
        <f>'[5]Water-Meter'!$G$35</f>
        <v>38000</v>
      </c>
      <c r="H5" s="559">
        <f t="shared" ref="H5:H24" si="3">IF((G5-G4)&lt;0,"0",(G5-G4))</f>
        <v>38000</v>
      </c>
      <c r="I5" s="97">
        <f t="shared" ref="I5:I24" si="4">J4</f>
        <v>0</v>
      </c>
      <c r="J5" s="1">
        <v>7991</v>
      </c>
      <c r="K5" s="559">
        <f t="shared" ref="K5:K27" si="5">IF((J5-J4)&lt;0,"0",(J5-J4))</f>
        <v>7991</v>
      </c>
      <c r="L5" s="97">
        <f t="shared" ref="L5:L24" si="6">M4</f>
        <v>0</v>
      </c>
      <c r="M5" s="1">
        <f>'[5]Water-Meter'!$M$35</f>
        <v>12366</v>
      </c>
      <c r="N5" s="559">
        <f t="shared" ref="N5:N24" si="7">IF((M5-M4)&lt;0,"0",(M5-M4))</f>
        <v>12366</v>
      </c>
      <c r="O5" s="97">
        <f t="shared" ref="O5:O25" si="8">P4</f>
        <v>0</v>
      </c>
      <c r="P5" s="448">
        <v>20202</v>
      </c>
      <c r="Q5" s="559">
        <f t="shared" ref="Q5:Q27" si="9">IF((P5-P4)&lt;0,"0",(P5-P4))</f>
        <v>20202</v>
      </c>
      <c r="R5" s="293"/>
      <c r="S5" s="292"/>
      <c r="T5" s="449">
        <v>55859</v>
      </c>
      <c r="U5" s="292"/>
      <c r="V5" s="292" t="str">
        <f t="shared" ref="V5:V20" si="10">W4</f>
        <v>FINAL</v>
      </c>
      <c r="W5" s="449">
        <v>73030</v>
      </c>
      <c r="X5" s="293"/>
      <c r="Y5" s="292" t="str">
        <f t="shared" ref="Y5:Y37" si="11">Z4</f>
        <v>FINAL</v>
      </c>
      <c r="Z5" s="449">
        <v>82254</v>
      </c>
      <c r="AA5" s="293"/>
      <c r="AB5" s="758" t="str">
        <f t="shared" ref="AB5" si="12">AC4</f>
        <v>FINAL</v>
      </c>
      <c r="AC5" s="293">
        <v>14567</v>
      </c>
      <c r="AD5" s="760"/>
      <c r="AE5" s="292" t="str">
        <f t="shared" ref="AE5:AE37" si="13">AF4</f>
        <v>FINAL</v>
      </c>
      <c r="AF5" s="450">
        <f>'[5]Water-Meter'!$AF$35</f>
        <v>18300</v>
      </c>
      <c r="AG5" s="307"/>
      <c r="AH5" s="292" t="str">
        <f t="shared" ref="AH5:AH37" si="14">AI4</f>
        <v>FINAL</v>
      </c>
      <c r="AI5" s="450">
        <v>25240</v>
      </c>
      <c r="AJ5" s="307"/>
      <c r="AK5" s="371" t="str">
        <f t="shared" ref="AK5:AK37" si="15">AL4</f>
        <v>FINAL</v>
      </c>
      <c r="AL5" s="449"/>
      <c r="AM5" s="307"/>
      <c r="AN5" s="454"/>
    </row>
    <row r="6" spans="1:40" ht="23.1" customHeight="1">
      <c r="A6" s="58">
        <f>Gen!B11</f>
        <v>44044</v>
      </c>
      <c r="B6" s="4"/>
      <c r="C6" s="97">
        <f t="shared" si="0"/>
        <v>238256</v>
      </c>
      <c r="D6" s="1">
        <v>238307</v>
      </c>
      <c r="E6" s="59">
        <f t="shared" si="1"/>
        <v>51</v>
      </c>
      <c r="F6" s="97">
        <f t="shared" si="2"/>
        <v>38000</v>
      </c>
      <c r="G6" s="452">
        <f>'[5]Water-Meter'!$G$35</f>
        <v>38000</v>
      </c>
      <c r="H6" s="559">
        <f t="shared" si="3"/>
        <v>0</v>
      </c>
      <c r="I6" s="97">
        <f t="shared" si="4"/>
        <v>7991</v>
      </c>
      <c r="J6" s="1">
        <v>7992</v>
      </c>
      <c r="K6" s="559">
        <f>J6-J5</f>
        <v>1</v>
      </c>
      <c r="L6" s="97">
        <f t="shared" si="6"/>
        <v>12366</v>
      </c>
      <c r="M6" s="1">
        <f>'[5]Water-Meter'!$M$35</f>
        <v>12366</v>
      </c>
      <c r="N6" s="559">
        <f t="shared" si="7"/>
        <v>0</v>
      </c>
      <c r="O6" s="97">
        <f t="shared" si="8"/>
        <v>20202</v>
      </c>
      <c r="P6" s="448">
        <v>20203</v>
      </c>
      <c r="Q6" s="559">
        <f t="shared" si="9"/>
        <v>1</v>
      </c>
      <c r="R6" s="297"/>
      <c r="S6" s="292">
        <f t="shared" ref="S6:S24" si="16">T5</f>
        <v>55859</v>
      </c>
      <c r="T6" s="449">
        <v>55939</v>
      </c>
      <c r="U6" s="560">
        <f t="shared" ref="U6:U24" si="17">IF((T6-T5)&lt;0,"0",(T6-T5))</f>
        <v>80</v>
      </c>
      <c r="V6" s="292">
        <f t="shared" si="10"/>
        <v>73030</v>
      </c>
      <c r="W6" s="449">
        <v>73030</v>
      </c>
      <c r="X6" s="560">
        <f t="shared" ref="X6:X37" si="18">IF((W6-W5)&lt;0,"0",(W6-W5))</f>
        <v>0</v>
      </c>
      <c r="Y6" s="292">
        <f t="shared" si="11"/>
        <v>82254</v>
      </c>
      <c r="Z6" s="449">
        <v>82289</v>
      </c>
      <c r="AA6" s="560">
        <f t="shared" ref="AA6:AA37" si="19">IF((Z6-Z5)&lt;0,"0",(Z6-Z5))</f>
        <v>35</v>
      </c>
      <c r="AB6" s="758">
        <f>AC5</f>
        <v>14567</v>
      </c>
      <c r="AC6" s="759">
        <v>14579</v>
      </c>
      <c r="AD6" s="761">
        <f>AC6-AB6</f>
        <v>12</v>
      </c>
      <c r="AE6" s="292">
        <f t="shared" si="13"/>
        <v>18300</v>
      </c>
      <c r="AF6" s="450">
        <f>'[5]Water-Meter'!$AF$35</f>
        <v>18300</v>
      </c>
      <c r="AG6" s="560">
        <f t="shared" ref="AG6:AG37" si="20">IF((AF6-AF5)&lt;0,"0",(AF6-AF5))</f>
        <v>0</v>
      </c>
      <c r="AH6" s="292">
        <f t="shared" si="14"/>
        <v>25240</v>
      </c>
      <c r="AI6" s="450">
        <v>25283</v>
      </c>
      <c r="AJ6" s="560">
        <f t="shared" ref="AJ6:AJ37" si="21">IF((AI6-AI5)&lt;0,"0",(AI6-AI5))</f>
        <v>43</v>
      </c>
      <c r="AK6" s="371">
        <f t="shared" si="15"/>
        <v>0</v>
      </c>
      <c r="AL6" s="449"/>
      <c r="AM6" s="560">
        <f t="shared" ref="AM6:AM37" si="22">IF((AL6-AL5)&lt;0,"0",(AL6-AL5))</f>
        <v>0</v>
      </c>
      <c r="AN6" s="454">
        <f>U6+X6+AA6+AD6+AG6+AJ6+AM6</f>
        <v>170</v>
      </c>
    </row>
    <row r="7" spans="1:40" ht="23.1" customHeight="1">
      <c r="A7" s="58">
        <f>Gen!B12</f>
        <v>44045</v>
      </c>
      <c r="B7" s="4"/>
      <c r="C7" s="97">
        <f t="shared" si="0"/>
        <v>238307</v>
      </c>
      <c r="D7" s="1">
        <v>238360</v>
      </c>
      <c r="E7" s="59">
        <f t="shared" si="1"/>
        <v>53</v>
      </c>
      <c r="F7" s="97">
        <f t="shared" si="2"/>
        <v>38000</v>
      </c>
      <c r="G7" s="452">
        <f>'[5]Water-Meter'!$G$35</f>
        <v>38000</v>
      </c>
      <c r="H7" s="559">
        <f t="shared" si="3"/>
        <v>0</v>
      </c>
      <c r="I7" s="97">
        <f t="shared" si="4"/>
        <v>7992</v>
      </c>
      <c r="J7" s="1">
        <v>7993</v>
      </c>
      <c r="K7" s="559">
        <f>J7-J6</f>
        <v>1</v>
      </c>
      <c r="L7" s="97">
        <f t="shared" si="6"/>
        <v>12366</v>
      </c>
      <c r="M7" s="1">
        <f>'[5]Water-Meter'!$M$35</f>
        <v>12366</v>
      </c>
      <c r="N7" s="559">
        <f t="shared" si="7"/>
        <v>0</v>
      </c>
      <c r="O7" s="97">
        <f t="shared" si="8"/>
        <v>20203</v>
      </c>
      <c r="P7" s="448">
        <v>20204</v>
      </c>
      <c r="Q7" s="559">
        <f t="shared" si="9"/>
        <v>1</v>
      </c>
      <c r="R7" s="297"/>
      <c r="S7" s="292">
        <f t="shared" si="16"/>
        <v>55939</v>
      </c>
      <c r="T7" s="449">
        <v>56036</v>
      </c>
      <c r="U7" s="560">
        <f t="shared" si="17"/>
        <v>97</v>
      </c>
      <c r="V7" s="292">
        <f t="shared" si="10"/>
        <v>73030</v>
      </c>
      <c r="W7" s="449">
        <v>73030</v>
      </c>
      <c r="X7" s="560">
        <f t="shared" si="18"/>
        <v>0</v>
      </c>
      <c r="Y7" s="292">
        <f t="shared" si="11"/>
        <v>82289</v>
      </c>
      <c r="Z7" s="449">
        <v>82327</v>
      </c>
      <c r="AA7" s="560">
        <f t="shared" si="19"/>
        <v>38</v>
      </c>
      <c r="AB7" s="758">
        <f t="shared" ref="AB7:AB37" si="23">AC6</f>
        <v>14579</v>
      </c>
      <c r="AC7" s="759">
        <v>14596</v>
      </c>
      <c r="AD7" s="761">
        <f t="shared" ref="AD7:AD37" si="24">AC7-AB7</f>
        <v>17</v>
      </c>
      <c r="AE7" s="292">
        <f t="shared" si="13"/>
        <v>18300</v>
      </c>
      <c r="AF7" s="450">
        <f>'[5]Water-Meter'!$AF$35</f>
        <v>18300</v>
      </c>
      <c r="AG7" s="560">
        <f t="shared" si="20"/>
        <v>0</v>
      </c>
      <c r="AH7" s="292">
        <f t="shared" si="14"/>
        <v>25283</v>
      </c>
      <c r="AI7" s="450">
        <v>25316</v>
      </c>
      <c r="AJ7" s="560">
        <f t="shared" si="21"/>
        <v>33</v>
      </c>
      <c r="AK7" s="371">
        <f t="shared" si="15"/>
        <v>0</v>
      </c>
      <c r="AL7" s="449"/>
      <c r="AM7" s="560">
        <f t="shared" si="22"/>
        <v>0</v>
      </c>
      <c r="AN7" s="454">
        <f t="shared" ref="AN7:AN36" si="25">U7+X7+AA7+AD7+AG7+AJ7+AM7</f>
        <v>185</v>
      </c>
    </row>
    <row r="8" spans="1:40" ht="23.1" customHeight="1">
      <c r="A8" s="58">
        <f>Gen!B13</f>
        <v>44046</v>
      </c>
      <c r="B8" s="4"/>
      <c r="C8" s="97">
        <f t="shared" si="0"/>
        <v>238360</v>
      </c>
      <c r="D8" s="1">
        <v>238402</v>
      </c>
      <c r="E8" s="59">
        <f t="shared" si="1"/>
        <v>42</v>
      </c>
      <c r="F8" s="97">
        <f t="shared" si="2"/>
        <v>38000</v>
      </c>
      <c r="G8" s="452">
        <f>'[5]Water-Meter'!$G$35</f>
        <v>38000</v>
      </c>
      <c r="H8" s="559">
        <f t="shared" si="3"/>
        <v>0</v>
      </c>
      <c r="I8" s="97">
        <f t="shared" si="4"/>
        <v>7993</v>
      </c>
      <c r="J8" s="1">
        <v>7994</v>
      </c>
      <c r="K8" s="559">
        <f>J8-J7</f>
        <v>1</v>
      </c>
      <c r="L8" s="97">
        <f t="shared" si="6"/>
        <v>12366</v>
      </c>
      <c r="M8" s="1">
        <f>'[5]Water-Meter'!$M$35</f>
        <v>12366</v>
      </c>
      <c r="N8" s="559">
        <f t="shared" si="7"/>
        <v>0</v>
      </c>
      <c r="O8" s="97">
        <f t="shared" si="8"/>
        <v>20204</v>
      </c>
      <c r="P8" s="448">
        <v>20205</v>
      </c>
      <c r="Q8" s="559">
        <f t="shared" si="9"/>
        <v>1</v>
      </c>
      <c r="R8" s="297"/>
      <c r="S8" s="292">
        <f t="shared" si="16"/>
        <v>56036</v>
      </c>
      <c r="T8" s="449">
        <v>56119</v>
      </c>
      <c r="U8" s="560">
        <f t="shared" si="17"/>
        <v>83</v>
      </c>
      <c r="V8" s="292">
        <f t="shared" si="10"/>
        <v>73030</v>
      </c>
      <c r="W8" s="449">
        <v>73030</v>
      </c>
      <c r="X8" s="560">
        <f t="shared" si="18"/>
        <v>0</v>
      </c>
      <c r="Y8" s="292">
        <f t="shared" si="11"/>
        <v>82327</v>
      </c>
      <c r="Z8" s="449">
        <v>82367</v>
      </c>
      <c r="AA8" s="560">
        <f t="shared" si="19"/>
        <v>40</v>
      </c>
      <c r="AB8" s="758">
        <f t="shared" si="23"/>
        <v>14596</v>
      </c>
      <c r="AC8" s="759">
        <v>14616</v>
      </c>
      <c r="AD8" s="761">
        <f t="shared" si="24"/>
        <v>20</v>
      </c>
      <c r="AE8" s="292">
        <f t="shared" si="13"/>
        <v>18300</v>
      </c>
      <c r="AF8" s="450">
        <f>'[5]Water-Meter'!$AF$35</f>
        <v>18300</v>
      </c>
      <c r="AG8" s="560">
        <f t="shared" si="20"/>
        <v>0</v>
      </c>
      <c r="AH8" s="292">
        <f t="shared" si="14"/>
        <v>25316</v>
      </c>
      <c r="AI8" s="450">
        <v>25328</v>
      </c>
      <c r="AJ8" s="560">
        <f t="shared" si="21"/>
        <v>12</v>
      </c>
      <c r="AK8" s="371">
        <f t="shared" si="15"/>
        <v>0</v>
      </c>
      <c r="AL8" s="449"/>
      <c r="AM8" s="560">
        <f t="shared" si="22"/>
        <v>0</v>
      </c>
      <c r="AN8" s="454">
        <f t="shared" si="25"/>
        <v>155</v>
      </c>
    </row>
    <row r="9" spans="1:40" ht="23.1" customHeight="1">
      <c r="A9" s="58">
        <f>Gen!B14</f>
        <v>44047</v>
      </c>
      <c r="B9" s="4"/>
      <c r="C9" s="97">
        <f t="shared" si="0"/>
        <v>238402</v>
      </c>
      <c r="D9" s="1">
        <v>238469</v>
      </c>
      <c r="E9" s="59">
        <f t="shared" si="1"/>
        <v>67</v>
      </c>
      <c r="F9" s="97">
        <f t="shared" si="2"/>
        <v>38000</v>
      </c>
      <c r="G9" s="452">
        <f>'[5]Water-Meter'!$G$35</f>
        <v>38000</v>
      </c>
      <c r="H9" s="559">
        <f t="shared" si="3"/>
        <v>0</v>
      </c>
      <c r="I9" s="97">
        <f t="shared" si="4"/>
        <v>7994</v>
      </c>
      <c r="J9" s="1">
        <v>7994</v>
      </c>
      <c r="K9" s="559">
        <f>J9-J8</f>
        <v>0</v>
      </c>
      <c r="L9" s="97">
        <f t="shared" si="6"/>
        <v>12366</v>
      </c>
      <c r="M9" s="1">
        <f>'[5]Water-Meter'!$M$35</f>
        <v>12366</v>
      </c>
      <c r="N9" s="559">
        <f t="shared" si="7"/>
        <v>0</v>
      </c>
      <c r="O9" s="97">
        <f t="shared" si="8"/>
        <v>20205</v>
      </c>
      <c r="P9" s="448">
        <v>20206</v>
      </c>
      <c r="Q9" s="559">
        <f t="shared" si="9"/>
        <v>1</v>
      </c>
      <c r="R9" s="297"/>
      <c r="S9" s="292">
        <f t="shared" si="16"/>
        <v>56119</v>
      </c>
      <c r="T9" s="449">
        <v>56206</v>
      </c>
      <c r="U9" s="560">
        <f t="shared" si="17"/>
        <v>87</v>
      </c>
      <c r="V9" s="292">
        <f t="shared" si="10"/>
        <v>73030</v>
      </c>
      <c r="W9" s="449">
        <v>73030</v>
      </c>
      <c r="X9" s="560">
        <f t="shared" si="18"/>
        <v>0</v>
      </c>
      <c r="Y9" s="292">
        <f t="shared" si="11"/>
        <v>82367</v>
      </c>
      <c r="Z9" s="449">
        <v>82404</v>
      </c>
      <c r="AA9" s="560">
        <f t="shared" si="19"/>
        <v>37</v>
      </c>
      <c r="AB9" s="758">
        <f t="shared" si="23"/>
        <v>14616</v>
      </c>
      <c r="AC9" s="759">
        <v>14632</v>
      </c>
      <c r="AD9" s="761">
        <f t="shared" si="24"/>
        <v>16</v>
      </c>
      <c r="AE9" s="292">
        <f t="shared" si="13"/>
        <v>18300</v>
      </c>
      <c r="AF9" s="450">
        <f>'[5]Water-Meter'!$AF$35</f>
        <v>18300</v>
      </c>
      <c r="AG9" s="560">
        <f t="shared" si="20"/>
        <v>0</v>
      </c>
      <c r="AH9" s="292">
        <f t="shared" ref="AH9" si="26">AI9</f>
        <v>25330</v>
      </c>
      <c r="AI9" s="450">
        <v>25330</v>
      </c>
      <c r="AJ9" s="560">
        <f t="shared" si="21"/>
        <v>2</v>
      </c>
      <c r="AK9" s="371">
        <f t="shared" si="15"/>
        <v>0</v>
      </c>
      <c r="AL9" s="449"/>
      <c r="AM9" s="560">
        <f t="shared" si="22"/>
        <v>0</v>
      </c>
      <c r="AN9" s="454">
        <f t="shared" si="25"/>
        <v>142</v>
      </c>
    </row>
    <row r="10" spans="1:40" ht="23.1" customHeight="1">
      <c r="A10" s="58">
        <f>Gen!B15</f>
        <v>44048</v>
      </c>
      <c r="B10" s="4"/>
      <c r="C10" s="97">
        <f t="shared" si="0"/>
        <v>238469</v>
      </c>
      <c r="D10" s="1">
        <v>238518</v>
      </c>
      <c r="E10" s="59">
        <f t="shared" si="1"/>
        <v>49</v>
      </c>
      <c r="F10" s="97">
        <f t="shared" si="2"/>
        <v>38000</v>
      </c>
      <c r="G10" s="452">
        <f>'[5]Water-Meter'!$G$35</f>
        <v>38000</v>
      </c>
      <c r="H10" s="559">
        <f t="shared" si="3"/>
        <v>0</v>
      </c>
      <c r="I10" s="97">
        <f t="shared" si="4"/>
        <v>7994</v>
      </c>
      <c r="J10" s="1">
        <v>7995</v>
      </c>
      <c r="K10" s="559">
        <f t="shared" si="5"/>
        <v>1</v>
      </c>
      <c r="L10" s="97">
        <f t="shared" si="6"/>
        <v>12366</v>
      </c>
      <c r="M10" s="1">
        <f>'[5]Water-Meter'!$M$35</f>
        <v>12366</v>
      </c>
      <c r="N10" s="559">
        <f t="shared" si="7"/>
        <v>0</v>
      </c>
      <c r="O10" s="97">
        <f t="shared" si="8"/>
        <v>20206</v>
      </c>
      <c r="P10" s="448">
        <v>20207</v>
      </c>
      <c r="Q10" s="559">
        <f t="shared" si="9"/>
        <v>1</v>
      </c>
      <c r="R10" s="297"/>
      <c r="S10" s="292">
        <f t="shared" si="16"/>
        <v>56206</v>
      </c>
      <c r="T10" s="449">
        <v>56295</v>
      </c>
      <c r="U10" s="560">
        <f t="shared" si="17"/>
        <v>89</v>
      </c>
      <c r="V10" s="292">
        <f t="shared" si="10"/>
        <v>73030</v>
      </c>
      <c r="W10" s="449">
        <v>73030</v>
      </c>
      <c r="X10" s="560">
        <f t="shared" si="18"/>
        <v>0</v>
      </c>
      <c r="Y10" s="292">
        <f t="shared" si="11"/>
        <v>82404</v>
      </c>
      <c r="Z10" s="449">
        <v>82442</v>
      </c>
      <c r="AA10" s="560">
        <f t="shared" si="19"/>
        <v>38</v>
      </c>
      <c r="AB10" s="758">
        <f t="shared" si="23"/>
        <v>14632</v>
      </c>
      <c r="AC10" s="759">
        <v>14648</v>
      </c>
      <c r="AD10" s="761">
        <f t="shared" si="24"/>
        <v>16</v>
      </c>
      <c r="AE10" s="292">
        <f t="shared" si="13"/>
        <v>18300</v>
      </c>
      <c r="AF10" s="450">
        <f>'[5]Water-Meter'!$AF$35</f>
        <v>18300</v>
      </c>
      <c r="AG10" s="560">
        <f>IF((AF11-AF9)&lt;0,"0",(AF11-AF9))</f>
        <v>0</v>
      </c>
      <c r="AH10" s="292">
        <f t="shared" si="14"/>
        <v>25330</v>
      </c>
      <c r="AI10" s="450">
        <v>25330</v>
      </c>
      <c r="AJ10" s="560">
        <f t="shared" si="21"/>
        <v>0</v>
      </c>
      <c r="AK10" s="371">
        <f t="shared" si="15"/>
        <v>0</v>
      </c>
      <c r="AL10" s="449"/>
      <c r="AM10" s="560">
        <f t="shared" si="22"/>
        <v>0</v>
      </c>
      <c r="AN10" s="454">
        <f t="shared" si="25"/>
        <v>143</v>
      </c>
    </row>
    <row r="11" spans="1:40" ht="23.1" customHeight="1">
      <c r="A11" s="58">
        <f>Gen!B16</f>
        <v>44049</v>
      </c>
      <c r="B11" s="4"/>
      <c r="C11" s="97">
        <f t="shared" si="0"/>
        <v>238518</v>
      </c>
      <c r="D11" s="1">
        <v>238584</v>
      </c>
      <c r="E11" s="59">
        <f t="shared" si="1"/>
        <v>66</v>
      </c>
      <c r="F11" s="97">
        <f t="shared" si="2"/>
        <v>38000</v>
      </c>
      <c r="G11" s="452">
        <f>'[5]Water-Meter'!$G$35</f>
        <v>38000</v>
      </c>
      <c r="H11" s="559">
        <f t="shared" si="3"/>
        <v>0</v>
      </c>
      <c r="I11" s="97">
        <f t="shared" si="4"/>
        <v>7995</v>
      </c>
      <c r="J11" s="1">
        <v>7996</v>
      </c>
      <c r="K11" s="559">
        <f t="shared" si="5"/>
        <v>1</v>
      </c>
      <c r="L11" s="97">
        <f t="shared" si="6"/>
        <v>12366</v>
      </c>
      <c r="M11" s="1">
        <f>'[5]Water-Meter'!$M$35</f>
        <v>12366</v>
      </c>
      <c r="N11" s="559">
        <f t="shared" si="7"/>
        <v>0</v>
      </c>
      <c r="O11" s="97">
        <f t="shared" si="8"/>
        <v>20207</v>
      </c>
      <c r="P11" s="448">
        <v>20210</v>
      </c>
      <c r="Q11" s="559">
        <f t="shared" si="9"/>
        <v>3</v>
      </c>
      <c r="R11" s="297"/>
      <c r="S11" s="292">
        <f t="shared" si="16"/>
        <v>56295</v>
      </c>
      <c r="T11" s="449">
        <v>56382</v>
      </c>
      <c r="U11" s="560">
        <f t="shared" si="17"/>
        <v>87</v>
      </c>
      <c r="V11" s="292">
        <f t="shared" si="10"/>
        <v>73030</v>
      </c>
      <c r="W11" s="449">
        <v>73030</v>
      </c>
      <c r="X11" s="560">
        <f t="shared" si="18"/>
        <v>0</v>
      </c>
      <c r="Y11" s="292">
        <f t="shared" si="11"/>
        <v>82442</v>
      </c>
      <c r="Z11" s="449">
        <v>82479</v>
      </c>
      <c r="AA11" s="560">
        <f t="shared" si="19"/>
        <v>37</v>
      </c>
      <c r="AB11" s="758">
        <f t="shared" si="23"/>
        <v>14648</v>
      </c>
      <c r="AC11" s="759">
        <v>14664</v>
      </c>
      <c r="AD11" s="761">
        <f t="shared" si="24"/>
        <v>16</v>
      </c>
      <c r="AE11" s="292">
        <f>AF11</f>
        <v>18300</v>
      </c>
      <c r="AF11" s="450">
        <f>'[5]Water-Meter'!$AF$35</f>
        <v>18300</v>
      </c>
      <c r="AG11" s="560">
        <f t="shared" ref="AG11:AG17" si="27">IF((AF12-AF10)&lt;0,"0",(AF12-AF10))</f>
        <v>0</v>
      </c>
      <c r="AH11" s="292">
        <f t="shared" si="14"/>
        <v>25330</v>
      </c>
      <c r="AI11" s="450">
        <v>25335</v>
      </c>
      <c r="AJ11" s="560">
        <f t="shared" si="21"/>
        <v>5</v>
      </c>
      <c r="AK11" s="371">
        <f t="shared" si="15"/>
        <v>0</v>
      </c>
      <c r="AL11" s="449"/>
      <c r="AM11" s="560">
        <f t="shared" si="22"/>
        <v>0</v>
      </c>
      <c r="AN11" s="454">
        <f t="shared" si="25"/>
        <v>145</v>
      </c>
    </row>
    <row r="12" spans="1:40" ht="23.1" customHeight="1">
      <c r="A12" s="58">
        <f>Gen!B17</f>
        <v>44050</v>
      </c>
      <c r="B12" s="4"/>
      <c r="C12" s="97">
        <f t="shared" si="0"/>
        <v>238584</v>
      </c>
      <c r="D12" s="1">
        <v>238635</v>
      </c>
      <c r="E12" s="59">
        <f t="shared" si="1"/>
        <v>51</v>
      </c>
      <c r="F12" s="97">
        <f t="shared" si="2"/>
        <v>38000</v>
      </c>
      <c r="G12" s="452">
        <f>'[5]Water-Meter'!$G$35</f>
        <v>38000</v>
      </c>
      <c r="H12" s="559">
        <f t="shared" si="3"/>
        <v>0</v>
      </c>
      <c r="I12" s="97">
        <f t="shared" si="4"/>
        <v>7996</v>
      </c>
      <c r="J12" s="1">
        <v>7997</v>
      </c>
      <c r="K12" s="559">
        <f t="shared" si="5"/>
        <v>1</v>
      </c>
      <c r="L12" s="97">
        <f t="shared" si="6"/>
        <v>12366</v>
      </c>
      <c r="M12" s="1">
        <f>'[5]Water-Meter'!$M$35</f>
        <v>12366</v>
      </c>
      <c r="N12" s="559">
        <f t="shared" si="7"/>
        <v>0</v>
      </c>
      <c r="O12" s="97">
        <f t="shared" si="8"/>
        <v>20210</v>
      </c>
      <c r="P12" s="448">
        <v>20211</v>
      </c>
      <c r="Q12" s="559">
        <f t="shared" si="9"/>
        <v>1</v>
      </c>
      <c r="R12" s="297"/>
      <c r="S12" s="292">
        <f t="shared" si="16"/>
        <v>56382</v>
      </c>
      <c r="T12" s="449">
        <v>56469</v>
      </c>
      <c r="U12" s="560">
        <f t="shared" si="17"/>
        <v>87</v>
      </c>
      <c r="V12" s="292">
        <f t="shared" si="10"/>
        <v>73030</v>
      </c>
      <c r="W12" s="449">
        <v>73030</v>
      </c>
      <c r="X12" s="560">
        <f t="shared" si="18"/>
        <v>0</v>
      </c>
      <c r="Y12" s="292">
        <f t="shared" si="11"/>
        <v>82479</v>
      </c>
      <c r="Z12" s="449">
        <v>82517</v>
      </c>
      <c r="AA12" s="560">
        <f t="shared" si="19"/>
        <v>38</v>
      </c>
      <c r="AB12" s="758">
        <f t="shared" si="23"/>
        <v>14664</v>
      </c>
      <c r="AC12" s="759">
        <v>14679</v>
      </c>
      <c r="AD12" s="761">
        <f t="shared" si="24"/>
        <v>15</v>
      </c>
      <c r="AE12" s="292">
        <f t="shared" ref="AE12:AE20" si="28">AF12</f>
        <v>18300</v>
      </c>
      <c r="AF12" s="450">
        <f>'[5]Water-Meter'!$AF$35</f>
        <v>18300</v>
      </c>
      <c r="AG12" s="560">
        <f t="shared" si="27"/>
        <v>0</v>
      </c>
      <c r="AH12" s="292">
        <f t="shared" si="14"/>
        <v>25335</v>
      </c>
      <c r="AI12" s="450">
        <v>25335</v>
      </c>
      <c r="AJ12" s="560">
        <f t="shared" si="21"/>
        <v>0</v>
      </c>
      <c r="AK12" s="371">
        <f t="shared" si="15"/>
        <v>0</v>
      </c>
      <c r="AL12" s="449"/>
      <c r="AM12" s="560">
        <f t="shared" si="22"/>
        <v>0</v>
      </c>
      <c r="AN12" s="454">
        <f t="shared" si="25"/>
        <v>140</v>
      </c>
    </row>
    <row r="13" spans="1:40" ht="23.1" customHeight="1">
      <c r="A13" s="58">
        <f>Gen!B18</f>
        <v>44051</v>
      </c>
      <c r="B13" s="4"/>
      <c r="C13" s="97">
        <f t="shared" si="0"/>
        <v>238635</v>
      </c>
      <c r="D13" s="1">
        <v>238696</v>
      </c>
      <c r="E13" s="59">
        <f t="shared" si="1"/>
        <v>61</v>
      </c>
      <c r="F13" s="97">
        <f t="shared" si="2"/>
        <v>38000</v>
      </c>
      <c r="G13" s="452">
        <f>'[5]Water-Meter'!$G$35</f>
        <v>38000</v>
      </c>
      <c r="H13" s="559">
        <f t="shared" si="3"/>
        <v>0</v>
      </c>
      <c r="I13" s="97">
        <f t="shared" si="4"/>
        <v>7997</v>
      </c>
      <c r="J13" s="1">
        <v>7998</v>
      </c>
      <c r="K13" s="559">
        <f t="shared" si="5"/>
        <v>1</v>
      </c>
      <c r="L13" s="97">
        <f t="shared" si="6"/>
        <v>12366</v>
      </c>
      <c r="M13" s="1">
        <v>12675</v>
      </c>
      <c r="N13" s="559">
        <f t="shared" si="7"/>
        <v>309</v>
      </c>
      <c r="O13" s="97">
        <f t="shared" si="8"/>
        <v>20211</v>
      </c>
      <c r="P13" s="448">
        <v>20213</v>
      </c>
      <c r="Q13" s="559">
        <f t="shared" si="9"/>
        <v>2</v>
      </c>
      <c r="R13" s="297"/>
      <c r="S13" s="292">
        <f t="shared" si="16"/>
        <v>56469</v>
      </c>
      <c r="T13" s="449">
        <v>56553</v>
      </c>
      <c r="U13" s="560">
        <f t="shared" si="17"/>
        <v>84</v>
      </c>
      <c r="V13" s="292">
        <f t="shared" si="10"/>
        <v>73030</v>
      </c>
      <c r="W13" s="449">
        <v>73030</v>
      </c>
      <c r="X13" s="560">
        <f t="shared" si="18"/>
        <v>0</v>
      </c>
      <c r="Y13" s="292">
        <f t="shared" si="11"/>
        <v>82517</v>
      </c>
      <c r="Z13" s="449">
        <v>82554</v>
      </c>
      <c r="AA13" s="560">
        <f t="shared" si="19"/>
        <v>37</v>
      </c>
      <c r="AB13" s="758">
        <f t="shared" si="23"/>
        <v>14679</v>
      </c>
      <c r="AC13" s="759">
        <v>14695</v>
      </c>
      <c r="AD13" s="761">
        <f t="shared" si="24"/>
        <v>16</v>
      </c>
      <c r="AE13" s="292">
        <f t="shared" si="28"/>
        <v>18300</v>
      </c>
      <c r="AF13" s="450">
        <f>'[5]Water-Meter'!$AF$35</f>
        <v>18300</v>
      </c>
      <c r="AG13" s="560">
        <f t="shared" si="27"/>
        <v>0</v>
      </c>
      <c r="AH13" s="292">
        <f t="shared" si="14"/>
        <v>25335</v>
      </c>
      <c r="AI13" s="450">
        <v>25335</v>
      </c>
      <c r="AJ13" s="560">
        <f t="shared" si="21"/>
        <v>0</v>
      </c>
      <c r="AK13" s="371">
        <f t="shared" si="15"/>
        <v>0</v>
      </c>
      <c r="AL13" s="449"/>
      <c r="AM13" s="560">
        <f t="shared" si="22"/>
        <v>0</v>
      </c>
      <c r="AN13" s="454">
        <f t="shared" si="25"/>
        <v>137</v>
      </c>
    </row>
    <row r="14" spans="1:40" ht="23.1" customHeight="1">
      <c r="A14" s="58">
        <f>Gen!B19</f>
        <v>44052</v>
      </c>
      <c r="B14" s="4"/>
      <c r="C14" s="97">
        <f t="shared" si="0"/>
        <v>238696</v>
      </c>
      <c r="D14" s="1">
        <v>238759</v>
      </c>
      <c r="E14" s="59">
        <f t="shared" si="1"/>
        <v>63</v>
      </c>
      <c r="F14" s="97">
        <f t="shared" si="2"/>
        <v>38000</v>
      </c>
      <c r="G14" s="452">
        <f>'[5]Water-Meter'!$G$35</f>
        <v>38000</v>
      </c>
      <c r="H14" s="559">
        <f t="shared" si="3"/>
        <v>0</v>
      </c>
      <c r="I14" s="97">
        <f t="shared" si="4"/>
        <v>7998</v>
      </c>
      <c r="J14" s="1">
        <v>7998</v>
      </c>
      <c r="K14" s="559">
        <f t="shared" si="5"/>
        <v>0</v>
      </c>
      <c r="L14" s="97">
        <f t="shared" si="6"/>
        <v>12675</v>
      </c>
      <c r="M14" s="1">
        <v>12675</v>
      </c>
      <c r="N14" s="559">
        <f t="shared" si="7"/>
        <v>0</v>
      </c>
      <c r="O14" s="97">
        <f t="shared" si="8"/>
        <v>20213</v>
      </c>
      <c r="P14" s="448">
        <v>20214</v>
      </c>
      <c r="Q14" s="559">
        <f t="shared" si="9"/>
        <v>1</v>
      </c>
      <c r="R14" s="297"/>
      <c r="S14" s="292">
        <f t="shared" si="16"/>
        <v>56553</v>
      </c>
      <c r="T14" s="449">
        <v>56637</v>
      </c>
      <c r="U14" s="560">
        <f t="shared" si="17"/>
        <v>84</v>
      </c>
      <c r="V14" s="292">
        <f t="shared" si="10"/>
        <v>73030</v>
      </c>
      <c r="W14" s="449">
        <v>73030</v>
      </c>
      <c r="X14" s="560">
        <f t="shared" si="18"/>
        <v>0</v>
      </c>
      <c r="Y14" s="292">
        <f t="shared" si="11"/>
        <v>82554</v>
      </c>
      <c r="Z14" s="449">
        <v>82591</v>
      </c>
      <c r="AA14" s="560">
        <f t="shared" si="19"/>
        <v>37</v>
      </c>
      <c r="AB14" s="758">
        <f t="shared" si="23"/>
        <v>14695</v>
      </c>
      <c r="AC14" s="762">
        <v>14710</v>
      </c>
      <c r="AD14" s="761">
        <f t="shared" si="24"/>
        <v>15</v>
      </c>
      <c r="AE14" s="292">
        <f t="shared" si="28"/>
        <v>18300</v>
      </c>
      <c r="AF14" s="450">
        <f>'[5]Water-Meter'!$AF$35</f>
        <v>18300</v>
      </c>
      <c r="AG14" s="560">
        <f t="shared" si="27"/>
        <v>0</v>
      </c>
      <c r="AH14" s="292">
        <f t="shared" si="14"/>
        <v>25335</v>
      </c>
      <c r="AI14" s="450">
        <v>25335</v>
      </c>
      <c r="AJ14" s="560">
        <f t="shared" si="21"/>
        <v>0</v>
      </c>
      <c r="AK14" s="371">
        <f t="shared" si="15"/>
        <v>0</v>
      </c>
      <c r="AL14" s="449"/>
      <c r="AM14" s="560">
        <f t="shared" si="22"/>
        <v>0</v>
      </c>
      <c r="AN14" s="454">
        <f t="shared" si="25"/>
        <v>136</v>
      </c>
    </row>
    <row r="15" spans="1:40" ht="23.1" customHeight="1">
      <c r="A15" s="58">
        <f>Gen!B20</f>
        <v>44053</v>
      </c>
      <c r="B15" s="4"/>
      <c r="C15" s="97">
        <f t="shared" si="0"/>
        <v>238759</v>
      </c>
      <c r="D15" s="1">
        <v>238814</v>
      </c>
      <c r="E15" s="59">
        <f t="shared" si="1"/>
        <v>55</v>
      </c>
      <c r="F15" s="97">
        <f t="shared" si="2"/>
        <v>38000</v>
      </c>
      <c r="G15" s="452">
        <f>'[5]Water-Meter'!$G$35</f>
        <v>38000</v>
      </c>
      <c r="H15" s="559">
        <f t="shared" si="3"/>
        <v>0</v>
      </c>
      <c r="I15" s="97">
        <f t="shared" si="4"/>
        <v>7998</v>
      </c>
      <c r="J15" s="1">
        <v>7999</v>
      </c>
      <c r="K15" s="559">
        <f t="shared" si="5"/>
        <v>1</v>
      </c>
      <c r="L15" s="97">
        <f t="shared" si="6"/>
        <v>12675</v>
      </c>
      <c r="M15" s="1">
        <v>12675</v>
      </c>
      <c r="N15" s="559">
        <f t="shared" si="7"/>
        <v>0</v>
      </c>
      <c r="O15" s="97">
        <f t="shared" si="8"/>
        <v>20214</v>
      </c>
      <c r="P15" s="448">
        <v>20215</v>
      </c>
      <c r="Q15" s="559">
        <f t="shared" si="9"/>
        <v>1</v>
      </c>
      <c r="R15" s="297"/>
      <c r="S15" s="292">
        <f t="shared" si="16"/>
        <v>56637</v>
      </c>
      <c r="T15" s="449">
        <v>56637</v>
      </c>
      <c r="U15" s="560">
        <f t="shared" si="17"/>
        <v>0</v>
      </c>
      <c r="V15" s="292">
        <f t="shared" si="10"/>
        <v>73030</v>
      </c>
      <c r="W15" s="449">
        <v>73030</v>
      </c>
      <c r="X15" s="560">
        <f t="shared" si="18"/>
        <v>0</v>
      </c>
      <c r="Y15" s="292">
        <f t="shared" si="11"/>
        <v>82591</v>
      </c>
      <c r="Z15" s="449">
        <v>82628</v>
      </c>
      <c r="AA15" s="560">
        <f t="shared" si="19"/>
        <v>37</v>
      </c>
      <c r="AB15" s="758">
        <f t="shared" si="23"/>
        <v>14710</v>
      </c>
      <c r="AC15" s="762">
        <v>14726</v>
      </c>
      <c r="AD15" s="761">
        <f t="shared" si="24"/>
        <v>16</v>
      </c>
      <c r="AE15" s="292">
        <f t="shared" si="28"/>
        <v>18300</v>
      </c>
      <c r="AF15" s="450">
        <f>'[5]Water-Meter'!$AF$35</f>
        <v>18300</v>
      </c>
      <c r="AG15" s="560">
        <f t="shared" si="27"/>
        <v>0</v>
      </c>
      <c r="AH15" s="292">
        <f t="shared" si="14"/>
        <v>25335</v>
      </c>
      <c r="AI15" s="450">
        <v>25335</v>
      </c>
      <c r="AJ15" s="560">
        <f t="shared" si="21"/>
        <v>0</v>
      </c>
      <c r="AK15" s="371">
        <f t="shared" si="15"/>
        <v>0</v>
      </c>
      <c r="AL15" s="449"/>
      <c r="AM15" s="560">
        <f t="shared" si="22"/>
        <v>0</v>
      </c>
      <c r="AN15" s="454">
        <f t="shared" si="25"/>
        <v>53</v>
      </c>
    </row>
    <row r="16" spans="1:40" ht="23.1" customHeight="1">
      <c r="A16" s="58">
        <f>Gen!B21</f>
        <v>44054</v>
      </c>
      <c r="B16" s="4"/>
      <c r="C16" s="97">
        <f t="shared" si="0"/>
        <v>238814</v>
      </c>
      <c r="D16" s="1">
        <v>238881</v>
      </c>
      <c r="E16" s="59">
        <f>IF((D16-D15)&lt;0,"0",(D16-D15))</f>
        <v>67</v>
      </c>
      <c r="F16" s="97">
        <f t="shared" si="2"/>
        <v>38000</v>
      </c>
      <c r="G16" s="452">
        <f>'[5]Water-Meter'!$G$35</f>
        <v>38000</v>
      </c>
      <c r="H16" s="559">
        <f t="shared" si="3"/>
        <v>0</v>
      </c>
      <c r="I16" s="97">
        <f t="shared" si="4"/>
        <v>7999</v>
      </c>
      <c r="J16" s="1">
        <v>8000</v>
      </c>
      <c r="K16" s="559">
        <f t="shared" si="5"/>
        <v>1</v>
      </c>
      <c r="L16" s="97">
        <f t="shared" si="6"/>
        <v>12675</v>
      </c>
      <c r="M16" s="1">
        <v>12678</v>
      </c>
      <c r="N16" s="559">
        <f t="shared" si="7"/>
        <v>3</v>
      </c>
      <c r="O16" s="97">
        <f t="shared" si="8"/>
        <v>20215</v>
      </c>
      <c r="P16" s="448">
        <v>20217</v>
      </c>
      <c r="Q16" s="559">
        <f t="shared" si="9"/>
        <v>2</v>
      </c>
      <c r="R16" s="297"/>
      <c r="S16" s="292">
        <f t="shared" si="16"/>
        <v>56637</v>
      </c>
      <c r="T16" s="449">
        <v>56705</v>
      </c>
      <c r="U16" s="560">
        <f t="shared" si="17"/>
        <v>68</v>
      </c>
      <c r="V16" s="292">
        <f t="shared" si="10"/>
        <v>73030</v>
      </c>
      <c r="W16" s="449">
        <v>73030</v>
      </c>
      <c r="X16" s="560">
        <f t="shared" si="18"/>
        <v>0</v>
      </c>
      <c r="Y16" s="292">
        <f t="shared" si="11"/>
        <v>82628</v>
      </c>
      <c r="Z16" s="449">
        <v>82665</v>
      </c>
      <c r="AA16" s="560">
        <f t="shared" si="19"/>
        <v>37</v>
      </c>
      <c r="AB16" s="758">
        <f t="shared" si="23"/>
        <v>14726</v>
      </c>
      <c r="AC16" s="762">
        <v>14741</v>
      </c>
      <c r="AD16" s="761">
        <f t="shared" si="24"/>
        <v>15</v>
      </c>
      <c r="AE16" s="292">
        <f t="shared" si="28"/>
        <v>18300</v>
      </c>
      <c r="AF16" s="450">
        <f>'[5]Water-Meter'!$AF$35</f>
        <v>18300</v>
      </c>
      <c r="AG16" s="560">
        <f t="shared" si="27"/>
        <v>0</v>
      </c>
      <c r="AH16" s="292">
        <f t="shared" si="14"/>
        <v>25335</v>
      </c>
      <c r="AI16" s="450">
        <v>25335</v>
      </c>
      <c r="AJ16" s="560">
        <f t="shared" si="21"/>
        <v>0</v>
      </c>
      <c r="AK16" s="371">
        <f t="shared" si="15"/>
        <v>0</v>
      </c>
      <c r="AL16" s="449"/>
      <c r="AM16" s="560">
        <f t="shared" si="22"/>
        <v>0</v>
      </c>
      <c r="AN16" s="454">
        <f t="shared" si="25"/>
        <v>120</v>
      </c>
    </row>
    <row r="17" spans="1:40" ht="23.1" customHeight="1">
      <c r="A17" s="58">
        <f>Gen!B22</f>
        <v>44055</v>
      </c>
      <c r="B17" s="4"/>
      <c r="C17" s="97">
        <f t="shared" si="0"/>
        <v>238881</v>
      </c>
      <c r="D17" s="1">
        <v>238981</v>
      </c>
      <c r="E17" s="559">
        <f>IF((D17-D16)&lt;0,"0",(D17-D16))</f>
        <v>100</v>
      </c>
      <c r="F17" s="97">
        <f t="shared" si="2"/>
        <v>38000</v>
      </c>
      <c r="G17" s="452">
        <f>'[5]Water-Meter'!$G$35</f>
        <v>38000</v>
      </c>
      <c r="H17" s="559">
        <f t="shared" si="3"/>
        <v>0</v>
      </c>
      <c r="I17" s="97">
        <f t="shared" si="4"/>
        <v>8000</v>
      </c>
      <c r="J17" s="1">
        <v>8001</v>
      </c>
      <c r="K17" s="559">
        <f t="shared" si="5"/>
        <v>1</v>
      </c>
      <c r="L17" s="97">
        <f t="shared" si="6"/>
        <v>12678</v>
      </c>
      <c r="M17" s="1">
        <v>12678</v>
      </c>
      <c r="N17" s="559">
        <f t="shared" si="7"/>
        <v>0</v>
      </c>
      <c r="O17" s="97">
        <f t="shared" si="8"/>
        <v>20217</v>
      </c>
      <c r="P17" s="448">
        <v>20218</v>
      </c>
      <c r="Q17" s="559">
        <f t="shared" si="9"/>
        <v>1</v>
      </c>
      <c r="R17" s="297"/>
      <c r="S17" s="292">
        <f t="shared" si="16"/>
        <v>56705</v>
      </c>
      <c r="T17" s="449">
        <v>56781</v>
      </c>
      <c r="U17" s="560">
        <f t="shared" si="17"/>
        <v>76</v>
      </c>
      <c r="V17" s="292">
        <f t="shared" si="10"/>
        <v>73030</v>
      </c>
      <c r="W17" s="449">
        <v>73030</v>
      </c>
      <c r="X17" s="560">
        <f>IF((W17-W16)&lt;0,"0",(W17-W16))</f>
        <v>0</v>
      </c>
      <c r="Y17" s="292">
        <f t="shared" si="11"/>
        <v>82665</v>
      </c>
      <c r="Z17" s="449">
        <v>82703</v>
      </c>
      <c r="AA17" s="560">
        <f>IF((Z17-Z16)&lt;0,"0",(Z17-Z16))</f>
        <v>38</v>
      </c>
      <c r="AB17" s="758">
        <f t="shared" si="23"/>
        <v>14741</v>
      </c>
      <c r="AC17" s="762">
        <v>14754</v>
      </c>
      <c r="AD17" s="761">
        <f t="shared" si="24"/>
        <v>13</v>
      </c>
      <c r="AE17" s="292">
        <f t="shared" si="28"/>
        <v>18300</v>
      </c>
      <c r="AF17" s="450">
        <f>'[5]Water-Meter'!$AF$35</f>
        <v>18300</v>
      </c>
      <c r="AG17" s="560">
        <f t="shared" si="27"/>
        <v>0</v>
      </c>
      <c r="AH17" s="292">
        <f t="shared" si="14"/>
        <v>25335</v>
      </c>
      <c r="AI17" s="450">
        <v>25335</v>
      </c>
      <c r="AJ17" s="560">
        <f t="shared" si="21"/>
        <v>0</v>
      </c>
      <c r="AK17" s="371">
        <f t="shared" si="15"/>
        <v>0</v>
      </c>
      <c r="AL17" s="449"/>
      <c r="AM17" s="560">
        <f>IF((AL17-AL16)&lt;0,"0",(AL17-AL16))</f>
        <v>0</v>
      </c>
      <c r="AN17" s="454">
        <f t="shared" si="25"/>
        <v>127</v>
      </c>
    </row>
    <row r="18" spans="1:40" ht="23.1" customHeight="1">
      <c r="A18" s="58">
        <f>Gen!B23</f>
        <v>44056</v>
      </c>
      <c r="B18" s="4"/>
      <c r="C18" s="97">
        <f t="shared" si="0"/>
        <v>238981</v>
      </c>
      <c r="D18" s="1">
        <v>239044</v>
      </c>
      <c r="E18" s="559">
        <f t="shared" ref="E18:E37" si="29">IF((D18-D17)&lt;0,"0",(D18-D17))</f>
        <v>63</v>
      </c>
      <c r="F18" s="97">
        <f t="shared" si="2"/>
        <v>38000</v>
      </c>
      <c r="G18" s="452">
        <f>'[5]Water-Meter'!$G$35</f>
        <v>38000</v>
      </c>
      <c r="H18" s="559">
        <f t="shared" si="3"/>
        <v>0</v>
      </c>
      <c r="I18" s="97"/>
      <c r="J18" s="1">
        <v>8002</v>
      </c>
      <c r="K18" s="559">
        <f t="shared" si="5"/>
        <v>1</v>
      </c>
      <c r="L18" s="97">
        <f t="shared" si="6"/>
        <v>12678</v>
      </c>
      <c r="M18" s="1">
        <v>12678</v>
      </c>
      <c r="N18" s="559">
        <f t="shared" si="7"/>
        <v>0</v>
      </c>
      <c r="O18" s="97">
        <f t="shared" si="8"/>
        <v>20218</v>
      </c>
      <c r="P18" s="448">
        <v>20219</v>
      </c>
      <c r="Q18" s="559">
        <f t="shared" si="9"/>
        <v>1</v>
      </c>
      <c r="R18" s="297"/>
      <c r="S18" s="292">
        <f t="shared" si="16"/>
        <v>56781</v>
      </c>
      <c r="T18" s="449">
        <v>56868</v>
      </c>
      <c r="U18" s="560">
        <f t="shared" si="17"/>
        <v>87</v>
      </c>
      <c r="V18" s="292">
        <f t="shared" si="10"/>
        <v>73030</v>
      </c>
      <c r="W18" s="449">
        <v>73030</v>
      </c>
      <c r="X18" s="560">
        <f t="shared" si="18"/>
        <v>0</v>
      </c>
      <c r="Y18" s="292">
        <f t="shared" si="11"/>
        <v>82703</v>
      </c>
      <c r="Z18" s="449">
        <v>82740</v>
      </c>
      <c r="AA18" s="560">
        <f t="shared" si="19"/>
        <v>37</v>
      </c>
      <c r="AB18" s="758">
        <f t="shared" si="23"/>
        <v>14754</v>
      </c>
      <c r="AC18" s="762">
        <v>14767</v>
      </c>
      <c r="AD18" s="761">
        <f t="shared" si="24"/>
        <v>13</v>
      </c>
      <c r="AE18" s="292">
        <f t="shared" si="28"/>
        <v>18300</v>
      </c>
      <c r="AF18" s="450">
        <f>'[5]Water-Meter'!$AF$35</f>
        <v>18300</v>
      </c>
      <c r="AG18" s="560">
        <f t="shared" si="20"/>
        <v>0</v>
      </c>
      <c r="AH18" s="292">
        <f>AI17</f>
        <v>25335</v>
      </c>
      <c r="AI18" s="450">
        <v>25335</v>
      </c>
      <c r="AJ18" s="560">
        <f t="shared" si="21"/>
        <v>0</v>
      </c>
      <c r="AK18" s="371">
        <f t="shared" si="15"/>
        <v>0</v>
      </c>
      <c r="AL18" s="449"/>
      <c r="AM18" s="560">
        <f t="shared" ref="AM18:AM26" si="30">IF((AL18-AL17)&lt;0,"0",(AL18-AL17))</f>
        <v>0</v>
      </c>
      <c r="AN18" s="454">
        <f t="shared" si="25"/>
        <v>137</v>
      </c>
    </row>
    <row r="19" spans="1:40" ht="23.1" customHeight="1">
      <c r="A19" s="58">
        <f>Gen!B24</f>
        <v>44057</v>
      </c>
      <c r="B19" s="4"/>
      <c r="C19" s="97">
        <f t="shared" si="0"/>
        <v>239044</v>
      </c>
      <c r="D19" s="1">
        <v>239095</v>
      </c>
      <c r="E19" s="559">
        <f t="shared" si="29"/>
        <v>51</v>
      </c>
      <c r="F19" s="97">
        <f t="shared" si="2"/>
        <v>38000</v>
      </c>
      <c r="G19" s="452">
        <f>'[5]Water-Meter'!$G$35</f>
        <v>38000</v>
      </c>
      <c r="H19" s="559">
        <f t="shared" si="3"/>
        <v>0</v>
      </c>
      <c r="I19" s="97">
        <f t="shared" si="4"/>
        <v>8002</v>
      </c>
      <c r="J19" s="1">
        <v>8003</v>
      </c>
      <c r="K19" s="559">
        <f t="shared" si="5"/>
        <v>1</v>
      </c>
      <c r="L19" s="97">
        <f t="shared" si="6"/>
        <v>12678</v>
      </c>
      <c r="M19" s="1">
        <v>12678</v>
      </c>
      <c r="N19" s="559">
        <f t="shared" si="7"/>
        <v>0</v>
      </c>
      <c r="O19" s="97">
        <f t="shared" si="8"/>
        <v>20219</v>
      </c>
      <c r="P19" s="448">
        <v>20220</v>
      </c>
      <c r="Q19" s="559">
        <f t="shared" si="9"/>
        <v>1</v>
      </c>
      <c r="R19" s="297"/>
      <c r="S19" s="292">
        <f t="shared" si="16"/>
        <v>56868</v>
      </c>
      <c r="T19" s="449">
        <v>56965</v>
      </c>
      <c r="U19" s="560">
        <f t="shared" si="17"/>
        <v>97</v>
      </c>
      <c r="V19" s="292">
        <f t="shared" si="10"/>
        <v>73030</v>
      </c>
      <c r="W19" s="449">
        <v>73030</v>
      </c>
      <c r="X19" s="560">
        <f t="shared" si="18"/>
        <v>0</v>
      </c>
      <c r="Y19" s="292">
        <f t="shared" si="11"/>
        <v>82740</v>
      </c>
      <c r="Z19" s="449">
        <v>82776</v>
      </c>
      <c r="AA19" s="560">
        <f t="shared" si="19"/>
        <v>36</v>
      </c>
      <c r="AB19" s="758">
        <f t="shared" si="23"/>
        <v>14767</v>
      </c>
      <c r="AC19" s="762">
        <v>14779</v>
      </c>
      <c r="AD19" s="761">
        <f t="shared" si="24"/>
        <v>12</v>
      </c>
      <c r="AE19" s="292">
        <f t="shared" si="28"/>
        <v>18300</v>
      </c>
      <c r="AF19" s="450">
        <f>'[5]Water-Meter'!$AF$35</f>
        <v>18300</v>
      </c>
      <c r="AG19" s="560">
        <f t="shared" si="20"/>
        <v>0</v>
      </c>
      <c r="AH19" s="292">
        <f>AI18</f>
        <v>25335</v>
      </c>
      <c r="AI19" s="450">
        <v>25335</v>
      </c>
      <c r="AJ19" s="560">
        <f t="shared" si="21"/>
        <v>0</v>
      </c>
      <c r="AK19" s="371">
        <f t="shared" si="15"/>
        <v>0</v>
      </c>
      <c r="AL19" s="449"/>
      <c r="AM19" s="560">
        <f t="shared" si="30"/>
        <v>0</v>
      </c>
      <c r="AN19" s="454">
        <f t="shared" si="25"/>
        <v>145</v>
      </c>
    </row>
    <row r="20" spans="1:40" ht="23.1" customHeight="1">
      <c r="A20" s="58">
        <f>Gen!B25</f>
        <v>44058</v>
      </c>
      <c r="B20" s="4"/>
      <c r="C20" s="97">
        <f t="shared" si="0"/>
        <v>239095</v>
      </c>
      <c r="D20" s="1">
        <v>239144</v>
      </c>
      <c r="E20" s="559">
        <f t="shared" si="29"/>
        <v>49</v>
      </c>
      <c r="F20" s="97">
        <f t="shared" si="2"/>
        <v>38000</v>
      </c>
      <c r="G20" s="452">
        <f>'[5]Water-Meter'!$G$35</f>
        <v>38000</v>
      </c>
      <c r="H20" s="559">
        <f t="shared" si="3"/>
        <v>0</v>
      </c>
      <c r="I20" s="97">
        <f t="shared" si="4"/>
        <v>8003</v>
      </c>
      <c r="J20" s="1">
        <v>8004</v>
      </c>
      <c r="K20" s="559">
        <f t="shared" si="5"/>
        <v>1</v>
      </c>
      <c r="L20" s="97">
        <f t="shared" si="6"/>
        <v>12678</v>
      </c>
      <c r="M20" s="1">
        <v>12678</v>
      </c>
      <c r="N20" s="559">
        <f t="shared" si="7"/>
        <v>0</v>
      </c>
      <c r="O20" s="97">
        <f t="shared" si="8"/>
        <v>20220</v>
      </c>
      <c r="P20" s="448">
        <v>20221</v>
      </c>
      <c r="Q20" s="559">
        <f t="shared" si="9"/>
        <v>1</v>
      </c>
      <c r="R20" s="297"/>
      <c r="S20" s="292">
        <f t="shared" si="16"/>
        <v>56965</v>
      </c>
      <c r="T20" s="449">
        <v>57053</v>
      </c>
      <c r="U20" s="560">
        <f t="shared" si="17"/>
        <v>88</v>
      </c>
      <c r="V20" s="292">
        <f t="shared" si="10"/>
        <v>73030</v>
      </c>
      <c r="W20" s="449">
        <v>73030</v>
      </c>
      <c r="X20" s="560">
        <f t="shared" si="18"/>
        <v>0</v>
      </c>
      <c r="Y20" s="292">
        <f t="shared" si="11"/>
        <v>82776</v>
      </c>
      <c r="Z20" s="449">
        <v>82811</v>
      </c>
      <c r="AA20" s="560">
        <f t="shared" si="19"/>
        <v>35</v>
      </c>
      <c r="AB20" s="758">
        <f t="shared" si="23"/>
        <v>14779</v>
      </c>
      <c r="AC20" s="762">
        <v>14791</v>
      </c>
      <c r="AD20" s="761">
        <f t="shared" si="24"/>
        <v>12</v>
      </c>
      <c r="AE20" s="292">
        <f t="shared" si="28"/>
        <v>18300</v>
      </c>
      <c r="AF20" s="450">
        <f>'[5]Water-Meter'!$AF$35</f>
        <v>18300</v>
      </c>
      <c r="AG20" s="560">
        <f t="shared" si="20"/>
        <v>0</v>
      </c>
      <c r="AH20" s="292">
        <f t="shared" si="14"/>
        <v>25335</v>
      </c>
      <c r="AI20" s="450">
        <v>25335</v>
      </c>
      <c r="AJ20" s="560">
        <f t="shared" si="21"/>
        <v>0</v>
      </c>
      <c r="AK20" s="371">
        <f t="shared" si="15"/>
        <v>0</v>
      </c>
      <c r="AL20" s="449"/>
      <c r="AM20" s="560">
        <f t="shared" si="30"/>
        <v>0</v>
      </c>
      <c r="AN20" s="454">
        <f t="shared" si="25"/>
        <v>135</v>
      </c>
    </row>
    <row r="21" spans="1:40" ht="23.1" customHeight="1">
      <c r="A21" s="58">
        <f>Gen!B26</f>
        <v>44059</v>
      </c>
      <c r="B21" s="4"/>
      <c r="C21" s="97">
        <f t="shared" si="0"/>
        <v>239144</v>
      </c>
      <c r="D21" s="1">
        <v>239191</v>
      </c>
      <c r="E21" s="559">
        <f t="shared" si="29"/>
        <v>47</v>
      </c>
      <c r="F21" s="97">
        <f t="shared" si="2"/>
        <v>38000</v>
      </c>
      <c r="G21" s="452">
        <f>'[5]Water-Meter'!$G$35</f>
        <v>38000</v>
      </c>
      <c r="H21" s="559">
        <f t="shared" si="3"/>
        <v>0</v>
      </c>
      <c r="I21" s="97">
        <f t="shared" si="4"/>
        <v>8004</v>
      </c>
      <c r="J21" s="1">
        <v>8005</v>
      </c>
      <c r="K21" s="559">
        <f t="shared" si="5"/>
        <v>1</v>
      </c>
      <c r="L21" s="97">
        <f t="shared" si="6"/>
        <v>12678</v>
      </c>
      <c r="M21" s="1">
        <v>12678</v>
      </c>
      <c r="N21" s="559">
        <f t="shared" si="7"/>
        <v>0</v>
      </c>
      <c r="O21" s="97">
        <f t="shared" si="8"/>
        <v>20221</v>
      </c>
      <c r="P21" s="448">
        <v>20222</v>
      </c>
      <c r="Q21" s="559">
        <f t="shared" si="9"/>
        <v>1</v>
      </c>
      <c r="R21" s="297"/>
      <c r="S21" s="292">
        <f t="shared" si="16"/>
        <v>57053</v>
      </c>
      <c r="T21" s="449">
        <v>57140</v>
      </c>
      <c r="U21" s="560">
        <f t="shared" si="17"/>
        <v>87</v>
      </c>
      <c r="V21" s="292">
        <f t="shared" ref="V21:V37" si="31">W20</f>
        <v>73030</v>
      </c>
      <c r="W21" s="449">
        <v>73030</v>
      </c>
      <c r="X21" s="560">
        <f t="shared" si="18"/>
        <v>0</v>
      </c>
      <c r="Y21" s="292">
        <f t="shared" si="11"/>
        <v>82811</v>
      </c>
      <c r="Z21" s="449">
        <v>82848</v>
      </c>
      <c r="AA21" s="560">
        <f t="shared" si="19"/>
        <v>37</v>
      </c>
      <c r="AB21" s="758">
        <f t="shared" si="23"/>
        <v>14791</v>
      </c>
      <c r="AC21" s="762">
        <v>14802</v>
      </c>
      <c r="AD21" s="761">
        <f t="shared" si="24"/>
        <v>11</v>
      </c>
      <c r="AE21" s="292">
        <f t="shared" si="13"/>
        <v>18300</v>
      </c>
      <c r="AF21" s="450">
        <f>'[5]Water-Meter'!$AF$35</f>
        <v>18300</v>
      </c>
      <c r="AG21" s="560">
        <f t="shared" si="20"/>
        <v>0</v>
      </c>
      <c r="AH21" s="292">
        <f t="shared" si="14"/>
        <v>25335</v>
      </c>
      <c r="AI21" s="450">
        <v>25336</v>
      </c>
      <c r="AJ21" s="560">
        <f t="shared" si="21"/>
        <v>1</v>
      </c>
      <c r="AK21" s="371">
        <f t="shared" si="15"/>
        <v>0</v>
      </c>
      <c r="AL21" s="449"/>
      <c r="AM21" s="560">
        <f t="shared" si="30"/>
        <v>0</v>
      </c>
      <c r="AN21" s="454">
        <f t="shared" si="25"/>
        <v>136</v>
      </c>
    </row>
    <row r="22" spans="1:40" ht="23.1" customHeight="1">
      <c r="A22" s="58">
        <f>Gen!B27</f>
        <v>44060</v>
      </c>
      <c r="B22" s="4"/>
      <c r="C22" s="97">
        <f t="shared" si="0"/>
        <v>239191</v>
      </c>
      <c r="D22" s="1"/>
      <c r="E22" s="559" t="str">
        <f t="shared" si="29"/>
        <v>0</v>
      </c>
      <c r="F22" s="97">
        <f t="shared" si="2"/>
        <v>38000</v>
      </c>
      <c r="G22" s="452"/>
      <c r="H22" s="559" t="str">
        <f t="shared" si="3"/>
        <v>0</v>
      </c>
      <c r="I22" s="97">
        <f t="shared" si="4"/>
        <v>8005</v>
      </c>
      <c r="J22" s="1"/>
      <c r="K22" s="559" t="str">
        <f t="shared" si="5"/>
        <v>0</v>
      </c>
      <c r="L22" s="97">
        <f t="shared" si="6"/>
        <v>12678</v>
      </c>
      <c r="M22" s="1"/>
      <c r="N22" s="559" t="str">
        <f t="shared" si="7"/>
        <v>0</v>
      </c>
      <c r="O22" s="97">
        <f t="shared" si="8"/>
        <v>20222</v>
      </c>
      <c r="P22" s="448"/>
      <c r="Q22" s="559" t="str">
        <f t="shared" si="9"/>
        <v>0</v>
      </c>
      <c r="R22" s="297"/>
      <c r="S22" s="292">
        <f t="shared" si="16"/>
        <v>57140</v>
      </c>
      <c r="T22" s="449"/>
      <c r="U22" s="560" t="str">
        <f t="shared" si="17"/>
        <v>0</v>
      </c>
      <c r="V22" s="292">
        <f t="shared" si="31"/>
        <v>73030</v>
      </c>
      <c r="W22" s="449"/>
      <c r="X22" s="560" t="str">
        <f t="shared" si="18"/>
        <v>0</v>
      </c>
      <c r="Y22" s="292">
        <f t="shared" si="11"/>
        <v>82848</v>
      </c>
      <c r="Z22" s="449"/>
      <c r="AA22" s="560" t="str">
        <f t="shared" si="19"/>
        <v>0</v>
      </c>
      <c r="AB22" s="758">
        <f t="shared" si="23"/>
        <v>14802</v>
      </c>
      <c r="AC22" s="762"/>
      <c r="AD22" s="761">
        <f t="shared" si="24"/>
        <v>-14802</v>
      </c>
      <c r="AE22" s="292">
        <f t="shared" si="13"/>
        <v>18300</v>
      </c>
      <c r="AF22" s="450"/>
      <c r="AG22" s="560" t="str">
        <f t="shared" si="20"/>
        <v>0</v>
      </c>
      <c r="AH22" s="292">
        <f t="shared" si="14"/>
        <v>25336</v>
      </c>
      <c r="AI22" s="450"/>
      <c r="AJ22" s="560" t="str">
        <f t="shared" si="21"/>
        <v>0</v>
      </c>
      <c r="AK22" s="371">
        <f t="shared" si="15"/>
        <v>0</v>
      </c>
      <c r="AL22" s="449"/>
      <c r="AM22" s="560">
        <f t="shared" si="30"/>
        <v>0</v>
      </c>
      <c r="AN22" s="454">
        <f t="shared" si="25"/>
        <v>-14802</v>
      </c>
    </row>
    <row r="23" spans="1:40" ht="23.1" customHeight="1">
      <c r="A23" s="58">
        <f>Gen!B28</f>
        <v>44061</v>
      </c>
      <c r="B23" s="4"/>
      <c r="C23" s="97">
        <f t="shared" si="0"/>
        <v>0</v>
      </c>
      <c r="D23" s="1"/>
      <c r="E23" s="559">
        <f t="shared" si="29"/>
        <v>0</v>
      </c>
      <c r="F23" s="97">
        <f t="shared" si="2"/>
        <v>0</v>
      </c>
      <c r="G23" s="452"/>
      <c r="H23" s="559">
        <f t="shared" si="3"/>
        <v>0</v>
      </c>
      <c r="I23" s="97">
        <f t="shared" si="4"/>
        <v>0</v>
      </c>
      <c r="J23" s="1"/>
      <c r="K23" s="559">
        <f t="shared" si="5"/>
        <v>0</v>
      </c>
      <c r="L23" s="97">
        <f t="shared" si="6"/>
        <v>0</v>
      </c>
      <c r="M23" s="1"/>
      <c r="N23" s="559">
        <f t="shared" si="7"/>
        <v>0</v>
      </c>
      <c r="O23" s="97">
        <f t="shared" si="8"/>
        <v>0</v>
      </c>
      <c r="P23" s="448"/>
      <c r="Q23" s="559">
        <f t="shared" si="9"/>
        <v>0</v>
      </c>
      <c r="R23" s="297"/>
      <c r="S23" s="292">
        <f t="shared" si="16"/>
        <v>0</v>
      </c>
      <c r="T23" s="449"/>
      <c r="U23" s="560">
        <f t="shared" si="17"/>
        <v>0</v>
      </c>
      <c r="V23" s="292">
        <f t="shared" si="31"/>
        <v>0</v>
      </c>
      <c r="W23" s="449"/>
      <c r="X23" s="560">
        <f t="shared" si="18"/>
        <v>0</v>
      </c>
      <c r="Y23" s="292">
        <f t="shared" si="11"/>
        <v>0</v>
      </c>
      <c r="Z23" s="449"/>
      <c r="AA23" s="560">
        <f t="shared" si="19"/>
        <v>0</v>
      </c>
      <c r="AB23" s="758">
        <f t="shared" si="23"/>
        <v>0</v>
      </c>
      <c r="AC23" s="759"/>
      <c r="AD23" s="761">
        <f t="shared" si="24"/>
        <v>0</v>
      </c>
      <c r="AE23" s="292">
        <f t="shared" si="13"/>
        <v>0</v>
      </c>
      <c r="AF23" s="450"/>
      <c r="AG23" s="560">
        <f t="shared" si="20"/>
        <v>0</v>
      </c>
      <c r="AH23" s="292">
        <f t="shared" si="14"/>
        <v>0</v>
      </c>
      <c r="AI23" s="450"/>
      <c r="AJ23" s="560">
        <f t="shared" si="21"/>
        <v>0</v>
      </c>
      <c r="AK23" s="371">
        <f t="shared" si="15"/>
        <v>0</v>
      </c>
      <c r="AL23" s="449"/>
      <c r="AM23" s="560">
        <f t="shared" si="30"/>
        <v>0</v>
      </c>
      <c r="AN23" s="454">
        <f t="shared" si="25"/>
        <v>0</v>
      </c>
    </row>
    <row r="24" spans="1:40" ht="23.1" customHeight="1">
      <c r="A24" s="58">
        <f>Gen!B29</f>
        <v>44062</v>
      </c>
      <c r="B24" s="4"/>
      <c r="C24" s="97">
        <f t="shared" si="0"/>
        <v>0</v>
      </c>
      <c r="D24" s="1"/>
      <c r="E24" s="559">
        <f t="shared" si="29"/>
        <v>0</v>
      </c>
      <c r="F24" s="97">
        <f t="shared" si="2"/>
        <v>0</v>
      </c>
      <c r="G24" s="452"/>
      <c r="H24" s="559">
        <f t="shared" si="3"/>
        <v>0</v>
      </c>
      <c r="I24" s="97">
        <f t="shared" si="4"/>
        <v>0</v>
      </c>
      <c r="J24" s="1"/>
      <c r="K24" s="559">
        <f t="shared" si="5"/>
        <v>0</v>
      </c>
      <c r="L24" s="97">
        <f t="shared" si="6"/>
        <v>0</v>
      </c>
      <c r="M24" s="1"/>
      <c r="N24" s="559">
        <f t="shared" si="7"/>
        <v>0</v>
      </c>
      <c r="O24" s="97">
        <f t="shared" si="8"/>
        <v>0</v>
      </c>
      <c r="P24" s="448"/>
      <c r="Q24" s="559">
        <f t="shared" si="9"/>
        <v>0</v>
      </c>
      <c r="R24" s="297"/>
      <c r="S24" s="292">
        <f t="shared" si="16"/>
        <v>0</v>
      </c>
      <c r="T24" s="449"/>
      <c r="U24" s="560">
        <f t="shared" si="17"/>
        <v>0</v>
      </c>
      <c r="V24" s="292">
        <f t="shared" si="31"/>
        <v>0</v>
      </c>
      <c r="W24" s="449"/>
      <c r="X24" s="560">
        <f t="shared" si="18"/>
        <v>0</v>
      </c>
      <c r="Y24" s="292">
        <f t="shared" si="11"/>
        <v>0</v>
      </c>
      <c r="Z24" s="449"/>
      <c r="AA24" s="560">
        <f t="shared" si="19"/>
        <v>0</v>
      </c>
      <c r="AB24" s="758">
        <f t="shared" si="23"/>
        <v>0</v>
      </c>
      <c r="AC24" s="759"/>
      <c r="AD24" s="761">
        <f t="shared" si="24"/>
        <v>0</v>
      </c>
      <c r="AE24" s="292">
        <f t="shared" si="13"/>
        <v>0</v>
      </c>
      <c r="AF24" s="450"/>
      <c r="AG24" s="560">
        <f t="shared" si="20"/>
        <v>0</v>
      </c>
      <c r="AH24" s="292">
        <f t="shared" si="14"/>
        <v>0</v>
      </c>
      <c r="AI24" s="450"/>
      <c r="AJ24" s="560">
        <f t="shared" si="21"/>
        <v>0</v>
      </c>
      <c r="AK24" s="371">
        <f t="shared" si="15"/>
        <v>0</v>
      </c>
      <c r="AL24" s="449"/>
      <c r="AM24" s="560">
        <f t="shared" si="30"/>
        <v>0</v>
      </c>
      <c r="AN24" s="454">
        <f t="shared" si="25"/>
        <v>0</v>
      </c>
    </row>
    <row r="25" spans="1:40" ht="23.1" customHeight="1">
      <c r="A25" s="58">
        <f>Gen!B30</f>
        <v>44063</v>
      </c>
      <c r="B25" s="4"/>
      <c r="C25" s="97">
        <f>D24</f>
        <v>0</v>
      </c>
      <c r="D25" s="1"/>
      <c r="E25" s="559">
        <f t="shared" si="29"/>
        <v>0</v>
      </c>
      <c r="F25" s="97">
        <f t="shared" si="2"/>
        <v>0</v>
      </c>
      <c r="G25" s="452"/>
      <c r="H25" s="559">
        <f>IF((G26-G24)&lt;0,"0",(G26-G24))</f>
        <v>0</v>
      </c>
      <c r="I25" s="97">
        <f t="shared" ref="I25:I37" si="32">J24</f>
        <v>0</v>
      </c>
      <c r="J25" s="1"/>
      <c r="K25" s="559">
        <f t="shared" si="5"/>
        <v>0</v>
      </c>
      <c r="L25" s="97">
        <f t="shared" ref="L25:L37" si="33">M24</f>
        <v>0</v>
      </c>
      <c r="M25" s="1"/>
      <c r="N25" s="559">
        <f t="shared" ref="N25:N37" si="34">IF((M25-M24)&lt;0,"0",(M25-M24))</f>
        <v>0</v>
      </c>
      <c r="O25" s="97">
        <f t="shared" si="8"/>
        <v>0</v>
      </c>
      <c r="P25" s="448"/>
      <c r="Q25" s="559">
        <f t="shared" si="9"/>
        <v>0</v>
      </c>
      <c r="R25" s="297"/>
      <c r="S25" s="292">
        <f t="shared" ref="S25:S37" si="35">T24</f>
        <v>0</v>
      </c>
      <c r="T25" s="449"/>
      <c r="U25" s="560">
        <f t="shared" ref="U25:U37" si="36">IF((T25-T24)&lt;0,"0",(T25-T24))</f>
        <v>0</v>
      </c>
      <c r="V25" s="292">
        <f t="shared" si="31"/>
        <v>0</v>
      </c>
      <c r="W25" s="449"/>
      <c r="X25" s="560">
        <f t="shared" si="18"/>
        <v>0</v>
      </c>
      <c r="Y25" s="292">
        <f t="shared" si="11"/>
        <v>0</v>
      </c>
      <c r="Z25" s="449"/>
      <c r="AA25" s="560">
        <f t="shared" si="19"/>
        <v>0</v>
      </c>
      <c r="AB25" s="758">
        <f t="shared" si="23"/>
        <v>0</v>
      </c>
      <c r="AC25" s="759"/>
      <c r="AD25" s="761">
        <f t="shared" si="24"/>
        <v>0</v>
      </c>
      <c r="AE25" s="292">
        <f t="shared" si="13"/>
        <v>0</v>
      </c>
      <c r="AF25" s="450"/>
      <c r="AG25" s="560">
        <f t="shared" si="20"/>
        <v>0</v>
      </c>
      <c r="AH25" s="292">
        <f t="shared" si="14"/>
        <v>0</v>
      </c>
      <c r="AI25" s="450"/>
      <c r="AJ25" s="560">
        <f t="shared" si="21"/>
        <v>0</v>
      </c>
      <c r="AK25" s="371">
        <f t="shared" si="15"/>
        <v>0</v>
      </c>
      <c r="AL25" s="449"/>
      <c r="AM25" s="560">
        <f t="shared" si="30"/>
        <v>0</v>
      </c>
      <c r="AN25" s="454">
        <f t="shared" si="25"/>
        <v>0</v>
      </c>
    </row>
    <row r="26" spans="1:40" ht="23.1" customHeight="1">
      <c r="A26" s="58">
        <f>Gen!B31</f>
        <v>44064</v>
      </c>
      <c r="B26" s="4"/>
      <c r="C26" s="97">
        <f>D25</f>
        <v>0</v>
      </c>
      <c r="D26" s="1"/>
      <c r="E26" s="559">
        <f t="shared" si="29"/>
        <v>0</v>
      </c>
      <c r="F26" s="97">
        <f>G26</f>
        <v>0</v>
      </c>
      <c r="G26" s="452"/>
      <c r="H26" s="559">
        <f t="shared" ref="H26:H27" si="37">IF((G27-G25)&lt;0,"0",(G27-G25))</f>
        <v>0</v>
      </c>
      <c r="I26" s="97">
        <f t="shared" si="32"/>
        <v>0</v>
      </c>
      <c r="J26" s="1"/>
      <c r="K26" s="559">
        <f t="shared" si="5"/>
        <v>0</v>
      </c>
      <c r="L26" s="97">
        <f t="shared" si="33"/>
        <v>0</v>
      </c>
      <c r="M26" s="1"/>
      <c r="N26" s="559">
        <f t="shared" si="34"/>
        <v>0</v>
      </c>
      <c r="O26" s="97">
        <f t="shared" ref="O26:O37" si="38">P25</f>
        <v>0</v>
      </c>
      <c r="P26" s="448"/>
      <c r="Q26" s="559">
        <f t="shared" si="9"/>
        <v>0</v>
      </c>
      <c r="R26" s="297"/>
      <c r="S26" s="292">
        <f t="shared" si="35"/>
        <v>0</v>
      </c>
      <c r="T26" s="449"/>
      <c r="U26" s="560">
        <f t="shared" si="36"/>
        <v>0</v>
      </c>
      <c r="V26" s="292">
        <f t="shared" si="31"/>
        <v>0</v>
      </c>
      <c r="W26" s="449"/>
      <c r="X26" s="560">
        <f t="shared" si="18"/>
        <v>0</v>
      </c>
      <c r="Y26" s="292">
        <f t="shared" si="11"/>
        <v>0</v>
      </c>
      <c r="Z26" s="449"/>
      <c r="AA26" s="560">
        <f t="shared" si="19"/>
        <v>0</v>
      </c>
      <c r="AB26" s="758">
        <f t="shared" si="23"/>
        <v>0</v>
      </c>
      <c r="AC26" s="759"/>
      <c r="AD26" s="761">
        <f t="shared" si="24"/>
        <v>0</v>
      </c>
      <c r="AE26" s="292">
        <f t="shared" si="13"/>
        <v>0</v>
      </c>
      <c r="AF26" s="450"/>
      <c r="AG26" s="560">
        <f t="shared" si="20"/>
        <v>0</v>
      </c>
      <c r="AH26" s="292">
        <f t="shared" si="14"/>
        <v>0</v>
      </c>
      <c r="AI26" s="450"/>
      <c r="AJ26" s="560">
        <f t="shared" si="21"/>
        <v>0</v>
      </c>
      <c r="AK26" s="371">
        <f t="shared" si="15"/>
        <v>0</v>
      </c>
      <c r="AL26" s="449"/>
      <c r="AM26" s="560">
        <f t="shared" si="30"/>
        <v>0</v>
      </c>
      <c r="AN26" s="454">
        <f t="shared" si="25"/>
        <v>0</v>
      </c>
    </row>
    <row r="27" spans="1:40" ht="23.1" customHeight="1">
      <c r="A27" s="58">
        <f>Gen!B32</f>
        <v>44065</v>
      </c>
      <c r="B27" s="4"/>
      <c r="C27" s="97">
        <f>D26</f>
        <v>0</v>
      </c>
      <c r="D27" s="1"/>
      <c r="E27" s="559">
        <f t="shared" si="29"/>
        <v>0</v>
      </c>
      <c r="F27" s="97">
        <f t="shared" ref="F27:F31" si="39">G27</f>
        <v>0</v>
      </c>
      <c r="G27" s="452"/>
      <c r="H27" s="559">
        <f t="shared" si="37"/>
        <v>0</v>
      </c>
      <c r="I27" s="97">
        <f t="shared" si="32"/>
        <v>0</v>
      </c>
      <c r="J27" s="1"/>
      <c r="K27" s="559">
        <f t="shared" si="5"/>
        <v>0</v>
      </c>
      <c r="L27" s="97">
        <f t="shared" si="33"/>
        <v>0</v>
      </c>
      <c r="M27" s="1"/>
      <c r="N27" s="559">
        <f t="shared" si="34"/>
        <v>0</v>
      </c>
      <c r="O27" s="97">
        <f t="shared" si="38"/>
        <v>0</v>
      </c>
      <c r="P27" s="448"/>
      <c r="Q27" s="559">
        <f t="shared" si="9"/>
        <v>0</v>
      </c>
      <c r="R27" s="297"/>
      <c r="S27" s="292">
        <f t="shared" si="35"/>
        <v>0</v>
      </c>
      <c r="T27" s="449"/>
      <c r="U27" s="560">
        <f t="shared" si="36"/>
        <v>0</v>
      </c>
      <c r="V27" s="292">
        <f t="shared" si="31"/>
        <v>0</v>
      </c>
      <c r="W27" s="449"/>
      <c r="X27" s="560">
        <f t="shared" si="18"/>
        <v>0</v>
      </c>
      <c r="Y27" s="292">
        <f t="shared" si="11"/>
        <v>0</v>
      </c>
      <c r="Z27" s="449"/>
      <c r="AA27" s="560">
        <f t="shared" si="19"/>
        <v>0</v>
      </c>
      <c r="AB27" s="758">
        <f t="shared" si="23"/>
        <v>0</v>
      </c>
      <c r="AC27" s="759"/>
      <c r="AD27" s="761">
        <f t="shared" si="24"/>
        <v>0</v>
      </c>
      <c r="AE27" s="292">
        <f t="shared" si="13"/>
        <v>0</v>
      </c>
      <c r="AF27" s="450"/>
      <c r="AG27" s="560">
        <f t="shared" si="20"/>
        <v>0</v>
      </c>
      <c r="AH27" s="292">
        <f t="shared" si="14"/>
        <v>0</v>
      </c>
      <c r="AI27" s="450"/>
      <c r="AJ27" s="560">
        <f t="shared" si="21"/>
        <v>0</v>
      </c>
      <c r="AK27" s="371">
        <f t="shared" si="15"/>
        <v>0</v>
      </c>
      <c r="AL27" s="449"/>
      <c r="AM27" s="560">
        <f t="shared" si="22"/>
        <v>0</v>
      </c>
      <c r="AN27" s="454">
        <f t="shared" si="25"/>
        <v>0</v>
      </c>
    </row>
    <row r="28" spans="1:40" ht="23.1" customHeight="1">
      <c r="A28" s="58">
        <f>Gen!B33</f>
        <v>44066</v>
      </c>
      <c r="B28" s="4"/>
      <c r="C28" s="97">
        <f t="shared" ref="C28:C37" si="40">D27</f>
        <v>0</v>
      </c>
      <c r="D28" s="1"/>
      <c r="E28" s="559">
        <f t="shared" si="29"/>
        <v>0</v>
      </c>
      <c r="F28" s="97">
        <f t="shared" si="39"/>
        <v>0</v>
      </c>
      <c r="G28" s="452"/>
      <c r="H28" s="559">
        <f t="shared" ref="H28:H37" si="41">IF((G28-G27)&lt;0,"0",(G28-G27))</f>
        <v>0</v>
      </c>
      <c r="I28" s="97">
        <f t="shared" si="32"/>
        <v>0</v>
      </c>
      <c r="J28" s="1"/>
      <c r="K28" s="559">
        <f>IF((J28-J27)&lt;0,"0",(J28-J27))</f>
        <v>0</v>
      </c>
      <c r="L28" s="97">
        <f t="shared" si="33"/>
        <v>0</v>
      </c>
      <c r="M28" s="1"/>
      <c r="N28" s="559">
        <f t="shared" si="34"/>
        <v>0</v>
      </c>
      <c r="O28" s="97">
        <f t="shared" si="38"/>
        <v>0</v>
      </c>
      <c r="P28" s="448"/>
      <c r="Q28" s="559">
        <f t="shared" ref="Q28:Q37" si="42">IF((P28-P27)&lt;0,"0",(P28-P27))</f>
        <v>0</v>
      </c>
      <c r="R28" s="297"/>
      <c r="S28" s="292">
        <f t="shared" si="35"/>
        <v>0</v>
      </c>
      <c r="T28" s="449"/>
      <c r="U28" s="560">
        <f t="shared" si="36"/>
        <v>0</v>
      </c>
      <c r="V28" s="292">
        <f t="shared" si="31"/>
        <v>0</v>
      </c>
      <c r="W28" s="449"/>
      <c r="X28" s="560">
        <f t="shared" si="18"/>
        <v>0</v>
      </c>
      <c r="Y28" s="292">
        <f t="shared" si="11"/>
        <v>0</v>
      </c>
      <c r="Z28" s="449"/>
      <c r="AA28" s="560">
        <f t="shared" si="19"/>
        <v>0</v>
      </c>
      <c r="AB28" s="758">
        <f t="shared" si="23"/>
        <v>0</v>
      </c>
      <c r="AC28" s="759"/>
      <c r="AD28" s="761">
        <f t="shared" si="24"/>
        <v>0</v>
      </c>
      <c r="AE28" s="292">
        <f t="shared" si="13"/>
        <v>0</v>
      </c>
      <c r="AF28" s="450"/>
      <c r="AG28" s="560">
        <f t="shared" si="20"/>
        <v>0</v>
      </c>
      <c r="AH28" s="292">
        <f t="shared" si="14"/>
        <v>0</v>
      </c>
      <c r="AI28" s="450"/>
      <c r="AJ28" s="560">
        <f t="shared" si="21"/>
        <v>0</v>
      </c>
      <c r="AK28" s="371">
        <f t="shared" si="15"/>
        <v>0</v>
      </c>
      <c r="AL28" s="449"/>
      <c r="AM28" s="560">
        <f t="shared" si="22"/>
        <v>0</v>
      </c>
      <c r="AN28" s="454">
        <f t="shared" si="25"/>
        <v>0</v>
      </c>
    </row>
    <row r="29" spans="1:40" ht="23.1" customHeight="1">
      <c r="A29" s="58">
        <f>Gen!B34</f>
        <v>44067</v>
      </c>
      <c r="B29" s="4"/>
      <c r="C29" s="97">
        <f t="shared" si="40"/>
        <v>0</v>
      </c>
      <c r="D29" s="1"/>
      <c r="E29" s="559">
        <f t="shared" si="29"/>
        <v>0</v>
      </c>
      <c r="F29" s="97">
        <f t="shared" si="39"/>
        <v>0</v>
      </c>
      <c r="G29" s="452"/>
      <c r="H29" s="559">
        <f t="shared" si="41"/>
        <v>0</v>
      </c>
      <c r="I29" s="97">
        <f t="shared" si="32"/>
        <v>0</v>
      </c>
      <c r="J29" s="1"/>
      <c r="K29" s="559">
        <f t="shared" ref="K29:K37" si="43">IF((J29-J28)&lt;0,"0",(J29-J28))</f>
        <v>0</v>
      </c>
      <c r="L29" s="97">
        <f t="shared" si="33"/>
        <v>0</v>
      </c>
      <c r="M29" s="1"/>
      <c r="N29" s="559">
        <f t="shared" si="34"/>
        <v>0</v>
      </c>
      <c r="O29" s="97">
        <f t="shared" si="38"/>
        <v>0</v>
      </c>
      <c r="P29" s="448"/>
      <c r="Q29" s="559">
        <f t="shared" si="42"/>
        <v>0</v>
      </c>
      <c r="R29" s="297"/>
      <c r="S29" s="292">
        <f t="shared" si="35"/>
        <v>0</v>
      </c>
      <c r="T29" s="449"/>
      <c r="U29" s="560">
        <f t="shared" si="36"/>
        <v>0</v>
      </c>
      <c r="V29" s="292">
        <f t="shared" si="31"/>
        <v>0</v>
      </c>
      <c r="W29" s="449"/>
      <c r="X29" s="560">
        <f t="shared" si="18"/>
        <v>0</v>
      </c>
      <c r="Y29" s="292">
        <f t="shared" si="11"/>
        <v>0</v>
      </c>
      <c r="Z29" s="449"/>
      <c r="AA29" s="560">
        <f t="shared" si="19"/>
        <v>0</v>
      </c>
      <c r="AB29" s="758">
        <f t="shared" si="23"/>
        <v>0</v>
      </c>
      <c r="AC29" s="759"/>
      <c r="AD29" s="761">
        <f t="shared" si="24"/>
        <v>0</v>
      </c>
      <c r="AE29" s="292">
        <f t="shared" si="13"/>
        <v>0</v>
      </c>
      <c r="AF29" s="450"/>
      <c r="AG29" s="560">
        <f t="shared" si="20"/>
        <v>0</v>
      </c>
      <c r="AH29" s="292">
        <f t="shared" si="14"/>
        <v>0</v>
      </c>
      <c r="AI29" s="450"/>
      <c r="AJ29" s="560">
        <f t="shared" si="21"/>
        <v>0</v>
      </c>
      <c r="AK29" s="371">
        <f t="shared" si="15"/>
        <v>0</v>
      </c>
      <c r="AL29" s="449"/>
      <c r="AM29" s="560">
        <f t="shared" si="22"/>
        <v>0</v>
      </c>
      <c r="AN29" s="454">
        <f t="shared" si="25"/>
        <v>0</v>
      </c>
    </row>
    <row r="30" spans="1:40" ht="23.1" customHeight="1">
      <c r="A30" s="58">
        <f>Gen!B35</f>
        <v>44068</v>
      </c>
      <c r="B30" s="4"/>
      <c r="C30" s="97">
        <f t="shared" si="40"/>
        <v>0</v>
      </c>
      <c r="D30" s="1"/>
      <c r="E30" s="559">
        <f t="shared" si="29"/>
        <v>0</v>
      </c>
      <c r="F30" s="97">
        <f t="shared" si="39"/>
        <v>0</v>
      </c>
      <c r="G30" s="452"/>
      <c r="H30" s="559">
        <f t="shared" si="41"/>
        <v>0</v>
      </c>
      <c r="I30" s="97">
        <f t="shared" si="32"/>
        <v>0</v>
      </c>
      <c r="J30" s="1"/>
      <c r="K30" s="559">
        <f t="shared" si="43"/>
        <v>0</v>
      </c>
      <c r="L30" s="97">
        <f t="shared" si="33"/>
        <v>0</v>
      </c>
      <c r="M30" s="1"/>
      <c r="N30" s="559">
        <f t="shared" si="34"/>
        <v>0</v>
      </c>
      <c r="O30" s="97">
        <f t="shared" si="38"/>
        <v>0</v>
      </c>
      <c r="P30" s="448"/>
      <c r="Q30" s="559">
        <f t="shared" si="42"/>
        <v>0</v>
      </c>
      <c r="R30" s="297"/>
      <c r="S30" s="292">
        <f t="shared" si="35"/>
        <v>0</v>
      </c>
      <c r="T30" s="449"/>
      <c r="U30" s="560">
        <f t="shared" si="36"/>
        <v>0</v>
      </c>
      <c r="V30" s="292">
        <f t="shared" si="31"/>
        <v>0</v>
      </c>
      <c r="W30" s="449"/>
      <c r="X30" s="560">
        <f t="shared" si="18"/>
        <v>0</v>
      </c>
      <c r="Y30" s="292">
        <f t="shared" si="11"/>
        <v>0</v>
      </c>
      <c r="Z30" s="449"/>
      <c r="AA30" s="560">
        <f t="shared" si="19"/>
        <v>0</v>
      </c>
      <c r="AB30" s="758">
        <f t="shared" si="23"/>
        <v>0</v>
      </c>
      <c r="AC30" s="759"/>
      <c r="AD30" s="761">
        <f t="shared" si="24"/>
        <v>0</v>
      </c>
      <c r="AE30" s="292">
        <f t="shared" si="13"/>
        <v>0</v>
      </c>
      <c r="AF30" s="450"/>
      <c r="AG30" s="560">
        <f t="shared" si="20"/>
        <v>0</v>
      </c>
      <c r="AH30" s="292">
        <f t="shared" si="14"/>
        <v>0</v>
      </c>
      <c r="AI30" s="450"/>
      <c r="AJ30" s="560">
        <f t="shared" si="21"/>
        <v>0</v>
      </c>
      <c r="AK30" s="371">
        <f t="shared" si="15"/>
        <v>0</v>
      </c>
      <c r="AL30" s="449"/>
      <c r="AM30" s="560">
        <f t="shared" si="22"/>
        <v>0</v>
      </c>
      <c r="AN30" s="454">
        <f t="shared" si="25"/>
        <v>0</v>
      </c>
    </row>
    <row r="31" spans="1:40" ht="23.1" customHeight="1">
      <c r="A31" s="58">
        <f>Gen!B36</f>
        <v>44069</v>
      </c>
      <c r="B31" s="4"/>
      <c r="C31" s="97">
        <f t="shared" si="40"/>
        <v>0</v>
      </c>
      <c r="D31" s="1"/>
      <c r="E31" s="559">
        <f t="shared" si="29"/>
        <v>0</v>
      </c>
      <c r="F31" s="97">
        <f t="shared" si="39"/>
        <v>0</v>
      </c>
      <c r="G31" s="452"/>
      <c r="H31" s="559">
        <f t="shared" si="41"/>
        <v>0</v>
      </c>
      <c r="I31" s="97">
        <f t="shared" si="32"/>
        <v>0</v>
      </c>
      <c r="J31" s="1"/>
      <c r="K31" s="559">
        <f t="shared" si="43"/>
        <v>0</v>
      </c>
      <c r="L31" s="97">
        <f t="shared" si="33"/>
        <v>0</v>
      </c>
      <c r="M31" s="1"/>
      <c r="N31" s="559">
        <f t="shared" si="34"/>
        <v>0</v>
      </c>
      <c r="O31" s="97">
        <f t="shared" si="38"/>
        <v>0</v>
      </c>
      <c r="P31" s="448"/>
      <c r="Q31" s="559">
        <f t="shared" si="42"/>
        <v>0</v>
      </c>
      <c r="R31" s="297"/>
      <c r="S31" s="292">
        <f t="shared" si="35"/>
        <v>0</v>
      </c>
      <c r="T31" s="449"/>
      <c r="U31" s="560">
        <f t="shared" si="36"/>
        <v>0</v>
      </c>
      <c r="V31" s="292">
        <f t="shared" si="31"/>
        <v>0</v>
      </c>
      <c r="W31" s="449"/>
      <c r="X31" s="560">
        <f t="shared" si="18"/>
        <v>0</v>
      </c>
      <c r="Y31" s="292">
        <f t="shared" si="11"/>
        <v>0</v>
      </c>
      <c r="Z31" s="449"/>
      <c r="AA31" s="560">
        <f t="shared" si="19"/>
        <v>0</v>
      </c>
      <c r="AB31" s="758">
        <f t="shared" si="23"/>
        <v>0</v>
      </c>
      <c r="AC31" s="759"/>
      <c r="AD31" s="761">
        <f t="shared" si="24"/>
        <v>0</v>
      </c>
      <c r="AE31" s="292">
        <f t="shared" si="13"/>
        <v>0</v>
      </c>
      <c r="AF31" s="450"/>
      <c r="AG31" s="560">
        <f t="shared" si="20"/>
        <v>0</v>
      </c>
      <c r="AH31" s="292">
        <f t="shared" si="14"/>
        <v>0</v>
      </c>
      <c r="AI31" s="450"/>
      <c r="AJ31" s="560">
        <f t="shared" si="21"/>
        <v>0</v>
      </c>
      <c r="AK31" s="371">
        <f t="shared" si="15"/>
        <v>0</v>
      </c>
      <c r="AL31" s="449"/>
      <c r="AM31" s="560">
        <f t="shared" si="22"/>
        <v>0</v>
      </c>
      <c r="AN31" s="454">
        <f t="shared" si="25"/>
        <v>0</v>
      </c>
    </row>
    <row r="32" spans="1:40" ht="23.1" customHeight="1">
      <c r="A32" s="58">
        <f>Gen!B37</f>
        <v>44070</v>
      </c>
      <c r="B32" s="4" t="s">
        <v>27</v>
      </c>
      <c r="C32" s="97">
        <f t="shared" si="40"/>
        <v>0</v>
      </c>
      <c r="D32" s="1"/>
      <c r="E32" s="559">
        <f t="shared" si="29"/>
        <v>0</v>
      </c>
      <c r="F32" s="97">
        <f t="shared" si="2"/>
        <v>0</v>
      </c>
      <c r="G32" s="452"/>
      <c r="H32" s="559">
        <f t="shared" si="41"/>
        <v>0</v>
      </c>
      <c r="I32" s="97">
        <f t="shared" si="32"/>
        <v>0</v>
      </c>
      <c r="J32" s="1"/>
      <c r="K32" s="559">
        <f t="shared" si="43"/>
        <v>0</v>
      </c>
      <c r="L32" s="97">
        <f t="shared" si="33"/>
        <v>0</v>
      </c>
      <c r="M32" s="1"/>
      <c r="N32" s="559">
        <f t="shared" si="34"/>
        <v>0</v>
      </c>
      <c r="O32" s="97">
        <f t="shared" si="38"/>
        <v>0</v>
      </c>
      <c r="P32" s="448"/>
      <c r="Q32" s="559">
        <f t="shared" si="42"/>
        <v>0</v>
      </c>
      <c r="R32" s="297"/>
      <c r="S32" s="292">
        <f t="shared" si="35"/>
        <v>0</v>
      </c>
      <c r="T32" s="449"/>
      <c r="U32" s="560">
        <f t="shared" si="36"/>
        <v>0</v>
      </c>
      <c r="V32" s="292">
        <f t="shared" si="31"/>
        <v>0</v>
      </c>
      <c r="W32" s="449"/>
      <c r="X32" s="560">
        <f t="shared" si="18"/>
        <v>0</v>
      </c>
      <c r="Y32" s="292">
        <f t="shared" si="11"/>
        <v>0</v>
      </c>
      <c r="Z32" s="449"/>
      <c r="AA32" s="560">
        <f t="shared" si="19"/>
        <v>0</v>
      </c>
      <c r="AB32" s="758">
        <f t="shared" si="23"/>
        <v>0</v>
      </c>
      <c r="AC32" s="759"/>
      <c r="AD32" s="761">
        <f t="shared" si="24"/>
        <v>0</v>
      </c>
      <c r="AE32" s="292">
        <f t="shared" si="13"/>
        <v>0</v>
      </c>
      <c r="AF32" s="450"/>
      <c r="AG32" s="560">
        <f t="shared" si="20"/>
        <v>0</v>
      </c>
      <c r="AH32" s="292">
        <f t="shared" si="14"/>
        <v>0</v>
      </c>
      <c r="AI32" s="450"/>
      <c r="AJ32" s="560">
        <f t="shared" si="21"/>
        <v>0</v>
      </c>
      <c r="AK32" s="371">
        <f t="shared" si="15"/>
        <v>0</v>
      </c>
      <c r="AL32" s="449"/>
      <c r="AM32" s="560">
        <f t="shared" si="22"/>
        <v>0</v>
      </c>
      <c r="AN32" s="454">
        <f t="shared" si="25"/>
        <v>0</v>
      </c>
    </row>
    <row r="33" spans="1:41" ht="23.1" customHeight="1">
      <c r="A33" s="58">
        <f>Gen!B38</f>
        <v>44071</v>
      </c>
      <c r="B33" s="4"/>
      <c r="C33" s="97">
        <f t="shared" si="40"/>
        <v>0</v>
      </c>
      <c r="D33" s="1"/>
      <c r="E33" s="559">
        <f t="shared" si="29"/>
        <v>0</v>
      </c>
      <c r="F33" s="97">
        <f t="shared" si="2"/>
        <v>0</v>
      </c>
      <c r="G33" s="452"/>
      <c r="H33" s="559">
        <f t="shared" si="41"/>
        <v>0</v>
      </c>
      <c r="I33" s="97">
        <f t="shared" si="32"/>
        <v>0</v>
      </c>
      <c r="J33" s="1"/>
      <c r="K33" s="559">
        <f t="shared" si="43"/>
        <v>0</v>
      </c>
      <c r="L33" s="97">
        <f t="shared" si="33"/>
        <v>0</v>
      </c>
      <c r="M33" s="1"/>
      <c r="N33" s="559">
        <f t="shared" si="34"/>
        <v>0</v>
      </c>
      <c r="O33" s="97">
        <f t="shared" si="38"/>
        <v>0</v>
      </c>
      <c r="P33" s="448"/>
      <c r="Q33" s="559">
        <f t="shared" si="42"/>
        <v>0</v>
      </c>
      <c r="R33" s="297"/>
      <c r="S33" s="292">
        <f t="shared" si="35"/>
        <v>0</v>
      </c>
      <c r="T33" s="449"/>
      <c r="U33" s="560">
        <f t="shared" si="36"/>
        <v>0</v>
      </c>
      <c r="V33" s="292">
        <f t="shared" si="31"/>
        <v>0</v>
      </c>
      <c r="W33" s="449"/>
      <c r="X33" s="560">
        <f t="shared" si="18"/>
        <v>0</v>
      </c>
      <c r="Y33" s="292">
        <f t="shared" si="11"/>
        <v>0</v>
      </c>
      <c r="Z33" s="449"/>
      <c r="AA33" s="560">
        <f t="shared" si="19"/>
        <v>0</v>
      </c>
      <c r="AB33" s="758">
        <f t="shared" si="23"/>
        <v>0</v>
      </c>
      <c r="AC33" s="293"/>
      <c r="AD33" s="761">
        <f t="shared" si="24"/>
        <v>0</v>
      </c>
      <c r="AE33" s="292">
        <f t="shared" si="13"/>
        <v>0</v>
      </c>
      <c r="AF33" s="450"/>
      <c r="AG33" s="560">
        <f t="shared" si="20"/>
        <v>0</v>
      </c>
      <c r="AH33" s="292">
        <f t="shared" si="14"/>
        <v>0</v>
      </c>
      <c r="AI33" s="450"/>
      <c r="AJ33" s="560">
        <f t="shared" si="21"/>
        <v>0</v>
      </c>
      <c r="AK33" s="371">
        <f t="shared" si="15"/>
        <v>0</v>
      </c>
      <c r="AL33" s="449"/>
      <c r="AM33" s="560">
        <f t="shared" si="22"/>
        <v>0</v>
      </c>
      <c r="AN33" s="454">
        <f t="shared" si="25"/>
        <v>0</v>
      </c>
    </row>
    <row r="34" spans="1:41" ht="23.1" customHeight="1">
      <c r="A34" s="58">
        <f>Gen!B39</f>
        <v>44072</v>
      </c>
      <c r="B34" s="169"/>
      <c r="C34" s="97">
        <f t="shared" si="40"/>
        <v>0</v>
      </c>
      <c r="D34" s="1"/>
      <c r="E34" s="559">
        <f t="shared" si="29"/>
        <v>0</v>
      </c>
      <c r="F34" s="97">
        <f t="shared" si="2"/>
        <v>0</v>
      </c>
      <c r="G34" s="452"/>
      <c r="H34" s="559">
        <f t="shared" si="41"/>
        <v>0</v>
      </c>
      <c r="I34" s="97">
        <f t="shared" si="32"/>
        <v>0</v>
      </c>
      <c r="J34" s="1"/>
      <c r="K34" s="559">
        <f t="shared" si="43"/>
        <v>0</v>
      </c>
      <c r="L34" s="97">
        <f t="shared" si="33"/>
        <v>0</v>
      </c>
      <c r="M34" s="1"/>
      <c r="N34" s="559">
        <f t="shared" si="34"/>
        <v>0</v>
      </c>
      <c r="O34" s="97">
        <f t="shared" si="38"/>
        <v>0</v>
      </c>
      <c r="P34" s="448"/>
      <c r="Q34" s="559">
        <f t="shared" si="42"/>
        <v>0</v>
      </c>
      <c r="R34" s="297"/>
      <c r="S34" s="292">
        <f t="shared" si="35"/>
        <v>0</v>
      </c>
      <c r="T34" s="449"/>
      <c r="U34" s="560">
        <f t="shared" si="36"/>
        <v>0</v>
      </c>
      <c r="V34" s="292">
        <f t="shared" si="31"/>
        <v>0</v>
      </c>
      <c r="W34" s="449"/>
      <c r="X34" s="560">
        <f t="shared" si="18"/>
        <v>0</v>
      </c>
      <c r="Y34" s="292">
        <f t="shared" si="11"/>
        <v>0</v>
      </c>
      <c r="Z34" s="449"/>
      <c r="AA34" s="560">
        <f t="shared" si="19"/>
        <v>0</v>
      </c>
      <c r="AB34" s="758">
        <f t="shared" si="23"/>
        <v>0</v>
      </c>
      <c r="AC34" s="293"/>
      <c r="AD34" s="761">
        <f t="shared" si="24"/>
        <v>0</v>
      </c>
      <c r="AE34" s="292">
        <f t="shared" si="13"/>
        <v>0</v>
      </c>
      <c r="AF34" s="450"/>
      <c r="AG34" s="560">
        <f t="shared" si="20"/>
        <v>0</v>
      </c>
      <c r="AH34" s="292">
        <f t="shared" si="14"/>
        <v>0</v>
      </c>
      <c r="AI34" s="450"/>
      <c r="AJ34" s="560">
        <f t="shared" si="21"/>
        <v>0</v>
      </c>
      <c r="AK34" s="371">
        <f t="shared" si="15"/>
        <v>0</v>
      </c>
      <c r="AL34" s="449"/>
      <c r="AM34" s="560">
        <f t="shared" si="22"/>
        <v>0</v>
      </c>
      <c r="AN34" s="454">
        <f t="shared" si="25"/>
        <v>0</v>
      </c>
    </row>
    <row r="35" spans="1:41" ht="23.1" customHeight="1">
      <c r="A35" s="58">
        <f>Gen!B40</f>
        <v>44073</v>
      </c>
      <c r="B35" s="169"/>
      <c r="C35" s="97">
        <f t="shared" si="40"/>
        <v>0</v>
      </c>
      <c r="D35" s="1"/>
      <c r="E35" s="559">
        <f t="shared" si="29"/>
        <v>0</v>
      </c>
      <c r="F35" s="97">
        <f t="shared" si="2"/>
        <v>0</v>
      </c>
      <c r="G35" s="452"/>
      <c r="H35" s="559">
        <f t="shared" si="41"/>
        <v>0</v>
      </c>
      <c r="I35" s="97">
        <f t="shared" si="32"/>
        <v>0</v>
      </c>
      <c r="J35" s="1"/>
      <c r="K35" s="559">
        <f t="shared" si="43"/>
        <v>0</v>
      </c>
      <c r="L35" s="97">
        <f t="shared" si="33"/>
        <v>0</v>
      </c>
      <c r="M35" s="1"/>
      <c r="N35" s="559">
        <f t="shared" si="34"/>
        <v>0</v>
      </c>
      <c r="O35" s="97">
        <f t="shared" si="38"/>
        <v>0</v>
      </c>
      <c r="P35" s="448"/>
      <c r="Q35" s="559">
        <f t="shared" si="42"/>
        <v>0</v>
      </c>
      <c r="R35" s="297"/>
      <c r="S35" s="292">
        <f t="shared" si="35"/>
        <v>0</v>
      </c>
      <c r="T35" s="449"/>
      <c r="U35" s="560">
        <f t="shared" si="36"/>
        <v>0</v>
      </c>
      <c r="V35" s="292">
        <f t="shared" si="31"/>
        <v>0</v>
      </c>
      <c r="W35" s="449"/>
      <c r="X35" s="560">
        <f t="shared" si="18"/>
        <v>0</v>
      </c>
      <c r="Y35" s="292">
        <f t="shared" si="11"/>
        <v>0</v>
      </c>
      <c r="Z35" s="449"/>
      <c r="AA35" s="560">
        <f t="shared" si="19"/>
        <v>0</v>
      </c>
      <c r="AB35" s="758">
        <f t="shared" si="23"/>
        <v>0</v>
      </c>
      <c r="AC35" s="293"/>
      <c r="AD35" s="761">
        <f t="shared" si="24"/>
        <v>0</v>
      </c>
      <c r="AE35" s="292">
        <f t="shared" si="13"/>
        <v>0</v>
      </c>
      <c r="AF35" s="450"/>
      <c r="AG35" s="560">
        <f t="shared" si="20"/>
        <v>0</v>
      </c>
      <c r="AH35" s="292">
        <f t="shared" si="14"/>
        <v>0</v>
      </c>
      <c r="AI35" s="450"/>
      <c r="AJ35" s="560">
        <f t="shared" si="21"/>
        <v>0</v>
      </c>
      <c r="AK35" s="371">
        <f t="shared" si="15"/>
        <v>0</v>
      </c>
      <c r="AL35" s="449"/>
      <c r="AM35" s="560">
        <f t="shared" si="22"/>
        <v>0</v>
      </c>
      <c r="AN35" s="454">
        <f t="shared" si="25"/>
        <v>0</v>
      </c>
    </row>
    <row r="36" spans="1:41" ht="23.1" customHeight="1">
      <c r="A36" s="58">
        <f>Gen!B41</f>
        <v>44074</v>
      </c>
      <c r="B36" s="170"/>
      <c r="C36" s="97">
        <f t="shared" si="40"/>
        <v>0</v>
      </c>
      <c r="D36" s="1"/>
      <c r="E36" s="559">
        <f t="shared" si="29"/>
        <v>0</v>
      </c>
      <c r="F36" s="97">
        <f t="shared" si="2"/>
        <v>0</v>
      </c>
      <c r="G36" s="452"/>
      <c r="H36" s="559">
        <f t="shared" si="41"/>
        <v>0</v>
      </c>
      <c r="I36" s="97">
        <f t="shared" si="32"/>
        <v>0</v>
      </c>
      <c r="J36" s="1"/>
      <c r="K36" s="559">
        <f t="shared" si="43"/>
        <v>0</v>
      </c>
      <c r="L36" s="97">
        <f t="shared" si="33"/>
        <v>0</v>
      </c>
      <c r="M36" s="1"/>
      <c r="N36" s="559">
        <f t="shared" si="34"/>
        <v>0</v>
      </c>
      <c r="O36" s="97">
        <f t="shared" si="38"/>
        <v>0</v>
      </c>
      <c r="P36" s="448"/>
      <c r="Q36" s="559">
        <f t="shared" si="42"/>
        <v>0</v>
      </c>
      <c r="R36" s="297"/>
      <c r="S36" s="292">
        <f t="shared" si="35"/>
        <v>0</v>
      </c>
      <c r="T36" s="449"/>
      <c r="U36" s="560">
        <f t="shared" si="36"/>
        <v>0</v>
      </c>
      <c r="V36" s="292">
        <f t="shared" si="31"/>
        <v>0</v>
      </c>
      <c r="W36" s="449"/>
      <c r="X36" s="560">
        <f t="shared" si="18"/>
        <v>0</v>
      </c>
      <c r="Y36" s="292">
        <f t="shared" si="11"/>
        <v>0</v>
      </c>
      <c r="Z36" s="449"/>
      <c r="AA36" s="560">
        <f t="shared" si="19"/>
        <v>0</v>
      </c>
      <c r="AB36" s="758">
        <f t="shared" si="23"/>
        <v>0</v>
      </c>
      <c r="AC36" s="293"/>
      <c r="AD36" s="761">
        <f t="shared" si="24"/>
        <v>0</v>
      </c>
      <c r="AE36" s="292">
        <f t="shared" si="13"/>
        <v>0</v>
      </c>
      <c r="AF36" s="450"/>
      <c r="AG36" s="560">
        <f t="shared" si="20"/>
        <v>0</v>
      </c>
      <c r="AH36" s="292">
        <f t="shared" si="14"/>
        <v>0</v>
      </c>
      <c r="AI36" s="450"/>
      <c r="AJ36" s="560">
        <f t="shared" si="21"/>
        <v>0</v>
      </c>
      <c r="AK36" s="371">
        <f t="shared" si="15"/>
        <v>0</v>
      </c>
      <c r="AL36" s="449"/>
      <c r="AM36" s="560">
        <f t="shared" si="22"/>
        <v>0</v>
      </c>
      <c r="AN36" s="454">
        <f t="shared" si="25"/>
        <v>0</v>
      </c>
    </row>
    <row r="37" spans="1:41" ht="24" customHeight="1">
      <c r="A37" s="58">
        <f>Gen!B42</f>
        <v>0</v>
      </c>
      <c r="B37" s="3"/>
      <c r="C37" s="97">
        <f t="shared" si="40"/>
        <v>0</v>
      </c>
      <c r="D37" s="1"/>
      <c r="E37" s="559">
        <f t="shared" si="29"/>
        <v>0</v>
      </c>
      <c r="F37" s="97">
        <f t="shared" si="2"/>
        <v>0</v>
      </c>
      <c r="G37" s="452"/>
      <c r="H37" s="559">
        <f t="shared" si="41"/>
        <v>0</v>
      </c>
      <c r="I37" s="97">
        <f t="shared" si="32"/>
        <v>0</v>
      </c>
      <c r="J37" s="1"/>
      <c r="K37" s="559">
        <f t="shared" si="43"/>
        <v>0</v>
      </c>
      <c r="L37" s="97">
        <f t="shared" si="33"/>
        <v>0</v>
      </c>
      <c r="M37" s="1"/>
      <c r="N37" s="559">
        <f t="shared" si="34"/>
        <v>0</v>
      </c>
      <c r="O37" s="97">
        <f t="shared" si="38"/>
        <v>0</v>
      </c>
      <c r="P37" s="448"/>
      <c r="Q37" s="559">
        <f t="shared" si="42"/>
        <v>0</v>
      </c>
      <c r="R37" s="297"/>
      <c r="S37" s="292">
        <f t="shared" si="35"/>
        <v>0</v>
      </c>
      <c r="T37" s="449"/>
      <c r="U37" s="560">
        <f t="shared" si="36"/>
        <v>0</v>
      </c>
      <c r="V37" s="292">
        <f t="shared" si="31"/>
        <v>0</v>
      </c>
      <c r="W37" s="449"/>
      <c r="X37" s="560">
        <f t="shared" si="18"/>
        <v>0</v>
      </c>
      <c r="Y37" s="292">
        <f t="shared" si="11"/>
        <v>0</v>
      </c>
      <c r="Z37" s="449"/>
      <c r="AA37" s="560">
        <f t="shared" si="19"/>
        <v>0</v>
      </c>
      <c r="AB37" s="758">
        <f t="shared" si="23"/>
        <v>0</v>
      </c>
      <c r="AC37" s="293"/>
      <c r="AD37" s="761">
        <f t="shared" si="24"/>
        <v>0</v>
      </c>
      <c r="AE37" s="292">
        <f t="shared" si="13"/>
        <v>0</v>
      </c>
      <c r="AF37" s="450"/>
      <c r="AG37" s="560">
        <f t="shared" si="20"/>
        <v>0</v>
      </c>
      <c r="AH37" s="292">
        <f t="shared" si="14"/>
        <v>0</v>
      </c>
      <c r="AI37" s="450"/>
      <c r="AJ37" s="560">
        <f t="shared" si="21"/>
        <v>0</v>
      </c>
      <c r="AK37" s="371">
        <f t="shared" si="15"/>
        <v>0</v>
      </c>
      <c r="AL37" s="449"/>
      <c r="AM37" s="560">
        <f t="shared" si="22"/>
        <v>0</v>
      </c>
      <c r="AN37" s="454">
        <f t="shared" ref="AN37" si="44">U38+X38+AA38+AD38+AG38+AJ38+AM38</f>
        <v>1281</v>
      </c>
    </row>
    <row r="38" spans="1:41" ht="18.75">
      <c r="A38" s="58"/>
      <c r="B38" s="22"/>
      <c r="C38" s="832" t="s">
        <v>6</v>
      </c>
      <c r="D38" s="832"/>
      <c r="E38" s="23">
        <f>SUM(E6:E36)</f>
        <v>935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14</v>
      </c>
      <c r="L38" s="168"/>
      <c r="M38" s="168"/>
      <c r="N38" s="29">
        <f t="shared" ref="N38" si="45">M38-M37</f>
        <v>0</v>
      </c>
      <c r="O38" s="27"/>
      <c r="P38" s="294"/>
      <c r="Q38" s="295">
        <f t="shared" ref="Q38" si="46">P38-O38</f>
        <v>0</v>
      </c>
      <c r="R38" s="296">
        <f>E38</f>
        <v>935</v>
      </c>
      <c r="S38" s="294"/>
      <c r="T38" s="294"/>
      <c r="U38" s="304">
        <f>SUM(U6:U37)</f>
        <v>1281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7">IF((AI39-AI37)&lt;0,"0",(AI39-AI37))</f>
        <v>0</v>
      </c>
      <c r="AK38" s="294"/>
      <c r="AL38" s="294"/>
      <c r="AM38" s="294"/>
      <c r="AN38" s="300">
        <f t="shared" ref="AN38" si="48">U38+X38+AA38+AD38+AG38+AJ38+AM38</f>
        <v>1281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8"/>
      <c r="B42" s="328"/>
      <c r="C42" s="855" t="s">
        <v>222</v>
      </c>
      <c r="D42" s="856"/>
      <c r="E42" s="856"/>
      <c r="F42" s="856"/>
      <c r="G42" s="856"/>
      <c r="H42" s="856"/>
      <c r="I42" s="856"/>
      <c r="J42" s="856"/>
      <c r="K42" s="857"/>
      <c r="R42" s="20"/>
    </row>
    <row r="43" spans="1:41" ht="24.75" customHeight="1">
      <c r="A43" s="859"/>
      <c r="B43" s="20"/>
      <c r="C43" s="861" t="s">
        <v>216</v>
      </c>
      <c r="D43" s="862"/>
      <c r="E43" s="863" t="s">
        <v>237</v>
      </c>
      <c r="F43" s="864"/>
      <c r="G43" s="865" t="s">
        <v>217</v>
      </c>
      <c r="H43" s="866"/>
      <c r="I43" s="865" t="s">
        <v>238</v>
      </c>
      <c r="J43" s="866"/>
      <c r="K43" s="853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59"/>
      <c r="B44" s="20"/>
      <c r="C44" s="867" t="s">
        <v>218</v>
      </c>
      <c r="D44" s="868"/>
      <c r="E44" s="867" t="s">
        <v>219</v>
      </c>
      <c r="F44" s="868"/>
      <c r="G44" s="867" t="s">
        <v>220</v>
      </c>
      <c r="H44" s="868"/>
      <c r="I44" s="867" t="s">
        <v>221</v>
      </c>
      <c r="J44" s="868"/>
      <c r="K44" s="854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0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44044</v>
      </c>
      <c r="B46" s="20"/>
      <c r="C46" s="63">
        <v>156</v>
      </c>
      <c r="D46" s="382">
        <f t="shared" ref="D46:D77" si="49">C46*217/300</f>
        <v>112.84</v>
      </c>
      <c r="E46" s="6">
        <v>120</v>
      </c>
      <c r="F46" s="382">
        <f t="shared" ref="F46:F77" si="50">E46*92/305</f>
        <v>36.196721311475407</v>
      </c>
      <c r="G46" s="562">
        <v>290</v>
      </c>
      <c r="H46" s="382">
        <f>G46*146/383</f>
        <v>110.54830287206266</v>
      </c>
      <c r="I46" s="6">
        <v>130</v>
      </c>
      <c r="J46" s="382">
        <f>I46*213/308</f>
        <v>89.902597402597408</v>
      </c>
      <c r="K46" s="388">
        <f>D46+F46+H46+J46</f>
        <v>349.48762158613545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44045</v>
      </c>
      <c r="B47" s="20"/>
      <c r="C47" s="63">
        <v>196</v>
      </c>
      <c r="D47" s="382">
        <f t="shared" si="49"/>
        <v>141.77333333333334</v>
      </c>
      <c r="E47" s="6">
        <v>160</v>
      </c>
      <c r="F47" s="382">
        <f t="shared" si="50"/>
        <v>48.26229508196721</v>
      </c>
      <c r="G47" s="562">
        <v>139</v>
      </c>
      <c r="H47" s="382">
        <f t="shared" ref="H47:H77" si="51">G47*146/383</f>
        <v>52.986945169712797</v>
      </c>
      <c r="I47" s="6">
        <v>210</v>
      </c>
      <c r="J47" s="382">
        <f t="shared" ref="J47:J77" si="52">I47*213/308</f>
        <v>145.22727272727272</v>
      </c>
      <c r="K47" s="388">
        <f t="shared" ref="K47:K77" si="53">D47+F47+H47+J47</f>
        <v>388.24984631228608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44046</v>
      </c>
      <c r="B48" s="20"/>
      <c r="C48" s="63">
        <v>135</v>
      </c>
      <c r="D48" s="382">
        <f t="shared" si="49"/>
        <v>97.65</v>
      </c>
      <c r="E48" s="6">
        <v>99</v>
      </c>
      <c r="F48" s="382">
        <f t="shared" si="50"/>
        <v>29.862295081967215</v>
      </c>
      <c r="G48" s="562">
        <v>300</v>
      </c>
      <c r="H48" s="382">
        <f t="shared" si="51"/>
        <v>114.36031331592689</v>
      </c>
      <c r="I48" s="6">
        <v>290</v>
      </c>
      <c r="J48" s="382">
        <f t="shared" si="52"/>
        <v>200.55194805194805</v>
      </c>
      <c r="K48" s="388">
        <f t="shared" si="53"/>
        <v>442.42455644984216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44047</v>
      </c>
      <c r="B49" s="20"/>
      <c r="C49" s="63">
        <v>240</v>
      </c>
      <c r="D49" s="382">
        <f t="shared" si="49"/>
        <v>173.6</v>
      </c>
      <c r="E49" s="6">
        <v>225</v>
      </c>
      <c r="F49" s="382">
        <f t="shared" si="50"/>
        <v>67.868852459016395</v>
      </c>
      <c r="G49" s="562">
        <v>210</v>
      </c>
      <c r="H49" s="382">
        <f t="shared" si="51"/>
        <v>80.052219321148826</v>
      </c>
      <c r="I49" s="6">
        <v>285</v>
      </c>
      <c r="J49" s="382">
        <f t="shared" si="52"/>
        <v>197.09415584415584</v>
      </c>
      <c r="K49" s="388">
        <f t="shared" si="53"/>
        <v>518.61522762432105</v>
      </c>
    </row>
    <row r="50" spans="1:15" ht="13.5">
      <c r="A50" s="345">
        <f>Gen!B15</f>
        <v>44048</v>
      </c>
      <c r="B50" s="20"/>
      <c r="C50" s="63">
        <v>300</v>
      </c>
      <c r="D50" s="382">
        <f t="shared" si="49"/>
        <v>217</v>
      </c>
      <c r="E50" s="6">
        <v>290</v>
      </c>
      <c r="F50" s="382">
        <f t="shared" si="50"/>
        <v>87.47540983606558</v>
      </c>
      <c r="G50" s="562">
        <v>200</v>
      </c>
      <c r="H50" s="382">
        <f t="shared" si="51"/>
        <v>76.240208877284601</v>
      </c>
      <c r="I50" s="6">
        <v>287</v>
      </c>
      <c r="J50" s="382">
        <f t="shared" si="52"/>
        <v>198.47727272727272</v>
      </c>
      <c r="K50" s="388">
        <f t="shared" si="53"/>
        <v>579.19289144062293</v>
      </c>
    </row>
    <row r="51" spans="1:15" ht="13.5">
      <c r="A51" s="345">
        <f>Gen!B16</f>
        <v>44049</v>
      </c>
      <c r="B51" s="20"/>
      <c r="C51" s="63">
        <v>300</v>
      </c>
      <c r="D51" s="382">
        <f t="shared" si="49"/>
        <v>217</v>
      </c>
      <c r="E51" s="6">
        <v>290</v>
      </c>
      <c r="F51" s="382">
        <f t="shared" si="50"/>
        <v>87.47540983606558</v>
      </c>
      <c r="G51" s="562">
        <v>220</v>
      </c>
      <c r="H51" s="382">
        <f t="shared" si="51"/>
        <v>83.86422976501305</v>
      </c>
      <c r="I51" s="6">
        <v>290</v>
      </c>
      <c r="J51" s="382">
        <f t="shared" si="52"/>
        <v>200.55194805194805</v>
      </c>
      <c r="K51" s="388">
        <f t="shared" si="53"/>
        <v>588.89158765302659</v>
      </c>
    </row>
    <row r="52" spans="1:15" ht="13.5">
      <c r="A52" s="345">
        <f>Gen!B17</f>
        <v>44050</v>
      </c>
      <c r="B52" s="20"/>
      <c r="C52" s="63">
        <v>301</v>
      </c>
      <c r="D52" s="382">
        <f t="shared" si="49"/>
        <v>217.72333333333333</v>
      </c>
      <c r="E52" s="6">
        <v>290</v>
      </c>
      <c r="F52" s="382">
        <f t="shared" si="50"/>
        <v>87.47540983606558</v>
      </c>
      <c r="G52" s="562">
        <v>180</v>
      </c>
      <c r="H52" s="382">
        <f t="shared" si="51"/>
        <v>68.616187989556138</v>
      </c>
      <c r="I52" s="6">
        <v>286</v>
      </c>
      <c r="J52" s="382">
        <f t="shared" si="52"/>
        <v>197.78571428571428</v>
      </c>
      <c r="K52" s="388">
        <f t="shared" si="53"/>
        <v>571.60064544466923</v>
      </c>
    </row>
    <row r="53" spans="1:15" ht="13.5">
      <c r="A53" s="345">
        <f>Gen!B18</f>
        <v>44051</v>
      </c>
      <c r="B53" s="20"/>
      <c r="C53" s="63">
        <v>300</v>
      </c>
      <c r="D53" s="382">
        <f t="shared" si="49"/>
        <v>217</v>
      </c>
      <c r="E53" s="6">
        <v>285</v>
      </c>
      <c r="F53" s="382">
        <f t="shared" si="50"/>
        <v>85.967213114754102</v>
      </c>
      <c r="G53" s="562">
        <v>190</v>
      </c>
      <c r="H53" s="382">
        <f t="shared" si="51"/>
        <v>72.428198433420363</v>
      </c>
      <c r="I53" s="6">
        <v>288</v>
      </c>
      <c r="J53" s="382">
        <f t="shared" si="52"/>
        <v>199.16883116883116</v>
      </c>
      <c r="K53" s="388">
        <f t="shared" si="53"/>
        <v>574.56424271700564</v>
      </c>
    </row>
    <row r="54" spans="1:15" ht="13.5">
      <c r="A54" s="345">
        <f>Gen!B19</f>
        <v>44052</v>
      </c>
      <c r="B54" s="20"/>
      <c r="C54" s="63">
        <v>300</v>
      </c>
      <c r="D54" s="382">
        <f t="shared" si="49"/>
        <v>217</v>
      </c>
      <c r="E54" s="6">
        <v>290</v>
      </c>
      <c r="F54" s="382">
        <f t="shared" si="50"/>
        <v>87.47540983606558</v>
      </c>
      <c r="G54" s="562">
        <v>155</v>
      </c>
      <c r="H54" s="382">
        <f t="shared" si="51"/>
        <v>59.086161879895563</v>
      </c>
      <c r="I54" s="6">
        <v>290</v>
      </c>
      <c r="J54" s="382">
        <f t="shared" si="52"/>
        <v>200.55194805194805</v>
      </c>
      <c r="K54" s="388">
        <f t="shared" si="53"/>
        <v>564.11351976790911</v>
      </c>
    </row>
    <row r="55" spans="1:15" ht="13.5">
      <c r="A55" s="345">
        <f>Gen!B20</f>
        <v>44053</v>
      </c>
      <c r="B55" s="20"/>
      <c r="C55" s="63">
        <v>285</v>
      </c>
      <c r="D55" s="382">
        <f t="shared" si="49"/>
        <v>206.15</v>
      </c>
      <c r="E55" s="6">
        <v>250</v>
      </c>
      <c r="F55" s="382">
        <f t="shared" si="50"/>
        <v>75.409836065573771</v>
      </c>
      <c r="G55" s="562">
        <v>165</v>
      </c>
      <c r="H55" s="382">
        <f t="shared" si="51"/>
        <v>62.898172323759788</v>
      </c>
      <c r="I55" s="6">
        <v>285</v>
      </c>
      <c r="J55" s="382">
        <f t="shared" si="52"/>
        <v>197.09415584415584</v>
      </c>
      <c r="K55" s="388">
        <f t="shared" si="53"/>
        <v>541.55216423348941</v>
      </c>
    </row>
    <row r="56" spans="1:15" ht="13.5">
      <c r="A56" s="345">
        <f>Gen!B21</f>
        <v>44054</v>
      </c>
      <c r="B56" s="20"/>
      <c r="C56" s="63">
        <v>220</v>
      </c>
      <c r="D56" s="382">
        <f t="shared" si="49"/>
        <v>159.13333333333333</v>
      </c>
      <c r="E56" s="6">
        <v>185</v>
      </c>
      <c r="F56" s="382">
        <f t="shared" si="50"/>
        <v>55.803278688524593</v>
      </c>
      <c r="G56" s="562">
        <v>153</v>
      </c>
      <c r="H56" s="382">
        <f t="shared" si="51"/>
        <v>58.323759791122718</v>
      </c>
      <c r="I56" s="6">
        <v>290</v>
      </c>
      <c r="J56" s="382">
        <f t="shared" si="52"/>
        <v>200.55194805194805</v>
      </c>
      <c r="K56" s="388">
        <f t="shared" si="53"/>
        <v>473.81231986492867</v>
      </c>
    </row>
    <row r="57" spans="1:15" ht="13.5">
      <c r="A57" s="345">
        <f>Gen!B22</f>
        <v>44055</v>
      </c>
      <c r="B57" s="20"/>
      <c r="C57" s="63">
        <v>231</v>
      </c>
      <c r="D57" s="382">
        <f t="shared" si="49"/>
        <v>167.09</v>
      </c>
      <c r="E57" s="6">
        <v>195</v>
      </c>
      <c r="F57" s="382">
        <f t="shared" si="50"/>
        <v>58.819672131147541</v>
      </c>
      <c r="G57" s="562">
        <v>115</v>
      </c>
      <c r="H57" s="382">
        <f t="shared" si="51"/>
        <v>43.838120104438644</v>
      </c>
      <c r="I57" s="6">
        <v>285</v>
      </c>
      <c r="J57" s="382">
        <f t="shared" si="52"/>
        <v>197.09415584415584</v>
      </c>
      <c r="K57" s="388">
        <f t="shared" si="53"/>
        <v>466.841948079742</v>
      </c>
    </row>
    <row r="58" spans="1:15" ht="13.5">
      <c r="A58" s="345">
        <f>Gen!B23</f>
        <v>44056</v>
      </c>
      <c r="B58" s="20"/>
      <c r="C58" s="63">
        <v>260</v>
      </c>
      <c r="D58" s="382">
        <f t="shared" si="49"/>
        <v>188.06666666666666</v>
      </c>
      <c r="E58" s="6">
        <v>225</v>
      </c>
      <c r="F58" s="382">
        <f t="shared" si="50"/>
        <v>67.868852459016395</v>
      </c>
      <c r="G58" s="562">
        <v>25</v>
      </c>
      <c r="H58" s="382">
        <f t="shared" si="51"/>
        <v>9.5300261096605752</v>
      </c>
      <c r="I58" s="6">
        <v>268</v>
      </c>
      <c r="J58" s="382">
        <f t="shared" si="52"/>
        <v>185.33766233766235</v>
      </c>
      <c r="K58" s="388">
        <f t="shared" si="53"/>
        <v>450.80320757300603</v>
      </c>
    </row>
    <row r="59" spans="1:15" ht="13.5">
      <c r="A59" s="345">
        <f>Gen!B24</f>
        <v>44057</v>
      </c>
      <c r="B59" s="20"/>
      <c r="C59" s="63">
        <v>300</v>
      </c>
      <c r="D59" s="382">
        <f t="shared" si="49"/>
        <v>217</v>
      </c>
      <c r="E59" s="6">
        <v>290</v>
      </c>
      <c r="F59" s="382">
        <f t="shared" si="50"/>
        <v>87.47540983606558</v>
      </c>
      <c r="G59" s="562">
        <v>162</v>
      </c>
      <c r="H59" s="382">
        <f t="shared" si="51"/>
        <v>61.75456919060052</v>
      </c>
      <c r="I59" s="6">
        <v>180</v>
      </c>
      <c r="J59" s="382">
        <f t="shared" si="52"/>
        <v>124.48051948051948</v>
      </c>
      <c r="K59" s="388">
        <f t="shared" si="53"/>
        <v>490.7104985071856</v>
      </c>
    </row>
    <row r="60" spans="1:15" ht="13.5">
      <c r="A60" s="345">
        <f>Gen!B25</f>
        <v>44058</v>
      </c>
      <c r="B60" s="20"/>
      <c r="C60" s="63">
        <v>196</v>
      </c>
      <c r="D60" s="382">
        <f t="shared" si="49"/>
        <v>141.77333333333334</v>
      </c>
      <c r="E60" s="6">
        <v>160</v>
      </c>
      <c r="F60" s="382">
        <f t="shared" si="50"/>
        <v>48.26229508196721</v>
      </c>
      <c r="G60" s="562">
        <v>270</v>
      </c>
      <c r="H60" s="382">
        <f t="shared" si="51"/>
        <v>102.9242819843342</v>
      </c>
      <c r="I60" s="6">
        <v>290</v>
      </c>
      <c r="J60" s="382">
        <f t="shared" si="52"/>
        <v>200.55194805194805</v>
      </c>
      <c r="K60" s="388">
        <f t="shared" si="53"/>
        <v>493.51185845158278</v>
      </c>
      <c r="L60" t="s">
        <v>249</v>
      </c>
      <c r="O60" t="s">
        <v>250</v>
      </c>
    </row>
    <row r="61" spans="1:15" ht="13.5">
      <c r="A61" s="345">
        <f>Gen!B26</f>
        <v>44059</v>
      </c>
      <c r="B61" s="20"/>
      <c r="C61" s="63">
        <v>220</v>
      </c>
      <c r="D61" s="382">
        <f t="shared" si="49"/>
        <v>159.13333333333333</v>
      </c>
      <c r="E61" s="6">
        <v>160</v>
      </c>
      <c r="F61" s="382">
        <f t="shared" si="50"/>
        <v>48.26229508196721</v>
      </c>
      <c r="G61" s="562">
        <v>285</v>
      </c>
      <c r="H61" s="382">
        <f t="shared" si="51"/>
        <v>108.64229765013054</v>
      </c>
      <c r="I61" s="6">
        <v>280</v>
      </c>
      <c r="J61" s="382">
        <f t="shared" si="52"/>
        <v>193.63636363636363</v>
      </c>
      <c r="K61" s="388">
        <f t="shared" si="53"/>
        <v>509.67428970179469</v>
      </c>
      <c r="L61" t="s">
        <v>252</v>
      </c>
      <c r="N61" t="s">
        <v>251</v>
      </c>
    </row>
    <row r="62" spans="1:15" ht="13.5">
      <c r="A62" s="345">
        <f>Gen!B27</f>
        <v>44060</v>
      </c>
      <c r="B62" s="20"/>
      <c r="C62" s="63">
        <v>300</v>
      </c>
      <c r="D62" s="382">
        <f t="shared" si="49"/>
        <v>217</v>
      </c>
      <c r="E62" s="6">
        <v>290</v>
      </c>
      <c r="F62" s="382">
        <f t="shared" si="50"/>
        <v>87.47540983606558</v>
      </c>
      <c r="G62" s="562">
        <v>300</v>
      </c>
      <c r="H62" s="382">
        <f t="shared" si="51"/>
        <v>114.36031331592689</v>
      </c>
      <c r="I62" s="6">
        <v>160</v>
      </c>
      <c r="J62" s="382">
        <f t="shared" si="52"/>
        <v>110.64935064935065</v>
      </c>
      <c r="K62" s="388">
        <f t="shared" si="53"/>
        <v>529.48507380134311</v>
      </c>
    </row>
    <row r="63" spans="1:15" ht="13.5">
      <c r="A63" s="345">
        <f>Gen!B28</f>
        <v>44061</v>
      </c>
      <c r="B63" s="20"/>
      <c r="C63" s="63"/>
      <c r="D63" s="382">
        <f t="shared" si="49"/>
        <v>0</v>
      </c>
      <c r="E63" s="6"/>
      <c r="F63" s="382">
        <f t="shared" si="50"/>
        <v>0</v>
      </c>
      <c r="G63" s="562"/>
      <c r="H63" s="382">
        <f t="shared" si="51"/>
        <v>0</v>
      </c>
      <c r="I63" s="6"/>
      <c r="J63" s="382">
        <f t="shared" si="52"/>
        <v>0</v>
      </c>
      <c r="K63" s="388">
        <f t="shared" si="53"/>
        <v>0</v>
      </c>
    </row>
    <row r="64" spans="1:15" ht="13.5">
      <c r="A64" s="345">
        <f>Gen!B29</f>
        <v>44062</v>
      </c>
      <c r="B64" s="20"/>
      <c r="C64" s="63"/>
      <c r="D64" s="382">
        <f t="shared" si="49"/>
        <v>0</v>
      </c>
      <c r="E64" s="6"/>
      <c r="F64" s="382">
        <f t="shared" si="50"/>
        <v>0</v>
      </c>
      <c r="G64" s="562"/>
      <c r="H64" s="382">
        <f t="shared" si="51"/>
        <v>0</v>
      </c>
      <c r="I64" s="6"/>
      <c r="J64" s="382">
        <f t="shared" si="52"/>
        <v>0</v>
      </c>
      <c r="K64" s="388">
        <f t="shared" si="53"/>
        <v>0</v>
      </c>
    </row>
    <row r="65" spans="1:11" ht="13.5">
      <c r="A65" s="345">
        <f>Gen!B30</f>
        <v>44063</v>
      </c>
      <c r="B65" s="20"/>
      <c r="C65" s="63"/>
      <c r="D65" s="382">
        <f t="shared" si="49"/>
        <v>0</v>
      </c>
      <c r="E65" s="6"/>
      <c r="F65" s="382">
        <f t="shared" si="50"/>
        <v>0</v>
      </c>
      <c r="G65" s="562"/>
      <c r="H65" s="382">
        <f t="shared" si="51"/>
        <v>0</v>
      </c>
      <c r="I65" s="6"/>
      <c r="J65" s="382">
        <f t="shared" si="52"/>
        <v>0</v>
      </c>
      <c r="K65" s="388">
        <f t="shared" si="53"/>
        <v>0</v>
      </c>
    </row>
    <row r="66" spans="1:11" ht="13.5">
      <c r="A66" s="345">
        <f>Gen!B31</f>
        <v>44064</v>
      </c>
      <c r="B66" s="20"/>
      <c r="C66" s="63"/>
      <c r="D66" s="382">
        <f t="shared" si="49"/>
        <v>0</v>
      </c>
      <c r="E66" s="6"/>
      <c r="F66" s="382">
        <f t="shared" si="50"/>
        <v>0</v>
      </c>
      <c r="G66" s="562"/>
      <c r="H66" s="382">
        <f t="shared" si="51"/>
        <v>0</v>
      </c>
      <c r="I66" s="6"/>
      <c r="J66" s="382">
        <f t="shared" si="52"/>
        <v>0</v>
      </c>
      <c r="K66" s="388">
        <f t="shared" si="53"/>
        <v>0</v>
      </c>
    </row>
    <row r="67" spans="1:11" ht="13.5">
      <c r="A67" s="345">
        <f>Gen!B32</f>
        <v>44065</v>
      </c>
      <c r="B67" s="20"/>
      <c r="C67" s="63"/>
      <c r="D67" s="382">
        <f t="shared" si="49"/>
        <v>0</v>
      </c>
      <c r="E67" s="6"/>
      <c r="F67" s="382">
        <f t="shared" si="50"/>
        <v>0</v>
      </c>
      <c r="G67" s="562"/>
      <c r="H67" s="382">
        <f t="shared" si="51"/>
        <v>0</v>
      </c>
      <c r="I67" s="6"/>
      <c r="J67" s="382">
        <f t="shared" si="52"/>
        <v>0</v>
      </c>
      <c r="K67" s="388">
        <f t="shared" si="53"/>
        <v>0</v>
      </c>
    </row>
    <row r="68" spans="1:11" ht="13.5">
      <c r="A68" s="345">
        <f>Gen!B33</f>
        <v>44066</v>
      </c>
      <c r="B68" s="20"/>
      <c r="C68" s="63"/>
      <c r="D68" s="382">
        <f t="shared" si="49"/>
        <v>0</v>
      </c>
      <c r="E68" s="6"/>
      <c r="F68" s="382">
        <f t="shared" si="50"/>
        <v>0</v>
      </c>
      <c r="G68" s="562"/>
      <c r="H68" s="382">
        <f t="shared" si="51"/>
        <v>0</v>
      </c>
      <c r="I68" s="6"/>
      <c r="J68" s="382">
        <f t="shared" si="52"/>
        <v>0</v>
      </c>
      <c r="K68" s="388">
        <f t="shared" si="53"/>
        <v>0</v>
      </c>
    </row>
    <row r="69" spans="1:11" ht="13.5">
      <c r="A69" s="345">
        <f>Gen!B34</f>
        <v>44067</v>
      </c>
      <c r="B69" s="20"/>
      <c r="C69" s="63"/>
      <c r="D69" s="382">
        <f t="shared" si="49"/>
        <v>0</v>
      </c>
      <c r="E69" s="6"/>
      <c r="F69" s="382">
        <f t="shared" si="50"/>
        <v>0</v>
      </c>
      <c r="G69" s="562"/>
      <c r="H69" s="382">
        <f t="shared" si="51"/>
        <v>0</v>
      </c>
      <c r="I69" s="6"/>
      <c r="J69" s="382">
        <f t="shared" si="52"/>
        <v>0</v>
      </c>
      <c r="K69" s="388">
        <f t="shared" si="53"/>
        <v>0</v>
      </c>
    </row>
    <row r="70" spans="1:11" ht="13.5">
      <c r="A70" s="345">
        <f>Gen!B35</f>
        <v>44068</v>
      </c>
      <c r="B70" s="20"/>
      <c r="C70" s="63"/>
      <c r="D70" s="382">
        <f t="shared" si="49"/>
        <v>0</v>
      </c>
      <c r="E70" s="6"/>
      <c r="F70" s="382">
        <f t="shared" si="50"/>
        <v>0</v>
      </c>
      <c r="G70" s="562"/>
      <c r="H70" s="382">
        <f t="shared" si="51"/>
        <v>0</v>
      </c>
      <c r="I70" s="6"/>
      <c r="J70" s="382">
        <f t="shared" si="52"/>
        <v>0</v>
      </c>
      <c r="K70" s="388">
        <f t="shared" si="53"/>
        <v>0</v>
      </c>
    </row>
    <row r="71" spans="1:11" ht="13.5">
      <c r="A71" s="345">
        <f>Gen!B36</f>
        <v>44069</v>
      </c>
      <c r="B71" s="20"/>
      <c r="C71" s="63"/>
      <c r="D71" s="382">
        <f t="shared" si="49"/>
        <v>0</v>
      </c>
      <c r="E71" s="6"/>
      <c r="F71" s="382">
        <f t="shared" si="50"/>
        <v>0</v>
      </c>
      <c r="G71" s="562"/>
      <c r="H71" s="382">
        <f t="shared" si="51"/>
        <v>0</v>
      </c>
      <c r="I71" s="6"/>
      <c r="J71" s="382">
        <f t="shared" si="52"/>
        <v>0</v>
      </c>
      <c r="K71" s="388">
        <f t="shared" si="53"/>
        <v>0</v>
      </c>
    </row>
    <row r="72" spans="1:11" ht="13.5">
      <c r="A72" s="345">
        <f>Gen!B37</f>
        <v>44070</v>
      </c>
      <c r="B72" s="20"/>
      <c r="C72" s="63"/>
      <c r="D72" s="382">
        <f t="shared" si="49"/>
        <v>0</v>
      </c>
      <c r="E72" s="6"/>
      <c r="F72" s="382">
        <f t="shared" si="50"/>
        <v>0</v>
      </c>
      <c r="G72" s="562"/>
      <c r="H72" s="382">
        <f t="shared" si="51"/>
        <v>0</v>
      </c>
      <c r="I72" s="6"/>
      <c r="J72" s="382">
        <f t="shared" si="52"/>
        <v>0</v>
      </c>
      <c r="K72" s="388">
        <f t="shared" si="53"/>
        <v>0</v>
      </c>
    </row>
    <row r="73" spans="1:11" ht="13.5">
      <c r="A73" s="345">
        <f>Gen!B38</f>
        <v>44071</v>
      </c>
      <c r="B73" s="20"/>
      <c r="C73" s="63"/>
      <c r="D73" s="382">
        <f t="shared" si="49"/>
        <v>0</v>
      </c>
      <c r="E73" s="6"/>
      <c r="F73" s="382">
        <f t="shared" si="50"/>
        <v>0</v>
      </c>
      <c r="G73" s="562"/>
      <c r="H73" s="382">
        <f t="shared" si="51"/>
        <v>0</v>
      </c>
      <c r="I73" s="6"/>
      <c r="J73" s="382">
        <f t="shared" si="52"/>
        <v>0</v>
      </c>
      <c r="K73" s="388">
        <f t="shared" si="53"/>
        <v>0</v>
      </c>
    </row>
    <row r="74" spans="1:11" ht="13.5">
      <c r="A74" s="345">
        <f>Gen!B39</f>
        <v>44072</v>
      </c>
      <c r="B74" s="20"/>
      <c r="C74" s="63"/>
      <c r="D74" s="382">
        <f t="shared" si="49"/>
        <v>0</v>
      </c>
      <c r="E74" s="6"/>
      <c r="F74" s="382">
        <f t="shared" si="50"/>
        <v>0</v>
      </c>
      <c r="G74" s="562"/>
      <c r="H74" s="382">
        <f t="shared" si="51"/>
        <v>0</v>
      </c>
      <c r="I74" s="6"/>
      <c r="J74" s="382">
        <f t="shared" si="52"/>
        <v>0</v>
      </c>
      <c r="K74" s="388">
        <f t="shared" si="53"/>
        <v>0</v>
      </c>
    </row>
    <row r="75" spans="1:11" ht="14.25" thickBot="1">
      <c r="A75" s="345">
        <f>Gen!B40</f>
        <v>44073</v>
      </c>
      <c r="B75" s="298"/>
      <c r="C75" s="63"/>
      <c r="D75" s="382">
        <f t="shared" si="49"/>
        <v>0</v>
      </c>
      <c r="E75" s="6"/>
      <c r="F75" s="382">
        <f t="shared" si="50"/>
        <v>0</v>
      </c>
      <c r="G75" s="562"/>
      <c r="H75" s="382">
        <f t="shared" si="51"/>
        <v>0</v>
      </c>
      <c r="I75" s="6"/>
      <c r="J75" s="382">
        <f t="shared" si="52"/>
        <v>0</v>
      </c>
      <c r="K75" s="388">
        <f t="shared" si="53"/>
        <v>0</v>
      </c>
    </row>
    <row r="76" spans="1:11" ht="13.5">
      <c r="A76" s="345">
        <f>Gen!B41</f>
        <v>44074</v>
      </c>
      <c r="C76" s="63"/>
      <c r="D76" s="382">
        <f t="shared" si="49"/>
        <v>0</v>
      </c>
      <c r="E76" s="6"/>
      <c r="F76" s="382">
        <f t="shared" si="50"/>
        <v>0</v>
      </c>
      <c r="G76" s="562"/>
      <c r="H76" s="382">
        <f t="shared" si="51"/>
        <v>0</v>
      </c>
      <c r="I76" s="6"/>
      <c r="J76" s="382">
        <f t="shared" si="52"/>
        <v>0</v>
      </c>
      <c r="K76" s="388">
        <f t="shared" si="53"/>
        <v>0</v>
      </c>
    </row>
    <row r="77" spans="1:11" ht="14.25" thickBot="1">
      <c r="A77" s="345">
        <f>Gen!B42</f>
        <v>0</v>
      </c>
      <c r="C77" s="63"/>
      <c r="D77" s="382">
        <f t="shared" si="49"/>
        <v>0</v>
      </c>
      <c r="E77" s="6"/>
      <c r="F77" s="382">
        <f t="shared" si="50"/>
        <v>0</v>
      </c>
      <c r="G77" s="562"/>
      <c r="H77" s="382">
        <f t="shared" si="51"/>
        <v>0</v>
      </c>
      <c r="I77" s="6"/>
      <c r="J77" s="382">
        <f t="shared" si="52"/>
        <v>0</v>
      </c>
      <c r="K77" s="389">
        <f t="shared" si="53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44044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44045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44046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44047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44048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44049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44050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44051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44052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44053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44054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44055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44056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44057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44058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44059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44060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44061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44062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44063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44064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44065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44066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44067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44068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44069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44070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44071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44072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44073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44074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44044</v>
      </c>
      <c r="B5" s="83">
        <v>0</v>
      </c>
      <c r="C5" s="88">
        <f>Gen!C11</f>
        <v>0</v>
      </c>
      <c r="D5" s="512">
        <f>SUM(77*C5)</f>
        <v>0</v>
      </c>
      <c r="E5" s="75"/>
      <c r="F5" s="71">
        <f>Gen!U11</f>
        <v>1872</v>
      </c>
      <c r="G5" s="86">
        <f>Gen!T11</f>
        <v>741.42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51</v>
      </c>
      <c r="L5" s="526">
        <f>'Lpg (2)'!G10</f>
        <v>315873.14000000007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3.2840909090909092</v>
      </c>
      <c r="U5" s="124">
        <f>SUM(L5*1963)/X5</f>
        <v>391451.37236111122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44045</v>
      </c>
      <c r="B6" s="83">
        <v>0</v>
      </c>
      <c r="C6" s="88">
        <f>Gen!C12</f>
        <v>0</v>
      </c>
      <c r="D6" s="512">
        <f t="shared" ref="D6:D35" si="2">SUM(77*C6)</f>
        <v>0</v>
      </c>
      <c r="E6" s="75"/>
      <c r="F6" s="71">
        <f>Gen!U12</f>
        <v>2030</v>
      </c>
      <c r="G6" s="86">
        <f>Gen!T12</f>
        <v>782.06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53</v>
      </c>
      <c r="L6" s="526">
        <f>'Lpg (2)'!G11</f>
        <v>25.784000000002564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3.4128787878787881</v>
      </c>
      <c r="U6" s="124">
        <f t="shared" ref="U6:U35" si="6">SUM(L6*1963)/X6</f>
        <v>31.953277777780954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44046</v>
      </c>
      <c r="B7" s="83">
        <v>0</v>
      </c>
      <c r="C7" s="88">
        <f>Gen!C13</f>
        <v>0</v>
      </c>
      <c r="D7" s="512">
        <f t="shared" si="2"/>
        <v>0</v>
      </c>
      <c r="E7" s="75"/>
      <c r="F7" s="71">
        <f>Gen!U13</f>
        <v>1818</v>
      </c>
      <c r="G7" s="86">
        <f>Gen!T13</f>
        <v>788.41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42</v>
      </c>
      <c r="L7" s="526">
        <f>'Lpg (2)'!G12</f>
        <v>12.847999999992318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2.7045454545454546</v>
      </c>
      <c r="U7" s="124">
        <f t="shared" si="6"/>
        <v>15.922111111101591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44047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1980</v>
      </c>
      <c r="G8" s="86">
        <f>Gen!T14</f>
        <v>793.6099999999999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67</v>
      </c>
      <c r="L8" s="526">
        <f>'Lpg (2)'!G13</f>
        <v>12.584000000002563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4.3143939393939394</v>
      </c>
      <c r="U8" s="124">
        <f t="shared" si="6"/>
        <v>15.59494444444762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44048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1724</v>
      </c>
      <c r="G9" s="86">
        <f>Gen!T15</f>
        <v>776.02</v>
      </c>
      <c r="H9" s="86">
        <f>[1]Gen!AJ10</f>
        <v>0</v>
      </c>
      <c r="I9" s="86">
        <f t="shared" si="0"/>
        <v>776.02</v>
      </c>
      <c r="J9" s="86">
        <f>[1]Gen!AT15</f>
        <v>37525.210000000021</v>
      </c>
      <c r="K9" s="70">
        <f>'Water-Meter'!E10</f>
        <v>49</v>
      </c>
      <c r="L9" s="526">
        <f>'Lpg (2)'!G14</f>
        <v>32.559999999974394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1714887.7969999998</v>
      </c>
      <c r="R9" s="77" t="e">
        <f t="shared" si="3"/>
        <v>#DIV/0!</v>
      </c>
      <c r="S9" s="516" t="e">
        <f t="shared" si="4"/>
        <v>#DIV/0!</v>
      </c>
      <c r="T9" s="77">
        <f t="shared" si="5"/>
        <v>3.1553030303030303</v>
      </c>
      <c r="U9" s="124">
        <f t="shared" si="6"/>
        <v>40.350555555523826</v>
      </c>
      <c r="V9" s="18">
        <f t="shared" si="7"/>
        <v>1714931.3028585855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44049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1892</v>
      </c>
      <c r="G10" s="86">
        <f>Gen!T16</f>
        <v>778.12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66</v>
      </c>
      <c r="L10" s="526">
        <f>'Lpg (2)'!G15</f>
        <v>26.047999999992317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4.25</v>
      </c>
      <c r="U10" s="124">
        <f t="shared" si="6"/>
        <v>32.28044444443492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44050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1882</v>
      </c>
      <c r="G11" s="86">
        <f>Gen!T17</f>
        <v>771.7</v>
      </c>
      <c r="H11" s="86">
        <f>[1]Gen!AJ25</f>
        <v>80.56</v>
      </c>
      <c r="I11" s="86">
        <f t="shared" si="0"/>
        <v>852.26</v>
      </c>
      <c r="J11" s="86">
        <f>[1]Gen!AT17</f>
        <v>47513.140000000029</v>
      </c>
      <c r="K11" s="70">
        <f>'Water-Meter'!E12</f>
        <v>51</v>
      </c>
      <c r="L11" s="526">
        <f>'Lpg (2)'!G16</f>
        <v>32.647999999992322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1883366.7609999999</v>
      </c>
      <c r="R11" s="77" t="e">
        <f t="shared" si="3"/>
        <v>#DIV/0!</v>
      </c>
      <c r="S11" s="516" t="e">
        <f t="shared" si="4"/>
        <v>#DIV/0!</v>
      </c>
      <c r="T11" s="77">
        <f t="shared" si="5"/>
        <v>3.2840909090909092</v>
      </c>
      <c r="U11" s="124">
        <f t="shared" si="6"/>
        <v>40.459611111101594</v>
      </c>
      <c r="V11" s="18">
        <f t="shared" si="7"/>
        <v>1883410.5047020202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44051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2028</v>
      </c>
      <c r="G12" s="86">
        <f>Gen!T18</f>
        <v>822.74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61</v>
      </c>
      <c r="L12" s="526">
        <f>'Lpg (2)'!G17</f>
        <v>31.900000000000002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3.9280303030303032</v>
      </c>
      <c r="U12" s="124">
        <f t="shared" si="6"/>
        <v>39.53263888888889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44052</v>
      </c>
      <c r="B13" s="83">
        <v>0</v>
      </c>
      <c r="C13" s="88">
        <f>Gen!C19</f>
        <v>1.2999999999999999E-2</v>
      </c>
      <c r="D13" s="512">
        <f t="shared" si="2"/>
        <v>1.0009999999999999</v>
      </c>
      <c r="E13" s="75"/>
      <c r="F13" s="71">
        <f>Gen!U19</f>
        <v>2022</v>
      </c>
      <c r="G13" s="86">
        <f>Gen!T19</f>
        <v>886.95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63</v>
      </c>
      <c r="L13" s="526">
        <f>'Lpg (2)'!G18</f>
        <v>43.868000000005125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4.0568181818181817</v>
      </c>
      <c r="U13" s="124">
        <f t="shared" si="6"/>
        <v>54.364194444450796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44053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1848</v>
      </c>
      <c r="G14" s="86">
        <f>Gen!T20</f>
        <v>798.82999999999993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49.104000000015368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60.853000000019044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44054</v>
      </c>
      <c r="B15" s="83">
        <v>0</v>
      </c>
      <c r="C15" s="88">
        <f>Gen!C21</f>
        <v>0.01</v>
      </c>
      <c r="D15" s="512">
        <f t="shared" si="2"/>
        <v>0.77</v>
      </c>
      <c r="E15" s="75"/>
      <c r="F15" s="71">
        <f>Gen!U21</f>
        <v>1828</v>
      </c>
      <c r="G15" s="86">
        <f>Gen!T21</f>
        <v>777.96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67</v>
      </c>
      <c r="L15" s="526">
        <f>'Lpg (2)'!G20</f>
        <v>52.975999999971833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4.3143939393939394</v>
      </c>
      <c r="U15" s="124">
        <f t="shared" si="6"/>
        <v>65.651444444409535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44055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1765</v>
      </c>
      <c r="G16" s="86">
        <f>Gen!T22</f>
        <v>763.8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100</v>
      </c>
      <c r="L16" s="526">
        <f>'Lpg (2)'!G21</f>
        <v>32.604000000015368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6.4393939393939394</v>
      </c>
      <c r="U16" s="124">
        <f t="shared" si="6"/>
        <v>40.40508333335238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44056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1824</v>
      </c>
      <c r="G17" s="86">
        <f>Gen!T23</f>
        <v>756.53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63</v>
      </c>
      <c r="L17" s="526">
        <f>'Lpg (2)'!G22</f>
        <v>31.94400000004098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4.0568181818181817</v>
      </c>
      <c r="U17" s="124">
        <f t="shared" si="6"/>
        <v>39.587166666717451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44057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1987</v>
      </c>
      <c r="G18" s="86">
        <f>Gen!T24</f>
        <v>779.34999999999991</v>
      </c>
      <c r="H18" s="86">
        <f>[1]Gen!AJ27</f>
        <v>597.9</v>
      </c>
      <c r="I18" s="86">
        <f t="shared" si="0"/>
        <v>1377.25</v>
      </c>
      <c r="J18" s="86">
        <f>[1]Gen!AT24</f>
        <v>29915.45000000003</v>
      </c>
      <c r="K18" s="70">
        <f>'Water-Meter'!E19</f>
        <v>51</v>
      </c>
      <c r="L18" s="526">
        <f>'Lpg (2)'!G23</f>
        <v>46.331999999994885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3043515.9125000001</v>
      </c>
      <c r="R18" s="77" t="e">
        <f t="shared" si="3"/>
        <v>#DIV/0!</v>
      </c>
      <c r="S18" s="516" t="e">
        <f t="shared" si="4"/>
        <v>#DIV/0!</v>
      </c>
      <c r="T18" s="77">
        <f t="shared" si="5"/>
        <v>3.2840909090909092</v>
      </c>
      <c r="U18" s="124">
        <f t="shared" si="6"/>
        <v>57.41774999999366</v>
      </c>
      <c r="V18" s="18">
        <f t="shared" si="7"/>
        <v>3043576.6143409093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44058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1746</v>
      </c>
      <c r="G19" s="86">
        <f>Gen!T25</f>
        <v>758.66000000000008</v>
      </c>
      <c r="H19" s="86">
        <f>[1]Gen!AJ28</f>
        <v>227.73000000000002</v>
      </c>
      <c r="I19" s="86">
        <f t="shared" si="0"/>
        <v>986.3900000000001</v>
      </c>
      <c r="J19" s="86">
        <f>[1]Gen!AT25</f>
        <v>42248.240000000034</v>
      </c>
      <c r="K19" s="70">
        <f>'Water-Meter'!E20</f>
        <v>49</v>
      </c>
      <c r="L19" s="526">
        <f>'Lpg (2)'!G24</f>
        <v>37.839999999961584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2179773.9415000002</v>
      </c>
      <c r="R19" s="77" t="e">
        <f t="shared" si="3"/>
        <v>#DIV/0!</v>
      </c>
      <c r="S19" s="516" t="e">
        <f t="shared" si="4"/>
        <v>#DIV/0!</v>
      </c>
      <c r="T19" s="77">
        <f t="shared" si="5"/>
        <v>3.1553030303030303</v>
      </c>
      <c r="U19" s="124">
        <f t="shared" si="6"/>
        <v>46.893888888841282</v>
      </c>
      <c r="V19" s="18">
        <f t="shared" si="7"/>
        <v>2179823.9906919193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44059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1704</v>
      </c>
      <c r="G20" s="86">
        <f>Gen!T26</f>
        <v>736.99</v>
      </c>
      <c r="H20" s="86">
        <f>[1]Gen!AJ29</f>
        <v>88.289999999999992</v>
      </c>
      <c r="I20" s="86">
        <f t="shared" si="0"/>
        <v>825.28</v>
      </c>
      <c r="J20" s="86">
        <f>[1]Gen!AT26</f>
        <v>39497.370000000032</v>
      </c>
      <c r="K20" s="70">
        <f>'Water-Meter'!E21</f>
        <v>47</v>
      </c>
      <c r="L20" s="526">
        <f>'Lpg (2)'!G25</f>
        <v>39.20400000001537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1823745.0079999999</v>
      </c>
      <c r="R20" s="77" t="e">
        <f t="shared" si="3"/>
        <v>#DIV/0!</v>
      </c>
      <c r="S20" s="516" t="e">
        <f t="shared" si="4"/>
        <v>#DIV/0!</v>
      </c>
      <c r="T20" s="77">
        <f t="shared" si="5"/>
        <v>3.0265151515151514</v>
      </c>
      <c r="U20" s="124">
        <f t="shared" si="6"/>
        <v>48.584250000019047</v>
      </c>
      <c r="V20" s="18">
        <f t="shared" si="7"/>
        <v>1823796.6187651516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44060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 t="str">
        <f>'Water-Meter'!E22</f>
        <v>0</v>
      </c>
      <c r="L21" s="526">
        <f>'Lpg (2)'!G26</f>
        <v>-316381.38400000002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-392081.22272222227</v>
      </c>
      <c r="V21" s="18">
        <f t="shared" si="7"/>
        <v>1340264.3892777774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44061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44062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44063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44064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44065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44066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44067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44068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44069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44070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44071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44072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44073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44074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935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2130.6352941176474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E46" sqref="E4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22" sqref="N2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44044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44044</v>
      </c>
      <c r="B5" s="465">
        <f>Gen!C11</f>
        <v>0</v>
      </c>
      <c r="C5" s="522">
        <f>Gen!AK11</f>
        <v>16.850000000000001</v>
      </c>
      <c r="D5" s="523">
        <f>Gen!T11</f>
        <v>741.42</v>
      </c>
      <c r="E5" s="460">
        <f>Gen!D11</f>
        <v>41431.87000000001</v>
      </c>
      <c r="F5" s="461">
        <f>'Water-Meter'!E6</f>
        <v>51</v>
      </c>
      <c r="G5" s="462">
        <f>'Water-Meter'!AN6</f>
        <v>170</v>
      </c>
      <c r="H5" s="460">
        <f>'Utility report '!AC6</f>
        <v>78</v>
      </c>
      <c r="I5" s="459">
        <f>'Kit report'!F4</f>
        <v>143.99999999986903</v>
      </c>
      <c r="J5" s="460">
        <f>'Kit report'!X4</f>
        <v>19.999999999890861</v>
      </c>
    </row>
    <row r="6" spans="1:10" ht="17.100000000000001" customHeight="1">
      <c r="A6" s="263">
        <f>Gen!B12</f>
        <v>44045</v>
      </c>
      <c r="B6" s="464">
        <f>Gen!C12</f>
        <v>0</v>
      </c>
      <c r="C6" s="522">
        <f>Gen!AK12</f>
        <v>0</v>
      </c>
      <c r="D6" s="523">
        <f>Gen!T12</f>
        <v>782.06</v>
      </c>
      <c r="E6" s="460">
        <f>Gen!D12</f>
        <v>40673.600000000013</v>
      </c>
      <c r="F6" s="461">
        <f>'Water-Meter'!E7</f>
        <v>53</v>
      </c>
      <c r="G6" s="462">
        <f>'Water-Meter'!AN7</f>
        <v>185</v>
      </c>
      <c r="H6" s="460">
        <f>'Utility report '!AC7</f>
        <v>156</v>
      </c>
      <c r="I6" s="459">
        <f>'Kit report'!F5</f>
        <v>167.99999999995634</v>
      </c>
      <c r="J6" s="460">
        <f>'Kit report'!X5</f>
        <v>39.99999999996362</v>
      </c>
    </row>
    <row r="7" spans="1:10" ht="17.100000000000001" customHeight="1">
      <c r="A7" s="263">
        <f>Gen!B13</f>
        <v>44046</v>
      </c>
      <c r="B7" s="464">
        <f>Gen!C13</f>
        <v>0</v>
      </c>
      <c r="C7" s="522">
        <f>Gen!AK13</f>
        <v>25.31</v>
      </c>
      <c r="D7" s="523">
        <f>Gen!T13</f>
        <v>788.41</v>
      </c>
      <c r="E7" s="460">
        <f>Gen!D13</f>
        <v>39891.540000000015</v>
      </c>
      <c r="F7" s="461">
        <f>'Water-Meter'!E8</f>
        <v>42</v>
      </c>
      <c r="G7" s="462">
        <f>'Water-Meter'!AN8</f>
        <v>155</v>
      </c>
      <c r="H7" s="460">
        <f>'Utility report '!AC8</f>
        <v>0</v>
      </c>
      <c r="I7" s="459">
        <f>'Kit report'!F6</f>
        <v>132.00000000004366</v>
      </c>
      <c r="J7" s="460">
        <f>'Kit report'!X6</f>
        <v>20.00000000007276</v>
      </c>
    </row>
    <row r="8" spans="1:10" ht="17.100000000000001" customHeight="1">
      <c r="A8" s="263">
        <f>Gen!B14</f>
        <v>44047</v>
      </c>
      <c r="B8" s="464">
        <f>Gen!C14</f>
        <v>0</v>
      </c>
      <c r="C8" s="522">
        <f>Gen!AK14</f>
        <v>149.86000000000001</v>
      </c>
      <c r="D8" s="523">
        <f>Gen!T14</f>
        <v>793.6099999999999</v>
      </c>
      <c r="E8" s="460">
        <f>Gen!D14</f>
        <v>39077.820000000014</v>
      </c>
      <c r="F8" s="461">
        <f>'Water-Meter'!E9</f>
        <v>67</v>
      </c>
      <c r="G8" s="462">
        <f>'Water-Meter'!AN9</f>
        <v>142</v>
      </c>
      <c r="H8" s="460">
        <f>'Utility report '!AC9</f>
        <v>55</v>
      </c>
      <c r="I8" s="459">
        <f>'Kit report'!F7</f>
        <v>180</v>
      </c>
      <c r="J8" s="460">
        <f>'Kit report'!X7</f>
        <v>20.00000000007276</v>
      </c>
    </row>
    <row r="9" spans="1:10" ht="17.100000000000001" customHeight="1">
      <c r="A9" s="263">
        <f>Gen!B15</f>
        <v>44048</v>
      </c>
      <c r="B9" s="464">
        <f>Gen!C15</f>
        <v>0</v>
      </c>
      <c r="C9" s="522">
        <f>Gen!AK15</f>
        <v>87.31</v>
      </c>
      <c r="D9" s="523">
        <f>Gen!T15</f>
        <v>776.02</v>
      </c>
      <c r="E9" s="460">
        <f>Gen!D15</f>
        <v>38134.350000000013</v>
      </c>
      <c r="F9" s="461">
        <f>'Water-Meter'!E10</f>
        <v>49</v>
      </c>
      <c r="G9" s="462">
        <f>'Water-Meter'!AN10</f>
        <v>143</v>
      </c>
      <c r="H9" s="460">
        <f>'Utility report '!AC10</f>
        <v>56</v>
      </c>
      <c r="I9" s="459">
        <f>'Kit report'!F8</f>
        <v>167.99999999995634</v>
      </c>
      <c r="J9" s="460">
        <f>'Kit report'!X8</f>
        <v>19.999999999890861</v>
      </c>
    </row>
    <row r="10" spans="1:10" ht="17.100000000000001" customHeight="1">
      <c r="A10" s="263">
        <f>Gen!B16</f>
        <v>44049</v>
      </c>
      <c r="B10" s="464">
        <f>Gen!C16</f>
        <v>0</v>
      </c>
      <c r="C10" s="522">
        <f>Gen!AK16</f>
        <v>52.6</v>
      </c>
      <c r="D10" s="523">
        <f>Gen!T16</f>
        <v>778.12</v>
      </c>
      <c r="E10" s="460">
        <f>Gen!D16</f>
        <v>37271.020000000011</v>
      </c>
      <c r="F10" s="461">
        <f>'Water-Meter'!E11</f>
        <v>66</v>
      </c>
      <c r="G10" s="462">
        <f>'Water-Meter'!AN11</f>
        <v>145</v>
      </c>
      <c r="H10" s="460">
        <f>'Utility report '!AC11</f>
        <v>50</v>
      </c>
      <c r="I10" s="459">
        <f>'Kit report'!F9</f>
        <v>156.00000000013097</v>
      </c>
      <c r="J10" s="460">
        <f>'Kit report'!X9</f>
        <v>39.99999999996362</v>
      </c>
    </row>
    <row r="11" spans="1:10" ht="17.100000000000001" customHeight="1">
      <c r="A11" s="263">
        <f>Gen!B17</f>
        <v>44050</v>
      </c>
      <c r="B11" s="464">
        <f>Gen!C17</f>
        <v>0</v>
      </c>
      <c r="C11" s="522">
        <f>Gen!AK17</f>
        <v>0</v>
      </c>
      <c r="D11" s="523">
        <f>Gen!T17</f>
        <v>771.7</v>
      </c>
      <c r="E11" s="460">
        <f>Gen!D17</f>
        <v>36440.30000000001</v>
      </c>
      <c r="F11" s="461">
        <f>'Water-Meter'!E12</f>
        <v>51</v>
      </c>
      <c r="G11" s="462">
        <f>'Water-Meter'!AN12</f>
        <v>140</v>
      </c>
      <c r="H11" s="460">
        <f>'Utility report '!AC12</f>
        <v>55</v>
      </c>
      <c r="I11" s="459">
        <f>'Kit report'!F10</f>
        <v>155.99999999991269</v>
      </c>
      <c r="J11" s="460">
        <f>'Kit report'!X10</f>
        <v>60.00000000003638</v>
      </c>
    </row>
    <row r="12" spans="1:10" ht="17.100000000000001" customHeight="1">
      <c r="A12" s="263">
        <f>Gen!B18</f>
        <v>44051</v>
      </c>
      <c r="B12" s="464">
        <f>Gen!C18</f>
        <v>0</v>
      </c>
      <c r="C12" s="522">
        <f>Gen!AK18</f>
        <v>21.08</v>
      </c>
      <c r="D12" s="523">
        <f>Gen!T18</f>
        <v>822.74</v>
      </c>
      <c r="E12" s="460">
        <f>Gen!D18</f>
        <v>35668.600000000013</v>
      </c>
      <c r="F12" s="461">
        <f>'Water-Meter'!E13</f>
        <v>61</v>
      </c>
      <c r="G12" s="462">
        <f>'Water-Meter'!AN13</f>
        <v>137</v>
      </c>
      <c r="H12" s="460">
        <f>'Utility report '!AC13</f>
        <v>55</v>
      </c>
      <c r="I12" s="459">
        <f>'Kit report'!F11</f>
        <v>180</v>
      </c>
      <c r="J12" s="460">
        <f>'Kit report'!X11</f>
        <v>60.00000000003638</v>
      </c>
    </row>
    <row r="13" spans="1:10" ht="17.100000000000001" customHeight="1">
      <c r="A13" s="263">
        <f>Gen!B19</f>
        <v>44052</v>
      </c>
      <c r="B13" s="464">
        <f>Gen!C19</f>
        <v>1.2999999999999999E-2</v>
      </c>
      <c r="C13" s="522">
        <f>Gen!AK19</f>
        <v>70</v>
      </c>
      <c r="D13" s="523">
        <f>Gen!T19</f>
        <v>886.95</v>
      </c>
      <c r="E13" s="460">
        <f>Gen!D19</f>
        <v>34824.780000000013</v>
      </c>
      <c r="F13" s="461">
        <f>'Water-Meter'!E14</f>
        <v>63</v>
      </c>
      <c r="G13" s="462">
        <f>'Water-Meter'!AN14</f>
        <v>136</v>
      </c>
      <c r="H13" s="460">
        <f>'Utility report '!AC14</f>
        <v>53</v>
      </c>
      <c r="I13" s="459">
        <f>'Kit report'!F12</f>
        <v>204.00000000008731</v>
      </c>
      <c r="J13" s="460">
        <f>'Kit report'!X12</f>
        <v>39.99999999996362</v>
      </c>
    </row>
    <row r="14" spans="1:10" ht="17.100000000000001" customHeight="1">
      <c r="A14" s="263">
        <f>Gen!B20</f>
        <v>44053</v>
      </c>
      <c r="B14" s="464">
        <f>Gen!C20</f>
        <v>1.2999999999999999E-2</v>
      </c>
      <c r="C14" s="522">
        <f>Gen!AK20</f>
        <v>31.31</v>
      </c>
      <c r="D14" s="523">
        <f>Gen!T20</f>
        <v>798.82999999999993</v>
      </c>
      <c r="E14" s="460">
        <f>Gen!D20</f>
        <v>33867.830000000016</v>
      </c>
      <c r="F14" s="461">
        <f>'Water-Meter'!E15</f>
        <v>55</v>
      </c>
      <c r="G14" s="462">
        <f>'Water-Meter'!AN15</f>
        <v>53</v>
      </c>
      <c r="H14" s="460">
        <f>'Utility report '!AC15</f>
        <v>52</v>
      </c>
      <c r="I14" s="459">
        <f>'Kit report'!F13</f>
        <v>203.99999999986903</v>
      </c>
      <c r="J14" s="460">
        <f>'Kit report'!X13</f>
        <v>39.99999999996362</v>
      </c>
    </row>
    <row r="15" spans="1:10" ht="17.100000000000001" customHeight="1">
      <c r="A15" s="263">
        <f>Gen!B21</f>
        <v>44054</v>
      </c>
      <c r="B15" s="464">
        <f>Gen!C21</f>
        <v>0.01</v>
      </c>
      <c r="C15" s="522">
        <f>Gen!AK21</f>
        <v>197.35</v>
      </c>
      <c r="D15" s="523">
        <f>Gen!T21</f>
        <v>777.96</v>
      </c>
      <c r="E15" s="460">
        <f>Gen!D21</f>
        <v>33037.690000000017</v>
      </c>
      <c r="F15" s="461">
        <f>'Water-Meter'!E16</f>
        <v>67</v>
      </c>
      <c r="G15" s="462">
        <f>'Water-Meter'!AN16</f>
        <v>120</v>
      </c>
      <c r="H15" s="460">
        <f>'Utility report '!AC16</f>
        <v>50</v>
      </c>
      <c r="I15" s="459">
        <f>'Kit report'!F14</f>
        <v>192.00000000004366</v>
      </c>
      <c r="J15" s="460">
        <f>'Kit report'!X14</f>
        <v>40.000000000145519</v>
      </c>
    </row>
    <row r="16" spans="1:10" ht="17.100000000000001" customHeight="1">
      <c r="A16" s="263">
        <f>Gen!B22</f>
        <v>44055</v>
      </c>
      <c r="B16" s="464">
        <f>Gen!C22</f>
        <v>0</v>
      </c>
      <c r="C16" s="522">
        <f>Gen!AK22</f>
        <v>0</v>
      </c>
      <c r="D16" s="523">
        <f>Gen!T22</f>
        <v>763.8</v>
      </c>
      <c r="E16" s="460">
        <f>Gen!D22</f>
        <v>32062.380000000016</v>
      </c>
      <c r="F16" s="461">
        <f>'Water-Meter'!E17</f>
        <v>100</v>
      </c>
      <c r="G16" s="462">
        <f>'Water-Meter'!AN17</f>
        <v>127</v>
      </c>
      <c r="H16" s="460">
        <f>'Utility report '!AC17</f>
        <v>52</v>
      </c>
      <c r="I16" s="459">
        <f>'Kit report'!F15</f>
        <v>144.00000000008731</v>
      </c>
      <c r="J16" s="460">
        <f>'Kit report'!X15</f>
        <v>19.999999999890861</v>
      </c>
    </row>
    <row r="17" spans="1:10" ht="17.100000000000001" customHeight="1">
      <c r="A17" s="263">
        <f>Gen!B23</f>
        <v>44056</v>
      </c>
      <c r="B17" s="464">
        <f>Gen!C23</f>
        <v>0</v>
      </c>
      <c r="C17" s="522">
        <f>Gen!AK23</f>
        <v>10.17</v>
      </c>
      <c r="D17" s="523">
        <f>Gen!T23</f>
        <v>756.53</v>
      </c>
      <c r="E17" s="460">
        <f>Gen!D23</f>
        <v>31298.580000000016</v>
      </c>
      <c r="F17" s="461">
        <f>'Water-Meter'!E18</f>
        <v>63</v>
      </c>
      <c r="G17" s="462">
        <f>'Water-Meter'!AN18</f>
        <v>137</v>
      </c>
      <c r="H17" s="460">
        <f>'Utility report '!AC18</f>
        <v>52</v>
      </c>
      <c r="I17" s="459">
        <f>'Kit report'!F16</f>
        <v>155.99999999991269</v>
      </c>
      <c r="J17" s="460">
        <f>'Kit report'!X16</f>
        <v>20.00000000007276</v>
      </c>
    </row>
    <row r="18" spans="1:10" ht="17.100000000000001" customHeight="1">
      <c r="A18" s="263">
        <f>Gen!B24</f>
        <v>44057</v>
      </c>
      <c r="B18" s="464">
        <f>Gen!C24</f>
        <v>0</v>
      </c>
      <c r="C18" s="522">
        <f>Gen!AK24</f>
        <v>12.78</v>
      </c>
      <c r="D18" s="523">
        <f>Gen!T24</f>
        <v>779.34999999999991</v>
      </c>
      <c r="E18" s="460">
        <f>Gen!D24</f>
        <v>48531.880000000019</v>
      </c>
      <c r="F18" s="461">
        <f>'Water-Meter'!E19</f>
        <v>51</v>
      </c>
      <c r="G18" s="462">
        <f>'Water-Meter'!AN19</f>
        <v>145</v>
      </c>
      <c r="H18" s="460">
        <f>'Utility report '!AC19</f>
        <v>181</v>
      </c>
      <c r="I18" s="459">
        <f>'Kit report'!F17</f>
        <v>167.99999999995634</v>
      </c>
      <c r="J18" s="460">
        <f>'Kit report'!X17</f>
        <v>119.99999999989086</v>
      </c>
    </row>
    <row r="19" spans="1:10" ht="17.100000000000001" customHeight="1">
      <c r="A19" s="263">
        <f>Gen!B25</f>
        <v>44058</v>
      </c>
      <c r="B19" s="464">
        <f>Gen!C25</f>
        <v>0</v>
      </c>
      <c r="C19" s="522">
        <f>Gen!AK25</f>
        <v>0</v>
      </c>
      <c r="D19" s="523">
        <f>Gen!T25</f>
        <v>758.66000000000008</v>
      </c>
      <c r="E19" s="460">
        <f>Gen!D25</f>
        <v>47739.750000000022</v>
      </c>
      <c r="F19" s="461">
        <f>'Water-Meter'!E20</f>
        <v>49</v>
      </c>
      <c r="G19" s="462">
        <f>'Water-Meter'!AN20</f>
        <v>135</v>
      </c>
      <c r="H19" s="460">
        <f>'Utility report '!AC20</f>
        <v>101</v>
      </c>
      <c r="I19" s="459">
        <f>'Kit report'!F18</f>
        <v>156.00000000013097</v>
      </c>
      <c r="J19" s="460">
        <f>'Kit report'!X18</f>
        <v>80.000000000109139</v>
      </c>
    </row>
    <row r="20" spans="1:10" ht="17.100000000000001" customHeight="1">
      <c r="A20" s="263">
        <f>Gen!B26</f>
        <v>44059</v>
      </c>
      <c r="B20" s="464">
        <f>Gen!C26</f>
        <v>0</v>
      </c>
      <c r="C20" s="522">
        <f>Gen!AK26</f>
        <v>64.7</v>
      </c>
      <c r="D20" s="523">
        <f>Gen!T26</f>
        <v>736.99</v>
      </c>
      <c r="E20" s="460">
        <f>Gen!D26</f>
        <v>46981.090000000018</v>
      </c>
      <c r="F20" s="461">
        <f>'Water-Meter'!E21</f>
        <v>47</v>
      </c>
      <c r="G20" s="462">
        <f>'Water-Meter'!AN21</f>
        <v>136</v>
      </c>
      <c r="H20" s="460">
        <f>'Utility report '!AC21</f>
        <v>0</v>
      </c>
      <c r="I20" s="459">
        <f>'Kit report'!F19</f>
        <v>155.99999999991269</v>
      </c>
      <c r="J20" s="460">
        <f>'Kit report'!X19</f>
        <v>19.999999999890861</v>
      </c>
    </row>
    <row r="21" spans="1:10" ht="15">
      <c r="A21" s="263">
        <f>Gen!B27</f>
        <v>44060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46179.400000000016</v>
      </c>
      <c r="F21" s="461" t="str">
        <f>'Water-Meter'!E22</f>
        <v>0</v>
      </c>
      <c r="G21" s="462">
        <f>'Water-Meter'!AN22</f>
        <v>-14802</v>
      </c>
      <c r="H21" s="460">
        <f>'Utility report '!AC22</f>
        <v>-36988</v>
      </c>
      <c r="I21" s="459">
        <f>'Kit report'!F20</f>
        <v>-1052748</v>
      </c>
      <c r="J21" s="460">
        <f>'Kit report'!X20</f>
        <v>-1563080</v>
      </c>
    </row>
    <row r="22" spans="1:10" ht="15" customHeight="1">
      <c r="A22" s="263">
        <f>Gen!B28</f>
        <v>44061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46179.400000000016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44062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46179.400000000016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44063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46179.400000000016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44064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46179.400000000016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44065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46179.400000000016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44066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46179.400000000016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44067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46179.400000000016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44068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46179.400000000016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44069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46179.400000000016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44070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46179.400000000016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44071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46179.400000000016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44072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46179.400000000016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44073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46179.400000000016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44074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46179.400000000016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46179.400000000016</v>
      </c>
      <c r="F36" s="461">
        <f>'Water-Meter'!E37</f>
        <v>0</v>
      </c>
      <c r="G36" s="462">
        <f>'Water-Meter'!AN37</f>
        <v>1281</v>
      </c>
      <c r="H36" s="460">
        <f>'Utility report '!AC37</f>
        <v>0</v>
      </c>
      <c r="I36" s="459">
        <f>'Kit report'!F35</f>
        <v>443.99999999986903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2020-08-17T05:20:45Z</dcterms:modified>
</cp:coreProperties>
</file>