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3" activeTab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R11" i="2"/>
  <c r="E61" i="4"/>
  <c r="AB11" i="2"/>
  <c r="E122" i="4"/>
  <c r="L8" i="1"/>
  <c r="I61" i="4"/>
  <c r="L8" i="3"/>
  <c r="G61" i="4"/>
  <c r="AM10" i="3"/>
  <c r="G338" i="4"/>
  <c r="AM11" i="3"/>
  <c r="G339" i="4"/>
  <c r="AM12" i="3"/>
  <c r="G340" i="4"/>
  <c r="AM13" i="3"/>
  <c r="G341" i="4"/>
  <c r="AM14" i="3"/>
  <c r="G342" i="4"/>
  <c r="AM15" i="3"/>
  <c r="G343" i="4"/>
  <c r="AM16" i="3"/>
  <c r="G344" i="4"/>
  <c r="AM17" i="3"/>
  <c r="G345" i="4"/>
  <c r="AM18" i="3"/>
  <c r="G346" i="4"/>
  <c r="AM19" i="3"/>
  <c r="G347" i="4"/>
  <c r="AM20" i="3"/>
  <c r="G348" i="4"/>
  <c r="AM21" i="3"/>
  <c r="G349" i="4"/>
  <c r="AM22" i="3"/>
  <c r="G350" i="4"/>
  <c r="AM23" i="3"/>
  <c r="G351" i="4"/>
  <c r="AM24" i="3"/>
  <c r="G352" i="4"/>
  <c r="AM25" i="3"/>
  <c r="G353" i="4"/>
  <c r="AM26" i="3"/>
  <c r="G354" i="4"/>
  <c r="AM27" i="3"/>
  <c r="G355" i="4"/>
  <c r="AM28" i="3"/>
  <c r="G356" i="4"/>
  <c r="AM29" i="3"/>
  <c r="G357" i="4"/>
  <c r="AM30" i="3"/>
  <c r="G358" i="4"/>
  <c r="AM31" i="3"/>
  <c r="G359" i="4"/>
  <c r="AM32" i="3"/>
  <c r="G360" i="4"/>
  <c r="AM33" i="3"/>
  <c r="G361" i="4"/>
  <c r="AM34" i="3"/>
  <c r="G362" i="4"/>
  <c r="AM35" i="3"/>
  <c r="G363" i="4"/>
  <c r="AM36" i="3"/>
  <c r="G364" i="4"/>
  <c r="AM37" i="3"/>
  <c r="G365" i="4"/>
  <c r="AM38" i="3"/>
  <c r="G366" i="4"/>
  <c r="AJ10" i="3"/>
  <c r="G308" i="4"/>
  <c r="AJ11" i="3"/>
  <c r="G309" i="4"/>
  <c r="AJ12" i="3"/>
  <c r="G310" i="4"/>
  <c r="AJ13" i="3"/>
  <c r="G311" i="4"/>
  <c r="AJ14" i="3"/>
  <c r="G312" i="4"/>
  <c r="AJ15" i="3"/>
  <c r="G313" i="4"/>
  <c r="AJ16" i="3"/>
  <c r="G314" i="4"/>
  <c r="AJ17" i="3"/>
  <c r="G315" i="4"/>
  <c r="AJ18" i="3"/>
  <c r="G316" i="4"/>
  <c r="AJ19" i="3"/>
  <c r="G317" i="4"/>
  <c r="AJ20" i="3"/>
  <c r="G318" i="4"/>
  <c r="AJ21" i="3"/>
  <c r="G319" i="4"/>
  <c r="AJ22" i="3"/>
  <c r="G320" i="4"/>
  <c r="AJ23" i="3"/>
  <c r="G321" i="4"/>
  <c r="AJ24" i="3"/>
  <c r="G322" i="4"/>
  <c r="AJ25" i="3"/>
  <c r="G323" i="4"/>
  <c r="AJ26" i="3"/>
  <c r="G324" i="4"/>
  <c r="AJ27" i="3"/>
  <c r="G325" i="4"/>
  <c r="AJ28" i="3"/>
  <c r="G326" i="4"/>
  <c r="AJ29" i="3"/>
  <c r="G327" i="4"/>
  <c r="AJ30" i="3"/>
  <c r="G328" i="4"/>
  <c r="AJ31" i="3"/>
  <c r="G329" i="4"/>
  <c r="AJ32" i="3"/>
  <c r="G330" i="4"/>
  <c r="AJ33" i="3"/>
  <c r="G331" i="4"/>
  <c r="AJ34" i="3"/>
  <c r="G332" i="4"/>
  <c r="AJ35" i="3"/>
  <c r="G333" i="4"/>
  <c r="AJ36" i="3"/>
  <c r="G334" i="4"/>
  <c r="AJ37" i="3"/>
  <c r="G335" i="4"/>
  <c r="AG10" i="3"/>
  <c r="G277" i="4"/>
  <c r="AG11" i="3"/>
  <c r="G278" i="4"/>
  <c r="AG12" i="3"/>
  <c r="G279" i="4"/>
  <c r="AG13" i="3"/>
  <c r="G280" i="4"/>
  <c r="AG14" i="3"/>
  <c r="G281" i="4"/>
  <c r="AG15" i="3"/>
  <c r="G282" i="4"/>
  <c r="AG16" i="3"/>
  <c r="G283" i="4"/>
  <c r="AG17" i="3"/>
  <c r="G284" i="4"/>
  <c r="AG18" i="3"/>
  <c r="G285" i="4"/>
  <c r="AG19" i="3"/>
  <c r="G286" i="4"/>
  <c r="AG20" i="3"/>
  <c r="G287" i="4"/>
  <c r="AG21" i="3"/>
  <c r="G288" i="4"/>
  <c r="AG22" i="3"/>
  <c r="G289" i="4"/>
  <c r="AG23" i="3"/>
  <c r="G290" i="4"/>
  <c r="AG24" i="3"/>
  <c r="G291" i="4"/>
  <c r="AG25" i="3"/>
  <c r="G292" i="4"/>
  <c r="AG26" i="3"/>
  <c r="G293" i="4"/>
  <c r="AG27" i="3"/>
  <c r="G294" i="4"/>
  <c r="AG28" i="3"/>
  <c r="G295" i="4"/>
  <c r="AG29" i="3"/>
  <c r="G296" i="4"/>
  <c r="AG30" i="3"/>
  <c r="G297" i="4"/>
  <c r="AG31" i="3"/>
  <c r="G298" i="4"/>
  <c r="AG32" i="3"/>
  <c r="G299" i="4"/>
  <c r="AG33" i="3"/>
  <c r="G300" i="4"/>
  <c r="AG34" i="3"/>
  <c r="G301" i="4"/>
  <c r="AG35" i="3"/>
  <c r="G302" i="4"/>
  <c r="AG36" i="3"/>
  <c r="G303" i="4"/>
  <c r="AG37" i="3"/>
  <c r="G304" i="4"/>
  <c r="AG38" i="3"/>
  <c r="G305" i="4"/>
  <c r="AD10" i="3"/>
  <c r="G247" i="4"/>
  <c r="AD11" i="3"/>
  <c r="G248" i="4"/>
  <c r="AD12" i="3"/>
  <c r="G249" i="4"/>
  <c r="AD13" i="3"/>
  <c r="G250" i="4"/>
  <c r="AD14" i="3"/>
  <c r="G251" i="4"/>
  <c r="AD15" i="3"/>
  <c r="G252" i="4"/>
  <c r="AD16" i="3"/>
  <c r="G253" i="4"/>
  <c r="AD17" i="3"/>
  <c r="G254" i="4"/>
  <c r="AD18" i="3"/>
  <c r="G255" i="4"/>
  <c r="AD19" i="3"/>
  <c r="G256" i="4"/>
  <c r="AD20" i="3"/>
  <c r="G257" i="4"/>
  <c r="AD21" i="3"/>
  <c r="G258" i="4"/>
  <c r="AD22" i="3"/>
  <c r="G259" i="4"/>
  <c r="AD23" i="3"/>
  <c r="G260" i="4"/>
  <c r="AD24" i="3"/>
  <c r="G261" i="4"/>
  <c r="AD25" i="3"/>
  <c r="G262" i="4"/>
  <c r="AD26" i="3"/>
  <c r="G263" i="4"/>
  <c r="AD27" i="3"/>
  <c r="G264" i="4"/>
  <c r="AD28" i="3"/>
  <c r="G265" i="4"/>
  <c r="AD29" i="3"/>
  <c r="G266" i="4"/>
  <c r="AD30" i="3"/>
  <c r="G267" i="4"/>
  <c r="AD31" i="3"/>
  <c r="G268" i="4"/>
  <c r="AD32" i="3"/>
  <c r="G269" i="4"/>
  <c r="AD33" i="3"/>
  <c r="G270" i="4"/>
  <c r="AD34" i="3"/>
  <c r="G271" i="4"/>
  <c r="AD35" i="3"/>
  <c r="G272" i="4"/>
  <c r="AD36" i="3"/>
  <c r="G273" i="4"/>
  <c r="AD37" i="3"/>
  <c r="G274" i="4"/>
  <c r="AA10" i="3"/>
  <c r="G216" i="4"/>
  <c r="AA11" i="3"/>
  <c r="G217" i="4"/>
  <c r="AA12" i="3"/>
  <c r="G218" i="4"/>
  <c r="AA13" i="3"/>
  <c r="G219" i="4"/>
  <c r="AA14" i="3"/>
  <c r="G220" i="4"/>
  <c r="AA15" i="3"/>
  <c r="G221" i="4"/>
  <c r="AA16" i="3"/>
  <c r="G222" i="4"/>
  <c r="AA17" i="3"/>
  <c r="G223" i="4"/>
  <c r="AA18" i="3"/>
  <c r="G224" i="4"/>
  <c r="AA19" i="3"/>
  <c r="G225" i="4"/>
  <c r="AA20" i="3"/>
  <c r="G226" i="4"/>
  <c r="AA21" i="3"/>
  <c r="G227" i="4"/>
  <c r="AA22" i="3"/>
  <c r="G228" i="4"/>
  <c r="AA23" i="3"/>
  <c r="G229" i="4"/>
  <c r="AA24" i="3"/>
  <c r="G230" i="4"/>
  <c r="AA25" i="3"/>
  <c r="G231" i="4"/>
  <c r="AA26" i="3"/>
  <c r="G232" i="4"/>
  <c r="AA27" i="3"/>
  <c r="G233" i="4"/>
  <c r="AA28" i="3"/>
  <c r="G234" i="4"/>
  <c r="AA29" i="3"/>
  <c r="G235" i="4"/>
  <c r="AA30" i="3"/>
  <c r="G236" i="4"/>
  <c r="AA31" i="3"/>
  <c r="G237" i="4"/>
  <c r="AA32" i="3"/>
  <c r="G238" i="4"/>
  <c r="AA33" i="3"/>
  <c r="G239" i="4"/>
  <c r="AA34" i="3"/>
  <c r="G240" i="4"/>
  <c r="AA35" i="3"/>
  <c r="G241" i="4"/>
  <c r="AA36" i="3"/>
  <c r="G242" i="4"/>
  <c r="AA37" i="3"/>
  <c r="G243" i="4"/>
  <c r="AA38" i="3"/>
  <c r="G244" i="4"/>
  <c r="X10" i="3"/>
  <c r="G185" i="4"/>
  <c r="X11" i="3"/>
  <c r="G186" i="4"/>
  <c r="X12" i="3"/>
  <c r="G187" i="4"/>
  <c r="X13" i="3"/>
  <c r="G188" i="4"/>
  <c r="X14" i="3"/>
  <c r="G189" i="4"/>
  <c r="X15" i="3"/>
  <c r="G190" i="4"/>
  <c r="X16" i="3"/>
  <c r="G191" i="4"/>
  <c r="X17" i="3"/>
  <c r="G192" i="4"/>
  <c r="X18" i="3"/>
  <c r="G193" i="4"/>
  <c r="X19" i="3"/>
  <c r="G194" i="4"/>
  <c r="X20" i="3"/>
  <c r="G195" i="4"/>
  <c r="X21" i="3"/>
  <c r="G196" i="4"/>
  <c r="X22" i="3"/>
  <c r="G197" i="4"/>
  <c r="X23" i="3"/>
  <c r="G198" i="4"/>
  <c r="X24" i="3"/>
  <c r="G199" i="4"/>
  <c r="X25" i="3"/>
  <c r="G200" i="4"/>
  <c r="X26" i="3"/>
  <c r="G201" i="4"/>
  <c r="X27" i="3"/>
  <c r="G202" i="4"/>
  <c r="X28" i="3"/>
  <c r="G203" i="4"/>
  <c r="X29" i="3"/>
  <c r="G204" i="4"/>
  <c r="X30" i="3"/>
  <c r="G205" i="4"/>
  <c r="X31" i="3"/>
  <c r="G206" i="4"/>
  <c r="X32" i="3"/>
  <c r="G207" i="4"/>
  <c r="X33" i="3"/>
  <c r="G208" i="4"/>
  <c r="X34" i="3"/>
  <c r="G209" i="4"/>
  <c r="X35" i="3"/>
  <c r="G210" i="4"/>
  <c r="X36" i="3"/>
  <c r="G211" i="4"/>
  <c r="X37" i="3"/>
  <c r="G212" i="4"/>
  <c r="X38" i="3"/>
  <c r="G213" i="4"/>
  <c r="U10" i="3"/>
  <c r="G155" i="4"/>
  <c r="U11" i="3"/>
  <c r="G156" i="4"/>
  <c r="U12" i="3"/>
  <c r="G157" i="4"/>
  <c r="U13" i="3"/>
  <c r="G158" i="4"/>
  <c r="U14" i="3"/>
  <c r="G159" i="4"/>
  <c r="U15" i="3"/>
  <c r="G160" i="4"/>
  <c r="U16" i="3"/>
  <c r="G161" i="4"/>
  <c r="U17" i="3"/>
  <c r="G162" i="4"/>
  <c r="U18" i="3"/>
  <c r="G163" i="4"/>
  <c r="U19" i="3"/>
  <c r="G164" i="4"/>
  <c r="U20" i="3"/>
  <c r="G165" i="4"/>
  <c r="U21" i="3"/>
  <c r="G166" i="4"/>
  <c r="U22" i="3"/>
  <c r="G167" i="4"/>
  <c r="U23" i="3"/>
  <c r="G168" i="4"/>
  <c r="U24" i="3"/>
  <c r="G169" i="4"/>
  <c r="U25" i="3"/>
  <c r="G170" i="4"/>
  <c r="U26" i="3"/>
  <c r="G171" i="4"/>
  <c r="U27" i="3"/>
  <c r="G172" i="4"/>
  <c r="U28" i="3"/>
  <c r="G173" i="4"/>
  <c r="U29" i="3"/>
  <c r="G174" i="4"/>
  <c r="U30" i="3"/>
  <c r="G175" i="4"/>
  <c r="U31" i="3"/>
  <c r="G176" i="4"/>
  <c r="U32" i="3"/>
  <c r="G177" i="4"/>
  <c r="U33" i="3"/>
  <c r="G178" i="4"/>
  <c r="U34" i="3"/>
  <c r="G179" i="4"/>
  <c r="U35" i="3"/>
  <c r="G180" i="4"/>
  <c r="U36" i="3"/>
  <c r="G181" i="4"/>
  <c r="U37" i="3"/>
  <c r="G182" i="4"/>
  <c r="R10" i="3"/>
  <c r="G124" i="4"/>
  <c r="R11" i="3"/>
  <c r="G125" i="4"/>
  <c r="R12" i="3"/>
  <c r="G126" i="4"/>
  <c r="R13" i="3"/>
  <c r="G127" i="4"/>
  <c r="R14" i="3"/>
  <c r="G128" i="4"/>
  <c r="R15" i="3"/>
  <c r="G129" i="4"/>
  <c r="R16" i="3"/>
  <c r="G130" i="4"/>
  <c r="R17" i="3"/>
  <c r="G131" i="4"/>
  <c r="R18" i="3"/>
  <c r="G132" i="4"/>
  <c r="R19" i="3"/>
  <c r="G133" i="4"/>
  <c r="R20" i="3"/>
  <c r="G134" i="4"/>
  <c r="R21" i="3"/>
  <c r="G135" i="4"/>
  <c r="R22" i="3"/>
  <c r="G136" i="4"/>
  <c r="R23" i="3"/>
  <c r="G137" i="4"/>
  <c r="R24" i="3"/>
  <c r="G138" i="4"/>
  <c r="R25" i="3"/>
  <c r="G139" i="4"/>
  <c r="R26" i="3"/>
  <c r="G140" i="4"/>
  <c r="R27" i="3"/>
  <c r="G141" i="4"/>
  <c r="R28" i="3"/>
  <c r="G142" i="4"/>
  <c r="R29" i="3"/>
  <c r="G143" i="4"/>
  <c r="R30" i="3"/>
  <c r="G144" i="4"/>
  <c r="R31" i="3"/>
  <c r="G145" i="4"/>
  <c r="R32" i="3"/>
  <c r="G146" i="4"/>
  <c r="R33" i="3"/>
  <c r="G147" i="4"/>
  <c r="R34" i="3"/>
  <c r="G148" i="4"/>
  <c r="R35" i="3"/>
  <c r="G149" i="4"/>
  <c r="R36" i="3"/>
  <c r="G150" i="4"/>
  <c r="R37" i="3"/>
  <c r="G151" i="4"/>
  <c r="R38" i="3"/>
  <c r="G152" i="4"/>
  <c r="O10" i="3"/>
  <c r="G94" i="4"/>
  <c r="O11" i="3"/>
  <c r="G95" i="4"/>
  <c r="O12" i="3"/>
  <c r="G96" i="4"/>
  <c r="O13" i="3"/>
  <c r="G97" i="4"/>
  <c r="O14" i="3"/>
  <c r="G98" i="4"/>
  <c r="O15" i="3"/>
  <c r="G99" i="4"/>
  <c r="O16" i="3"/>
  <c r="G100" i="4"/>
  <c r="O17" i="3"/>
  <c r="G101" i="4"/>
  <c r="O18" i="3"/>
  <c r="G102" i="4"/>
  <c r="O19" i="3"/>
  <c r="G103" i="4"/>
  <c r="O20" i="3"/>
  <c r="G104" i="4"/>
  <c r="O21" i="3"/>
  <c r="G105" i="4"/>
  <c r="O22" i="3"/>
  <c r="G106" i="4"/>
  <c r="O23" i="3"/>
  <c r="G107" i="4"/>
  <c r="O24" i="3"/>
  <c r="G108" i="4"/>
  <c r="O25" i="3"/>
  <c r="G109" i="4"/>
  <c r="O26" i="3"/>
  <c r="G110" i="4"/>
  <c r="O27" i="3"/>
  <c r="G111" i="4"/>
  <c r="O28" i="3"/>
  <c r="G112" i="4"/>
  <c r="O29" i="3"/>
  <c r="G113" i="4"/>
  <c r="O30" i="3"/>
  <c r="G114" i="4"/>
  <c r="O31" i="3"/>
  <c r="G115" i="4"/>
  <c r="O32" i="3"/>
  <c r="G116" i="4"/>
  <c r="O33" i="3"/>
  <c r="G117" i="4"/>
  <c r="O34" i="3"/>
  <c r="G118" i="4"/>
  <c r="O35" i="3"/>
  <c r="G119" i="4"/>
  <c r="O36" i="3"/>
  <c r="G120" i="4"/>
  <c r="O37" i="3"/>
  <c r="G121" i="4"/>
  <c r="AM9" i="3"/>
  <c r="G337" i="4"/>
  <c r="AJ9" i="3"/>
  <c r="G307" i="4"/>
  <c r="AG9" i="3"/>
  <c r="G276" i="4"/>
  <c r="AD9" i="3"/>
  <c r="G246" i="4"/>
  <c r="AA9" i="3"/>
  <c r="G215" i="4"/>
  <c r="X9" i="3"/>
  <c r="G184" i="4"/>
  <c r="U9" i="3"/>
  <c r="G154" i="4"/>
  <c r="R9" i="3"/>
  <c r="G123" i="4"/>
  <c r="O9" i="3"/>
  <c r="G93" i="4"/>
  <c r="L10" i="3"/>
  <c r="G63" i="4"/>
  <c r="L11" i="3"/>
  <c r="G64" i="4"/>
  <c r="L12" i="3"/>
  <c r="G65" i="4"/>
  <c r="L13" i="3"/>
  <c r="G66" i="4"/>
  <c r="L14" i="3"/>
  <c r="G67" i="4"/>
  <c r="L15" i="3"/>
  <c r="G68" i="4"/>
  <c r="L16" i="3"/>
  <c r="G69" i="4"/>
  <c r="L17" i="3"/>
  <c r="G70" i="4"/>
  <c r="L18" i="3"/>
  <c r="G71" i="4"/>
  <c r="L19" i="3"/>
  <c r="G72" i="4"/>
  <c r="L20" i="3"/>
  <c r="G73" i="4"/>
  <c r="L21" i="3"/>
  <c r="G74" i="4"/>
  <c r="L22" i="3"/>
  <c r="G75" i="4"/>
  <c r="L23" i="3"/>
  <c r="G76" i="4"/>
  <c r="L24" i="3"/>
  <c r="G77" i="4"/>
  <c r="L25" i="3"/>
  <c r="G78" i="4"/>
  <c r="L26" i="3"/>
  <c r="G79" i="4"/>
  <c r="L27" i="3"/>
  <c r="G80" i="4"/>
  <c r="L28" i="3"/>
  <c r="G81" i="4"/>
  <c r="L29" i="3"/>
  <c r="G82" i="4"/>
  <c r="L30" i="3"/>
  <c r="G83" i="4"/>
  <c r="L31" i="3"/>
  <c r="G84" i="4"/>
  <c r="L32" i="3"/>
  <c r="G85" i="4"/>
  <c r="L33" i="3"/>
  <c r="G86" i="4"/>
  <c r="L34" i="3"/>
  <c r="G87" i="4"/>
  <c r="L35" i="3"/>
  <c r="G88" i="4"/>
  <c r="L36" i="3"/>
  <c r="G89" i="4"/>
  <c r="L37" i="3"/>
  <c r="G90" i="4"/>
  <c r="L38" i="3"/>
  <c r="G91" i="4"/>
  <c r="L9" i="3"/>
  <c r="G62" i="4"/>
  <c r="I9" i="3"/>
  <c r="G34" i="4"/>
  <c r="AM8" i="3"/>
  <c r="G336" i="4"/>
  <c r="AJ8" i="3"/>
  <c r="G306" i="4"/>
  <c r="AG8" i="3"/>
  <c r="G275" i="4"/>
  <c r="AD8" i="3"/>
  <c r="G245" i="4"/>
  <c r="AA8" i="3"/>
  <c r="G214" i="4"/>
  <c r="X8" i="3"/>
  <c r="G183" i="4"/>
  <c r="U8" i="3"/>
  <c r="G153" i="4"/>
  <c r="R8" i="3"/>
  <c r="G122" i="4"/>
  <c r="O8" i="3"/>
  <c r="G92" i="4"/>
  <c r="I8" i="3"/>
  <c r="G33" i="4"/>
  <c r="I10" i="3"/>
  <c r="G35" i="4"/>
  <c r="I11" i="3"/>
  <c r="G36" i="4"/>
  <c r="I12" i="3"/>
  <c r="G37" i="4"/>
  <c r="I13" i="3"/>
  <c r="G38" i="4"/>
  <c r="I14" i="3"/>
  <c r="G39" i="4"/>
  <c r="I15" i="3"/>
  <c r="G40" i="4"/>
  <c r="I16" i="3"/>
  <c r="G41" i="4"/>
  <c r="I17" i="3"/>
  <c r="G42" i="4"/>
  <c r="I18" i="3"/>
  <c r="G43" i="4"/>
  <c r="I19" i="3"/>
  <c r="G44" i="4"/>
  <c r="I20" i="3"/>
  <c r="G45" i="4"/>
  <c r="I21" i="3"/>
  <c r="G46" i="4"/>
  <c r="I22" i="3"/>
  <c r="G47" i="4"/>
  <c r="I23" i="3"/>
  <c r="G48" i="4"/>
  <c r="I24" i="3"/>
  <c r="G49" i="4"/>
  <c r="I25" i="3"/>
  <c r="G50" i="4"/>
  <c r="I26" i="3"/>
  <c r="G51" i="4"/>
  <c r="I27" i="3"/>
  <c r="G52" i="4"/>
  <c r="I28" i="3"/>
  <c r="G53" i="4"/>
  <c r="I29" i="3"/>
  <c r="G54" i="4"/>
  <c r="I30" i="3"/>
  <c r="G55" i="4"/>
  <c r="I31" i="3"/>
  <c r="G56" i="4"/>
  <c r="I32" i="3"/>
  <c r="G57" i="4"/>
  <c r="I33" i="3"/>
  <c r="G58" i="4"/>
  <c r="I34" i="3"/>
  <c r="G59" i="4"/>
  <c r="I35" i="3"/>
  <c r="G60" i="4"/>
  <c r="I36" i="3"/>
  <c r="F9" i="3"/>
  <c r="G3" i="4"/>
  <c r="F8" i="3"/>
  <c r="G2" i="4"/>
  <c r="AA39" i="3"/>
  <c r="U39" i="3"/>
  <c r="R39" i="3"/>
  <c r="O39" i="3"/>
  <c r="AM39" i="3"/>
  <c r="AJ39" i="3"/>
  <c r="AG39" i="3"/>
  <c r="AD39" i="3"/>
  <c r="X39" i="3"/>
  <c r="L39" i="3"/>
  <c r="I39" i="3"/>
  <c r="BF11" i="2"/>
  <c r="E306" i="4"/>
  <c r="AL11" i="2"/>
  <c r="E183" i="4"/>
  <c r="BK13" i="2"/>
  <c r="E338" i="4"/>
  <c r="BK14" i="2"/>
  <c r="E339" i="4"/>
  <c r="BK15" i="2"/>
  <c r="E340" i="4"/>
  <c r="BK16" i="2"/>
  <c r="E341" i="4"/>
  <c r="BK17" i="2"/>
  <c r="E342" i="4"/>
  <c r="BK18" i="2"/>
  <c r="E343" i="4"/>
  <c r="BK19" i="2"/>
  <c r="E344" i="4"/>
  <c r="BK20" i="2"/>
  <c r="E345" i="4"/>
  <c r="BK21" i="2"/>
  <c r="E346" i="4"/>
  <c r="BK22" i="2"/>
  <c r="E347" i="4"/>
  <c r="BK23" i="2"/>
  <c r="E348" i="4"/>
  <c r="BK24" i="2"/>
  <c r="E349" i="4"/>
  <c r="BK25" i="2"/>
  <c r="E350" i="4"/>
  <c r="BK26" i="2"/>
  <c r="E351" i="4"/>
  <c r="BK27" i="2"/>
  <c r="E352" i="4"/>
  <c r="BK28" i="2"/>
  <c r="E353" i="4"/>
  <c r="BK29" i="2"/>
  <c r="E354" i="4"/>
  <c r="BK30" i="2"/>
  <c r="E355" i="4"/>
  <c r="BK31" i="2"/>
  <c r="E356" i="4"/>
  <c r="BK32" i="2"/>
  <c r="E357" i="4"/>
  <c r="BK33" i="2"/>
  <c r="E358" i="4"/>
  <c r="BK34" i="2"/>
  <c r="E359" i="4"/>
  <c r="BK35" i="2"/>
  <c r="E360" i="4"/>
  <c r="BK36" i="2"/>
  <c r="E361" i="4"/>
  <c r="BK37" i="2"/>
  <c r="E362" i="4"/>
  <c r="BK38" i="2"/>
  <c r="E363" i="4"/>
  <c r="BK39" i="2"/>
  <c r="E364" i="4"/>
  <c r="BK40" i="2"/>
  <c r="E365" i="4"/>
  <c r="BK41" i="2"/>
  <c r="E366" i="4"/>
  <c r="BK12" i="2"/>
  <c r="E337" i="4"/>
  <c r="BF12" i="2"/>
  <c r="E307" i="4"/>
  <c r="BK11" i="2"/>
  <c r="E336" i="4"/>
  <c r="BF13" i="2"/>
  <c r="E308" i="4"/>
  <c r="BF14" i="2"/>
  <c r="E309" i="4"/>
  <c r="BF15" i="2"/>
  <c r="E310" i="4"/>
  <c r="BF16" i="2"/>
  <c r="E311" i="4"/>
  <c r="BF17" i="2"/>
  <c r="E312" i="4"/>
  <c r="BF18" i="2"/>
  <c r="E313" i="4"/>
  <c r="BF19" i="2"/>
  <c r="E314" i="4"/>
  <c r="BF20" i="2"/>
  <c r="E315" i="4"/>
  <c r="BF21" i="2"/>
  <c r="E316" i="4"/>
  <c r="BF22" i="2"/>
  <c r="E317" i="4"/>
  <c r="BF23" i="2"/>
  <c r="E318" i="4"/>
  <c r="BF24" i="2"/>
  <c r="E319" i="4"/>
  <c r="BF25" i="2"/>
  <c r="E320" i="4"/>
  <c r="BF26" i="2"/>
  <c r="E321" i="4"/>
  <c r="BF27" i="2"/>
  <c r="E322" i="4"/>
  <c r="BF28" i="2"/>
  <c r="E323" i="4"/>
  <c r="BF29" i="2"/>
  <c r="E324" i="4"/>
  <c r="BF30" i="2"/>
  <c r="E325" i="4"/>
  <c r="BF31" i="2"/>
  <c r="E326" i="4"/>
  <c r="BF32" i="2"/>
  <c r="E327" i="4"/>
  <c r="BF33" i="2"/>
  <c r="E328" i="4"/>
  <c r="BF34" i="2"/>
  <c r="E329" i="4"/>
  <c r="BF35" i="2"/>
  <c r="E330" i="4"/>
  <c r="BF36" i="2"/>
  <c r="E331" i="4"/>
  <c r="BF37" i="2"/>
  <c r="E332" i="4"/>
  <c r="BF38" i="2"/>
  <c r="E333" i="4"/>
  <c r="BF39" i="2"/>
  <c r="E334" i="4"/>
  <c r="BF40" i="2"/>
  <c r="E335" i="4"/>
  <c r="BA12" i="2"/>
  <c r="E276" i="4"/>
  <c r="BA11" i="2"/>
  <c r="E275" i="4"/>
  <c r="BA13" i="2"/>
  <c r="E277" i="4"/>
  <c r="BA14" i="2"/>
  <c r="E278" i="4"/>
  <c r="BA15" i="2"/>
  <c r="E279" i="4"/>
  <c r="BA16" i="2"/>
  <c r="E280" i="4"/>
  <c r="BA17" i="2"/>
  <c r="E281" i="4"/>
  <c r="BA18" i="2"/>
  <c r="E282" i="4"/>
  <c r="BA19" i="2"/>
  <c r="E283" i="4"/>
  <c r="BA20" i="2"/>
  <c r="E284" i="4"/>
  <c r="BA21" i="2"/>
  <c r="E285" i="4"/>
  <c r="BA22" i="2"/>
  <c r="E286" i="4"/>
  <c r="BA23" i="2"/>
  <c r="E287" i="4"/>
  <c r="BA24" i="2"/>
  <c r="E288" i="4"/>
  <c r="BA25" i="2"/>
  <c r="E289" i="4"/>
  <c r="BA26" i="2"/>
  <c r="E290" i="4"/>
  <c r="BA27" i="2"/>
  <c r="E291" i="4"/>
  <c r="BA28" i="2"/>
  <c r="E292" i="4"/>
  <c r="BA29" i="2"/>
  <c r="E293" i="4"/>
  <c r="BA30" i="2"/>
  <c r="E294" i="4"/>
  <c r="BA31" i="2"/>
  <c r="E295" i="4"/>
  <c r="BA32" i="2"/>
  <c r="E296" i="4"/>
  <c r="BA33" i="2"/>
  <c r="E297" i="4"/>
  <c r="BA34" i="2"/>
  <c r="E298" i="4"/>
  <c r="BA35" i="2"/>
  <c r="E299" i="4"/>
  <c r="BA36" i="2"/>
  <c r="E300" i="4"/>
  <c r="BA37" i="2"/>
  <c r="E301" i="4"/>
  <c r="BA38" i="2"/>
  <c r="E302" i="4"/>
  <c r="BA39" i="2"/>
  <c r="E303" i="4"/>
  <c r="BA40" i="2"/>
  <c r="E304" i="4"/>
  <c r="BA41" i="2"/>
  <c r="E305" i="4"/>
  <c r="AV12" i="2"/>
  <c r="E246" i="4"/>
  <c r="AV11" i="2"/>
  <c r="E245" i="4"/>
  <c r="AV13" i="2"/>
  <c r="E247" i="4"/>
  <c r="AV14" i="2"/>
  <c r="E248" i="4"/>
  <c r="AV15" i="2"/>
  <c r="E249" i="4"/>
  <c r="AV16" i="2"/>
  <c r="E250" i="4"/>
  <c r="AV17" i="2"/>
  <c r="E251" i="4"/>
  <c r="AV18" i="2"/>
  <c r="E252" i="4"/>
  <c r="AV19" i="2"/>
  <c r="E253" i="4"/>
  <c r="AV20" i="2"/>
  <c r="E254" i="4"/>
  <c r="AV21" i="2"/>
  <c r="E255" i="4"/>
  <c r="AV22" i="2"/>
  <c r="E256" i="4"/>
  <c r="AV23" i="2"/>
  <c r="E257" i="4"/>
  <c r="AV24" i="2"/>
  <c r="E258" i="4"/>
  <c r="AV25" i="2"/>
  <c r="E259" i="4"/>
  <c r="AV26" i="2"/>
  <c r="E260" i="4"/>
  <c r="AV27" i="2"/>
  <c r="E261" i="4"/>
  <c r="AV28" i="2"/>
  <c r="E262" i="4"/>
  <c r="AV29" i="2"/>
  <c r="E263" i="4"/>
  <c r="AV30" i="2"/>
  <c r="E264" i="4"/>
  <c r="AV31" i="2"/>
  <c r="E265" i="4"/>
  <c r="AV32" i="2"/>
  <c r="E266" i="4"/>
  <c r="AV33" i="2"/>
  <c r="E267" i="4"/>
  <c r="AV34" i="2"/>
  <c r="E268" i="4"/>
  <c r="AV35" i="2"/>
  <c r="E269" i="4"/>
  <c r="AV36" i="2"/>
  <c r="E270" i="4"/>
  <c r="AV37" i="2"/>
  <c r="E271" i="4"/>
  <c r="AV38" i="2"/>
  <c r="E272" i="4"/>
  <c r="AV39" i="2"/>
  <c r="E273" i="4"/>
  <c r="AV40" i="2"/>
  <c r="E274" i="4"/>
  <c r="AQ12" i="2"/>
  <c r="E215" i="4"/>
  <c r="AQ11" i="2"/>
  <c r="E214" i="4"/>
  <c r="AQ13" i="2"/>
  <c r="E216" i="4"/>
  <c r="AQ14" i="2"/>
  <c r="E217" i="4"/>
  <c r="AQ15" i="2"/>
  <c r="E218" i="4"/>
  <c r="AQ16" i="2"/>
  <c r="E219" i="4"/>
  <c r="AQ17" i="2"/>
  <c r="E220" i="4"/>
  <c r="AQ18" i="2"/>
  <c r="E221" i="4"/>
  <c r="AQ19" i="2"/>
  <c r="E222" i="4"/>
  <c r="AQ20" i="2"/>
  <c r="E223" i="4"/>
  <c r="AQ21" i="2"/>
  <c r="E224" i="4"/>
  <c r="AQ22" i="2"/>
  <c r="E225" i="4"/>
  <c r="AQ23" i="2"/>
  <c r="E226" i="4"/>
  <c r="AQ24" i="2"/>
  <c r="E227" i="4"/>
  <c r="AQ25" i="2"/>
  <c r="E228" i="4"/>
  <c r="AQ26" i="2"/>
  <c r="E229" i="4"/>
  <c r="AQ27" i="2"/>
  <c r="E230" i="4"/>
  <c r="AQ28" i="2"/>
  <c r="E231" i="4"/>
  <c r="AQ29" i="2"/>
  <c r="E232" i="4"/>
  <c r="AQ30" i="2"/>
  <c r="E233" i="4"/>
  <c r="AQ31" i="2"/>
  <c r="E234" i="4"/>
  <c r="AQ32" i="2"/>
  <c r="E235" i="4"/>
  <c r="AQ33" i="2"/>
  <c r="E236" i="4"/>
  <c r="AQ34" i="2"/>
  <c r="E237" i="4"/>
  <c r="AQ35" i="2"/>
  <c r="E238" i="4"/>
  <c r="AQ36" i="2"/>
  <c r="E239" i="4"/>
  <c r="AQ37" i="2"/>
  <c r="E240" i="4"/>
  <c r="AQ38" i="2"/>
  <c r="E241" i="4"/>
  <c r="AQ39" i="2"/>
  <c r="E242" i="4"/>
  <c r="AQ40" i="2"/>
  <c r="E243" i="4"/>
  <c r="AQ41" i="2"/>
  <c r="E244" i="4"/>
  <c r="AL12" i="2"/>
  <c r="E184" i="4"/>
  <c r="AL13" i="2"/>
  <c r="E185" i="4"/>
  <c r="AL14" i="2"/>
  <c r="E186" i="4"/>
  <c r="AL15" i="2"/>
  <c r="E187" i="4"/>
  <c r="AL16" i="2"/>
  <c r="E188" i="4"/>
  <c r="AL17" i="2"/>
  <c r="E189" i="4"/>
  <c r="AL18" i="2"/>
  <c r="E190" i="4"/>
  <c r="AL19" i="2"/>
  <c r="E191" i="4"/>
  <c r="AL20" i="2"/>
  <c r="E192" i="4"/>
  <c r="AL21" i="2"/>
  <c r="E193" i="4"/>
  <c r="AL22" i="2"/>
  <c r="E194" i="4"/>
  <c r="AL23" i="2"/>
  <c r="E195" i="4"/>
  <c r="AL24" i="2"/>
  <c r="E196" i="4"/>
  <c r="AL25" i="2"/>
  <c r="E197" i="4"/>
  <c r="AL26" i="2"/>
  <c r="E198" i="4"/>
  <c r="AL27" i="2"/>
  <c r="E199" i="4"/>
  <c r="AL28" i="2"/>
  <c r="E200" i="4"/>
  <c r="AL29" i="2"/>
  <c r="E201" i="4"/>
  <c r="AL30" i="2"/>
  <c r="E202" i="4"/>
  <c r="AL31" i="2"/>
  <c r="E203" i="4"/>
  <c r="AL32" i="2"/>
  <c r="E204" i="4"/>
  <c r="AL33" i="2"/>
  <c r="E205" i="4"/>
  <c r="AL34" i="2"/>
  <c r="E206" i="4"/>
  <c r="AL35" i="2"/>
  <c r="E207" i="4"/>
  <c r="AL36" i="2"/>
  <c r="E208" i="4"/>
  <c r="AL37" i="2"/>
  <c r="E209" i="4"/>
  <c r="AL38" i="2"/>
  <c r="E210" i="4"/>
  <c r="AL39" i="2"/>
  <c r="E211" i="4"/>
  <c r="AL40" i="2"/>
  <c r="E212" i="4"/>
  <c r="AL41" i="2"/>
  <c r="E213" i="4"/>
  <c r="AG12" i="2"/>
  <c r="E154" i="4"/>
  <c r="AG11" i="2"/>
  <c r="E153" i="4"/>
  <c r="AG13" i="2"/>
  <c r="E155" i="4"/>
  <c r="AG14" i="2"/>
  <c r="E156" i="4"/>
  <c r="AG15" i="2"/>
  <c r="E157" i="4"/>
  <c r="AG16" i="2"/>
  <c r="E158" i="4"/>
  <c r="AG17" i="2"/>
  <c r="E159" i="4"/>
  <c r="AG18" i="2"/>
  <c r="E160" i="4"/>
  <c r="AG19" i="2"/>
  <c r="E161" i="4"/>
  <c r="AG20" i="2"/>
  <c r="E162" i="4"/>
  <c r="AG21" i="2"/>
  <c r="E163" i="4"/>
  <c r="AG22" i="2"/>
  <c r="E164" i="4"/>
  <c r="AG23" i="2"/>
  <c r="E165" i="4"/>
  <c r="AG24" i="2"/>
  <c r="E166" i="4"/>
  <c r="AG25" i="2"/>
  <c r="E167" i="4"/>
  <c r="AG26" i="2"/>
  <c r="E168" i="4"/>
  <c r="AG27" i="2"/>
  <c r="E169" i="4"/>
  <c r="AG28" i="2"/>
  <c r="E170" i="4"/>
  <c r="AG29" i="2"/>
  <c r="E171" i="4"/>
  <c r="AG30" i="2"/>
  <c r="E172" i="4"/>
  <c r="AG31" i="2"/>
  <c r="E173" i="4"/>
  <c r="AG32" i="2"/>
  <c r="E174" i="4"/>
  <c r="AG33" i="2"/>
  <c r="E175" i="4"/>
  <c r="AG34" i="2"/>
  <c r="E176" i="4"/>
  <c r="AG35" i="2"/>
  <c r="E177" i="4"/>
  <c r="AG36" i="2"/>
  <c r="E178" i="4"/>
  <c r="AG37" i="2"/>
  <c r="E179" i="4"/>
  <c r="AG38" i="2"/>
  <c r="E180" i="4"/>
  <c r="AG39" i="2"/>
  <c r="E181" i="4"/>
  <c r="AG40" i="2"/>
  <c r="E182" i="4"/>
  <c r="AB12" i="2"/>
  <c r="E123" i="4"/>
  <c r="AB13" i="2"/>
  <c r="E124" i="4"/>
  <c r="AB14" i="2"/>
  <c r="E125" i="4"/>
  <c r="AB15" i="2"/>
  <c r="E126" i="4"/>
  <c r="AB16" i="2"/>
  <c r="E127" i="4"/>
  <c r="AB17" i="2"/>
  <c r="E128" i="4"/>
  <c r="AB18" i="2"/>
  <c r="E129" i="4"/>
  <c r="AB19" i="2"/>
  <c r="E130" i="4"/>
  <c r="AB20" i="2"/>
  <c r="E131" i="4"/>
  <c r="AB21" i="2"/>
  <c r="E132" i="4"/>
  <c r="AB22" i="2"/>
  <c r="E133" i="4"/>
  <c r="AB23" i="2"/>
  <c r="E134" i="4"/>
  <c r="AB24" i="2"/>
  <c r="E135" i="4"/>
  <c r="AB25" i="2"/>
  <c r="E136" i="4"/>
  <c r="AB26" i="2"/>
  <c r="E137" i="4"/>
  <c r="AB27" i="2"/>
  <c r="E138" i="4"/>
  <c r="AB28" i="2"/>
  <c r="E139" i="4"/>
  <c r="AB29" i="2"/>
  <c r="E140" i="4"/>
  <c r="AB30" i="2"/>
  <c r="E141" i="4"/>
  <c r="AB31" i="2"/>
  <c r="E142" i="4"/>
  <c r="AB32" i="2"/>
  <c r="E143" i="4"/>
  <c r="AB33" i="2"/>
  <c r="E144" i="4"/>
  <c r="AB34" i="2"/>
  <c r="E145" i="4"/>
  <c r="AB35" i="2"/>
  <c r="E146" i="4"/>
  <c r="AB36" i="2"/>
  <c r="E147" i="4"/>
  <c r="AB37" i="2"/>
  <c r="E148" i="4"/>
  <c r="AB38" i="2"/>
  <c r="E149" i="4"/>
  <c r="AB39" i="2"/>
  <c r="E150" i="4"/>
  <c r="AB40" i="2"/>
  <c r="E151" i="4"/>
  <c r="AB41" i="2"/>
  <c r="E152" i="4"/>
  <c r="W12" i="2"/>
  <c r="E93" i="4"/>
  <c r="W11" i="2"/>
  <c r="E92" i="4"/>
  <c r="W13" i="2"/>
  <c r="E94" i="4"/>
  <c r="W14" i="2"/>
  <c r="E95" i="4"/>
  <c r="W15" i="2"/>
  <c r="E96" i="4"/>
  <c r="W16" i="2"/>
  <c r="E97" i="4"/>
  <c r="W17" i="2"/>
  <c r="E98" i="4"/>
  <c r="W18" i="2"/>
  <c r="E99" i="4"/>
  <c r="W19" i="2"/>
  <c r="E100" i="4"/>
  <c r="W20" i="2"/>
  <c r="E101" i="4"/>
  <c r="W21" i="2"/>
  <c r="E102" i="4"/>
  <c r="W22" i="2"/>
  <c r="E103" i="4"/>
  <c r="W23" i="2"/>
  <c r="E104" i="4"/>
  <c r="W24" i="2"/>
  <c r="E105" i="4"/>
  <c r="W25" i="2"/>
  <c r="E106" i="4"/>
  <c r="W26" i="2"/>
  <c r="E107" i="4"/>
  <c r="W27" i="2"/>
  <c r="E108" i="4"/>
  <c r="W28" i="2"/>
  <c r="E109" i="4"/>
  <c r="W29" i="2"/>
  <c r="E110" i="4"/>
  <c r="W30" i="2"/>
  <c r="E111" i="4"/>
  <c r="W31" i="2"/>
  <c r="E112" i="4"/>
  <c r="W32" i="2"/>
  <c r="E113" i="4"/>
  <c r="W33" i="2"/>
  <c r="E114" i="4"/>
  <c r="W34" i="2"/>
  <c r="E115" i="4"/>
  <c r="W35" i="2"/>
  <c r="E116" i="4"/>
  <c r="W36" i="2"/>
  <c r="E117" i="4"/>
  <c r="W37" i="2"/>
  <c r="E118" i="4"/>
  <c r="W38" i="2"/>
  <c r="E119" i="4"/>
  <c r="W39" i="2"/>
  <c r="E120" i="4"/>
  <c r="W40" i="2"/>
  <c r="E121" i="4"/>
  <c r="R13" i="2"/>
  <c r="E63" i="4"/>
  <c r="R14" i="2"/>
  <c r="E64" i="4"/>
  <c r="R15" i="2"/>
  <c r="E65" i="4"/>
  <c r="R16" i="2"/>
  <c r="E66" i="4"/>
  <c r="R17" i="2"/>
  <c r="E67" i="4"/>
  <c r="R18" i="2"/>
  <c r="E68" i="4"/>
  <c r="R19" i="2"/>
  <c r="E69" i="4"/>
  <c r="R20" i="2"/>
  <c r="E70" i="4"/>
  <c r="R21" i="2"/>
  <c r="E71" i="4"/>
  <c r="R22" i="2"/>
  <c r="E72" i="4"/>
  <c r="R23" i="2"/>
  <c r="E73" i="4"/>
  <c r="R24" i="2"/>
  <c r="E74" i="4"/>
  <c r="R25" i="2"/>
  <c r="E75" i="4"/>
  <c r="R26" i="2"/>
  <c r="E76" i="4"/>
  <c r="R27" i="2"/>
  <c r="E77" i="4"/>
  <c r="R28" i="2"/>
  <c r="E78" i="4"/>
  <c r="R29" i="2"/>
  <c r="E79" i="4"/>
  <c r="R30" i="2"/>
  <c r="E80" i="4"/>
  <c r="R31" i="2"/>
  <c r="E81" i="4"/>
  <c r="R32" i="2"/>
  <c r="E82" i="4"/>
  <c r="R33" i="2"/>
  <c r="E83" i="4"/>
  <c r="R34" i="2"/>
  <c r="E84" i="4"/>
  <c r="R35" i="2"/>
  <c r="E85" i="4"/>
  <c r="R36" i="2"/>
  <c r="E86" i="4"/>
  <c r="R37" i="2"/>
  <c r="E87" i="4"/>
  <c r="R38" i="2"/>
  <c r="E88" i="4"/>
  <c r="R39" i="2"/>
  <c r="E89" i="4"/>
  <c r="R40" i="2"/>
  <c r="E90" i="4"/>
  <c r="R41" i="2"/>
  <c r="E91" i="4"/>
  <c r="R12" i="2"/>
  <c r="E62" i="4"/>
  <c r="M12" i="2"/>
  <c r="E34" i="4"/>
  <c r="M11" i="2"/>
  <c r="E33" i="4"/>
  <c r="M13" i="2"/>
  <c r="E35" i="4"/>
  <c r="M14" i="2"/>
  <c r="E36" i="4"/>
  <c r="M15" i="2"/>
  <c r="E37" i="4"/>
  <c r="M16" i="2"/>
  <c r="E38" i="4"/>
  <c r="M17" i="2"/>
  <c r="E39" i="4"/>
  <c r="M18" i="2"/>
  <c r="E40" i="4"/>
  <c r="M19" i="2"/>
  <c r="E41" i="4"/>
  <c r="M20" i="2"/>
  <c r="E42" i="4"/>
  <c r="M21" i="2"/>
  <c r="E43" i="4"/>
  <c r="M22" i="2"/>
  <c r="E44" i="4"/>
  <c r="M23" i="2"/>
  <c r="E45" i="4"/>
  <c r="M24" i="2"/>
  <c r="E46" i="4"/>
  <c r="M25" i="2"/>
  <c r="E47" i="4"/>
  <c r="M26" i="2"/>
  <c r="E48" i="4"/>
  <c r="M27" i="2"/>
  <c r="E49" i="4"/>
  <c r="M28" i="2"/>
  <c r="E50" i="4"/>
  <c r="M29" i="2"/>
  <c r="E51" i="4"/>
  <c r="M30" i="2"/>
  <c r="E52" i="4"/>
  <c r="M31" i="2"/>
  <c r="E53" i="4"/>
  <c r="M32" i="2"/>
  <c r="E54" i="4"/>
  <c r="M33" i="2"/>
  <c r="E55" i="4"/>
  <c r="M34" i="2"/>
  <c r="E56" i="4"/>
  <c r="M35" i="2"/>
  <c r="E57" i="4"/>
  <c r="M36" i="2"/>
  <c r="E58" i="4"/>
  <c r="M37" i="2"/>
  <c r="E59" i="4"/>
  <c r="M38" i="2"/>
  <c r="E60" i="4"/>
  <c r="M39" i="2"/>
  <c r="H11" i="2"/>
  <c r="E2" i="4"/>
  <c r="BK42" i="2"/>
  <c r="BF42" i="2"/>
  <c r="BA42" i="2"/>
  <c r="AV42" i="2"/>
  <c r="AQ42" i="2"/>
  <c r="AL42" i="2"/>
  <c r="AG42" i="2"/>
  <c r="AB42" i="2"/>
  <c r="W42" i="2"/>
  <c r="R42" i="2"/>
  <c r="H13" i="2"/>
  <c r="E4" i="4"/>
  <c r="H14" i="2"/>
  <c r="E5" i="4"/>
  <c r="H15" i="2"/>
  <c r="E6" i="4"/>
  <c r="H16" i="2"/>
  <c r="E7" i="4"/>
  <c r="H17" i="2"/>
  <c r="E8" i="4"/>
  <c r="H18" i="2"/>
  <c r="E9" i="4"/>
  <c r="H19" i="2"/>
  <c r="E10" i="4"/>
  <c r="H20" i="2"/>
  <c r="E11" i="4"/>
  <c r="H21" i="2"/>
  <c r="E12" i="4"/>
  <c r="H22" i="2"/>
  <c r="E13" i="4"/>
  <c r="H23" i="2"/>
  <c r="E14" i="4"/>
  <c r="H24" i="2"/>
  <c r="E15" i="4"/>
  <c r="H25" i="2"/>
  <c r="E16" i="4"/>
  <c r="H26" i="2"/>
  <c r="E17" i="4"/>
  <c r="H27" i="2"/>
  <c r="E18" i="4"/>
  <c r="H28" i="2"/>
  <c r="E19" i="4"/>
  <c r="H29" i="2"/>
  <c r="E20" i="4"/>
  <c r="H30" i="2"/>
  <c r="E21" i="4"/>
  <c r="H31" i="2"/>
  <c r="E22" i="4"/>
  <c r="H32" i="2"/>
  <c r="E23" i="4"/>
  <c r="H33" i="2"/>
  <c r="E24" i="4"/>
  <c r="H34" i="2"/>
  <c r="E25" i="4"/>
  <c r="H35" i="2"/>
  <c r="E26" i="4"/>
  <c r="H36" i="2"/>
  <c r="E27" i="4"/>
  <c r="H37" i="2"/>
  <c r="E28" i="4"/>
  <c r="H38" i="2"/>
  <c r="E29" i="4"/>
  <c r="H39" i="2"/>
  <c r="E30" i="4"/>
  <c r="H40" i="2"/>
  <c r="E31" i="4"/>
  <c r="H41" i="2"/>
  <c r="E32" i="4"/>
  <c r="H12" i="2"/>
  <c r="E3" i="4"/>
  <c r="H42" i="2"/>
  <c r="F38" i="3"/>
  <c r="G32" i="4"/>
  <c r="F37" i="3"/>
  <c r="G31" i="4"/>
  <c r="F36" i="3"/>
  <c r="G30" i="4"/>
  <c r="F35" i="3"/>
  <c r="G29" i="4"/>
  <c r="F34" i="3"/>
  <c r="G28" i="4"/>
  <c r="F33" i="3"/>
  <c r="G27" i="4"/>
  <c r="F32" i="3"/>
  <c r="G26" i="4"/>
  <c r="F31" i="3"/>
  <c r="G25" i="4"/>
  <c r="F30" i="3"/>
  <c r="G24" i="4"/>
  <c r="F29" i="3"/>
  <c r="G23" i="4"/>
  <c r="F28" i="3"/>
  <c r="G22" i="4"/>
  <c r="F27" i="3"/>
  <c r="G21" i="4"/>
  <c r="F26" i="3"/>
  <c r="G20" i="4"/>
  <c r="F25" i="3"/>
  <c r="G19" i="4"/>
  <c r="F24" i="3"/>
  <c r="G18" i="4"/>
  <c r="F23" i="3"/>
  <c r="G17" i="4"/>
  <c r="F22" i="3"/>
  <c r="G16" i="4"/>
  <c r="F21" i="3"/>
  <c r="G15" i="4"/>
  <c r="F20" i="3"/>
  <c r="G14" i="4"/>
  <c r="F19" i="3"/>
  <c r="G13" i="4"/>
  <c r="F18" i="3"/>
  <c r="G12" i="4"/>
  <c r="F17" i="3"/>
  <c r="G11" i="4"/>
  <c r="F16" i="3"/>
  <c r="G10" i="4"/>
  <c r="F15" i="3"/>
  <c r="G9" i="4"/>
  <c r="F14" i="3"/>
  <c r="G8" i="4"/>
  <c r="F13" i="3"/>
  <c r="G7" i="4"/>
  <c r="F12" i="3"/>
  <c r="G6" i="4"/>
  <c r="F11" i="3"/>
  <c r="G5" i="4"/>
  <c r="F10" i="3"/>
  <c r="G4" i="4"/>
  <c r="M41" i="2"/>
  <c r="M40" i="2"/>
  <c r="M42" i="2"/>
  <c r="AM10" i="1"/>
  <c r="I338" i="4"/>
  <c r="AM11" i="1"/>
  <c r="I339" i="4"/>
  <c r="AM12" i="1"/>
  <c r="I340" i="4"/>
  <c r="AM13" i="1"/>
  <c r="I341" i="4"/>
  <c r="AM14" i="1"/>
  <c r="I342" i="4"/>
  <c r="AM15" i="1"/>
  <c r="I343" i="4"/>
  <c r="AM16" i="1"/>
  <c r="I344" i="4"/>
  <c r="AM17" i="1"/>
  <c r="I345" i="4"/>
  <c r="AM18" i="1"/>
  <c r="I346" i="4"/>
  <c r="AM19" i="1"/>
  <c r="I347" i="4"/>
  <c r="AM20" i="1"/>
  <c r="I348" i="4"/>
  <c r="AM21" i="1"/>
  <c r="I349" i="4"/>
  <c r="AM22" i="1"/>
  <c r="I350" i="4"/>
  <c r="AM23" i="1"/>
  <c r="I351" i="4"/>
  <c r="AM24" i="1"/>
  <c r="I352" i="4"/>
  <c r="AM25" i="1"/>
  <c r="I353" i="4"/>
  <c r="AM26" i="1"/>
  <c r="I354" i="4"/>
  <c r="AM27" i="1"/>
  <c r="I355" i="4"/>
  <c r="AM28" i="1"/>
  <c r="I356" i="4"/>
  <c r="AM29" i="1"/>
  <c r="I357" i="4"/>
  <c r="AM30" i="1"/>
  <c r="I358" i="4"/>
  <c r="AM31" i="1"/>
  <c r="I359" i="4"/>
  <c r="AM32" i="1"/>
  <c r="I360" i="4"/>
  <c r="AM33" i="1"/>
  <c r="I361" i="4"/>
  <c r="AM34" i="1"/>
  <c r="I362" i="4"/>
  <c r="AM35" i="1"/>
  <c r="I363" i="4"/>
  <c r="AM36" i="1"/>
  <c r="I364" i="4"/>
  <c r="AM37" i="1"/>
  <c r="I365" i="4"/>
  <c r="AM38" i="1"/>
  <c r="I366" i="4"/>
  <c r="AM9" i="1"/>
  <c r="I337" i="4"/>
  <c r="AJ10" i="1"/>
  <c r="I308" i="4"/>
  <c r="AJ11" i="1"/>
  <c r="I309" i="4"/>
  <c r="AJ12" i="1"/>
  <c r="I310" i="4"/>
  <c r="AJ13" i="1"/>
  <c r="I311" i="4"/>
  <c r="AJ14" i="1"/>
  <c r="I312" i="4"/>
  <c r="AJ15" i="1"/>
  <c r="I313" i="4"/>
  <c r="AJ16" i="1"/>
  <c r="I314" i="4"/>
  <c r="AJ17" i="1"/>
  <c r="I315" i="4"/>
  <c r="AJ18" i="1"/>
  <c r="I316" i="4"/>
  <c r="AJ19" i="1"/>
  <c r="I317" i="4"/>
  <c r="AJ20" i="1"/>
  <c r="I318" i="4"/>
  <c r="AJ21" i="1"/>
  <c r="I319" i="4"/>
  <c r="AJ22" i="1"/>
  <c r="I320" i="4"/>
  <c r="AJ23" i="1"/>
  <c r="I321" i="4"/>
  <c r="AJ24" i="1"/>
  <c r="I322" i="4"/>
  <c r="AJ25" i="1"/>
  <c r="I323" i="4"/>
  <c r="AJ26" i="1"/>
  <c r="I324" i="4"/>
  <c r="AJ27" i="1"/>
  <c r="I325" i="4"/>
  <c r="AJ28" i="1"/>
  <c r="I326" i="4"/>
  <c r="AJ29" i="1"/>
  <c r="I327" i="4"/>
  <c r="AJ30" i="1"/>
  <c r="I328" i="4"/>
  <c r="AJ31" i="1"/>
  <c r="I329" i="4"/>
  <c r="AJ32" i="1"/>
  <c r="I330" i="4"/>
  <c r="AJ33" i="1"/>
  <c r="I331" i="4"/>
  <c r="AJ34" i="1"/>
  <c r="I332" i="4"/>
  <c r="AJ35" i="1"/>
  <c r="I333" i="4"/>
  <c r="AJ36" i="1"/>
  <c r="I334" i="4"/>
  <c r="AJ37" i="1"/>
  <c r="I335" i="4"/>
  <c r="AJ9" i="1"/>
  <c r="I307" i="4"/>
  <c r="AG10" i="1"/>
  <c r="I277" i="4"/>
  <c r="AG11" i="1"/>
  <c r="I278" i="4"/>
  <c r="AG12" i="1"/>
  <c r="I279" i="4"/>
  <c r="AG13" i="1"/>
  <c r="I280" i="4"/>
  <c r="AG14" i="1"/>
  <c r="I281" i="4"/>
  <c r="AG15" i="1"/>
  <c r="I282" i="4"/>
  <c r="AG16" i="1"/>
  <c r="I283" i="4"/>
  <c r="AG17" i="1"/>
  <c r="I284" i="4"/>
  <c r="AG18" i="1"/>
  <c r="I285" i="4"/>
  <c r="AG19" i="1"/>
  <c r="I286" i="4"/>
  <c r="AG20" i="1"/>
  <c r="I287" i="4"/>
  <c r="AG21" i="1"/>
  <c r="I288" i="4"/>
  <c r="AG22" i="1"/>
  <c r="I289" i="4"/>
  <c r="AG23" i="1"/>
  <c r="I290" i="4"/>
  <c r="AG24" i="1"/>
  <c r="I291" i="4"/>
  <c r="AG25" i="1"/>
  <c r="I292" i="4"/>
  <c r="AG26" i="1"/>
  <c r="I293" i="4"/>
  <c r="AG27" i="1"/>
  <c r="I294" i="4"/>
  <c r="AG28" i="1"/>
  <c r="I295" i="4"/>
  <c r="AG29" i="1"/>
  <c r="I296" i="4"/>
  <c r="AG30" i="1"/>
  <c r="I297" i="4"/>
  <c r="AG31" i="1"/>
  <c r="I298" i="4"/>
  <c r="AG32" i="1"/>
  <c r="I299" i="4"/>
  <c r="AG33" i="1"/>
  <c r="I300" i="4"/>
  <c r="AG34" i="1"/>
  <c r="I301" i="4"/>
  <c r="AG35" i="1"/>
  <c r="I302" i="4"/>
  <c r="AG36" i="1"/>
  <c r="I303" i="4"/>
  <c r="AG37" i="1"/>
  <c r="I304" i="4"/>
  <c r="AG38" i="1"/>
  <c r="I305" i="4"/>
  <c r="AG9" i="1"/>
  <c r="I276" i="4"/>
  <c r="AD10" i="1"/>
  <c r="I247" i="4"/>
  <c r="AD11" i="1"/>
  <c r="I248" i="4"/>
  <c r="AD12" i="1"/>
  <c r="I249" i="4"/>
  <c r="AD13" i="1"/>
  <c r="I250" i="4"/>
  <c r="AD14" i="1"/>
  <c r="I251" i="4"/>
  <c r="AD15" i="1"/>
  <c r="I252" i="4"/>
  <c r="AD16" i="1"/>
  <c r="I253" i="4"/>
  <c r="AD17" i="1"/>
  <c r="I254" i="4"/>
  <c r="AD18" i="1"/>
  <c r="I255" i="4"/>
  <c r="AD19" i="1"/>
  <c r="I256" i="4"/>
  <c r="AD20" i="1"/>
  <c r="I257" i="4"/>
  <c r="AD21" i="1"/>
  <c r="I258" i="4"/>
  <c r="AD22" i="1"/>
  <c r="I259" i="4"/>
  <c r="AD23" i="1"/>
  <c r="I260" i="4"/>
  <c r="AD24" i="1"/>
  <c r="I261" i="4"/>
  <c r="AD25" i="1"/>
  <c r="I262" i="4"/>
  <c r="AD26" i="1"/>
  <c r="I263" i="4"/>
  <c r="AD27" i="1"/>
  <c r="I264" i="4"/>
  <c r="AD28" i="1"/>
  <c r="I265" i="4"/>
  <c r="AD29" i="1"/>
  <c r="I266" i="4"/>
  <c r="AD30" i="1"/>
  <c r="I267" i="4"/>
  <c r="AD31" i="1"/>
  <c r="I268" i="4"/>
  <c r="AD32" i="1"/>
  <c r="I269" i="4"/>
  <c r="AD33" i="1"/>
  <c r="I270" i="4"/>
  <c r="AD34" i="1"/>
  <c r="I271" i="4"/>
  <c r="AD35" i="1"/>
  <c r="I272" i="4"/>
  <c r="AD36" i="1"/>
  <c r="I273" i="4"/>
  <c r="AD37" i="1"/>
  <c r="I274" i="4"/>
  <c r="AD9" i="1"/>
  <c r="I246" i="4"/>
  <c r="AA10" i="1"/>
  <c r="I216" i="4"/>
  <c r="AA11" i="1"/>
  <c r="I217" i="4"/>
  <c r="AA12" i="1"/>
  <c r="I218" i="4"/>
  <c r="AA13" i="1"/>
  <c r="I219" i="4"/>
  <c r="AA14" i="1"/>
  <c r="I220" i="4"/>
  <c r="AA15" i="1"/>
  <c r="I221" i="4"/>
  <c r="AA16" i="1"/>
  <c r="I222" i="4"/>
  <c r="AA17" i="1"/>
  <c r="I223" i="4"/>
  <c r="AA18" i="1"/>
  <c r="I224" i="4"/>
  <c r="AA19" i="1"/>
  <c r="I225" i="4"/>
  <c r="AA20" i="1"/>
  <c r="I226" i="4"/>
  <c r="AA21" i="1"/>
  <c r="I227" i="4"/>
  <c r="AA22" i="1"/>
  <c r="I228" i="4"/>
  <c r="AA23" i="1"/>
  <c r="I229" i="4"/>
  <c r="AA24" i="1"/>
  <c r="I230" i="4"/>
  <c r="AA25" i="1"/>
  <c r="I231" i="4"/>
  <c r="AA26" i="1"/>
  <c r="I232" i="4"/>
  <c r="AA27" i="1"/>
  <c r="I233" i="4"/>
  <c r="AA28" i="1"/>
  <c r="I234" i="4"/>
  <c r="AA29" i="1"/>
  <c r="I235" i="4"/>
  <c r="AA30" i="1"/>
  <c r="I236" i="4"/>
  <c r="AA31" i="1"/>
  <c r="I237" i="4"/>
  <c r="AA32" i="1"/>
  <c r="I238" i="4"/>
  <c r="AA33" i="1"/>
  <c r="I239" i="4"/>
  <c r="AA34" i="1"/>
  <c r="I240" i="4"/>
  <c r="AA35" i="1"/>
  <c r="I241" i="4"/>
  <c r="AA36" i="1"/>
  <c r="I242" i="4"/>
  <c r="AA37" i="1"/>
  <c r="I243" i="4"/>
  <c r="AA38" i="1"/>
  <c r="I244" i="4"/>
  <c r="AA9" i="1"/>
  <c r="I215" i="4"/>
  <c r="X38" i="1"/>
  <c r="I213" i="4"/>
  <c r="X10" i="1"/>
  <c r="I185" i="4"/>
  <c r="X11" i="1"/>
  <c r="I186" i="4"/>
  <c r="X12" i="1"/>
  <c r="I187" i="4"/>
  <c r="X13" i="1"/>
  <c r="I188" i="4"/>
  <c r="X14" i="1"/>
  <c r="I189" i="4"/>
  <c r="X15" i="1"/>
  <c r="I190" i="4"/>
  <c r="X16" i="1"/>
  <c r="I191" i="4"/>
  <c r="X17" i="1"/>
  <c r="I192" i="4"/>
  <c r="X18" i="1"/>
  <c r="I193" i="4"/>
  <c r="X19" i="1"/>
  <c r="I194" i="4"/>
  <c r="X20" i="1"/>
  <c r="I195" i="4"/>
  <c r="X21" i="1"/>
  <c r="I196" i="4"/>
  <c r="X22" i="1"/>
  <c r="I197" i="4"/>
  <c r="X23" i="1"/>
  <c r="I198" i="4"/>
  <c r="X24" i="1"/>
  <c r="I199" i="4"/>
  <c r="X25" i="1"/>
  <c r="I200" i="4"/>
  <c r="X26" i="1"/>
  <c r="I201" i="4"/>
  <c r="X27" i="1"/>
  <c r="I202" i="4"/>
  <c r="X28" i="1"/>
  <c r="I203" i="4"/>
  <c r="X29" i="1"/>
  <c r="I204" i="4"/>
  <c r="X30" i="1"/>
  <c r="I205" i="4"/>
  <c r="X31" i="1"/>
  <c r="I206" i="4"/>
  <c r="X32" i="1"/>
  <c r="I207" i="4"/>
  <c r="X33" i="1"/>
  <c r="I208" i="4"/>
  <c r="X34" i="1"/>
  <c r="I209" i="4"/>
  <c r="X35" i="1"/>
  <c r="I210" i="4"/>
  <c r="X36" i="1"/>
  <c r="I211" i="4"/>
  <c r="X37" i="1"/>
  <c r="I212" i="4"/>
  <c r="X9" i="1"/>
  <c r="I184" i="4"/>
  <c r="U10" i="1"/>
  <c r="I155" i="4"/>
  <c r="U11" i="1"/>
  <c r="I156" i="4"/>
  <c r="U12" i="1"/>
  <c r="I157" i="4"/>
  <c r="U13" i="1"/>
  <c r="I158" i="4"/>
  <c r="U14" i="1"/>
  <c r="I159" i="4"/>
  <c r="U15" i="1"/>
  <c r="I160" i="4"/>
  <c r="U16" i="1"/>
  <c r="I161" i="4"/>
  <c r="U17" i="1"/>
  <c r="I162" i="4"/>
  <c r="U18" i="1"/>
  <c r="I163" i="4"/>
  <c r="U19" i="1"/>
  <c r="I164" i="4"/>
  <c r="U20" i="1"/>
  <c r="I165" i="4"/>
  <c r="U21" i="1"/>
  <c r="I166" i="4"/>
  <c r="U22" i="1"/>
  <c r="I167" i="4"/>
  <c r="U23" i="1"/>
  <c r="I168" i="4"/>
  <c r="U24" i="1"/>
  <c r="I169" i="4"/>
  <c r="U25" i="1"/>
  <c r="I170" i="4"/>
  <c r="U26" i="1"/>
  <c r="I171" i="4"/>
  <c r="U27" i="1"/>
  <c r="I172" i="4"/>
  <c r="U28" i="1"/>
  <c r="I173" i="4"/>
  <c r="U29" i="1"/>
  <c r="I174" i="4"/>
  <c r="U30" i="1"/>
  <c r="I175" i="4"/>
  <c r="U31" i="1"/>
  <c r="I176" i="4"/>
  <c r="U32" i="1"/>
  <c r="I177" i="4"/>
  <c r="U33" i="1"/>
  <c r="I178" i="4"/>
  <c r="U34" i="1"/>
  <c r="I179" i="4"/>
  <c r="U35" i="1"/>
  <c r="I180" i="4"/>
  <c r="U36" i="1"/>
  <c r="I181" i="4"/>
  <c r="U37" i="1"/>
  <c r="I182" i="4"/>
  <c r="R10" i="1"/>
  <c r="I124" i="4"/>
  <c r="R11" i="1"/>
  <c r="I125" i="4"/>
  <c r="R12" i="1"/>
  <c r="I126" i="4"/>
  <c r="R13" i="1"/>
  <c r="I127" i="4"/>
  <c r="R14" i="1"/>
  <c r="I128" i="4"/>
  <c r="R15" i="1"/>
  <c r="I129" i="4"/>
  <c r="R16" i="1"/>
  <c r="I130" i="4"/>
  <c r="R17" i="1"/>
  <c r="I131" i="4"/>
  <c r="R18" i="1"/>
  <c r="I132" i="4"/>
  <c r="R19" i="1"/>
  <c r="I133" i="4"/>
  <c r="R20" i="1"/>
  <c r="I134" i="4"/>
  <c r="R21" i="1"/>
  <c r="I135" i="4"/>
  <c r="R22" i="1"/>
  <c r="I136" i="4"/>
  <c r="R23" i="1"/>
  <c r="I137" i="4"/>
  <c r="R24" i="1"/>
  <c r="I138" i="4"/>
  <c r="R25" i="1"/>
  <c r="I139" i="4"/>
  <c r="R26" i="1"/>
  <c r="I140" i="4"/>
  <c r="R27" i="1"/>
  <c r="I141" i="4"/>
  <c r="R28" i="1"/>
  <c r="I142" i="4"/>
  <c r="R29" i="1"/>
  <c r="I143" i="4"/>
  <c r="R30" i="1"/>
  <c r="I144" i="4"/>
  <c r="R31" i="1"/>
  <c r="I145" i="4"/>
  <c r="R32" i="1"/>
  <c r="I146" i="4"/>
  <c r="R33" i="1"/>
  <c r="I147" i="4"/>
  <c r="R34" i="1"/>
  <c r="I148" i="4"/>
  <c r="R35" i="1"/>
  <c r="I149" i="4"/>
  <c r="R36" i="1"/>
  <c r="I150" i="4"/>
  <c r="R37" i="1"/>
  <c r="I151" i="4"/>
  <c r="R38" i="1"/>
  <c r="I152" i="4"/>
  <c r="O10" i="1"/>
  <c r="I94" i="4"/>
  <c r="O11" i="1"/>
  <c r="I95" i="4"/>
  <c r="O12" i="1"/>
  <c r="I96" i="4"/>
  <c r="O13" i="1"/>
  <c r="I97" i="4"/>
  <c r="O14" i="1"/>
  <c r="I98" i="4"/>
  <c r="O15" i="1"/>
  <c r="I99" i="4"/>
  <c r="O16" i="1"/>
  <c r="I100" i="4"/>
  <c r="O17" i="1"/>
  <c r="I101" i="4"/>
  <c r="O18" i="1"/>
  <c r="I102" i="4"/>
  <c r="O19" i="1"/>
  <c r="I103" i="4"/>
  <c r="O20" i="1"/>
  <c r="I104" i="4"/>
  <c r="O21" i="1"/>
  <c r="I105" i="4"/>
  <c r="O22" i="1"/>
  <c r="I106" i="4"/>
  <c r="O23" i="1"/>
  <c r="I107" i="4"/>
  <c r="O24" i="1"/>
  <c r="I108" i="4"/>
  <c r="O25" i="1"/>
  <c r="I109" i="4"/>
  <c r="O26" i="1"/>
  <c r="I110" i="4"/>
  <c r="O27" i="1"/>
  <c r="I111" i="4"/>
  <c r="O28" i="1"/>
  <c r="I112" i="4"/>
  <c r="O29" i="1"/>
  <c r="I113" i="4"/>
  <c r="O30" i="1"/>
  <c r="I114" i="4"/>
  <c r="O31" i="1"/>
  <c r="I115" i="4"/>
  <c r="O32" i="1"/>
  <c r="I116" i="4"/>
  <c r="O33" i="1"/>
  <c r="I117" i="4"/>
  <c r="O34" i="1"/>
  <c r="I118" i="4"/>
  <c r="O35" i="1"/>
  <c r="I119" i="4"/>
  <c r="O36" i="1"/>
  <c r="I120" i="4"/>
  <c r="O37" i="1"/>
  <c r="I121" i="4"/>
  <c r="U9" i="1"/>
  <c r="I154" i="4"/>
  <c r="R9" i="1"/>
  <c r="I123" i="4"/>
  <c r="O9" i="1"/>
  <c r="I93" i="4"/>
  <c r="L9" i="1"/>
  <c r="I62" i="4"/>
  <c r="L10" i="1"/>
  <c r="I63" i="4"/>
  <c r="L11" i="1"/>
  <c r="I64" i="4"/>
  <c r="L12" i="1"/>
  <c r="I65" i="4"/>
  <c r="L13" i="1"/>
  <c r="I66" i="4"/>
  <c r="L14" i="1"/>
  <c r="I67" i="4"/>
  <c r="L15" i="1"/>
  <c r="I68" i="4"/>
  <c r="L16" i="1"/>
  <c r="I69" i="4"/>
  <c r="L17" i="1"/>
  <c r="I70" i="4"/>
  <c r="L18" i="1"/>
  <c r="I71" i="4"/>
  <c r="L19" i="1"/>
  <c r="I72" i="4"/>
  <c r="L20" i="1"/>
  <c r="I73" i="4"/>
  <c r="L21" i="1"/>
  <c r="I74" i="4"/>
  <c r="L22" i="1"/>
  <c r="I75" i="4"/>
  <c r="L23" i="1"/>
  <c r="I76" i="4"/>
  <c r="L24" i="1"/>
  <c r="I77" i="4"/>
  <c r="L25" i="1"/>
  <c r="I78" i="4"/>
  <c r="L26" i="1"/>
  <c r="I79" i="4"/>
  <c r="L27" i="1"/>
  <c r="I80" i="4"/>
  <c r="L28" i="1"/>
  <c r="I81" i="4"/>
  <c r="L29" i="1"/>
  <c r="I82" i="4"/>
  <c r="L30" i="1"/>
  <c r="I83" i="4"/>
  <c r="L31" i="1"/>
  <c r="I84" i="4"/>
  <c r="L32" i="1"/>
  <c r="I85" i="4"/>
  <c r="L33" i="1"/>
  <c r="I86" i="4"/>
  <c r="L34" i="1"/>
  <c r="I87" i="4"/>
  <c r="L35" i="1"/>
  <c r="I88" i="4"/>
  <c r="L36" i="1"/>
  <c r="I89" i="4"/>
  <c r="L37" i="1"/>
  <c r="I90" i="4"/>
  <c r="L38" i="1"/>
  <c r="I91" i="4"/>
  <c r="O8" i="1"/>
  <c r="I92" i="4"/>
  <c r="I9" i="1"/>
  <c r="I34" i="4"/>
  <c r="AM8" i="1"/>
  <c r="I336" i="4"/>
  <c r="AJ8" i="1"/>
  <c r="I306" i="4"/>
  <c r="AG8" i="1"/>
  <c r="I275" i="4"/>
  <c r="AD8" i="1"/>
  <c r="I245" i="4"/>
  <c r="AA8" i="1"/>
  <c r="I214" i="4"/>
  <c r="X8" i="1"/>
  <c r="I183" i="4"/>
  <c r="U8" i="1"/>
  <c r="I153" i="4"/>
  <c r="R8" i="1"/>
  <c r="I122" i="4"/>
  <c r="I8" i="1"/>
  <c r="I33" i="4"/>
  <c r="I10" i="1"/>
  <c r="I35" i="4"/>
  <c r="I11" i="1"/>
  <c r="I36" i="4"/>
  <c r="I12" i="1"/>
  <c r="I37" i="4"/>
  <c r="I13" i="1"/>
  <c r="I38" i="4"/>
  <c r="I14" i="1"/>
  <c r="I39" i="4"/>
  <c r="I15" i="1"/>
  <c r="I40" i="4"/>
  <c r="I16" i="1"/>
  <c r="I41" i="4"/>
  <c r="I17" i="1"/>
  <c r="I42" i="4"/>
  <c r="I18" i="1"/>
  <c r="I43" i="4"/>
  <c r="I19" i="1"/>
  <c r="I44" i="4"/>
  <c r="I20" i="1"/>
  <c r="I45" i="4"/>
  <c r="I21" i="1"/>
  <c r="I46" i="4"/>
  <c r="I22" i="1"/>
  <c r="I47" i="4"/>
  <c r="I23" i="1"/>
  <c r="I48" i="4"/>
  <c r="I24" i="1"/>
  <c r="I49" i="4"/>
  <c r="I25" i="1"/>
  <c r="I50" i="4"/>
  <c r="I26" i="1"/>
  <c r="I51" i="4"/>
  <c r="I27" i="1"/>
  <c r="I52" i="4"/>
  <c r="I28" i="1"/>
  <c r="I53" i="4"/>
  <c r="I29" i="1"/>
  <c r="I54" i="4"/>
  <c r="I30" i="1"/>
  <c r="I55" i="4"/>
  <c r="I31" i="1"/>
  <c r="I56" i="4"/>
  <c r="I32" i="1"/>
  <c r="I57" i="4"/>
  <c r="I33" i="1"/>
  <c r="I58" i="4"/>
  <c r="I34" i="1"/>
  <c r="I59" i="4"/>
  <c r="I35" i="1"/>
  <c r="I60" i="4"/>
  <c r="I36" i="1"/>
  <c r="I37" i="1"/>
  <c r="I38" i="1"/>
  <c r="F10" i="1"/>
  <c r="I4" i="4"/>
  <c r="F11" i="1"/>
  <c r="I5" i="4"/>
  <c r="F12" i="1"/>
  <c r="I6" i="4"/>
  <c r="F13" i="1"/>
  <c r="I7" i="4"/>
  <c r="F14" i="1"/>
  <c r="I8" i="4"/>
  <c r="F15" i="1"/>
  <c r="I9" i="4"/>
  <c r="F16" i="1"/>
  <c r="I10" i="4"/>
  <c r="F17" i="1"/>
  <c r="I11" i="4"/>
  <c r="F18" i="1"/>
  <c r="I12" i="4"/>
  <c r="F19" i="1"/>
  <c r="I13" i="4"/>
  <c r="F20" i="1"/>
  <c r="I14" i="4"/>
  <c r="F21" i="1"/>
  <c r="I15" i="4"/>
  <c r="F22" i="1"/>
  <c r="I16" i="4"/>
  <c r="F23" i="1"/>
  <c r="I17" i="4"/>
  <c r="F24" i="1"/>
  <c r="I18" i="4"/>
  <c r="F25" i="1"/>
  <c r="I19" i="4"/>
  <c r="F26" i="1"/>
  <c r="I20" i="4"/>
  <c r="F27" i="1"/>
  <c r="I21" i="4"/>
  <c r="F28" i="1"/>
  <c r="I22" i="4"/>
  <c r="F29" i="1"/>
  <c r="I23" i="4"/>
  <c r="F30" i="1"/>
  <c r="I24" i="4"/>
  <c r="F31" i="1"/>
  <c r="I25" i="4"/>
  <c r="F32" i="1"/>
  <c r="I26" i="4"/>
  <c r="F33" i="1"/>
  <c r="I27" i="4"/>
  <c r="F34" i="1"/>
  <c r="I28" i="4"/>
  <c r="F35" i="1"/>
  <c r="I29" i="4"/>
  <c r="F36" i="1"/>
  <c r="I30" i="4"/>
  <c r="F37" i="1"/>
  <c r="I31" i="4"/>
  <c r="F38" i="1"/>
  <c r="I32" i="4"/>
  <c r="F9" i="1"/>
  <c r="I3" i="4"/>
  <c r="F8" i="1"/>
  <c r="I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</calcChain>
</file>

<file path=xl/sharedStrings.xml><?xml version="1.0" encoding="utf-8"?>
<sst xmlns="http://schemas.openxmlformats.org/spreadsheetml/2006/main" count="578" uniqueCount="67">
  <si>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</si>
  <si>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</si>
  <si>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</si>
  <si>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</si>
  <si>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</si>
  <si>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</si>
  <si>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</si>
  <si>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</si>
  <si>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</si>
  <si>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</si>
  <si>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</si>
  <si>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</si>
  <si>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</si>
  <si>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</si>
  <si>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</si>
  <si>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</si>
  <si>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</si>
  <si>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</si>
  <si>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</si>
  <si>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</si>
  <si>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</si>
  <si>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</si>
  <si>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</si>
  <si>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</si>
  <si>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</si>
  <si>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</si>
  <si>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</si>
  <si>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</si>
  <si>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</si>
  <si>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</si>
  <si>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</si>
  <si>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</si>
  <si>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</si>
  <si>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</si>
  <si>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</si>
  <si>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</si>
  <si>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</si>
  <si>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</si>
  <si>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</si>
  <si>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</si>
  <si>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</si>
  <si>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</si>
  <si>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</si>
  <si>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</si>
  <si>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</si>
  <si>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</si>
  <si>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</si>
  <si>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</si>
  <si>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</si>
  <si>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</si>
  <si>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</si>
  <si>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</si>
  <si>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</si>
  <si>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</si>
  <si>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</si>
  <si>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</si>
  <si>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</si>
  <si>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</si>
  <si>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</si>
  <si>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(kL)</t>
  </si>
  <si>
    <t>Meter 1</t>
  </si>
  <si>
    <t>Meter 2</t>
  </si>
  <si>
    <t>Date</t>
  </si>
  <si>
    <t>kwh</t>
  </si>
  <si>
    <t xml:space="preserve">Meter 1 </t>
  </si>
  <si>
    <t>Total for Month (kwh)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</si>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</sst>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2" fontId="4" fillId="0" borderId="19" xfId="0" applyNumberFormat="1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6"/>
  <sheetViews>
    <sheetView topLeftCell="I29" workbookViewId="0">
      <selection activeCell="L70" sqref="L70"/>
    </sheetView>
  </sheetViews>
  <sheetFormatPr defaultColWidth="11.5703125" defaultRowHeight="15" x14ac:dyDescent="0.25"/>
  <cols>
    <col min="1" max="1" width="18.140625" style="18" customWidth="1"/>
    <col min="2" max="2" width="11.5703125" style="17"/>
    <col min="3" max="3" width="11.5703125" style="19"/>
    <col min="4" max="4" width="13.42578125" style="19" customWidth="1"/>
    <col min="5" max="5" width="12.5703125" style="23" customWidth="1"/>
    <col min="6" max="6" width="12.5703125" style="22" customWidth="1"/>
    <col min="7" max="7" width="11.5703125" style="23"/>
    <col min="8" max="8" width="11.5703125" style="22"/>
    <col min="9" max="9" width="11.5703125" style="23"/>
    <col min="10" max="10" width="11.5703125" style="24"/>
    <col min="11" max="24" width="11.5703125" style="23"/>
  </cols>
  <sheetData>
    <row r="1" spans="1:24" s="18" customFormat="1" ht="60" x14ac:dyDescent="0.25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4" t="s">
        <v>6</v>
      </c>
      <c r="H1" s="15" t="s">
        <v>7</v>
      </c>
      <c r="I1" s="14" t="s">
        <v>8</v>
      </c>
      <c r="J1" s="16" t="s">
        <v>9</v>
      </c>
      <c r="K1" s="14" t="s">
        <v>10</v>
      </c>
      <c r="L1" s="14" t="s">
        <v>11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25">
      <c r="A2" s="18" t="s">
        <v>12</v>
      </c>
      <c r="B2" s="17">
        <v>1</v>
      </c>
      <c r="C2" s="19">
        <v>1</v>
      </c>
      <c r="D2" s="19">
        <v>2021</v>
      </c>
      <c r="E2" s="20">
        <f>Electric!H11*400</f>
        <v>17200</v>
      </c>
      <c r="F2" s="21">
        <v>0.16748660878380847</v>
      </c>
      <c r="G2" s="20">
        <f>Gas!F8</f>
        <v>515</v>
      </c>
      <c r="H2" s="21">
        <v>0.99</v>
      </c>
      <c r="I2" s="20">
        <f>Water!F8</f>
        <v>142</v>
      </c>
      <c r="J2" s="22">
        <v>2.35</v>
      </c>
      <c r="K2" s="20">
        <v>145</v>
      </c>
      <c r="L2" s="20">
        <v>286</v>
      </c>
    </row>
    <row r="3" spans="1:24" x14ac:dyDescent="0.25">
      <c r="A3" s="18" t="s">
        <v>12</v>
      </c>
      <c r="B3" s="17">
        <f>B2+1</f>
        <v>2</v>
      </c>
      <c r="C3" s="19">
        <v>1</v>
      </c>
      <c r="D3" s="19">
        <v>2021</v>
      </c>
      <c r="E3" s="20">
        <f>Electric!H12*400</f>
        <v>12639.999999999418</v>
      </c>
      <c r="F3" s="21">
        <v>0.16748660878380847</v>
      </c>
      <c r="G3" s="20">
        <f>Gas!F9</f>
        <v>387</v>
      </c>
      <c r="H3" s="21">
        <v>0.99</v>
      </c>
      <c r="I3" s="20">
        <f>Water!F9</f>
        <v>129</v>
      </c>
      <c r="J3" s="22">
        <v>2.35</v>
      </c>
      <c r="K3" s="20">
        <v>150</v>
      </c>
      <c r="L3" s="20">
        <v>296</v>
      </c>
    </row>
    <row r="4" spans="1:24" x14ac:dyDescent="0.25">
      <c r="A4" s="18" t="s">
        <v>12</v>
      </c>
      <c r="B4" s="17">
        <f t="shared" ref="B4:B32" si="0">B3+1</f>
        <v>3</v>
      </c>
      <c r="C4" s="19">
        <v>1</v>
      </c>
      <c r="D4" s="19">
        <v>2021</v>
      </c>
      <c r="E4" s="20">
        <f>Electric!H13*400</f>
        <v>15600</v>
      </c>
      <c r="F4" s="21">
        <v>0.16748660878380847</v>
      </c>
      <c r="G4" s="20">
        <f>Gas!F10</f>
        <v>430</v>
      </c>
      <c r="H4" s="21">
        <v>0.99</v>
      </c>
      <c r="I4" s="20">
        <f>Water!F10</f>
        <v>105</v>
      </c>
      <c r="J4" s="22">
        <v>2.35</v>
      </c>
      <c r="K4" s="20">
        <v>155</v>
      </c>
      <c r="L4" s="20">
        <v>333</v>
      </c>
    </row>
    <row r="5" spans="1:24" x14ac:dyDescent="0.25">
      <c r="A5" s="18" t="s">
        <v>12</v>
      </c>
      <c r="B5" s="17">
        <f t="shared" si="0"/>
        <v>4</v>
      </c>
      <c r="C5" s="19">
        <v>1</v>
      </c>
      <c r="D5" s="19">
        <v>2021</v>
      </c>
      <c r="E5" s="20">
        <f>Electric!H14*400</f>
        <v>18280.000000000291</v>
      </c>
      <c r="F5" s="21">
        <v>0.16748660878380847</v>
      </c>
      <c r="G5" s="20">
        <f>Gas!F11</f>
        <v>478</v>
      </c>
      <c r="H5" s="21">
        <v>0.99</v>
      </c>
      <c r="I5" s="20">
        <f>Water!F11</f>
        <v>170</v>
      </c>
      <c r="J5" s="22">
        <v>2.35</v>
      </c>
      <c r="K5" s="20">
        <v>151</v>
      </c>
      <c r="L5" s="20">
        <v>323</v>
      </c>
    </row>
    <row r="6" spans="1:24" x14ac:dyDescent="0.25">
      <c r="A6" s="18" t="s">
        <v>12</v>
      </c>
      <c r="B6" s="17">
        <f t="shared" si="0"/>
        <v>5</v>
      </c>
      <c r="C6" s="19">
        <v>1</v>
      </c>
      <c r="D6" s="19">
        <v>2021</v>
      </c>
      <c r="E6" s="20">
        <f>Electric!H15*400</f>
        <v>17200</v>
      </c>
      <c r="F6" s="21">
        <v>0.16748660878380847</v>
      </c>
      <c r="G6" s="20">
        <f>Gas!F12</f>
        <v>416</v>
      </c>
      <c r="H6" s="21">
        <v>0.99</v>
      </c>
      <c r="I6" s="20">
        <f>Water!F12</f>
        <v>147</v>
      </c>
      <c r="J6" s="22">
        <v>2.35</v>
      </c>
      <c r="K6" s="20">
        <v>167</v>
      </c>
      <c r="L6" s="20">
        <v>353</v>
      </c>
    </row>
    <row r="7" spans="1:24" x14ac:dyDescent="0.25">
      <c r="A7" s="18" t="s">
        <v>12</v>
      </c>
      <c r="B7" s="17">
        <f t="shared" si="0"/>
        <v>6</v>
      </c>
      <c r="C7" s="19">
        <v>1</v>
      </c>
      <c r="D7" s="19">
        <v>2021</v>
      </c>
      <c r="E7" s="20">
        <f>Electric!H16*400</f>
        <v>16119.999999999709</v>
      </c>
      <c r="F7" s="21">
        <v>0.16748660878380847</v>
      </c>
      <c r="G7" s="20">
        <f>Gas!F13</f>
        <v>446</v>
      </c>
      <c r="H7" s="21">
        <v>0.99</v>
      </c>
      <c r="I7" s="20">
        <f>Water!F13</f>
        <v>123</v>
      </c>
      <c r="J7" s="22">
        <v>2.35</v>
      </c>
      <c r="K7" s="20">
        <v>166</v>
      </c>
      <c r="L7" s="20">
        <v>340</v>
      </c>
    </row>
    <row r="8" spans="1:24" x14ac:dyDescent="0.25">
      <c r="A8" s="18" t="s">
        <v>12</v>
      </c>
      <c r="B8" s="17">
        <f t="shared" si="0"/>
        <v>7</v>
      </c>
      <c r="C8" s="19">
        <v>1</v>
      </c>
      <c r="D8" s="19">
        <v>2021</v>
      </c>
      <c r="E8" s="20">
        <f>Electric!H17*400</f>
        <v>13640.000000000146</v>
      </c>
      <c r="F8" s="21">
        <v>0.16748660878380847</v>
      </c>
      <c r="G8" s="20">
        <f>Gas!F14</f>
        <v>394</v>
      </c>
      <c r="H8" s="21">
        <v>0.99</v>
      </c>
      <c r="I8" s="20">
        <f>Water!F14</f>
        <v>128</v>
      </c>
      <c r="J8" s="22">
        <v>2.35</v>
      </c>
      <c r="K8" s="20">
        <v>154</v>
      </c>
      <c r="L8" s="20">
        <v>306</v>
      </c>
    </row>
    <row r="9" spans="1:24" x14ac:dyDescent="0.25">
      <c r="A9" s="18" t="s">
        <v>12</v>
      </c>
      <c r="B9" s="17">
        <f t="shared" si="0"/>
        <v>8</v>
      </c>
      <c r="C9" s="19">
        <v>1</v>
      </c>
      <c r="D9" s="19">
        <v>2021</v>
      </c>
      <c r="E9" s="20">
        <f>Electric!H18*400</f>
        <v>14840.000000000146</v>
      </c>
      <c r="F9" s="21">
        <v>0.16748660878380847</v>
      </c>
      <c r="G9" s="20">
        <f>Gas!F15</f>
        <v>443</v>
      </c>
      <c r="H9" s="21">
        <v>0.99</v>
      </c>
      <c r="I9" s="20">
        <f>Water!F15</f>
        <v>149</v>
      </c>
      <c r="J9" s="22">
        <v>2.35</v>
      </c>
      <c r="K9" s="20">
        <v>239</v>
      </c>
      <c r="L9" s="20">
        <v>482</v>
      </c>
    </row>
    <row r="10" spans="1:24" x14ac:dyDescent="0.25">
      <c r="A10" s="18" t="s">
        <v>12</v>
      </c>
      <c r="B10" s="17">
        <f t="shared" si="0"/>
        <v>9</v>
      </c>
      <c r="C10" s="19">
        <v>1</v>
      </c>
      <c r="D10" s="19">
        <v>2021</v>
      </c>
      <c r="E10" s="20">
        <f>Electric!H19*400</f>
        <v>17919.999999999709</v>
      </c>
      <c r="F10" s="21">
        <v>0.16748660878380847</v>
      </c>
      <c r="G10" s="20">
        <f>Gas!F16</f>
        <v>500</v>
      </c>
      <c r="H10" s="21">
        <v>0.99</v>
      </c>
      <c r="I10" s="20">
        <f>Water!F16</f>
        <v>147</v>
      </c>
      <c r="J10" s="22">
        <v>2.35</v>
      </c>
      <c r="K10" s="20">
        <v>318</v>
      </c>
      <c r="L10" s="20">
        <v>647</v>
      </c>
    </row>
    <row r="11" spans="1:24" x14ac:dyDescent="0.25">
      <c r="A11" s="18" t="s">
        <v>12</v>
      </c>
      <c r="B11" s="17">
        <f t="shared" si="0"/>
        <v>10</v>
      </c>
      <c r="C11" s="19">
        <v>1</v>
      </c>
      <c r="D11" s="19">
        <v>2021</v>
      </c>
      <c r="E11" s="20">
        <f>Electric!H20*400</f>
        <v>17040.000000000146</v>
      </c>
      <c r="F11" s="21">
        <v>0.16748660878380847</v>
      </c>
      <c r="G11" s="20">
        <f>Gas!F17</f>
        <v>463</v>
      </c>
      <c r="H11" s="21">
        <v>0.99</v>
      </c>
      <c r="I11" s="20">
        <f>Water!F17</f>
        <v>138</v>
      </c>
      <c r="J11" s="22">
        <v>2.35</v>
      </c>
      <c r="K11" s="20">
        <v>110</v>
      </c>
      <c r="L11" s="20">
        <v>223</v>
      </c>
    </row>
    <row r="12" spans="1:24" x14ac:dyDescent="0.25">
      <c r="A12" s="18" t="s">
        <v>12</v>
      </c>
      <c r="B12" s="17">
        <f t="shared" si="0"/>
        <v>11</v>
      </c>
      <c r="C12" s="19">
        <v>1</v>
      </c>
      <c r="D12" s="19">
        <v>2021</v>
      </c>
      <c r="E12" s="20">
        <f>Electric!H21*400</f>
        <v>13400</v>
      </c>
      <c r="F12" s="21">
        <v>0.16748660878380847</v>
      </c>
      <c r="G12" s="20">
        <f>Gas!F18</f>
        <v>356</v>
      </c>
      <c r="H12" s="21">
        <v>0.99</v>
      </c>
      <c r="I12" s="20">
        <f>Water!F18</f>
        <v>98</v>
      </c>
      <c r="J12" s="22">
        <v>2.35</v>
      </c>
      <c r="K12" s="20">
        <v>83</v>
      </c>
      <c r="L12" s="20">
        <v>167</v>
      </c>
    </row>
    <row r="13" spans="1:24" x14ac:dyDescent="0.25">
      <c r="A13" s="18" t="s">
        <v>12</v>
      </c>
      <c r="B13" s="17">
        <f t="shared" si="0"/>
        <v>12</v>
      </c>
      <c r="C13" s="19">
        <v>1</v>
      </c>
      <c r="D13" s="19">
        <v>2021</v>
      </c>
      <c r="E13" s="20">
        <f>Electric!H22*400</f>
        <v>14880.000000000291</v>
      </c>
      <c r="F13" s="21">
        <v>0.16748660878380847</v>
      </c>
      <c r="G13" s="20">
        <f>Gas!F19</f>
        <v>376</v>
      </c>
      <c r="H13" s="21">
        <v>0.99</v>
      </c>
      <c r="I13" s="20">
        <f>Water!F19</f>
        <v>117</v>
      </c>
      <c r="J13" s="22">
        <v>2.35</v>
      </c>
      <c r="K13" s="20">
        <v>80</v>
      </c>
      <c r="L13" s="20">
        <v>155</v>
      </c>
    </row>
    <row r="14" spans="1:24" x14ac:dyDescent="0.25">
      <c r="A14" s="18" t="s">
        <v>12</v>
      </c>
      <c r="B14" s="17">
        <f t="shared" si="0"/>
        <v>13</v>
      </c>
      <c r="C14" s="19">
        <v>1</v>
      </c>
      <c r="D14" s="19">
        <v>2021</v>
      </c>
      <c r="E14" s="20">
        <f>Electric!H23*400</f>
        <v>18079.999999999563</v>
      </c>
      <c r="F14" s="21">
        <v>0.16748660878380847</v>
      </c>
      <c r="G14" s="20">
        <f>Gas!F20</f>
        <v>427</v>
      </c>
      <c r="H14" s="21">
        <v>0.99</v>
      </c>
      <c r="I14" s="20">
        <f>Water!F20</f>
        <v>124</v>
      </c>
      <c r="J14" s="22">
        <v>2.35</v>
      </c>
      <c r="K14" s="20">
        <v>110</v>
      </c>
      <c r="L14" s="20">
        <v>217</v>
      </c>
    </row>
    <row r="15" spans="1:24" x14ac:dyDescent="0.25">
      <c r="A15" s="18" t="s">
        <v>12</v>
      </c>
      <c r="B15" s="17">
        <f t="shared" si="0"/>
        <v>14</v>
      </c>
      <c r="C15" s="19">
        <v>1</v>
      </c>
      <c r="D15" s="19">
        <v>2021</v>
      </c>
      <c r="E15" s="20">
        <f>Electric!H24*400</f>
        <v>16360.000000000582</v>
      </c>
      <c r="F15" s="21">
        <v>0.16748660878380847</v>
      </c>
      <c r="G15" s="20">
        <f>Gas!F21</f>
        <v>376</v>
      </c>
      <c r="H15" s="21">
        <v>0.99</v>
      </c>
      <c r="I15" s="20">
        <f>Water!F21</f>
        <v>126</v>
      </c>
      <c r="J15" s="22">
        <v>2.35</v>
      </c>
      <c r="K15" s="20">
        <v>99</v>
      </c>
      <c r="L15" s="20">
        <v>199</v>
      </c>
    </row>
    <row r="16" spans="1:24" x14ac:dyDescent="0.25">
      <c r="A16" s="18" t="s">
        <v>12</v>
      </c>
      <c r="B16" s="17">
        <f t="shared" si="0"/>
        <v>15</v>
      </c>
      <c r="C16" s="19">
        <v>1</v>
      </c>
      <c r="D16" s="19">
        <v>2021</v>
      </c>
      <c r="E16" s="20">
        <f>Electric!H25*400</f>
        <v>16439.999999999418</v>
      </c>
      <c r="F16" s="21">
        <v>0.16748660878380847</v>
      </c>
      <c r="G16" s="20">
        <f>Gas!F22</f>
        <v>395</v>
      </c>
      <c r="H16" s="21">
        <v>0.99</v>
      </c>
      <c r="I16" s="20">
        <f>Water!F22</f>
        <v>125</v>
      </c>
      <c r="J16" s="22">
        <v>2.35</v>
      </c>
      <c r="K16" s="20">
        <v>179</v>
      </c>
      <c r="L16" s="20">
        <v>357</v>
      </c>
    </row>
    <row r="17" spans="1:12" x14ac:dyDescent="0.25">
      <c r="A17" s="18" t="s">
        <v>12</v>
      </c>
      <c r="B17" s="17">
        <f t="shared" si="0"/>
        <v>16</v>
      </c>
      <c r="C17" s="19">
        <v>1</v>
      </c>
      <c r="D17" s="19">
        <v>2021</v>
      </c>
      <c r="E17" s="20">
        <f>Electric!H26*400</f>
        <v>19400</v>
      </c>
      <c r="F17" s="21">
        <v>0.16748660878380847</v>
      </c>
      <c r="G17" s="20">
        <f>Gas!F23</f>
        <v>542</v>
      </c>
      <c r="H17" s="21">
        <v>0.99</v>
      </c>
      <c r="I17" s="20">
        <f>Water!F23</f>
        <v>161</v>
      </c>
      <c r="J17" s="22">
        <v>2.35</v>
      </c>
      <c r="K17" s="20">
        <v>319</v>
      </c>
      <c r="L17" s="20">
        <v>644</v>
      </c>
    </row>
    <row r="18" spans="1:12" x14ac:dyDescent="0.25">
      <c r="A18" s="18" t="s">
        <v>12</v>
      </c>
      <c r="B18" s="17">
        <f t="shared" si="0"/>
        <v>17</v>
      </c>
      <c r="C18" s="19">
        <v>1</v>
      </c>
      <c r="D18" s="19">
        <v>2021</v>
      </c>
      <c r="E18" s="20">
        <f>Electric!H27*400</f>
        <v>12519.999999999709</v>
      </c>
      <c r="F18" s="21">
        <v>0.16748660878380847</v>
      </c>
      <c r="G18" s="20">
        <f>Gas!F24</f>
        <v>352</v>
      </c>
      <c r="H18" s="21">
        <v>0.99</v>
      </c>
      <c r="I18" s="20">
        <f>Water!F24</f>
        <v>153</v>
      </c>
      <c r="J18" s="22">
        <v>2.35</v>
      </c>
      <c r="K18" s="20">
        <v>84</v>
      </c>
      <c r="L18" s="20">
        <v>160</v>
      </c>
    </row>
    <row r="19" spans="1:12" x14ac:dyDescent="0.25">
      <c r="A19" s="18" t="s">
        <v>12</v>
      </c>
      <c r="B19" s="17">
        <f t="shared" si="0"/>
        <v>18</v>
      </c>
      <c r="C19" s="19">
        <v>1</v>
      </c>
      <c r="D19" s="19">
        <v>2021</v>
      </c>
      <c r="E19" s="20">
        <f>Electric!H28*400</f>
        <v>15560.000000000582</v>
      </c>
      <c r="F19" s="21">
        <v>0.16748660878380847</v>
      </c>
      <c r="G19" s="20">
        <f>Gas!F25</f>
        <v>391</v>
      </c>
      <c r="H19" s="21">
        <v>0.99</v>
      </c>
      <c r="I19" s="20">
        <f>Water!F25</f>
        <v>89</v>
      </c>
      <c r="J19" s="22">
        <v>2.35</v>
      </c>
      <c r="K19" s="20">
        <v>62</v>
      </c>
      <c r="L19" s="20">
        <v>109</v>
      </c>
    </row>
    <row r="20" spans="1:12" x14ac:dyDescent="0.25">
      <c r="A20" s="18" t="s">
        <v>12</v>
      </c>
      <c r="B20" s="17">
        <f t="shared" si="0"/>
        <v>19</v>
      </c>
      <c r="C20" s="19">
        <v>1</v>
      </c>
      <c r="D20" s="19">
        <v>2021</v>
      </c>
      <c r="E20" s="20">
        <f>Electric!H29*400</f>
        <v>15240.000000000146</v>
      </c>
      <c r="F20" s="21">
        <v>0.16748660878380847</v>
      </c>
      <c r="G20" s="20">
        <f>Gas!F26</f>
        <v>393</v>
      </c>
      <c r="H20" s="21">
        <v>0.99</v>
      </c>
      <c r="I20" s="20">
        <f>Water!F26</f>
        <v>105</v>
      </c>
      <c r="J20" s="22">
        <v>2.35</v>
      </c>
      <c r="K20" s="20">
        <v>58</v>
      </c>
      <c r="L20" s="20">
        <v>103</v>
      </c>
    </row>
    <row r="21" spans="1:12" x14ac:dyDescent="0.25">
      <c r="A21" s="18" t="s">
        <v>12</v>
      </c>
      <c r="B21" s="17">
        <f t="shared" si="0"/>
        <v>20</v>
      </c>
      <c r="C21" s="19">
        <v>1</v>
      </c>
      <c r="D21" s="19">
        <v>2021</v>
      </c>
      <c r="E21" s="20">
        <f>Electric!H30*400</f>
        <v>14240.000000000146</v>
      </c>
      <c r="F21" s="21">
        <v>0.16748660878380847</v>
      </c>
      <c r="G21" s="20">
        <f>Gas!F27</f>
        <v>399</v>
      </c>
      <c r="H21" s="21">
        <v>0.99</v>
      </c>
      <c r="I21" s="20">
        <f>Water!F27</f>
        <v>83</v>
      </c>
      <c r="J21" s="22">
        <v>2.35</v>
      </c>
      <c r="K21" s="20">
        <v>76</v>
      </c>
      <c r="L21" s="20">
        <v>144</v>
      </c>
    </row>
    <row r="22" spans="1:12" x14ac:dyDescent="0.25">
      <c r="A22" s="18" t="s">
        <v>12</v>
      </c>
      <c r="B22" s="17">
        <f t="shared" si="0"/>
        <v>21</v>
      </c>
      <c r="C22" s="19">
        <v>1</v>
      </c>
      <c r="D22" s="19">
        <v>2021</v>
      </c>
      <c r="E22" s="20">
        <f>Electric!H31*400</f>
        <v>14400</v>
      </c>
      <c r="F22" s="21">
        <v>0.16748660878380847</v>
      </c>
      <c r="G22" s="20">
        <f>Gas!F28</f>
        <v>396</v>
      </c>
      <c r="H22" s="21">
        <v>0.99</v>
      </c>
      <c r="I22" s="20">
        <f>Water!F28</f>
        <v>96</v>
      </c>
      <c r="J22" s="22">
        <v>2.35</v>
      </c>
      <c r="K22" s="20">
        <v>86</v>
      </c>
      <c r="L22" s="20">
        <v>171</v>
      </c>
    </row>
    <row r="23" spans="1:12" x14ac:dyDescent="0.25">
      <c r="A23" s="18" t="s">
        <v>12</v>
      </c>
      <c r="B23" s="17">
        <f t="shared" si="0"/>
        <v>22</v>
      </c>
      <c r="C23" s="19">
        <v>1</v>
      </c>
      <c r="D23" s="19">
        <v>2021</v>
      </c>
      <c r="E23" s="20">
        <f>Electric!H32*400</f>
        <v>17079.999999999563</v>
      </c>
      <c r="F23" s="21">
        <v>0.16748660878380847</v>
      </c>
      <c r="G23" s="20">
        <f>Gas!F29</f>
        <v>415</v>
      </c>
      <c r="H23" s="21">
        <v>0.99</v>
      </c>
      <c r="I23" s="20">
        <f>Water!F29</f>
        <v>135</v>
      </c>
      <c r="J23" s="22">
        <v>2.35</v>
      </c>
      <c r="K23" s="20">
        <v>225</v>
      </c>
      <c r="L23" s="20">
        <v>451</v>
      </c>
    </row>
    <row r="24" spans="1:12" x14ac:dyDescent="0.25">
      <c r="A24" s="18" t="s">
        <v>12</v>
      </c>
      <c r="B24" s="17">
        <f t="shared" si="0"/>
        <v>23</v>
      </c>
      <c r="C24" s="19">
        <v>1</v>
      </c>
      <c r="D24" s="19">
        <v>2021</v>
      </c>
      <c r="E24" s="20">
        <f>Electric!H33*400</f>
        <v>20400</v>
      </c>
      <c r="F24" s="21">
        <v>0.16748660878380847</v>
      </c>
      <c r="G24" s="20">
        <f>Gas!F30</f>
        <v>481</v>
      </c>
      <c r="H24" s="21">
        <v>0.99</v>
      </c>
      <c r="I24" s="20">
        <f>Water!F30</f>
        <v>205</v>
      </c>
      <c r="J24" s="22">
        <v>2.35</v>
      </c>
      <c r="K24" s="20">
        <v>495</v>
      </c>
      <c r="L24" s="20">
        <v>999</v>
      </c>
    </row>
    <row r="25" spans="1:12" x14ac:dyDescent="0.25">
      <c r="A25" s="18" t="s">
        <v>12</v>
      </c>
      <c r="B25" s="17">
        <f t="shared" si="0"/>
        <v>24</v>
      </c>
      <c r="C25" s="19">
        <v>1</v>
      </c>
      <c r="D25" s="19">
        <v>2021</v>
      </c>
      <c r="E25" s="20">
        <f>Electric!H34*400</f>
        <v>18320.000000000437</v>
      </c>
      <c r="F25" s="21">
        <v>0.16748660878380847</v>
      </c>
      <c r="G25" s="20">
        <f>Gas!F31</f>
        <v>441</v>
      </c>
      <c r="H25" s="21">
        <v>0.99</v>
      </c>
      <c r="I25" s="20">
        <f>Water!F31</f>
        <v>223</v>
      </c>
      <c r="J25" s="22">
        <v>2.35</v>
      </c>
      <c r="K25" s="20">
        <v>284</v>
      </c>
      <c r="L25" s="20">
        <v>567</v>
      </c>
    </row>
    <row r="26" spans="1:12" x14ac:dyDescent="0.25">
      <c r="A26" s="18" t="s">
        <v>12</v>
      </c>
      <c r="B26" s="17">
        <f>B25+1</f>
        <v>25</v>
      </c>
      <c r="C26" s="19">
        <v>1</v>
      </c>
      <c r="D26" s="19">
        <v>2021</v>
      </c>
      <c r="E26" s="20">
        <f>Electric!H35*400</f>
        <v>19079.999999999563</v>
      </c>
      <c r="F26" s="21">
        <v>0.16748660878380847</v>
      </c>
      <c r="G26" s="20">
        <f>Gas!F32</f>
        <v>435</v>
      </c>
      <c r="H26" s="21">
        <v>0.99</v>
      </c>
      <c r="I26" s="20">
        <f>Water!F32</f>
        <v>201</v>
      </c>
      <c r="J26" s="22">
        <v>2.35</v>
      </c>
      <c r="K26" s="20">
        <v>245</v>
      </c>
      <c r="L26" s="20">
        <v>501</v>
      </c>
    </row>
    <row r="27" spans="1:12" x14ac:dyDescent="0.25">
      <c r="A27" s="18" t="s">
        <v>12</v>
      </c>
      <c r="B27" s="17">
        <f t="shared" si="0"/>
        <v>26</v>
      </c>
      <c r="C27" s="19">
        <v>1</v>
      </c>
      <c r="D27" s="19">
        <v>2021</v>
      </c>
      <c r="E27" s="20">
        <f>Electric!H36*400</f>
        <v>17959.999999999854</v>
      </c>
      <c r="F27" s="21">
        <v>0.16748660878380847</v>
      </c>
      <c r="G27" s="20">
        <f>Gas!F33</f>
        <v>452</v>
      </c>
      <c r="H27" s="21">
        <v>0.99</v>
      </c>
      <c r="I27" s="20">
        <f>Water!F33</f>
        <v>166</v>
      </c>
      <c r="J27" s="22">
        <v>2.35</v>
      </c>
      <c r="K27" s="20">
        <v>122</v>
      </c>
      <c r="L27" s="20">
        <v>245</v>
      </c>
    </row>
    <row r="28" spans="1:12" x14ac:dyDescent="0.25">
      <c r="A28" s="18" t="s">
        <v>12</v>
      </c>
      <c r="B28" s="17">
        <f t="shared" si="0"/>
        <v>27</v>
      </c>
      <c r="C28" s="19">
        <v>1</v>
      </c>
      <c r="D28" s="19">
        <v>2021</v>
      </c>
      <c r="E28" s="20">
        <f>Electric!H37*400</f>
        <v>20400</v>
      </c>
      <c r="F28" s="21">
        <v>0.16748660878380847</v>
      </c>
      <c r="G28" s="20">
        <f>Gas!F34</f>
        <v>459</v>
      </c>
      <c r="H28" s="21">
        <v>0.99</v>
      </c>
      <c r="I28" s="20">
        <f>Water!F34</f>
        <v>154</v>
      </c>
      <c r="J28" s="22">
        <v>2.35</v>
      </c>
      <c r="K28" s="20">
        <v>59</v>
      </c>
      <c r="L28" s="20">
        <v>107</v>
      </c>
    </row>
    <row r="29" spans="1:12" x14ac:dyDescent="0.25">
      <c r="A29" s="18" t="s">
        <v>12</v>
      </c>
      <c r="B29" s="17">
        <f t="shared" si="0"/>
        <v>28</v>
      </c>
      <c r="C29" s="19">
        <v>1</v>
      </c>
      <c r="D29" s="19">
        <v>2021</v>
      </c>
      <c r="E29" s="20">
        <f>Electric!H38*400</f>
        <v>12880.000000000291</v>
      </c>
      <c r="F29" s="21">
        <v>0.16748660878380847</v>
      </c>
      <c r="G29" s="20">
        <f>Gas!F35</f>
        <v>324</v>
      </c>
      <c r="H29" s="21">
        <v>0.99</v>
      </c>
      <c r="I29" s="20">
        <f>Water!F35</f>
        <v>91</v>
      </c>
      <c r="J29" s="22">
        <v>2.35</v>
      </c>
      <c r="K29" s="20">
        <v>61</v>
      </c>
      <c r="L29" s="20">
        <v>115</v>
      </c>
    </row>
    <row r="30" spans="1:12" x14ac:dyDescent="0.25">
      <c r="A30" s="18" t="s">
        <v>12</v>
      </c>
      <c r="B30" s="17">
        <f t="shared" si="0"/>
        <v>29</v>
      </c>
      <c r="C30" s="19">
        <v>1</v>
      </c>
      <c r="D30" s="19">
        <v>2021</v>
      </c>
      <c r="E30" s="20">
        <f>Electric!H39*400</f>
        <v>19000</v>
      </c>
      <c r="F30" s="21">
        <v>0.16748660878380847</v>
      </c>
      <c r="G30" s="20">
        <f>Gas!F36</f>
        <v>480</v>
      </c>
      <c r="H30" s="21">
        <v>0.99</v>
      </c>
      <c r="I30" s="20">
        <f>Water!F36</f>
        <v>146</v>
      </c>
      <c r="J30" s="22">
        <v>2.35</v>
      </c>
      <c r="K30" s="20">
        <v>154</v>
      </c>
      <c r="L30" s="20">
        <v>296</v>
      </c>
    </row>
    <row r="31" spans="1:12" x14ac:dyDescent="0.25">
      <c r="A31" s="18" t="s">
        <v>12</v>
      </c>
      <c r="B31" s="17">
        <f t="shared" si="0"/>
        <v>30</v>
      </c>
      <c r="C31" s="19">
        <v>1</v>
      </c>
      <c r="D31" s="19">
        <v>2021</v>
      </c>
      <c r="E31" s="20">
        <f>Electric!H40*400</f>
        <v>15200</v>
      </c>
      <c r="F31" s="21">
        <v>0.16700000000000001</v>
      </c>
      <c r="G31" s="20">
        <f>Gas!F37</f>
        <v>385</v>
      </c>
      <c r="H31" s="21">
        <v>0.99</v>
      </c>
      <c r="I31" s="20">
        <f>Water!F37</f>
        <v>152</v>
      </c>
      <c r="J31" s="22">
        <v>2.35</v>
      </c>
      <c r="K31" s="20">
        <v>335</v>
      </c>
      <c r="L31" s="20">
        <v>655</v>
      </c>
    </row>
    <row r="32" spans="1:12" x14ac:dyDescent="0.25">
      <c r="A32" s="18" t="s">
        <v>12</v>
      </c>
      <c r="B32" s="17">
        <f t="shared" si="0"/>
        <v>31</v>
      </c>
      <c r="C32" s="19">
        <v>1</v>
      </c>
      <c r="D32" s="19">
        <v>2021</v>
      </c>
      <c r="E32" s="20">
        <f>Electric!H41*400</f>
        <v>16359.999999999854</v>
      </c>
      <c r="F32" s="21">
        <v>0.16700000000000001</v>
      </c>
      <c r="G32" s="20">
        <f>Gas!F38</f>
        <v>429</v>
      </c>
      <c r="H32" s="21">
        <v>0.99</v>
      </c>
      <c r="I32" s="20">
        <f>Water!F38</f>
        <v>101</v>
      </c>
      <c r="J32" s="22">
        <v>2.35</v>
      </c>
      <c r="K32" s="20">
        <v>71</v>
      </c>
      <c r="L32" s="20">
        <v>131</v>
      </c>
    </row>
    <row r="33" spans="1:12" x14ac:dyDescent="0.25">
      <c r="A33" s="18" t="s">
        <v>12</v>
      </c>
      <c r="B33" s="17">
        <v>1</v>
      </c>
      <c r="C33" s="19">
        <v>2</v>
      </c>
      <c r="D33" s="19">
        <v>2021</v>
      </c>
      <c r="E33" s="23">
        <f>Electric!M11*400</f>
        <v>19040.000000000146</v>
      </c>
      <c r="F33" s="21">
        <v>0.16748660878380847</v>
      </c>
      <c r="G33" s="23">
        <f>Gas!I8</f>
        <v>482</v>
      </c>
      <c r="H33" s="21">
        <v>0.99</v>
      </c>
      <c r="I33" s="23">
        <f>Water!I8</f>
        <v>178</v>
      </c>
      <c r="J33" s="22">
        <v>2.35</v>
      </c>
      <c r="K33" s="23">
        <v>63</v>
      </c>
      <c r="L33" s="23">
        <v>105</v>
      </c>
    </row>
    <row r="34" spans="1:12" x14ac:dyDescent="0.25">
      <c r="A34" s="18" t="s">
        <v>12</v>
      </c>
      <c r="B34" s="17">
        <v>2</v>
      </c>
      <c r="C34" s="19">
        <v>2</v>
      </c>
      <c r="D34" s="19">
        <v>2021</v>
      </c>
      <c r="E34" s="23">
        <f>Electric!M12*400</f>
        <v>14400</v>
      </c>
      <c r="F34" s="21">
        <v>0.16748660878380847</v>
      </c>
      <c r="G34" s="23">
        <f>Gas!I9</f>
        <v>401</v>
      </c>
      <c r="H34" s="21">
        <v>0.99</v>
      </c>
      <c r="I34" s="23">
        <f>Water!I9</f>
        <v>105</v>
      </c>
      <c r="J34" s="22">
        <v>2.35</v>
      </c>
      <c r="K34" s="23">
        <v>90</v>
      </c>
      <c r="L34" s="23">
        <v>128</v>
      </c>
    </row>
    <row r="35" spans="1:12" x14ac:dyDescent="0.25">
      <c r="A35" s="18" t="s">
        <v>12</v>
      </c>
      <c r="B35" s="17">
        <v>3</v>
      </c>
      <c r="C35" s="19">
        <v>2</v>
      </c>
      <c r="D35" s="19">
        <v>2021</v>
      </c>
      <c r="E35" s="23">
        <f>Electric!M13*400</f>
        <v>13559.999999999854</v>
      </c>
      <c r="F35" s="21">
        <v>0.16748660878380847</v>
      </c>
      <c r="G35" s="23">
        <f>Gas!I10</f>
        <v>378</v>
      </c>
      <c r="H35" s="21">
        <v>0.99</v>
      </c>
      <c r="I35" s="23">
        <f>Water!I10</f>
        <v>109</v>
      </c>
      <c r="J35" s="22">
        <v>2.35</v>
      </c>
      <c r="K35" s="23">
        <v>118</v>
      </c>
      <c r="L35" s="23">
        <v>171</v>
      </c>
    </row>
    <row r="36" spans="1:12" x14ac:dyDescent="0.25">
      <c r="A36" s="18" t="s">
        <v>12</v>
      </c>
      <c r="B36" s="17">
        <v>4</v>
      </c>
      <c r="C36" s="19">
        <v>2</v>
      </c>
      <c r="D36" s="19">
        <v>2021</v>
      </c>
      <c r="E36" s="23">
        <f>Electric!M14*400</f>
        <v>14680.000000000291</v>
      </c>
      <c r="F36" s="21">
        <v>0.16748660878380847</v>
      </c>
      <c r="G36" s="23">
        <f>Gas!I11</f>
        <v>356</v>
      </c>
      <c r="H36" s="21">
        <v>0.99</v>
      </c>
      <c r="I36" s="23">
        <f>Water!I11</f>
        <v>117</v>
      </c>
      <c r="J36" s="22">
        <v>2.35</v>
      </c>
      <c r="K36" s="23">
        <v>94</v>
      </c>
      <c r="L36" s="23">
        <v>138</v>
      </c>
    </row>
    <row r="37" spans="1:12" x14ac:dyDescent="0.25">
      <c r="A37" s="18" t="s">
        <v>12</v>
      </c>
      <c r="B37" s="17">
        <v>5</v>
      </c>
      <c r="C37" s="19">
        <v>2</v>
      </c>
      <c r="D37" s="19">
        <v>2021</v>
      </c>
      <c r="E37" s="23">
        <f>Electric!M15*400</f>
        <v>19679.999999999563</v>
      </c>
      <c r="F37" s="21">
        <v>0.16748660878380847</v>
      </c>
      <c r="G37" s="23">
        <f>Gas!I12</f>
        <v>499</v>
      </c>
      <c r="H37" s="21">
        <v>0.99</v>
      </c>
      <c r="I37" s="23">
        <f>Water!I12</f>
        <v>144</v>
      </c>
      <c r="J37" s="22">
        <v>2.35</v>
      </c>
      <c r="K37" s="23">
        <v>173</v>
      </c>
      <c r="L37" s="23">
        <v>311</v>
      </c>
    </row>
    <row r="38" spans="1:12" x14ac:dyDescent="0.25">
      <c r="A38" s="18" t="s">
        <v>12</v>
      </c>
      <c r="B38" s="17">
        <v>6</v>
      </c>
      <c r="C38" s="19">
        <v>2</v>
      </c>
      <c r="D38" s="19">
        <v>2021</v>
      </c>
      <c r="E38" s="23">
        <f>Electric!M16*400</f>
        <v>15280.000000000291</v>
      </c>
      <c r="F38" s="21">
        <v>0.16748660878380847</v>
      </c>
      <c r="G38" s="23">
        <f>Gas!I13</f>
        <v>392</v>
      </c>
      <c r="H38" s="21">
        <v>0.99</v>
      </c>
      <c r="I38" s="23">
        <f>Water!I13</f>
        <v>160</v>
      </c>
      <c r="J38" s="22">
        <v>2.35</v>
      </c>
      <c r="K38" s="23">
        <v>390</v>
      </c>
      <c r="L38" s="23">
        <v>758</v>
      </c>
    </row>
    <row r="39" spans="1:12" x14ac:dyDescent="0.25">
      <c r="A39" s="18" t="s">
        <v>12</v>
      </c>
      <c r="B39" s="17">
        <v>7</v>
      </c>
      <c r="C39" s="19">
        <v>2</v>
      </c>
      <c r="D39" s="19">
        <v>2021</v>
      </c>
      <c r="E39" s="23">
        <f>Electric!M17*400</f>
        <v>17400</v>
      </c>
      <c r="F39" s="21">
        <v>0.16748660878380847</v>
      </c>
      <c r="G39" s="23">
        <f>Gas!I14</f>
        <v>458</v>
      </c>
      <c r="H39" s="21">
        <v>0.99</v>
      </c>
      <c r="I39" s="23">
        <f>Water!I14</f>
        <v>147</v>
      </c>
      <c r="J39" s="22">
        <v>2.35</v>
      </c>
      <c r="K39" s="23">
        <v>89</v>
      </c>
      <c r="L39" s="23">
        <v>157</v>
      </c>
    </row>
    <row r="40" spans="1:12" x14ac:dyDescent="0.25">
      <c r="A40" s="18" t="s">
        <v>12</v>
      </c>
      <c r="B40" s="17">
        <v>8</v>
      </c>
      <c r="C40" s="19">
        <v>2</v>
      </c>
      <c r="D40" s="19">
        <v>2021</v>
      </c>
      <c r="E40" s="23">
        <f>Electric!M18*400</f>
        <v>16400</v>
      </c>
      <c r="F40" s="21">
        <v>0.16748660878380847</v>
      </c>
      <c r="G40" s="23">
        <f>Gas!I15</f>
        <v>454</v>
      </c>
      <c r="H40" s="21">
        <v>0.99</v>
      </c>
      <c r="I40" s="23">
        <f>Water!I15</f>
        <v>143</v>
      </c>
      <c r="J40" s="22">
        <v>2.35</v>
      </c>
      <c r="K40" s="23">
        <v>63</v>
      </c>
      <c r="L40" s="23">
        <v>94</v>
      </c>
    </row>
    <row r="41" spans="1:12" x14ac:dyDescent="0.25">
      <c r="A41" s="18" t="s">
        <v>12</v>
      </c>
      <c r="B41" s="17">
        <v>9</v>
      </c>
      <c r="C41" s="19">
        <v>2</v>
      </c>
      <c r="D41" s="19">
        <v>2021</v>
      </c>
      <c r="E41" s="23">
        <f>Electric!M19*400</f>
        <v>13040.000000000146</v>
      </c>
      <c r="F41" s="21">
        <v>0.16748660878380847</v>
      </c>
      <c r="G41" s="23">
        <f>Gas!I16</f>
        <v>371</v>
      </c>
      <c r="H41" s="21">
        <v>0.99</v>
      </c>
      <c r="I41" s="23">
        <f>Water!I16</f>
        <v>108</v>
      </c>
      <c r="J41" s="22">
        <v>2.35</v>
      </c>
      <c r="K41" s="23">
        <v>109</v>
      </c>
      <c r="L41" s="23">
        <v>162</v>
      </c>
    </row>
    <row r="42" spans="1:12" x14ac:dyDescent="0.25">
      <c r="A42" s="18" t="s">
        <v>12</v>
      </c>
      <c r="B42" s="17">
        <v>10</v>
      </c>
      <c r="C42" s="19">
        <v>2</v>
      </c>
      <c r="D42" s="19">
        <v>2021</v>
      </c>
      <c r="E42" s="23">
        <f>Electric!M20*400</f>
        <v>18000</v>
      </c>
      <c r="F42" s="21">
        <v>0.16748660878380847</v>
      </c>
      <c r="G42" s="23">
        <f>Gas!I17</f>
        <v>489</v>
      </c>
      <c r="H42" s="21">
        <v>0.99</v>
      </c>
      <c r="I42" s="23">
        <f>Water!I17</f>
        <v>154</v>
      </c>
      <c r="J42" s="22">
        <v>2.35</v>
      </c>
      <c r="K42" s="23">
        <v>123</v>
      </c>
      <c r="L42" s="23">
        <v>167</v>
      </c>
    </row>
    <row r="43" spans="1:12" x14ac:dyDescent="0.25">
      <c r="A43" s="18" t="s">
        <v>12</v>
      </c>
      <c r="B43" s="17">
        <v>11</v>
      </c>
      <c r="C43" s="19">
        <v>2</v>
      </c>
      <c r="D43" s="19">
        <v>2021</v>
      </c>
      <c r="E43" s="23">
        <f>Electric!M21*400</f>
        <v>18119.999999999709</v>
      </c>
      <c r="F43" s="21">
        <v>0.16748660878380847</v>
      </c>
      <c r="G43" s="23">
        <f>Gas!I18</f>
        <v>476</v>
      </c>
      <c r="H43" s="21">
        <v>0.99</v>
      </c>
      <c r="I43" s="23">
        <f>Water!I18</f>
        <v>88</v>
      </c>
      <c r="J43" s="22">
        <v>2.35</v>
      </c>
      <c r="K43" s="23">
        <v>139</v>
      </c>
      <c r="L43" s="23">
        <v>233</v>
      </c>
    </row>
    <row r="44" spans="1:12" x14ac:dyDescent="0.25">
      <c r="A44" s="18" t="s">
        <v>12</v>
      </c>
      <c r="B44" s="17">
        <v>12</v>
      </c>
      <c r="C44" s="19">
        <v>2</v>
      </c>
      <c r="D44" s="19">
        <v>2021</v>
      </c>
      <c r="E44" s="23">
        <f>Electric!M22*400</f>
        <v>14720.000000000437</v>
      </c>
      <c r="F44" s="21">
        <v>0.16700000000000001</v>
      </c>
      <c r="G44" s="23">
        <f>Gas!I19</f>
        <v>367</v>
      </c>
      <c r="H44" s="21">
        <v>0.99</v>
      </c>
      <c r="I44" s="23">
        <f>Water!I19</f>
        <v>154</v>
      </c>
      <c r="J44" s="22">
        <v>2.35</v>
      </c>
      <c r="K44" s="23">
        <v>293</v>
      </c>
      <c r="L44" s="23">
        <v>566</v>
      </c>
    </row>
    <row r="45" spans="1:12" x14ac:dyDescent="0.25">
      <c r="A45" s="18" t="s">
        <v>12</v>
      </c>
      <c r="B45" s="17">
        <v>13</v>
      </c>
      <c r="C45" s="19">
        <v>2</v>
      </c>
      <c r="D45" s="19">
        <v>2021</v>
      </c>
      <c r="E45" s="23">
        <f>Electric!M23*400</f>
        <v>19919.999999999709</v>
      </c>
      <c r="F45" s="21">
        <v>0.16700000000000001</v>
      </c>
      <c r="G45" s="23">
        <f>Gas!I20</f>
        <v>495</v>
      </c>
      <c r="H45" s="21">
        <v>0.99</v>
      </c>
      <c r="I45" s="23">
        <f>Water!I20</f>
        <v>230</v>
      </c>
      <c r="J45" s="22">
        <v>2.35</v>
      </c>
      <c r="K45" s="23">
        <v>483</v>
      </c>
      <c r="L45" s="23">
        <v>944</v>
      </c>
    </row>
    <row r="46" spans="1:12" x14ac:dyDescent="0.25">
      <c r="A46" s="18" t="s">
        <v>12</v>
      </c>
      <c r="B46" s="17">
        <v>14</v>
      </c>
      <c r="C46" s="19">
        <v>2</v>
      </c>
      <c r="D46" s="19">
        <v>2021</v>
      </c>
      <c r="E46" s="23">
        <f>Electric!M24*400</f>
        <v>17639.999999999418</v>
      </c>
      <c r="F46" s="21">
        <v>0.16748660878380847</v>
      </c>
      <c r="G46" s="23">
        <f>Gas!I21</f>
        <v>492</v>
      </c>
      <c r="H46" s="21">
        <v>0.99</v>
      </c>
      <c r="I46" s="23">
        <f>Water!I21</f>
        <v>212</v>
      </c>
      <c r="J46" s="22">
        <v>2.35</v>
      </c>
      <c r="K46" s="23">
        <v>311</v>
      </c>
      <c r="L46" s="23">
        <v>597</v>
      </c>
    </row>
    <row r="47" spans="1:12" x14ac:dyDescent="0.25">
      <c r="A47" s="18" t="s">
        <v>12</v>
      </c>
      <c r="B47" s="17">
        <v>15</v>
      </c>
      <c r="C47" s="19">
        <v>2</v>
      </c>
      <c r="D47" s="19">
        <v>2021</v>
      </c>
      <c r="E47" s="23">
        <f>Electric!M25*400</f>
        <v>18360.000000000582</v>
      </c>
      <c r="F47" s="21">
        <v>0.16748660878380847</v>
      </c>
      <c r="G47" s="23">
        <f>Gas!I22</f>
        <v>482</v>
      </c>
      <c r="H47" s="21">
        <v>0.99</v>
      </c>
      <c r="I47" s="23">
        <f>Water!I22</f>
        <v>188</v>
      </c>
      <c r="J47" s="22">
        <v>2.35</v>
      </c>
      <c r="K47" s="23">
        <v>129</v>
      </c>
      <c r="L47" s="23">
        <v>221</v>
      </c>
    </row>
    <row r="48" spans="1:12" x14ac:dyDescent="0.25">
      <c r="A48" s="18" t="s">
        <v>12</v>
      </c>
      <c r="B48" s="17">
        <v>16</v>
      </c>
      <c r="C48" s="19">
        <v>2</v>
      </c>
      <c r="D48" s="19">
        <v>2021</v>
      </c>
      <c r="E48" s="23">
        <f>Electric!M26*400</f>
        <v>13919.999999999709</v>
      </c>
      <c r="F48" s="21">
        <v>0.16748660878380847</v>
      </c>
      <c r="G48" s="23">
        <f>Gas!I23</f>
        <v>343</v>
      </c>
      <c r="H48" s="21">
        <v>0.99</v>
      </c>
      <c r="I48" s="23">
        <f>Water!I23</f>
        <v>118</v>
      </c>
      <c r="J48" s="22">
        <v>2.35</v>
      </c>
      <c r="K48" s="23">
        <v>132</v>
      </c>
      <c r="L48" s="23">
        <v>210</v>
      </c>
    </row>
    <row r="49" spans="1:12" x14ac:dyDescent="0.25">
      <c r="A49" s="18" t="s">
        <v>12</v>
      </c>
      <c r="B49" s="17">
        <v>17</v>
      </c>
      <c r="C49" s="19">
        <v>2</v>
      </c>
      <c r="D49" s="19">
        <v>2021</v>
      </c>
      <c r="E49" s="23">
        <f>Electric!M27*400</f>
        <v>16240.000000000146</v>
      </c>
      <c r="F49" s="21">
        <v>0.16748660878380847</v>
      </c>
      <c r="G49" s="23">
        <f>Gas!I24</f>
        <v>404</v>
      </c>
      <c r="H49" s="21">
        <v>0.99</v>
      </c>
      <c r="I49" s="23">
        <f>Water!I24</f>
        <v>134</v>
      </c>
      <c r="J49" s="22">
        <v>2.35</v>
      </c>
      <c r="K49" s="23">
        <v>127</v>
      </c>
      <c r="L49" s="23">
        <v>193</v>
      </c>
    </row>
    <row r="50" spans="1:12" x14ac:dyDescent="0.25">
      <c r="A50" s="18" t="s">
        <v>12</v>
      </c>
      <c r="B50" s="17">
        <v>18</v>
      </c>
      <c r="C50" s="19">
        <v>2</v>
      </c>
      <c r="D50" s="19">
        <v>2021</v>
      </c>
      <c r="E50" s="23">
        <f>Electric!M28*400</f>
        <v>19000</v>
      </c>
      <c r="F50" s="21">
        <v>0.16748660878380847</v>
      </c>
      <c r="G50" s="23">
        <f>Gas!I25</f>
        <v>465</v>
      </c>
      <c r="H50" s="21">
        <v>0.99</v>
      </c>
      <c r="I50" s="23">
        <f>Water!I25</f>
        <v>170</v>
      </c>
      <c r="J50" s="22">
        <v>2.35</v>
      </c>
      <c r="K50" s="23">
        <v>163</v>
      </c>
      <c r="L50" s="23">
        <v>249</v>
      </c>
    </row>
    <row r="51" spans="1:12" x14ac:dyDescent="0.25">
      <c r="A51" s="18" t="s">
        <v>12</v>
      </c>
      <c r="B51" s="17">
        <v>19</v>
      </c>
      <c r="C51" s="19">
        <v>2</v>
      </c>
      <c r="D51" s="19">
        <v>2021</v>
      </c>
      <c r="E51" s="23">
        <f>Electric!M29*400</f>
        <v>17159.999999999854</v>
      </c>
      <c r="F51" s="21">
        <v>0.16748660878380847</v>
      </c>
      <c r="G51" s="23">
        <f>Gas!I26</f>
        <v>409</v>
      </c>
      <c r="H51" s="21">
        <v>0.99</v>
      </c>
      <c r="I51" s="23">
        <f>Water!I26</f>
        <v>167</v>
      </c>
      <c r="J51" s="22">
        <v>2.35</v>
      </c>
      <c r="K51" s="23">
        <v>317</v>
      </c>
      <c r="L51" s="23">
        <v>588</v>
      </c>
    </row>
    <row r="52" spans="1:12" x14ac:dyDescent="0.25">
      <c r="A52" s="18" t="s">
        <v>12</v>
      </c>
      <c r="B52" s="17">
        <v>20</v>
      </c>
      <c r="C52" s="19">
        <v>2</v>
      </c>
      <c r="D52" s="19">
        <v>2021</v>
      </c>
      <c r="E52" s="23">
        <f>Electric!M30*400</f>
        <v>19680.000000000291</v>
      </c>
      <c r="F52" s="21">
        <v>0.16748660878380847</v>
      </c>
      <c r="G52" s="23">
        <f>Gas!I27</f>
        <v>482</v>
      </c>
      <c r="H52" s="21">
        <v>0.99</v>
      </c>
      <c r="I52" s="23">
        <f>Water!I27</f>
        <v>215</v>
      </c>
      <c r="J52" s="22">
        <v>2.35</v>
      </c>
      <c r="K52" s="23">
        <v>507</v>
      </c>
      <c r="L52" s="23">
        <v>981</v>
      </c>
    </row>
    <row r="53" spans="1:12" x14ac:dyDescent="0.25">
      <c r="A53" s="18" t="s">
        <v>12</v>
      </c>
      <c r="B53" s="17">
        <v>21</v>
      </c>
      <c r="C53" s="19">
        <v>2</v>
      </c>
      <c r="D53" s="19">
        <v>2021</v>
      </c>
      <c r="E53" s="23">
        <f>Electric!M31*400</f>
        <v>18080.000000000291</v>
      </c>
      <c r="F53" s="21">
        <v>0.16748660878380847</v>
      </c>
      <c r="G53" s="23">
        <f>Gas!I28</f>
        <v>450</v>
      </c>
      <c r="H53" s="21">
        <v>0.99</v>
      </c>
      <c r="I53" s="23">
        <f>Water!I28</f>
        <v>199</v>
      </c>
      <c r="J53" s="22">
        <v>2.35</v>
      </c>
      <c r="K53" s="23">
        <v>156</v>
      </c>
      <c r="L53" s="23">
        <v>267</v>
      </c>
    </row>
    <row r="54" spans="1:12" x14ac:dyDescent="0.25">
      <c r="A54" s="18" t="s">
        <v>12</v>
      </c>
      <c r="B54" s="17">
        <v>22</v>
      </c>
      <c r="C54" s="19">
        <v>2</v>
      </c>
      <c r="D54" s="19">
        <v>2021</v>
      </c>
      <c r="E54" s="23">
        <f>Electric!M32*400</f>
        <v>15839.999999999418</v>
      </c>
      <c r="F54" s="21">
        <v>0.16748660878380847</v>
      </c>
      <c r="G54" s="23">
        <f>Gas!I29</f>
        <v>351</v>
      </c>
      <c r="H54" s="21">
        <v>0.99</v>
      </c>
      <c r="I54" s="23">
        <f>Water!I29</f>
        <v>145</v>
      </c>
      <c r="J54" s="22">
        <v>2.35</v>
      </c>
      <c r="K54" s="23">
        <v>134</v>
      </c>
      <c r="L54" s="23">
        <v>201</v>
      </c>
    </row>
    <row r="55" spans="1:12" x14ac:dyDescent="0.25">
      <c r="A55" s="18" t="s">
        <v>12</v>
      </c>
      <c r="B55" s="17">
        <v>23</v>
      </c>
      <c r="C55" s="19">
        <v>2</v>
      </c>
      <c r="D55" s="19">
        <v>2021</v>
      </c>
      <c r="E55" s="23">
        <f>Electric!M33*400</f>
        <v>8480.000000000291</v>
      </c>
      <c r="F55" s="21">
        <v>0.16748660878380847</v>
      </c>
      <c r="G55" s="23">
        <f>Gas!I30</f>
        <v>414</v>
      </c>
      <c r="H55" s="21">
        <v>0.99</v>
      </c>
      <c r="I55" s="23">
        <f>Water!I30</f>
        <v>125</v>
      </c>
      <c r="J55" s="22">
        <v>2.35</v>
      </c>
      <c r="K55" s="23">
        <v>190</v>
      </c>
      <c r="L55" s="23">
        <v>267</v>
      </c>
    </row>
    <row r="56" spans="1:12" x14ac:dyDescent="0.25">
      <c r="A56" s="18" t="s">
        <v>12</v>
      </c>
      <c r="B56" s="17">
        <v>24</v>
      </c>
      <c r="C56" s="19">
        <v>2</v>
      </c>
      <c r="D56" s="19">
        <v>2021</v>
      </c>
      <c r="E56" s="23">
        <f>Electric!M34*400</f>
        <v>24319.999999999709</v>
      </c>
      <c r="F56" s="21">
        <v>0.16748660878380847</v>
      </c>
      <c r="G56" s="23">
        <f>Gas!I31</f>
        <v>423</v>
      </c>
      <c r="H56" s="21">
        <v>0.99</v>
      </c>
      <c r="I56" s="23">
        <f>Water!I31</f>
        <v>132</v>
      </c>
      <c r="J56" s="22">
        <v>2.35</v>
      </c>
      <c r="K56" s="23">
        <v>216</v>
      </c>
      <c r="L56" s="23">
        <v>312</v>
      </c>
    </row>
    <row r="57" spans="1:12" x14ac:dyDescent="0.25">
      <c r="A57" s="18" t="s">
        <v>12</v>
      </c>
      <c r="B57" s="17">
        <v>25</v>
      </c>
      <c r="C57" s="19">
        <v>2</v>
      </c>
      <c r="D57" s="19">
        <v>2021</v>
      </c>
      <c r="E57" s="23">
        <f>Electric!M35*400</f>
        <v>17080.000000000291</v>
      </c>
      <c r="F57" s="21">
        <v>0.16700000000000001</v>
      </c>
      <c r="G57" s="23">
        <f>Gas!I32</f>
        <v>409</v>
      </c>
      <c r="H57" s="21">
        <v>0.99</v>
      </c>
      <c r="I57" s="23">
        <f>Water!I32</f>
        <v>153</v>
      </c>
      <c r="J57" s="22">
        <v>2.35</v>
      </c>
      <c r="K57" s="23">
        <v>209</v>
      </c>
      <c r="L57" s="23">
        <v>329</v>
      </c>
    </row>
    <row r="58" spans="1:12" x14ac:dyDescent="0.25">
      <c r="A58" s="18" t="s">
        <v>12</v>
      </c>
      <c r="B58" s="17">
        <v>26</v>
      </c>
      <c r="C58" s="19">
        <v>2</v>
      </c>
      <c r="D58" s="19">
        <v>2021</v>
      </c>
      <c r="E58" s="23">
        <f>Electric!M36*400</f>
        <v>21000</v>
      </c>
      <c r="F58" s="21">
        <v>0.16700000000000001</v>
      </c>
      <c r="G58" s="23">
        <f>Gas!I33</f>
        <v>542</v>
      </c>
      <c r="H58" s="21">
        <v>0.99</v>
      </c>
      <c r="I58" s="23">
        <f>Water!I33</f>
        <v>159</v>
      </c>
      <c r="J58" s="22">
        <v>2.35</v>
      </c>
      <c r="K58" s="23">
        <v>340</v>
      </c>
      <c r="L58" s="23">
        <v>631</v>
      </c>
    </row>
    <row r="59" spans="1:12" x14ac:dyDescent="0.25">
      <c r="A59" s="18" t="s">
        <v>12</v>
      </c>
      <c r="B59" s="17">
        <v>27</v>
      </c>
      <c r="C59" s="19">
        <v>2</v>
      </c>
      <c r="D59" s="19">
        <v>2021</v>
      </c>
      <c r="E59" s="23">
        <f>Electric!M37*400</f>
        <v>14880.000000000291</v>
      </c>
      <c r="F59" s="21">
        <v>0.16700000000000001</v>
      </c>
      <c r="G59" s="23">
        <f>Gas!I34</f>
        <v>414</v>
      </c>
      <c r="H59" s="21">
        <v>0.99</v>
      </c>
      <c r="I59" s="23">
        <f>Water!I34</f>
        <v>177</v>
      </c>
      <c r="J59" s="22">
        <v>2.35</v>
      </c>
      <c r="K59" s="23">
        <v>495</v>
      </c>
      <c r="L59" s="23">
        <v>952</v>
      </c>
    </row>
    <row r="60" spans="1:12" x14ac:dyDescent="0.25">
      <c r="A60" s="18" t="s">
        <v>12</v>
      </c>
      <c r="B60" s="17">
        <v>28</v>
      </c>
      <c r="C60" s="19">
        <v>2</v>
      </c>
      <c r="D60" s="19">
        <v>2021</v>
      </c>
      <c r="E60" s="23">
        <f>Electric!M38*400</f>
        <v>16919.999999999709</v>
      </c>
      <c r="F60" s="21">
        <v>0.16700000000000001</v>
      </c>
      <c r="G60" s="23">
        <f>Gas!I35</f>
        <v>432</v>
      </c>
      <c r="H60" s="21">
        <v>0.99</v>
      </c>
      <c r="I60" s="23">
        <f>Water!I35</f>
        <v>191</v>
      </c>
      <c r="J60" s="22">
        <v>2.35</v>
      </c>
      <c r="K60" s="23">
        <v>146</v>
      </c>
      <c r="L60" s="23">
        <v>256</v>
      </c>
    </row>
    <row r="61" spans="1:12" x14ac:dyDescent="0.25">
      <c r="A61" s="18" t="s">
        <v>12</v>
      </c>
      <c r="B61" s="17">
        <v>1</v>
      </c>
      <c r="C61" s="19">
        <v>3</v>
      </c>
      <c r="D61" s="19">
        <v>2021</v>
      </c>
      <c r="E61" s="23">
        <f>Electric!R11*400</f>
        <v>19519.999999999709</v>
      </c>
      <c r="F61" s="21">
        <v>0.16748660878380847</v>
      </c>
      <c r="G61" s="23">
        <f>Gas!L8</f>
        <v>443</v>
      </c>
      <c r="H61" s="21">
        <v>0.99</v>
      </c>
      <c r="I61" s="23">
        <f>Water!L8</f>
        <v>177</v>
      </c>
      <c r="J61" s="22">
        <v>2.35</v>
      </c>
      <c r="K61" s="23">
        <v>181</v>
      </c>
      <c r="L61" s="23">
        <v>263</v>
      </c>
    </row>
    <row r="62" spans="1:12" x14ac:dyDescent="0.25">
      <c r="A62" s="18" t="s">
        <v>12</v>
      </c>
      <c r="B62" s="17">
        <v>2</v>
      </c>
      <c r="C62" s="19">
        <v>3</v>
      </c>
      <c r="D62" s="19">
        <v>2021</v>
      </c>
      <c r="E62" s="23">
        <f>Electric!R12*400</f>
        <v>15880.000000000291</v>
      </c>
      <c r="F62" s="21">
        <v>0.16748660878380847</v>
      </c>
      <c r="G62" s="23">
        <f>Gas!L9</f>
        <v>416</v>
      </c>
      <c r="H62" s="21">
        <v>0.99</v>
      </c>
      <c r="I62" s="23">
        <f>Water!L9</f>
        <v>112</v>
      </c>
      <c r="J62" s="22">
        <v>2.35</v>
      </c>
      <c r="K62" s="23">
        <v>200</v>
      </c>
      <c r="L62" s="23">
        <v>278</v>
      </c>
    </row>
    <row r="63" spans="1:12" x14ac:dyDescent="0.25">
      <c r="A63" s="18" t="s">
        <v>12</v>
      </c>
      <c r="B63" s="17">
        <v>3</v>
      </c>
      <c r="C63" s="19">
        <v>3</v>
      </c>
      <c r="D63" s="19">
        <v>2021</v>
      </c>
      <c r="E63" s="23">
        <f>Electric!R13*400</f>
        <v>17759.999999999854</v>
      </c>
      <c r="F63" s="21">
        <v>0.16748660878380847</v>
      </c>
      <c r="G63" s="23">
        <f>Gas!L10</f>
        <v>473</v>
      </c>
      <c r="H63" s="21">
        <v>0.99</v>
      </c>
      <c r="I63" s="23">
        <f>Water!L10</f>
        <v>161</v>
      </c>
      <c r="J63" s="22">
        <v>2.35</v>
      </c>
      <c r="K63" s="23">
        <v>238</v>
      </c>
      <c r="L63" s="23">
        <v>336</v>
      </c>
    </row>
    <row r="64" spans="1:12" x14ac:dyDescent="0.25">
      <c r="A64" s="18" t="s">
        <v>12</v>
      </c>
      <c r="B64" s="17">
        <v>4</v>
      </c>
      <c r="C64" s="19">
        <v>3</v>
      </c>
      <c r="D64" s="19">
        <v>2021</v>
      </c>
      <c r="E64" s="23">
        <f>Electric!R14*400</f>
        <v>12880.000000000291</v>
      </c>
      <c r="F64" s="21">
        <v>0.16748660878380847</v>
      </c>
      <c r="G64" s="23">
        <f>Gas!L11</f>
        <v>339</v>
      </c>
      <c r="H64" s="21">
        <v>0.99</v>
      </c>
      <c r="I64" s="23">
        <f>Water!L11</f>
        <v>158</v>
      </c>
      <c r="J64" s="22">
        <v>2.35</v>
      </c>
      <c r="K64" s="23">
        <v>249</v>
      </c>
      <c r="L64" s="23">
        <v>371</v>
      </c>
    </row>
    <row r="65" spans="1:12" x14ac:dyDescent="0.25">
      <c r="A65" s="18" t="s">
        <v>12</v>
      </c>
      <c r="B65" s="17">
        <v>5</v>
      </c>
      <c r="C65" s="19">
        <v>3</v>
      </c>
      <c r="D65" s="19">
        <v>2021</v>
      </c>
      <c r="E65" s="23">
        <f>Electric!R15*400</f>
        <v>16240.000000000146</v>
      </c>
      <c r="F65" s="21">
        <v>0.16748660878380847</v>
      </c>
      <c r="G65" s="23">
        <f>Gas!L12</f>
        <v>432</v>
      </c>
      <c r="H65" s="21">
        <v>0.99</v>
      </c>
      <c r="I65" s="23">
        <f>Water!L12</f>
        <v>154</v>
      </c>
      <c r="J65" s="22">
        <v>2.35</v>
      </c>
      <c r="K65" s="23">
        <v>349</v>
      </c>
      <c r="L65" s="23">
        <v>660</v>
      </c>
    </row>
    <row r="66" spans="1:12" x14ac:dyDescent="0.25">
      <c r="A66" s="18" t="s">
        <v>12</v>
      </c>
      <c r="B66" s="17">
        <v>6</v>
      </c>
      <c r="C66" s="19">
        <v>3</v>
      </c>
      <c r="D66" s="19">
        <v>2021</v>
      </c>
      <c r="E66" s="23">
        <f>Electric!R16*400</f>
        <v>16800</v>
      </c>
      <c r="F66" s="21">
        <v>0.16700000000000001</v>
      </c>
      <c r="G66" s="23">
        <f>Gas!L13</f>
        <v>464</v>
      </c>
      <c r="H66" s="21">
        <v>0.99</v>
      </c>
      <c r="I66" s="23">
        <f>Water!L13</f>
        <v>163</v>
      </c>
      <c r="J66" s="22">
        <v>2.35</v>
      </c>
      <c r="K66" s="23">
        <v>498</v>
      </c>
      <c r="L66" s="23">
        <v>991</v>
      </c>
    </row>
    <row r="67" spans="1:12" x14ac:dyDescent="0.25">
      <c r="A67" s="18" t="s">
        <v>12</v>
      </c>
      <c r="B67" s="17">
        <v>7</v>
      </c>
      <c r="C67" s="19">
        <v>3</v>
      </c>
      <c r="D67" s="19">
        <v>2021</v>
      </c>
      <c r="E67" s="23">
        <f>Electric!R17*400</f>
        <v>16559.999999999854</v>
      </c>
      <c r="F67" s="21">
        <v>0.16700000000000001</v>
      </c>
      <c r="G67" s="23">
        <f>Gas!L14</f>
        <v>454</v>
      </c>
      <c r="H67" s="21">
        <v>0.99</v>
      </c>
      <c r="I67" s="23">
        <f>Water!L14</f>
        <v>185</v>
      </c>
      <c r="J67" s="22">
        <v>2.35</v>
      </c>
      <c r="K67" s="23">
        <v>258</v>
      </c>
      <c r="L67" s="23">
        <v>478</v>
      </c>
    </row>
    <row r="68" spans="1:12" x14ac:dyDescent="0.25">
      <c r="A68" s="18" t="s">
        <v>12</v>
      </c>
      <c r="B68" s="17">
        <v>8</v>
      </c>
      <c r="C68" s="19">
        <v>3</v>
      </c>
      <c r="D68" s="19">
        <v>2021</v>
      </c>
      <c r="E68" s="23">
        <f>Electric!R18*400</f>
        <v>17200</v>
      </c>
      <c r="F68" s="21">
        <v>0.16700000000000001</v>
      </c>
      <c r="G68" s="23">
        <f>Gas!L15</f>
        <v>426</v>
      </c>
      <c r="H68" s="21">
        <v>0.99</v>
      </c>
      <c r="I68" s="23">
        <f>Water!L15</f>
        <v>182</v>
      </c>
      <c r="J68" s="22">
        <v>2.35</v>
      </c>
      <c r="K68" s="23">
        <v>182</v>
      </c>
      <c r="L68" s="23">
        <v>287</v>
      </c>
    </row>
    <row r="69" spans="1:12" x14ac:dyDescent="0.25">
      <c r="A69" s="18" t="s">
        <v>12</v>
      </c>
      <c r="B69" s="17">
        <v>9</v>
      </c>
      <c r="C69" s="19">
        <v>3</v>
      </c>
      <c r="D69" s="19">
        <v>2021</v>
      </c>
      <c r="E69" s="23">
        <f>Electric!R19*400</f>
        <v>17679.999999999563</v>
      </c>
      <c r="F69" s="21">
        <v>0.16700000000000001</v>
      </c>
      <c r="G69" s="23">
        <f>Gas!L16</f>
        <v>424</v>
      </c>
      <c r="H69" s="21">
        <v>0.99</v>
      </c>
      <c r="I69" s="23">
        <f>Water!L16</f>
        <v>138</v>
      </c>
      <c r="J69" s="22">
        <v>2.35</v>
      </c>
      <c r="K69" s="23">
        <v>209</v>
      </c>
      <c r="L69" s="23">
        <v>290</v>
      </c>
    </row>
    <row r="70" spans="1:12" x14ac:dyDescent="0.25">
      <c r="A70" s="18" t="s">
        <v>12</v>
      </c>
      <c r="B70" s="17">
        <v>10</v>
      </c>
      <c r="C70" s="19">
        <v>3</v>
      </c>
      <c r="D70" s="19">
        <v>2021</v>
      </c>
      <c r="E70" s="23">
        <f>Electric!R20*400</f>
        <v>16640.000000000146</v>
      </c>
      <c r="G70" s="23">
        <f>Gas!L17</f>
        <v>411</v>
      </c>
      <c r="I70" s="23">
        <f>Water!L17</f>
        <v>150</v>
      </c>
    </row>
    <row r="71" spans="1:12" x14ac:dyDescent="0.25">
      <c r="A71" s="18" t="s">
        <v>12</v>
      </c>
      <c r="B71" s="17">
        <v>11</v>
      </c>
      <c r="C71" s="19">
        <v>3</v>
      </c>
      <c r="D71" s="19">
        <v>2021</v>
      </c>
      <c r="E71" s="23">
        <f>Electric!R21*400</f>
        <v>18159.999999999854</v>
      </c>
      <c r="G71" s="23">
        <f>Gas!L18</f>
        <v>460</v>
      </c>
      <c r="I71" s="23">
        <f>Water!L18</f>
        <v>157</v>
      </c>
    </row>
    <row r="72" spans="1:12" x14ac:dyDescent="0.25">
      <c r="A72" s="18" t="s">
        <v>12</v>
      </c>
      <c r="B72" s="17">
        <v>12</v>
      </c>
      <c r="C72" s="19">
        <v>3</v>
      </c>
      <c r="D72" s="19">
        <v>2021</v>
      </c>
      <c r="E72" s="23">
        <f>Electric!R22*400</f>
        <v>18360.000000000582</v>
      </c>
      <c r="G72" s="23">
        <f>Gas!L19</f>
        <v>466</v>
      </c>
      <c r="I72" s="23">
        <f>Water!L19</f>
        <v>166</v>
      </c>
    </row>
    <row r="73" spans="1:12" x14ac:dyDescent="0.25">
      <c r="A73" s="18" t="s">
        <v>12</v>
      </c>
      <c r="B73" s="17">
        <v>13</v>
      </c>
      <c r="C73" s="19">
        <v>3</v>
      </c>
      <c r="D73" s="19">
        <v>2021</v>
      </c>
      <c r="E73" s="23">
        <f>Electric!R23*400</f>
        <v>17839.999999999418</v>
      </c>
      <c r="G73" s="23">
        <f>Gas!L20</f>
        <v>444</v>
      </c>
      <c r="I73" s="23">
        <f>Water!L20</f>
        <v>209</v>
      </c>
    </row>
    <row r="74" spans="1:12" x14ac:dyDescent="0.25">
      <c r="A74" s="18" t="s">
        <v>12</v>
      </c>
      <c r="B74" s="17">
        <v>14</v>
      </c>
      <c r="C74" s="19">
        <v>3</v>
      </c>
      <c r="D74" s="19">
        <v>2021</v>
      </c>
      <c r="E74" s="23">
        <f>Electric!R24*400</f>
        <v>18240.000000000146</v>
      </c>
      <c r="G74" s="23">
        <f>Gas!L21</f>
        <v>527</v>
      </c>
      <c r="I74" s="23">
        <f>Water!L21</f>
        <v>189</v>
      </c>
    </row>
    <row r="75" spans="1:12" x14ac:dyDescent="0.25">
      <c r="A75" s="18" t="s">
        <v>12</v>
      </c>
      <c r="B75" s="17">
        <v>15</v>
      </c>
      <c r="C75" s="19">
        <v>3</v>
      </c>
      <c r="D75" s="19">
        <v>2021</v>
      </c>
      <c r="E75" s="23">
        <f>Electric!R25*400</f>
        <v>15159.999999999854</v>
      </c>
      <c r="G75" s="23">
        <f>Gas!L22</f>
        <v>514</v>
      </c>
      <c r="I75" s="23">
        <f>Water!L22</f>
        <v>129</v>
      </c>
    </row>
    <row r="76" spans="1:12" x14ac:dyDescent="0.25">
      <c r="A76" s="18" t="s">
        <v>12</v>
      </c>
      <c r="B76" s="17">
        <v>16</v>
      </c>
      <c r="C76" s="19">
        <v>3</v>
      </c>
      <c r="D76" s="19">
        <v>2021</v>
      </c>
      <c r="E76" s="23">
        <f>Electric!R26*400</f>
        <v>14720.000000000437</v>
      </c>
      <c r="G76" s="23">
        <f>Gas!L23</f>
        <v>427</v>
      </c>
      <c r="I76" s="23">
        <f>Water!L23</f>
        <v>118</v>
      </c>
    </row>
    <row r="77" spans="1:12" x14ac:dyDescent="0.25">
      <c r="A77" s="18" t="s">
        <v>12</v>
      </c>
      <c r="B77" s="17">
        <v>17</v>
      </c>
      <c r="C77" s="19">
        <v>3</v>
      </c>
      <c r="D77" s="19">
        <v>2021</v>
      </c>
      <c r="E77" s="23">
        <f>Electric!R27*400</f>
        <v>15120.000000000437</v>
      </c>
      <c r="G77" s="23">
        <f>Gas!L24</f>
        <v>419</v>
      </c>
      <c r="I77" s="23">
        <f>Water!L24</f>
        <v>115</v>
      </c>
    </row>
    <row r="78" spans="1:12" x14ac:dyDescent="0.25">
      <c r="A78" s="18" t="s">
        <v>12</v>
      </c>
      <c r="B78" s="17">
        <v>18</v>
      </c>
      <c r="C78" s="19">
        <v>3</v>
      </c>
      <c r="D78" s="19">
        <v>2021</v>
      </c>
      <c r="E78" s="23">
        <f>Electric!R28*400</f>
        <v>16199.999999999272</v>
      </c>
      <c r="G78" s="23">
        <f>Gas!L25</f>
        <v>445</v>
      </c>
      <c r="I78" s="23">
        <f>Water!L25</f>
        <v>124</v>
      </c>
    </row>
    <row r="79" spans="1:12" x14ac:dyDescent="0.25">
      <c r="A79" s="18" t="s">
        <v>12</v>
      </c>
      <c r="B79" s="17">
        <v>19</v>
      </c>
      <c r="C79" s="19">
        <v>3</v>
      </c>
      <c r="D79" s="19">
        <v>2021</v>
      </c>
      <c r="E79" s="23">
        <f>Electric!R29*400</f>
        <v>17200</v>
      </c>
      <c r="G79" s="23">
        <f>Gas!L26</f>
        <v>481</v>
      </c>
      <c r="I79" s="23">
        <f>Water!L26</f>
        <v>175</v>
      </c>
    </row>
    <row r="80" spans="1:12" x14ac:dyDescent="0.25">
      <c r="A80" s="18" t="s">
        <v>12</v>
      </c>
      <c r="B80" s="17">
        <v>20</v>
      </c>
      <c r="C80" s="19">
        <v>3</v>
      </c>
      <c r="D80" s="19">
        <v>2021</v>
      </c>
      <c r="E80" s="23">
        <f>Electric!R30*400</f>
        <v>14520.000000000437</v>
      </c>
      <c r="G80" s="23">
        <f>Gas!L27</f>
        <v>446</v>
      </c>
      <c r="I80" s="23">
        <f>Water!L27</f>
        <v>183</v>
      </c>
    </row>
    <row r="81" spans="1:9" x14ac:dyDescent="0.25">
      <c r="A81" s="18" t="s">
        <v>12</v>
      </c>
      <c r="B81" s="17">
        <v>21</v>
      </c>
      <c r="C81" s="19">
        <v>3</v>
      </c>
      <c r="D81" s="19">
        <v>2021</v>
      </c>
      <c r="E81" s="23">
        <f>Electric!R31*400</f>
        <v>18079.999999999563</v>
      </c>
      <c r="G81" s="23">
        <f>Gas!L28</f>
        <v>488</v>
      </c>
      <c r="I81" s="23">
        <f>Water!L28</f>
        <v>181</v>
      </c>
    </row>
    <row r="82" spans="1:9" x14ac:dyDescent="0.25">
      <c r="A82" s="18" t="s">
        <v>12</v>
      </c>
      <c r="B82" s="17">
        <v>22</v>
      </c>
      <c r="C82" s="19">
        <v>3</v>
      </c>
      <c r="D82" s="19">
        <v>2021</v>
      </c>
      <c r="E82" s="23" t="e">
        <f>Electric!R32*400</f>
        <v>#VALUE!</v>
      </c>
      <c r="G82" s="23" t="str">
        <f>Gas!L29</f>
        <v/>
      </c>
      <c r="I82" s="23" t="str">
        <f>Water!L29</f>
        <v/>
      </c>
    </row>
    <row r="83" spans="1:9" x14ac:dyDescent="0.25">
      <c r="A83" s="18" t="s">
        <v>12</v>
      </c>
      <c r="B83" s="17">
        <v>23</v>
      </c>
      <c r="C83" s="19">
        <v>3</v>
      </c>
      <c r="D83" s="19">
        <v>2021</v>
      </c>
      <c r="E83" s="23" t="e">
        <f>Electric!R33*400</f>
        <v>#VALUE!</v>
      </c>
      <c r="G83" s="23" t="str">
        <f>Gas!L30</f>
        <v/>
      </c>
      <c r="I83" s="23" t="str">
        <f>Water!L30</f>
        <v/>
      </c>
    </row>
    <row r="84" spans="1:9" x14ac:dyDescent="0.25">
      <c r="A84" s="18" t="s">
        <v>12</v>
      </c>
      <c r="B84" s="17">
        <v>24</v>
      </c>
      <c r="C84" s="19">
        <v>3</v>
      </c>
      <c r="D84" s="19">
        <v>2021</v>
      </c>
      <c r="E84" s="23" t="e">
        <f>Electric!R34*400</f>
        <v>#VALUE!</v>
      </c>
      <c r="G84" s="23" t="str">
        <f>Gas!L31</f>
        <v/>
      </c>
      <c r="I84" s="23" t="str">
        <f>Water!L31</f>
        <v/>
      </c>
    </row>
    <row r="85" spans="1:9" x14ac:dyDescent="0.25">
      <c r="A85" s="18" t="s">
        <v>12</v>
      </c>
      <c r="B85" s="17">
        <v>25</v>
      </c>
      <c r="C85" s="19">
        <v>3</v>
      </c>
      <c r="D85" s="19">
        <v>2021</v>
      </c>
      <c r="E85" s="23" t="e">
        <f>Electric!R35*400</f>
        <v>#VALUE!</v>
      </c>
      <c r="G85" s="23" t="str">
        <f>Gas!L32</f>
        <v/>
      </c>
      <c r="I85" s="23" t="str">
        <f>Water!L32</f>
        <v/>
      </c>
    </row>
    <row r="86" spans="1:9" x14ac:dyDescent="0.25">
      <c r="A86" s="18" t="s">
        <v>12</v>
      </c>
      <c r="B86" s="17">
        <v>26</v>
      </c>
      <c r="C86" s="19">
        <v>3</v>
      </c>
      <c r="D86" s="19">
        <v>2021</v>
      </c>
      <c r="E86" s="23" t="e">
        <f>Electric!R36*400</f>
        <v>#VALUE!</v>
      </c>
      <c r="G86" s="23" t="str">
        <f>Gas!L33</f>
        <v/>
      </c>
      <c r="I86" s="23" t="str">
        <f>Water!L33</f>
        <v/>
      </c>
    </row>
    <row r="87" spans="1:9" x14ac:dyDescent="0.25">
      <c r="A87" s="18" t="s">
        <v>12</v>
      </c>
      <c r="B87" s="17">
        <v>27</v>
      </c>
      <c r="C87" s="19">
        <v>3</v>
      </c>
      <c r="D87" s="19">
        <v>2021</v>
      </c>
      <c r="E87" s="23" t="e">
        <f>Electric!R37*400</f>
        <v>#VALUE!</v>
      </c>
      <c r="G87" s="23" t="str">
        <f>Gas!L34</f>
        <v/>
      </c>
      <c r="I87" s="23" t="str">
        <f>Water!L34</f>
        <v/>
      </c>
    </row>
    <row r="88" spans="1:9" x14ac:dyDescent="0.25">
      <c r="A88" s="18" t="s">
        <v>12</v>
      </c>
      <c r="B88" s="17">
        <v>28</v>
      </c>
      <c r="C88" s="19">
        <v>3</v>
      </c>
      <c r="D88" s="19">
        <v>2021</v>
      </c>
      <c r="E88" s="23" t="e">
        <f>Electric!R38*400</f>
        <v>#VALUE!</v>
      </c>
      <c r="G88" s="23" t="str">
        <f>Gas!L35</f>
        <v/>
      </c>
      <c r="I88" s="23" t="str">
        <f>Water!L35</f>
        <v/>
      </c>
    </row>
    <row r="89" spans="1:9" x14ac:dyDescent="0.25">
      <c r="A89" s="18" t="s">
        <v>12</v>
      </c>
      <c r="B89" s="17">
        <v>29</v>
      </c>
      <c r="C89" s="19">
        <v>3</v>
      </c>
      <c r="D89" s="19">
        <v>2021</v>
      </c>
      <c r="E89" s="23" t="e">
        <f>Electric!R39*400</f>
        <v>#VALUE!</v>
      </c>
      <c r="G89" s="23" t="str">
        <f>Gas!L36</f>
        <v/>
      </c>
      <c r="I89" s="23" t="str">
        <f>Water!L36</f>
        <v/>
      </c>
    </row>
    <row r="90" spans="1:9" x14ac:dyDescent="0.25">
      <c r="A90" s="18" t="s">
        <v>12</v>
      </c>
      <c r="B90" s="17">
        <v>30</v>
      </c>
      <c r="C90" s="19">
        <v>3</v>
      </c>
      <c r="D90" s="19">
        <v>2021</v>
      </c>
      <c r="E90" s="23" t="e">
        <f>Electric!R40*400</f>
        <v>#VALUE!</v>
      </c>
      <c r="G90" s="23" t="str">
        <f>Gas!L37</f>
        <v/>
      </c>
      <c r="I90" s="23" t="str">
        <f>Water!L37</f>
        <v/>
      </c>
    </row>
    <row r="91" spans="1:9" x14ac:dyDescent="0.25">
      <c r="A91" s="18" t="s">
        <v>12</v>
      </c>
      <c r="B91" s="17">
        <v>31</v>
      </c>
      <c r="C91" s="19">
        <v>3</v>
      </c>
      <c r="D91" s="19">
        <v>2021</v>
      </c>
      <c r="E91" s="23" t="e">
        <f>Electric!R41*400</f>
        <v>#VALUE!</v>
      </c>
      <c r="G91" s="23" t="str">
        <f>Gas!L38</f>
        <v/>
      </c>
      <c r="I91" s="23" t="str">
        <f>Water!L38</f>
        <v/>
      </c>
    </row>
    <row r="92" spans="1:9" x14ac:dyDescent="0.25">
      <c r="A92" s="18" t="s">
        <v>12</v>
      </c>
      <c r="B92" s="17">
        <v>1</v>
      </c>
      <c r="C92" s="19">
        <v>4</v>
      </c>
      <c r="D92" s="19">
        <v>2021</v>
      </c>
      <c r="E92" s="23" t="e">
        <f>Electric!W11*400</f>
        <v>#VALUE!</v>
      </c>
      <c r="G92" s="23" t="str">
        <f>Gas!O8</f>
        <v/>
      </c>
      <c r="I92" s="23" t="str">
        <f>Water!O8</f>
        <v/>
      </c>
    </row>
    <row r="93" spans="1:9" x14ac:dyDescent="0.25">
      <c r="A93" s="18" t="s">
        <v>12</v>
      </c>
      <c r="B93" s="17">
        <v>2</v>
      </c>
      <c r="C93" s="19">
        <v>4</v>
      </c>
      <c r="D93" s="19">
        <v>2021</v>
      </c>
      <c r="E93" s="23" t="e">
        <f>Electric!W12*400</f>
        <v>#VALUE!</v>
      </c>
      <c r="G93" s="23" t="str">
        <f>Gas!O9</f>
        <v/>
      </c>
      <c r="I93" s="23" t="str">
        <f>Water!O9</f>
        <v/>
      </c>
    </row>
    <row r="94" spans="1:9" x14ac:dyDescent="0.25">
      <c r="A94" s="18" t="s">
        <v>12</v>
      </c>
      <c r="B94" s="17">
        <v>3</v>
      </c>
      <c r="C94" s="19">
        <v>4</v>
      </c>
      <c r="D94" s="19">
        <v>2021</v>
      </c>
      <c r="E94" s="23" t="e">
        <f>Electric!W13*400</f>
        <v>#VALUE!</v>
      </c>
      <c r="G94" s="23" t="str">
        <f>Gas!O10</f>
        <v/>
      </c>
      <c r="I94" s="23" t="str">
        <f>Water!O10</f>
        <v/>
      </c>
    </row>
    <row r="95" spans="1:9" x14ac:dyDescent="0.25">
      <c r="A95" s="18" t="s">
        <v>12</v>
      </c>
      <c r="B95" s="17">
        <v>4</v>
      </c>
      <c r="C95" s="19">
        <v>4</v>
      </c>
      <c r="D95" s="19">
        <v>2021</v>
      </c>
      <c r="E95" s="23" t="e">
        <f>Electric!W14*400</f>
        <v>#VALUE!</v>
      </c>
      <c r="G95" s="23" t="str">
        <f>Gas!O11</f>
        <v/>
      </c>
      <c r="I95" s="23" t="str">
        <f>Water!O11</f>
        <v/>
      </c>
    </row>
    <row r="96" spans="1:9" x14ac:dyDescent="0.25">
      <c r="A96" s="18" t="s">
        <v>12</v>
      </c>
      <c r="B96" s="17">
        <v>5</v>
      </c>
      <c r="C96" s="19">
        <v>4</v>
      </c>
      <c r="D96" s="19">
        <v>2021</v>
      </c>
      <c r="E96" s="23" t="e">
        <f>Electric!W15*400</f>
        <v>#VALUE!</v>
      </c>
      <c r="G96" s="23" t="str">
        <f>Gas!O12</f>
        <v/>
      </c>
      <c r="I96" s="23" t="str">
        <f>Water!O12</f>
        <v/>
      </c>
    </row>
    <row r="97" spans="1:9" x14ac:dyDescent="0.25">
      <c r="A97" s="18" t="s">
        <v>12</v>
      </c>
      <c r="B97" s="17">
        <v>6</v>
      </c>
      <c r="C97" s="19">
        <v>4</v>
      </c>
      <c r="D97" s="19">
        <v>2021</v>
      </c>
      <c r="E97" s="23" t="e">
        <f>Electric!W16*400</f>
        <v>#VALUE!</v>
      </c>
      <c r="G97" s="23" t="str">
        <f>Gas!O13</f>
        <v/>
      </c>
      <c r="I97" s="23" t="str">
        <f>Water!O13</f>
        <v/>
      </c>
    </row>
    <row r="98" spans="1:9" x14ac:dyDescent="0.25">
      <c r="A98" s="18" t="s">
        <v>12</v>
      </c>
      <c r="B98" s="17">
        <v>7</v>
      </c>
      <c r="C98" s="19">
        <v>4</v>
      </c>
      <c r="D98" s="19">
        <v>2021</v>
      </c>
      <c r="E98" s="23" t="e">
        <f>Electric!W17*400</f>
        <v>#VALUE!</v>
      </c>
      <c r="G98" s="23" t="str">
        <f>Gas!O14</f>
        <v/>
      </c>
      <c r="I98" s="23" t="str">
        <f>Water!O14</f>
        <v/>
      </c>
    </row>
    <row r="99" spans="1:9" x14ac:dyDescent="0.25">
      <c r="A99" s="18" t="s">
        <v>12</v>
      </c>
      <c r="B99" s="17">
        <v>8</v>
      </c>
      <c r="C99" s="19">
        <v>4</v>
      </c>
      <c r="D99" s="19">
        <v>2021</v>
      </c>
      <c r="E99" s="23" t="e">
        <f>Electric!W18*400</f>
        <v>#VALUE!</v>
      </c>
      <c r="G99" s="23" t="str">
        <f>Gas!O15</f>
        <v/>
      </c>
      <c r="I99" s="23" t="str">
        <f>Water!O15</f>
        <v/>
      </c>
    </row>
    <row r="100" spans="1:9" x14ac:dyDescent="0.25">
      <c r="A100" s="18" t="s">
        <v>12</v>
      </c>
      <c r="B100" s="17">
        <v>9</v>
      </c>
      <c r="C100" s="19">
        <v>4</v>
      </c>
      <c r="D100" s="19">
        <v>2021</v>
      </c>
      <c r="E100" s="23" t="e">
        <f>Electric!W19*400</f>
        <v>#VALUE!</v>
      </c>
      <c r="G100" s="23" t="str">
        <f>Gas!O16</f>
        <v/>
      </c>
      <c r="I100" s="23" t="str">
        <f>Water!O16</f>
        <v/>
      </c>
    </row>
    <row r="101" spans="1:9" x14ac:dyDescent="0.25">
      <c r="A101" s="18" t="s">
        <v>12</v>
      </c>
      <c r="B101" s="17">
        <v>10</v>
      </c>
      <c r="C101" s="19">
        <v>4</v>
      </c>
      <c r="D101" s="19">
        <v>2021</v>
      </c>
      <c r="E101" s="23" t="e">
        <f>Electric!W20*400</f>
        <v>#VALUE!</v>
      </c>
      <c r="G101" s="23" t="str">
        <f>Gas!O17</f>
        <v/>
      </c>
      <c r="I101" s="23" t="str">
        <f>Water!O17</f>
        <v/>
      </c>
    </row>
    <row r="102" spans="1:9" x14ac:dyDescent="0.25">
      <c r="A102" s="18" t="s">
        <v>12</v>
      </c>
      <c r="B102" s="17">
        <v>11</v>
      </c>
      <c r="C102" s="19">
        <v>4</v>
      </c>
      <c r="D102" s="19">
        <v>2021</v>
      </c>
      <c r="E102" s="23" t="e">
        <f>Electric!W21*400</f>
        <v>#VALUE!</v>
      </c>
      <c r="G102" s="23" t="str">
        <f>Gas!O18</f>
        <v/>
      </c>
      <c r="I102" s="23" t="str">
        <f>Water!O18</f>
        <v/>
      </c>
    </row>
    <row r="103" spans="1:9" x14ac:dyDescent="0.25">
      <c r="A103" s="18" t="s">
        <v>12</v>
      </c>
      <c r="B103" s="17">
        <v>12</v>
      </c>
      <c r="C103" s="19">
        <v>4</v>
      </c>
      <c r="D103" s="19">
        <v>2021</v>
      </c>
      <c r="E103" s="23" t="e">
        <f>Electric!W22*400</f>
        <v>#VALUE!</v>
      </c>
      <c r="G103" s="23" t="str">
        <f>Gas!O19</f>
        <v/>
      </c>
      <c r="I103" s="23" t="str">
        <f>Water!O19</f>
        <v/>
      </c>
    </row>
    <row r="104" spans="1:9" x14ac:dyDescent="0.25">
      <c r="A104" s="18" t="s">
        <v>12</v>
      </c>
      <c r="B104" s="17">
        <v>13</v>
      </c>
      <c r="C104" s="19">
        <v>4</v>
      </c>
      <c r="D104" s="19">
        <v>2021</v>
      </c>
      <c r="E104" s="23" t="e">
        <f>Electric!W23*400</f>
        <v>#VALUE!</v>
      </c>
      <c r="G104" s="23" t="str">
        <f>Gas!O20</f>
        <v/>
      </c>
      <c r="I104" s="23" t="str">
        <f>Water!O20</f>
        <v/>
      </c>
    </row>
    <row r="105" spans="1:9" x14ac:dyDescent="0.25">
      <c r="A105" s="18" t="s">
        <v>12</v>
      </c>
      <c r="B105" s="17">
        <v>14</v>
      </c>
      <c r="C105" s="19">
        <v>4</v>
      </c>
      <c r="D105" s="19">
        <v>2021</v>
      </c>
      <c r="E105" s="23" t="e">
        <f>Electric!W24*400</f>
        <v>#VALUE!</v>
      </c>
      <c r="G105" s="23" t="str">
        <f>Gas!O21</f>
        <v/>
      </c>
      <c r="I105" s="23" t="str">
        <f>Water!O21</f>
        <v/>
      </c>
    </row>
    <row r="106" spans="1:9" x14ac:dyDescent="0.25">
      <c r="A106" s="18" t="s">
        <v>12</v>
      </c>
      <c r="B106" s="17">
        <v>15</v>
      </c>
      <c r="C106" s="19">
        <v>4</v>
      </c>
      <c r="D106" s="19">
        <v>2021</v>
      </c>
      <c r="E106" s="23" t="e">
        <f>Electric!W25*400</f>
        <v>#VALUE!</v>
      </c>
      <c r="G106" s="23" t="str">
        <f>Gas!O22</f>
        <v/>
      </c>
      <c r="I106" s="23" t="str">
        <f>Water!O22</f>
        <v/>
      </c>
    </row>
    <row r="107" spans="1:9" x14ac:dyDescent="0.25">
      <c r="A107" s="18" t="s">
        <v>12</v>
      </c>
      <c r="B107" s="17">
        <v>16</v>
      </c>
      <c r="C107" s="19">
        <v>4</v>
      </c>
      <c r="D107" s="19">
        <v>2021</v>
      </c>
      <c r="E107" s="23" t="e">
        <f>Electric!W26*400</f>
        <v>#VALUE!</v>
      </c>
      <c r="G107" s="23" t="str">
        <f>Gas!O23</f>
        <v/>
      </c>
      <c r="I107" s="23" t="str">
        <f>Water!O23</f>
        <v/>
      </c>
    </row>
    <row r="108" spans="1:9" x14ac:dyDescent="0.25">
      <c r="A108" s="18" t="s">
        <v>12</v>
      </c>
      <c r="B108" s="17">
        <v>17</v>
      </c>
      <c r="C108" s="19">
        <v>4</v>
      </c>
      <c r="D108" s="19">
        <v>2021</v>
      </c>
      <c r="E108" s="23" t="e">
        <f>Electric!W27*400</f>
        <v>#VALUE!</v>
      </c>
      <c r="G108" s="23" t="str">
        <f>Gas!O24</f>
        <v/>
      </c>
      <c r="I108" s="23" t="str">
        <f>Water!O24</f>
        <v/>
      </c>
    </row>
    <row r="109" spans="1:9" x14ac:dyDescent="0.25">
      <c r="A109" s="18" t="s">
        <v>12</v>
      </c>
      <c r="B109" s="17">
        <v>18</v>
      </c>
      <c r="C109" s="19">
        <v>4</v>
      </c>
      <c r="D109" s="19">
        <v>2021</v>
      </c>
      <c r="E109" s="23" t="e">
        <f>Electric!W28*400</f>
        <v>#VALUE!</v>
      </c>
      <c r="G109" s="23" t="str">
        <f>Gas!O25</f>
        <v/>
      </c>
      <c r="I109" s="23" t="str">
        <f>Water!O25</f>
        <v/>
      </c>
    </row>
    <row r="110" spans="1:9" x14ac:dyDescent="0.25">
      <c r="A110" s="18" t="s">
        <v>12</v>
      </c>
      <c r="B110" s="17">
        <v>19</v>
      </c>
      <c r="C110" s="19">
        <v>4</v>
      </c>
      <c r="D110" s="19">
        <v>2021</v>
      </c>
      <c r="E110" s="23" t="e">
        <f>Electric!W29*400</f>
        <v>#VALUE!</v>
      </c>
      <c r="G110" s="23" t="str">
        <f>Gas!O26</f>
        <v/>
      </c>
      <c r="I110" s="23" t="str">
        <f>Water!O26</f>
        <v/>
      </c>
    </row>
    <row r="111" spans="1:9" x14ac:dyDescent="0.25">
      <c r="A111" s="18" t="s">
        <v>12</v>
      </c>
      <c r="B111" s="17">
        <v>20</v>
      </c>
      <c r="C111" s="19">
        <v>4</v>
      </c>
      <c r="D111" s="19">
        <v>2021</v>
      </c>
      <c r="E111" s="23" t="e">
        <f>Electric!W30*400</f>
        <v>#VALUE!</v>
      </c>
      <c r="G111" s="23" t="str">
        <f>Gas!O27</f>
        <v/>
      </c>
      <c r="I111" s="23" t="str">
        <f>Water!O27</f>
        <v/>
      </c>
    </row>
    <row r="112" spans="1:9" x14ac:dyDescent="0.25">
      <c r="A112" s="18" t="s">
        <v>12</v>
      </c>
      <c r="B112" s="17">
        <v>21</v>
      </c>
      <c r="C112" s="19">
        <v>4</v>
      </c>
      <c r="D112" s="19">
        <v>2021</v>
      </c>
      <c r="E112" s="23" t="e">
        <f>Electric!W31*400</f>
        <v>#VALUE!</v>
      </c>
      <c r="G112" s="23" t="str">
        <f>Gas!O28</f>
        <v/>
      </c>
      <c r="I112" s="23" t="str">
        <f>Water!O28</f>
        <v/>
      </c>
    </row>
    <row r="113" spans="1:9" x14ac:dyDescent="0.25">
      <c r="A113" s="18" t="s">
        <v>12</v>
      </c>
      <c r="B113" s="17">
        <v>22</v>
      </c>
      <c r="C113" s="19">
        <v>4</v>
      </c>
      <c r="D113" s="19">
        <v>2021</v>
      </c>
      <c r="E113" s="23" t="e">
        <f>Electric!W32*400</f>
        <v>#VALUE!</v>
      </c>
      <c r="G113" s="23" t="str">
        <f>Gas!O29</f>
        <v/>
      </c>
      <c r="I113" s="23" t="str">
        <f>Water!O29</f>
        <v/>
      </c>
    </row>
    <row r="114" spans="1:9" x14ac:dyDescent="0.25">
      <c r="A114" s="18" t="s">
        <v>12</v>
      </c>
      <c r="B114" s="17">
        <v>23</v>
      </c>
      <c r="C114" s="19">
        <v>4</v>
      </c>
      <c r="D114" s="19">
        <v>2021</v>
      </c>
      <c r="E114" s="23" t="e">
        <f>Electric!W33*400</f>
        <v>#VALUE!</v>
      </c>
      <c r="G114" s="23" t="str">
        <f>Gas!O30</f>
        <v/>
      </c>
      <c r="I114" s="23" t="str">
        <f>Water!O30</f>
        <v/>
      </c>
    </row>
    <row r="115" spans="1:9" x14ac:dyDescent="0.25">
      <c r="A115" s="18" t="s">
        <v>12</v>
      </c>
      <c r="B115" s="17">
        <v>24</v>
      </c>
      <c r="C115" s="19">
        <v>4</v>
      </c>
      <c r="D115" s="19">
        <v>2021</v>
      </c>
      <c r="E115" s="23" t="e">
        <f>Electric!W34*400</f>
        <v>#VALUE!</v>
      </c>
      <c r="G115" s="23" t="str">
        <f>Gas!O31</f>
        <v/>
      </c>
      <c r="I115" s="23" t="str">
        <f>Water!O31</f>
        <v/>
      </c>
    </row>
    <row r="116" spans="1:9" x14ac:dyDescent="0.25">
      <c r="A116" s="18" t="s">
        <v>12</v>
      </c>
      <c r="B116" s="17">
        <v>25</v>
      </c>
      <c r="C116" s="19">
        <v>4</v>
      </c>
      <c r="D116" s="19">
        <v>2021</v>
      </c>
      <c r="E116" s="23" t="e">
        <f>Electric!W35*400</f>
        <v>#VALUE!</v>
      </c>
      <c r="G116" s="23" t="str">
        <f>Gas!O32</f>
        <v/>
      </c>
      <c r="I116" s="23" t="str">
        <f>Water!O32</f>
        <v/>
      </c>
    </row>
    <row r="117" spans="1:9" x14ac:dyDescent="0.25">
      <c r="A117" s="18" t="s">
        <v>12</v>
      </c>
      <c r="B117" s="17">
        <v>26</v>
      </c>
      <c r="C117" s="19">
        <v>4</v>
      </c>
      <c r="D117" s="19">
        <v>2021</v>
      </c>
      <c r="E117" s="23" t="e">
        <f>Electric!W36*400</f>
        <v>#VALUE!</v>
      </c>
      <c r="G117" s="23" t="str">
        <f>Gas!O33</f>
        <v/>
      </c>
      <c r="I117" s="23" t="str">
        <f>Water!O33</f>
        <v/>
      </c>
    </row>
    <row r="118" spans="1:9" x14ac:dyDescent="0.25">
      <c r="A118" s="18" t="s">
        <v>12</v>
      </c>
      <c r="B118" s="17">
        <v>27</v>
      </c>
      <c r="C118" s="19">
        <v>4</v>
      </c>
      <c r="D118" s="19">
        <v>2021</v>
      </c>
      <c r="E118" s="23" t="e">
        <f>Electric!W37*400</f>
        <v>#VALUE!</v>
      </c>
      <c r="G118" s="23" t="str">
        <f>Gas!O34</f>
        <v/>
      </c>
      <c r="I118" s="23" t="str">
        <f>Water!O34</f>
        <v/>
      </c>
    </row>
    <row r="119" spans="1:9" x14ac:dyDescent="0.25">
      <c r="A119" s="18" t="s">
        <v>12</v>
      </c>
      <c r="B119" s="17">
        <v>28</v>
      </c>
      <c r="C119" s="19">
        <v>4</v>
      </c>
      <c r="D119" s="19">
        <v>2021</v>
      </c>
      <c r="E119" s="23" t="e">
        <f>Electric!W38*400</f>
        <v>#VALUE!</v>
      </c>
      <c r="G119" s="23" t="str">
        <f>Gas!O35</f>
        <v/>
      </c>
      <c r="I119" s="23" t="str">
        <f>Water!O35</f>
        <v/>
      </c>
    </row>
    <row r="120" spans="1:9" x14ac:dyDescent="0.25">
      <c r="A120" s="18" t="s">
        <v>12</v>
      </c>
      <c r="B120" s="17">
        <v>29</v>
      </c>
      <c r="C120" s="19">
        <v>4</v>
      </c>
      <c r="D120" s="19">
        <v>2021</v>
      </c>
      <c r="E120" s="23" t="e">
        <f>Electric!W39*400</f>
        <v>#VALUE!</v>
      </c>
      <c r="G120" s="23" t="str">
        <f>Gas!O36</f>
        <v/>
      </c>
      <c r="I120" s="23" t="str">
        <f>Water!O36</f>
        <v/>
      </c>
    </row>
    <row r="121" spans="1:9" x14ac:dyDescent="0.25">
      <c r="A121" s="18" t="s">
        <v>12</v>
      </c>
      <c r="B121" s="17">
        <v>30</v>
      </c>
      <c r="C121" s="19">
        <v>4</v>
      </c>
      <c r="D121" s="19">
        <v>2021</v>
      </c>
      <c r="E121" s="23" t="e">
        <f>Electric!W40*400</f>
        <v>#VALUE!</v>
      </c>
      <c r="G121" s="23" t="str">
        <f>Gas!O37</f>
        <v/>
      </c>
      <c r="I121" s="23" t="str">
        <f>Water!O37</f>
        <v/>
      </c>
    </row>
    <row r="122" spans="1:9" x14ac:dyDescent="0.25">
      <c r="A122" s="18" t="s">
        <v>12</v>
      </c>
      <c r="B122" s="17">
        <v>1</v>
      </c>
      <c r="C122" s="19">
        <v>5</v>
      </c>
      <c r="D122" s="19">
        <v>2021</v>
      </c>
      <c r="E122" s="23" t="e">
        <f>Electric!AB11*400</f>
        <v>#VALUE!</v>
      </c>
      <c r="G122" s="23" t="str">
        <f>Gas!R8</f>
        <v/>
      </c>
      <c r="I122" s="23" t="str">
        <f>Water!R8</f>
        <v/>
      </c>
    </row>
    <row r="123" spans="1:9" x14ac:dyDescent="0.25">
      <c r="A123" s="18" t="s">
        <v>12</v>
      </c>
      <c r="B123" s="17">
        <v>2</v>
      </c>
      <c r="C123" s="19">
        <v>5</v>
      </c>
      <c r="D123" s="19">
        <v>2021</v>
      </c>
      <c r="E123" s="23" t="e">
        <f>Electric!AB12*400</f>
        <v>#VALUE!</v>
      </c>
      <c r="G123" s="23" t="str">
        <f>Gas!R9</f>
        <v/>
      </c>
      <c r="I123" s="23" t="str">
        <f>Water!R9</f>
        <v/>
      </c>
    </row>
    <row r="124" spans="1:9" x14ac:dyDescent="0.25">
      <c r="A124" s="18" t="s">
        <v>12</v>
      </c>
      <c r="B124" s="17">
        <v>3</v>
      </c>
      <c r="C124" s="19">
        <v>5</v>
      </c>
      <c r="D124" s="19">
        <v>2021</v>
      </c>
      <c r="E124" s="23" t="e">
        <f>Electric!AB13*400</f>
        <v>#VALUE!</v>
      </c>
      <c r="G124" s="23" t="str">
        <f>Gas!R10</f>
        <v/>
      </c>
      <c r="I124" s="23" t="str">
        <f>Water!R10</f>
        <v/>
      </c>
    </row>
    <row r="125" spans="1:9" x14ac:dyDescent="0.25">
      <c r="A125" s="18" t="s">
        <v>12</v>
      </c>
      <c r="B125" s="17">
        <v>4</v>
      </c>
      <c r="C125" s="19">
        <v>5</v>
      </c>
      <c r="D125" s="19">
        <v>2021</v>
      </c>
      <c r="E125" s="23" t="e">
        <f>Electric!AB14*400</f>
        <v>#VALUE!</v>
      </c>
      <c r="G125" s="23" t="str">
        <f>Gas!R11</f>
        <v/>
      </c>
      <c r="I125" s="23" t="str">
        <f>Water!R11</f>
        <v/>
      </c>
    </row>
    <row r="126" spans="1:9" x14ac:dyDescent="0.25">
      <c r="A126" s="18" t="s">
        <v>12</v>
      </c>
      <c r="B126" s="17">
        <v>5</v>
      </c>
      <c r="C126" s="19">
        <v>5</v>
      </c>
      <c r="D126" s="19">
        <v>2021</v>
      </c>
      <c r="E126" s="23" t="e">
        <f>Electric!AB15*400</f>
        <v>#VALUE!</v>
      </c>
      <c r="G126" s="23" t="str">
        <f>Gas!R12</f>
        <v/>
      </c>
      <c r="I126" s="23" t="str">
        <f>Water!R12</f>
        <v/>
      </c>
    </row>
    <row r="127" spans="1:9" x14ac:dyDescent="0.25">
      <c r="A127" s="18" t="s">
        <v>12</v>
      </c>
      <c r="B127" s="17">
        <v>6</v>
      </c>
      <c r="C127" s="19">
        <v>5</v>
      </c>
      <c r="D127" s="19">
        <v>2021</v>
      </c>
      <c r="E127" s="23" t="e">
        <f>Electric!AB16*400</f>
        <v>#VALUE!</v>
      </c>
      <c r="G127" s="23" t="str">
        <f>Gas!R13</f>
        <v/>
      </c>
      <c r="I127" s="23" t="str">
        <f>Water!R13</f>
        <v/>
      </c>
    </row>
    <row r="128" spans="1:9" x14ac:dyDescent="0.25">
      <c r="A128" s="18" t="s">
        <v>12</v>
      </c>
      <c r="B128" s="17">
        <v>7</v>
      </c>
      <c r="C128" s="19">
        <v>5</v>
      </c>
      <c r="D128" s="19">
        <v>2021</v>
      </c>
      <c r="E128" s="23" t="e">
        <f>Electric!AB17*400</f>
        <v>#VALUE!</v>
      </c>
      <c r="G128" s="23" t="str">
        <f>Gas!R14</f>
        <v/>
      </c>
      <c r="I128" s="23" t="str">
        <f>Water!R14</f>
        <v/>
      </c>
    </row>
    <row r="129" spans="1:9" x14ac:dyDescent="0.25">
      <c r="A129" s="18" t="s">
        <v>12</v>
      </c>
      <c r="B129" s="17">
        <v>8</v>
      </c>
      <c r="C129" s="19">
        <v>5</v>
      </c>
      <c r="D129" s="19">
        <v>2021</v>
      </c>
      <c r="E129" s="23" t="e">
        <f>Electric!AB18*400</f>
        <v>#VALUE!</v>
      </c>
      <c r="G129" s="23" t="str">
        <f>Gas!R15</f>
        <v/>
      </c>
      <c r="I129" s="23" t="str">
        <f>Water!R15</f>
        <v/>
      </c>
    </row>
    <row r="130" spans="1:9" x14ac:dyDescent="0.25">
      <c r="A130" s="18" t="s">
        <v>12</v>
      </c>
      <c r="B130" s="17">
        <v>9</v>
      </c>
      <c r="C130" s="19">
        <v>5</v>
      </c>
      <c r="D130" s="19">
        <v>2021</v>
      </c>
      <c r="E130" s="23" t="e">
        <f>Electric!AB19*400</f>
        <v>#VALUE!</v>
      </c>
      <c r="G130" s="23" t="str">
        <f>Gas!R16</f>
        <v/>
      </c>
      <c r="I130" s="23" t="str">
        <f>Water!R16</f>
        <v/>
      </c>
    </row>
    <row r="131" spans="1:9" x14ac:dyDescent="0.25">
      <c r="A131" s="18" t="s">
        <v>12</v>
      </c>
      <c r="B131" s="17">
        <v>10</v>
      </c>
      <c r="C131" s="19">
        <v>5</v>
      </c>
      <c r="D131" s="19">
        <v>2021</v>
      </c>
      <c r="E131" s="23" t="e">
        <f>Electric!AB20*400</f>
        <v>#VALUE!</v>
      </c>
      <c r="G131" s="23" t="str">
        <f>Gas!R17</f>
        <v/>
      </c>
      <c r="I131" s="23" t="str">
        <f>Water!R17</f>
        <v/>
      </c>
    </row>
    <row r="132" spans="1:9" x14ac:dyDescent="0.25">
      <c r="A132" s="18" t="s">
        <v>12</v>
      </c>
      <c r="B132" s="17">
        <v>11</v>
      </c>
      <c r="C132" s="19">
        <v>5</v>
      </c>
      <c r="D132" s="19">
        <v>2021</v>
      </c>
      <c r="E132" s="23" t="e">
        <f>Electric!AB21*400</f>
        <v>#VALUE!</v>
      </c>
      <c r="G132" s="23" t="str">
        <f>Gas!R18</f>
        <v/>
      </c>
      <c r="I132" s="23" t="str">
        <f>Water!R18</f>
        <v/>
      </c>
    </row>
    <row r="133" spans="1:9" x14ac:dyDescent="0.25">
      <c r="A133" s="18" t="s">
        <v>12</v>
      </c>
      <c r="B133" s="17">
        <v>12</v>
      </c>
      <c r="C133" s="19">
        <v>5</v>
      </c>
      <c r="D133" s="19">
        <v>2021</v>
      </c>
      <c r="E133" s="23" t="e">
        <f>Electric!AB22*400</f>
        <v>#VALUE!</v>
      </c>
      <c r="G133" s="23" t="str">
        <f>Gas!R19</f>
        <v/>
      </c>
      <c r="I133" s="23" t="str">
        <f>Water!R19</f>
        <v/>
      </c>
    </row>
    <row r="134" spans="1:9" x14ac:dyDescent="0.25">
      <c r="A134" s="18" t="s">
        <v>12</v>
      </c>
      <c r="B134" s="17">
        <v>13</v>
      </c>
      <c r="C134" s="19">
        <v>5</v>
      </c>
      <c r="D134" s="19">
        <v>2021</v>
      </c>
      <c r="E134" s="23" t="e">
        <f>Electric!AB23*400</f>
        <v>#VALUE!</v>
      </c>
      <c r="G134" s="23" t="str">
        <f>Gas!R20</f>
        <v/>
      </c>
      <c r="I134" s="23" t="str">
        <f>Water!R20</f>
        <v/>
      </c>
    </row>
    <row r="135" spans="1:9" x14ac:dyDescent="0.25">
      <c r="A135" s="18" t="s">
        <v>12</v>
      </c>
      <c r="B135" s="17">
        <v>14</v>
      </c>
      <c r="C135" s="19">
        <v>5</v>
      </c>
      <c r="D135" s="19">
        <v>2021</v>
      </c>
      <c r="E135" s="23" t="e">
        <f>Electric!AB24*400</f>
        <v>#VALUE!</v>
      </c>
      <c r="G135" s="23" t="str">
        <f>Gas!R21</f>
        <v/>
      </c>
      <c r="I135" s="23" t="str">
        <f>Water!R21</f>
        <v/>
      </c>
    </row>
    <row r="136" spans="1:9" x14ac:dyDescent="0.25">
      <c r="A136" s="18" t="s">
        <v>12</v>
      </c>
      <c r="B136" s="17">
        <v>15</v>
      </c>
      <c r="C136" s="19">
        <v>5</v>
      </c>
      <c r="D136" s="19">
        <v>2021</v>
      </c>
      <c r="E136" s="23" t="e">
        <f>Electric!AB25*400</f>
        <v>#VALUE!</v>
      </c>
      <c r="G136" s="23" t="str">
        <f>Gas!R22</f>
        <v/>
      </c>
      <c r="I136" s="23" t="str">
        <f>Water!R22</f>
        <v/>
      </c>
    </row>
    <row r="137" spans="1:9" x14ac:dyDescent="0.25">
      <c r="A137" s="18" t="s">
        <v>12</v>
      </c>
      <c r="B137" s="17">
        <v>16</v>
      </c>
      <c r="C137" s="19">
        <v>5</v>
      </c>
      <c r="D137" s="19">
        <v>2021</v>
      </c>
      <c r="E137" s="23" t="e">
        <f>Electric!AB26*400</f>
        <v>#VALUE!</v>
      </c>
      <c r="G137" s="23" t="str">
        <f>Gas!R23</f>
        <v/>
      </c>
      <c r="I137" s="23" t="str">
        <f>Water!R23</f>
        <v/>
      </c>
    </row>
    <row r="138" spans="1:9" x14ac:dyDescent="0.25">
      <c r="A138" s="18" t="s">
        <v>12</v>
      </c>
      <c r="B138" s="17">
        <v>17</v>
      </c>
      <c r="C138" s="19">
        <v>5</v>
      </c>
      <c r="D138" s="19">
        <v>2021</v>
      </c>
      <c r="E138" s="23" t="e">
        <f>Electric!AB27*400</f>
        <v>#VALUE!</v>
      </c>
      <c r="G138" s="23" t="str">
        <f>Gas!R24</f>
        <v/>
      </c>
      <c r="I138" s="23" t="str">
        <f>Water!R24</f>
        <v/>
      </c>
    </row>
    <row r="139" spans="1:9" x14ac:dyDescent="0.25">
      <c r="A139" s="18" t="s">
        <v>12</v>
      </c>
      <c r="B139" s="17">
        <v>18</v>
      </c>
      <c r="C139" s="19">
        <v>5</v>
      </c>
      <c r="D139" s="19">
        <v>2021</v>
      </c>
      <c r="E139" s="23" t="e">
        <f>Electric!AB28*400</f>
        <v>#VALUE!</v>
      </c>
      <c r="G139" s="23" t="str">
        <f>Gas!R25</f>
        <v/>
      </c>
      <c r="I139" s="23" t="str">
        <f>Water!R25</f>
        <v/>
      </c>
    </row>
    <row r="140" spans="1:9" x14ac:dyDescent="0.25">
      <c r="A140" s="18" t="s">
        <v>12</v>
      </c>
      <c r="B140" s="17">
        <v>19</v>
      </c>
      <c r="C140" s="19">
        <v>5</v>
      </c>
      <c r="D140" s="19">
        <v>2021</v>
      </c>
      <c r="E140" s="23" t="e">
        <f>Electric!AB29*400</f>
        <v>#VALUE!</v>
      </c>
      <c r="G140" s="23" t="str">
        <f>Gas!R26</f>
        <v/>
      </c>
      <c r="I140" s="23" t="str">
        <f>Water!R26</f>
        <v/>
      </c>
    </row>
    <row r="141" spans="1:9" x14ac:dyDescent="0.25">
      <c r="A141" s="18" t="s">
        <v>12</v>
      </c>
      <c r="B141" s="17">
        <v>20</v>
      </c>
      <c r="C141" s="19">
        <v>5</v>
      </c>
      <c r="D141" s="19">
        <v>2021</v>
      </c>
      <c r="E141" s="23" t="e">
        <f>Electric!AB30*400</f>
        <v>#VALUE!</v>
      </c>
      <c r="G141" s="23" t="str">
        <f>Gas!R27</f>
        <v/>
      </c>
      <c r="I141" s="23" t="str">
        <f>Water!R27</f>
        <v/>
      </c>
    </row>
    <row r="142" spans="1:9" x14ac:dyDescent="0.25">
      <c r="A142" s="18" t="s">
        <v>12</v>
      </c>
      <c r="B142" s="17">
        <v>21</v>
      </c>
      <c r="C142" s="19">
        <v>5</v>
      </c>
      <c r="D142" s="19">
        <v>2021</v>
      </c>
      <c r="E142" s="23" t="e">
        <f>Electric!AB31*400</f>
        <v>#VALUE!</v>
      </c>
      <c r="G142" s="23" t="str">
        <f>Gas!R28</f>
        <v/>
      </c>
      <c r="I142" s="23" t="str">
        <f>Water!R28</f>
        <v/>
      </c>
    </row>
    <row r="143" spans="1:9" x14ac:dyDescent="0.25">
      <c r="A143" s="18" t="s">
        <v>12</v>
      </c>
      <c r="B143" s="17">
        <v>22</v>
      </c>
      <c r="C143" s="19">
        <v>5</v>
      </c>
      <c r="D143" s="19">
        <v>2021</v>
      </c>
      <c r="E143" s="23" t="e">
        <f>Electric!AB32*400</f>
        <v>#VALUE!</v>
      </c>
      <c r="G143" s="23" t="str">
        <f>Gas!R29</f>
        <v/>
      </c>
      <c r="I143" s="23" t="str">
        <f>Water!R29</f>
        <v/>
      </c>
    </row>
    <row r="144" spans="1:9" x14ac:dyDescent="0.25">
      <c r="A144" s="18" t="s">
        <v>12</v>
      </c>
      <c r="B144" s="17">
        <v>23</v>
      </c>
      <c r="C144" s="19">
        <v>5</v>
      </c>
      <c r="D144" s="19">
        <v>2021</v>
      </c>
      <c r="E144" s="23" t="e">
        <f>Electric!AB33*400</f>
        <v>#VALUE!</v>
      </c>
      <c r="G144" s="23" t="str">
        <f>Gas!R30</f>
        <v/>
      </c>
      <c r="I144" s="23" t="str">
        <f>Water!R30</f>
        <v/>
      </c>
    </row>
    <row r="145" spans="1:9" x14ac:dyDescent="0.25">
      <c r="A145" s="18" t="s">
        <v>12</v>
      </c>
      <c r="B145" s="17">
        <v>24</v>
      </c>
      <c r="C145" s="19">
        <v>5</v>
      </c>
      <c r="D145" s="19">
        <v>2021</v>
      </c>
      <c r="E145" s="23" t="e">
        <f>Electric!AB34*400</f>
        <v>#VALUE!</v>
      </c>
      <c r="G145" s="23" t="str">
        <f>Gas!R31</f>
        <v/>
      </c>
      <c r="I145" s="23" t="str">
        <f>Water!R31</f>
        <v/>
      </c>
    </row>
    <row r="146" spans="1:9" x14ac:dyDescent="0.25">
      <c r="A146" s="18" t="s">
        <v>12</v>
      </c>
      <c r="B146" s="17">
        <v>25</v>
      </c>
      <c r="C146" s="19">
        <v>5</v>
      </c>
      <c r="D146" s="19">
        <v>2021</v>
      </c>
      <c r="E146" s="23" t="e">
        <f>Electric!AB35*400</f>
        <v>#VALUE!</v>
      </c>
      <c r="G146" s="23" t="str">
        <f>Gas!R32</f>
        <v/>
      </c>
      <c r="I146" s="23" t="str">
        <f>Water!R32</f>
        <v/>
      </c>
    </row>
    <row r="147" spans="1:9" x14ac:dyDescent="0.25">
      <c r="A147" s="18" t="s">
        <v>12</v>
      </c>
      <c r="B147" s="17">
        <v>26</v>
      </c>
      <c r="C147" s="19">
        <v>5</v>
      </c>
      <c r="D147" s="19">
        <v>2021</v>
      </c>
      <c r="E147" s="23" t="e">
        <f>Electric!AB36*400</f>
        <v>#VALUE!</v>
      </c>
      <c r="G147" s="23" t="str">
        <f>Gas!R33</f>
        <v/>
      </c>
      <c r="I147" s="23" t="str">
        <f>Water!R33</f>
        <v/>
      </c>
    </row>
    <row r="148" spans="1:9" x14ac:dyDescent="0.25">
      <c r="A148" s="18" t="s">
        <v>12</v>
      </c>
      <c r="B148" s="17">
        <v>27</v>
      </c>
      <c r="C148" s="19">
        <v>5</v>
      </c>
      <c r="D148" s="19">
        <v>2021</v>
      </c>
      <c r="E148" s="23" t="e">
        <f>Electric!AB37*400</f>
        <v>#VALUE!</v>
      </c>
      <c r="G148" s="23" t="str">
        <f>Gas!R34</f>
        <v/>
      </c>
      <c r="I148" s="23" t="str">
        <f>Water!R34</f>
        <v/>
      </c>
    </row>
    <row r="149" spans="1:9" x14ac:dyDescent="0.25">
      <c r="A149" s="18" t="s">
        <v>12</v>
      </c>
      <c r="B149" s="17">
        <v>28</v>
      </c>
      <c r="C149" s="19">
        <v>5</v>
      </c>
      <c r="D149" s="19">
        <v>2021</v>
      </c>
      <c r="E149" s="23" t="e">
        <f>Electric!AB38*400</f>
        <v>#VALUE!</v>
      </c>
      <c r="G149" s="23" t="str">
        <f>Gas!R35</f>
        <v/>
      </c>
      <c r="I149" s="23" t="str">
        <f>Water!R35</f>
        <v/>
      </c>
    </row>
    <row r="150" spans="1:9" x14ac:dyDescent="0.25">
      <c r="A150" s="18" t="s">
        <v>12</v>
      </c>
      <c r="B150" s="17">
        <v>29</v>
      </c>
      <c r="C150" s="19">
        <v>5</v>
      </c>
      <c r="D150" s="19">
        <v>2021</v>
      </c>
      <c r="E150" s="23" t="e">
        <f>Electric!AB39*400</f>
        <v>#VALUE!</v>
      </c>
      <c r="G150" s="23" t="str">
        <f>Gas!R36</f>
        <v/>
      </c>
      <c r="I150" s="23" t="str">
        <f>Water!R36</f>
        <v/>
      </c>
    </row>
    <row r="151" spans="1:9" x14ac:dyDescent="0.25">
      <c r="A151" s="18" t="s">
        <v>12</v>
      </c>
      <c r="B151" s="17">
        <v>30</v>
      </c>
      <c r="C151" s="19">
        <v>5</v>
      </c>
      <c r="D151" s="19">
        <v>2021</v>
      </c>
      <c r="E151" s="23" t="e">
        <f>Electric!AB40*400</f>
        <v>#VALUE!</v>
      </c>
      <c r="G151" s="23" t="str">
        <f>Gas!R37</f>
        <v/>
      </c>
      <c r="I151" s="23" t="str">
        <f>Water!R37</f>
        <v/>
      </c>
    </row>
    <row r="152" spans="1:9" x14ac:dyDescent="0.25">
      <c r="A152" s="18" t="s">
        <v>12</v>
      </c>
      <c r="B152" s="17">
        <v>31</v>
      </c>
      <c r="C152" s="19">
        <v>5</v>
      </c>
      <c r="D152" s="19">
        <v>2021</v>
      </c>
      <c r="E152" s="23" t="e">
        <f>Electric!AB41*400</f>
        <v>#VALUE!</v>
      </c>
      <c r="G152" s="23" t="str">
        <f>Gas!R38</f>
        <v/>
      </c>
      <c r="I152" s="23" t="str">
        <f>Water!R38</f>
        <v/>
      </c>
    </row>
    <row r="153" spans="1:9" x14ac:dyDescent="0.25">
      <c r="A153" s="18" t="s">
        <v>12</v>
      </c>
      <c r="B153" s="17">
        <v>1</v>
      </c>
      <c r="C153" s="19">
        <v>6</v>
      </c>
      <c r="D153" s="19">
        <v>2021</v>
      </c>
      <c r="E153" s="23" t="e">
        <f>Electric!AG11*400</f>
        <v>#VALUE!</v>
      </c>
      <c r="G153" s="23" t="str">
        <f>Gas!U8</f>
        <v/>
      </c>
      <c r="I153" s="23" t="str">
        <f>Water!U8</f>
        <v/>
      </c>
    </row>
    <row r="154" spans="1:9" x14ac:dyDescent="0.25">
      <c r="A154" s="18" t="s">
        <v>12</v>
      </c>
      <c r="B154" s="17">
        <v>2</v>
      </c>
      <c r="C154" s="19">
        <v>6</v>
      </c>
      <c r="D154" s="19">
        <v>2021</v>
      </c>
      <c r="E154" s="23" t="e">
        <f>Electric!AG12*400</f>
        <v>#VALUE!</v>
      </c>
      <c r="G154" s="23" t="str">
        <f>Gas!U9</f>
        <v/>
      </c>
      <c r="I154" s="23" t="str">
        <f>Water!U9</f>
        <v/>
      </c>
    </row>
    <row r="155" spans="1:9" x14ac:dyDescent="0.25">
      <c r="A155" s="18" t="s">
        <v>12</v>
      </c>
      <c r="B155" s="17">
        <v>3</v>
      </c>
      <c r="C155" s="19">
        <v>6</v>
      </c>
      <c r="D155" s="19">
        <v>2021</v>
      </c>
      <c r="E155" s="23" t="e">
        <f>Electric!AG13*400</f>
        <v>#VALUE!</v>
      </c>
      <c r="G155" s="23" t="str">
        <f>Gas!U10</f>
        <v/>
      </c>
      <c r="I155" s="23" t="str">
        <f>Water!U10</f>
        <v/>
      </c>
    </row>
    <row r="156" spans="1:9" x14ac:dyDescent="0.25">
      <c r="A156" s="18" t="s">
        <v>12</v>
      </c>
      <c r="B156" s="17">
        <v>4</v>
      </c>
      <c r="C156" s="19">
        <v>6</v>
      </c>
      <c r="D156" s="19">
        <v>2021</v>
      </c>
      <c r="E156" s="23" t="e">
        <f>Electric!AG14*400</f>
        <v>#VALUE!</v>
      </c>
      <c r="G156" s="23" t="str">
        <f>Gas!U11</f>
        <v/>
      </c>
      <c r="I156" s="23" t="str">
        <f>Water!U11</f>
        <v/>
      </c>
    </row>
    <row r="157" spans="1:9" x14ac:dyDescent="0.25">
      <c r="A157" s="18" t="s">
        <v>12</v>
      </c>
      <c r="B157" s="17">
        <v>5</v>
      </c>
      <c r="C157" s="19">
        <v>6</v>
      </c>
      <c r="D157" s="19">
        <v>2021</v>
      </c>
      <c r="E157" s="23" t="e">
        <f>Electric!AG15*400</f>
        <v>#VALUE!</v>
      </c>
      <c r="G157" s="23" t="str">
        <f>Gas!U12</f>
        <v/>
      </c>
      <c r="I157" s="23" t="str">
        <f>Water!U12</f>
        <v/>
      </c>
    </row>
    <row r="158" spans="1:9" x14ac:dyDescent="0.25">
      <c r="A158" s="18" t="s">
        <v>12</v>
      </c>
      <c r="B158" s="17">
        <v>6</v>
      </c>
      <c r="C158" s="19">
        <v>6</v>
      </c>
      <c r="D158" s="19">
        <v>2021</v>
      </c>
      <c r="E158" s="23" t="e">
        <f>Electric!AG16*400</f>
        <v>#VALUE!</v>
      </c>
      <c r="G158" s="23" t="str">
        <f>Gas!U13</f>
        <v/>
      </c>
      <c r="I158" s="23" t="str">
        <f>Water!U13</f>
        <v/>
      </c>
    </row>
    <row r="159" spans="1:9" x14ac:dyDescent="0.25">
      <c r="A159" s="18" t="s">
        <v>12</v>
      </c>
      <c r="B159" s="17">
        <v>7</v>
      </c>
      <c r="C159" s="19">
        <v>6</v>
      </c>
      <c r="D159" s="19">
        <v>2021</v>
      </c>
      <c r="E159" s="23" t="e">
        <f>Electric!AG17*400</f>
        <v>#VALUE!</v>
      </c>
      <c r="G159" s="23" t="str">
        <f>Gas!U14</f>
        <v/>
      </c>
      <c r="I159" s="23" t="str">
        <f>Water!U14</f>
        <v/>
      </c>
    </row>
    <row r="160" spans="1:9" x14ac:dyDescent="0.25">
      <c r="A160" s="18" t="s">
        <v>12</v>
      </c>
      <c r="B160" s="17">
        <v>8</v>
      </c>
      <c r="C160" s="19">
        <v>6</v>
      </c>
      <c r="D160" s="19">
        <v>2021</v>
      </c>
      <c r="E160" s="23" t="e">
        <f>Electric!AG18*400</f>
        <v>#VALUE!</v>
      </c>
      <c r="G160" s="23" t="str">
        <f>Gas!U15</f>
        <v/>
      </c>
      <c r="I160" s="23" t="str">
        <f>Water!U15</f>
        <v/>
      </c>
    </row>
    <row r="161" spans="1:9" x14ac:dyDescent="0.25">
      <c r="A161" s="18" t="s">
        <v>12</v>
      </c>
      <c r="B161" s="17">
        <v>9</v>
      </c>
      <c r="C161" s="19">
        <v>6</v>
      </c>
      <c r="D161" s="19">
        <v>2021</v>
      </c>
      <c r="E161" s="23" t="e">
        <f>Electric!AG19*400</f>
        <v>#VALUE!</v>
      </c>
      <c r="G161" s="23" t="str">
        <f>Gas!U16</f>
        <v/>
      </c>
      <c r="I161" s="23" t="str">
        <f>Water!U16</f>
        <v/>
      </c>
    </row>
    <row r="162" spans="1:9" x14ac:dyDescent="0.25">
      <c r="A162" s="18" t="s">
        <v>12</v>
      </c>
      <c r="B162" s="17">
        <v>10</v>
      </c>
      <c r="C162" s="19">
        <v>6</v>
      </c>
      <c r="D162" s="19">
        <v>2021</v>
      </c>
      <c r="E162" s="23" t="e">
        <f>Electric!AG20*400</f>
        <v>#VALUE!</v>
      </c>
      <c r="G162" s="23" t="str">
        <f>Gas!U17</f>
        <v/>
      </c>
      <c r="I162" s="23" t="str">
        <f>Water!U17</f>
        <v/>
      </c>
    </row>
    <row r="163" spans="1:9" x14ac:dyDescent="0.25">
      <c r="A163" s="18" t="s">
        <v>12</v>
      </c>
      <c r="B163" s="17">
        <v>11</v>
      </c>
      <c r="C163" s="19">
        <v>6</v>
      </c>
      <c r="D163" s="19">
        <v>2021</v>
      </c>
      <c r="E163" s="23" t="e">
        <f>Electric!AG21*400</f>
        <v>#VALUE!</v>
      </c>
      <c r="G163" s="23" t="str">
        <f>Gas!U18</f>
        <v/>
      </c>
      <c r="I163" s="23" t="str">
        <f>Water!U18</f>
        <v/>
      </c>
    </row>
    <row r="164" spans="1:9" x14ac:dyDescent="0.25">
      <c r="A164" s="18" t="s">
        <v>12</v>
      </c>
      <c r="B164" s="17">
        <v>12</v>
      </c>
      <c r="C164" s="19">
        <v>6</v>
      </c>
      <c r="D164" s="19">
        <v>2021</v>
      </c>
      <c r="E164" s="23" t="e">
        <f>Electric!AG22*400</f>
        <v>#VALUE!</v>
      </c>
      <c r="G164" s="23" t="str">
        <f>Gas!U19</f>
        <v/>
      </c>
      <c r="I164" s="23" t="str">
        <f>Water!U19</f>
        <v/>
      </c>
    </row>
    <row r="165" spans="1:9" x14ac:dyDescent="0.25">
      <c r="A165" s="18" t="s">
        <v>12</v>
      </c>
      <c r="B165" s="17">
        <v>13</v>
      </c>
      <c r="C165" s="19">
        <v>6</v>
      </c>
      <c r="D165" s="19">
        <v>2021</v>
      </c>
      <c r="E165" s="23" t="e">
        <f>Electric!AG23*400</f>
        <v>#VALUE!</v>
      </c>
      <c r="G165" s="23" t="str">
        <f>Gas!U20</f>
        <v/>
      </c>
      <c r="I165" s="23" t="str">
        <f>Water!U20</f>
        <v/>
      </c>
    </row>
    <row r="166" spans="1:9" x14ac:dyDescent="0.25">
      <c r="A166" s="18" t="s">
        <v>12</v>
      </c>
      <c r="B166" s="17">
        <v>14</v>
      </c>
      <c r="C166" s="19">
        <v>6</v>
      </c>
      <c r="D166" s="19">
        <v>2021</v>
      </c>
      <c r="E166" s="23" t="e">
        <f>Electric!AG24*400</f>
        <v>#VALUE!</v>
      </c>
      <c r="G166" s="23" t="str">
        <f>Gas!U21</f>
        <v/>
      </c>
      <c r="I166" s="23" t="str">
        <f>Water!U21</f>
        <v/>
      </c>
    </row>
    <row r="167" spans="1:9" x14ac:dyDescent="0.25">
      <c r="A167" s="18" t="s">
        <v>12</v>
      </c>
      <c r="B167" s="17">
        <v>15</v>
      </c>
      <c r="C167" s="19">
        <v>6</v>
      </c>
      <c r="D167" s="19">
        <v>2021</v>
      </c>
      <c r="E167" s="23" t="e">
        <f>Electric!AG25*400</f>
        <v>#VALUE!</v>
      </c>
      <c r="G167" s="23" t="str">
        <f>Gas!U22</f>
        <v/>
      </c>
      <c r="I167" s="23" t="str">
        <f>Water!U22</f>
        <v/>
      </c>
    </row>
    <row r="168" spans="1:9" x14ac:dyDescent="0.25">
      <c r="A168" s="18" t="s">
        <v>12</v>
      </c>
      <c r="B168" s="17">
        <v>16</v>
      </c>
      <c r="C168" s="19">
        <v>6</v>
      </c>
      <c r="D168" s="19">
        <v>2021</v>
      </c>
      <c r="E168" s="23" t="e">
        <f>Electric!AG26*400</f>
        <v>#VALUE!</v>
      </c>
      <c r="G168" s="23" t="str">
        <f>Gas!U23</f>
        <v/>
      </c>
      <c r="I168" s="23" t="str">
        <f>Water!U23</f>
        <v/>
      </c>
    </row>
    <row r="169" spans="1:9" x14ac:dyDescent="0.25">
      <c r="A169" s="18" t="s">
        <v>12</v>
      </c>
      <c r="B169" s="17">
        <v>17</v>
      </c>
      <c r="C169" s="19">
        <v>6</v>
      </c>
      <c r="D169" s="19">
        <v>2021</v>
      </c>
      <c r="E169" s="23" t="e">
        <f>Electric!AG27*400</f>
        <v>#VALUE!</v>
      </c>
      <c r="G169" s="23" t="str">
        <f>Gas!U24</f>
        <v/>
      </c>
      <c r="I169" s="23" t="str">
        <f>Water!U24</f>
        <v/>
      </c>
    </row>
    <row r="170" spans="1:9" x14ac:dyDescent="0.25">
      <c r="A170" s="18" t="s">
        <v>12</v>
      </c>
      <c r="B170" s="17">
        <v>18</v>
      </c>
      <c r="C170" s="19">
        <v>6</v>
      </c>
      <c r="D170" s="19">
        <v>2021</v>
      </c>
      <c r="E170" s="23" t="e">
        <f>Electric!AG28*400</f>
        <v>#VALUE!</v>
      </c>
      <c r="G170" s="23" t="str">
        <f>Gas!U25</f>
        <v/>
      </c>
      <c r="I170" s="23" t="str">
        <f>Water!U25</f>
        <v/>
      </c>
    </row>
    <row r="171" spans="1:9" x14ac:dyDescent="0.25">
      <c r="A171" s="18" t="s">
        <v>12</v>
      </c>
      <c r="B171" s="17">
        <v>19</v>
      </c>
      <c r="C171" s="19">
        <v>6</v>
      </c>
      <c r="D171" s="19">
        <v>2021</v>
      </c>
      <c r="E171" s="23" t="e">
        <f>Electric!AG29*400</f>
        <v>#VALUE!</v>
      </c>
      <c r="G171" s="23" t="str">
        <f>Gas!U26</f>
        <v/>
      </c>
      <c r="I171" s="23" t="str">
        <f>Water!U26</f>
        <v/>
      </c>
    </row>
    <row r="172" spans="1:9" x14ac:dyDescent="0.25">
      <c r="A172" s="18" t="s">
        <v>12</v>
      </c>
      <c r="B172" s="17">
        <v>20</v>
      </c>
      <c r="C172" s="19">
        <v>6</v>
      </c>
      <c r="D172" s="19">
        <v>2021</v>
      </c>
      <c r="E172" s="23" t="e">
        <f>Electric!AG30*400</f>
        <v>#VALUE!</v>
      </c>
      <c r="G172" s="23" t="str">
        <f>Gas!U27</f>
        <v/>
      </c>
      <c r="I172" s="23" t="str">
        <f>Water!U27</f>
        <v/>
      </c>
    </row>
    <row r="173" spans="1:9" x14ac:dyDescent="0.25">
      <c r="A173" s="18" t="s">
        <v>12</v>
      </c>
      <c r="B173" s="17">
        <v>21</v>
      </c>
      <c r="C173" s="19">
        <v>6</v>
      </c>
      <c r="D173" s="19">
        <v>2021</v>
      </c>
      <c r="E173" s="23" t="e">
        <f>Electric!AG31*400</f>
        <v>#VALUE!</v>
      </c>
      <c r="G173" s="23" t="str">
        <f>Gas!U28</f>
        <v/>
      </c>
      <c r="I173" s="23" t="str">
        <f>Water!U28</f>
        <v/>
      </c>
    </row>
    <row r="174" spans="1:9" x14ac:dyDescent="0.25">
      <c r="A174" s="18" t="s">
        <v>12</v>
      </c>
      <c r="B174" s="17">
        <v>22</v>
      </c>
      <c r="C174" s="19">
        <v>6</v>
      </c>
      <c r="D174" s="19">
        <v>2021</v>
      </c>
      <c r="E174" s="23" t="e">
        <f>Electric!AG32*400</f>
        <v>#VALUE!</v>
      </c>
      <c r="G174" s="23" t="str">
        <f>Gas!U29</f>
        <v/>
      </c>
      <c r="I174" s="23" t="str">
        <f>Water!U29</f>
        <v/>
      </c>
    </row>
    <row r="175" spans="1:9" x14ac:dyDescent="0.25">
      <c r="A175" s="18" t="s">
        <v>12</v>
      </c>
      <c r="B175" s="17">
        <v>23</v>
      </c>
      <c r="C175" s="19">
        <v>6</v>
      </c>
      <c r="D175" s="19">
        <v>2021</v>
      </c>
      <c r="E175" s="23" t="e">
        <f>Electric!AG33*400</f>
        <v>#VALUE!</v>
      </c>
      <c r="G175" s="23" t="str">
        <f>Gas!U30</f>
        <v/>
      </c>
      <c r="I175" s="23" t="str">
        <f>Water!U30</f>
        <v/>
      </c>
    </row>
    <row r="176" spans="1:9" x14ac:dyDescent="0.25">
      <c r="A176" s="18" t="s">
        <v>12</v>
      </c>
      <c r="B176" s="17">
        <v>24</v>
      </c>
      <c r="C176" s="19">
        <v>6</v>
      </c>
      <c r="D176" s="19">
        <v>2021</v>
      </c>
      <c r="E176" s="23" t="e">
        <f>Electric!AG34*400</f>
        <v>#VALUE!</v>
      </c>
      <c r="G176" s="23" t="str">
        <f>Gas!U31</f>
        <v/>
      </c>
      <c r="I176" s="23" t="str">
        <f>Water!U31</f>
        <v/>
      </c>
    </row>
    <row r="177" spans="1:9" x14ac:dyDescent="0.25">
      <c r="A177" s="18" t="s">
        <v>12</v>
      </c>
      <c r="B177" s="17">
        <v>25</v>
      </c>
      <c r="C177" s="19">
        <v>6</v>
      </c>
      <c r="D177" s="19">
        <v>2021</v>
      </c>
      <c r="E177" s="23" t="e">
        <f>Electric!AG35*400</f>
        <v>#VALUE!</v>
      </c>
      <c r="G177" s="23" t="str">
        <f>Gas!U32</f>
        <v/>
      </c>
      <c r="I177" s="23" t="str">
        <f>Water!U32</f>
        <v/>
      </c>
    </row>
    <row r="178" spans="1:9" x14ac:dyDescent="0.25">
      <c r="A178" s="18" t="s">
        <v>12</v>
      </c>
      <c r="B178" s="17">
        <v>26</v>
      </c>
      <c r="C178" s="19">
        <v>6</v>
      </c>
      <c r="D178" s="19">
        <v>2021</v>
      </c>
      <c r="E178" s="23" t="e">
        <f>Electric!AG36*400</f>
        <v>#VALUE!</v>
      </c>
      <c r="G178" s="23" t="str">
        <f>Gas!U33</f>
        <v/>
      </c>
      <c r="I178" s="23" t="str">
        <f>Water!U33</f>
        <v/>
      </c>
    </row>
    <row r="179" spans="1:9" x14ac:dyDescent="0.25">
      <c r="A179" s="18" t="s">
        <v>12</v>
      </c>
      <c r="B179" s="17">
        <v>27</v>
      </c>
      <c r="C179" s="19">
        <v>6</v>
      </c>
      <c r="D179" s="19">
        <v>2021</v>
      </c>
      <c r="E179" s="23" t="e">
        <f>Electric!AG37*400</f>
        <v>#VALUE!</v>
      </c>
      <c r="G179" s="23" t="str">
        <f>Gas!U34</f>
        <v/>
      </c>
      <c r="I179" s="23" t="str">
        <f>Water!U34</f>
        <v/>
      </c>
    </row>
    <row r="180" spans="1:9" x14ac:dyDescent="0.25">
      <c r="A180" s="18" t="s">
        <v>12</v>
      </c>
      <c r="B180" s="17">
        <v>28</v>
      </c>
      <c r="C180" s="19">
        <v>6</v>
      </c>
      <c r="D180" s="19">
        <v>2021</v>
      </c>
      <c r="E180" s="23" t="e">
        <f>Electric!AG38*400</f>
        <v>#VALUE!</v>
      </c>
      <c r="G180" s="23" t="str">
        <f>Gas!U35</f>
        <v/>
      </c>
      <c r="I180" s="23" t="str">
        <f>Water!U35</f>
        <v/>
      </c>
    </row>
    <row r="181" spans="1:9" x14ac:dyDescent="0.25">
      <c r="A181" s="18" t="s">
        <v>12</v>
      </c>
      <c r="B181" s="17">
        <v>29</v>
      </c>
      <c r="C181" s="19">
        <v>6</v>
      </c>
      <c r="D181" s="19">
        <v>2021</v>
      </c>
      <c r="E181" s="23" t="e">
        <f>Electric!AG39*400</f>
        <v>#VALUE!</v>
      </c>
      <c r="G181" s="23" t="str">
        <f>Gas!U36</f>
        <v/>
      </c>
      <c r="I181" s="23" t="str">
        <f>Water!U36</f>
        <v/>
      </c>
    </row>
    <row r="182" spans="1:9" x14ac:dyDescent="0.25">
      <c r="A182" s="18" t="s">
        <v>12</v>
      </c>
      <c r="B182" s="17">
        <v>30</v>
      </c>
      <c r="C182" s="19">
        <v>6</v>
      </c>
      <c r="D182" s="19">
        <v>2021</v>
      </c>
      <c r="E182" s="23" t="e">
        <f>Electric!AG40*400</f>
        <v>#VALUE!</v>
      </c>
      <c r="G182" s="23" t="str">
        <f>Gas!U37</f>
        <v/>
      </c>
      <c r="I182" s="23" t="str">
        <f>Water!U37</f>
        <v/>
      </c>
    </row>
    <row r="183" spans="1:9" x14ac:dyDescent="0.25">
      <c r="A183" s="18" t="s">
        <v>12</v>
      </c>
      <c r="B183" s="17">
        <v>1</v>
      </c>
      <c r="C183" s="19">
        <v>7</v>
      </c>
      <c r="D183" s="19">
        <v>2021</v>
      </c>
      <c r="E183" s="23" t="e">
        <f>Electric!AL11*400</f>
        <v>#VALUE!</v>
      </c>
      <c r="G183" s="23" t="str">
        <f>Gas!X8</f>
        <v/>
      </c>
      <c r="I183" s="23" t="str">
        <f>Water!X8</f>
        <v/>
      </c>
    </row>
    <row r="184" spans="1:9" x14ac:dyDescent="0.25">
      <c r="A184" s="18" t="s">
        <v>12</v>
      </c>
      <c r="B184" s="17">
        <v>2</v>
      </c>
      <c r="C184" s="19">
        <v>7</v>
      </c>
      <c r="D184" s="19">
        <v>2021</v>
      </c>
      <c r="E184" s="23" t="e">
        <f>Electric!AL12*400</f>
        <v>#VALUE!</v>
      </c>
      <c r="G184" s="23" t="str">
        <f>Gas!X9</f>
        <v/>
      </c>
      <c r="I184" s="23" t="str">
        <f>Water!X9</f>
        <v/>
      </c>
    </row>
    <row r="185" spans="1:9" x14ac:dyDescent="0.25">
      <c r="A185" s="18" t="s">
        <v>12</v>
      </c>
      <c r="B185" s="17">
        <v>3</v>
      </c>
      <c r="C185" s="19">
        <v>7</v>
      </c>
      <c r="D185" s="19">
        <v>2021</v>
      </c>
      <c r="E185" s="23" t="e">
        <f>Electric!AL13*400</f>
        <v>#VALUE!</v>
      </c>
      <c r="G185" s="23" t="str">
        <f>Gas!X10</f>
        <v/>
      </c>
      <c r="I185" s="23" t="str">
        <f>Water!X10</f>
        <v/>
      </c>
    </row>
    <row r="186" spans="1:9" x14ac:dyDescent="0.25">
      <c r="A186" s="18" t="s">
        <v>12</v>
      </c>
      <c r="B186" s="17">
        <v>4</v>
      </c>
      <c r="C186" s="19">
        <v>7</v>
      </c>
      <c r="D186" s="19">
        <v>2021</v>
      </c>
      <c r="E186" s="23" t="e">
        <f>Electric!AL14*400</f>
        <v>#VALUE!</v>
      </c>
      <c r="G186" s="23" t="str">
        <f>Gas!X11</f>
        <v/>
      </c>
      <c r="I186" s="23" t="str">
        <f>Water!X11</f>
        <v/>
      </c>
    </row>
    <row r="187" spans="1:9" x14ac:dyDescent="0.25">
      <c r="A187" s="18" t="s">
        <v>12</v>
      </c>
      <c r="B187" s="17">
        <v>5</v>
      </c>
      <c r="C187" s="19">
        <v>7</v>
      </c>
      <c r="D187" s="19">
        <v>2021</v>
      </c>
      <c r="E187" s="23" t="e">
        <f>Electric!AL15*400</f>
        <v>#VALUE!</v>
      </c>
      <c r="G187" s="23" t="str">
        <f>Gas!X12</f>
        <v/>
      </c>
      <c r="I187" s="23" t="str">
        <f>Water!X12</f>
        <v/>
      </c>
    </row>
    <row r="188" spans="1:9" x14ac:dyDescent="0.25">
      <c r="A188" s="18" t="s">
        <v>12</v>
      </c>
      <c r="B188" s="17">
        <v>6</v>
      </c>
      <c r="C188" s="19">
        <v>7</v>
      </c>
      <c r="D188" s="19">
        <v>2021</v>
      </c>
      <c r="E188" s="23" t="e">
        <f>Electric!AL16*400</f>
        <v>#VALUE!</v>
      </c>
      <c r="G188" s="23" t="str">
        <f>Gas!X13</f>
        <v/>
      </c>
      <c r="I188" s="23" t="str">
        <f>Water!X13</f>
        <v/>
      </c>
    </row>
    <row r="189" spans="1:9" x14ac:dyDescent="0.25">
      <c r="A189" s="18" t="s">
        <v>12</v>
      </c>
      <c r="B189" s="17">
        <v>7</v>
      </c>
      <c r="C189" s="19">
        <v>7</v>
      </c>
      <c r="D189" s="19">
        <v>2021</v>
      </c>
      <c r="E189" s="23" t="e">
        <f>Electric!AL17*400</f>
        <v>#VALUE!</v>
      </c>
      <c r="G189" s="23" t="str">
        <f>Gas!X14</f>
        <v/>
      </c>
      <c r="I189" s="23" t="str">
        <f>Water!X14</f>
        <v/>
      </c>
    </row>
    <row r="190" spans="1:9" x14ac:dyDescent="0.25">
      <c r="A190" s="18" t="s">
        <v>12</v>
      </c>
      <c r="B190" s="17">
        <v>8</v>
      </c>
      <c r="C190" s="19">
        <v>7</v>
      </c>
      <c r="D190" s="19">
        <v>2021</v>
      </c>
      <c r="E190" s="23" t="e">
        <f>Electric!AL18*400</f>
        <v>#VALUE!</v>
      </c>
      <c r="G190" s="23" t="str">
        <f>Gas!X15</f>
        <v/>
      </c>
      <c r="I190" s="23" t="str">
        <f>Water!X15</f>
        <v/>
      </c>
    </row>
    <row r="191" spans="1:9" x14ac:dyDescent="0.25">
      <c r="A191" s="18" t="s">
        <v>12</v>
      </c>
      <c r="B191" s="17">
        <v>9</v>
      </c>
      <c r="C191" s="19">
        <v>7</v>
      </c>
      <c r="D191" s="19">
        <v>2021</v>
      </c>
      <c r="E191" s="23" t="e">
        <f>Electric!AL19*400</f>
        <v>#VALUE!</v>
      </c>
      <c r="G191" s="23" t="str">
        <f>Gas!X16</f>
        <v/>
      </c>
      <c r="I191" s="23" t="str">
        <f>Water!X16</f>
        <v/>
      </c>
    </row>
    <row r="192" spans="1:9" x14ac:dyDescent="0.25">
      <c r="A192" s="18" t="s">
        <v>12</v>
      </c>
      <c r="B192" s="17">
        <v>10</v>
      </c>
      <c r="C192" s="19">
        <v>7</v>
      </c>
      <c r="D192" s="19">
        <v>2021</v>
      </c>
      <c r="E192" s="23" t="e">
        <f>Electric!AL20*400</f>
        <v>#VALUE!</v>
      </c>
      <c r="G192" s="23" t="str">
        <f>Gas!X17</f>
        <v/>
      </c>
      <c r="I192" s="23" t="str">
        <f>Water!X17</f>
        <v/>
      </c>
    </row>
    <row r="193" spans="1:9" x14ac:dyDescent="0.25">
      <c r="A193" s="18" t="s">
        <v>12</v>
      </c>
      <c r="B193" s="17">
        <v>11</v>
      </c>
      <c r="C193" s="19">
        <v>7</v>
      </c>
      <c r="D193" s="19">
        <v>2021</v>
      </c>
      <c r="E193" s="23" t="e">
        <f>Electric!AL21*400</f>
        <v>#VALUE!</v>
      </c>
      <c r="G193" s="23" t="str">
        <f>Gas!X18</f>
        <v/>
      </c>
      <c r="I193" s="23" t="str">
        <f>Water!X18</f>
        <v/>
      </c>
    </row>
    <row r="194" spans="1:9" x14ac:dyDescent="0.25">
      <c r="A194" s="18" t="s">
        <v>12</v>
      </c>
      <c r="B194" s="17">
        <v>12</v>
      </c>
      <c r="C194" s="19">
        <v>7</v>
      </c>
      <c r="D194" s="19">
        <v>2021</v>
      </c>
      <c r="E194" s="23" t="e">
        <f>Electric!AL22*400</f>
        <v>#VALUE!</v>
      </c>
      <c r="G194" s="23" t="str">
        <f>Gas!X19</f>
        <v/>
      </c>
      <c r="I194" s="23" t="str">
        <f>Water!X19</f>
        <v/>
      </c>
    </row>
    <row r="195" spans="1:9" x14ac:dyDescent="0.25">
      <c r="A195" s="18" t="s">
        <v>12</v>
      </c>
      <c r="B195" s="17">
        <v>13</v>
      </c>
      <c r="C195" s="19">
        <v>7</v>
      </c>
      <c r="D195" s="19">
        <v>2021</v>
      </c>
      <c r="E195" s="23" t="e">
        <f>Electric!AL23*400</f>
        <v>#VALUE!</v>
      </c>
      <c r="G195" s="23" t="str">
        <f>Gas!X20</f>
        <v/>
      </c>
      <c r="I195" s="23" t="str">
        <f>Water!X20</f>
        <v/>
      </c>
    </row>
    <row r="196" spans="1:9" x14ac:dyDescent="0.25">
      <c r="A196" s="18" t="s">
        <v>12</v>
      </c>
      <c r="B196" s="17">
        <v>14</v>
      </c>
      <c r="C196" s="19">
        <v>7</v>
      </c>
      <c r="D196" s="19">
        <v>2021</v>
      </c>
      <c r="E196" s="23" t="e">
        <f>Electric!AL24*400</f>
        <v>#VALUE!</v>
      </c>
      <c r="G196" s="23" t="str">
        <f>Gas!X21</f>
        <v/>
      </c>
      <c r="I196" s="23" t="str">
        <f>Water!X21</f>
        <v/>
      </c>
    </row>
    <row r="197" spans="1:9" x14ac:dyDescent="0.25">
      <c r="A197" s="18" t="s">
        <v>12</v>
      </c>
      <c r="B197" s="17">
        <v>15</v>
      </c>
      <c r="C197" s="19">
        <v>7</v>
      </c>
      <c r="D197" s="19">
        <v>2021</v>
      </c>
      <c r="E197" s="23" t="e">
        <f>Electric!AL25*400</f>
        <v>#VALUE!</v>
      </c>
      <c r="G197" s="23" t="str">
        <f>Gas!X22</f>
        <v/>
      </c>
      <c r="I197" s="23" t="str">
        <f>Water!X22</f>
        <v/>
      </c>
    </row>
    <row r="198" spans="1:9" x14ac:dyDescent="0.25">
      <c r="A198" s="18" t="s">
        <v>12</v>
      </c>
      <c r="B198" s="17">
        <v>16</v>
      </c>
      <c r="C198" s="19">
        <v>7</v>
      </c>
      <c r="D198" s="19">
        <v>2021</v>
      </c>
      <c r="E198" s="23" t="e">
        <f>Electric!AL26*400</f>
        <v>#VALUE!</v>
      </c>
      <c r="G198" s="23" t="str">
        <f>Gas!X23</f>
        <v/>
      </c>
      <c r="I198" s="23" t="str">
        <f>Water!X23</f>
        <v/>
      </c>
    </row>
    <row r="199" spans="1:9" x14ac:dyDescent="0.25">
      <c r="A199" s="18" t="s">
        <v>12</v>
      </c>
      <c r="B199" s="17">
        <v>17</v>
      </c>
      <c r="C199" s="19">
        <v>7</v>
      </c>
      <c r="D199" s="19">
        <v>2021</v>
      </c>
      <c r="E199" s="23" t="e">
        <f>Electric!AL27*400</f>
        <v>#VALUE!</v>
      </c>
      <c r="G199" s="23" t="str">
        <f>Gas!X24</f>
        <v/>
      </c>
      <c r="I199" s="23" t="str">
        <f>Water!X24</f>
        <v/>
      </c>
    </row>
    <row r="200" spans="1:9" x14ac:dyDescent="0.25">
      <c r="A200" s="18" t="s">
        <v>12</v>
      </c>
      <c r="B200" s="17">
        <v>18</v>
      </c>
      <c r="C200" s="19">
        <v>7</v>
      </c>
      <c r="D200" s="19">
        <v>2021</v>
      </c>
      <c r="E200" s="23" t="e">
        <f>Electric!AL28*400</f>
        <v>#VALUE!</v>
      </c>
      <c r="G200" s="23" t="str">
        <f>Gas!X25</f>
        <v/>
      </c>
      <c r="I200" s="23" t="str">
        <f>Water!X25</f>
        <v/>
      </c>
    </row>
    <row r="201" spans="1:9" x14ac:dyDescent="0.25">
      <c r="A201" s="18" t="s">
        <v>12</v>
      </c>
      <c r="B201" s="17">
        <v>19</v>
      </c>
      <c r="C201" s="19">
        <v>7</v>
      </c>
      <c r="D201" s="19">
        <v>2021</v>
      </c>
      <c r="E201" s="23" t="e">
        <f>Electric!AL29*400</f>
        <v>#VALUE!</v>
      </c>
      <c r="G201" s="23" t="str">
        <f>Gas!X26</f>
        <v/>
      </c>
      <c r="I201" s="23" t="str">
        <f>Water!X26</f>
        <v/>
      </c>
    </row>
    <row r="202" spans="1:9" x14ac:dyDescent="0.25">
      <c r="A202" s="18" t="s">
        <v>12</v>
      </c>
      <c r="B202" s="17">
        <v>20</v>
      </c>
      <c r="C202" s="19">
        <v>7</v>
      </c>
      <c r="D202" s="19">
        <v>2021</v>
      </c>
      <c r="E202" s="23" t="e">
        <f>Electric!AL30*400</f>
        <v>#VALUE!</v>
      </c>
      <c r="G202" s="23" t="str">
        <f>Gas!X27</f>
        <v/>
      </c>
      <c r="I202" s="23" t="str">
        <f>Water!X27</f>
        <v/>
      </c>
    </row>
    <row r="203" spans="1:9" x14ac:dyDescent="0.25">
      <c r="A203" s="18" t="s">
        <v>12</v>
      </c>
      <c r="B203" s="17">
        <v>21</v>
      </c>
      <c r="C203" s="19">
        <v>7</v>
      </c>
      <c r="D203" s="19">
        <v>2021</v>
      </c>
      <c r="E203" s="23" t="e">
        <f>Electric!AL31*400</f>
        <v>#VALUE!</v>
      </c>
      <c r="G203" s="23" t="str">
        <f>Gas!X28</f>
        <v/>
      </c>
      <c r="I203" s="23" t="str">
        <f>Water!X28</f>
        <v/>
      </c>
    </row>
    <row r="204" spans="1:9" x14ac:dyDescent="0.25">
      <c r="A204" s="18" t="s">
        <v>12</v>
      </c>
      <c r="B204" s="17">
        <v>22</v>
      </c>
      <c r="C204" s="19">
        <v>7</v>
      </c>
      <c r="D204" s="19">
        <v>2021</v>
      </c>
      <c r="E204" s="23" t="e">
        <f>Electric!AL32*400</f>
        <v>#VALUE!</v>
      </c>
      <c r="G204" s="23" t="str">
        <f>Gas!X29</f>
        <v/>
      </c>
      <c r="I204" s="23" t="str">
        <f>Water!X29</f>
        <v/>
      </c>
    </row>
    <row r="205" spans="1:9" x14ac:dyDescent="0.25">
      <c r="A205" s="18" t="s">
        <v>12</v>
      </c>
      <c r="B205" s="17">
        <v>23</v>
      </c>
      <c r="C205" s="19">
        <v>7</v>
      </c>
      <c r="D205" s="19">
        <v>2021</v>
      </c>
      <c r="E205" s="23" t="e">
        <f>Electric!AL33*400</f>
        <v>#VALUE!</v>
      </c>
      <c r="G205" s="23" t="str">
        <f>Gas!X30</f>
        <v/>
      </c>
      <c r="I205" s="23" t="str">
        <f>Water!X30</f>
        <v/>
      </c>
    </row>
    <row r="206" spans="1:9" x14ac:dyDescent="0.25">
      <c r="A206" s="18" t="s">
        <v>12</v>
      </c>
      <c r="B206" s="17">
        <v>24</v>
      </c>
      <c r="C206" s="19">
        <v>7</v>
      </c>
      <c r="D206" s="19">
        <v>2021</v>
      </c>
      <c r="E206" s="23" t="e">
        <f>Electric!AL34*400</f>
        <v>#VALUE!</v>
      </c>
      <c r="G206" s="23" t="str">
        <f>Gas!X31</f>
        <v/>
      </c>
      <c r="I206" s="23" t="str">
        <f>Water!X31</f>
        <v/>
      </c>
    </row>
    <row r="207" spans="1:9" x14ac:dyDescent="0.25">
      <c r="A207" s="18" t="s">
        <v>12</v>
      </c>
      <c r="B207" s="17">
        <v>25</v>
      </c>
      <c r="C207" s="19">
        <v>7</v>
      </c>
      <c r="D207" s="19">
        <v>2021</v>
      </c>
      <c r="E207" s="23" t="e">
        <f>Electric!AL35*400</f>
        <v>#VALUE!</v>
      </c>
      <c r="G207" s="23" t="str">
        <f>Gas!X32</f>
        <v/>
      </c>
      <c r="I207" s="23" t="str">
        <f>Water!X32</f>
        <v/>
      </c>
    </row>
    <row r="208" spans="1:9" x14ac:dyDescent="0.25">
      <c r="A208" s="18" t="s">
        <v>12</v>
      </c>
      <c r="B208" s="17">
        <v>26</v>
      </c>
      <c r="C208" s="19">
        <v>7</v>
      </c>
      <c r="D208" s="19">
        <v>2021</v>
      </c>
      <c r="E208" s="23" t="e">
        <f>Electric!AL36*400</f>
        <v>#VALUE!</v>
      </c>
      <c r="G208" s="23" t="str">
        <f>Gas!X33</f>
        <v/>
      </c>
      <c r="I208" s="23" t="str">
        <f>Water!X33</f>
        <v/>
      </c>
    </row>
    <row r="209" spans="1:9" x14ac:dyDescent="0.25">
      <c r="A209" s="18" t="s">
        <v>12</v>
      </c>
      <c r="B209" s="17">
        <v>27</v>
      </c>
      <c r="C209" s="19">
        <v>7</v>
      </c>
      <c r="D209" s="19">
        <v>2021</v>
      </c>
      <c r="E209" s="23" t="e">
        <f>Electric!AL37*400</f>
        <v>#VALUE!</v>
      </c>
      <c r="G209" s="23" t="str">
        <f>Gas!X34</f>
        <v/>
      </c>
      <c r="I209" s="23" t="str">
        <f>Water!X34</f>
        <v/>
      </c>
    </row>
    <row r="210" spans="1:9" x14ac:dyDescent="0.25">
      <c r="A210" s="18" t="s">
        <v>12</v>
      </c>
      <c r="B210" s="17">
        <v>28</v>
      </c>
      <c r="C210" s="19">
        <v>7</v>
      </c>
      <c r="D210" s="19">
        <v>2021</v>
      </c>
      <c r="E210" s="23" t="e">
        <f>Electric!AL38*400</f>
        <v>#VALUE!</v>
      </c>
      <c r="G210" s="23" t="str">
        <f>Gas!X35</f>
        <v/>
      </c>
      <c r="I210" s="23" t="str">
        <f>Water!X35</f>
        <v/>
      </c>
    </row>
    <row r="211" spans="1:9" x14ac:dyDescent="0.25">
      <c r="A211" s="18" t="s">
        <v>12</v>
      </c>
      <c r="B211" s="17">
        <v>29</v>
      </c>
      <c r="C211" s="19">
        <v>7</v>
      </c>
      <c r="D211" s="19">
        <v>2021</v>
      </c>
      <c r="E211" s="23" t="e">
        <f>Electric!AL39*400</f>
        <v>#VALUE!</v>
      </c>
      <c r="G211" s="23" t="str">
        <f>Gas!X36</f>
        <v/>
      </c>
      <c r="I211" s="23" t="str">
        <f>Water!X36</f>
        <v/>
      </c>
    </row>
    <row r="212" spans="1:9" x14ac:dyDescent="0.25">
      <c r="A212" s="18" t="s">
        <v>12</v>
      </c>
      <c r="B212" s="17">
        <v>30</v>
      </c>
      <c r="C212" s="19">
        <v>7</v>
      </c>
      <c r="D212" s="19">
        <v>2021</v>
      </c>
      <c r="E212" s="23" t="e">
        <f>Electric!AL40*400</f>
        <v>#VALUE!</v>
      </c>
      <c r="G212" s="23" t="str">
        <f>Gas!X37</f>
        <v/>
      </c>
      <c r="I212" s="23" t="str">
        <f>Water!X37</f>
        <v/>
      </c>
    </row>
    <row r="213" spans="1:9" x14ac:dyDescent="0.25">
      <c r="A213" s="18" t="s">
        <v>12</v>
      </c>
      <c r="B213" s="17">
        <v>31</v>
      </c>
      <c r="C213" s="19">
        <v>7</v>
      </c>
      <c r="D213" s="19">
        <v>2021</v>
      </c>
      <c r="E213" s="23" t="e">
        <f>Electric!AL41*400</f>
        <v>#VALUE!</v>
      </c>
      <c r="G213" s="23" t="str">
        <f>Gas!X38</f>
        <v/>
      </c>
      <c r="I213" s="23" t="str">
        <f>Water!X38</f>
        <v/>
      </c>
    </row>
    <row r="214" spans="1:9" x14ac:dyDescent="0.25">
      <c r="A214" s="18" t="s">
        <v>12</v>
      </c>
      <c r="B214" s="17">
        <v>1</v>
      </c>
      <c r="C214" s="19">
        <v>8</v>
      </c>
      <c r="D214" s="19">
        <v>2021</v>
      </c>
      <c r="E214" s="23" t="e">
        <f>Electric!AQ11*400</f>
        <v>#VALUE!</v>
      </c>
      <c r="G214" s="23" t="str">
        <f>Gas!AA8</f>
        <v/>
      </c>
      <c r="I214" s="23" t="str">
        <f>Water!AA8</f>
        <v/>
      </c>
    </row>
    <row r="215" spans="1:9" x14ac:dyDescent="0.25">
      <c r="A215" s="18" t="s">
        <v>12</v>
      </c>
      <c r="B215" s="17">
        <v>2</v>
      </c>
      <c r="C215" s="19">
        <v>8</v>
      </c>
      <c r="D215" s="19">
        <v>2021</v>
      </c>
      <c r="E215" s="23" t="e">
        <f>Electric!AQ12*400</f>
        <v>#VALUE!</v>
      </c>
      <c r="G215" s="23" t="str">
        <f>Gas!AA9</f>
        <v/>
      </c>
      <c r="I215" s="23" t="str">
        <f>Water!AA9</f>
        <v/>
      </c>
    </row>
    <row r="216" spans="1:9" x14ac:dyDescent="0.25">
      <c r="A216" s="18" t="s">
        <v>12</v>
      </c>
      <c r="B216" s="17">
        <v>3</v>
      </c>
      <c r="C216" s="19">
        <v>8</v>
      </c>
      <c r="D216" s="19">
        <v>2021</v>
      </c>
      <c r="E216" s="23" t="e">
        <f>Electric!AQ13*400</f>
        <v>#VALUE!</v>
      </c>
      <c r="G216" s="23" t="str">
        <f>Gas!AA10</f>
        <v/>
      </c>
      <c r="I216" s="23" t="str">
        <f>Water!AA10</f>
        <v/>
      </c>
    </row>
    <row r="217" spans="1:9" x14ac:dyDescent="0.25">
      <c r="A217" s="18" t="s">
        <v>12</v>
      </c>
      <c r="B217" s="17">
        <v>4</v>
      </c>
      <c r="C217" s="19">
        <v>8</v>
      </c>
      <c r="D217" s="19">
        <v>2021</v>
      </c>
      <c r="E217" s="23" t="e">
        <f>Electric!AQ14*400</f>
        <v>#VALUE!</v>
      </c>
      <c r="G217" s="23" t="str">
        <f>Gas!AA11</f>
        <v/>
      </c>
      <c r="I217" s="23" t="str">
        <f>Water!AA11</f>
        <v/>
      </c>
    </row>
    <row r="218" spans="1:9" x14ac:dyDescent="0.25">
      <c r="A218" s="18" t="s">
        <v>12</v>
      </c>
      <c r="B218" s="17">
        <v>5</v>
      </c>
      <c r="C218" s="19">
        <v>8</v>
      </c>
      <c r="D218" s="19">
        <v>2021</v>
      </c>
      <c r="E218" s="23" t="e">
        <f>Electric!AQ15*400</f>
        <v>#VALUE!</v>
      </c>
      <c r="G218" s="23" t="str">
        <f>Gas!AA12</f>
        <v/>
      </c>
      <c r="I218" s="23" t="str">
        <f>Water!AA12</f>
        <v/>
      </c>
    </row>
    <row r="219" spans="1:9" x14ac:dyDescent="0.25">
      <c r="A219" s="18" t="s">
        <v>12</v>
      </c>
      <c r="B219" s="17">
        <v>6</v>
      </c>
      <c r="C219" s="19">
        <v>8</v>
      </c>
      <c r="D219" s="19">
        <v>2021</v>
      </c>
      <c r="E219" s="23" t="e">
        <f>Electric!AQ16*400</f>
        <v>#VALUE!</v>
      </c>
      <c r="G219" s="23" t="str">
        <f>Gas!AA13</f>
        <v/>
      </c>
      <c r="I219" s="23" t="str">
        <f>Water!AA13</f>
        <v/>
      </c>
    </row>
    <row r="220" spans="1:9" x14ac:dyDescent="0.25">
      <c r="A220" s="18" t="s">
        <v>12</v>
      </c>
      <c r="B220" s="17">
        <v>7</v>
      </c>
      <c r="C220" s="19">
        <v>8</v>
      </c>
      <c r="D220" s="19">
        <v>2021</v>
      </c>
      <c r="E220" s="23" t="e">
        <f>Electric!AQ17*400</f>
        <v>#VALUE!</v>
      </c>
      <c r="G220" s="23" t="str">
        <f>Gas!AA14</f>
        <v/>
      </c>
      <c r="I220" s="23" t="str">
        <f>Water!AA14</f>
        <v/>
      </c>
    </row>
    <row r="221" spans="1:9" x14ac:dyDescent="0.25">
      <c r="A221" s="18" t="s">
        <v>12</v>
      </c>
      <c r="B221" s="17">
        <v>8</v>
      </c>
      <c r="C221" s="19">
        <v>8</v>
      </c>
      <c r="D221" s="19">
        <v>2021</v>
      </c>
      <c r="E221" s="23" t="e">
        <f>Electric!AQ18*400</f>
        <v>#VALUE!</v>
      </c>
      <c r="G221" s="23" t="str">
        <f>Gas!AA15</f>
        <v/>
      </c>
      <c r="I221" s="23" t="str">
        <f>Water!AA15</f>
        <v/>
      </c>
    </row>
    <row r="222" spans="1:9" x14ac:dyDescent="0.25">
      <c r="A222" s="18" t="s">
        <v>12</v>
      </c>
      <c r="B222" s="17">
        <v>9</v>
      </c>
      <c r="C222" s="19">
        <v>8</v>
      </c>
      <c r="D222" s="19">
        <v>2021</v>
      </c>
      <c r="E222" s="23" t="e">
        <f>Electric!AQ19*400</f>
        <v>#VALUE!</v>
      </c>
      <c r="G222" s="23" t="str">
        <f>Gas!AA16</f>
        <v/>
      </c>
      <c r="I222" s="23" t="str">
        <f>Water!AA16</f>
        <v/>
      </c>
    </row>
    <row r="223" spans="1:9" x14ac:dyDescent="0.25">
      <c r="A223" s="18" t="s">
        <v>12</v>
      </c>
      <c r="B223" s="17">
        <v>10</v>
      </c>
      <c r="C223" s="19">
        <v>8</v>
      </c>
      <c r="D223" s="19">
        <v>2021</v>
      </c>
      <c r="E223" s="23" t="e">
        <f>Electric!AQ20*400</f>
        <v>#VALUE!</v>
      </c>
      <c r="G223" s="23" t="str">
        <f>Gas!AA17</f>
        <v/>
      </c>
      <c r="I223" s="23" t="str">
        <f>Water!AA17</f>
        <v/>
      </c>
    </row>
    <row r="224" spans="1:9" x14ac:dyDescent="0.25">
      <c r="A224" s="18" t="s">
        <v>12</v>
      </c>
      <c r="B224" s="17">
        <v>11</v>
      </c>
      <c r="C224" s="19">
        <v>8</v>
      </c>
      <c r="D224" s="19">
        <v>2021</v>
      </c>
      <c r="E224" s="23" t="e">
        <f>Electric!AQ21*400</f>
        <v>#VALUE!</v>
      </c>
      <c r="G224" s="23" t="str">
        <f>Gas!AA18</f>
        <v/>
      </c>
      <c r="I224" s="23" t="str">
        <f>Water!AA18</f>
        <v/>
      </c>
    </row>
    <row r="225" spans="1:9" x14ac:dyDescent="0.25">
      <c r="A225" s="18" t="s">
        <v>12</v>
      </c>
      <c r="B225" s="17">
        <v>12</v>
      </c>
      <c r="C225" s="19">
        <v>8</v>
      </c>
      <c r="D225" s="19">
        <v>2021</v>
      </c>
      <c r="E225" s="23" t="e">
        <f>Electric!AQ22*400</f>
        <v>#VALUE!</v>
      </c>
      <c r="G225" s="23" t="str">
        <f>Gas!AA19</f>
        <v/>
      </c>
      <c r="I225" s="23" t="str">
        <f>Water!AA19</f>
        <v/>
      </c>
    </row>
    <row r="226" spans="1:9" x14ac:dyDescent="0.25">
      <c r="A226" s="18" t="s">
        <v>12</v>
      </c>
      <c r="B226" s="17">
        <v>13</v>
      </c>
      <c r="C226" s="19">
        <v>8</v>
      </c>
      <c r="D226" s="19">
        <v>2021</v>
      </c>
      <c r="E226" s="23" t="e">
        <f>Electric!AQ23*400</f>
        <v>#VALUE!</v>
      </c>
      <c r="G226" s="23" t="str">
        <f>Gas!AA20</f>
        <v/>
      </c>
      <c r="I226" s="23" t="str">
        <f>Water!AA20</f>
        <v/>
      </c>
    </row>
    <row r="227" spans="1:9" x14ac:dyDescent="0.25">
      <c r="A227" s="18" t="s">
        <v>12</v>
      </c>
      <c r="B227" s="17">
        <v>14</v>
      </c>
      <c r="C227" s="19">
        <v>8</v>
      </c>
      <c r="D227" s="19">
        <v>2021</v>
      </c>
      <c r="E227" s="23" t="e">
        <f>Electric!AQ24*400</f>
        <v>#VALUE!</v>
      </c>
      <c r="G227" s="23" t="str">
        <f>Gas!AA21</f>
        <v/>
      </c>
      <c r="I227" s="23" t="str">
        <f>Water!AA21</f>
        <v/>
      </c>
    </row>
    <row r="228" spans="1:9" x14ac:dyDescent="0.25">
      <c r="A228" s="18" t="s">
        <v>12</v>
      </c>
      <c r="B228" s="17">
        <v>15</v>
      </c>
      <c r="C228" s="19">
        <v>8</v>
      </c>
      <c r="D228" s="19">
        <v>2021</v>
      </c>
      <c r="E228" s="23" t="e">
        <f>Electric!AQ25*400</f>
        <v>#VALUE!</v>
      </c>
      <c r="G228" s="23" t="str">
        <f>Gas!AA22</f>
        <v/>
      </c>
      <c r="I228" s="23" t="str">
        <f>Water!AA22</f>
        <v/>
      </c>
    </row>
    <row r="229" spans="1:9" x14ac:dyDescent="0.25">
      <c r="A229" s="18" t="s">
        <v>12</v>
      </c>
      <c r="B229" s="17">
        <v>16</v>
      </c>
      <c r="C229" s="19">
        <v>8</v>
      </c>
      <c r="D229" s="19">
        <v>2021</v>
      </c>
      <c r="E229" s="23" t="e">
        <f>Electric!AQ26*400</f>
        <v>#VALUE!</v>
      </c>
      <c r="G229" s="23" t="str">
        <f>Gas!AA23</f>
        <v/>
      </c>
      <c r="I229" s="23" t="str">
        <f>Water!AA23</f>
        <v/>
      </c>
    </row>
    <row r="230" spans="1:9" x14ac:dyDescent="0.25">
      <c r="A230" s="18" t="s">
        <v>12</v>
      </c>
      <c r="B230" s="17">
        <v>17</v>
      </c>
      <c r="C230" s="19">
        <v>8</v>
      </c>
      <c r="D230" s="19">
        <v>2021</v>
      </c>
      <c r="E230" s="23" t="e">
        <f>Electric!AQ27*400</f>
        <v>#VALUE!</v>
      </c>
      <c r="G230" s="23" t="str">
        <f>Gas!AA24</f>
        <v/>
      </c>
      <c r="I230" s="23" t="str">
        <f>Water!AA24</f>
        <v/>
      </c>
    </row>
    <row r="231" spans="1:9" x14ac:dyDescent="0.25">
      <c r="A231" s="18" t="s">
        <v>12</v>
      </c>
      <c r="B231" s="17">
        <v>18</v>
      </c>
      <c r="C231" s="19">
        <v>8</v>
      </c>
      <c r="D231" s="19">
        <v>2021</v>
      </c>
      <c r="E231" s="23" t="e">
        <f>Electric!AQ28*400</f>
        <v>#VALUE!</v>
      </c>
      <c r="G231" s="23" t="str">
        <f>Gas!AA25</f>
        <v/>
      </c>
      <c r="I231" s="23" t="str">
        <f>Water!AA25</f>
        <v/>
      </c>
    </row>
    <row r="232" spans="1:9" x14ac:dyDescent="0.25">
      <c r="A232" s="18" t="s">
        <v>12</v>
      </c>
      <c r="B232" s="17">
        <v>19</v>
      </c>
      <c r="C232" s="19">
        <v>8</v>
      </c>
      <c r="D232" s="19">
        <v>2021</v>
      </c>
      <c r="E232" s="23" t="e">
        <f>Electric!AQ29*400</f>
        <v>#VALUE!</v>
      </c>
      <c r="G232" s="23" t="str">
        <f>Gas!AA26</f>
        <v/>
      </c>
      <c r="I232" s="23" t="str">
        <f>Water!AA26</f>
        <v/>
      </c>
    </row>
    <row r="233" spans="1:9" x14ac:dyDescent="0.25">
      <c r="A233" s="18" t="s">
        <v>12</v>
      </c>
      <c r="B233" s="17">
        <v>20</v>
      </c>
      <c r="C233" s="19">
        <v>8</v>
      </c>
      <c r="D233" s="19">
        <v>2021</v>
      </c>
      <c r="E233" s="23" t="e">
        <f>Electric!AQ30*400</f>
        <v>#VALUE!</v>
      </c>
      <c r="G233" s="23" t="str">
        <f>Gas!AA27</f>
        <v/>
      </c>
      <c r="I233" s="23" t="str">
        <f>Water!AA27</f>
        <v/>
      </c>
    </row>
    <row r="234" spans="1:9" x14ac:dyDescent="0.25">
      <c r="A234" s="18" t="s">
        <v>12</v>
      </c>
      <c r="B234" s="17">
        <v>21</v>
      </c>
      <c r="C234" s="19">
        <v>8</v>
      </c>
      <c r="D234" s="19">
        <v>2021</v>
      </c>
      <c r="E234" s="23" t="e">
        <f>Electric!AQ31*400</f>
        <v>#VALUE!</v>
      </c>
      <c r="G234" s="23" t="str">
        <f>Gas!AA28</f>
        <v/>
      </c>
      <c r="I234" s="23" t="str">
        <f>Water!AA28</f>
        <v/>
      </c>
    </row>
    <row r="235" spans="1:9" x14ac:dyDescent="0.25">
      <c r="A235" s="18" t="s">
        <v>12</v>
      </c>
      <c r="B235" s="17">
        <v>22</v>
      </c>
      <c r="C235" s="19">
        <v>8</v>
      </c>
      <c r="D235" s="19">
        <v>2021</v>
      </c>
      <c r="E235" s="23" t="e">
        <f>Electric!AQ32*400</f>
        <v>#VALUE!</v>
      </c>
      <c r="G235" s="23" t="str">
        <f>Gas!AA29</f>
        <v/>
      </c>
      <c r="I235" s="23" t="str">
        <f>Water!AA29</f>
        <v/>
      </c>
    </row>
    <row r="236" spans="1:9" x14ac:dyDescent="0.25">
      <c r="A236" s="18" t="s">
        <v>12</v>
      </c>
      <c r="B236" s="17">
        <v>23</v>
      </c>
      <c r="C236" s="19">
        <v>8</v>
      </c>
      <c r="D236" s="19">
        <v>2021</v>
      </c>
      <c r="E236" s="23" t="e">
        <f>Electric!AQ33*400</f>
        <v>#VALUE!</v>
      </c>
      <c r="G236" s="23" t="str">
        <f>Gas!AA30</f>
        <v/>
      </c>
      <c r="I236" s="23" t="str">
        <f>Water!AA30</f>
        <v/>
      </c>
    </row>
    <row r="237" spans="1:9" x14ac:dyDescent="0.25">
      <c r="A237" s="18" t="s">
        <v>12</v>
      </c>
      <c r="B237" s="17">
        <v>24</v>
      </c>
      <c r="C237" s="19">
        <v>8</v>
      </c>
      <c r="D237" s="19">
        <v>2021</v>
      </c>
      <c r="E237" s="23" t="e">
        <f>Electric!AQ34*400</f>
        <v>#VALUE!</v>
      </c>
      <c r="G237" s="23" t="str">
        <f>Gas!AA31</f>
        <v/>
      </c>
      <c r="I237" s="23" t="str">
        <f>Water!AA31</f>
        <v/>
      </c>
    </row>
    <row r="238" spans="1:9" x14ac:dyDescent="0.25">
      <c r="A238" s="18" t="s">
        <v>12</v>
      </c>
      <c r="B238" s="17">
        <v>25</v>
      </c>
      <c r="C238" s="19">
        <v>8</v>
      </c>
      <c r="D238" s="19">
        <v>2021</v>
      </c>
      <c r="E238" s="23" t="e">
        <f>Electric!AQ35*400</f>
        <v>#VALUE!</v>
      </c>
      <c r="G238" s="23" t="str">
        <f>Gas!AA32</f>
        <v/>
      </c>
      <c r="I238" s="23" t="str">
        <f>Water!AA32</f>
        <v/>
      </c>
    </row>
    <row r="239" spans="1:9" x14ac:dyDescent="0.25">
      <c r="A239" s="18" t="s">
        <v>12</v>
      </c>
      <c r="B239" s="17">
        <v>26</v>
      </c>
      <c r="C239" s="19">
        <v>8</v>
      </c>
      <c r="D239" s="19">
        <v>2021</v>
      </c>
      <c r="E239" s="23" t="e">
        <f>Electric!AQ36*400</f>
        <v>#VALUE!</v>
      </c>
      <c r="G239" s="23" t="str">
        <f>Gas!AA33</f>
        <v/>
      </c>
      <c r="I239" s="23" t="str">
        <f>Water!AA33</f>
        <v/>
      </c>
    </row>
    <row r="240" spans="1:9" x14ac:dyDescent="0.25">
      <c r="A240" s="18" t="s">
        <v>12</v>
      </c>
      <c r="B240" s="17">
        <v>27</v>
      </c>
      <c r="C240" s="19">
        <v>8</v>
      </c>
      <c r="D240" s="19">
        <v>2021</v>
      </c>
      <c r="E240" s="23" t="e">
        <f>Electric!AQ37*400</f>
        <v>#VALUE!</v>
      </c>
      <c r="G240" s="23" t="str">
        <f>Gas!AA34</f>
        <v/>
      </c>
      <c r="I240" s="23" t="str">
        <f>Water!AA34</f>
        <v/>
      </c>
    </row>
    <row r="241" spans="1:9" x14ac:dyDescent="0.25">
      <c r="A241" s="18" t="s">
        <v>12</v>
      </c>
      <c r="B241" s="17">
        <v>28</v>
      </c>
      <c r="C241" s="19">
        <v>8</v>
      </c>
      <c r="D241" s="19">
        <v>2021</v>
      </c>
      <c r="E241" s="23" t="e">
        <f>Electric!AQ38*400</f>
        <v>#VALUE!</v>
      </c>
      <c r="G241" s="23" t="str">
        <f>Gas!AA35</f>
        <v/>
      </c>
      <c r="I241" s="23" t="str">
        <f>Water!AA35</f>
        <v/>
      </c>
    </row>
    <row r="242" spans="1:9" x14ac:dyDescent="0.25">
      <c r="A242" s="18" t="s">
        <v>12</v>
      </c>
      <c r="B242" s="17">
        <v>29</v>
      </c>
      <c r="C242" s="19">
        <v>8</v>
      </c>
      <c r="D242" s="19">
        <v>2021</v>
      </c>
      <c r="E242" s="23" t="e">
        <f>Electric!AQ39*400</f>
        <v>#VALUE!</v>
      </c>
      <c r="G242" s="23" t="str">
        <f>Gas!AA36</f>
        <v/>
      </c>
      <c r="I242" s="23" t="str">
        <f>Water!AA36</f>
        <v/>
      </c>
    </row>
    <row r="243" spans="1:9" x14ac:dyDescent="0.25">
      <c r="A243" s="18" t="s">
        <v>12</v>
      </c>
      <c r="B243" s="17">
        <v>30</v>
      </c>
      <c r="C243" s="19">
        <v>8</v>
      </c>
      <c r="D243" s="19">
        <v>2021</v>
      </c>
      <c r="E243" s="23" t="e">
        <f>Electric!AQ40*400</f>
        <v>#VALUE!</v>
      </c>
      <c r="G243" s="23" t="str">
        <f>Gas!AA37</f>
        <v/>
      </c>
      <c r="I243" s="23" t="str">
        <f>Water!AA37</f>
        <v/>
      </c>
    </row>
    <row r="244" spans="1:9" x14ac:dyDescent="0.25">
      <c r="A244" s="18" t="s">
        <v>12</v>
      </c>
      <c r="B244" s="17">
        <v>31</v>
      </c>
      <c r="C244" s="19">
        <v>8</v>
      </c>
      <c r="D244" s="19">
        <v>2021</v>
      </c>
      <c r="E244" s="23" t="e">
        <f>Electric!AQ41*400</f>
        <v>#VALUE!</v>
      </c>
      <c r="G244" s="23" t="str">
        <f>Gas!AA38</f>
        <v/>
      </c>
      <c r="I244" s="23" t="str">
        <f>Water!AA38</f>
        <v/>
      </c>
    </row>
    <row r="245" spans="1:9" x14ac:dyDescent="0.25">
      <c r="A245" s="18" t="s">
        <v>12</v>
      </c>
      <c r="B245" s="17">
        <v>1</v>
      </c>
      <c r="C245" s="19">
        <v>9</v>
      </c>
      <c r="D245" s="19">
        <v>2021</v>
      </c>
      <c r="E245" s="23" t="e">
        <f>Electric!AV11*400</f>
        <v>#VALUE!</v>
      </c>
      <c r="G245" s="23" t="str">
        <f>Gas!AD8</f>
        <v/>
      </c>
      <c r="I245" s="23" t="str">
        <f>Water!AD8</f>
        <v/>
      </c>
    </row>
    <row r="246" spans="1:9" x14ac:dyDescent="0.25">
      <c r="A246" s="18" t="s">
        <v>12</v>
      </c>
      <c r="B246" s="17">
        <v>2</v>
      </c>
      <c r="C246" s="19">
        <v>9</v>
      </c>
      <c r="D246" s="19">
        <v>2021</v>
      </c>
      <c r="E246" s="23" t="e">
        <f>Electric!AV12*400</f>
        <v>#VALUE!</v>
      </c>
      <c r="G246" s="23" t="str">
        <f>Gas!AD9</f>
        <v/>
      </c>
      <c r="I246" s="23" t="str">
        <f>Water!AD9</f>
        <v/>
      </c>
    </row>
    <row r="247" spans="1:9" x14ac:dyDescent="0.25">
      <c r="A247" s="18" t="s">
        <v>12</v>
      </c>
      <c r="B247" s="17">
        <v>3</v>
      </c>
      <c r="C247" s="19">
        <v>9</v>
      </c>
      <c r="D247" s="19">
        <v>2021</v>
      </c>
      <c r="E247" s="23" t="e">
        <f>Electric!AV13*400</f>
        <v>#VALUE!</v>
      </c>
      <c r="G247" s="23" t="str">
        <f>Gas!AD10</f>
        <v/>
      </c>
      <c r="I247" s="23" t="str">
        <f>Water!AD10</f>
        <v/>
      </c>
    </row>
    <row r="248" spans="1:9" x14ac:dyDescent="0.25">
      <c r="A248" s="18" t="s">
        <v>12</v>
      </c>
      <c r="B248" s="17">
        <v>4</v>
      </c>
      <c r="C248" s="19">
        <v>9</v>
      </c>
      <c r="D248" s="19">
        <v>2021</v>
      </c>
      <c r="E248" s="23" t="e">
        <f>Electric!AV14*400</f>
        <v>#VALUE!</v>
      </c>
      <c r="G248" s="23" t="str">
        <f>Gas!AD11</f>
        <v/>
      </c>
      <c r="I248" s="23" t="str">
        <f>Water!AD11</f>
        <v/>
      </c>
    </row>
    <row r="249" spans="1:9" x14ac:dyDescent="0.25">
      <c r="A249" s="18" t="s">
        <v>12</v>
      </c>
      <c r="B249" s="17">
        <v>5</v>
      </c>
      <c r="C249" s="19">
        <v>9</v>
      </c>
      <c r="D249" s="19">
        <v>2021</v>
      </c>
      <c r="E249" s="23" t="e">
        <f>Electric!AV15*400</f>
        <v>#VALUE!</v>
      </c>
      <c r="G249" s="23" t="str">
        <f>Gas!AD12</f>
        <v/>
      </c>
      <c r="I249" s="23" t="str">
        <f>Water!AD12</f>
        <v/>
      </c>
    </row>
    <row r="250" spans="1:9" x14ac:dyDescent="0.25">
      <c r="A250" s="18" t="s">
        <v>12</v>
      </c>
      <c r="B250" s="17">
        <v>6</v>
      </c>
      <c r="C250" s="19">
        <v>9</v>
      </c>
      <c r="D250" s="19">
        <v>2021</v>
      </c>
      <c r="E250" s="23" t="e">
        <f>Electric!AV16*400</f>
        <v>#VALUE!</v>
      </c>
      <c r="G250" s="23" t="str">
        <f>Gas!AD13</f>
        <v/>
      </c>
      <c r="I250" s="23" t="str">
        <f>Water!AD13</f>
        <v/>
      </c>
    </row>
    <row r="251" spans="1:9" x14ac:dyDescent="0.25">
      <c r="A251" s="18" t="s">
        <v>12</v>
      </c>
      <c r="B251" s="17">
        <v>7</v>
      </c>
      <c r="C251" s="19">
        <v>9</v>
      </c>
      <c r="D251" s="19">
        <v>2021</v>
      </c>
      <c r="E251" s="23" t="e">
        <f>Electric!AV17*400</f>
        <v>#VALUE!</v>
      </c>
      <c r="G251" s="23" t="str">
        <f>Gas!AD14</f>
        <v/>
      </c>
      <c r="I251" s="23" t="str">
        <f>Water!AD14</f>
        <v/>
      </c>
    </row>
    <row r="252" spans="1:9" x14ac:dyDescent="0.25">
      <c r="A252" s="18" t="s">
        <v>12</v>
      </c>
      <c r="B252" s="17">
        <v>8</v>
      </c>
      <c r="C252" s="19">
        <v>9</v>
      </c>
      <c r="D252" s="19">
        <v>2021</v>
      </c>
      <c r="E252" s="23" t="e">
        <f>Electric!AV18*400</f>
        <v>#VALUE!</v>
      </c>
      <c r="G252" s="23" t="str">
        <f>Gas!AD15</f>
        <v/>
      </c>
      <c r="I252" s="23" t="str">
        <f>Water!AD15</f>
        <v/>
      </c>
    </row>
    <row r="253" spans="1:9" x14ac:dyDescent="0.25">
      <c r="A253" s="18" t="s">
        <v>12</v>
      </c>
      <c r="B253" s="17">
        <v>9</v>
      </c>
      <c r="C253" s="19">
        <v>9</v>
      </c>
      <c r="D253" s="19">
        <v>2021</v>
      </c>
      <c r="E253" s="23" t="e">
        <f>Electric!AV19*400</f>
        <v>#VALUE!</v>
      </c>
      <c r="G253" s="23" t="str">
        <f>Gas!AD16</f>
        <v/>
      </c>
      <c r="I253" s="23" t="str">
        <f>Water!AD16</f>
        <v/>
      </c>
    </row>
    <row r="254" spans="1:9" x14ac:dyDescent="0.25">
      <c r="A254" s="18" t="s">
        <v>12</v>
      </c>
      <c r="B254" s="17">
        <v>10</v>
      </c>
      <c r="C254" s="19">
        <v>9</v>
      </c>
      <c r="D254" s="19">
        <v>2021</v>
      </c>
      <c r="E254" s="23" t="e">
        <f>Electric!AV20*400</f>
        <v>#VALUE!</v>
      </c>
      <c r="G254" s="23" t="str">
        <f>Gas!AD17</f>
        <v/>
      </c>
      <c r="I254" s="23" t="str">
        <f>Water!AD17</f>
        <v/>
      </c>
    </row>
    <row r="255" spans="1:9" x14ac:dyDescent="0.25">
      <c r="A255" s="18" t="s">
        <v>12</v>
      </c>
      <c r="B255" s="17">
        <v>11</v>
      </c>
      <c r="C255" s="19">
        <v>9</v>
      </c>
      <c r="D255" s="19">
        <v>2021</v>
      </c>
      <c r="E255" s="23" t="e">
        <f>Electric!AV21*400</f>
        <v>#VALUE!</v>
      </c>
      <c r="G255" s="23" t="str">
        <f>Gas!AD18</f>
        <v/>
      </c>
      <c r="I255" s="23" t="str">
        <f>Water!AD18</f>
        <v/>
      </c>
    </row>
    <row r="256" spans="1:9" x14ac:dyDescent="0.25">
      <c r="A256" s="18" t="s">
        <v>12</v>
      </c>
      <c r="B256" s="17">
        <v>12</v>
      </c>
      <c r="C256" s="19">
        <v>9</v>
      </c>
      <c r="D256" s="19">
        <v>2021</v>
      </c>
      <c r="E256" s="23" t="e">
        <f>Electric!AV22*400</f>
        <v>#VALUE!</v>
      </c>
      <c r="G256" s="23" t="str">
        <f>Gas!AD19</f>
        <v/>
      </c>
      <c r="I256" s="23" t="str">
        <f>Water!AD19</f>
        <v/>
      </c>
    </row>
    <row r="257" spans="1:9" x14ac:dyDescent="0.25">
      <c r="A257" s="18" t="s">
        <v>12</v>
      </c>
      <c r="B257" s="17">
        <v>13</v>
      </c>
      <c r="C257" s="19">
        <v>9</v>
      </c>
      <c r="D257" s="19">
        <v>2021</v>
      </c>
      <c r="E257" s="23" t="e">
        <f>Electric!AV23*400</f>
        <v>#VALUE!</v>
      </c>
      <c r="G257" s="23" t="str">
        <f>Gas!AD20</f>
        <v/>
      </c>
      <c r="I257" s="23" t="str">
        <f>Water!AD20</f>
        <v/>
      </c>
    </row>
    <row r="258" spans="1:9" x14ac:dyDescent="0.25">
      <c r="A258" s="18" t="s">
        <v>12</v>
      </c>
      <c r="B258" s="17">
        <v>14</v>
      </c>
      <c r="C258" s="19">
        <v>9</v>
      </c>
      <c r="D258" s="19">
        <v>2021</v>
      </c>
      <c r="E258" s="23" t="e">
        <f>Electric!AV24*400</f>
        <v>#VALUE!</v>
      </c>
      <c r="G258" s="23" t="str">
        <f>Gas!AD21</f>
        <v/>
      </c>
      <c r="I258" s="23" t="str">
        <f>Water!AD21</f>
        <v/>
      </c>
    </row>
    <row r="259" spans="1:9" x14ac:dyDescent="0.25">
      <c r="A259" s="18" t="s">
        <v>12</v>
      </c>
      <c r="B259" s="17">
        <v>15</v>
      </c>
      <c r="C259" s="19">
        <v>9</v>
      </c>
      <c r="D259" s="19">
        <v>2021</v>
      </c>
      <c r="E259" s="23" t="e">
        <f>Electric!AV25*400</f>
        <v>#VALUE!</v>
      </c>
      <c r="G259" s="23" t="str">
        <f>Gas!AD22</f>
        <v/>
      </c>
      <c r="I259" s="23" t="str">
        <f>Water!AD22</f>
        <v/>
      </c>
    </row>
    <row r="260" spans="1:9" x14ac:dyDescent="0.25">
      <c r="A260" s="18" t="s">
        <v>12</v>
      </c>
      <c r="B260" s="17">
        <v>16</v>
      </c>
      <c r="C260" s="19">
        <v>9</v>
      </c>
      <c r="D260" s="19">
        <v>2021</v>
      </c>
      <c r="E260" s="23" t="e">
        <f>Electric!AV26*400</f>
        <v>#VALUE!</v>
      </c>
      <c r="G260" s="23" t="str">
        <f>Gas!AD23</f>
        <v/>
      </c>
      <c r="I260" s="23" t="str">
        <f>Water!AD23</f>
        <v/>
      </c>
    </row>
    <row r="261" spans="1:9" x14ac:dyDescent="0.25">
      <c r="A261" s="18" t="s">
        <v>12</v>
      </c>
      <c r="B261" s="17">
        <v>17</v>
      </c>
      <c r="C261" s="19">
        <v>9</v>
      </c>
      <c r="D261" s="19">
        <v>2021</v>
      </c>
      <c r="E261" s="23" t="e">
        <f>Electric!AV27*400</f>
        <v>#VALUE!</v>
      </c>
      <c r="G261" s="23" t="str">
        <f>Gas!AD24</f>
        <v/>
      </c>
      <c r="I261" s="23" t="str">
        <f>Water!AD24</f>
        <v/>
      </c>
    </row>
    <row r="262" spans="1:9" x14ac:dyDescent="0.25">
      <c r="A262" s="18" t="s">
        <v>12</v>
      </c>
      <c r="B262" s="17">
        <v>18</v>
      </c>
      <c r="C262" s="19">
        <v>9</v>
      </c>
      <c r="D262" s="19">
        <v>2021</v>
      </c>
      <c r="E262" s="23" t="e">
        <f>Electric!AV28*400</f>
        <v>#VALUE!</v>
      </c>
      <c r="G262" s="23" t="str">
        <f>Gas!AD25</f>
        <v/>
      </c>
      <c r="I262" s="23" t="str">
        <f>Water!AD25</f>
        <v/>
      </c>
    </row>
    <row r="263" spans="1:9" x14ac:dyDescent="0.25">
      <c r="A263" s="18" t="s">
        <v>12</v>
      </c>
      <c r="B263" s="17">
        <v>19</v>
      </c>
      <c r="C263" s="19">
        <v>9</v>
      </c>
      <c r="D263" s="19">
        <v>2021</v>
      </c>
      <c r="E263" s="23" t="e">
        <f>Electric!AV29*400</f>
        <v>#VALUE!</v>
      </c>
      <c r="G263" s="23" t="str">
        <f>Gas!AD26</f>
        <v/>
      </c>
      <c r="I263" s="23" t="str">
        <f>Water!AD26</f>
        <v/>
      </c>
    </row>
    <row r="264" spans="1:9" x14ac:dyDescent="0.25">
      <c r="A264" s="18" t="s">
        <v>12</v>
      </c>
      <c r="B264" s="17">
        <v>20</v>
      </c>
      <c r="C264" s="19">
        <v>9</v>
      </c>
      <c r="D264" s="19">
        <v>2021</v>
      </c>
      <c r="E264" s="23" t="e">
        <f>Electric!AV30*400</f>
        <v>#VALUE!</v>
      </c>
      <c r="G264" s="23" t="str">
        <f>Gas!AD27</f>
        <v/>
      </c>
      <c r="I264" s="23" t="str">
        <f>Water!AD27</f>
        <v/>
      </c>
    </row>
    <row r="265" spans="1:9" x14ac:dyDescent="0.25">
      <c r="A265" s="18" t="s">
        <v>12</v>
      </c>
      <c r="B265" s="17">
        <v>21</v>
      </c>
      <c r="C265" s="19">
        <v>9</v>
      </c>
      <c r="D265" s="19">
        <v>2021</v>
      </c>
      <c r="E265" s="23" t="e">
        <f>Electric!AV31*400</f>
        <v>#VALUE!</v>
      </c>
      <c r="G265" s="23" t="str">
        <f>Gas!AD28</f>
        <v/>
      </c>
      <c r="I265" s="23" t="str">
        <f>Water!AD28</f>
        <v/>
      </c>
    </row>
    <row r="266" spans="1:9" x14ac:dyDescent="0.25">
      <c r="A266" s="18" t="s">
        <v>12</v>
      </c>
      <c r="B266" s="17">
        <v>22</v>
      </c>
      <c r="C266" s="19">
        <v>9</v>
      </c>
      <c r="D266" s="19">
        <v>2021</v>
      </c>
      <c r="E266" s="23" t="e">
        <f>Electric!AV32*400</f>
        <v>#VALUE!</v>
      </c>
      <c r="G266" s="23" t="str">
        <f>Gas!AD29</f>
        <v/>
      </c>
      <c r="I266" s="23" t="str">
        <f>Water!AD29</f>
        <v/>
      </c>
    </row>
    <row r="267" spans="1:9" x14ac:dyDescent="0.25">
      <c r="A267" s="18" t="s">
        <v>12</v>
      </c>
      <c r="B267" s="17">
        <v>23</v>
      </c>
      <c r="C267" s="19">
        <v>9</v>
      </c>
      <c r="D267" s="19">
        <v>2021</v>
      </c>
      <c r="E267" s="23" t="e">
        <f>Electric!AV33*400</f>
        <v>#VALUE!</v>
      </c>
      <c r="G267" s="23" t="str">
        <f>Gas!AD30</f>
        <v/>
      </c>
      <c r="I267" s="23" t="str">
        <f>Water!AD30</f>
        <v/>
      </c>
    </row>
    <row r="268" spans="1:9" x14ac:dyDescent="0.25">
      <c r="A268" s="18" t="s">
        <v>12</v>
      </c>
      <c r="B268" s="17">
        <v>24</v>
      </c>
      <c r="C268" s="19">
        <v>9</v>
      </c>
      <c r="D268" s="19">
        <v>2021</v>
      </c>
      <c r="E268" s="23" t="e">
        <f>Electric!AV34*400</f>
        <v>#VALUE!</v>
      </c>
      <c r="G268" s="23" t="str">
        <f>Gas!AD31</f>
        <v/>
      </c>
      <c r="I268" s="23" t="str">
        <f>Water!AD31</f>
        <v/>
      </c>
    </row>
    <row r="269" spans="1:9" x14ac:dyDescent="0.25">
      <c r="A269" s="18" t="s">
        <v>12</v>
      </c>
      <c r="B269" s="17">
        <v>25</v>
      </c>
      <c r="C269" s="19">
        <v>9</v>
      </c>
      <c r="D269" s="19">
        <v>2021</v>
      </c>
      <c r="E269" s="23" t="e">
        <f>Electric!AV35*400</f>
        <v>#VALUE!</v>
      </c>
      <c r="G269" s="23" t="str">
        <f>Gas!AD32</f>
        <v/>
      </c>
      <c r="I269" s="23" t="str">
        <f>Water!AD32</f>
        <v/>
      </c>
    </row>
    <row r="270" spans="1:9" x14ac:dyDescent="0.25">
      <c r="A270" s="18" t="s">
        <v>12</v>
      </c>
      <c r="B270" s="17">
        <v>26</v>
      </c>
      <c r="C270" s="19">
        <v>9</v>
      </c>
      <c r="D270" s="19">
        <v>2021</v>
      </c>
      <c r="E270" s="23" t="e">
        <f>Electric!AV36*400</f>
        <v>#VALUE!</v>
      </c>
      <c r="G270" s="23" t="str">
        <f>Gas!AD33</f>
        <v/>
      </c>
      <c r="I270" s="23" t="str">
        <f>Water!AD33</f>
        <v/>
      </c>
    </row>
    <row r="271" spans="1:9" x14ac:dyDescent="0.25">
      <c r="A271" s="18" t="s">
        <v>12</v>
      </c>
      <c r="B271" s="17">
        <v>27</v>
      </c>
      <c r="C271" s="19">
        <v>9</v>
      </c>
      <c r="D271" s="19">
        <v>2021</v>
      </c>
      <c r="E271" s="23" t="e">
        <f>Electric!AV37*400</f>
        <v>#VALUE!</v>
      </c>
      <c r="G271" s="23" t="str">
        <f>Gas!AD34</f>
        <v/>
      </c>
      <c r="I271" s="23" t="str">
        <f>Water!AD34</f>
        <v/>
      </c>
    </row>
    <row r="272" spans="1:9" x14ac:dyDescent="0.25">
      <c r="A272" s="18" t="s">
        <v>12</v>
      </c>
      <c r="B272" s="17">
        <v>28</v>
      </c>
      <c r="C272" s="19">
        <v>9</v>
      </c>
      <c r="D272" s="19">
        <v>2021</v>
      </c>
      <c r="E272" s="23" t="e">
        <f>Electric!AV38*400</f>
        <v>#VALUE!</v>
      </c>
      <c r="G272" s="23" t="str">
        <f>Gas!AD35</f>
        <v/>
      </c>
      <c r="I272" s="23" t="str">
        <f>Water!AD35</f>
        <v/>
      </c>
    </row>
    <row r="273" spans="1:9" x14ac:dyDescent="0.25">
      <c r="A273" s="18" t="s">
        <v>12</v>
      </c>
      <c r="B273" s="17">
        <v>29</v>
      </c>
      <c r="C273" s="19">
        <v>9</v>
      </c>
      <c r="D273" s="19">
        <v>2021</v>
      </c>
      <c r="E273" s="23" t="e">
        <f>Electric!AV39*400</f>
        <v>#VALUE!</v>
      </c>
      <c r="G273" s="23" t="str">
        <f>Gas!AD36</f>
        <v/>
      </c>
      <c r="I273" s="23" t="str">
        <f>Water!AD36</f>
        <v/>
      </c>
    </row>
    <row r="274" spans="1:9" x14ac:dyDescent="0.25">
      <c r="A274" s="18" t="s">
        <v>12</v>
      </c>
      <c r="B274" s="17">
        <v>30</v>
      </c>
      <c r="C274" s="19">
        <v>9</v>
      </c>
      <c r="D274" s="19">
        <v>2021</v>
      </c>
      <c r="E274" s="23" t="e">
        <f>Electric!AV40*400</f>
        <v>#VALUE!</v>
      </c>
      <c r="G274" s="23" t="str">
        <f>Gas!AD37</f>
        <v/>
      </c>
      <c r="I274" s="23" t="str">
        <f>Water!AD37</f>
        <v/>
      </c>
    </row>
    <row r="275" spans="1:9" x14ac:dyDescent="0.25">
      <c r="A275" s="18" t="s">
        <v>12</v>
      </c>
      <c r="B275" s="17">
        <v>1</v>
      </c>
      <c r="C275" s="19">
        <v>10</v>
      </c>
      <c r="D275" s="19">
        <v>2021</v>
      </c>
      <c r="E275" s="23" t="e">
        <f>Electric!BA11*400</f>
        <v>#VALUE!</v>
      </c>
      <c r="G275" s="23" t="str">
        <f>Gas!AG8</f>
        <v/>
      </c>
      <c r="I275" s="23" t="str">
        <f>Water!AG8</f>
        <v/>
      </c>
    </row>
    <row r="276" spans="1:9" x14ac:dyDescent="0.25">
      <c r="A276" s="18" t="s">
        <v>12</v>
      </c>
      <c r="B276" s="17">
        <v>2</v>
      </c>
      <c r="C276" s="19">
        <v>10</v>
      </c>
      <c r="D276" s="19">
        <v>2021</v>
      </c>
      <c r="E276" s="23" t="e">
        <f>Electric!BA12*400</f>
        <v>#VALUE!</v>
      </c>
      <c r="G276" s="23" t="str">
        <f>Gas!AG9</f>
        <v/>
      </c>
      <c r="I276" s="23" t="str">
        <f>Water!AG9</f>
        <v/>
      </c>
    </row>
    <row r="277" spans="1:9" x14ac:dyDescent="0.25">
      <c r="A277" s="18" t="s">
        <v>12</v>
      </c>
      <c r="B277" s="17">
        <v>3</v>
      </c>
      <c r="C277" s="19">
        <v>10</v>
      </c>
      <c r="D277" s="19">
        <v>2021</v>
      </c>
      <c r="E277" s="23" t="e">
        <f>Electric!BA13*400</f>
        <v>#VALUE!</v>
      </c>
      <c r="G277" s="23" t="str">
        <f>Gas!AG10</f>
        <v/>
      </c>
      <c r="I277" s="23" t="str">
        <f>Water!AG10</f>
        <v/>
      </c>
    </row>
    <row r="278" spans="1:9" x14ac:dyDescent="0.25">
      <c r="A278" s="18" t="s">
        <v>12</v>
      </c>
      <c r="B278" s="17">
        <v>4</v>
      </c>
      <c r="C278" s="19">
        <v>10</v>
      </c>
      <c r="D278" s="19">
        <v>2021</v>
      </c>
      <c r="E278" s="23" t="e">
        <f>Electric!BA14*400</f>
        <v>#VALUE!</v>
      </c>
      <c r="G278" s="23" t="str">
        <f>Gas!AG11</f>
        <v/>
      </c>
      <c r="I278" s="23" t="str">
        <f>Water!AG11</f>
        <v/>
      </c>
    </row>
    <row r="279" spans="1:9" x14ac:dyDescent="0.25">
      <c r="A279" s="18" t="s">
        <v>12</v>
      </c>
      <c r="B279" s="17">
        <v>5</v>
      </c>
      <c r="C279" s="19">
        <v>10</v>
      </c>
      <c r="D279" s="19">
        <v>2021</v>
      </c>
      <c r="E279" s="23" t="e">
        <f>Electric!BA15*400</f>
        <v>#VALUE!</v>
      </c>
      <c r="G279" s="23" t="str">
        <f>Gas!AG12</f>
        <v/>
      </c>
      <c r="I279" s="23" t="str">
        <f>Water!AG12</f>
        <v/>
      </c>
    </row>
    <row r="280" spans="1:9" x14ac:dyDescent="0.25">
      <c r="A280" s="18" t="s">
        <v>12</v>
      </c>
      <c r="B280" s="17">
        <v>6</v>
      </c>
      <c r="C280" s="19">
        <v>10</v>
      </c>
      <c r="D280" s="19">
        <v>2021</v>
      </c>
      <c r="E280" s="23" t="e">
        <f>Electric!BA16*400</f>
        <v>#VALUE!</v>
      </c>
      <c r="G280" s="23" t="str">
        <f>Gas!AG13</f>
        <v/>
      </c>
      <c r="I280" s="23" t="str">
        <f>Water!AG13</f>
        <v/>
      </c>
    </row>
    <row r="281" spans="1:9" x14ac:dyDescent="0.25">
      <c r="A281" s="18" t="s">
        <v>12</v>
      </c>
      <c r="B281" s="17">
        <v>7</v>
      </c>
      <c r="C281" s="19">
        <v>10</v>
      </c>
      <c r="D281" s="19">
        <v>2021</v>
      </c>
      <c r="E281" s="23" t="e">
        <f>Electric!BA17*400</f>
        <v>#VALUE!</v>
      </c>
      <c r="G281" s="23" t="str">
        <f>Gas!AG14</f>
        <v/>
      </c>
      <c r="I281" s="23" t="str">
        <f>Water!AG14</f>
        <v/>
      </c>
    </row>
    <row r="282" spans="1:9" x14ac:dyDescent="0.25">
      <c r="A282" s="18" t="s">
        <v>12</v>
      </c>
      <c r="B282" s="17">
        <v>8</v>
      </c>
      <c r="C282" s="19">
        <v>10</v>
      </c>
      <c r="D282" s="19">
        <v>2021</v>
      </c>
      <c r="E282" s="23" t="e">
        <f>Electric!BA18*400</f>
        <v>#VALUE!</v>
      </c>
      <c r="G282" s="23" t="str">
        <f>Gas!AG15</f>
        <v/>
      </c>
      <c r="I282" s="23" t="str">
        <f>Water!AG15</f>
        <v/>
      </c>
    </row>
    <row r="283" spans="1:9" x14ac:dyDescent="0.25">
      <c r="A283" s="18" t="s">
        <v>12</v>
      </c>
      <c r="B283" s="17">
        <v>9</v>
      </c>
      <c r="C283" s="19">
        <v>10</v>
      </c>
      <c r="D283" s="19">
        <v>2021</v>
      </c>
      <c r="E283" s="23" t="e">
        <f>Electric!BA19*400</f>
        <v>#VALUE!</v>
      </c>
      <c r="G283" s="23" t="str">
        <f>Gas!AG16</f>
        <v/>
      </c>
      <c r="I283" s="23" t="str">
        <f>Water!AG16</f>
        <v/>
      </c>
    </row>
    <row r="284" spans="1:9" x14ac:dyDescent="0.25">
      <c r="A284" s="18" t="s">
        <v>12</v>
      </c>
      <c r="B284" s="17">
        <v>10</v>
      </c>
      <c r="C284" s="19">
        <v>10</v>
      </c>
      <c r="D284" s="19">
        <v>2021</v>
      </c>
      <c r="E284" s="23" t="e">
        <f>Electric!BA20*400</f>
        <v>#VALUE!</v>
      </c>
      <c r="G284" s="23" t="str">
        <f>Gas!AG17</f>
        <v/>
      </c>
      <c r="I284" s="23" t="str">
        <f>Water!AG17</f>
        <v/>
      </c>
    </row>
    <row r="285" spans="1:9" x14ac:dyDescent="0.25">
      <c r="A285" s="18" t="s">
        <v>12</v>
      </c>
      <c r="B285" s="17">
        <v>11</v>
      </c>
      <c r="C285" s="19">
        <v>10</v>
      </c>
      <c r="D285" s="19">
        <v>2021</v>
      </c>
      <c r="E285" s="23" t="e">
        <f>Electric!BA21*400</f>
        <v>#VALUE!</v>
      </c>
      <c r="G285" s="23" t="str">
        <f>Gas!AG18</f>
        <v/>
      </c>
      <c r="I285" s="23" t="str">
        <f>Water!AG18</f>
        <v/>
      </c>
    </row>
    <row r="286" spans="1:9" x14ac:dyDescent="0.25">
      <c r="A286" s="18" t="s">
        <v>12</v>
      </c>
      <c r="B286" s="17">
        <v>12</v>
      </c>
      <c r="C286" s="19">
        <v>10</v>
      </c>
      <c r="D286" s="19">
        <v>2021</v>
      </c>
      <c r="E286" s="23" t="e">
        <f>Electric!BA22*400</f>
        <v>#VALUE!</v>
      </c>
      <c r="G286" s="23" t="str">
        <f>Gas!AG19</f>
        <v/>
      </c>
      <c r="I286" s="23" t="str">
        <f>Water!AG19</f>
        <v/>
      </c>
    </row>
    <row r="287" spans="1:9" x14ac:dyDescent="0.25">
      <c r="A287" s="18" t="s">
        <v>12</v>
      </c>
      <c r="B287" s="17">
        <v>13</v>
      </c>
      <c r="C287" s="19">
        <v>10</v>
      </c>
      <c r="D287" s="19">
        <v>2021</v>
      </c>
      <c r="E287" s="23" t="e">
        <f>Electric!BA23*400</f>
        <v>#VALUE!</v>
      </c>
      <c r="G287" s="23" t="str">
        <f>Gas!AG20</f>
        <v/>
      </c>
      <c r="I287" s="23" t="str">
        <f>Water!AG20</f>
        <v/>
      </c>
    </row>
    <row r="288" spans="1:9" x14ac:dyDescent="0.25">
      <c r="A288" s="18" t="s">
        <v>12</v>
      </c>
      <c r="B288" s="17">
        <v>14</v>
      </c>
      <c r="C288" s="19">
        <v>10</v>
      </c>
      <c r="D288" s="19">
        <v>2021</v>
      </c>
      <c r="E288" s="23" t="e">
        <f>Electric!BA24*400</f>
        <v>#VALUE!</v>
      </c>
      <c r="G288" s="23" t="str">
        <f>Gas!AG21</f>
        <v/>
      </c>
      <c r="I288" s="23" t="str">
        <f>Water!AG21</f>
        <v/>
      </c>
    </row>
    <row r="289" spans="1:9" x14ac:dyDescent="0.25">
      <c r="A289" s="18" t="s">
        <v>12</v>
      </c>
      <c r="B289" s="17">
        <v>15</v>
      </c>
      <c r="C289" s="19">
        <v>10</v>
      </c>
      <c r="D289" s="19">
        <v>2021</v>
      </c>
      <c r="E289" s="23" t="e">
        <f>Electric!BA25*400</f>
        <v>#VALUE!</v>
      </c>
      <c r="G289" s="23" t="str">
        <f>Gas!AG22</f>
        <v/>
      </c>
      <c r="I289" s="23" t="str">
        <f>Water!AG22</f>
        <v/>
      </c>
    </row>
    <row r="290" spans="1:9" x14ac:dyDescent="0.25">
      <c r="A290" s="18" t="s">
        <v>12</v>
      </c>
      <c r="B290" s="17">
        <v>16</v>
      </c>
      <c r="C290" s="19">
        <v>10</v>
      </c>
      <c r="D290" s="19">
        <v>2021</v>
      </c>
      <c r="E290" s="23" t="e">
        <f>Electric!BA26*400</f>
        <v>#VALUE!</v>
      </c>
      <c r="G290" s="23" t="str">
        <f>Gas!AG23</f>
        <v/>
      </c>
      <c r="I290" s="23" t="str">
        <f>Water!AG23</f>
        <v/>
      </c>
    </row>
    <row r="291" spans="1:9" x14ac:dyDescent="0.25">
      <c r="A291" s="18" t="s">
        <v>12</v>
      </c>
      <c r="B291" s="17">
        <v>17</v>
      </c>
      <c r="C291" s="19">
        <v>10</v>
      </c>
      <c r="D291" s="19">
        <v>2021</v>
      </c>
      <c r="E291" s="23" t="e">
        <f>Electric!BA27*400</f>
        <v>#VALUE!</v>
      </c>
      <c r="G291" s="23" t="str">
        <f>Gas!AG24</f>
        <v/>
      </c>
      <c r="I291" s="23" t="str">
        <f>Water!AG24</f>
        <v/>
      </c>
    </row>
    <row r="292" spans="1:9" x14ac:dyDescent="0.25">
      <c r="A292" s="18" t="s">
        <v>12</v>
      </c>
      <c r="B292" s="17">
        <v>18</v>
      </c>
      <c r="C292" s="19">
        <v>10</v>
      </c>
      <c r="D292" s="19">
        <v>2021</v>
      </c>
      <c r="E292" s="23" t="e">
        <f>Electric!BA28*400</f>
        <v>#VALUE!</v>
      </c>
      <c r="G292" s="23" t="str">
        <f>Gas!AG25</f>
        <v/>
      </c>
      <c r="I292" s="23" t="str">
        <f>Water!AG25</f>
        <v/>
      </c>
    </row>
    <row r="293" spans="1:9" x14ac:dyDescent="0.25">
      <c r="A293" s="18" t="s">
        <v>12</v>
      </c>
      <c r="B293" s="17">
        <v>19</v>
      </c>
      <c r="C293" s="19">
        <v>10</v>
      </c>
      <c r="D293" s="19">
        <v>2021</v>
      </c>
      <c r="E293" s="23" t="e">
        <f>Electric!BA29*400</f>
        <v>#VALUE!</v>
      </c>
      <c r="G293" s="23" t="str">
        <f>Gas!AG26</f>
        <v/>
      </c>
      <c r="I293" s="23" t="str">
        <f>Water!AG26</f>
        <v/>
      </c>
    </row>
    <row r="294" spans="1:9" x14ac:dyDescent="0.25">
      <c r="A294" s="18" t="s">
        <v>12</v>
      </c>
      <c r="B294" s="17">
        <v>20</v>
      </c>
      <c r="C294" s="19">
        <v>10</v>
      </c>
      <c r="D294" s="19">
        <v>2021</v>
      </c>
      <c r="E294" s="23" t="e">
        <f>Electric!BA30*400</f>
        <v>#VALUE!</v>
      </c>
      <c r="G294" s="23" t="str">
        <f>Gas!AG27</f>
        <v/>
      </c>
      <c r="I294" s="23" t="str">
        <f>Water!AG27</f>
        <v/>
      </c>
    </row>
    <row r="295" spans="1:9" x14ac:dyDescent="0.25">
      <c r="A295" s="18" t="s">
        <v>12</v>
      </c>
      <c r="B295" s="17">
        <v>21</v>
      </c>
      <c r="C295" s="19">
        <v>10</v>
      </c>
      <c r="D295" s="19">
        <v>2021</v>
      </c>
      <c r="E295" s="23" t="e">
        <f>Electric!BA31*400</f>
        <v>#VALUE!</v>
      </c>
      <c r="G295" s="23" t="str">
        <f>Gas!AG28</f>
        <v/>
      </c>
      <c r="I295" s="23" t="str">
        <f>Water!AG28</f>
        <v/>
      </c>
    </row>
    <row r="296" spans="1:9" x14ac:dyDescent="0.25">
      <c r="A296" s="18" t="s">
        <v>12</v>
      </c>
      <c r="B296" s="17">
        <v>22</v>
      </c>
      <c r="C296" s="19">
        <v>10</v>
      </c>
      <c r="D296" s="19">
        <v>2021</v>
      </c>
      <c r="E296" s="23" t="e">
        <f>Electric!BA32*400</f>
        <v>#VALUE!</v>
      </c>
      <c r="G296" s="23" t="str">
        <f>Gas!AG29</f>
        <v/>
      </c>
      <c r="I296" s="23" t="str">
        <f>Water!AG29</f>
        <v/>
      </c>
    </row>
    <row r="297" spans="1:9" x14ac:dyDescent="0.25">
      <c r="A297" s="18" t="s">
        <v>12</v>
      </c>
      <c r="B297" s="17">
        <v>23</v>
      </c>
      <c r="C297" s="19">
        <v>10</v>
      </c>
      <c r="D297" s="19">
        <v>2021</v>
      </c>
      <c r="E297" s="23" t="e">
        <f>Electric!BA33*400</f>
        <v>#VALUE!</v>
      </c>
      <c r="G297" s="23" t="str">
        <f>Gas!AG30</f>
        <v/>
      </c>
      <c r="I297" s="23" t="str">
        <f>Water!AG30</f>
        <v/>
      </c>
    </row>
    <row r="298" spans="1:9" x14ac:dyDescent="0.25">
      <c r="A298" s="18" t="s">
        <v>12</v>
      </c>
      <c r="B298" s="17">
        <v>24</v>
      </c>
      <c r="C298" s="19">
        <v>10</v>
      </c>
      <c r="D298" s="19">
        <v>2021</v>
      </c>
      <c r="E298" s="23" t="e">
        <f>Electric!BA34*400</f>
        <v>#VALUE!</v>
      </c>
      <c r="G298" s="23" t="str">
        <f>Gas!AG31</f>
        <v/>
      </c>
      <c r="I298" s="23" t="str">
        <f>Water!AG31</f>
        <v/>
      </c>
    </row>
    <row r="299" spans="1:9" x14ac:dyDescent="0.25">
      <c r="A299" s="18" t="s">
        <v>12</v>
      </c>
      <c r="B299" s="17">
        <v>25</v>
      </c>
      <c r="C299" s="19">
        <v>10</v>
      </c>
      <c r="D299" s="19">
        <v>2021</v>
      </c>
      <c r="E299" s="23" t="e">
        <f>Electric!BA35*400</f>
        <v>#VALUE!</v>
      </c>
      <c r="G299" s="23" t="str">
        <f>Gas!AG32</f>
        <v/>
      </c>
      <c r="I299" s="23" t="str">
        <f>Water!AG32</f>
        <v/>
      </c>
    </row>
    <row r="300" spans="1:9" x14ac:dyDescent="0.25">
      <c r="A300" s="18" t="s">
        <v>12</v>
      </c>
      <c r="B300" s="17">
        <v>26</v>
      </c>
      <c r="C300" s="19">
        <v>10</v>
      </c>
      <c r="D300" s="19">
        <v>2021</v>
      </c>
      <c r="E300" s="23" t="e">
        <f>Electric!BA36*400</f>
        <v>#VALUE!</v>
      </c>
      <c r="G300" s="23" t="str">
        <f>Gas!AG33</f>
        <v/>
      </c>
      <c r="I300" s="23" t="str">
        <f>Water!AG33</f>
        <v/>
      </c>
    </row>
    <row r="301" spans="1:9" x14ac:dyDescent="0.25">
      <c r="A301" s="18" t="s">
        <v>12</v>
      </c>
      <c r="B301" s="17">
        <v>27</v>
      </c>
      <c r="C301" s="19">
        <v>10</v>
      </c>
      <c r="D301" s="19">
        <v>2021</v>
      </c>
      <c r="E301" s="23" t="e">
        <f>Electric!BA37*400</f>
        <v>#VALUE!</v>
      </c>
      <c r="G301" s="23" t="str">
        <f>Gas!AG34</f>
        <v/>
      </c>
      <c r="I301" s="23" t="str">
        <f>Water!AG34</f>
        <v/>
      </c>
    </row>
    <row r="302" spans="1:9" x14ac:dyDescent="0.25">
      <c r="A302" s="18" t="s">
        <v>12</v>
      </c>
      <c r="B302" s="17">
        <v>28</v>
      </c>
      <c r="C302" s="19">
        <v>10</v>
      </c>
      <c r="D302" s="19">
        <v>2021</v>
      </c>
      <c r="E302" s="23" t="e">
        <f>Electric!BA38*400</f>
        <v>#VALUE!</v>
      </c>
      <c r="G302" s="23" t="str">
        <f>Gas!AG35</f>
        <v/>
      </c>
      <c r="I302" s="23" t="str">
        <f>Water!AG35</f>
        <v/>
      </c>
    </row>
    <row r="303" spans="1:9" x14ac:dyDescent="0.25">
      <c r="A303" s="18" t="s">
        <v>12</v>
      </c>
      <c r="B303" s="17">
        <v>29</v>
      </c>
      <c r="C303" s="19">
        <v>10</v>
      </c>
      <c r="D303" s="19">
        <v>2021</v>
      </c>
      <c r="E303" s="23" t="e">
        <f>Electric!BA39*400</f>
        <v>#VALUE!</v>
      </c>
      <c r="G303" s="23" t="str">
        <f>Gas!AG36</f>
        <v/>
      </c>
      <c r="I303" s="23" t="str">
        <f>Water!AG36</f>
        <v/>
      </c>
    </row>
    <row r="304" spans="1:9" x14ac:dyDescent="0.25">
      <c r="A304" s="18" t="s">
        <v>12</v>
      </c>
      <c r="B304" s="17">
        <v>30</v>
      </c>
      <c r="C304" s="19">
        <v>10</v>
      </c>
      <c r="D304" s="19">
        <v>2021</v>
      </c>
      <c r="E304" s="23" t="e">
        <f>Electric!BA40*400</f>
        <v>#VALUE!</v>
      </c>
      <c r="G304" s="23" t="str">
        <f>Gas!AG37</f>
        <v/>
      </c>
      <c r="I304" s="23" t="str">
        <f>Water!AG37</f>
        <v/>
      </c>
    </row>
    <row r="305" spans="1:9" x14ac:dyDescent="0.25">
      <c r="A305" s="18" t="s">
        <v>12</v>
      </c>
      <c r="B305" s="17">
        <v>31</v>
      </c>
      <c r="C305" s="19">
        <v>10</v>
      </c>
      <c r="D305" s="19">
        <v>2021</v>
      </c>
      <c r="E305" s="23" t="e">
        <f>Electric!BA41*400</f>
        <v>#VALUE!</v>
      </c>
      <c r="G305" s="23" t="str">
        <f>Gas!AG38</f>
        <v/>
      </c>
      <c r="I305" s="23" t="str">
        <f>Water!AG38</f>
        <v/>
      </c>
    </row>
    <row r="306" spans="1:9" x14ac:dyDescent="0.25">
      <c r="A306" s="18" t="s">
        <v>12</v>
      </c>
      <c r="B306" s="17">
        <v>1</v>
      </c>
      <c r="C306" s="19">
        <v>11</v>
      </c>
      <c r="D306" s="19">
        <v>2021</v>
      </c>
      <c r="E306" s="23" t="e">
        <f>Electric!BF11*400</f>
        <v>#VALUE!</v>
      </c>
      <c r="G306" s="23" t="str">
        <f>Gas!AJ8</f>
        <v/>
      </c>
      <c r="I306" s="23" t="str">
        <f>Water!AJ8</f>
        <v/>
      </c>
    </row>
    <row r="307" spans="1:9" x14ac:dyDescent="0.25">
      <c r="A307" s="18" t="s">
        <v>12</v>
      </c>
      <c r="B307" s="17">
        <v>2</v>
      </c>
      <c r="C307" s="19">
        <v>11</v>
      </c>
      <c r="D307" s="19">
        <v>2021</v>
      </c>
      <c r="E307" s="23" t="e">
        <f>Electric!BF12*400</f>
        <v>#VALUE!</v>
      </c>
      <c r="G307" s="23" t="str">
        <f>Gas!AJ9</f>
        <v/>
      </c>
      <c r="I307" s="23" t="str">
        <f>Water!AJ9</f>
        <v/>
      </c>
    </row>
    <row r="308" spans="1:9" x14ac:dyDescent="0.25">
      <c r="A308" s="18" t="s">
        <v>12</v>
      </c>
      <c r="B308" s="17">
        <v>3</v>
      </c>
      <c r="C308" s="19">
        <v>11</v>
      </c>
      <c r="D308" s="19">
        <v>2021</v>
      </c>
      <c r="E308" s="23" t="e">
        <f>Electric!BF13*400</f>
        <v>#VALUE!</v>
      </c>
      <c r="G308" s="23" t="str">
        <f>Gas!AJ10</f>
        <v/>
      </c>
      <c r="I308" s="23" t="str">
        <f>Water!AJ10</f>
        <v/>
      </c>
    </row>
    <row r="309" spans="1:9" x14ac:dyDescent="0.25">
      <c r="A309" s="18" t="s">
        <v>12</v>
      </c>
      <c r="B309" s="17">
        <v>4</v>
      </c>
      <c r="C309" s="19">
        <v>11</v>
      </c>
      <c r="D309" s="19">
        <v>2021</v>
      </c>
      <c r="E309" s="23" t="e">
        <f>Electric!BF14*400</f>
        <v>#VALUE!</v>
      </c>
      <c r="G309" s="23" t="str">
        <f>Gas!AJ11</f>
        <v/>
      </c>
      <c r="I309" s="23" t="str">
        <f>Water!AJ11</f>
        <v/>
      </c>
    </row>
    <row r="310" spans="1:9" x14ac:dyDescent="0.25">
      <c r="A310" s="18" t="s">
        <v>12</v>
      </c>
      <c r="B310" s="17">
        <v>5</v>
      </c>
      <c r="C310" s="19">
        <v>11</v>
      </c>
      <c r="D310" s="19">
        <v>2021</v>
      </c>
      <c r="E310" s="23" t="e">
        <f>Electric!BF15*400</f>
        <v>#VALUE!</v>
      </c>
      <c r="G310" s="23" t="str">
        <f>Gas!AJ12</f>
        <v/>
      </c>
      <c r="I310" s="23" t="str">
        <f>Water!AJ12</f>
        <v/>
      </c>
    </row>
    <row r="311" spans="1:9" x14ac:dyDescent="0.25">
      <c r="A311" s="18" t="s">
        <v>12</v>
      </c>
      <c r="B311" s="17">
        <v>6</v>
      </c>
      <c r="C311" s="19">
        <v>11</v>
      </c>
      <c r="D311" s="19">
        <v>2021</v>
      </c>
      <c r="E311" s="23" t="e">
        <f>Electric!BF16*400</f>
        <v>#VALUE!</v>
      </c>
      <c r="G311" s="23" t="str">
        <f>Gas!AJ13</f>
        <v/>
      </c>
      <c r="I311" s="23" t="str">
        <f>Water!AJ13</f>
        <v/>
      </c>
    </row>
    <row r="312" spans="1:9" x14ac:dyDescent="0.25">
      <c r="A312" s="18" t="s">
        <v>12</v>
      </c>
      <c r="B312" s="17">
        <v>7</v>
      </c>
      <c r="C312" s="19">
        <v>11</v>
      </c>
      <c r="D312" s="19">
        <v>2021</v>
      </c>
      <c r="E312" s="23" t="e">
        <f>Electric!BF17*400</f>
        <v>#VALUE!</v>
      </c>
      <c r="G312" s="23" t="str">
        <f>Gas!AJ14</f>
        <v/>
      </c>
      <c r="I312" s="23" t="str">
        <f>Water!AJ14</f>
        <v/>
      </c>
    </row>
    <row r="313" spans="1:9" x14ac:dyDescent="0.25">
      <c r="A313" s="18" t="s">
        <v>12</v>
      </c>
      <c r="B313" s="17">
        <v>8</v>
      </c>
      <c r="C313" s="19">
        <v>11</v>
      </c>
      <c r="D313" s="19">
        <v>2021</v>
      </c>
      <c r="E313" s="23" t="e">
        <f>Electric!BF18*400</f>
        <v>#VALUE!</v>
      </c>
      <c r="G313" s="23" t="str">
        <f>Gas!AJ15</f>
        <v/>
      </c>
      <c r="I313" s="23" t="str">
        <f>Water!AJ15</f>
        <v/>
      </c>
    </row>
    <row r="314" spans="1:9" x14ac:dyDescent="0.25">
      <c r="A314" s="18" t="s">
        <v>12</v>
      </c>
      <c r="B314" s="17">
        <v>9</v>
      </c>
      <c r="C314" s="19">
        <v>11</v>
      </c>
      <c r="D314" s="19">
        <v>2021</v>
      </c>
      <c r="E314" s="23" t="e">
        <f>Electric!BF19*400</f>
        <v>#VALUE!</v>
      </c>
      <c r="G314" s="23" t="str">
        <f>Gas!AJ16</f>
        <v/>
      </c>
      <c r="I314" s="23" t="str">
        <f>Water!AJ16</f>
        <v/>
      </c>
    </row>
    <row r="315" spans="1:9" x14ac:dyDescent="0.25">
      <c r="A315" s="18" t="s">
        <v>12</v>
      </c>
      <c r="B315" s="17">
        <v>10</v>
      </c>
      <c r="C315" s="19">
        <v>11</v>
      </c>
      <c r="D315" s="19">
        <v>2021</v>
      </c>
      <c r="E315" s="23" t="e">
        <f>Electric!BF20*400</f>
        <v>#VALUE!</v>
      </c>
      <c r="G315" s="23" t="str">
        <f>Gas!AJ17</f>
        <v/>
      </c>
      <c r="I315" s="23" t="str">
        <f>Water!AJ17</f>
        <v/>
      </c>
    </row>
    <row r="316" spans="1:9" x14ac:dyDescent="0.25">
      <c r="A316" s="18" t="s">
        <v>12</v>
      </c>
      <c r="B316" s="17">
        <v>11</v>
      </c>
      <c r="C316" s="19">
        <v>11</v>
      </c>
      <c r="D316" s="19">
        <v>2021</v>
      </c>
      <c r="E316" s="23" t="e">
        <f>Electric!BF21*400</f>
        <v>#VALUE!</v>
      </c>
      <c r="G316" s="23" t="str">
        <f>Gas!AJ18</f>
        <v/>
      </c>
      <c r="I316" s="23" t="str">
        <f>Water!AJ18</f>
        <v/>
      </c>
    </row>
    <row r="317" spans="1:9" x14ac:dyDescent="0.25">
      <c r="A317" s="18" t="s">
        <v>12</v>
      </c>
      <c r="B317" s="17">
        <v>12</v>
      </c>
      <c r="C317" s="19">
        <v>11</v>
      </c>
      <c r="D317" s="19">
        <v>2021</v>
      </c>
      <c r="E317" s="23" t="e">
        <f>Electric!BF22*400</f>
        <v>#VALUE!</v>
      </c>
      <c r="G317" s="23" t="str">
        <f>Gas!AJ19</f>
        <v/>
      </c>
      <c r="I317" s="23" t="str">
        <f>Water!AJ19</f>
        <v/>
      </c>
    </row>
    <row r="318" spans="1:9" x14ac:dyDescent="0.25">
      <c r="A318" s="18" t="s">
        <v>12</v>
      </c>
      <c r="B318" s="17">
        <v>13</v>
      </c>
      <c r="C318" s="19">
        <v>11</v>
      </c>
      <c r="D318" s="19">
        <v>2021</v>
      </c>
      <c r="E318" s="23" t="e">
        <f>Electric!BF23*400</f>
        <v>#VALUE!</v>
      </c>
      <c r="G318" s="23" t="str">
        <f>Gas!AJ20</f>
        <v/>
      </c>
      <c r="I318" s="23" t="str">
        <f>Water!AJ20</f>
        <v/>
      </c>
    </row>
    <row r="319" spans="1:9" x14ac:dyDescent="0.25">
      <c r="A319" s="18" t="s">
        <v>12</v>
      </c>
      <c r="B319" s="17">
        <v>14</v>
      </c>
      <c r="C319" s="19">
        <v>11</v>
      </c>
      <c r="D319" s="19">
        <v>2021</v>
      </c>
      <c r="E319" s="23" t="e">
        <f>Electric!BF24*400</f>
        <v>#VALUE!</v>
      </c>
      <c r="G319" s="23" t="str">
        <f>Gas!AJ21</f>
        <v/>
      </c>
      <c r="I319" s="23" t="str">
        <f>Water!AJ21</f>
        <v/>
      </c>
    </row>
    <row r="320" spans="1:9" x14ac:dyDescent="0.25">
      <c r="A320" s="18" t="s">
        <v>12</v>
      </c>
      <c r="B320" s="17">
        <v>15</v>
      </c>
      <c r="C320" s="19">
        <v>11</v>
      </c>
      <c r="D320" s="19">
        <v>2021</v>
      </c>
      <c r="E320" s="23" t="e">
        <f>Electric!BF25*400</f>
        <v>#VALUE!</v>
      </c>
      <c r="G320" s="23" t="str">
        <f>Gas!AJ22</f>
        <v/>
      </c>
      <c r="I320" s="23" t="str">
        <f>Water!AJ22</f>
        <v/>
      </c>
    </row>
    <row r="321" spans="1:9" x14ac:dyDescent="0.25">
      <c r="A321" s="18" t="s">
        <v>12</v>
      </c>
      <c r="B321" s="17">
        <v>16</v>
      </c>
      <c r="C321" s="19">
        <v>11</v>
      </c>
      <c r="D321" s="19">
        <v>2021</v>
      </c>
      <c r="E321" s="23" t="e">
        <f>Electric!BF26*400</f>
        <v>#VALUE!</v>
      </c>
      <c r="G321" s="23" t="str">
        <f>Gas!AJ23</f>
        <v/>
      </c>
      <c r="I321" s="23" t="str">
        <f>Water!AJ23</f>
        <v/>
      </c>
    </row>
    <row r="322" spans="1:9" x14ac:dyDescent="0.25">
      <c r="A322" s="18" t="s">
        <v>12</v>
      </c>
      <c r="B322" s="17">
        <v>17</v>
      </c>
      <c r="C322" s="19">
        <v>11</v>
      </c>
      <c r="D322" s="19">
        <v>2021</v>
      </c>
      <c r="E322" s="23" t="e">
        <f>Electric!BF27*400</f>
        <v>#VALUE!</v>
      </c>
      <c r="G322" s="23" t="str">
        <f>Gas!AJ24</f>
        <v/>
      </c>
      <c r="I322" s="23" t="str">
        <f>Water!AJ24</f>
        <v/>
      </c>
    </row>
    <row r="323" spans="1:9" x14ac:dyDescent="0.25">
      <c r="A323" s="18" t="s">
        <v>12</v>
      </c>
      <c r="B323" s="17">
        <v>18</v>
      </c>
      <c r="C323" s="19">
        <v>11</v>
      </c>
      <c r="D323" s="19">
        <v>2021</v>
      </c>
      <c r="E323" s="23" t="e">
        <f>Electric!BF28*400</f>
        <v>#VALUE!</v>
      </c>
      <c r="G323" s="23" t="str">
        <f>Gas!AJ25</f>
        <v/>
      </c>
      <c r="I323" s="23" t="str">
        <f>Water!AJ25</f>
        <v/>
      </c>
    </row>
    <row r="324" spans="1:9" x14ac:dyDescent="0.25">
      <c r="A324" s="18" t="s">
        <v>12</v>
      </c>
      <c r="B324" s="17">
        <v>19</v>
      </c>
      <c r="C324" s="19">
        <v>11</v>
      </c>
      <c r="D324" s="19">
        <v>2021</v>
      </c>
      <c r="E324" s="23" t="e">
        <f>Electric!BF29*400</f>
        <v>#VALUE!</v>
      </c>
      <c r="G324" s="23" t="str">
        <f>Gas!AJ26</f>
        <v/>
      </c>
      <c r="I324" s="23" t="str">
        <f>Water!AJ26</f>
        <v/>
      </c>
    </row>
    <row r="325" spans="1:9" x14ac:dyDescent="0.25">
      <c r="A325" s="18" t="s">
        <v>12</v>
      </c>
      <c r="B325" s="17">
        <v>20</v>
      </c>
      <c r="C325" s="19">
        <v>11</v>
      </c>
      <c r="D325" s="19">
        <v>2021</v>
      </c>
      <c r="E325" s="23" t="e">
        <f>Electric!BF30*400</f>
        <v>#VALUE!</v>
      </c>
      <c r="G325" s="23" t="str">
        <f>Gas!AJ27</f>
        <v/>
      </c>
      <c r="I325" s="23" t="str">
        <f>Water!AJ27</f>
        <v/>
      </c>
    </row>
    <row r="326" spans="1:9" x14ac:dyDescent="0.25">
      <c r="A326" s="18" t="s">
        <v>12</v>
      </c>
      <c r="B326" s="17">
        <v>21</v>
      </c>
      <c r="C326" s="19">
        <v>11</v>
      </c>
      <c r="D326" s="19">
        <v>2021</v>
      </c>
      <c r="E326" s="23" t="e">
        <f>Electric!BF31*400</f>
        <v>#VALUE!</v>
      </c>
      <c r="G326" s="23" t="str">
        <f>Gas!AJ28</f>
        <v/>
      </c>
      <c r="I326" s="23" t="str">
        <f>Water!AJ28</f>
        <v/>
      </c>
    </row>
    <row r="327" spans="1:9" x14ac:dyDescent="0.25">
      <c r="A327" s="18" t="s">
        <v>12</v>
      </c>
      <c r="B327" s="17">
        <v>22</v>
      </c>
      <c r="C327" s="19">
        <v>11</v>
      </c>
      <c r="D327" s="19">
        <v>2021</v>
      </c>
      <c r="E327" s="23" t="e">
        <f>Electric!BF32*400</f>
        <v>#VALUE!</v>
      </c>
      <c r="G327" s="23" t="str">
        <f>Gas!AJ29</f>
        <v/>
      </c>
      <c r="I327" s="23" t="str">
        <f>Water!AJ29</f>
        <v/>
      </c>
    </row>
    <row r="328" spans="1:9" x14ac:dyDescent="0.25">
      <c r="A328" s="18" t="s">
        <v>12</v>
      </c>
      <c r="B328" s="17">
        <v>23</v>
      </c>
      <c r="C328" s="19">
        <v>11</v>
      </c>
      <c r="D328" s="19">
        <v>2021</v>
      </c>
      <c r="E328" s="23" t="e">
        <f>Electric!BF33*400</f>
        <v>#VALUE!</v>
      </c>
      <c r="G328" s="23" t="str">
        <f>Gas!AJ30</f>
        <v/>
      </c>
      <c r="I328" s="23" t="str">
        <f>Water!AJ30</f>
        <v/>
      </c>
    </row>
    <row r="329" spans="1:9" x14ac:dyDescent="0.25">
      <c r="A329" s="18" t="s">
        <v>12</v>
      </c>
      <c r="B329" s="17">
        <v>24</v>
      </c>
      <c r="C329" s="19">
        <v>11</v>
      </c>
      <c r="D329" s="19">
        <v>2021</v>
      </c>
      <c r="E329" s="23" t="e">
        <f>Electric!BF34*400</f>
        <v>#VALUE!</v>
      </c>
      <c r="G329" s="23" t="str">
        <f>Gas!AJ31</f>
        <v/>
      </c>
      <c r="I329" s="23" t="str">
        <f>Water!AJ31</f>
        <v/>
      </c>
    </row>
    <row r="330" spans="1:9" x14ac:dyDescent="0.25">
      <c r="A330" s="18" t="s">
        <v>12</v>
      </c>
      <c r="B330" s="17">
        <v>25</v>
      </c>
      <c r="C330" s="19">
        <v>11</v>
      </c>
      <c r="D330" s="19">
        <v>2021</v>
      </c>
      <c r="E330" s="23" t="e">
        <f>Electric!BF35*400</f>
        <v>#VALUE!</v>
      </c>
      <c r="G330" s="23" t="str">
        <f>Gas!AJ32</f>
        <v/>
      </c>
      <c r="I330" s="23" t="str">
        <f>Water!AJ32</f>
        <v/>
      </c>
    </row>
    <row r="331" spans="1:9" x14ac:dyDescent="0.25">
      <c r="A331" s="18" t="s">
        <v>12</v>
      </c>
      <c r="B331" s="17">
        <v>26</v>
      </c>
      <c r="C331" s="19">
        <v>11</v>
      </c>
      <c r="D331" s="19">
        <v>2021</v>
      </c>
      <c r="E331" s="23" t="e">
        <f>Electric!BF36*400</f>
        <v>#VALUE!</v>
      </c>
      <c r="G331" s="23" t="str">
        <f>Gas!AJ33</f>
        <v/>
      </c>
      <c r="I331" s="23" t="str">
        <f>Water!AJ33</f>
        <v/>
      </c>
    </row>
    <row r="332" spans="1:9" x14ac:dyDescent="0.25">
      <c r="A332" s="18" t="s">
        <v>12</v>
      </c>
      <c r="B332" s="17">
        <v>27</v>
      </c>
      <c r="C332" s="19">
        <v>11</v>
      </c>
      <c r="D332" s="19">
        <v>2021</v>
      </c>
      <c r="E332" s="23" t="e">
        <f>Electric!BF37*400</f>
        <v>#VALUE!</v>
      </c>
      <c r="G332" s="23" t="str">
        <f>Gas!AJ34</f>
        <v/>
      </c>
      <c r="I332" s="23" t="str">
        <f>Water!AJ34</f>
        <v/>
      </c>
    </row>
    <row r="333" spans="1:9" x14ac:dyDescent="0.25">
      <c r="A333" s="18" t="s">
        <v>12</v>
      </c>
      <c r="B333" s="17">
        <v>28</v>
      </c>
      <c r="C333" s="19">
        <v>11</v>
      </c>
      <c r="D333" s="19">
        <v>2021</v>
      </c>
      <c r="E333" s="23" t="e">
        <f>Electric!BF38*400</f>
        <v>#VALUE!</v>
      </c>
      <c r="G333" s="23" t="str">
        <f>Gas!AJ35</f>
        <v/>
      </c>
      <c r="I333" s="23" t="str">
        <f>Water!AJ35</f>
        <v/>
      </c>
    </row>
    <row r="334" spans="1:9" x14ac:dyDescent="0.25">
      <c r="A334" s="18" t="s">
        <v>12</v>
      </c>
      <c r="B334" s="17">
        <v>29</v>
      </c>
      <c r="C334" s="19">
        <v>11</v>
      </c>
      <c r="D334" s="19">
        <v>2021</v>
      </c>
      <c r="E334" s="23" t="e">
        <f>Electric!BF39*400</f>
        <v>#VALUE!</v>
      </c>
      <c r="G334" s="23" t="str">
        <f>Gas!AJ36</f>
        <v/>
      </c>
      <c r="I334" s="23" t="str">
        <f>Water!AJ36</f>
        <v/>
      </c>
    </row>
    <row r="335" spans="1:9" x14ac:dyDescent="0.25">
      <c r="A335" s="18" t="s">
        <v>12</v>
      </c>
      <c r="B335" s="17">
        <v>30</v>
      </c>
      <c r="C335" s="19">
        <v>11</v>
      </c>
      <c r="D335" s="19">
        <v>2021</v>
      </c>
      <c r="E335" s="23" t="e">
        <f>Electric!BF40*400</f>
        <v>#VALUE!</v>
      </c>
      <c r="G335" s="23" t="str">
        <f>Gas!AJ37</f>
        <v/>
      </c>
      <c r="I335" s="23" t="str">
        <f>Water!AJ37</f>
        <v/>
      </c>
    </row>
    <row r="336" spans="1:9" x14ac:dyDescent="0.25">
      <c r="A336" s="18" t="s">
        <v>12</v>
      </c>
      <c r="B336" s="17">
        <v>1</v>
      </c>
      <c r="C336" s="19">
        <v>12</v>
      </c>
      <c r="D336" s="19">
        <v>2021</v>
      </c>
      <c r="E336" s="23" t="e">
        <f>Electric!BK11*400</f>
        <v>#VALUE!</v>
      </c>
      <c r="G336" s="23" t="str">
        <f>Gas!AM8</f>
        <v/>
      </c>
      <c r="I336" s="23" t="str">
        <f>Water!AM8</f>
        <v/>
      </c>
    </row>
    <row r="337" spans="1:9" x14ac:dyDescent="0.25">
      <c r="A337" s="18" t="s">
        <v>12</v>
      </c>
      <c r="B337" s="17">
        <v>2</v>
      </c>
      <c r="C337" s="19">
        <v>12</v>
      </c>
      <c r="D337" s="19">
        <v>2021</v>
      </c>
      <c r="E337" s="23" t="e">
        <f>Electric!BK12*400</f>
        <v>#VALUE!</v>
      </c>
      <c r="G337" s="23" t="str">
        <f>Gas!AM9</f>
        <v/>
      </c>
      <c r="I337" s="23" t="str">
        <f>Water!AM9</f>
        <v/>
      </c>
    </row>
    <row r="338" spans="1:9" x14ac:dyDescent="0.25">
      <c r="A338" s="18" t="s">
        <v>12</v>
      </c>
      <c r="B338" s="17">
        <v>3</v>
      </c>
      <c r="C338" s="19">
        <v>12</v>
      </c>
      <c r="D338" s="19">
        <v>2021</v>
      </c>
      <c r="E338" s="23" t="e">
        <f>Electric!BK13*400</f>
        <v>#VALUE!</v>
      </c>
      <c r="G338" s="23" t="str">
        <f>Gas!AM10</f>
        <v/>
      </c>
      <c r="I338" s="23" t="str">
        <f>Water!AM10</f>
        <v/>
      </c>
    </row>
    <row r="339" spans="1:9" x14ac:dyDescent="0.25">
      <c r="A339" s="18" t="s">
        <v>12</v>
      </c>
      <c r="B339" s="17">
        <v>4</v>
      </c>
      <c r="C339" s="19">
        <v>12</v>
      </c>
      <c r="D339" s="19">
        <v>2021</v>
      </c>
      <c r="E339" s="23" t="e">
        <f>Electric!BK14*400</f>
        <v>#VALUE!</v>
      </c>
      <c r="G339" s="23" t="str">
        <f>Gas!AM11</f>
        <v/>
      </c>
      <c r="I339" s="23" t="str">
        <f>Water!AM11</f>
        <v/>
      </c>
    </row>
    <row r="340" spans="1:9" x14ac:dyDescent="0.25">
      <c r="A340" s="18" t="s">
        <v>12</v>
      </c>
      <c r="B340" s="17">
        <v>5</v>
      </c>
      <c r="C340" s="19">
        <v>12</v>
      </c>
      <c r="D340" s="19">
        <v>2021</v>
      </c>
      <c r="E340" s="23" t="e">
        <f>Electric!BK15*400</f>
        <v>#VALUE!</v>
      </c>
      <c r="G340" s="23" t="str">
        <f>Gas!AM12</f>
        <v/>
      </c>
      <c r="I340" s="23" t="str">
        <f>Water!AM12</f>
        <v/>
      </c>
    </row>
    <row r="341" spans="1:9" x14ac:dyDescent="0.25">
      <c r="A341" s="18" t="s">
        <v>12</v>
      </c>
      <c r="B341" s="17">
        <v>6</v>
      </c>
      <c r="C341" s="19">
        <v>12</v>
      </c>
      <c r="D341" s="19">
        <v>2021</v>
      </c>
      <c r="E341" s="23" t="e">
        <f>Electric!BK16*400</f>
        <v>#VALUE!</v>
      </c>
      <c r="G341" s="23" t="str">
        <f>Gas!AM13</f>
        <v/>
      </c>
      <c r="I341" s="23" t="str">
        <f>Water!AM13</f>
        <v/>
      </c>
    </row>
    <row r="342" spans="1:9" x14ac:dyDescent="0.25">
      <c r="A342" s="18" t="s">
        <v>12</v>
      </c>
      <c r="B342" s="17">
        <v>7</v>
      </c>
      <c r="C342" s="19">
        <v>12</v>
      </c>
      <c r="D342" s="19">
        <v>2021</v>
      </c>
      <c r="E342" s="23" t="e">
        <f>Electric!BK17*400</f>
        <v>#VALUE!</v>
      </c>
      <c r="G342" s="23" t="str">
        <f>Gas!AM14</f>
        <v/>
      </c>
      <c r="I342" s="23" t="str">
        <f>Water!AM14</f>
        <v/>
      </c>
    </row>
    <row r="343" spans="1:9" x14ac:dyDescent="0.25">
      <c r="A343" s="18" t="s">
        <v>12</v>
      </c>
      <c r="B343" s="17">
        <v>8</v>
      </c>
      <c r="C343" s="19">
        <v>12</v>
      </c>
      <c r="D343" s="19">
        <v>2021</v>
      </c>
      <c r="E343" s="23" t="e">
        <f>Electric!BK18*400</f>
        <v>#VALUE!</v>
      </c>
      <c r="G343" s="23" t="str">
        <f>Gas!AM15</f>
        <v/>
      </c>
      <c r="I343" s="23" t="str">
        <f>Water!AM15</f>
        <v/>
      </c>
    </row>
    <row r="344" spans="1:9" x14ac:dyDescent="0.25">
      <c r="A344" s="18" t="s">
        <v>12</v>
      </c>
      <c r="B344" s="17">
        <v>9</v>
      </c>
      <c r="C344" s="19">
        <v>12</v>
      </c>
      <c r="D344" s="19">
        <v>2021</v>
      </c>
      <c r="E344" s="23" t="e">
        <f>Electric!BK19*400</f>
        <v>#VALUE!</v>
      </c>
      <c r="G344" s="23" t="str">
        <f>Gas!AM16</f>
        <v/>
      </c>
      <c r="I344" s="23" t="str">
        <f>Water!AM16</f>
        <v/>
      </c>
    </row>
    <row r="345" spans="1:9" x14ac:dyDescent="0.25">
      <c r="A345" s="18" t="s">
        <v>12</v>
      </c>
      <c r="B345" s="17">
        <v>10</v>
      </c>
      <c r="C345" s="19">
        <v>12</v>
      </c>
      <c r="D345" s="19">
        <v>2021</v>
      </c>
      <c r="E345" s="23" t="e">
        <f>Electric!BK20*400</f>
        <v>#VALUE!</v>
      </c>
      <c r="G345" s="23" t="str">
        <f>Gas!AM17</f>
        <v/>
      </c>
      <c r="I345" s="23" t="str">
        <f>Water!AM17</f>
        <v/>
      </c>
    </row>
    <row r="346" spans="1:9" x14ac:dyDescent="0.25">
      <c r="A346" s="18" t="s">
        <v>12</v>
      </c>
      <c r="B346" s="17">
        <v>11</v>
      </c>
      <c r="C346" s="19">
        <v>12</v>
      </c>
      <c r="D346" s="19">
        <v>2021</v>
      </c>
      <c r="E346" s="23" t="e">
        <f>Electric!BK21*400</f>
        <v>#VALUE!</v>
      </c>
      <c r="G346" s="23" t="str">
        <f>Gas!AM18</f>
        <v/>
      </c>
      <c r="I346" s="23" t="str">
        <f>Water!AM18</f>
        <v/>
      </c>
    </row>
    <row r="347" spans="1:9" x14ac:dyDescent="0.25">
      <c r="A347" s="18" t="s">
        <v>12</v>
      </c>
      <c r="B347" s="17">
        <v>12</v>
      </c>
      <c r="C347" s="19">
        <v>12</v>
      </c>
      <c r="D347" s="19">
        <v>2021</v>
      </c>
      <c r="E347" s="23" t="e">
        <f>Electric!BK22*400</f>
        <v>#VALUE!</v>
      </c>
      <c r="G347" s="23" t="str">
        <f>Gas!AM19</f>
        <v/>
      </c>
      <c r="I347" s="23" t="str">
        <f>Water!AM19</f>
        <v/>
      </c>
    </row>
    <row r="348" spans="1:9" x14ac:dyDescent="0.25">
      <c r="A348" s="18" t="s">
        <v>12</v>
      </c>
      <c r="B348" s="17">
        <v>13</v>
      </c>
      <c r="C348" s="19">
        <v>12</v>
      </c>
      <c r="D348" s="19">
        <v>2021</v>
      </c>
      <c r="E348" s="23" t="e">
        <f>Electric!BK23*400</f>
        <v>#VALUE!</v>
      </c>
      <c r="G348" s="23" t="str">
        <f>Gas!AM20</f>
        <v/>
      </c>
      <c r="I348" s="23" t="str">
        <f>Water!AM20</f>
        <v/>
      </c>
    </row>
    <row r="349" spans="1:9" x14ac:dyDescent="0.25">
      <c r="A349" s="18" t="s">
        <v>12</v>
      </c>
      <c r="B349" s="17">
        <v>14</v>
      </c>
      <c r="C349" s="19">
        <v>12</v>
      </c>
      <c r="D349" s="19">
        <v>2021</v>
      </c>
      <c r="E349" s="23" t="e">
        <f>Electric!BK24*400</f>
        <v>#VALUE!</v>
      </c>
      <c r="G349" s="23" t="str">
        <f>Gas!AM21</f>
        <v/>
      </c>
      <c r="I349" s="23" t="str">
        <f>Water!AM21</f>
        <v/>
      </c>
    </row>
    <row r="350" spans="1:9" x14ac:dyDescent="0.25">
      <c r="A350" s="18" t="s">
        <v>12</v>
      </c>
      <c r="B350" s="17">
        <v>15</v>
      </c>
      <c r="C350" s="19">
        <v>12</v>
      </c>
      <c r="D350" s="19">
        <v>2021</v>
      </c>
      <c r="E350" s="23" t="e">
        <f>Electric!BK25*400</f>
        <v>#VALUE!</v>
      </c>
      <c r="G350" s="23" t="str">
        <f>Gas!AM22</f>
        <v/>
      </c>
      <c r="I350" s="23" t="str">
        <f>Water!AM22</f>
        <v/>
      </c>
    </row>
    <row r="351" spans="1:9" x14ac:dyDescent="0.25">
      <c r="A351" s="18" t="s">
        <v>12</v>
      </c>
      <c r="B351" s="17">
        <v>16</v>
      </c>
      <c r="C351" s="19">
        <v>12</v>
      </c>
      <c r="D351" s="19">
        <v>2021</v>
      </c>
      <c r="E351" s="23" t="e">
        <f>Electric!BK26*400</f>
        <v>#VALUE!</v>
      </c>
      <c r="G351" s="23" t="str">
        <f>Gas!AM23</f>
        <v/>
      </c>
      <c r="I351" s="23" t="str">
        <f>Water!AM23</f>
        <v/>
      </c>
    </row>
    <row r="352" spans="1:9" x14ac:dyDescent="0.25">
      <c r="A352" s="18" t="s">
        <v>12</v>
      </c>
      <c r="B352" s="17">
        <v>17</v>
      </c>
      <c r="C352" s="19">
        <v>12</v>
      </c>
      <c r="D352" s="19">
        <v>2021</v>
      </c>
      <c r="E352" s="23" t="e">
        <f>Electric!BK27*400</f>
        <v>#VALUE!</v>
      </c>
      <c r="G352" s="23" t="str">
        <f>Gas!AM24</f>
        <v/>
      </c>
      <c r="I352" s="23" t="str">
        <f>Water!AM24</f>
        <v/>
      </c>
    </row>
    <row r="353" spans="1:9" x14ac:dyDescent="0.25">
      <c r="A353" s="18" t="s">
        <v>12</v>
      </c>
      <c r="B353" s="17">
        <v>18</v>
      </c>
      <c r="C353" s="19">
        <v>12</v>
      </c>
      <c r="D353" s="19">
        <v>2021</v>
      </c>
      <c r="E353" s="23" t="e">
        <f>Electric!BK28*400</f>
        <v>#VALUE!</v>
      </c>
      <c r="G353" s="23" t="str">
        <f>Gas!AM25</f>
        <v/>
      </c>
      <c r="I353" s="23" t="str">
        <f>Water!AM25</f>
        <v/>
      </c>
    </row>
    <row r="354" spans="1:9" x14ac:dyDescent="0.25">
      <c r="A354" s="18" t="s">
        <v>12</v>
      </c>
      <c r="B354" s="17">
        <v>19</v>
      </c>
      <c r="C354" s="19">
        <v>12</v>
      </c>
      <c r="D354" s="19">
        <v>2021</v>
      </c>
      <c r="E354" s="23" t="e">
        <f>Electric!BK29*400</f>
        <v>#VALUE!</v>
      </c>
      <c r="G354" s="23" t="str">
        <f>Gas!AM26</f>
        <v/>
      </c>
      <c r="I354" s="23" t="str">
        <f>Water!AM26</f>
        <v/>
      </c>
    </row>
    <row r="355" spans="1:9" x14ac:dyDescent="0.25">
      <c r="A355" s="18" t="s">
        <v>12</v>
      </c>
      <c r="B355" s="17">
        <v>20</v>
      </c>
      <c r="C355" s="19">
        <v>12</v>
      </c>
      <c r="D355" s="19">
        <v>2021</v>
      </c>
      <c r="E355" s="23" t="e">
        <f>Electric!BK30*400</f>
        <v>#VALUE!</v>
      </c>
      <c r="G355" s="23" t="str">
        <f>Gas!AM27</f>
        <v/>
      </c>
      <c r="I355" s="23" t="str">
        <f>Water!AM27</f>
        <v/>
      </c>
    </row>
    <row r="356" spans="1:9" x14ac:dyDescent="0.25">
      <c r="A356" s="18" t="s">
        <v>12</v>
      </c>
      <c r="B356" s="17">
        <v>21</v>
      </c>
      <c r="C356" s="19">
        <v>12</v>
      </c>
      <c r="D356" s="19">
        <v>2021</v>
      </c>
      <c r="E356" s="23" t="e">
        <f>Electric!BK31*400</f>
        <v>#VALUE!</v>
      </c>
      <c r="G356" s="23" t="str">
        <f>Gas!AM28</f>
        <v/>
      </c>
      <c r="I356" s="23" t="str">
        <f>Water!AM28</f>
        <v/>
      </c>
    </row>
    <row r="357" spans="1:9" x14ac:dyDescent="0.25">
      <c r="A357" s="18" t="s">
        <v>12</v>
      </c>
      <c r="B357" s="17">
        <v>22</v>
      </c>
      <c r="C357" s="19">
        <v>12</v>
      </c>
      <c r="D357" s="19">
        <v>2021</v>
      </c>
      <c r="E357" s="23" t="e">
        <f>Electric!BK32*400</f>
        <v>#VALUE!</v>
      </c>
      <c r="G357" s="23" t="str">
        <f>Gas!AM29</f>
        <v/>
      </c>
      <c r="I357" s="23" t="str">
        <f>Water!AM29</f>
        <v/>
      </c>
    </row>
    <row r="358" spans="1:9" x14ac:dyDescent="0.25">
      <c r="A358" s="18" t="s">
        <v>12</v>
      </c>
      <c r="B358" s="17">
        <v>23</v>
      </c>
      <c r="C358" s="19">
        <v>12</v>
      </c>
      <c r="D358" s="19">
        <v>2021</v>
      </c>
      <c r="E358" s="23" t="e">
        <f>Electric!BK33*400</f>
        <v>#VALUE!</v>
      </c>
      <c r="G358" s="23" t="str">
        <f>Gas!AM30</f>
        <v/>
      </c>
      <c r="I358" s="23" t="str">
        <f>Water!AM30</f>
        <v/>
      </c>
    </row>
    <row r="359" spans="1:9" x14ac:dyDescent="0.25">
      <c r="A359" s="18" t="s">
        <v>12</v>
      </c>
      <c r="B359" s="17">
        <v>24</v>
      </c>
      <c r="C359" s="19">
        <v>12</v>
      </c>
      <c r="D359" s="19">
        <v>2021</v>
      </c>
      <c r="E359" s="23" t="e">
        <f>Electric!BK34*400</f>
        <v>#VALUE!</v>
      </c>
      <c r="G359" s="23" t="str">
        <f>Gas!AM31</f>
        <v/>
      </c>
      <c r="I359" s="23" t="str">
        <f>Water!AM31</f>
        <v/>
      </c>
    </row>
    <row r="360" spans="1:9" x14ac:dyDescent="0.25">
      <c r="A360" s="18" t="s">
        <v>12</v>
      </c>
      <c r="B360" s="17">
        <v>25</v>
      </c>
      <c r="C360" s="19">
        <v>12</v>
      </c>
      <c r="D360" s="19">
        <v>2021</v>
      </c>
      <c r="E360" s="23" t="e">
        <f>Electric!BK35*400</f>
        <v>#VALUE!</v>
      </c>
      <c r="G360" s="23" t="str">
        <f>Gas!AM32</f>
        <v/>
      </c>
      <c r="I360" s="23" t="str">
        <f>Water!AM32</f>
        <v/>
      </c>
    </row>
    <row r="361" spans="1:9" x14ac:dyDescent="0.25">
      <c r="A361" s="18" t="s">
        <v>12</v>
      </c>
      <c r="B361" s="17">
        <v>26</v>
      </c>
      <c r="C361" s="19">
        <v>12</v>
      </c>
      <c r="D361" s="19">
        <v>2021</v>
      </c>
      <c r="E361" s="23" t="e">
        <f>Electric!BK36*400</f>
        <v>#VALUE!</v>
      </c>
      <c r="G361" s="23" t="str">
        <f>Gas!AM33</f>
        <v/>
      </c>
      <c r="I361" s="23" t="str">
        <f>Water!AM33</f>
        <v/>
      </c>
    </row>
    <row r="362" spans="1:9" x14ac:dyDescent="0.25">
      <c r="A362" s="18" t="s">
        <v>12</v>
      </c>
      <c r="B362" s="17">
        <v>27</v>
      </c>
      <c r="C362" s="19">
        <v>12</v>
      </c>
      <c r="D362" s="19">
        <v>2021</v>
      </c>
      <c r="E362" s="23" t="e">
        <f>Electric!BK37*400</f>
        <v>#VALUE!</v>
      </c>
      <c r="G362" s="23" t="str">
        <f>Gas!AM34</f>
        <v/>
      </c>
      <c r="I362" s="23" t="str">
        <f>Water!AM34</f>
        <v/>
      </c>
    </row>
    <row r="363" spans="1:9" x14ac:dyDescent="0.25">
      <c r="A363" s="18" t="s">
        <v>12</v>
      </c>
      <c r="B363" s="17">
        <v>28</v>
      </c>
      <c r="C363" s="19">
        <v>12</v>
      </c>
      <c r="D363" s="19">
        <v>2021</v>
      </c>
      <c r="E363" s="23" t="e">
        <f>Electric!BK38*400</f>
        <v>#VALUE!</v>
      </c>
      <c r="G363" s="23" t="str">
        <f>Gas!AM35</f>
        <v/>
      </c>
      <c r="I363" s="23" t="str">
        <f>Water!AM35</f>
        <v/>
      </c>
    </row>
    <row r="364" spans="1:9" x14ac:dyDescent="0.25">
      <c r="A364" s="18" t="s">
        <v>12</v>
      </c>
      <c r="B364" s="17">
        <v>29</v>
      </c>
      <c r="C364" s="19">
        <v>12</v>
      </c>
      <c r="D364" s="19">
        <v>2021</v>
      </c>
      <c r="E364" s="23" t="e">
        <f>Electric!BK39*400</f>
        <v>#VALUE!</v>
      </c>
      <c r="G364" s="23" t="str">
        <f>Gas!AM36</f>
        <v/>
      </c>
      <c r="I364" s="23" t="str">
        <f>Water!AM36</f>
        <v/>
      </c>
    </row>
    <row r="365" spans="1:9" x14ac:dyDescent="0.25">
      <c r="A365" s="18" t="s">
        <v>12</v>
      </c>
      <c r="B365" s="17">
        <v>30</v>
      </c>
      <c r="C365" s="19">
        <v>12</v>
      </c>
      <c r="D365" s="19">
        <v>2021</v>
      </c>
      <c r="E365" s="23" t="e">
        <f>Electric!BK40*400</f>
        <v>#VALUE!</v>
      </c>
      <c r="G365" s="23" t="str">
        <f>Gas!AM37</f>
        <v/>
      </c>
      <c r="I365" s="23" t="str">
        <f>Water!AM37</f>
        <v/>
      </c>
    </row>
    <row r="366" spans="1:9" x14ac:dyDescent="0.25">
      <c r="A366" s="18" t="s">
        <v>12</v>
      </c>
      <c r="B366" s="17">
        <v>31</v>
      </c>
      <c r="C366" s="19">
        <v>12</v>
      </c>
      <c r="D366" s="19">
        <v>2021</v>
      </c>
      <c r="E366" s="23" t="e">
        <f>Electric!BK41*400</f>
        <v>#VALUE!</v>
      </c>
      <c r="G366" s="23" t="str">
        <f>Gas!AM38</f>
        <v/>
      </c>
      <c r="I366" s="23" t="str">
        <f>Water!AM38</f>
        <v/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tabSelected="1" zoomScale="70" zoomScaleNormal="70" workbookViewId="0">
      <selection activeCell="J29" sqref="J29:K2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0" t="s">
        <v>13</v>
      </c>
      <c r="C2" s="51"/>
    </row>
    <row r="3" spans="2:39" ht="15.75" thickBot="1" x14ac:dyDescent="0.3">
      <c r="B3" s="54">
        <v>823730</v>
      </c>
      <c r="C3" s="55"/>
    </row>
    <row r="4" spans="2:39" ht="16.5" thickTop="1" thickBot="1" x14ac:dyDescent="0.3"/>
    <row r="5" spans="2:39" ht="15.75" thickTop="1" x14ac:dyDescent="0.25">
      <c r="B5" s="56" t="s">
        <v>14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6"/>
    </row>
    <row r="6" spans="2:39" ht="6.75" customHeight="1" x14ac:dyDescent="0.25">
      <c r="B6" s="5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34"/>
    </row>
    <row r="7" spans="2:39" x14ac:dyDescent="0.25">
      <c r="B7" s="2"/>
      <c r="C7" s="3"/>
      <c r="D7" s="52" t="s">
        <v>15</v>
      </c>
      <c r="E7" s="53"/>
      <c r="F7" s="30" t="s">
        <v>16</v>
      </c>
      <c r="G7" s="52" t="s">
        <v>17</v>
      </c>
      <c r="H7" s="53"/>
      <c r="I7" s="30" t="s">
        <v>16</v>
      </c>
      <c r="J7" s="52" t="s">
        <v>18</v>
      </c>
      <c r="K7" s="53"/>
      <c r="L7" s="30" t="s">
        <v>16</v>
      </c>
      <c r="M7" s="52" t="s">
        <v>19</v>
      </c>
      <c r="N7" s="53"/>
      <c r="O7" s="30" t="s">
        <v>16</v>
      </c>
      <c r="P7" s="52" t="s">
        <v>20</v>
      </c>
      <c r="Q7" s="53"/>
      <c r="R7" s="30" t="s">
        <v>16</v>
      </c>
      <c r="S7" s="52" t="s">
        <v>21</v>
      </c>
      <c r="T7" s="53"/>
      <c r="U7" s="30" t="s">
        <v>16</v>
      </c>
      <c r="V7" s="52" t="s">
        <v>22</v>
      </c>
      <c r="W7" s="53"/>
      <c r="X7" s="30" t="s">
        <v>16</v>
      </c>
      <c r="Y7" s="52" t="s">
        <v>23</v>
      </c>
      <c r="Z7" s="53"/>
      <c r="AA7" s="30" t="s">
        <v>16</v>
      </c>
      <c r="AB7" s="52" t="s">
        <v>24</v>
      </c>
      <c r="AC7" s="53"/>
      <c r="AD7" s="30" t="s">
        <v>16</v>
      </c>
      <c r="AE7" s="52" t="s">
        <v>25</v>
      </c>
      <c r="AF7" s="53"/>
      <c r="AG7" s="30" t="s">
        <v>16</v>
      </c>
      <c r="AH7" s="52" t="s">
        <v>26</v>
      </c>
      <c r="AI7" s="53"/>
      <c r="AJ7" s="30" t="s">
        <v>16</v>
      </c>
      <c r="AK7" s="52" t="s">
        <v>27</v>
      </c>
      <c r="AL7" s="53"/>
      <c r="AM7" s="7" t="s">
        <v>16</v>
      </c>
    </row>
    <row r="8" spans="2:39" x14ac:dyDescent="0.25">
      <c r="B8" s="37" t="s">
        <v>28</v>
      </c>
      <c r="C8" s="38"/>
      <c r="D8" s="46">
        <v>824245</v>
      </c>
      <c r="E8" s="47"/>
      <c r="F8" s="28">
        <f>IF(COUNT(B3,D8)=2,D8-B3,"")</f>
        <v>515</v>
      </c>
      <c r="G8" s="46">
        <v>837388</v>
      </c>
      <c r="H8" s="47"/>
      <c r="I8" s="28">
        <f>IF(COUNT(D38,G8)=2,G8-D38,"")</f>
        <v>482</v>
      </c>
      <c r="J8" s="46">
        <v>849479</v>
      </c>
      <c r="K8" s="47"/>
      <c r="L8" s="28">
        <f>IF(COUNT(G35,J8)=2,J8-G35,"")</f>
        <v>443</v>
      </c>
      <c r="M8" s="46"/>
      <c r="N8" s="47"/>
      <c r="O8" s="28" t="str">
        <f>IF(COUNT(J38,M8)=2,M8-J38,"")</f>
        <v/>
      </c>
      <c r="P8" s="46"/>
      <c r="Q8" s="47"/>
      <c r="R8" s="28" t="str">
        <f>IF(COUNT(M37,P8)=2,P8-M37,"")</f>
        <v/>
      </c>
      <c r="S8" s="46"/>
      <c r="T8" s="47"/>
      <c r="U8" s="28" t="str">
        <f>IF(COUNT(P38,S8)=2,S8-P38,"")</f>
        <v/>
      </c>
      <c r="V8" s="46"/>
      <c r="W8" s="47"/>
      <c r="X8" s="28" t="str">
        <f>IF(COUNT(S37,V8)=2,V8-S37,"")</f>
        <v/>
      </c>
      <c r="Y8" s="46"/>
      <c r="Z8" s="47"/>
      <c r="AA8" s="28" t="str">
        <f>IF(COUNT(V38,Y8)=2,Y8-V38,"")</f>
        <v/>
      </c>
      <c r="AB8" s="46"/>
      <c r="AC8" s="47"/>
      <c r="AD8" s="28" t="str">
        <f>IF(COUNT(Y38,AB8)=2,AB8-Y38,"")</f>
        <v/>
      </c>
      <c r="AE8" s="46"/>
      <c r="AF8" s="47"/>
      <c r="AG8" s="28" t="str">
        <f>IF(COUNT(AB37,AE8)=2,AE8-AB37,"")</f>
        <v/>
      </c>
      <c r="AH8" s="46"/>
      <c r="AI8" s="47"/>
      <c r="AJ8" s="28" t="str">
        <f>IF(COUNT(AE38,AH8)=2,AH8-AE38,"")</f>
        <v/>
      </c>
      <c r="AK8" s="46"/>
      <c r="AL8" s="47"/>
      <c r="AM8" s="34" t="str">
        <f>IF(COUNT(AH37,AK8)=2,AK8-AH37,"")</f>
        <v/>
      </c>
    </row>
    <row r="9" spans="2:39" x14ac:dyDescent="0.25">
      <c r="B9" s="37" t="s">
        <v>29</v>
      </c>
      <c r="C9" s="38"/>
      <c r="D9" s="46">
        <v>824632</v>
      </c>
      <c r="E9" s="47"/>
      <c r="F9" s="28">
        <f>IF(COUNT(D8,D9)=2,D9-D8,"")</f>
        <v>387</v>
      </c>
      <c r="G9" s="46">
        <v>837789</v>
      </c>
      <c r="H9" s="47"/>
      <c r="I9" s="28">
        <f>IF(COUNT(G8,G9)=2,G9-G8,"")</f>
        <v>401</v>
      </c>
      <c r="J9" s="46">
        <v>849895</v>
      </c>
      <c r="K9" s="47"/>
      <c r="L9" s="28">
        <f>IF(COUNT(J9,J8)=2,J9-J8,"")</f>
        <v>416</v>
      </c>
      <c r="M9" s="46"/>
      <c r="N9" s="47"/>
      <c r="O9" s="28" t="str">
        <f>IF(COUNT(M8,M9)=2,M9-M8,"")</f>
        <v/>
      </c>
      <c r="P9" s="46"/>
      <c r="Q9" s="47"/>
      <c r="R9" s="28" t="str">
        <f>IF(COUNT(P8,P9)=2,P9-P8,"")</f>
        <v/>
      </c>
      <c r="S9" s="46"/>
      <c r="T9" s="47"/>
      <c r="U9" s="28" t="str">
        <f>IF(COUNT(S8,S9)=2,S9-S8,"")</f>
        <v/>
      </c>
      <c r="V9" s="46"/>
      <c r="W9" s="47"/>
      <c r="X9" s="28" t="str">
        <f>IF(COUNT(V9,V8)=2,V9-V8,"")</f>
        <v/>
      </c>
      <c r="Y9" s="46"/>
      <c r="Z9" s="47"/>
      <c r="AA9" s="28" t="str">
        <f>IF(COUNT(Y8,Y9)=2,Y9-Y8,"")</f>
        <v/>
      </c>
      <c r="AB9" s="46"/>
      <c r="AC9" s="47"/>
      <c r="AD9" s="28" t="str">
        <f>IF(COUNT(AB8,AB9)=2,AB9-AB8,"")</f>
        <v/>
      </c>
      <c r="AE9" s="46"/>
      <c r="AF9" s="47"/>
      <c r="AG9" s="28" t="str">
        <f>IF(COUNT(AE9,AE8)=2,AE9-AE8,"")</f>
        <v/>
      </c>
      <c r="AH9" s="46"/>
      <c r="AI9" s="47"/>
      <c r="AJ9" s="28" t="str">
        <f>IF(COUNT(AH9,AH8)=2,AH9-AH8,"")</f>
        <v/>
      </c>
      <c r="AK9" s="46"/>
      <c r="AL9" s="47"/>
      <c r="AM9" s="34" t="str">
        <f>IF(COUNT(AK9,AK8)=2,AK9-AK8,"")</f>
        <v/>
      </c>
    </row>
    <row r="10" spans="2:39" x14ac:dyDescent="0.25">
      <c r="B10" s="37" t="s">
        <v>30</v>
      </c>
      <c r="C10" s="38"/>
      <c r="D10" s="46">
        <v>825062</v>
      </c>
      <c r="E10" s="47"/>
      <c r="F10" s="28">
        <f t="shared" ref="F10:F38" si="0">IF(COUNT(D9,D10)=2,D10-D9,"")</f>
        <v>430</v>
      </c>
      <c r="G10" s="46">
        <v>838167</v>
      </c>
      <c r="H10" s="47"/>
      <c r="I10" s="28">
        <f t="shared" ref="I10:I36" si="1">IF(COUNT(G9,G10)=2,G10-G9,"")</f>
        <v>378</v>
      </c>
      <c r="J10" s="46">
        <v>850368</v>
      </c>
      <c r="K10" s="47"/>
      <c r="L10" s="28">
        <f t="shared" ref="L10:L38" si="2">IF(COUNT(J10,J9)=2,J10-J9,"")</f>
        <v>473</v>
      </c>
      <c r="M10" s="46"/>
      <c r="N10" s="47"/>
      <c r="O10" s="28" t="str">
        <f t="shared" ref="O10:O37" si="3">IF(COUNT(M9,M10)=2,M10-M9,"")</f>
        <v/>
      </c>
      <c r="P10" s="46"/>
      <c r="Q10" s="47"/>
      <c r="R10" s="28" t="str">
        <f t="shared" ref="R10:R38" si="4">IF(COUNT(P9,P10)=2,P10-P9,"")</f>
        <v/>
      </c>
      <c r="S10" s="46"/>
      <c r="T10" s="47"/>
      <c r="U10" s="28" t="str">
        <f t="shared" ref="U10:U37" si="5">IF(COUNT(S9,S10)=2,S10-S9,"")</f>
        <v/>
      </c>
      <c r="V10" s="46"/>
      <c r="W10" s="47"/>
      <c r="X10" s="28" t="str">
        <f t="shared" ref="X10:X38" si="6">IF(COUNT(V10,V9)=2,V10-V9,"")</f>
        <v/>
      </c>
      <c r="Y10" s="46"/>
      <c r="Z10" s="47"/>
      <c r="AA10" s="28" t="str">
        <f t="shared" ref="AA10:AA38" si="7">IF(COUNT(Y9,Y10)=2,Y10-Y9,"")</f>
        <v/>
      </c>
      <c r="AB10" s="46"/>
      <c r="AC10" s="47"/>
      <c r="AD10" s="28" t="str">
        <f t="shared" ref="AD10:AD37" si="8">IF(COUNT(AB9,AB10)=2,AB10-AB9,"")</f>
        <v/>
      </c>
      <c r="AE10" s="46"/>
      <c r="AF10" s="47"/>
      <c r="AG10" s="28" t="str">
        <f t="shared" ref="AG10:AG38" si="9">IF(COUNT(AE10,AE9)=2,AE10-AE9,"")</f>
        <v/>
      </c>
      <c r="AH10" s="46"/>
      <c r="AI10" s="47"/>
      <c r="AJ10" s="28" t="str">
        <f t="shared" ref="AJ10:AJ37" si="10">IF(COUNT(AH10,AH9)=2,AH10-AH9,"")</f>
        <v/>
      </c>
      <c r="AK10" s="46"/>
      <c r="AL10" s="47"/>
      <c r="AM10" s="34" t="str">
        <f t="shared" ref="AM10:AM38" si="11">IF(COUNT(AK10,AK9)=2,AK10-AK9,"")</f>
        <v/>
      </c>
    </row>
    <row r="11" spans="2:39" x14ac:dyDescent="0.25">
      <c r="B11" s="37" t="s">
        <v>31</v>
      </c>
      <c r="C11" s="38"/>
      <c r="D11" s="46">
        <v>825540</v>
      </c>
      <c r="E11" s="47"/>
      <c r="F11" s="28">
        <f t="shared" si="0"/>
        <v>478</v>
      </c>
      <c r="G11" s="46">
        <v>838523</v>
      </c>
      <c r="H11" s="47"/>
      <c r="I11" s="28">
        <f t="shared" si="1"/>
        <v>356</v>
      </c>
      <c r="J11" s="46">
        <v>850707</v>
      </c>
      <c r="K11" s="47"/>
      <c r="L11" s="28">
        <f t="shared" si="2"/>
        <v>339</v>
      </c>
      <c r="M11" s="46"/>
      <c r="N11" s="47"/>
      <c r="O11" s="28" t="str">
        <f t="shared" si="3"/>
        <v/>
      </c>
      <c r="P11" s="46"/>
      <c r="Q11" s="47"/>
      <c r="R11" s="28" t="str">
        <f t="shared" si="4"/>
        <v/>
      </c>
      <c r="S11" s="46"/>
      <c r="T11" s="47"/>
      <c r="U11" s="28" t="str">
        <f t="shared" si="5"/>
        <v/>
      </c>
      <c r="V11" s="46"/>
      <c r="W11" s="47"/>
      <c r="X11" s="28" t="str">
        <f t="shared" si="6"/>
        <v/>
      </c>
      <c r="Y11" s="46"/>
      <c r="Z11" s="47"/>
      <c r="AA11" s="28" t="str">
        <f t="shared" si="7"/>
        <v/>
      </c>
      <c r="AB11" s="46"/>
      <c r="AC11" s="47"/>
      <c r="AD11" s="28" t="str">
        <f t="shared" si="8"/>
        <v/>
      </c>
      <c r="AE11" s="46"/>
      <c r="AF11" s="47"/>
      <c r="AG11" s="28" t="str">
        <f t="shared" si="9"/>
        <v/>
      </c>
      <c r="AH11" s="46"/>
      <c r="AI11" s="47"/>
      <c r="AJ11" s="28" t="str">
        <f t="shared" si="10"/>
        <v/>
      </c>
      <c r="AK11" s="46"/>
      <c r="AL11" s="47"/>
      <c r="AM11" s="34" t="str">
        <f t="shared" si="11"/>
        <v/>
      </c>
    </row>
    <row r="12" spans="2:39" x14ac:dyDescent="0.25">
      <c r="B12" s="37" t="s">
        <v>32</v>
      </c>
      <c r="C12" s="38"/>
      <c r="D12" s="46">
        <v>825956</v>
      </c>
      <c r="E12" s="47"/>
      <c r="F12" s="28">
        <f t="shared" si="0"/>
        <v>416</v>
      </c>
      <c r="G12" s="46">
        <v>839022</v>
      </c>
      <c r="H12" s="47"/>
      <c r="I12" s="28">
        <f t="shared" si="1"/>
        <v>499</v>
      </c>
      <c r="J12" s="46">
        <v>851139</v>
      </c>
      <c r="K12" s="47"/>
      <c r="L12" s="28">
        <f t="shared" si="2"/>
        <v>432</v>
      </c>
      <c r="M12" s="46"/>
      <c r="N12" s="47"/>
      <c r="O12" s="28" t="str">
        <f t="shared" si="3"/>
        <v/>
      </c>
      <c r="P12" s="46"/>
      <c r="Q12" s="47"/>
      <c r="R12" s="28" t="str">
        <f t="shared" si="4"/>
        <v/>
      </c>
      <c r="S12" s="46"/>
      <c r="T12" s="47"/>
      <c r="U12" s="28" t="str">
        <f t="shared" si="5"/>
        <v/>
      </c>
      <c r="V12" s="46"/>
      <c r="W12" s="47"/>
      <c r="X12" s="28" t="str">
        <f t="shared" si="6"/>
        <v/>
      </c>
      <c r="Y12" s="46"/>
      <c r="Z12" s="47"/>
      <c r="AA12" s="28" t="str">
        <f t="shared" si="7"/>
        <v/>
      </c>
      <c r="AB12" s="46"/>
      <c r="AC12" s="47"/>
      <c r="AD12" s="28" t="str">
        <f t="shared" si="8"/>
        <v/>
      </c>
      <c r="AE12" s="46"/>
      <c r="AF12" s="47"/>
      <c r="AG12" s="28" t="str">
        <f t="shared" si="9"/>
        <v/>
      </c>
      <c r="AH12" s="46"/>
      <c r="AI12" s="47"/>
      <c r="AJ12" s="28" t="str">
        <f t="shared" si="10"/>
        <v/>
      </c>
      <c r="AK12" s="46"/>
      <c r="AL12" s="47"/>
      <c r="AM12" s="34" t="str">
        <f t="shared" si="11"/>
        <v/>
      </c>
    </row>
    <row r="13" spans="2:39" x14ac:dyDescent="0.25">
      <c r="B13" s="37" t="s">
        <v>33</v>
      </c>
      <c r="C13" s="38"/>
      <c r="D13" s="46">
        <v>826402</v>
      </c>
      <c r="E13" s="47"/>
      <c r="F13" s="28">
        <f t="shared" si="0"/>
        <v>446</v>
      </c>
      <c r="G13" s="46">
        <v>839414</v>
      </c>
      <c r="H13" s="47"/>
      <c r="I13" s="28">
        <f t="shared" si="1"/>
        <v>392</v>
      </c>
      <c r="J13" s="46">
        <v>851603</v>
      </c>
      <c r="K13" s="47"/>
      <c r="L13" s="28">
        <f t="shared" si="2"/>
        <v>464</v>
      </c>
      <c r="M13" s="46"/>
      <c r="N13" s="47"/>
      <c r="O13" s="28" t="str">
        <f t="shared" si="3"/>
        <v/>
      </c>
      <c r="P13" s="46"/>
      <c r="Q13" s="47"/>
      <c r="R13" s="28" t="str">
        <f t="shared" si="4"/>
        <v/>
      </c>
      <c r="S13" s="46"/>
      <c r="T13" s="47"/>
      <c r="U13" s="28" t="str">
        <f t="shared" si="5"/>
        <v/>
      </c>
      <c r="V13" s="46"/>
      <c r="W13" s="47"/>
      <c r="X13" s="28" t="str">
        <f t="shared" si="6"/>
        <v/>
      </c>
      <c r="Y13" s="46"/>
      <c r="Z13" s="47"/>
      <c r="AA13" s="28" t="str">
        <f t="shared" si="7"/>
        <v/>
      </c>
      <c r="AB13" s="46"/>
      <c r="AC13" s="47"/>
      <c r="AD13" s="28" t="str">
        <f t="shared" si="8"/>
        <v/>
      </c>
      <c r="AE13" s="46"/>
      <c r="AF13" s="47"/>
      <c r="AG13" s="28" t="str">
        <f t="shared" si="9"/>
        <v/>
      </c>
      <c r="AH13" s="46"/>
      <c r="AI13" s="47"/>
      <c r="AJ13" s="28" t="str">
        <f t="shared" si="10"/>
        <v/>
      </c>
      <c r="AK13" s="46"/>
      <c r="AL13" s="47"/>
      <c r="AM13" s="34" t="str">
        <f t="shared" si="11"/>
        <v/>
      </c>
    </row>
    <row r="14" spans="2:39" x14ac:dyDescent="0.25">
      <c r="B14" s="37" t="s">
        <v>34</v>
      </c>
      <c r="C14" s="38"/>
      <c r="D14" s="46">
        <v>826796</v>
      </c>
      <c r="E14" s="47"/>
      <c r="F14" s="28">
        <f t="shared" si="0"/>
        <v>394</v>
      </c>
      <c r="G14" s="46">
        <v>839872</v>
      </c>
      <c r="H14" s="47"/>
      <c r="I14" s="28">
        <f t="shared" si="1"/>
        <v>458</v>
      </c>
      <c r="J14" s="46">
        <v>852057</v>
      </c>
      <c r="K14" s="47"/>
      <c r="L14" s="28">
        <f t="shared" si="2"/>
        <v>454</v>
      </c>
      <c r="M14" s="46"/>
      <c r="N14" s="47"/>
      <c r="O14" s="28" t="str">
        <f t="shared" si="3"/>
        <v/>
      </c>
      <c r="P14" s="46"/>
      <c r="Q14" s="47"/>
      <c r="R14" s="28" t="str">
        <f t="shared" si="4"/>
        <v/>
      </c>
      <c r="S14" s="46"/>
      <c r="T14" s="47"/>
      <c r="U14" s="28" t="str">
        <f t="shared" si="5"/>
        <v/>
      </c>
      <c r="V14" s="46"/>
      <c r="W14" s="47"/>
      <c r="X14" s="28" t="str">
        <f t="shared" si="6"/>
        <v/>
      </c>
      <c r="Y14" s="46"/>
      <c r="Z14" s="47"/>
      <c r="AA14" s="28" t="str">
        <f t="shared" si="7"/>
        <v/>
      </c>
      <c r="AB14" s="46"/>
      <c r="AC14" s="47"/>
      <c r="AD14" s="28" t="str">
        <f t="shared" si="8"/>
        <v/>
      </c>
      <c r="AE14" s="46"/>
      <c r="AF14" s="47"/>
      <c r="AG14" s="28" t="str">
        <f t="shared" si="9"/>
        <v/>
      </c>
      <c r="AH14" s="46"/>
      <c r="AI14" s="47"/>
      <c r="AJ14" s="28" t="str">
        <f t="shared" si="10"/>
        <v/>
      </c>
      <c r="AK14" s="46"/>
      <c r="AL14" s="47"/>
      <c r="AM14" s="34" t="str">
        <f t="shared" si="11"/>
        <v/>
      </c>
    </row>
    <row r="15" spans="2:39" x14ac:dyDescent="0.25">
      <c r="B15" s="37" t="s">
        <v>35</v>
      </c>
      <c r="C15" s="38"/>
      <c r="D15" s="46">
        <v>827239</v>
      </c>
      <c r="E15" s="47"/>
      <c r="F15" s="28">
        <f t="shared" si="0"/>
        <v>443</v>
      </c>
      <c r="G15" s="46">
        <v>840326</v>
      </c>
      <c r="H15" s="47"/>
      <c r="I15" s="28">
        <f t="shared" si="1"/>
        <v>454</v>
      </c>
      <c r="J15" s="46">
        <v>852483</v>
      </c>
      <c r="K15" s="47"/>
      <c r="L15" s="28">
        <f t="shared" si="2"/>
        <v>426</v>
      </c>
      <c r="M15" s="46"/>
      <c r="N15" s="47"/>
      <c r="O15" s="28" t="str">
        <f t="shared" si="3"/>
        <v/>
      </c>
      <c r="P15" s="46"/>
      <c r="Q15" s="47"/>
      <c r="R15" s="28" t="str">
        <f t="shared" si="4"/>
        <v/>
      </c>
      <c r="S15" s="46"/>
      <c r="T15" s="47"/>
      <c r="U15" s="28" t="str">
        <f t="shared" si="5"/>
        <v/>
      </c>
      <c r="V15" s="46"/>
      <c r="W15" s="47"/>
      <c r="X15" s="28" t="str">
        <f t="shared" si="6"/>
        <v/>
      </c>
      <c r="Y15" s="46"/>
      <c r="Z15" s="47"/>
      <c r="AA15" s="28" t="str">
        <f t="shared" si="7"/>
        <v/>
      </c>
      <c r="AB15" s="46"/>
      <c r="AC15" s="47"/>
      <c r="AD15" s="28" t="str">
        <f t="shared" si="8"/>
        <v/>
      </c>
      <c r="AE15" s="46"/>
      <c r="AF15" s="47"/>
      <c r="AG15" s="28" t="str">
        <f t="shared" si="9"/>
        <v/>
      </c>
      <c r="AH15" s="46"/>
      <c r="AI15" s="47"/>
      <c r="AJ15" s="28" t="str">
        <f t="shared" si="10"/>
        <v/>
      </c>
      <c r="AK15" s="46"/>
      <c r="AL15" s="47"/>
      <c r="AM15" s="34" t="str">
        <f t="shared" si="11"/>
        <v/>
      </c>
    </row>
    <row r="16" spans="2:39" x14ac:dyDescent="0.25">
      <c r="B16" s="37" t="s">
        <v>36</v>
      </c>
      <c r="C16" s="38"/>
      <c r="D16" s="46">
        <v>827739</v>
      </c>
      <c r="E16" s="47"/>
      <c r="F16" s="28">
        <f t="shared" si="0"/>
        <v>500</v>
      </c>
      <c r="G16" s="46">
        <v>840697</v>
      </c>
      <c r="H16" s="47"/>
      <c r="I16" s="28">
        <f t="shared" si="1"/>
        <v>371</v>
      </c>
      <c r="J16" s="46">
        <v>852907</v>
      </c>
      <c r="K16" s="47"/>
      <c r="L16" s="28">
        <f t="shared" si="2"/>
        <v>424</v>
      </c>
      <c r="M16" s="46"/>
      <c r="N16" s="47"/>
      <c r="O16" s="28" t="str">
        <f t="shared" si="3"/>
        <v/>
      </c>
      <c r="P16" s="46"/>
      <c r="Q16" s="47"/>
      <c r="R16" s="28" t="str">
        <f t="shared" si="4"/>
        <v/>
      </c>
      <c r="S16" s="46"/>
      <c r="T16" s="47"/>
      <c r="U16" s="28" t="str">
        <f t="shared" si="5"/>
        <v/>
      </c>
      <c r="V16" s="46"/>
      <c r="W16" s="47"/>
      <c r="X16" s="28" t="str">
        <f t="shared" si="6"/>
        <v/>
      </c>
      <c r="Y16" s="46"/>
      <c r="Z16" s="47"/>
      <c r="AA16" s="28" t="str">
        <f t="shared" si="7"/>
        <v/>
      </c>
      <c r="AB16" s="46"/>
      <c r="AC16" s="47"/>
      <c r="AD16" s="28" t="str">
        <f t="shared" si="8"/>
        <v/>
      </c>
      <c r="AE16" s="46"/>
      <c r="AF16" s="47"/>
      <c r="AG16" s="28" t="str">
        <f t="shared" si="9"/>
        <v/>
      </c>
      <c r="AH16" s="46"/>
      <c r="AI16" s="47"/>
      <c r="AJ16" s="28" t="str">
        <f t="shared" si="10"/>
        <v/>
      </c>
      <c r="AK16" s="46"/>
      <c r="AL16" s="47"/>
      <c r="AM16" s="34" t="str">
        <f t="shared" si="11"/>
        <v/>
      </c>
    </row>
    <row r="17" spans="2:39" x14ac:dyDescent="0.25">
      <c r="B17" s="37" t="s">
        <v>37</v>
      </c>
      <c r="C17" s="38"/>
      <c r="D17" s="46">
        <v>828202</v>
      </c>
      <c r="E17" s="47"/>
      <c r="F17" s="28">
        <f t="shared" si="0"/>
        <v>463</v>
      </c>
      <c r="G17" s="46">
        <v>841186</v>
      </c>
      <c r="H17" s="47"/>
      <c r="I17" s="28">
        <f t="shared" si="1"/>
        <v>489</v>
      </c>
      <c r="J17" s="46">
        <v>853318</v>
      </c>
      <c r="K17" s="47"/>
      <c r="L17" s="28">
        <f t="shared" si="2"/>
        <v>411</v>
      </c>
      <c r="M17" s="46"/>
      <c r="N17" s="47"/>
      <c r="O17" s="28" t="str">
        <f t="shared" si="3"/>
        <v/>
      </c>
      <c r="P17" s="46"/>
      <c r="Q17" s="47"/>
      <c r="R17" s="28" t="str">
        <f t="shared" si="4"/>
        <v/>
      </c>
      <c r="S17" s="46"/>
      <c r="T17" s="47"/>
      <c r="U17" s="28" t="str">
        <f t="shared" si="5"/>
        <v/>
      </c>
      <c r="V17" s="46"/>
      <c r="W17" s="47"/>
      <c r="X17" s="28" t="str">
        <f t="shared" si="6"/>
        <v/>
      </c>
      <c r="Y17" s="46"/>
      <c r="Z17" s="47"/>
      <c r="AA17" s="28" t="str">
        <f t="shared" si="7"/>
        <v/>
      </c>
      <c r="AB17" s="46"/>
      <c r="AC17" s="47"/>
      <c r="AD17" s="28" t="str">
        <f t="shared" si="8"/>
        <v/>
      </c>
      <c r="AE17" s="46"/>
      <c r="AF17" s="47"/>
      <c r="AG17" s="28" t="str">
        <f t="shared" si="9"/>
        <v/>
      </c>
      <c r="AH17" s="46"/>
      <c r="AI17" s="47"/>
      <c r="AJ17" s="28" t="str">
        <f t="shared" si="10"/>
        <v/>
      </c>
      <c r="AK17" s="46"/>
      <c r="AL17" s="47"/>
      <c r="AM17" s="34" t="str">
        <f t="shared" si="11"/>
        <v/>
      </c>
    </row>
    <row r="18" spans="2:39" x14ac:dyDescent="0.25">
      <c r="B18" s="37" t="s">
        <v>38</v>
      </c>
      <c r="C18" s="38"/>
      <c r="D18" s="46">
        <v>828558</v>
      </c>
      <c r="E18" s="47"/>
      <c r="F18" s="28">
        <f t="shared" si="0"/>
        <v>356</v>
      </c>
      <c r="G18" s="46">
        <v>841662</v>
      </c>
      <c r="H18" s="47"/>
      <c r="I18" s="28">
        <f t="shared" si="1"/>
        <v>476</v>
      </c>
      <c r="J18" s="46">
        <v>853778</v>
      </c>
      <c r="K18" s="47"/>
      <c r="L18" s="28">
        <f t="shared" si="2"/>
        <v>460</v>
      </c>
      <c r="M18" s="46"/>
      <c r="N18" s="47"/>
      <c r="O18" s="28" t="str">
        <f t="shared" si="3"/>
        <v/>
      </c>
      <c r="P18" s="46"/>
      <c r="Q18" s="47"/>
      <c r="R18" s="28" t="str">
        <f t="shared" si="4"/>
        <v/>
      </c>
      <c r="S18" s="46"/>
      <c r="T18" s="47"/>
      <c r="U18" s="28" t="str">
        <f t="shared" si="5"/>
        <v/>
      </c>
      <c r="V18" s="46"/>
      <c r="W18" s="47"/>
      <c r="X18" s="28" t="str">
        <f t="shared" si="6"/>
        <v/>
      </c>
      <c r="Y18" s="46"/>
      <c r="Z18" s="47"/>
      <c r="AA18" s="28" t="str">
        <f t="shared" si="7"/>
        <v/>
      </c>
      <c r="AB18" s="46"/>
      <c r="AC18" s="47"/>
      <c r="AD18" s="28" t="str">
        <f t="shared" si="8"/>
        <v/>
      </c>
      <c r="AE18" s="46"/>
      <c r="AF18" s="47"/>
      <c r="AG18" s="28" t="str">
        <f t="shared" si="9"/>
        <v/>
      </c>
      <c r="AH18" s="46"/>
      <c r="AI18" s="47"/>
      <c r="AJ18" s="28" t="str">
        <f t="shared" si="10"/>
        <v/>
      </c>
      <c r="AK18" s="46"/>
      <c r="AL18" s="47"/>
      <c r="AM18" s="34" t="str">
        <f t="shared" si="11"/>
        <v/>
      </c>
    </row>
    <row r="19" spans="2:39" x14ac:dyDescent="0.25">
      <c r="B19" s="37" t="s">
        <v>39</v>
      </c>
      <c r="C19" s="38"/>
      <c r="D19" s="46">
        <v>828934</v>
      </c>
      <c r="E19" s="47"/>
      <c r="F19" s="28">
        <f t="shared" si="0"/>
        <v>376</v>
      </c>
      <c r="G19" s="46">
        <v>842029</v>
      </c>
      <c r="H19" s="47"/>
      <c r="I19" s="28">
        <f t="shared" si="1"/>
        <v>367</v>
      </c>
      <c r="J19" s="46">
        <v>854244</v>
      </c>
      <c r="K19" s="47"/>
      <c r="L19" s="28">
        <f t="shared" si="2"/>
        <v>466</v>
      </c>
      <c r="M19" s="46"/>
      <c r="N19" s="47"/>
      <c r="O19" s="28" t="str">
        <f t="shared" si="3"/>
        <v/>
      </c>
      <c r="P19" s="46"/>
      <c r="Q19" s="47"/>
      <c r="R19" s="28" t="str">
        <f t="shared" si="4"/>
        <v/>
      </c>
      <c r="S19" s="46"/>
      <c r="T19" s="47"/>
      <c r="U19" s="28" t="str">
        <f t="shared" si="5"/>
        <v/>
      </c>
      <c r="V19" s="46"/>
      <c r="W19" s="47"/>
      <c r="X19" s="28" t="str">
        <f t="shared" si="6"/>
        <v/>
      </c>
      <c r="Y19" s="46"/>
      <c r="Z19" s="47"/>
      <c r="AA19" s="28" t="str">
        <f t="shared" si="7"/>
        <v/>
      </c>
      <c r="AB19" s="46"/>
      <c r="AC19" s="47"/>
      <c r="AD19" s="28" t="str">
        <f t="shared" si="8"/>
        <v/>
      </c>
      <c r="AE19" s="46"/>
      <c r="AF19" s="47"/>
      <c r="AG19" s="28" t="str">
        <f t="shared" si="9"/>
        <v/>
      </c>
      <c r="AH19" s="46"/>
      <c r="AI19" s="47"/>
      <c r="AJ19" s="28" t="str">
        <f t="shared" si="10"/>
        <v/>
      </c>
      <c r="AK19" s="46"/>
      <c r="AL19" s="47"/>
      <c r="AM19" s="34" t="str">
        <f t="shared" si="11"/>
        <v/>
      </c>
    </row>
    <row r="20" spans="2:39" x14ac:dyDescent="0.25">
      <c r="B20" s="37" t="s">
        <v>40</v>
      </c>
      <c r="C20" s="38"/>
      <c r="D20" s="46">
        <v>829361</v>
      </c>
      <c r="E20" s="47"/>
      <c r="F20" s="28">
        <f t="shared" si="0"/>
        <v>427</v>
      </c>
      <c r="G20" s="46">
        <v>842524</v>
      </c>
      <c r="H20" s="47"/>
      <c r="I20" s="28">
        <f t="shared" si="1"/>
        <v>495</v>
      </c>
      <c r="J20" s="46">
        <v>854688</v>
      </c>
      <c r="K20" s="47"/>
      <c r="L20" s="28">
        <f t="shared" si="2"/>
        <v>444</v>
      </c>
      <c r="M20" s="46"/>
      <c r="N20" s="47"/>
      <c r="O20" s="28" t="str">
        <f t="shared" si="3"/>
        <v/>
      </c>
      <c r="P20" s="46"/>
      <c r="Q20" s="47"/>
      <c r="R20" s="28" t="str">
        <f t="shared" si="4"/>
        <v/>
      </c>
      <c r="S20" s="46"/>
      <c r="T20" s="47"/>
      <c r="U20" s="28" t="str">
        <f t="shared" si="5"/>
        <v/>
      </c>
      <c r="V20" s="46"/>
      <c r="W20" s="47"/>
      <c r="X20" s="28" t="str">
        <f t="shared" si="6"/>
        <v/>
      </c>
      <c r="Y20" s="46"/>
      <c r="Z20" s="47"/>
      <c r="AA20" s="28" t="str">
        <f t="shared" si="7"/>
        <v/>
      </c>
      <c r="AB20" s="46"/>
      <c r="AC20" s="47"/>
      <c r="AD20" s="28" t="str">
        <f t="shared" si="8"/>
        <v/>
      </c>
      <c r="AE20" s="46"/>
      <c r="AF20" s="47"/>
      <c r="AG20" s="28" t="str">
        <f t="shared" si="9"/>
        <v/>
      </c>
      <c r="AH20" s="46"/>
      <c r="AI20" s="47"/>
      <c r="AJ20" s="28" t="str">
        <f t="shared" si="10"/>
        <v/>
      </c>
      <c r="AK20" s="46"/>
      <c r="AL20" s="47"/>
      <c r="AM20" s="34" t="str">
        <f t="shared" si="11"/>
        <v/>
      </c>
    </row>
    <row r="21" spans="2:39" x14ac:dyDescent="0.25">
      <c r="B21" s="37" t="s">
        <v>41</v>
      </c>
      <c r="C21" s="38"/>
      <c r="D21" s="46">
        <v>829737</v>
      </c>
      <c r="E21" s="47"/>
      <c r="F21" s="28">
        <f t="shared" si="0"/>
        <v>376</v>
      </c>
      <c r="G21" s="46">
        <v>843016</v>
      </c>
      <c r="H21" s="47"/>
      <c r="I21" s="28">
        <f t="shared" si="1"/>
        <v>492</v>
      </c>
      <c r="J21" s="46">
        <v>855215</v>
      </c>
      <c r="K21" s="47"/>
      <c r="L21" s="28">
        <f t="shared" si="2"/>
        <v>527</v>
      </c>
      <c r="M21" s="46"/>
      <c r="N21" s="47"/>
      <c r="O21" s="28" t="str">
        <f t="shared" si="3"/>
        <v/>
      </c>
      <c r="P21" s="46"/>
      <c r="Q21" s="47"/>
      <c r="R21" s="28" t="str">
        <f t="shared" si="4"/>
        <v/>
      </c>
      <c r="S21" s="46"/>
      <c r="T21" s="47"/>
      <c r="U21" s="28" t="str">
        <f t="shared" si="5"/>
        <v/>
      </c>
      <c r="V21" s="46"/>
      <c r="W21" s="47"/>
      <c r="X21" s="28" t="str">
        <f t="shared" si="6"/>
        <v/>
      </c>
      <c r="Y21" s="46"/>
      <c r="Z21" s="47"/>
      <c r="AA21" s="28" t="str">
        <f t="shared" si="7"/>
        <v/>
      </c>
      <c r="AB21" s="46"/>
      <c r="AC21" s="47"/>
      <c r="AD21" s="28" t="str">
        <f t="shared" si="8"/>
        <v/>
      </c>
      <c r="AE21" s="46"/>
      <c r="AF21" s="47"/>
      <c r="AG21" s="28" t="str">
        <f t="shared" si="9"/>
        <v/>
      </c>
      <c r="AH21" s="46"/>
      <c r="AI21" s="47"/>
      <c r="AJ21" s="28" t="str">
        <f t="shared" si="10"/>
        <v/>
      </c>
      <c r="AK21" s="46"/>
      <c r="AL21" s="47"/>
      <c r="AM21" s="34" t="str">
        <f t="shared" si="11"/>
        <v/>
      </c>
    </row>
    <row r="22" spans="2:39" x14ac:dyDescent="0.25">
      <c r="B22" s="37" t="s">
        <v>42</v>
      </c>
      <c r="C22" s="38"/>
      <c r="D22" s="46">
        <v>830132</v>
      </c>
      <c r="E22" s="47"/>
      <c r="F22" s="28">
        <f t="shared" si="0"/>
        <v>395</v>
      </c>
      <c r="G22" s="46">
        <v>843498</v>
      </c>
      <c r="H22" s="47"/>
      <c r="I22" s="28">
        <f t="shared" si="1"/>
        <v>482</v>
      </c>
      <c r="J22" s="46">
        <v>855729</v>
      </c>
      <c r="K22" s="47"/>
      <c r="L22" s="28">
        <f t="shared" si="2"/>
        <v>514</v>
      </c>
      <c r="M22" s="46"/>
      <c r="N22" s="47"/>
      <c r="O22" s="28" t="str">
        <f t="shared" si="3"/>
        <v/>
      </c>
      <c r="P22" s="46"/>
      <c r="Q22" s="47"/>
      <c r="R22" s="28" t="str">
        <f t="shared" si="4"/>
        <v/>
      </c>
      <c r="S22" s="46"/>
      <c r="T22" s="47"/>
      <c r="U22" s="28" t="str">
        <f t="shared" si="5"/>
        <v/>
      </c>
      <c r="V22" s="46"/>
      <c r="W22" s="47"/>
      <c r="X22" s="28" t="str">
        <f t="shared" si="6"/>
        <v/>
      </c>
      <c r="Y22" s="46"/>
      <c r="Z22" s="47"/>
      <c r="AA22" s="28" t="str">
        <f t="shared" si="7"/>
        <v/>
      </c>
      <c r="AB22" s="46"/>
      <c r="AC22" s="47"/>
      <c r="AD22" s="28" t="str">
        <f t="shared" si="8"/>
        <v/>
      </c>
      <c r="AE22" s="46"/>
      <c r="AF22" s="47"/>
      <c r="AG22" s="28" t="str">
        <f t="shared" si="9"/>
        <v/>
      </c>
      <c r="AH22" s="46"/>
      <c r="AI22" s="47"/>
      <c r="AJ22" s="28" t="str">
        <f t="shared" si="10"/>
        <v/>
      </c>
      <c r="AK22" s="46"/>
      <c r="AL22" s="47"/>
      <c r="AM22" s="34" t="str">
        <f t="shared" si="11"/>
        <v/>
      </c>
    </row>
    <row r="23" spans="2:39" x14ac:dyDescent="0.25">
      <c r="B23" s="37" t="s">
        <v>43</v>
      </c>
      <c r="C23" s="38"/>
      <c r="D23" s="46">
        <v>830674</v>
      </c>
      <c r="E23" s="47"/>
      <c r="F23" s="28">
        <f t="shared" si="0"/>
        <v>542</v>
      </c>
      <c r="G23" s="46">
        <v>843841</v>
      </c>
      <c r="H23" s="47"/>
      <c r="I23" s="28">
        <f t="shared" si="1"/>
        <v>343</v>
      </c>
      <c r="J23" s="46">
        <v>856156</v>
      </c>
      <c r="K23" s="47"/>
      <c r="L23" s="28">
        <f t="shared" si="2"/>
        <v>427</v>
      </c>
      <c r="M23" s="46"/>
      <c r="N23" s="47"/>
      <c r="O23" s="28" t="str">
        <f t="shared" si="3"/>
        <v/>
      </c>
      <c r="P23" s="46"/>
      <c r="Q23" s="47"/>
      <c r="R23" s="28" t="str">
        <f t="shared" si="4"/>
        <v/>
      </c>
      <c r="S23" s="46"/>
      <c r="T23" s="47"/>
      <c r="U23" s="28" t="str">
        <f t="shared" si="5"/>
        <v/>
      </c>
      <c r="V23" s="46"/>
      <c r="W23" s="47"/>
      <c r="X23" s="28" t="str">
        <f t="shared" si="6"/>
        <v/>
      </c>
      <c r="Y23" s="46"/>
      <c r="Z23" s="47"/>
      <c r="AA23" s="28" t="str">
        <f t="shared" si="7"/>
        <v/>
      </c>
      <c r="AB23" s="46"/>
      <c r="AC23" s="47"/>
      <c r="AD23" s="28" t="str">
        <f t="shared" si="8"/>
        <v/>
      </c>
      <c r="AE23" s="46"/>
      <c r="AF23" s="47"/>
      <c r="AG23" s="28" t="str">
        <f t="shared" si="9"/>
        <v/>
      </c>
      <c r="AH23" s="46"/>
      <c r="AI23" s="47"/>
      <c r="AJ23" s="28" t="str">
        <f t="shared" si="10"/>
        <v/>
      </c>
      <c r="AK23" s="46"/>
      <c r="AL23" s="47"/>
      <c r="AM23" s="34" t="str">
        <f t="shared" si="11"/>
        <v/>
      </c>
    </row>
    <row r="24" spans="2:39" x14ac:dyDescent="0.25">
      <c r="B24" s="37" t="s">
        <v>44</v>
      </c>
      <c r="C24" s="38"/>
      <c r="D24" s="46">
        <v>831026</v>
      </c>
      <c r="E24" s="47"/>
      <c r="F24" s="28">
        <f t="shared" si="0"/>
        <v>352</v>
      </c>
      <c r="G24" s="46">
        <v>844245</v>
      </c>
      <c r="H24" s="47"/>
      <c r="I24" s="28">
        <f t="shared" si="1"/>
        <v>404</v>
      </c>
      <c r="J24" s="46">
        <v>856575</v>
      </c>
      <c r="K24" s="47"/>
      <c r="L24" s="28">
        <f t="shared" si="2"/>
        <v>419</v>
      </c>
      <c r="M24" s="46"/>
      <c r="N24" s="47"/>
      <c r="O24" s="28" t="str">
        <f t="shared" si="3"/>
        <v/>
      </c>
      <c r="P24" s="46"/>
      <c r="Q24" s="47"/>
      <c r="R24" s="28" t="str">
        <f t="shared" si="4"/>
        <v/>
      </c>
      <c r="S24" s="46"/>
      <c r="T24" s="47"/>
      <c r="U24" s="28" t="str">
        <f t="shared" si="5"/>
        <v/>
      </c>
      <c r="V24" s="46"/>
      <c r="W24" s="47"/>
      <c r="X24" s="28" t="str">
        <f t="shared" si="6"/>
        <v/>
      </c>
      <c r="Y24" s="46"/>
      <c r="Z24" s="47"/>
      <c r="AA24" s="28" t="str">
        <f t="shared" si="7"/>
        <v/>
      </c>
      <c r="AB24" s="46"/>
      <c r="AC24" s="47"/>
      <c r="AD24" s="28" t="str">
        <f t="shared" si="8"/>
        <v/>
      </c>
      <c r="AE24" s="46"/>
      <c r="AF24" s="47"/>
      <c r="AG24" s="28" t="str">
        <f t="shared" si="9"/>
        <v/>
      </c>
      <c r="AH24" s="46"/>
      <c r="AI24" s="47"/>
      <c r="AJ24" s="28" t="str">
        <f t="shared" si="10"/>
        <v/>
      </c>
      <c r="AK24" s="46"/>
      <c r="AL24" s="47"/>
      <c r="AM24" s="34" t="str">
        <f t="shared" si="11"/>
        <v/>
      </c>
    </row>
    <row r="25" spans="2:39" x14ac:dyDescent="0.25">
      <c r="B25" s="37" t="s">
        <v>45</v>
      </c>
      <c r="C25" s="38"/>
      <c r="D25" s="46">
        <v>831417</v>
      </c>
      <c r="E25" s="47"/>
      <c r="F25" s="28">
        <f t="shared" si="0"/>
        <v>391</v>
      </c>
      <c r="G25" s="46">
        <v>844710</v>
      </c>
      <c r="H25" s="47"/>
      <c r="I25" s="28">
        <f t="shared" si="1"/>
        <v>465</v>
      </c>
      <c r="J25" s="46">
        <v>857020</v>
      </c>
      <c r="K25" s="47"/>
      <c r="L25" s="28">
        <f t="shared" si="2"/>
        <v>445</v>
      </c>
      <c r="M25" s="46"/>
      <c r="N25" s="47"/>
      <c r="O25" s="28" t="str">
        <f t="shared" si="3"/>
        <v/>
      </c>
      <c r="P25" s="46"/>
      <c r="Q25" s="47"/>
      <c r="R25" s="28" t="str">
        <f t="shared" si="4"/>
        <v/>
      </c>
      <c r="S25" s="46"/>
      <c r="T25" s="47"/>
      <c r="U25" s="28" t="str">
        <f t="shared" si="5"/>
        <v/>
      </c>
      <c r="V25" s="46"/>
      <c r="W25" s="47"/>
      <c r="X25" s="28" t="str">
        <f t="shared" si="6"/>
        <v/>
      </c>
      <c r="Y25" s="46"/>
      <c r="Z25" s="47"/>
      <c r="AA25" s="28" t="str">
        <f t="shared" si="7"/>
        <v/>
      </c>
      <c r="AB25" s="46"/>
      <c r="AC25" s="47"/>
      <c r="AD25" s="28" t="str">
        <f t="shared" si="8"/>
        <v/>
      </c>
      <c r="AE25" s="46"/>
      <c r="AF25" s="47"/>
      <c r="AG25" s="28" t="str">
        <f t="shared" si="9"/>
        <v/>
      </c>
      <c r="AH25" s="46"/>
      <c r="AI25" s="47"/>
      <c r="AJ25" s="28" t="str">
        <f t="shared" si="10"/>
        <v/>
      </c>
      <c r="AK25" s="46"/>
      <c r="AL25" s="47"/>
      <c r="AM25" s="34" t="str">
        <f t="shared" si="11"/>
        <v/>
      </c>
    </row>
    <row r="26" spans="2:39" x14ac:dyDescent="0.25">
      <c r="B26" s="37" t="s">
        <v>46</v>
      </c>
      <c r="C26" s="38"/>
      <c r="D26" s="46">
        <v>831810</v>
      </c>
      <c r="E26" s="47"/>
      <c r="F26" s="28">
        <f t="shared" si="0"/>
        <v>393</v>
      </c>
      <c r="G26" s="46">
        <v>845119</v>
      </c>
      <c r="H26" s="47"/>
      <c r="I26" s="28">
        <f t="shared" si="1"/>
        <v>409</v>
      </c>
      <c r="J26" s="46">
        <v>857501</v>
      </c>
      <c r="K26" s="47"/>
      <c r="L26" s="28">
        <f t="shared" si="2"/>
        <v>481</v>
      </c>
      <c r="M26" s="46"/>
      <c r="N26" s="47"/>
      <c r="O26" s="28" t="str">
        <f t="shared" si="3"/>
        <v/>
      </c>
      <c r="P26" s="46"/>
      <c r="Q26" s="47"/>
      <c r="R26" s="28" t="str">
        <f t="shared" si="4"/>
        <v/>
      </c>
      <c r="S26" s="46"/>
      <c r="T26" s="47"/>
      <c r="U26" s="28" t="str">
        <f t="shared" si="5"/>
        <v/>
      </c>
      <c r="V26" s="46"/>
      <c r="W26" s="47"/>
      <c r="X26" s="28" t="str">
        <f t="shared" si="6"/>
        <v/>
      </c>
      <c r="Y26" s="46"/>
      <c r="Z26" s="47"/>
      <c r="AA26" s="28" t="str">
        <f t="shared" si="7"/>
        <v/>
      </c>
      <c r="AB26" s="46"/>
      <c r="AC26" s="47"/>
      <c r="AD26" s="28" t="str">
        <f t="shared" si="8"/>
        <v/>
      </c>
      <c r="AE26" s="46"/>
      <c r="AF26" s="47"/>
      <c r="AG26" s="28" t="str">
        <f t="shared" si="9"/>
        <v/>
      </c>
      <c r="AH26" s="46"/>
      <c r="AI26" s="47"/>
      <c r="AJ26" s="28" t="str">
        <f t="shared" si="10"/>
        <v/>
      </c>
      <c r="AK26" s="46"/>
      <c r="AL26" s="47"/>
      <c r="AM26" s="34" t="str">
        <f t="shared" si="11"/>
        <v/>
      </c>
    </row>
    <row r="27" spans="2:39" x14ac:dyDescent="0.25">
      <c r="B27" s="37" t="s">
        <v>47</v>
      </c>
      <c r="C27" s="38"/>
      <c r="D27" s="46">
        <v>832209</v>
      </c>
      <c r="E27" s="47"/>
      <c r="F27" s="28">
        <f t="shared" si="0"/>
        <v>399</v>
      </c>
      <c r="G27" s="46">
        <v>845601</v>
      </c>
      <c r="H27" s="47"/>
      <c r="I27" s="28">
        <f t="shared" si="1"/>
        <v>482</v>
      </c>
      <c r="J27" s="46">
        <v>857947</v>
      </c>
      <c r="K27" s="47"/>
      <c r="L27" s="28">
        <f t="shared" si="2"/>
        <v>446</v>
      </c>
      <c r="M27" s="46"/>
      <c r="N27" s="47"/>
      <c r="O27" s="28" t="str">
        <f t="shared" si="3"/>
        <v/>
      </c>
      <c r="P27" s="46"/>
      <c r="Q27" s="47"/>
      <c r="R27" s="28" t="str">
        <f t="shared" si="4"/>
        <v/>
      </c>
      <c r="S27" s="46"/>
      <c r="T27" s="47"/>
      <c r="U27" s="28" t="str">
        <f t="shared" si="5"/>
        <v/>
      </c>
      <c r="V27" s="46"/>
      <c r="W27" s="47"/>
      <c r="X27" s="28" t="str">
        <f t="shared" si="6"/>
        <v/>
      </c>
      <c r="Y27" s="46"/>
      <c r="Z27" s="47"/>
      <c r="AA27" s="28" t="str">
        <f t="shared" si="7"/>
        <v/>
      </c>
      <c r="AB27" s="46"/>
      <c r="AC27" s="47"/>
      <c r="AD27" s="28" t="str">
        <f t="shared" si="8"/>
        <v/>
      </c>
      <c r="AE27" s="46"/>
      <c r="AF27" s="47"/>
      <c r="AG27" s="28" t="str">
        <f t="shared" si="9"/>
        <v/>
      </c>
      <c r="AH27" s="46"/>
      <c r="AI27" s="47"/>
      <c r="AJ27" s="28" t="str">
        <f t="shared" si="10"/>
        <v/>
      </c>
      <c r="AK27" s="46"/>
      <c r="AL27" s="47"/>
      <c r="AM27" s="34" t="str">
        <f t="shared" si="11"/>
        <v/>
      </c>
    </row>
    <row r="28" spans="2:39" x14ac:dyDescent="0.25">
      <c r="B28" s="37" t="s">
        <v>48</v>
      </c>
      <c r="C28" s="38"/>
      <c r="D28" s="46">
        <v>832605</v>
      </c>
      <c r="E28" s="47"/>
      <c r="F28" s="28">
        <f t="shared" si="0"/>
        <v>396</v>
      </c>
      <c r="G28" s="46">
        <v>846051</v>
      </c>
      <c r="H28" s="47"/>
      <c r="I28" s="28">
        <f t="shared" si="1"/>
        <v>450</v>
      </c>
      <c r="J28" s="46">
        <v>858435</v>
      </c>
      <c r="K28" s="47"/>
      <c r="L28" s="28">
        <f t="shared" si="2"/>
        <v>488</v>
      </c>
      <c r="M28" s="46"/>
      <c r="N28" s="47"/>
      <c r="O28" s="28" t="str">
        <f t="shared" si="3"/>
        <v/>
      </c>
      <c r="P28" s="46"/>
      <c r="Q28" s="47"/>
      <c r="R28" s="28" t="str">
        <f t="shared" si="4"/>
        <v/>
      </c>
      <c r="S28" s="46"/>
      <c r="T28" s="47"/>
      <c r="U28" s="28" t="str">
        <f t="shared" si="5"/>
        <v/>
      </c>
      <c r="V28" s="46"/>
      <c r="W28" s="47"/>
      <c r="X28" s="28" t="str">
        <f t="shared" si="6"/>
        <v/>
      </c>
      <c r="Y28" s="46"/>
      <c r="Z28" s="47"/>
      <c r="AA28" s="28" t="str">
        <f t="shared" si="7"/>
        <v/>
      </c>
      <c r="AB28" s="46"/>
      <c r="AC28" s="47"/>
      <c r="AD28" s="28" t="str">
        <f t="shared" si="8"/>
        <v/>
      </c>
      <c r="AE28" s="46"/>
      <c r="AF28" s="47"/>
      <c r="AG28" s="28" t="str">
        <f t="shared" si="9"/>
        <v/>
      </c>
      <c r="AH28" s="46"/>
      <c r="AI28" s="47"/>
      <c r="AJ28" s="28" t="str">
        <f t="shared" si="10"/>
        <v/>
      </c>
      <c r="AK28" s="46"/>
      <c r="AL28" s="47"/>
      <c r="AM28" s="34" t="str">
        <f t="shared" si="11"/>
        <v/>
      </c>
    </row>
    <row r="29" spans="2:39" x14ac:dyDescent="0.25">
      <c r="B29" s="37" t="s">
        <v>49</v>
      </c>
      <c r="C29" s="38"/>
      <c r="D29" s="46">
        <v>833020</v>
      </c>
      <c r="E29" s="47"/>
      <c r="F29" s="28">
        <f t="shared" si="0"/>
        <v>415</v>
      </c>
      <c r="G29" s="46">
        <v>846402</v>
      </c>
      <c r="H29" s="47"/>
      <c r="I29" s="28">
        <f t="shared" si="1"/>
        <v>351</v>
      </c>
      <c r="J29" s="46"/>
      <c r="K29" s="47"/>
      <c r="L29" s="28" t="str">
        <f t="shared" si="2"/>
        <v/>
      </c>
      <c r="M29" s="46"/>
      <c r="N29" s="47"/>
      <c r="O29" s="28" t="str">
        <f t="shared" si="3"/>
        <v/>
      </c>
      <c r="P29" s="46"/>
      <c r="Q29" s="47"/>
      <c r="R29" s="28" t="str">
        <f t="shared" si="4"/>
        <v/>
      </c>
      <c r="S29" s="46"/>
      <c r="T29" s="47"/>
      <c r="U29" s="28" t="str">
        <f t="shared" si="5"/>
        <v/>
      </c>
      <c r="V29" s="46"/>
      <c r="W29" s="47"/>
      <c r="X29" s="28" t="str">
        <f t="shared" si="6"/>
        <v/>
      </c>
      <c r="Y29" s="46"/>
      <c r="Z29" s="47"/>
      <c r="AA29" s="28" t="str">
        <f t="shared" si="7"/>
        <v/>
      </c>
      <c r="AB29" s="46"/>
      <c r="AC29" s="47"/>
      <c r="AD29" s="28" t="str">
        <f t="shared" si="8"/>
        <v/>
      </c>
      <c r="AE29" s="46"/>
      <c r="AF29" s="47"/>
      <c r="AG29" s="28" t="str">
        <f t="shared" si="9"/>
        <v/>
      </c>
      <c r="AH29" s="46"/>
      <c r="AI29" s="47"/>
      <c r="AJ29" s="28" t="str">
        <f t="shared" si="10"/>
        <v/>
      </c>
      <c r="AK29" s="46"/>
      <c r="AL29" s="47"/>
      <c r="AM29" s="34" t="str">
        <f t="shared" si="11"/>
        <v/>
      </c>
    </row>
    <row r="30" spans="2:39" x14ac:dyDescent="0.25">
      <c r="B30" s="37" t="s">
        <v>50</v>
      </c>
      <c r="C30" s="38"/>
      <c r="D30" s="46">
        <v>833501</v>
      </c>
      <c r="E30" s="47"/>
      <c r="F30" s="28">
        <f t="shared" si="0"/>
        <v>481</v>
      </c>
      <c r="G30" s="46">
        <v>846816</v>
      </c>
      <c r="H30" s="47"/>
      <c r="I30" s="28">
        <f t="shared" si="1"/>
        <v>414</v>
      </c>
      <c r="J30" s="46"/>
      <c r="K30" s="47"/>
      <c r="L30" s="28" t="str">
        <f t="shared" si="2"/>
        <v/>
      </c>
      <c r="M30" s="46"/>
      <c r="N30" s="47"/>
      <c r="O30" s="28" t="str">
        <f t="shared" si="3"/>
        <v/>
      </c>
      <c r="P30" s="46"/>
      <c r="Q30" s="47"/>
      <c r="R30" s="28" t="str">
        <f t="shared" si="4"/>
        <v/>
      </c>
      <c r="S30" s="46"/>
      <c r="T30" s="47"/>
      <c r="U30" s="28" t="str">
        <f t="shared" si="5"/>
        <v/>
      </c>
      <c r="V30" s="46"/>
      <c r="W30" s="47"/>
      <c r="X30" s="28" t="str">
        <f t="shared" si="6"/>
        <v/>
      </c>
      <c r="Y30" s="46"/>
      <c r="Z30" s="47"/>
      <c r="AA30" s="28" t="str">
        <f t="shared" si="7"/>
        <v/>
      </c>
      <c r="AB30" s="46"/>
      <c r="AC30" s="47"/>
      <c r="AD30" s="28" t="str">
        <f t="shared" si="8"/>
        <v/>
      </c>
      <c r="AE30" s="46"/>
      <c r="AF30" s="47"/>
      <c r="AG30" s="28" t="str">
        <f t="shared" si="9"/>
        <v/>
      </c>
      <c r="AH30" s="46"/>
      <c r="AI30" s="47"/>
      <c r="AJ30" s="28" t="str">
        <f t="shared" si="10"/>
        <v/>
      </c>
      <c r="AK30" s="46"/>
      <c r="AL30" s="47"/>
      <c r="AM30" s="34" t="str">
        <f t="shared" si="11"/>
        <v/>
      </c>
    </row>
    <row r="31" spans="2:39" x14ac:dyDescent="0.25">
      <c r="B31" s="37" t="s">
        <v>51</v>
      </c>
      <c r="C31" s="38"/>
      <c r="D31" s="46">
        <v>833942</v>
      </c>
      <c r="E31" s="47"/>
      <c r="F31" s="28">
        <f t="shared" si="0"/>
        <v>441</v>
      </c>
      <c r="G31" s="46">
        <v>847239</v>
      </c>
      <c r="H31" s="47"/>
      <c r="I31" s="28">
        <f t="shared" si="1"/>
        <v>423</v>
      </c>
      <c r="J31" s="46"/>
      <c r="K31" s="47"/>
      <c r="L31" s="28" t="str">
        <f t="shared" si="2"/>
        <v/>
      </c>
      <c r="M31" s="46"/>
      <c r="N31" s="47"/>
      <c r="O31" s="28" t="str">
        <f t="shared" si="3"/>
        <v/>
      </c>
      <c r="P31" s="46"/>
      <c r="Q31" s="47"/>
      <c r="R31" s="28" t="str">
        <f t="shared" si="4"/>
        <v/>
      </c>
      <c r="S31" s="46"/>
      <c r="T31" s="47"/>
      <c r="U31" s="28" t="str">
        <f t="shared" si="5"/>
        <v/>
      </c>
      <c r="V31" s="46"/>
      <c r="W31" s="47"/>
      <c r="X31" s="28" t="str">
        <f t="shared" si="6"/>
        <v/>
      </c>
      <c r="Y31" s="46"/>
      <c r="Z31" s="47"/>
      <c r="AA31" s="28" t="str">
        <f t="shared" si="7"/>
        <v/>
      </c>
      <c r="AB31" s="46"/>
      <c r="AC31" s="47"/>
      <c r="AD31" s="28" t="str">
        <f t="shared" si="8"/>
        <v/>
      </c>
      <c r="AE31" s="46"/>
      <c r="AF31" s="47"/>
      <c r="AG31" s="28" t="str">
        <f t="shared" si="9"/>
        <v/>
      </c>
      <c r="AH31" s="46"/>
      <c r="AI31" s="47"/>
      <c r="AJ31" s="28" t="str">
        <f t="shared" si="10"/>
        <v/>
      </c>
      <c r="AK31" s="46"/>
      <c r="AL31" s="47"/>
      <c r="AM31" s="34" t="str">
        <f t="shared" si="11"/>
        <v/>
      </c>
    </row>
    <row r="32" spans="2:39" x14ac:dyDescent="0.25">
      <c r="B32" s="37" t="s">
        <v>52</v>
      </c>
      <c r="C32" s="38"/>
      <c r="D32" s="46">
        <v>834377</v>
      </c>
      <c r="E32" s="47"/>
      <c r="F32" s="28">
        <f t="shared" si="0"/>
        <v>435</v>
      </c>
      <c r="G32" s="46">
        <v>847648</v>
      </c>
      <c r="H32" s="47"/>
      <c r="I32" s="28">
        <f t="shared" si="1"/>
        <v>409</v>
      </c>
      <c r="J32" s="46"/>
      <c r="K32" s="47"/>
      <c r="L32" s="28" t="str">
        <f t="shared" si="2"/>
        <v/>
      </c>
      <c r="M32" s="46"/>
      <c r="N32" s="47"/>
      <c r="O32" s="28" t="str">
        <f t="shared" si="3"/>
        <v/>
      </c>
      <c r="P32" s="46"/>
      <c r="Q32" s="47"/>
      <c r="R32" s="28" t="str">
        <f t="shared" si="4"/>
        <v/>
      </c>
      <c r="S32" s="46"/>
      <c r="T32" s="47"/>
      <c r="U32" s="28" t="str">
        <f t="shared" si="5"/>
        <v/>
      </c>
      <c r="V32" s="46"/>
      <c r="W32" s="47"/>
      <c r="X32" s="28" t="str">
        <f t="shared" si="6"/>
        <v/>
      </c>
      <c r="Y32" s="46"/>
      <c r="Z32" s="47"/>
      <c r="AA32" s="28" t="str">
        <f t="shared" si="7"/>
        <v/>
      </c>
      <c r="AB32" s="46"/>
      <c r="AC32" s="47"/>
      <c r="AD32" s="28" t="str">
        <f t="shared" si="8"/>
        <v/>
      </c>
      <c r="AE32" s="46"/>
      <c r="AF32" s="47"/>
      <c r="AG32" s="28" t="str">
        <f t="shared" si="9"/>
        <v/>
      </c>
      <c r="AH32" s="46"/>
      <c r="AI32" s="47"/>
      <c r="AJ32" s="28" t="str">
        <f t="shared" si="10"/>
        <v/>
      </c>
      <c r="AK32" s="46"/>
      <c r="AL32" s="47"/>
      <c r="AM32" s="34" t="str">
        <f t="shared" si="11"/>
        <v/>
      </c>
    </row>
    <row r="33" spans="2:39" x14ac:dyDescent="0.25">
      <c r="B33" s="37" t="s">
        <v>53</v>
      </c>
      <c r="C33" s="38"/>
      <c r="D33" s="46">
        <v>834829</v>
      </c>
      <c r="E33" s="47"/>
      <c r="F33" s="28">
        <f t="shared" si="0"/>
        <v>452</v>
      </c>
      <c r="G33" s="46">
        <v>848190</v>
      </c>
      <c r="H33" s="47"/>
      <c r="I33" s="28">
        <f t="shared" si="1"/>
        <v>542</v>
      </c>
      <c r="J33" s="46"/>
      <c r="K33" s="47"/>
      <c r="L33" s="28" t="str">
        <f t="shared" si="2"/>
        <v/>
      </c>
      <c r="M33" s="46"/>
      <c r="N33" s="47"/>
      <c r="O33" s="28" t="str">
        <f t="shared" si="3"/>
        <v/>
      </c>
      <c r="P33" s="46"/>
      <c r="Q33" s="47"/>
      <c r="R33" s="28" t="str">
        <f t="shared" si="4"/>
        <v/>
      </c>
      <c r="S33" s="46"/>
      <c r="T33" s="47"/>
      <c r="U33" s="28" t="str">
        <f t="shared" si="5"/>
        <v/>
      </c>
      <c r="V33" s="46"/>
      <c r="W33" s="47"/>
      <c r="X33" s="28" t="str">
        <f t="shared" si="6"/>
        <v/>
      </c>
      <c r="Y33" s="46"/>
      <c r="Z33" s="47"/>
      <c r="AA33" s="28" t="str">
        <f t="shared" si="7"/>
        <v/>
      </c>
      <c r="AB33" s="46"/>
      <c r="AC33" s="47"/>
      <c r="AD33" s="28" t="str">
        <f t="shared" si="8"/>
        <v/>
      </c>
      <c r="AE33" s="46"/>
      <c r="AF33" s="47"/>
      <c r="AG33" s="28" t="str">
        <f t="shared" si="9"/>
        <v/>
      </c>
      <c r="AH33" s="46"/>
      <c r="AI33" s="47"/>
      <c r="AJ33" s="28" t="str">
        <f t="shared" si="10"/>
        <v/>
      </c>
      <c r="AK33" s="46"/>
      <c r="AL33" s="47"/>
      <c r="AM33" s="34" t="str">
        <f t="shared" si="11"/>
        <v/>
      </c>
    </row>
    <row r="34" spans="2:39" x14ac:dyDescent="0.25">
      <c r="B34" s="37" t="s">
        <v>54</v>
      </c>
      <c r="C34" s="38"/>
      <c r="D34" s="46">
        <v>835288</v>
      </c>
      <c r="E34" s="47"/>
      <c r="F34" s="28">
        <f t="shared" si="0"/>
        <v>459</v>
      </c>
      <c r="G34" s="46">
        <v>848604</v>
      </c>
      <c r="H34" s="47"/>
      <c r="I34" s="28">
        <f t="shared" si="1"/>
        <v>414</v>
      </c>
      <c r="J34" s="46"/>
      <c r="K34" s="47"/>
      <c r="L34" s="28" t="str">
        <f t="shared" si="2"/>
        <v/>
      </c>
      <c r="M34" s="46"/>
      <c r="N34" s="47"/>
      <c r="O34" s="28" t="str">
        <f t="shared" si="3"/>
        <v/>
      </c>
      <c r="P34" s="46"/>
      <c r="Q34" s="47"/>
      <c r="R34" s="28" t="str">
        <f t="shared" si="4"/>
        <v/>
      </c>
      <c r="S34" s="46"/>
      <c r="T34" s="47"/>
      <c r="U34" s="28" t="str">
        <f t="shared" si="5"/>
        <v/>
      </c>
      <c r="V34" s="46"/>
      <c r="W34" s="47"/>
      <c r="X34" s="28" t="str">
        <f t="shared" si="6"/>
        <v/>
      </c>
      <c r="Y34" s="46"/>
      <c r="Z34" s="47"/>
      <c r="AA34" s="28" t="str">
        <f t="shared" si="7"/>
        <v/>
      </c>
      <c r="AB34" s="46"/>
      <c r="AC34" s="47"/>
      <c r="AD34" s="28" t="str">
        <f t="shared" si="8"/>
        <v/>
      </c>
      <c r="AE34" s="46"/>
      <c r="AF34" s="47"/>
      <c r="AG34" s="28" t="str">
        <f t="shared" si="9"/>
        <v/>
      </c>
      <c r="AH34" s="46"/>
      <c r="AI34" s="47"/>
      <c r="AJ34" s="28" t="str">
        <f t="shared" si="10"/>
        <v/>
      </c>
      <c r="AK34" s="46"/>
      <c r="AL34" s="47"/>
      <c r="AM34" s="34" t="str">
        <f t="shared" si="11"/>
        <v/>
      </c>
    </row>
    <row r="35" spans="2:39" x14ac:dyDescent="0.25">
      <c r="B35" s="37" t="s">
        <v>55</v>
      </c>
      <c r="C35" s="38"/>
      <c r="D35" s="46">
        <v>835612</v>
      </c>
      <c r="E35" s="47"/>
      <c r="F35" s="28">
        <f t="shared" si="0"/>
        <v>324</v>
      </c>
      <c r="G35" s="46">
        <v>849036</v>
      </c>
      <c r="H35" s="47"/>
      <c r="I35" s="28">
        <f t="shared" si="1"/>
        <v>432</v>
      </c>
      <c r="J35" s="46"/>
      <c r="K35" s="47"/>
      <c r="L35" s="28" t="str">
        <f t="shared" si="2"/>
        <v/>
      </c>
      <c r="M35" s="46"/>
      <c r="N35" s="47"/>
      <c r="O35" s="28" t="str">
        <f t="shared" si="3"/>
        <v/>
      </c>
      <c r="P35" s="46"/>
      <c r="Q35" s="47"/>
      <c r="R35" s="28" t="str">
        <f t="shared" si="4"/>
        <v/>
      </c>
      <c r="S35" s="46"/>
      <c r="T35" s="47"/>
      <c r="U35" s="28" t="str">
        <f t="shared" si="5"/>
        <v/>
      </c>
      <c r="V35" s="46"/>
      <c r="W35" s="47"/>
      <c r="X35" s="28" t="str">
        <f t="shared" si="6"/>
        <v/>
      </c>
      <c r="Y35" s="46"/>
      <c r="Z35" s="47"/>
      <c r="AA35" s="28" t="str">
        <f t="shared" si="7"/>
        <v/>
      </c>
      <c r="AB35" s="46"/>
      <c r="AC35" s="47"/>
      <c r="AD35" s="28" t="str">
        <f t="shared" si="8"/>
        <v/>
      </c>
      <c r="AE35" s="46"/>
      <c r="AF35" s="47"/>
      <c r="AG35" s="28" t="str">
        <f t="shared" si="9"/>
        <v/>
      </c>
      <c r="AH35" s="46"/>
      <c r="AI35" s="47"/>
      <c r="AJ35" s="28" t="str">
        <f t="shared" si="10"/>
        <v/>
      </c>
      <c r="AK35" s="46"/>
      <c r="AL35" s="47"/>
      <c r="AM35" s="34" t="str">
        <f t="shared" si="11"/>
        <v/>
      </c>
    </row>
    <row r="36" spans="2:39" x14ac:dyDescent="0.25">
      <c r="B36" s="37" t="s">
        <v>56</v>
      </c>
      <c r="C36" s="38"/>
      <c r="D36" s="46">
        <v>836092</v>
      </c>
      <c r="E36" s="47"/>
      <c r="F36" s="28">
        <f t="shared" si="0"/>
        <v>480</v>
      </c>
      <c r="G36" s="48"/>
      <c r="H36" s="49"/>
      <c r="I36" s="29" t="str">
        <f t="shared" si="1"/>
        <v/>
      </c>
      <c r="J36" s="46"/>
      <c r="K36" s="47"/>
      <c r="L36" s="28" t="str">
        <f t="shared" si="2"/>
        <v/>
      </c>
      <c r="M36" s="46"/>
      <c r="N36" s="47"/>
      <c r="O36" s="28" t="str">
        <f t="shared" si="3"/>
        <v/>
      </c>
      <c r="P36" s="46"/>
      <c r="Q36" s="47"/>
      <c r="R36" s="28" t="str">
        <f t="shared" si="4"/>
        <v/>
      </c>
      <c r="S36" s="46"/>
      <c r="T36" s="47"/>
      <c r="U36" s="28" t="str">
        <f t="shared" si="5"/>
        <v/>
      </c>
      <c r="V36" s="46"/>
      <c r="W36" s="47"/>
      <c r="X36" s="28" t="str">
        <f t="shared" si="6"/>
        <v/>
      </c>
      <c r="Y36" s="46"/>
      <c r="Z36" s="47"/>
      <c r="AA36" s="28" t="str">
        <f t="shared" si="7"/>
        <v/>
      </c>
      <c r="AB36" s="46"/>
      <c r="AC36" s="47"/>
      <c r="AD36" s="28" t="str">
        <f t="shared" si="8"/>
        <v/>
      </c>
      <c r="AE36" s="46"/>
      <c r="AF36" s="47"/>
      <c r="AG36" s="28" t="str">
        <f t="shared" si="9"/>
        <v/>
      </c>
      <c r="AH36" s="46"/>
      <c r="AI36" s="47"/>
      <c r="AJ36" s="28" t="str">
        <f t="shared" si="10"/>
        <v/>
      </c>
      <c r="AK36" s="46"/>
      <c r="AL36" s="47"/>
      <c r="AM36" s="34" t="str">
        <f t="shared" si="11"/>
        <v/>
      </c>
    </row>
    <row r="37" spans="2:39" x14ac:dyDescent="0.25">
      <c r="B37" s="37" t="s">
        <v>57</v>
      </c>
      <c r="C37" s="38"/>
      <c r="D37" s="46">
        <v>836477</v>
      </c>
      <c r="E37" s="47"/>
      <c r="F37" s="28">
        <f t="shared" si="0"/>
        <v>385</v>
      </c>
      <c r="G37" s="48"/>
      <c r="H37" s="49"/>
      <c r="I37" s="29"/>
      <c r="J37" s="46"/>
      <c r="K37" s="47"/>
      <c r="L37" s="28" t="str">
        <f t="shared" si="2"/>
        <v/>
      </c>
      <c r="M37" s="46"/>
      <c r="N37" s="47"/>
      <c r="O37" s="28" t="str">
        <f t="shared" si="3"/>
        <v/>
      </c>
      <c r="P37" s="46"/>
      <c r="Q37" s="47"/>
      <c r="R37" s="28" t="str">
        <f t="shared" si="4"/>
        <v/>
      </c>
      <c r="S37" s="46"/>
      <c r="T37" s="47"/>
      <c r="U37" s="28" t="str">
        <f t="shared" si="5"/>
        <v/>
      </c>
      <c r="V37" s="46"/>
      <c r="W37" s="47"/>
      <c r="X37" s="28" t="str">
        <f t="shared" si="6"/>
        <v/>
      </c>
      <c r="Y37" s="46"/>
      <c r="Z37" s="47"/>
      <c r="AA37" s="28" t="str">
        <f t="shared" si="7"/>
        <v/>
      </c>
      <c r="AB37" s="46"/>
      <c r="AC37" s="47"/>
      <c r="AD37" s="28" t="str">
        <f t="shared" si="8"/>
        <v/>
      </c>
      <c r="AE37" s="46"/>
      <c r="AF37" s="47"/>
      <c r="AG37" s="28" t="str">
        <f t="shared" si="9"/>
        <v/>
      </c>
      <c r="AH37" s="46"/>
      <c r="AI37" s="47"/>
      <c r="AJ37" s="28" t="str">
        <f t="shared" si="10"/>
        <v/>
      </c>
      <c r="AK37" s="46"/>
      <c r="AL37" s="47"/>
      <c r="AM37" s="34" t="str">
        <f t="shared" si="11"/>
        <v/>
      </c>
    </row>
    <row r="38" spans="2:39" ht="15.75" thickBot="1" x14ac:dyDescent="0.3">
      <c r="B38" s="35" t="s">
        <v>58</v>
      </c>
      <c r="C38" s="36"/>
      <c r="D38" s="42">
        <v>836906</v>
      </c>
      <c r="E38" s="43"/>
      <c r="F38" s="28">
        <f t="shared" si="0"/>
        <v>429</v>
      </c>
      <c r="G38" s="44"/>
      <c r="H38" s="45"/>
      <c r="I38" s="27"/>
      <c r="J38" s="42"/>
      <c r="K38" s="43"/>
      <c r="L38" s="28" t="str">
        <f t="shared" si="2"/>
        <v/>
      </c>
      <c r="M38" s="44"/>
      <c r="N38" s="45"/>
      <c r="O38" s="27"/>
      <c r="P38" s="42"/>
      <c r="Q38" s="43"/>
      <c r="R38" s="28" t="str">
        <f t="shared" si="4"/>
        <v/>
      </c>
      <c r="S38" s="44"/>
      <c r="T38" s="45"/>
      <c r="U38" s="27"/>
      <c r="V38" s="42"/>
      <c r="W38" s="43"/>
      <c r="X38" s="28" t="str">
        <f t="shared" si="6"/>
        <v/>
      </c>
      <c r="Y38" s="42"/>
      <c r="Z38" s="43"/>
      <c r="AA38" s="28" t="str">
        <f t="shared" si="7"/>
        <v/>
      </c>
      <c r="AB38" s="44"/>
      <c r="AC38" s="45"/>
      <c r="AD38" s="27"/>
      <c r="AE38" s="42"/>
      <c r="AF38" s="43"/>
      <c r="AG38" s="28" t="str">
        <f t="shared" si="9"/>
        <v/>
      </c>
      <c r="AH38" s="44"/>
      <c r="AI38" s="45"/>
      <c r="AJ38" s="27"/>
      <c r="AK38" s="42"/>
      <c r="AL38" s="43"/>
      <c r="AM38" s="4" t="str">
        <f t="shared" si="11"/>
        <v/>
      </c>
    </row>
    <row r="39" spans="2:39" ht="15.75" thickBot="1" x14ac:dyDescent="0.3">
      <c r="B39" s="40" t="s">
        <v>59</v>
      </c>
      <c r="C39" s="41"/>
      <c r="D39" s="39"/>
      <c r="E39" s="39"/>
      <c r="F39" s="25">
        <f>SUM(F8:F38)</f>
        <v>13176</v>
      </c>
      <c r="G39" s="39"/>
      <c r="H39" s="39"/>
      <c r="I39" s="25">
        <f>SUM(I8:I36)</f>
        <v>12130</v>
      </c>
      <c r="J39" s="39"/>
      <c r="K39" s="39"/>
      <c r="L39" s="25">
        <f>SUM(L8:L38)</f>
        <v>9399</v>
      </c>
      <c r="M39" s="39"/>
      <c r="N39" s="39"/>
      <c r="O39" s="25">
        <f>SUM(O8:O37)</f>
        <v>0</v>
      </c>
      <c r="P39" s="39"/>
      <c r="Q39" s="39"/>
      <c r="R39" s="25">
        <f>SUM(R8:R38)</f>
        <v>0</v>
      </c>
      <c r="S39" s="39"/>
      <c r="T39" s="39"/>
      <c r="U39" s="25">
        <f>SUM(U8:U37)</f>
        <v>0</v>
      </c>
      <c r="V39" s="39"/>
      <c r="W39" s="39"/>
      <c r="X39" s="25">
        <f>SUM(X8:X38)</f>
        <v>0</v>
      </c>
      <c r="Y39" s="39"/>
      <c r="Z39" s="39"/>
      <c r="AA39" s="25">
        <f>SUM(AA8:AA38)</f>
        <v>0</v>
      </c>
      <c r="AB39" s="39"/>
      <c r="AC39" s="39"/>
      <c r="AD39" s="25">
        <f>SUM(AD8:AD37)</f>
        <v>0</v>
      </c>
      <c r="AE39" s="39"/>
      <c r="AF39" s="39"/>
      <c r="AG39" s="25">
        <f>SUM(AG8:AG38)</f>
        <v>0</v>
      </c>
      <c r="AH39" s="39"/>
      <c r="AI39" s="39"/>
      <c r="AJ39" s="25">
        <f>SUM(AJ8:AJ37)</f>
        <v>0</v>
      </c>
      <c r="AK39" s="39"/>
      <c r="AL39" s="39"/>
      <c r="AM39" s="33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A5" zoomScale="70" zoomScaleNormal="70" workbookViewId="0">
      <selection activeCell="N32" sqref="N32:O32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0" t="s">
        <v>13</v>
      </c>
      <c r="C3" s="64"/>
      <c r="D3" s="64"/>
      <c r="E3" s="51"/>
      <c r="W3" s="9"/>
      <c r="X3" s="10"/>
      <c r="Y3" s="10"/>
      <c r="Z3" s="10"/>
      <c r="AA3" s="10"/>
    </row>
    <row r="4" spans="2:63" x14ac:dyDescent="0.25">
      <c r="B4" s="58" t="s">
        <v>60</v>
      </c>
      <c r="C4" s="47"/>
      <c r="D4" s="47" t="s">
        <v>61</v>
      </c>
      <c r="E4" s="65"/>
      <c r="W4" s="9"/>
      <c r="X4" s="10"/>
      <c r="Y4" s="10"/>
      <c r="Z4" s="10"/>
      <c r="AA4" s="10"/>
    </row>
    <row r="5" spans="2:63" ht="15.75" thickBot="1" x14ac:dyDescent="0.3">
      <c r="B5" s="40">
        <v>5914.3</v>
      </c>
      <c r="C5" s="41"/>
      <c r="D5" s="41">
        <v>2312.9</v>
      </c>
      <c r="E5" s="61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56" t="s">
        <v>14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31"/>
      <c r="BJ7" s="31"/>
      <c r="BK7" s="6"/>
    </row>
    <row r="8" spans="2:63" ht="6.75" customHeight="1" x14ac:dyDescent="0.25">
      <c r="B8" s="58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28"/>
      <c r="BJ8" s="28"/>
      <c r="BK8" s="34"/>
    </row>
    <row r="9" spans="2:63" x14ac:dyDescent="0.25">
      <c r="B9" s="67" t="s">
        <v>62</v>
      </c>
      <c r="C9" s="68"/>
      <c r="D9" s="52" t="s">
        <v>15</v>
      </c>
      <c r="E9" s="53"/>
      <c r="F9" s="53"/>
      <c r="G9" s="53"/>
      <c r="H9" s="30" t="s">
        <v>63</v>
      </c>
      <c r="I9" s="52" t="s">
        <v>17</v>
      </c>
      <c r="J9" s="53"/>
      <c r="K9" s="53"/>
      <c r="L9" s="53"/>
      <c r="M9" s="30" t="s">
        <v>63</v>
      </c>
      <c r="N9" s="52" t="s">
        <v>18</v>
      </c>
      <c r="O9" s="53"/>
      <c r="P9" s="53"/>
      <c r="Q9" s="53"/>
      <c r="R9" s="30" t="s">
        <v>63</v>
      </c>
      <c r="S9" s="52" t="s">
        <v>19</v>
      </c>
      <c r="T9" s="53"/>
      <c r="U9" s="53"/>
      <c r="V9" s="53"/>
      <c r="W9" s="30" t="s">
        <v>63</v>
      </c>
      <c r="X9" s="52" t="s">
        <v>20</v>
      </c>
      <c r="Y9" s="53"/>
      <c r="Z9" s="53"/>
      <c r="AA9" s="53"/>
      <c r="AB9" s="30" t="s">
        <v>63</v>
      </c>
      <c r="AC9" s="52" t="s">
        <v>21</v>
      </c>
      <c r="AD9" s="53"/>
      <c r="AE9" s="53"/>
      <c r="AF9" s="53"/>
      <c r="AG9" s="30" t="s">
        <v>63</v>
      </c>
      <c r="AH9" s="52" t="s">
        <v>22</v>
      </c>
      <c r="AI9" s="53"/>
      <c r="AJ9" s="53"/>
      <c r="AK9" s="53"/>
      <c r="AL9" s="30" t="s">
        <v>63</v>
      </c>
      <c r="AM9" s="52" t="s">
        <v>23</v>
      </c>
      <c r="AN9" s="53"/>
      <c r="AO9" s="53"/>
      <c r="AP9" s="53"/>
      <c r="AQ9" s="30" t="s">
        <v>63</v>
      </c>
      <c r="AR9" s="52" t="s">
        <v>24</v>
      </c>
      <c r="AS9" s="53"/>
      <c r="AT9" s="53"/>
      <c r="AU9" s="53"/>
      <c r="AV9" s="30" t="s">
        <v>63</v>
      </c>
      <c r="AW9" s="52" t="s">
        <v>25</v>
      </c>
      <c r="AX9" s="53"/>
      <c r="AY9" s="53"/>
      <c r="AZ9" s="53"/>
      <c r="BA9" s="30" t="s">
        <v>63</v>
      </c>
      <c r="BB9" s="52" t="s">
        <v>26</v>
      </c>
      <c r="BC9" s="53"/>
      <c r="BD9" s="53"/>
      <c r="BE9" s="53"/>
      <c r="BF9" s="30" t="s">
        <v>63</v>
      </c>
      <c r="BG9" s="52" t="s">
        <v>27</v>
      </c>
      <c r="BH9" s="53"/>
      <c r="BI9" s="53"/>
      <c r="BJ9" s="53"/>
      <c r="BK9" s="7" t="s">
        <v>63</v>
      </c>
    </row>
    <row r="10" spans="2:63" x14ac:dyDescent="0.25">
      <c r="B10" s="37"/>
      <c r="C10" s="38"/>
      <c r="D10" s="62" t="s">
        <v>60</v>
      </c>
      <c r="E10" s="63"/>
      <c r="F10" s="63" t="s">
        <v>61</v>
      </c>
      <c r="G10" s="63"/>
      <c r="H10" s="32"/>
      <c r="I10" s="62" t="s">
        <v>64</v>
      </c>
      <c r="J10" s="63"/>
      <c r="K10" s="63" t="s">
        <v>61</v>
      </c>
      <c r="L10" s="63"/>
      <c r="M10" s="32"/>
      <c r="N10" s="62" t="s">
        <v>64</v>
      </c>
      <c r="O10" s="63"/>
      <c r="P10" s="63" t="s">
        <v>61</v>
      </c>
      <c r="Q10" s="63"/>
      <c r="R10" s="32"/>
      <c r="S10" s="62" t="s">
        <v>64</v>
      </c>
      <c r="T10" s="63"/>
      <c r="U10" s="63" t="s">
        <v>61</v>
      </c>
      <c r="V10" s="63"/>
      <c r="W10" s="32"/>
      <c r="X10" s="62" t="s">
        <v>64</v>
      </c>
      <c r="Y10" s="63"/>
      <c r="Z10" s="63" t="s">
        <v>61</v>
      </c>
      <c r="AA10" s="63"/>
      <c r="AB10" s="32"/>
      <c r="AC10" s="62" t="s">
        <v>64</v>
      </c>
      <c r="AD10" s="63"/>
      <c r="AE10" s="63" t="s">
        <v>61</v>
      </c>
      <c r="AF10" s="63"/>
      <c r="AG10" s="32"/>
      <c r="AH10" s="62" t="s">
        <v>64</v>
      </c>
      <c r="AI10" s="63"/>
      <c r="AJ10" s="63" t="s">
        <v>61</v>
      </c>
      <c r="AK10" s="63"/>
      <c r="AL10" s="32"/>
      <c r="AM10" s="62" t="s">
        <v>64</v>
      </c>
      <c r="AN10" s="63"/>
      <c r="AO10" s="63" t="s">
        <v>61</v>
      </c>
      <c r="AP10" s="63"/>
      <c r="AQ10" s="32"/>
      <c r="AR10" s="62" t="s">
        <v>64</v>
      </c>
      <c r="AS10" s="63"/>
      <c r="AT10" s="63" t="s">
        <v>61</v>
      </c>
      <c r="AU10" s="63"/>
      <c r="AV10" s="32"/>
      <c r="AW10" s="62" t="s">
        <v>64</v>
      </c>
      <c r="AX10" s="63"/>
      <c r="AY10" s="63" t="s">
        <v>61</v>
      </c>
      <c r="AZ10" s="63"/>
      <c r="BA10" s="32"/>
      <c r="BB10" s="62" t="s">
        <v>64</v>
      </c>
      <c r="BC10" s="63"/>
      <c r="BD10" s="63" t="s">
        <v>61</v>
      </c>
      <c r="BE10" s="63"/>
      <c r="BF10" s="32"/>
      <c r="BG10" s="62" t="s">
        <v>64</v>
      </c>
      <c r="BH10" s="63"/>
      <c r="BI10" s="63" t="s">
        <v>61</v>
      </c>
      <c r="BJ10" s="63"/>
      <c r="BK10" s="5"/>
    </row>
    <row r="11" spans="2:63" x14ac:dyDescent="0.25">
      <c r="B11" s="37" t="s">
        <v>28</v>
      </c>
      <c r="C11" s="38"/>
      <c r="D11" s="46">
        <v>5944.1</v>
      </c>
      <c r="E11" s="47"/>
      <c r="F11" s="47">
        <v>2326.1</v>
      </c>
      <c r="G11" s="47"/>
      <c r="H11" s="28">
        <f>IF(COUNT(B5,D5,D11,F11)=4,(D11+F11)-(B5+D5),"")</f>
        <v>43</v>
      </c>
      <c r="I11" s="46">
        <v>6726.5</v>
      </c>
      <c r="J11" s="47"/>
      <c r="K11" s="59">
        <v>2817.5</v>
      </c>
      <c r="L11" s="59"/>
      <c r="M11" s="28">
        <f>IF(COUNT(D41,F41,I11,K11)=4,(I11+K11)-(D41+F41),"")</f>
        <v>47.600000000000364</v>
      </c>
      <c r="N11" s="46">
        <v>7455.8</v>
      </c>
      <c r="O11" s="47"/>
      <c r="P11" s="59">
        <v>3271.5</v>
      </c>
      <c r="Q11" s="59"/>
      <c r="R11" s="28">
        <f>IF(COUNT(I38,K38,N11,P11)=4,(N11+P11)-(I38+K38),"")</f>
        <v>48.799999999999272</v>
      </c>
      <c r="S11" s="46"/>
      <c r="T11" s="47"/>
      <c r="U11" s="59"/>
      <c r="V11" s="59"/>
      <c r="W11" s="28" t="str">
        <f>IF(COUNT(N41,P41,S11,U11)=4,(S11+U11)-(N41+P41),"")</f>
        <v/>
      </c>
      <c r="X11" s="46"/>
      <c r="Y11" s="47"/>
      <c r="Z11" s="59"/>
      <c r="AA11" s="59"/>
      <c r="AB11" s="28" t="str">
        <f>IF(COUNT(S40,U40,X11,Z11)=4,(X11+Z11)-(S40+U40),"")</f>
        <v/>
      </c>
      <c r="AC11" s="46"/>
      <c r="AD11" s="47"/>
      <c r="AE11" s="59"/>
      <c r="AF11" s="59"/>
      <c r="AG11" s="28" t="str">
        <f>IF(COUNT(X41,Z41,AC11,AE11)=4,(AC11+AE11)-(X41+Z41),"")</f>
        <v/>
      </c>
      <c r="AH11" s="46"/>
      <c r="AI11" s="47"/>
      <c r="AJ11" s="59"/>
      <c r="AK11" s="59"/>
      <c r="AL11" s="28" t="str">
        <f>IF(COUNT(AC40,AE40,AH11,AJ11)=4,(AH11+AJ11)-(AC40+AE40),"")</f>
        <v/>
      </c>
      <c r="AM11" s="46"/>
      <c r="AN11" s="47"/>
      <c r="AO11" s="59"/>
      <c r="AP11" s="59"/>
      <c r="AQ11" s="28" t="str">
        <f>IF(COUNT(AH41,AJ41,AM11,AO11)=4,(AM11+AO11)-(AH41+AJ41),"")</f>
        <v/>
      </c>
      <c r="AR11" s="46"/>
      <c r="AS11" s="47"/>
      <c r="AT11" s="59"/>
      <c r="AU11" s="59"/>
      <c r="AV11" s="28" t="str">
        <f>IF(COUNT(AM41,AO41,AR11,AT11)=4,(AR11+AT11)-(AM41+AO41),"")</f>
        <v/>
      </c>
      <c r="AW11" s="46"/>
      <c r="AX11" s="47"/>
      <c r="AY11" s="59"/>
      <c r="AZ11" s="59"/>
      <c r="BA11" s="28" t="str">
        <f>IF(COUNT(AR40,AT40,AW11,AY11)=4,(AW11+AY11)-(AR40+AT40),"")</f>
        <v/>
      </c>
      <c r="BB11" s="46"/>
      <c r="BC11" s="47"/>
      <c r="BD11" s="59"/>
      <c r="BE11" s="59"/>
      <c r="BF11" s="28" t="str">
        <f>IF(COUNT(AW41,AY41,BB11,BD11)=4,(BB11+BD11)-(AW41+AY41),"")</f>
        <v/>
      </c>
      <c r="BG11" s="46"/>
      <c r="BH11" s="47"/>
      <c r="BI11" s="59"/>
      <c r="BJ11" s="59"/>
      <c r="BK11" s="34" t="str">
        <f>IF(COUNT(BB40,BD40,BG11,BI11)=4,(BG11+BI11)-(BB40+BD40),"")</f>
        <v/>
      </c>
    </row>
    <row r="12" spans="2:63" x14ac:dyDescent="0.25">
      <c r="B12" s="37" t="s">
        <v>29</v>
      </c>
      <c r="C12" s="38"/>
      <c r="D12" s="46">
        <v>5966.2</v>
      </c>
      <c r="E12" s="47"/>
      <c r="F12" s="47">
        <v>2335.6</v>
      </c>
      <c r="G12" s="47"/>
      <c r="H12" s="28">
        <f>IF(COUNT(D11,D12,F11,F12)=4,(D12+F12)-(D11+F11),"")</f>
        <v>31.599999999998545</v>
      </c>
      <c r="I12" s="46">
        <v>6750.3</v>
      </c>
      <c r="J12" s="47"/>
      <c r="K12" s="59">
        <v>2829.7</v>
      </c>
      <c r="L12" s="59"/>
      <c r="M12" s="28">
        <f>IF(COUNT(I11,I12,K11,K12)=4,(I12+K12)-(I11+K11),"")</f>
        <v>36</v>
      </c>
      <c r="N12" s="46">
        <v>7481</v>
      </c>
      <c r="O12" s="47"/>
      <c r="P12" s="59">
        <v>3286</v>
      </c>
      <c r="Q12" s="59"/>
      <c r="R12" s="28">
        <f>IF(COUNT(N11,N12,P11,P12)=4,(N12+P12)-(N11+P11),"")</f>
        <v>39.700000000000728</v>
      </c>
      <c r="S12" s="46"/>
      <c r="T12" s="47"/>
      <c r="U12" s="59"/>
      <c r="V12" s="59"/>
      <c r="W12" s="28" t="str">
        <f>IF(COUNT(S11,S12,U11,U12)=4,(S12+U12)-(S11+U11),"")</f>
        <v/>
      </c>
      <c r="X12" s="46"/>
      <c r="Y12" s="47"/>
      <c r="Z12" s="59"/>
      <c r="AA12" s="59"/>
      <c r="AB12" s="28" t="str">
        <f>IF(COUNT(X11,X12,Z11,Z12)=4,(X12+Z12)-(X11+Z11),"")</f>
        <v/>
      </c>
      <c r="AC12" s="46"/>
      <c r="AD12" s="47"/>
      <c r="AE12" s="59"/>
      <c r="AF12" s="59"/>
      <c r="AG12" s="28" t="str">
        <f>IF(COUNT(AC11,AC12,AE11,AE12)=4,(AC12+AE12)-(AC11+AE11),"")</f>
        <v/>
      </c>
      <c r="AH12" s="46"/>
      <c r="AI12" s="47"/>
      <c r="AJ12" s="59"/>
      <c r="AK12" s="59"/>
      <c r="AL12" s="28" t="str">
        <f>IF(COUNT(AH11,AH12,AJ11,AJ12)=4,(AH12+AJ12)-(AH11+AJ11),"")</f>
        <v/>
      </c>
      <c r="AM12" s="46"/>
      <c r="AN12" s="47"/>
      <c r="AO12" s="59"/>
      <c r="AP12" s="59"/>
      <c r="AQ12" s="28" t="str">
        <f>IF(COUNT(AM11,AM12,AO11,AO12)=4,(AM12+AO12)-(AM11+AO11),"")</f>
        <v/>
      </c>
      <c r="AR12" s="46"/>
      <c r="AS12" s="47"/>
      <c r="AT12" s="59"/>
      <c r="AU12" s="59"/>
      <c r="AV12" s="28" t="str">
        <f>IF(COUNT(AR11,AR12,AT11,AT12)=4,(AR12+AT12)-(AR11+AT11),"")</f>
        <v/>
      </c>
      <c r="AW12" s="46"/>
      <c r="AX12" s="47"/>
      <c r="AY12" s="59"/>
      <c r="AZ12" s="59"/>
      <c r="BA12" s="28" t="str">
        <f>IF(COUNT(AW11,AW12,AY11,AY12)=4,(AW12+AY12)-(AW11+AY11),"")</f>
        <v/>
      </c>
      <c r="BB12" s="46"/>
      <c r="BC12" s="47"/>
      <c r="BD12" s="59"/>
      <c r="BE12" s="59"/>
      <c r="BF12" s="28" t="str">
        <f>IF(COUNT(BB11,BB12,BD11,BD12)=4,(BB12+BD12)-(BB11+BD11),"")</f>
        <v/>
      </c>
      <c r="BG12" s="46"/>
      <c r="BH12" s="47"/>
      <c r="BI12" s="59"/>
      <c r="BJ12" s="59"/>
      <c r="BK12" s="34" t="str">
        <f>IF(COUNT(BG11,BG12,BI11,BI12)=4,(BG12+BI12)-(BG11+BI11),"")</f>
        <v/>
      </c>
    </row>
    <row r="13" spans="2:63" x14ac:dyDescent="0.25">
      <c r="B13" s="37" t="s">
        <v>30</v>
      </c>
      <c r="C13" s="38"/>
      <c r="D13" s="46">
        <v>5991.2</v>
      </c>
      <c r="E13" s="47"/>
      <c r="F13" s="47">
        <v>2349.6</v>
      </c>
      <c r="G13" s="47"/>
      <c r="H13" s="28">
        <f t="shared" ref="H13:H41" si="0">IF(COUNT(D12,D13,F12,F13)=4,(D13+F13)-(D12+F12),"")</f>
        <v>39</v>
      </c>
      <c r="I13" s="46">
        <v>6772.8</v>
      </c>
      <c r="J13" s="47"/>
      <c r="K13" s="59">
        <v>2841.1</v>
      </c>
      <c r="L13" s="59"/>
      <c r="M13" s="28">
        <f t="shared" ref="M13:M39" si="1">IF(COUNT(I12,I13,K12,K13)=4,(I13+K13)-(I12+K12),"")</f>
        <v>33.899999999999636</v>
      </c>
      <c r="N13" s="46">
        <v>7511</v>
      </c>
      <c r="O13" s="47"/>
      <c r="P13" s="59">
        <v>3300.4</v>
      </c>
      <c r="Q13" s="59"/>
      <c r="R13" s="28">
        <f t="shared" ref="R13:R41" si="2">IF(COUNT(N12,N13,P12,P13)=4,(N13+P13)-(N12+P12),"")</f>
        <v>44.399999999999636</v>
      </c>
      <c r="S13" s="46"/>
      <c r="T13" s="47"/>
      <c r="U13" s="59"/>
      <c r="V13" s="59"/>
      <c r="W13" s="28" t="str">
        <f t="shared" ref="W13:W40" si="3">IF(COUNT(S12,S13,U12,U13)=4,(S13+U13)-(S12+U12),"")</f>
        <v/>
      </c>
      <c r="X13" s="46"/>
      <c r="Y13" s="47"/>
      <c r="Z13" s="59"/>
      <c r="AA13" s="59"/>
      <c r="AB13" s="28" t="str">
        <f t="shared" ref="AB13:AB41" si="4">IF(COUNT(X12,X13,Z12,Z13)=4,(X13+Z13)-(X12+Z12),"")</f>
        <v/>
      </c>
      <c r="AC13" s="46"/>
      <c r="AD13" s="47"/>
      <c r="AE13" s="59"/>
      <c r="AF13" s="59"/>
      <c r="AG13" s="28" t="str">
        <f t="shared" ref="AG13:AG40" si="5">IF(COUNT(AC12,AC13,AE12,AE13)=4,(AC13+AE13)-(AC12+AE12),"")</f>
        <v/>
      </c>
      <c r="AH13" s="46"/>
      <c r="AI13" s="47"/>
      <c r="AJ13" s="59"/>
      <c r="AK13" s="59"/>
      <c r="AL13" s="28" t="str">
        <f t="shared" ref="AL13:AL41" si="6">IF(COUNT(AH12,AH13,AJ12,AJ13)=4,(AH13+AJ13)-(AH12+AJ12),"")</f>
        <v/>
      </c>
      <c r="AM13" s="46"/>
      <c r="AN13" s="47"/>
      <c r="AO13" s="59"/>
      <c r="AP13" s="59"/>
      <c r="AQ13" s="28" t="str">
        <f t="shared" ref="AQ13:AQ41" si="7">IF(COUNT(AM12,AM13,AO12,AO13)=4,(AM13+AO13)-(AM12+AO12),"")</f>
        <v/>
      </c>
      <c r="AR13" s="46"/>
      <c r="AS13" s="47"/>
      <c r="AT13" s="59"/>
      <c r="AU13" s="59"/>
      <c r="AV13" s="28" t="str">
        <f t="shared" ref="AV13:AV40" si="8">IF(COUNT(AR12,AR13,AT12,AT13)=4,(AR13+AT13)-(AR12+AT12),"")</f>
        <v/>
      </c>
      <c r="AW13" s="46"/>
      <c r="AX13" s="47"/>
      <c r="AY13" s="59"/>
      <c r="AZ13" s="59"/>
      <c r="BA13" s="28" t="str">
        <f t="shared" ref="BA13:BA41" si="9">IF(COUNT(AW12,AW13,AY12,AY13)=4,(AW13+AY13)-(AW12+AY12),"")</f>
        <v/>
      </c>
      <c r="BB13" s="46"/>
      <c r="BC13" s="47"/>
      <c r="BD13" s="59"/>
      <c r="BE13" s="59"/>
      <c r="BF13" s="28" t="str">
        <f t="shared" ref="BF13:BF40" si="10">IF(COUNT(BB12,BB13,BD12,BD13)=4,(BB13+BD13)-(BB12+BD12),"")</f>
        <v/>
      </c>
      <c r="BG13" s="46"/>
      <c r="BH13" s="47"/>
      <c r="BI13" s="59"/>
      <c r="BJ13" s="59"/>
      <c r="BK13" s="34" t="str">
        <f t="shared" ref="BK13:BK41" si="11">IF(COUNT(BG12,BG13,BI12,BI13)=4,(BG13+BI13)-(BG12+BI12),"")</f>
        <v/>
      </c>
    </row>
    <row r="14" spans="2:63" x14ac:dyDescent="0.25">
      <c r="B14" s="37" t="s">
        <v>31</v>
      </c>
      <c r="C14" s="38"/>
      <c r="D14" s="46">
        <v>6019.5</v>
      </c>
      <c r="E14" s="47"/>
      <c r="F14" s="47">
        <v>2367</v>
      </c>
      <c r="G14" s="47"/>
      <c r="H14" s="28">
        <f t="shared" si="0"/>
        <v>45.700000000000728</v>
      </c>
      <c r="I14" s="46">
        <v>6794.5</v>
      </c>
      <c r="J14" s="47"/>
      <c r="K14" s="59">
        <v>2856.1</v>
      </c>
      <c r="L14" s="59"/>
      <c r="M14" s="28">
        <f t="shared" si="1"/>
        <v>36.700000000000728</v>
      </c>
      <c r="N14" s="46">
        <v>7531.3</v>
      </c>
      <c r="O14" s="47"/>
      <c r="P14" s="59">
        <v>3312.3</v>
      </c>
      <c r="Q14" s="59"/>
      <c r="R14" s="28">
        <f t="shared" si="2"/>
        <v>32.200000000000728</v>
      </c>
      <c r="S14" s="46"/>
      <c r="T14" s="47"/>
      <c r="U14" s="59"/>
      <c r="V14" s="59"/>
      <c r="W14" s="28" t="str">
        <f t="shared" si="3"/>
        <v/>
      </c>
      <c r="X14" s="46"/>
      <c r="Y14" s="47"/>
      <c r="Z14" s="59"/>
      <c r="AA14" s="59"/>
      <c r="AB14" s="28" t="str">
        <f t="shared" si="4"/>
        <v/>
      </c>
      <c r="AC14" s="46"/>
      <c r="AD14" s="47"/>
      <c r="AE14" s="59"/>
      <c r="AF14" s="59"/>
      <c r="AG14" s="28" t="str">
        <f t="shared" si="5"/>
        <v/>
      </c>
      <c r="AH14" s="46"/>
      <c r="AI14" s="47"/>
      <c r="AJ14" s="59"/>
      <c r="AK14" s="59"/>
      <c r="AL14" s="28" t="str">
        <f t="shared" si="6"/>
        <v/>
      </c>
      <c r="AM14" s="46"/>
      <c r="AN14" s="47"/>
      <c r="AO14" s="59"/>
      <c r="AP14" s="59"/>
      <c r="AQ14" s="28" t="str">
        <f t="shared" si="7"/>
        <v/>
      </c>
      <c r="AR14" s="46"/>
      <c r="AS14" s="47"/>
      <c r="AT14" s="59"/>
      <c r="AU14" s="59"/>
      <c r="AV14" s="28" t="str">
        <f t="shared" si="8"/>
        <v/>
      </c>
      <c r="AW14" s="46"/>
      <c r="AX14" s="47"/>
      <c r="AY14" s="59"/>
      <c r="AZ14" s="59"/>
      <c r="BA14" s="28" t="str">
        <f t="shared" si="9"/>
        <v/>
      </c>
      <c r="BB14" s="46"/>
      <c r="BC14" s="47"/>
      <c r="BD14" s="59"/>
      <c r="BE14" s="59"/>
      <c r="BF14" s="28" t="str">
        <f t="shared" si="10"/>
        <v/>
      </c>
      <c r="BG14" s="46"/>
      <c r="BH14" s="47"/>
      <c r="BI14" s="59"/>
      <c r="BJ14" s="59"/>
      <c r="BK14" s="34" t="str">
        <f t="shared" si="11"/>
        <v/>
      </c>
    </row>
    <row r="15" spans="2:63" x14ac:dyDescent="0.25">
      <c r="B15" s="37" t="s">
        <v>32</v>
      </c>
      <c r="C15" s="38"/>
      <c r="D15" s="46">
        <v>6045.7</v>
      </c>
      <c r="E15" s="47"/>
      <c r="F15" s="47">
        <v>2383.8000000000002</v>
      </c>
      <c r="G15" s="47"/>
      <c r="H15" s="28">
        <f t="shared" si="0"/>
        <v>43</v>
      </c>
      <c r="I15" s="46">
        <v>6822.1</v>
      </c>
      <c r="J15" s="47"/>
      <c r="K15" s="59">
        <v>2877.7</v>
      </c>
      <c r="L15" s="59"/>
      <c r="M15" s="28">
        <f t="shared" si="1"/>
        <v>49.199999999998909</v>
      </c>
      <c r="N15" s="46">
        <v>7557.7</v>
      </c>
      <c r="O15" s="47"/>
      <c r="P15" s="59">
        <v>3326.5</v>
      </c>
      <c r="Q15" s="59"/>
      <c r="R15" s="28">
        <f t="shared" si="2"/>
        <v>40.600000000000364</v>
      </c>
      <c r="S15" s="46"/>
      <c r="T15" s="47"/>
      <c r="U15" s="59"/>
      <c r="V15" s="59"/>
      <c r="W15" s="28" t="str">
        <f t="shared" si="3"/>
        <v/>
      </c>
      <c r="X15" s="46"/>
      <c r="Y15" s="47"/>
      <c r="Z15" s="59"/>
      <c r="AA15" s="59"/>
      <c r="AB15" s="28" t="str">
        <f t="shared" si="4"/>
        <v/>
      </c>
      <c r="AC15" s="46"/>
      <c r="AD15" s="47"/>
      <c r="AE15" s="59"/>
      <c r="AF15" s="59"/>
      <c r="AG15" s="28" t="str">
        <f t="shared" si="5"/>
        <v/>
      </c>
      <c r="AH15" s="46"/>
      <c r="AI15" s="47"/>
      <c r="AJ15" s="59"/>
      <c r="AK15" s="59"/>
      <c r="AL15" s="28" t="str">
        <f t="shared" si="6"/>
        <v/>
      </c>
      <c r="AM15" s="46"/>
      <c r="AN15" s="47"/>
      <c r="AO15" s="59"/>
      <c r="AP15" s="59"/>
      <c r="AQ15" s="28" t="str">
        <f t="shared" si="7"/>
        <v/>
      </c>
      <c r="AR15" s="46"/>
      <c r="AS15" s="47"/>
      <c r="AT15" s="59"/>
      <c r="AU15" s="59"/>
      <c r="AV15" s="28" t="str">
        <f t="shared" si="8"/>
        <v/>
      </c>
      <c r="AW15" s="46"/>
      <c r="AX15" s="47"/>
      <c r="AY15" s="59"/>
      <c r="AZ15" s="59"/>
      <c r="BA15" s="28" t="str">
        <f t="shared" si="9"/>
        <v/>
      </c>
      <c r="BB15" s="46"/>
      <c r="BC15" s="47"/>
      <c r="BD15" s="59"/>
      <c r="BE15" s="59"/>
      <c r="BF15" s="28" t="str">
        <f t="shared" si="10"/>
        <v/>
      </c>
      <c r="BG15" s="46"/>
      <c r="BH15" s="47"/>
      <c r="BI15" s="59"/>
      <c r="BJ15" s="59"/>
      <c r="BK15" s="34" t="str">
        <f t="shared" si="11"/>
        <v/>
      </c>
    </row>
    <row r="16" spans="2:63" x14ac:dyDescent="0.25">
      <c r="B16" s="37" t="s">
        <v>33</v>
      </c>
      <c r="C16" s="38"/>
      <c r="D16" s="46">
        <v>6071.2</v>
      </c>
      <c r="E16" s="47"/>
      <c r="F16" s="47">
        <v>2398.6</v>
      </c>
      <c r="G16" s="47"/>
      <c r="H16" s="28">
        <f t="shared" si="0"/>
        <v>40.299999999999272</v>
      </c>
      <c r="I16" s="46">
        <v>6846.2</v>
      </c>
      <c r="J16" s="47"/>
      <c r="K16" s="59">
        <v>2891.8</v>
      </c>
      <c r="L16" s="59"/>
      <c r="M16" s="28">
        <f t="shared" si="1"/>
        <v>38.200000000000728</v>
      </c>
      <c r="N16" s="46">
        <v>7585.6</v>
      </c>
      <c r="O16" s="47"/>
      <c r="P16" s="59">
        <v>3340.6</v>
      </c>
      <c r="Q16" s="59"/>
      <c r="R16" s="28">
        <f t="shared" si="2"/>
        <v>42</v>
      </c>
      <c r="S16" s="46"/>
      <c r="T16" s="47"/>
      <c r="U16" s="59"/>
      <c r="V16" s="59"/>
      <c r="W16" s="28" t="str">
        <f t="shared" si="3"/>
        <v/>
      </c>
      <c r="X16" s="46"/>
      <c r="Y16" s="47"/>
      <c r="Z16" s="59"/>
      <c r="AA16" s="59"/>
      <c r="AB16" s="28" t="str">
        <f t="shared" si="4"/>
        <v/>
      </c>
      <c r="AC16" s="46"/>
      <c r="AD16" s="47"/>
      <c r="AE16" s="59"/>
      <c r="AF16" s="59"/>
      <c r="AG16" s="28" t="str">
        <f t="shared" si="5"/>
        <v/>
      </c>
      <c r="AH16" s="46"/>
      <c r="AI16" s="47"/>
      <c r="AJ16" s="59"/>
      <c r="AK16" s="59"/>
      <c r="AL16" s="28" t="str">
        <f t="shared" si="6"/>
        <v/>
      </c>
      <c r="AM16" s="46"/>
      <c r="AN16" s="47"/>
      <c r="AO16" s="59"/>
      <c r="AP16" s="59"/>
      <c r="AQ16" s="28" t="str">
        <f t="shared" si="7"/>
        <v/>
      </c>
      <c r="AR16" s="46"/>
      <c r="AS16" s="47"/>
      <c r="AT16" s="59"/>
      <c r="AU16" s="59"/>
      <c r="AV16" s="28" t="str">
        <f t="shared" si="8"/>
        <v/>
      </c>
      <c r="AW16" s="46"/>
      <c r="AX16" s="47"/>
      <c r="AY16" s="59"/>
      <c r="AZ16" s="59"/>
      <c r="BA16" s="28" t="str">
        <f t="shared" si="9"/>
        <v/>
      </c>
      <c r="BB16" s="46"/>
      <c r="BC16" s="47"/>
      <c r="BD16" s="59"/>
      <c r="BE16" s="59"/>
      <c r="BF16" s="28" t="str">
        <f t="shared" si="10"/>
        <v/>
      </c>
      <c r="BG16" s="46"/>
      <c r="BH16" s="47"/>
      <c r="BI16" s="59"/>
      <c r="BJ16" s="59"/>
      <c r="BK16" s="34" t="str">
        <f t="shared" si="11"/>
        <v/>
      </c>
    </row>
    <row r="17" spans="2:63" x14ac:dyDescent="0.25">
      <c r="B17" s="37" t="s">
        <v>34</v>
      </c>
      <c r="C17" s="38"/>
      <c r="D17" s="46">
        <v>6094.4</v>
      </c>
      <c r="E17" s="47"/>
      <c r="F17" s="47">
        <v>2409.5</v>
      </c>
      <c r="G17" s="47"/>
      <c r="H17" s="28">
        <f t="shared" si="0"/>
        <v>34.100000000000364</v>
      </c>
      <c r="I17" s="46">
        <v>6872.3</v>
      </c>
      <c r="J17" s="47"/>
      <c r="K17" s="59">
        <v>2909.2</v>
      </c>
      <c r="L17" s="59"/>
      <c r="M17" s="28">
        <f t="shared" si="1"/>
        <v>43.5</v>
      </c>
      <c r="N17" s="46">
        <v>7612</v>
      </c>
      <c r="O17" s="47"/>
      <c r="P17" s="59">
        <v>3355.6</v>
      </c>
      <c r="Q17" s="59"/>
      <c r="R17" s="28">
        <f t="shared" si="2"/>
        <v>41.399999999999636</v>
      </c>
      <c r="S17" s="46"/>
      <c r="T17" s="47"/>
      <c r="U17" s="59"/>
      <c r="V17" s="59"/>
      <c r="W17" s="28" t="str">
        <f t="shared" si="3"/>
        <v/>
      </c>
      <c r="X17" s="46"/>
      <c r="Y17" s="47"/>
      <c r="Z17" s="59"/>
      <c r="AA17" s="59"/>
      <c r="AB17" s="28" t="str">
        <f t="shared" si="4"/>
        <v/>
      </c>
      <c r="AC17" s="46"/>
      <c r="AD17" s="47"/>
      <c r="AE17" s="59"/>
      <c r="AF17" s="59"/>
      <c r="AG17" s="28" t="str">
        <f t="shared" si="5"/>
        <v/>
      </c>
      <c r="AH17" s="46"/>
      <c r="AI17" s="47"/>
      <c r="AJ17" s="59"/>
      <c r="AK17" s="59"/>
      <c r="AL17" s="28" t="str">
        <f t="shared" si="6"/>
        <v/>
      </c>
      <c r="AM17" s="46"/>
      <c r="AN17" s="47"/>
      <c r="AO17" s="59"/>
      <c r="AP17" s="59"/>
      <c r="AQ17" s="28" t="str">
        <f t="shared" si="7"/>
        <v/>
      </c>
      <c r="AR17" s="46"/>
      <c r="AS17" s="47"/>
      <c r="AT17" s="59"/>
      <c r="AU17" s="59"/>
      <c r="AV17" s="28" t="str">
        <f t="shared" si="8"/>
        <v/>
      </c>
      <c r="AW17" s="46"/>
      <c r="AX17" s="47"/>
      <c r="AY17" s="59"/>
      <c r="AZ17" s="59"/>
      <c r="BA17" s="28" t="str">
        <f t="shared" si="9"/>
        <v/>
      </c>
      <c r="BB17" s="46"/>
      <c r="BC17" s="47"/>
      <c r="BD17" s="59"/>
      <c r="BE17" s="59"/>
      <c r="BF17" s="28" t="str">
        <f t="shared" si="10"/>
        <v/>
      </c>
      <c r="BG17" s="46"/>
      <c r="BH17" s="47"/>
      <c r="BI17" s="59"/>
      <c r="BJ17" s="59"/>
      <c r="BK17" s="34" t="str">
        <f t="shared" si="11"/>
        <v/>
      </c>
    </row>
    <row r="18" spans="2:63" x14ac:dyDescent="0.25">
      <c r="B18" s="37" t="s">
        <v>35</v>
      </c>
      <c r="C18" s="38"/>
      <c r="D18" s="46">
        <v>6120.4</v>
      </c>
      <c r="E18" s="47"/>
      <c r="F18" s="47">
        <v>2420.6</v>
      </c>
      <c r="G18" s="47"/>
      <c r="H18" s="28">
        <f t="shared" si="0"/>
        <v>37.100000000000364</v>
      </c>
      <c r="I18" s="46">
        <v>6899.1</v>
      </c>
      <c r="J18" s="47"/>
      <c r="K18" s="59">
        <v>2923.4</v>
      </c>
      <c r="L18" s="59"/>
      <c r="M18" s="28">
        <f t="shared" si="1"/>
        <v>41</v>
      </c>
      <c r="N18" s="46">
        <v>7638.1</v>
      </c>
      <c r="O18" s="47"/>
      <c r="P18" s="59">
        <v>3372.5</v>
      </c>
      <c r="Q18" s="59"/>
      <c r="R18" s="28">
        <f t="shared" si="2"/>
        <v>43</v>
      </c>
      <c r="S18" s="46"/>
      <c r="T18" s="47"/>
      <c r="U18" s="59"/>
      <c r="V18" s="59"/>
      <c r="W18" s="28" t="str">
        <f t="shared" si="3"/>
        <v/>
      </c>
      <c r="X18" s="46"/>
      <c r="Y18" s="47"/>
      <c r="Z18" s="59"/>
      <c r="AA18" s="59"/>
      <c r="AB18" s="28" t="str">
        <f t="shared" si="4"/>
        <v/>
      </c>
      <c r="AC18" s="46"/>
      <c r="AD18" s="47"/>
      <c r="AE18" s="59"/>
      <c r="AF18" s="59"/>
      <c r="AG18" s="28" t="str">
        <f t="shared" si="5"/>
        <v/>
      </c>
      <c r="AH18" s="46"/>
      <c r="AI18" s="47"/>
      <c r="AJ18" s="59"/>
      <c r="AK18" s="59"/>
      <c r="AL18" s="28" t="str">
        <f t="shared" si="6"/>
        <v/>
      </c>
      <c r="AM18" s="46"/>
      <c r="AN18" s="47"/>
      <c r="AO18" s="59"/>
      <c r="AP18" s="59"/>
      <c r="AQ18" s="28" t="str">
        <f t="shared" si="7"/>
        <v/>
      </c>
      <c r="AR18" s="46"/>
      <c r="AS18" s="47"/>
      <c r="AT18" s="59"/>
      <c r="AU18" s="59"/>
      <c r="AV18" s="28" t="str">
        <f t="shared" si="8"/>
        <v/>
      </c>
      <c r="AW18" s="46"/>
      <c r="AX18" s="47"/>
      <c r="AY18" s="59"/>
      <c r="AZ18" s="59"/>
      <c r="BA18" s="28" t="str">
        <f t="shared" si="9"/>
        <v/>
      </c>
      <c r="BB18" s="46"/>
      <c r="BC18" s="47"/>
      <c r="BD18" s="59"/>
      <c r="BE18" s="59"/>
      <c r="BF18" s="28" t="str">
        <f t="shared" si="10"/>
        <v/>
      </c>
      <c r="BG18" s="46"/>
      <c r="BH18" s="47"/>
      <c r="BI18" s="59"/>
      <c r="BJ18" s="59"/>
      <c r="BK18" s="34" t="str">
        <f t="shared" si="11"/>
        <v/>
      </c>
    </row>
    <row r="19" spans="2:63" x14ac:dyDescent="0.25">
      <c r="B19" s="37" t="s">
        <v>36</v>
      </c>
      <c r="C19" s="38"/>
      <c r="D19" s="46">
        <v>6150.1</v>
      </c>
      <c r="E19" s="47"/>
      <c r="F19" s="47">
        <v>2435.6999999999998</v>
      </c>
      <c r="G19" s="47"/>
      <c r="H19" s="28">
        <f t="shared" si="0"/>
        <v>44.799999999999272</v>
      </c>
      <c r="I19" s="46">
        <v>6920.3</v>
      </c>
      <c r="J19" s="47"/>
      <c r="K19" s="59">
        <v>2934.8</v>
      </c>
      <c r="L19" s="59"/>
      <c r="M19" s="28">
        <f t="shared" si="1"/>
        <v>32.600000000000364</v>
      </c>
      <c r="N19" s="46">
        <v>7664.7</v>
      </c>
      <c r="O19" s="47"/>
      <c r="P19" s="59">
        <v>3390.1</v>
      </c>
      <c r="Q19" s="59"/>
      <c r="R19" s="28">
        <f t="shared" si="2"/>
        <v>44.199999999998909</v>
      </c>
      <c r="S19" s="46"/>
      <c r="T19" s="47"/>
      <c r="U19" s="59"/>
      <c r="V19" s="59"/>
      <c r="W19" s="28" t="str">
        <f t="shared" si="3"/>
        <v/>
      </c>
      <c r="X19" s="46"/>
      <c r="Y19" s="47"/>
      <c r="Z19" s="59"/>
      <c r="AA19" s="59"/>
      <c r="AB19" s="28" t="str">
        <f t="shared" si="4"/>
        <v/>
      </c>
      <c r="AC19" s="46"/>
      <c r="AD19" s="47"/>
      <c r="AE19" s="59"/>
      <c r="AF19" s="59"/>
      <c r="AG19" s="28" t="str">
        <f t="shared" si="5"/>
        <v/>
      </c>
      <c r="AH19" s="46"/>
      <c r="AI19" s="47"/>
      <c r="AJ19" s="59"/>
      <c r="AK19" s="59"/>
      <c r="AL19" s="28" t="str">
        <f t="shared" si="6"/>
        <v/>
      </c>
      <c r="AM19" s="46"/>
      <c r="AN19" s="47"/>
      <c r="AO19" s="59"/>
      <c r="AP19" s="59"/>
      <c r="AQ19" s="28" t="str">
        <f t="shared" si="7"/>
        <v/>
      </c>
      <c r="AR19" s="46"/>
      <c r="AS19" s="47"/>
      <c r="AT19" s="59"/>
      <c r="AU19" s="59"/>
      <c r="AV19" s="28" t="str">
        <f t="shared" si="8"/>
        <v/>
      </c>
      <c r="AW19" s="46"/>
      <c r="AX19" s="47"/>
      <c r="AY19" s="59"/>
      <c r="AZ19" s="59"/>
      <c r="BA19" s="28" t="str">
        <f t="shared" si="9"/>
        <v/>
      </c>
      <c r="BB19" s="46"/>
      <c r="BC19" s="47"/>
      <c r="BD19" s="59"/>
      <c r="BE19" s="59"/>
      <c r="BF19" s="28" t="str">
        <f t="shared" si="10"/>
        <v/>
      </c>
      <c r="BG19" s="46"/>
      <c r="BH19" s="47"/>
      <c r="BI19" s="59"/>
      <c r="BJ19" s="59"/>
      <c r="BK19" s="34" t="str">
        <f t="shared" si="11"/>
        <v/>
      </c>
    </row>
    <row r="20" spans="2:63" x14ac:dyDescent="0.25">
      <c r="B20" s="37" t="s">
        <v>37</v>
      </c>
      <c r="C20" s="38"/>
      <c r="D20" s="46">
        <v>6177.3</v>
      </c>
      <c r="E20" s="47"/>
      <c r="F20" s="47">
        <v>2451.1</v>
      </c>
      <c r="G20" s="47"/>
      <c r="H20" s="28">
        <f t="shared" si="0"/>
        <v>42.600000000000364</v>
      </c>
      <c r="I20" s="46">
        <v>6949.3</v>
      </c>
      <c r="J20" s="47"/>
      <c r="K20" s="59">
        <v>2950.8</v>
      </c>
      <c r="L20" s="59"/>
      <c r="M20" s="28">
        <f t="shared" si="1"/>
        <v>45</v>
      </c>
      <c r="N20" s="46">
        <v>7690.3</v>
      </c>
      <c r="O20" s="47"/>
      <c r="P20" s="59">
        <v>3406.1</v>
      </c>
      <c r="Q20" s="59"/>
      <c r="R20" s="28">
        <f t="shared" si="2"/>
        <v>41.600000000000364</v>
      </c>
      <c r="S20" s="46"/>
      <c r="T20" s="47"/>
      <c r="U20" s="59"/>
      <c r="V20" s="59"/>
      <c r="W20" s="28" t="str">
        <f t="shared" si="3"/>
        <v/>
      </c>
      <c r="X20" s="46"/>
      <c r="Y20" s="47"/>
      <c r="Z20" s="59"/>
      <c r="AA20" s="59"/>
      <c r="AB20" s="28" t="str">
        <f t="shared" si="4"/>
        <v/>
      </c>
      <c r="AC20" s="46"/>
      <c r="AD20" s="47"/>
      <c r="AE20" s="59"/>
      <c r="AF20" s="59"/>
      <c r="AG20" s="28" t="str">
        <f t="shared" si="5"/>
        <v/>
      </c>
      <c r="AH20" s="46"/>
      <c r="AI20" s="47"/>
      <c r="AJ20" s="59"/>
      <c r="AK20" s="59"/>
      <c r="AL20" s="28" t="str">
        <f t="shared" si="6"/>
        <v/>
      </c>
      <c r="AM20" s="46"/>
      <c r="AN20" s="47"/>
      <c r="AO20" s="59"/>
      <c r="AP20" s="59"/>
      <c r="AQ20" s="28" t="str">
        <f t="shared" si="7"/>
        <v/>
      </c>
      <c r="AR20" s="46"/>
      <c r="AS20" s="47"/>
      <c r="AT20" s="59"/>
      <c r="AU20" s="59"/>
      <c r="AV20" s="28" t="str">
        <f t="shared" si="8"/>
        <v/>
      </c>
      <c r="AW20" s="46"/>
      <c r="AX20" s="47"/>
      <c r="AY20" s="59"/>
      <c r="AZ20" s="59"/>
      <c r="BA20" s="28" t="str">
        <f t="shared" si="9"/>
        <v/>
      </c>
      <c r="BB20" s="46"/>
      <c r="BC20" s="47"/>
      <c r="BD20" s="59"/>
      <c r="BE20" s="59"/>
      <c r="BF20" s="28" t="str">
        <f t="shared" si="10"/>
        <v/>
      </c>
      <c r="BG20" s="46"/>
      <c r="BH20" s="47"/>
      <c r="BI20" s="59"/>
      <c r="BJ20" s="59"/>
      <c r="BK20" s="34" t="str">
        <f t="shared" si="11"/>
        <v/>
      </c>
    </row>
    <row r="21" spans="2:63" x14ac:dyDescent="0.25">
      <c r="B21" s="37" t="s">
        <v>38</v>
      </c>
      <c r="C21" s="38"/>
      <c r="D21" s="46">
        <v>6198.3</v>
      </c>
      <c r="E21" s="47"/>
      <c r="F21" s="47">
        <v>2463.6</v>
      </c>
      <c r="G21" s="47"/>
      <c r="H21" s="28">
        <f t="shared" si="0"/>
        <v>33.5</v>
      </c>
      <c r="I21" s="46">
        <v>6977.8</v>
      </c>
      <c r="J21" s="47"/>
      <c r="K21" s="59">
        <v>2967.6</v>
      </c>
      <c r="L21" s="59"/>
      <c r="M21" s="28">
        <f t="shared" si="1"/>
        <v>45.299999999999272</v>
      </c>
      <c r="N21" s="46">
        <v>7717.7</v>
      </c>
      <c r="O21" s="47"/>
      <c r="P21" s="59">
        <v>3424.1</v>
      </c>
      <c r="Q21" s="59"/>
      <c r="R21" s="28">
        <f t="shared" si="2"/>
        <v>45.399999999999636</v>
      </c>
      <c r="S21" s="46"/>
      <c r="T21" s="47"/>
      <c r="U21" s="59"/>
      <c r="V21" s="59"/>
      <c r="W21" s="28" t="str">
        <f t="shared" si="3"/>
        <v/>
      </c>
      <c r="X21" s="46"/>
      <c r="Y21" s="47"/>
      <c r="Z21" s="59"/>
      <c r="AA21" s="59"/>
      <c r="AB21" s="28" t="str">
        <f t="shared" si="4"/>
        <v/>
      </c>
      <c r="AC21" s="46"/>
      <c r="AD21" s="47"/>
      <c r="AE21" s="59"/>
      <c r="AF21" s="59"/>
      <c r="AG21" s="28" t="str">
        <f t="shared" si="5"/>
        <v/>
      </c>
      <c r="AH21" s="46"/>
      <c r="AI21" s="47"/>
      <c r="AJ21" s="59"/>
      <c r="AK21" s="59"/>
      <c r="AL21" s="28" t="str">
        <f t="shared" si="6"/>
        <v/>
      </c>
      <c r="AM21" s="46"/>
      <c r="AN21" s="47"/>
      <c r="AO21" s="59"/>
      <c r="AP21" s="59"/>
      <c r="AQ21" s="28" t="str">
        <f t="shared" si="7"/>
        <v/>
      </c>
      <c r="AR21" s="46"/>
      <c r="AS21" s="47"/>
      <c r="AT21" s="59"/>
      <c r="AU21" s="59"/>
      <c r="AV21" s="28" t="str">
        <f t="shared" si="8"/>
        <v/>
      </c>
      <c r="AW21" s="46"/>
      <c r="AX21" s="47"/>
      <c r="AY21" s="59"/>
      <c r="AZ21" s="59"/>
      <c r="BA21" s="28" t="str">
        <f t="shared" si="9"/>
        <v/>
      </c>
      <c r="BB21" s="46"/>
      <c r="BC21" s="47"/>
      <c r="BD21" s="59"/>
      <c r="BE21" s="59"/>
      <c r="BF21" s="28" t="str">
        <f t="shared" si="10"/>
        <v/>
      </c>
      <c r="BG21" s="46"/>
      <c r="BH21" s="47"/>
      <c r="BI21" s="59"/>
      <c r="BJ21" s="59"/>
      <c r="BK21" s="34" t="str">
        <f t="shared" si="11"/>
        <v/>
      </c>
    </row>
    <row r="22" spans="2:63" x14ac:dyDescent="0.25">
      <c r="B22" s="37" t="s">
        <v>39</v>
      </c>
      <c r="C22" s="38"/>
      <c r="D22" s="46">
        <v>6220.5</v>
      </c>
      <c r="E22" s="47"/>
      <c r="F22" s="47">
        <v>2478.6</v>
      </c>
      <c r="G22" s="47"/>
      <c r="H22" s="28">
        <f t="shared" si="0"/>
        <v>37.200000000000728</v>
      </c>
      <c r="I22" s="46">
        <v>6999.6</v>
      </c>
      <c r="J22" s="47"/>
      <c r="K22" s="59">
        <v>2982.6</v>
      </c>
      <c r="L22" s="59"/>
      <c r="M22" s="28">
        <f t="shared" si="1"/>
        <v>36.800000000001091</v>
      </c>
      <c r="N22" s="46">
        <v>7744.6</v>
      </c>
      <c r="O22" s="47"/>
      <c r="P22" s="59">
        <v>3443.1</v>
      </c>
      <c r="Q22" s="59"/>
      <c r="R22" s="28">
        <f t="shared" si="2"/>
        <v>45.900000000001455</v>
      </c>
      <c r="S22" s="46"/>
      <c r="T22" s="47"/>
      <c r="U22" s="59"/>
      <c r="V22" s="59"/>
      <c r="W22" s="28" t="str">
        <f t="shared" si="3"/>
        <v/>
      </c>
      <c r="X22" s="46"/>
      <c r="Y22" s="47"/>
      <c r="Z22" s="59"/>
      <c r="AA22" s="59"/>
      <c r="AB22" s="28" t="str">
        <f t="shared" si="4"/>
        <v/>
      </c>
      <c r="AC22" s="46"/>
      <c r="AD22" s="47"/>
      <c r="AE22" s="59"/>
      <c r="AF22" s="59"/>
      <c r="AG22" s="28" t="str">
        <f t="shared" si="5"/>
        <v/>
      </c>
      <c r="AH22" s="46"/>
      <c r="AI22" s="47"/>
      <c r="AJ22" s="59"/>
      <c r="AK22" s="59"/>
      <c r="AL22" s="28" t="str">
        <f t="shared" si="6"/>
        <v/>
      </c>
      <c r="AM22" s="46"/>
      <c r="AN22" s="47"/>
      <c r="AO22" s="59"/>
      <c r="AP22" s="59"/>
      <c r="AQ22" s="28" t="str">
        <f t="shared" si="7"/>
        <v/>
      </c>
      <c r="AR22" s="46"/>
      <c r="AS22" s="47"/>
      <c r="AT22" s="59"/>
      <c r="AU22" s="59"/>
      <c r="AV22" s="28" t="str">
        <f t="shared" si="8"/>
        <v/>
      </c>
      <c r="AW22" s="46"/>
      <c r="AX22" s="47"/>
      <c r="AY22" s="59"/>
      <c r="AZ22" s="59"/>
      <c r="BA22" s="28" t="str">
        <f t="shared" si="9"/>
        <v/>
      </c>
      <c r="BB22" s="46"/>
      <c r="BC22" s="47"/>
      <c r="BD22" s="59"/>
      <c r="BE22" s="59"/>
      <c r="BF22" s="28" t="str">
        <f t="shared" si="10"/>
        <v/>
      </c>
      <c r="BG22" s="46"/>
      <c r="BH22" s="47"/>
      <c r="BI22" s="59"/>
      <c r="BJ22" s="59"/>
      <c r="BK22" s="34" t="str">
        <f t="shared" si="11"/>
        <v/>
      </c>
    </row>
    <row r="23" spans="2:63" x14ac:dyDescent="0.25">
      <c r="B23" s="37" t="s">
        <v>40</v>
      </c>
      <c r="C23" s="38"/>
      <c r="D23" s="46">
        <v>6246.7</v>
      </c>
      <c r="E23" s="47"/>
      <c r="F23" s="47">
        <v>2497.6</v>
      </c>
      <c r="G23" s="47"/>
      <c r="H23" s="28">
        <f t="shared" si="0"/>
        <v>45.199999999998909</v>
      </c>
      <c r="I23" s="46">
        <v>7030.2</v>
      </c>
      <c r="J23" s="47"/>
      <c r="K23" s="59">
        <v>3001.8</v>
      </c>
      <c r="L23" s="59"/>
      <c r="M23" s="28">
        <f t="shared" si="1"/>
        <v>49.799999999999272</v>
      </c>
      <c r="N23" s="46">
        <v>7769.3</v>
      </c>
      <c r="O23" s="47"/>
      <c r="P23" s="60">
        <v>3463</v>
      </c>
      <c r="Q23" s="60"/>
      <c r="R23" s="28">
        <f t="shared" si="2"/>
        <v>44.599999999998545</v>
      </c>
      <c r="S23" s="46"/>
      <c r="T23" s="47"/>
      <c r="U23" s="59"/>
      <c r="V23" s="59"/>
      <c r="W23" s="28" t="str">
        <f t="shared" si="3"/>
        <v/>
      </c>
      <c r="X23" s="46"/>
      <c r="Y23" s="47"/>
      <c r="Z23" s="59"/>
      <c r="AA23" s="59"/>
      <c r="AB23" s="28" t="str">
        <f t="shared" si="4"/>
        <v/>
      </c>
      <c r="AC23" s="46"/>
      <c r="AD23" s="47"/>
      <c r="AE23" s="59"/>
      <c r="AF23" s="59"/>
      <c r="AG23" s="28" t="str">
        <f t="shared" si="5"/>
        <v/>
      </c>
      <c r="AH23" s="46"/>
      <c r="AI23" s="47"/>
      <c r="AJ23" s="59"/>
      <c r="AK23" s="59"/>
      <c r="AL23" s="28" t="str">
        <f t="shared" si="6"/>
        <v/>
      </c>
      <c r="AM23" s="46"/>
      <c r="AN23" s="47"/>
      <c r="AO23" s="59"/>
      <c r="AP23" s="59"/>
      <c r="AQ23" s="28" t="str">
        <f t="shared" si="7"/>
        <v/>
      </c>
      <c r="AR23" s="46"/>
      <c r="AS23" s="47"/>
      <c r="AT23" s="59"/>
      <c r="AU23" s="59"/>
      <c r="AV23" s="28" t="str">
        <f t="shared" si="8"/>
        <v/>
      </c>
      <c r="AW23" s="46"/>
      <c r="AX23" s="47"/>
      <c r="AY23" s="59"/>
      <c r="AZ23" s="59"/>
      <c r="BA23" s="28" t="str">
        <f t="shared" si="9"/>
        <v/>
      </c>
      <c r="BB23" s="46"/>
      <c r="BC23" s="47"/>
      <c r="BD23" s="59"/>
      <c r="BE23" s="59"/>
      <c r="BF23" s="28" t="str">
        <f t="shared" si="10"/>
        <v/>
      </c>
      <c r="BG23" s="46"/>
      <c r="BH23" s="47"/>
      <c r="BI23" s="59"/>
      <c r="BJ23" s="59"/>
      <c r="BK23" s="34" t="str">
        <f t="shared" si="11"/>
        <v/>
      </c>
    </row>
    <row r="24" spans="2:63" x14ac:dyDescent="0.25">
      <c r="B24" s="37" t="s">
        <v>41</v>
      </c>
      <c r="C24" s="38"/>
      <c r="D24" s="46">
        <v>6269.8</v>
      </c>
      <c r="E24" s="47"/>
      <c r="F24" s="47">
        <v>2515.4</v>
      </c>
      <c r="G24" s="47"/>
      <c r="H24" s="28">
        <f t="shared" si="0"/>
        <v>40.900000000001455</v>
      </c>
      <c r="I24" s="46">
        <v>7058.4</v>
      </c>
      <c r="J24" s="47"/>
      <c r="K24" s="59">
        <v>3017.7</v>
      </c>
      <c r="L24" s="59"/>
      <c r="M24" s="28">
        <f t="shared" si="1"/>
        <v>44.099999999998545</v>
      </c>
      <c r="N24" s="46">
        <v>7797.2</v>
      </c>
      <c r="O24" s="47"/>
      <c r="P24" s="59">
        <v>3480.7</v>
      </c>
      <c r="Q24" s="59"/>
      <c r="R24" s="28">
        <f t="shared" si="2"/>
        <v>45.600000000000364</v>
      </c>
      <c r="S24" s="46"/>
      <c r="T24" s="47"/>
      <c r="U24" s="59"/>
      <c r="V24" s="59"/>
      <c r="W24" s="28" t="str">
        <f t="shared" si="3"/>
        <v/>
      </c>
      <c r="X24" s="46"/>
      <c r="Y24" s="47"/>
      <c r="Z24" s="59"/>
      <c r="AA24" s="59"/>
      <c r="AB24" s="28" t="str">
        <f t="shared" si="4"/>
        <v/>
      </c>
      <c r="AC24" s="46"/>
      <c r="AD24" s="47"/>
      <c r="AE24" s="59"/>
      <c r="AF24" s="59"/>
      <c r="AG24" s="28" t="str">
        <f t="shared" si="5"/>
        <v/>
      </c>
      <c r="AH24" s="46"/>
      <c r="AI24" s="47"/>
      <c r="AJ24" s="59"/>
      <c r="AK24" s="59"/>
      <c r="AL24" s="28" t="str">
        <f t="shared" si="6"/>
        <v/>
      </c>
      <c r="AM24" s="46"/>
      <c r="AN24" s="47"/>
      <c r="AO24" s="59"/>
      <c r="AP24" s="59"/>
      <c r="AQ24" s="28" t="str">
        <f t="shared" si="7"/>
        <v/>
      </c>
      <c r="AR24" s="46"/>
      <c r="AS24" s="47"/>
      <c r="AT24" s="59"/>
      <c r="AU24" s="59"/>
      <c r="AV24" s="28" t="str">
        <f t="shared" si="8"/>
        <v/>
      </c>
      <c r="AW24" s="46"/>
      <c r="AX24" s="47"/>
      <c r="AY24" s="59"/>
      <c r="AZ24" s="59"/>
      <c r="BA24" s="28" t="str">
        <f t="shared" si="9"/>
        <v/>
      </c>
      <c r="BB24" s="46"/>
      <c r="BC24" s="47"/>
      <c r="BD24" s="59"/>
      <c r="BE24" s="59"/>
      <c r="BF24" s="28" t="str">
        <f t="shared" si="10"/>
        <v/>
      </c>
      <c r="BG24" s="46"/>
      <c r="BH24" s="47"/>
      <c r="BI24" s="59"/>
      <c r="BJ24" s="59"/>
      <c r="BK24" s="34" t="str">
        <f t="shared" si="11"/>
        <v/>
      </c>
    </row>
    <row r="25" spans="2:63" x14ac:dyDescent="0.25">
      <c r="B25" s="37" t="s">
        <v>42</v>
      </c>
      <c r="C25" s="38"/>
      <c r="D25" s="46">
        <v>6293.7</v>
      </c>
      <c r="E25" s="47"/>
      <c r="F25" s="47">
        <v>2532.6</v>
      </c>
      <c r="G25" s="47"/>
      <c r="H25" s="28">
        <f t="shared" si="0"/>
        <v>41.099999999998545</v>
      </c>
      <c r="I25" s="46">
        <v>7088.2</v>
      </c>
      <c r="J25" s="47"/>
      <c r="K25" s="59">
        <v>3033.8</v>
      </c>
      <c r="L25" s="59"/>
      <c r="M25" s="28">
        <f t="shared" si="1"/>
        <v>45.900000000001455</v>
      </c>
      <c r="N25" s="46">
        <v>7823.1</v>
      </c>
      <c r="O25" s="47"/>
      <c r="P25" s="59">
        <v>3492.7</v>
      </c>
      <c r="Q25" s="59"/>
      <c r="R25" s="28">
        <f t="shared" si="2"/>
        <v>37.899999999999636</v>
      </c>
      <c r="S25" s="46"/>
      <c r="T25" s="47"/>
      <c r="U25" s="59"/>
      <c r="V25" s="59"/>
      <c r="W25" s="28" t="str">
        <f t="shared" si="3"/>
        <v/>
      </c>
      <c r="X25" s="46"/>
      <c r="Y25" s="47"/>
      <c r="Z25" s="59"/>
      <c r="AA25" s="59"/>
      <c r="AB25" s="28" t="str">
        <f t="shared" si="4"/>
        <v/>
      </c>
      <c r="AC25" s="46"/>
      <c r="AD25" s="47"/>
      <c r="AE25" s="59"/>
      <c r="AF25" s="59"/>
      <c r="AG25" s="28" t="str">
        <f t="shared" si="5"/>
        <v/>
      </c>
      <c r="AH25" s="46"/>
      <c r="AI25" s="47"/>
      <c r="AJ25" s="59"/>
      <c r="AK25" s="59"/>
      <c r="AL25" s="28" t="str">
        <f t="shared" si="6"/>
        <v/>
      </c>
      <c r="AM25" s="46"/>
      <c r="AN25" s="47"/>
      <c r="AO25" s="59"/>
      <c r="AP25" s="59"/>
      <c r="AQ25" s="28" t="str">
        <f t="shared" si="7"/>
        <v/>
      </c>
      <c r="AR25" s="46"/>
      <c r="AS25" s="47"/>
      <c r="AT25" s="59"/>
      <c r="AU25" s="59"/>
      <c r="AV25" s="28" t="str">
        <f t="shared" si="8"/>
        <v/>
      </c>
      <c r="AW25" s="46"/>
      <c r="AX25" s="47"/>
      <c r="AY25" s="59"/>
      <c r="AZ25" s="59"/>
      <c r="BA25" s="28" t="str">
        <f t="shared" si="9"/>
        <v/>
      </c>
      <c r="BB25" s="46"/>
      <c r="BC25" s="47"/>
      <c r="BD25" s="59"/>
      <c r="BE25" s="59"/>
      <c r="BF25" s="28" t="str">
        <f t="shared" si="10"/>
        <v/>
      </c>
      <c r="BG25" s="46"/>
      <c r="BH25" s="47"/>
      <c r="BI25" s="59"/>
      <c r="BJ25" s="59"/>
      <c r="BK25" s="34" t="str">
        <f t="shared" si="11"/>
        <v/>
      </c>
    </row>
    <row r="26" spans="2:63" x14ac:dyDescent="0.25">
      <c r="B26" s="37" t="s">
        <v>43</v>
      </c>
      <c r="C26" s="38"/>
      <c r="D26" s="46">
        <v>6325.9</v>
      </c>
      <c r="E26" s="47"/>
      <c r="F26" s="47">
        <v>2548.9</v>
      </c>
      <c r="G26" s="47"/>
      <c r="H26" s="28">
        <f t="shared" si="0"/>
        <v>48.5</v>
      </c>
      <c r="I26" s="46">
        <v>7109.5</v>
      </c>
      <c r="J26" s="47"/>
      <c r="K26" s="59">
        <v>3047.3</v>
      </c>
      <c r="L26" s="59"/>
      <c r="M26" s="28">
        <f t="shared" si="1"/>
        <v>34.799999999999272</v>
      </c>
      <c r="N26" s="46">
        <v>7848.5</v>
      </c>
      <c r="O26" s="47"/>
      <c r="P26" s="59">
        <v>3504.1</v>
      </c>
      <c r="Q26" s="59"/>
      <c r="R26" s="28">
        <f t="shared" si="2"/>
        <v>36.800000000001091</v>
      </c>
      <c r="S26" s="46"/>
      <c r="T26" s="47"/>
      <c r="U26" s="59"/>
      <c r="V26" s="59"/>
      <c r="W26" s="28" t="str">
        <f t="shared" si="3"/>
        <v/>
      </c>
      <c r="X26" s="46"/>
      <c r="Y26" s="47"/>
      <c r="Z26" s="59"/>
      <c r="AA26" s="59"/>
      <c r="AB26" s="28" t="str">
        <f t="shared" si="4"/>
        <v/>
      </c>
      <c r="AC26" s="46"/>
      <c r="AD26" s="47"/>
      <c r="AE26" s="59"/>
      <c r="AF26" s="59"/>
      <c r="AG26" s="28" t="str">
        <f t="shared" si="5"/>
        <v/>
      </c>
      <c r="AH26" s="46"/>
      <c r="AI26" s="47"/>
      <c r="AJ26" s="59"/>
      <c r="AK26" s="59"/>
      <c r="AL26" s="28" t="str">
        <f t="shared" si="6"/>
        <v/>
      </c>
      <c r="AM26" s="46"/>
      <c r="AN26" s="47"/>
      <c r="AO26" s="59"/>
      <c r="AP26" s="59"/>
      <c r="AQ26" s="28" t="str">
        <f t="shared" si="7"/>
        <v/>
      </c>
      <c r="AR26" s="46"/>
      <c r="AS26" s="47"/>
      <c r="AT26" s="59"/>
      <c r="AU26" s="59"/>
      <c r="AV26" s="28" t="str">
        <f t="shared" si="8"/>
        <v/>
      </c>
      <c r="AW26" s="46"/>
      <c r="AX26" s="47"/>
      <c r="AY26" s="59"/>
      <c r="AZ26" s="59"/>
      <c r="BA26" s="28" t="str">
        <f t="shared" si="9"/>
        <v/>
      </c>
      <c r="BB26" s="46"/>
      <c r="BC26" s="47"/>
      <c r="BD26" s="59"/>
      <c r="BE26" s="59"/>
      <c r="BF26" s="28" t="str">
        <f t="shared" si="10"/>
        <v/>
      </c>
      <c r="BG26" s="46"/>
      <c r="BH26" s="47"/>
      <c r="BI26" s="59"/>
      <c r="BJ26" s="59"/>
      <c r="BK26" s="34" t="str">
        <f t="shared" si="11"/>
        <v/>
      </c>
    </row>
    <row r="27" spans="2:63" x14ac:dyDescent="0.25">
      <c r="B27" s="37" t="s">
        <v>44</v>
      </c>
      <c r="C27" s="38"/>
      <c r="D27" s="46">
        <v>6345.9</v>
      </c>
      <c r="E27" s="47"/>
      <c r="F27" s="47">
        <v>2560.1999999999998</v>
      </c>
      <c r="G27" s="47"/>
      <c r="H27" s="28">
        <f t="shared" si="0"/>
        <v>31.299999999999272</v>
      </c>
      <c r="I27" s="46">
        <v>7135.2</v>
      </c>
      <c r="J27" s="47"/>
      <c r="K27" s="59">
        <v>3062.2</v>
      </c>
      <c r="L27" s="59"/>
      <c r="M27" s="28">
        <f t="shared" si="1"/>
        <v>40.600000000000364</v>
      </c>
      <c r="N27" s="46">
        <v>7874.1</v>
      </c>
      <c r="O27" s="47"/>
      <c r="P27" s="59">
        <v>3516.3</v>
      </c>
      <c r="Q27" s="59"/>
      <c r="R27" s="28">
        <f t="shared" si="2"/>
        <v>37.800000000001091</v>
      </c>
      <c r="S27" s="46"/>
      <c r="T27" s="47"/>
      <c r="U27" s="59"/>
      <c r="V27" s="59"/>
      <c r="W27" s="28" t="str">
        <f t="shared" si="3"/>
        <v/>
      </c>
      <c r="X27" s="46"/>
      <c r="Y27" s="47"/>
      <c r="Z27" s="59"/>
      <c r="AA27" s="59"/>
      <c r="AB27" s="28" t="str">
        <f t="shared" si="4"/>
        <v/>
      </c>
      <c r="AC27" s="46"/>
      <c r="AD27" s="47"/>
      <c r="AE27" s="59"/>
      <c r="AF27" s="59"/>
      <c r="AG27" s="28" t="str">
        <f t="shared" si="5"/>
        <v/>
      </c>
      <c r="AH27" s="46"/>
      <c r="AI27" s="47"/>
      <c r="AJ27" s="59"/>
      <c r="AK27" s="59"/>
      <c r="AL27" s="28" t="str">
        <f t="shared" si="6"/>
        <v/>
      </c>
      <c r="AM27" s="46"/>
      <c r="AN27" s="47"/>
      <c r="AO27" s="59"/>
      <c r="AP27" s="59"/>
      <c r="AQ27" s="28" t="str">
        <f t="shared" si="7"/>
        <v/>
      </c>
      <c r="AR27" s="46"/>
      <c r="AS27" s="47"/>
      <c r="AT27" s="59"/>
      <c r="AU27" s="59"/>
      <c r="AV27" s="28" t="str">
        <f t="shared" si="8"/>
        <v/>
      </c>
      <c r="AW27" s="46"/>
      <c r="AX27" s="47"/>
      <c r="AY27" s="59"/>
      <c r="AZ27" s="59"/>
      <c r="BA27" s="28" t="str">
        <f t="shared" si="9"/>
        <v/>
      </c>
      <c r="BB27" s="46"/>
      <c r="BC27" s="47"/>
      <c r="BD27" s="59"/>
      <c r="BE27" s="59"/>
      <c r="BF27" s="28" t="str">
        <f t="shared" si="10"/>
        <v/>
      </c>
      <c r="BG27" s="46"/>
      <c r="BH27" s="47"/>
      <c r="BI27" s="59"/>
      <c r="BJ27" s="59"/>
      <c r="BK27" s="34" t="str">
        <f t="shared" si="11"/>
        <v/>
      </c>
    </row>
    <row r="28" spans="2:63" x14ac:dyDescent="0.25">
      <c r="B28" s="37" t="s">
        <v>45</v>
      </c>
      <c r="C28" s="38"/>
      <c r="D28" s="46">
        <v>6369.3</v>
      </c>
      <c r="E28" s="47"/>
      <c r="F28" s="47">
        <v>2575.6999999999998</v>
      </c>
      <c r="G28" s="47"/>
      <c r="H28" s="28">
        <f t="shared" si="0"/>
        <v>38.900000000001455</v>
      </c>
      <c r="I28" s="46">
        <v>7165.7</v>
      </c>
      <c r="J28" s="47"/>
      <c r="K28" s="59">
        <v>3079.2</v>
      </c>
      <c r="L28" s="59"/>
      <c r="M28" s="28">
        <f t="shared" si="1"/>
        <v>47.5</v>
      </c>
      <c r="N28" s="46">
        <v>7901.2</v>
      </c>
      <c r="O28" s="47"/>
      <c r="P28" s="59">
        <v>3529.7</v>
      </c>
      <c r="Q28" s="59"/>
      <c r="R28" s="28">
        <f t="shared" si="2"/>
        <v>40.499999999998181</v>
      </c>
      <c r="S28" s="46"/>
      <c r="T28" s="47"/>
      <c r="U28" s="59"/>
      <c r="V28" s="59"/>
      <c r="W28" s="28" t="str">
        <f t="shared" si="3"/>
        <v/>
      </c>
      <c r="X28" s="46"/>
      <c r="Y28" s="47"/>
      <c r="Z28" s="59"/>
      <c r="AA28" s="59"/>
      <c r="AB28" s="28" t="str">
        <f t="shared" si="4"/>
        <v/>
      </c>
      <c r="AC28" s="46"/>
      <c r="AD28" s="47"/>
      <c r="AE28" s="59"/>
      <c r="AF28" s="59"/>
      <c r="AG28" s="28" t="str">
        <f t="shared" si="5"/>
        <v/>
      </c>
      <c r="AH28" s="46"/>
      <c r="AI28" s="47"/>
      <c r="AJ28" s="59"/>
      <c r="AK28" s="59"/>
      <c r="AL28" s="28" t="str">
        <f t="shared" si="6"/>
        <v/>
      </c>
      <c r="AM28" s="46"/>
      <c r="AN28" s="47"/>
      <c r="AO28" s="59"/>
      <c r="AP28" s="59"/>
      <c r="AQ28" s="28" t="str">
        <f t="shared" si="7"/>
        <v/>
      </c>
      <c r="AR28" s="46"/>
      <c r="AS28" s="47"/>
      <c r="AT28" s="59"/>
      <c r="AU28" s="59"/>
      <c r="AV28" s="28" t="str">
        <f t="shared" si="8"/>
        <v/>
      </c>
      <c r="AW28" s="46"/>
      <c r="AX28" s="47"/>
      <c r="AY28" s="59"/>
      <c r="AZ28" s="59"/>
      <c r="BA28" s="28" t="str">
        <f t="shared" si="9"/>
        <v/>
      </c>
      <c r="BB28" s="46"/>
      <c r="BC28" s="47"/>
      <c r="BD28" s="59"/>
      <c r="BE28" s="59"/>
      <c r="BF28" s="28" t="str">
        <f t="shared" si="10"/>
        <v/>
      </c>
      <c r="BG28" s="46"/>
      <c r="BH28" s="47"/>
      <c r="BI28" s="59"/>
      <c r="BJ28" s="59"/>
      <c r="BK28" s="34" t="str">
        <f t="shared" si="11"/>
        <v/>
      </c>
    </row>
    <row r="29" spans="2:63" x14ac:dyDescent="0.25">
      <c r="B29" s="37" t="s">
        <v>46</v>
      </c>
      <c r="C29" s="38"/>
      <c r="D29" s="46">
        <v>6393.1</v>
      </c>
      <c r="E29" s="47"/>
      <c r="F29" s="47">
        <v>2590</v>
      </c>
      <c r="G29" s="47"/>
      <c r="H29" s="28">
        <f t="shared" si="0"/>
        <v>38.100000000000364</v>
      </c>
      <c r="I29" s="46">
        <v>7190.3</v>
      </c>
      <c r="J29" s="47"/>
      <c r="K29" s="59">
        <v>3097.5</v>
      </c>
      <c r="L29" s="59"/>
      <c r="M29" s="28">
        <f t="shared" si="1"/>
        <v>42.899999999999636</v>
      </c>
      <c r="N29" s="46">
        <v>7929.2</v>
      </c>
      <c r="O29" s="47"/>
      <c r="P29" s="59">
        <v>3544.7</v>
      </c>
      <c r="Q29" s="59"/>
      <c r="R29" s="28">
        <f t="shared" si="2"/>
        <v>43</v>
      </c>
      <c r="S29" s="46"/>
      <c r="T29" s="47"/>
      <c r="U29" s="59"/>
      <c r="V29" s="59"/>
      <c r="W29" s="28" t="str">
        <f t="shared" si="3"/>
        <v/>
      </c>
      <c r="X29" s="46"/>
      <c r="Y29" s="47"/>
      <c r="Z29" s="59"/>
      <c r="AA29" s="59"/>
      <c r="AB29" s="28" t="str">
        <f t="shared" si="4"/>
        <v/>
      </c>
      <c r="AC29" s="46"/>
      <c r="AD29" s="47"/>
      <c r="AE29" s="59"/>
      <c r="AF29" s="59"/>
      <c r="AG29" s="28" t="str">
        <f t="shared" si="5"/>
        <v/>
      </c>
      <c r="AH29" s="46"/>
      <c r="AI29" s="47"/>
      <c r="AJ29" s="59"/>
      <c r="AK29" s="59"/>
      <c r="AL29" s="28" t="str">
        <f t="shared" si="6"/>
        <v/>
      </c>
      <c r="AM29" s="46"/>
      <c r="AN29" s="47"/>
      <c r="AO29" s="59"/>
      <c r="AP29" s="59"/>
      <c r="AQ29" s="28" t="str">
        <f t="shared" si="7"/>
        <v/>
      </c>
      <c r="AR29" s="46"/>
      <c r="AS29" s="47"/>
      <c r="AT29" s="59"/>
      <c r="AU29" s="59"/>
      <c r="AV29" s="28" t="str">
        <f t="shared" si="8"/>
        <v/>
      </c>
      <c r="AW29" s="46"/>
      <c r="AX29" s="47"/>
      <c r="AY29" s="59"/>
      <c r="AZ29" s="59"/>
      <c r="BA29" s="28" t="str">
        <f t="shared" si="9"/>
        <v/>
      </c>
      <c r="BB29" s="46"/>
      <c r="BC29" s="47"/>
      <c r="BD29" s="59"/>
      <c r="BE29" s="59"/>
      <c r="BF29" s="28" t="str">
        <f t="shared" si="10"/>
        <v/>
      </c>
      <c r="BG29" s="46"/>
      <c r="BH29" s="47"/>
      <c r="BI29" s="59"/>
      <c r="BJ29" s="59"/>
      <c r="BK29" s="34" t="str">
        <f t="shared" si="11"/>
        <v/>
      </c>
    </row>
    <row r="30" spans="2:63" x14ac:dyDescent="0.25">
      <c r="B30" s="37" t="s">
        <v>47</v>
      </c>
      <c r="C30" s="38"/>
      <c r="D30" s="46">
        <v>6417.4</v>
      </c>
      <c r="E30" s="47"/>
      <c r="F30" s="47">
        <v>2601.3000000000002</v>
      </c>
      <c r="G30" s="47"/>
      <c r="H30" s="28">
        <f t="shared" si="0"/>
        <v>35.600000000000364</v>
      </c>
      <c r="I30" s="46">
        <v>7218.6</v>
      </c>
      <c r="J30" s="47"/>
      <c r="K30" s="59">
        <v>3118.4</v>
      </c>
      <c r="L30" s="59"/>
      <c r="M30" s="28">
        <f t="shared" si="1"/>
        <v>49.200000000000728</v>
      </c>
      <c r="N30" s="46">
        <v>7953.8</v>
      </c>
      <c r="O30" s="47"/>
      <c r="P30" s="59">
        <v>3556.4</v>
      </c>
      <c r="Q30" s="59"/>
      <c r="R30" s="28">
        <f t="shared" si="2"/>
        <v>36.300000000001091</v>
      </c>
      <c r="S30" s="46"/>
      <c r="T30" s="47"/>
      <c r="U30" s="59"/>
      <c r="V30" s="59"/>
      <c r="W30" s="28" t="str">
        <f t="shared" si="3"/>
        <v/>
      </c>
      <c r="X30" s="46"/>
      <c r="Y30" s="47"/>
      <c r="Z30" s="59"/>
      <c r="AA30" s="59"/>
      <c r="AB30" s="28" t="str">
        <f t="shared" si="4"/>
        <v/>
      </c>
      <c r="AC30" s="46"/>
      <c r="AD30" s="47"/>
      <c r="AE30" s="59"/>
      <c r="AF30" s="59"/>
      <c r="AG30" s="28" t="str">
        <f t="shared" si="5"/>
        <v/>
      </c>
      <c r="AH30" s="46"/>
      <c r="AI30" s="47"/>
      <c r="AJ30" s="59"/>
      <c r="AK30" s="59"/>
      <c r="AL30" s="28" t="str">
        <f t="shared" si="6"/>
        <v/>
      </c>
      <c r="AM30" s="46"/>
      <c r="AN30" s="47"/>
      <c r="AO30" s="59"/>
      <c r="AP30" s="59"/>
      <c r="AQ30" s="28" t="str">
        <f t="shared" si="7"/>
        <v/>
      </c>
      <c r="AR30" s="46"/>
      <c r="AS30" s="47"/>
      <c r="AT30" s="59"/>
      <c r="AU30" s="59"/>
      <c r="AV30" s="28" t="str">
        <f t="shared" si="8"/>
        <v/>
      </c>
      <c r="AW30" s="46"/>
      <c r="AX30" s="47"/>
      <c r="AY30" s="59"/>
      <c r="AZ30" s="59"/>
      <c r="BA30" s="28" t="str">
        <f t="shared" si="9"/>
        <v/>
      </c>
      <c r="BB30" s="46"/>
      <c r="BC30" s="47"/>
      <c r="BD30" s="59"/>
      <c r="BE30" s="59"/>
      <c r="BF30" s="28" t="str">
        <f t="shared" si="10"/>
        <v/>
      </c>
      <c r="BG30" s="46"/>
      <c r="BH30" s="47"/>
      <c r="BI30" s="59"/>
      <c r="BJ30" s="59"/>
      <c r="BK30" s="34" t="str">
        <f t="shared" si="11"/>
        <v/>
      </c>
    </row>
    <row r="31" spans="2:63" x14ac:dyDescent="0.25">
      <c r="B31" s="37" t="s">
        <v>48</v>
      </c>
      <c r="C31" s="38"/>
      <c r="D31" s="46">
        <v>6441.3</v>
      </c>
      <c r="E31" s="47"/>
      <c r="F31" s="47">
        <v>2613.4</v>
      </c>
      <c r="G31" s="47"/>
      <c r="H31" s="28">
        <f t="shared" si="0"/>
        <v>36</v>
      </c>
      <c r="I31" s="46">
        <v>7244</v>
      </c>
      <c r="J31" s="47"/>
      <c r="K31" s="59">
        <v>3138.2</v>
      </c>
      <c r="L31" s="59"/>
      <c r="M31" s="28">
        <f t="shared" si="1"/>
        <v>45.200000000000728</v>
      </c>
      <c r="N31" s="46">
        <v>7982.3</v>
      </c>
      <c r="O31" s="47"/>
      <c r="P31" s="59">
        <v>3573.1</v>
      </c>
      <c r="Q31" s="59"/>
      <c r="R31" s="28">
        <f t="shared" si="2"/>
        <v>45.199999999998909</v>
      </c>
      <c r="S31" s="46"/>
      <c r="T31" s="47"/>
      <c r="U31" s="59"/>
      <c r="V31" s="59"/>
      <c r="W31" s="28" t="str">
        <f t="shared" si="3"/>
        <v/>
      </c>
      <c r="X31" s="46"/>
      <c r="Y31" s="47"/>
      <c r="Z31" s="59"/>
      <c r="AA31" s="59"/>
      <c r="AB31" s="28" t="str">
        <f t="shared" si="4"/>
        <v/>
      </c>
      <c r="AC31" s="46"/>
      <c r="AD31" s="47"/>
      <c r="AE31" s="59"/>
      <c r="AF31" s="59"/>
      <c r="AG31" s="28" t="str">
        <f t="shared" si="5"/>
        <v/>
      </c>
      <c r="AH31" s="46"/>
      <c r="AI31" s="47"/>
      <c r="AJ31" s="59"/>
      <c r="AK31" s="59"/>
      <c r="AL31" s="28" t="str">
        <f t="shared" si="6"/>
        <v/>
      </c>
      <c r="AM31" s="46"/>
      <c r="AN31" s="47"/>
      <c r="AO31" s="59"/>
      <c r="AP31" s="59"/>
      <c r="AQ31" s="28" t="str">
        <f t="shared" si="7"/>
        <v/>
      </c>
      <c r="AR31" s="46"/>
      <c r="AS31" s="47"/>
      <c r="AT31" s="59"/>
      <c r="AU31" s="59"/>
      <c r="AV31" s="28" t="str">
        <f t="shared" si="8"/>
        <v/>
      </c>
      <c r="AW31" s="46"/>
      <c r="AX31" s="47"/>
      <c r="AY31" s="59"/>
      <c r="AZ31" s="59"/>
      <c r="BA31" s="28" t="str">
        <f t="shared" si="9"/>
        <v/>
      </c>
      <c r="BB31" s="46"/>
      <c r="BC31" s="47"/>
      <c r="BD31" s="59"/>
      <c r="BE31" s="59"/>
      <c r="BF31" s="28" t="str">
        <f t="shared" si="10"/>
        <v/>
      </c>
      <c r="BG31" s="46"/>
      <c r="BH31" s="47"/>
      <c r="BI31" s="59"/>
      <c r="BJ31" s="59"/>
      <c r="BK31" s="34" t="str">
        <f t="shared" si="11"/>
        <v/>
      </c>
    </row>
    <row r="32" spans="2:63" x14ac:dyDescent="0.25">
      <c r="B32" s="37" t="s">
        <v>49</v>
      </c>
      <c r="C32" s="38"/>
      <c r="D32" s="46">
        <v>6467</v>
      </c>
      <c r="E32" s="47"/>
      <c r="F32" s="47">
        <v>2630.4</v>
      </c>
      <c r="G32" s="47"/>
      <c r="H32" s="28">
        <f t="shared" si="0"/>
        <v>42.699999999998909</v>
      </c>
      <c r="I32" s="46">
        <v>7266.8</v>
      </c>
      <c r="J32" s="47"/>
      <c r="K32" s="59">
        <v>3155</v>
      </c>
      <c r="L32" s="59"/>
      <c r="M32" s="28">
        <f t="shared" si="1"/>
        <v>39.599999999998545</v>
      </c>
      <c r="N32" s="46"/>
      <c r="O32" s="47"/>
      <c r="P32" s="59"/>
      <c r="Q32" s="59"/>
      <c r="R32" s="28" t="str">
        <f t="shared" si="2"/>
        <v/>
      </c>
      <c r="S32" s="46"/>
      <c r="T32" s="47"/>
      <c r="U32" s="59"/>
      <c r="V32" s="59"/>
      <c r="W32" s="28" t="str">
        <f t="shared" si="3"/>
        <v/>
      </c>
      <c r="X32" s="46"/>
      <c r="Y32" s="47"/>
      <c r="Z32" s="59"/>
      <c r="AA32" s="59"/>
      <c r="AB32" s="28" t="str">
        <f t="shared" si="4"/>
        <v/>
      </c>
      <c r="AC32" s="46"/>
      <c r="AD32" s="47"/>
      <c r="AE32" s="59"/>
      <c r="AF32" s="59"/>
      <c r="AG32" s="28" t="str">
        <f t="shared" si="5"/>
        <v/>
      </c>
      <c r="AH32" s="46"/>
      <c r="AI32" s="47"/>
      <c r="AJ32" s="59"/>
      <c r="AK32" s="59"/>
      <c r="AL32" s="28" t="str">
        <f t="shared" si="6"/>
        <v/>
      </c>
      <c r="AM32" s="46"/>
      <c r="AN32" s="47"/>
      <c r="AO32" s="59"/>
      <c r="AP32" s="59"/>
      <c r="AQ32" s="28" t="str">
        <f t="shared" si="7"/>
        <v/>
      </c>
      <c r="AR32" s="46"/>
      <c r="AS32" s="47"/>
      <c r="AT32" s="59"/>
      <c r="AU32" s="59"/>
      <c r="AV32" s="28" t="str">
        <f t="shared" si="8"/>
        <v/>
      </c>
      <c r="AW32" s="46"/>
      <c r="AX32" s="47"/>
      <c r="AY32" s="59"/>
      <c r="AZ32" s="59"/>
      <c r="BA32" s="28" t="str">
        <f t="shared" si="9"/>
        <v/>
      </c>
      <c r="BB32" s="46"/>
      <c r="BC32" s="47"/>
      <c r="BD32" s="59"/>
      <c r="BE32" s="59"/>
      <c r="BF32" s="28" t="str">
        <f t="shared" si="10"/>
        <v/>
      </c>
      <c r="BG32" s="46"/>
      <c r="BH32" s="47"/>
      <c r="BI32" s="59"/>
      <c r="BJ32" s="59"/>
      <c r="BK32" s="34" t="str">
        <f t="shared" si="11"/>
        <v/>
      </c>
    </row>
    <row r="33" spans="2:63" x14ac:dyDescent="0.25">
      <c r="B33" s="37" t="s">
        <v>50</v>
      </c>
      <c r="C33" s="38"/>
      <c r="D33" s="46">
        <v>6495.3</v>
      </c>
      <c r="E33" s="47"/>
      <c r="F33" s="47">
        <v>2653.1</v>
      </c>
      <c r="G33" s="47"/>
      <c r="H33" s="28">
        <f t="shared" si="0"/>
        <v>51</v>
      </c>
      <c r="I33" s="46">
        <v>7274.2</v>
      </c>
      <c r="J33" s="47"/>
      <c r="K33" s="59">
        <v>3168.8</v>
      </c>
      <c r="L33" s="59"/>
      <c r="M33" s="28">
        <f t="shared" si="1"/>
        <v>21.200000000000728</v>
      </c>
      <c r="N33" s="46"/>
      <c r="O33" s="47"/>
      <c r="P33" s="59"/>
      <c r="Q33" s="59"/>
      <c r="R33" s="28" t="str">
        <f t="shared" si="2"/>
        <v/>
      </c>
      <c r="S33" s="46"/>
      <c r="T33" s="47"/>
      <c r="U33" s="59"/>
      <c r="V33" s="59"/>
      <c r="W33" s="28" t="str">
        <f t="shared" si="3"/>
        <v/>
      </c>
      <c r="X33" s="46"/>
      <c r="Y33" s="47"/>
      <c r="Z33" s="59"/>
      <c r="AA33" s="59"/>
      <c r="AB33" s="28" t="str">
        <f t="shared" si="4"/>
        <v/>
      </c>
      <c r="AC33" s="46"/>
      <c r="AD33" s="47"/>
      <c r="AE33" s="59"/>
      <c r="AF33" s="59"/>
      <c r="AG33" s="28" t="str">
        <f t="shared" si="5"/>
        <v/>
      </c>
      <c r="AH33" s="46"/>
      <c r="AI33" s="47"/>
      <c r="AJ33" s="59"/>
      <c r="AK33" s="59"/>
      <c r="AL33" s="28" t="str">
        <f t="shared" si="6"/>
        <v/>
      </c>
      <c r="AM33" s="46"/>
      <c r="AN33" s="47"/>
      <c r="AO33" s="59"/>
      <c r="AP33" s="59"/>
      <c r="AQ33" s="28" t="str">
        <f t="shared" si="7"/>
        <v/>
      </c>
      <c r="AR33" s="46"/>
      <c r="AS33" s="47"/>
      <c r="AT33" s="59"/>
      <c r="AU33" s="59"/>
      <c r="AV33" s="28" t="str">
        <f t="shared" si="8"/>
        <v/>
      </c>
      <c r="AW33" s="46"/>
      <c r="AX33" s="47"/>
      <c r="AY33" s="59"/>
      <c r="AZ33" s="59"/>
      <c r="BA33" s="28" t="str">
        <f t="shared" si="9"/>
        <v/>
      </c>
      <c r="BB33" s="46"/>
      <c r="BC33" s="47"/>
      <c r="BD33" s="59"/>
      <c r="BE33" s="59"/>
      <c r="BF33" s="28" t="str">
        <f t="shared" si="10"/>
        <v/>
      </c>
      <c r="BG33" s="46"/>
      <c r="BH33" s="47"/>
      <c r="BI33" s="59"/>
      <c r="BJ33" s="59"/>
      <c r="BK33" s="34" t="str">
        <f t="shared" si="11"/>
        <v/>
      </c>
    </row>
    <row r="34" spans="2:63" x14ac:dyDescent="0.25">
      <c r="B34" s="37" t="s">
        <v>51</v>
      </c>
      <c r="C34" s="38"/>
      <c r="D34" s="46">
        <v>6520.6</v>
      </c>
      <c r="E34" s="47"/>
      <c r="F34" s="47">
        <v>2673.6</v>
      </c>
      <c r="G34" s="47"/>
      <c r="H34" s="28">
        <f t="shared" si="0"/>
        <v>45.800000000001091</v>
      </c>
      <c r="I34" s="46">
        <v>7321.2</v>
      </c>
      <c r="J34" s="47"/>
      <c r="K34" s="59">
        <v>3182.6</v>
      </c>
      <c r="L34" s="59"/>
      <c r="M34" s="28">
        <f t="shared" si="1"/>
        <v>60.799999999999272</v>
      </c>
      <c r="N34" s="46"/>
      <c r="O34" s="47"/>
      <c r="P34" s="59"/>
      <c r="Q34" s="59"/>
      <c r="R34" s="28" t="str">
        <f t="shared" si="2"/>
        <v/>
      </c>
      <c r="S34" s="46"/>
      <c r="T34" s="47"/>
      <c r="U34" s="59"/>
      <c r="V34" s="59"/>
      <c r="W34" s="28" t="str">
        <f t="shared" si="3"/>
        <v/>
      </c>
      <c r="X34" s="46"/>
      <c r="Y34" s="47"/>
      <c r="Z34" s="59"/>
      <c r="AA34" s="59"/>
      <c r="AB34" s="28" t="str">
        <f t="shared" si="4"/>
        <v/>
      </c>
      <c r="AC34" s="46"/>
      <c r="AD34" s="47"/>
      <c r="AE34" s="59"/>
      <c r="AF34" s="59"/>
      <c r="AG34" s="28" t="str">
        <f t="shared" si="5"/>
        <v/>
      </c>
      <c r="AH34" s="46"/>
      <c r="AI34" s="47"/>
      <c r="AJ34" s="59"/>
      <c r="AK34" s="59"/>
      <c r="AL34" s="28" t="str">
        <f t="shared" si="6"/>
        <v/>
      </c>
      <c r="AM34" s="46"/>
      <c r="AN34" s="47"/>
      <c r="AO34" s="59"/>
      <c r="AP34" s="59"/>
      <c r="AQ34" s="28" t="str">
        <f t="shared" si="7"/>
        <v/>
      </c>
      <c r="AR34" s="46"/>
      <c r="AS34" s="47"/>
      <c r="AT34" s="59"/>
      <c r="AU34" s="59"/>
      <c r="AV34" s="28" t="str">
        <f t="shared" si="8"/>
        <v/>
      </c>
      <c r="AW34" s="46"/>
      <c r="AX34" s="47"/>
      <c r="AY34" s="59"/>
      <c r="AZ34" s="59"/>
      <c r="BA34" s="28" t="str">
        <f t="shared" si="9"/>
        <v/>
      </c>
      <c r="BB34" s="46"/>
      <c r="BC34" s="47"/>
      <c r="BD34" s="59"/>
      <c r="BE34" s="59"/>
      <c r="BF34" s="28" t="str">
        <f t="shared" si="10"/>
        <v/>
      </c>
      <c r="BG34" s="46"/>
      <c r="BH34" s="47"/>
      <c r="BI34" s="59"/>
      <c r="BJ34" s="59"/>
      <c r="BK34" s="34" t="str">
        <f t="shared" si="11"/>
        <v/>
      </c>
    </row>
    <row r="35" spans="2:63" x14ac:dyDescent="0.25">
      <c r="B35" s="37" t="s">
        <v>52</v>
      </c>
      <c r="C35" s="38"/>
      <c r="D35" s="46">
        <v>6546.8</v>
      </c>
      <c r="E35" s="47"/>
      <c r="F35" s="47">
        <v>2695.1</v>
      </c>
      <c r="G35" s="47"/>
      <c r="H35" s="28">
        <f t="shared" si="0"/>
        <v>47.699999999998909</v>
      </c>
      <c r="I35" s="46">
        <v>7348.4</v>
      </c>
      <c r="J35" s="47"/>
      <c r="K35" s="59">
        <v>3198.1</v>
      </c>
      <c r="L35" s="59"/>
      <c r="M35" s="28">
        <f t="shared" si="1"/>
        <v>42.700000000000728</v>
      </c>
      <c r="N35" s="46"/>
      <c r="O35" s="47"/>
      <c r="P35" s="59"/>
      <c r="Q35" s="59"/>
      <c r="R35" s="28" t="str">
        <f t="shared" si="2"/>
        <v/>
      </c>
      <c r="S35" s="46"/>
      <c r="T35" s="47"/>
      <c r="U35" s="59"/>
      <c r="V35" s="59"/>
      <c r="W35" s="28" t="str">
        <f t="shared" si="3"/>
        <v/>
      </c>
      <c r="X35" s="46"/>
      <c r="Y35" s="47"/>
      <c r="Z35" s="59"/>
      <c r="AA35" s="59"/>
      <c r="AB35" s="28" t="str">
        <f t="shared" si="4"/>
        <v/>
      </c>
      <c r="AC35" s="46"/>
      <c r="AD35" s="47"/>
      <c r="AE35" s="59"/>
      <c r="AF35" s="59"/>
      <c r="AG35" s="28" t="str">
        <f t="shared" si="5"/>
        <v/>
      </c>
      <c r="AH35" s="46"/>
      <c r="AI35" s="47"/>
      <c r="AJ35" s="59"/>
      <c r="AK35" s="59"/>
      <c r="AL35" s="28" t="str">
        <f t="shared" si="6"/>
        <v/>
      </c>
      <c r="AM35" s="46"/>
      <c r="AN35" s="47"/>
      <c r="AO35" s="59"/>
      <c r="AP35" s="59"/>
      <c r="AQ35" s="28" t="str">
        <f t="shared" si="7"/>
        <v/>
      </c>
      <c r="AR35" s="46"/>
      <c r="AS35" s="47"/>
      <c r="AT35" s="59"/>
      <c r="AU35" s="59"/>
      <c r="AV35" s="28" t="str">
        <f t="shared" si="8"/>
        <v/>
      </c>
      <c r="AW35" s="46"/>
      <c r="AX35" s="47"/>
      <c r="AY35" s="59"/>
      <c r="AZ35" s="59"/>
      <c r="BA35" s="28" t="str">
        <f t="shared" si="9"/>
        <v/>
      </c>
      <c r="BB35" s="46"/>
      <c r="BC35" s="47"/>
      <c r="BD35" s="59"/>
      <c r="BE35" s="59"/>
      <c r="BF35" s="28" t="str">
        <f t="shared" si="10"/>
        <v/>
      </c>
      <c r="BG35" s="46"/>
      <c r="BH35" s="47"/>
      <c r="BI35" s="59"/>
      <c r="BJ35" s="59"/>
      <c r="BK35" s="34" t="str">
        <f t="shared" si="11"/>
        <v/>
      </c>
    </row>
    <row r="36" spans="2:63" x14ac:dyDescent="0.25">
      <c r="B36" s="37" t="s">
        <v>53</v>
      </c>
      <c r="C36" s="38"/>
      <c r="D36" s="46">
        <v>6570.9</v>
      </c>
      <c r="E36" s="47"/>
      <c r="F36" s="47">
        <v>2715.9</v>
      </c>
      <c r="G36" s="47"/>
      <c r="H36" s="28">
        <f t="shared" si="0"/>
        <v>44.899999999999636</v>
      </c>
      <c r="I36" s="46">
        <v>7380.7</v>
      </c>
      <c r="J36" s="47"/>
      <c r="K36" s="59">
        <v>3218.3</v>
      </c>
      <c r="L36" s="59"/>
      <c r="M36" s="28">
        <f t="shared" si="1"/>
        <v>52.5</v>
      </c>
      <c r="N36" s="46"/>
      <c r="O36" s="47"/>
      <c r="P36" s="59"/>
      <c r="Q36" s="59"/>
      <c r="R36" s="28" t="str">
        <f t="shared" si="2"/>
        <v/>
      </c>
      <c r="S36" s="46"/>
      <c r="T36" s="47"/>
      <c r="U36" s="59"/>
      <c r="V36" s="59"/>
      <c r="W36" s="28" t="str">
        <f t="shared" si="3"/>
        <v/>
      </c>
      <c r="X36" s="46"/>
      <c r="Y36" s="47"/>
      <c r="Z36" s="59"/>
      <c r="AA36" s="59"/>
      <c r="AB36" s="28" t="str">
        <f t="shared" si="4"/>
        <v/>
      </c>
      <c r="AC36" s="46"/>
      <c r="AD36" s="47"/>
      <c r="AE36" s="59"/>
      <c r="AF36" s="59"/>
      <c r="AG36" s="28" t="str">
        <f t="shared" si="5"/>
        <v/>
      </c>
      <c r="AH36" s="46"/>
      <c r="AI36" s="47"/>
      <c r="AJ36" s="59"/>
      <c r="AK36" s="59"/>
      <c r="AL36" s="28" t="str">
        <f t="shared" si="6"/>
        <v/>
      </c>
      <c r="AM36" s="46"/>
      <c r="AN36" s="47"/>
      <c r="AO36" s="59"/>
      <c r="AP36" s="59"/>
      <c r="AQ36" s="28" t="str">
        <f t="shared" si="7"/>
        <v/>
      </c>
      <c r="AR36" s="46"/>
      <c r="AS36" s="47"/>
      <c r="AT36" s="59"/>
      <c r="AU36" s="59"/>
      <c r="AV36" s="28" t="str">
        <f t="shared" si="8"/>
        <v/>
      </c>
      <c r="AW36" s="46"/>
      <c r="AX36" s="47"/>
      <c r="AY36" s="59"/>
      <c r="AZ36" s="59"/>
      <c r="BA36" s="28" t="str">
        <f t="shared" si="9"/>
        <v/>
      </c>
      <c r="BB36" s="46"/>
      <c r="BC36" s="47"/>
      <c r="BD36" s="59"/>
      <c r="BE36" s="59"/>
      <c r="BF36" s="28" t="str">
        <f t="shared" si="10"/>
        <v/>
      </c>
      <c r="BG36" s="46"/>
      <c r="BH36" s="47"/>
      <c r="BI36" s="59"/>
      <c r="BJ36" s="59"/>
      <c r="BK36" s="34" t="str">
        <f t="shared" si="11"/>
        <v/>
      </c>
    </row>
    <row r="37" spans="2:63" x14ac:dyDescent="0.25">
      <c r="B37" s="37" t="s">
        <v>54</v>
      </c>
      <c r="C37" s="38"/>
      <c r="D37" s="46">
        <v>6600.6</v>
      </c>
      <c r="E37" s="47"/>
      <c r="F37" s="47">
        <v>2737.2</v>
      </c>
      <c r="G37" s="47"/>
      <c r="H37" s="28">
        <f t="shared" si="0"/>
        <v>51</v>
      </c>
      <c r="I37" s="46">
        <v>7403.6</v>
      </c>
      <c r="J37" s="47"/>
      <c r="K37" s="59">
        <v>3232.6</v>
      </c>
      <c r="L37" s="59"/>
      <c r="M37" s="28">
        <f t="shared" si="1"/>
        <v>37.200000000000728</v>
      </c>
      <c r="N37" s="46"/>
      <c r="O37" s="47"/>
      <c r="P37" s="59"/>
      <c r="Q37" s="59"/>
      <c r="R37" s="28" t="str">
        <f t="shared" si="2"/>
        <v/>
      </c>
      <c r="S37" s="46"/>
      <c r="T37" s="47"/>
      <c r="U37" s="59"/>
      <c r="V37" s="59"/>
      <c r="W37" s="28" t="str">
        <f t="shared" si="3"/>
        <v/>
      </c>
      <c r="X37" s="46"/>
      <c r="Y37" s="47"/>
      <c r="Z37" s="59"/>
      <c r="AA37" s="59"/>
      <c r="AB37" s="28" t="str">
        <f t="shared" si="4"/>
        <v/>
      </c>
      <c r="AC37" s="46"/>
      <c r="AD37" s="47"/>
      <c r="AE37" s="59"/>
      <c r="AF37" s="59"/>
      <c r="AG37" s="28" t="str">
        <f t="shared" si="5"/>
        <v/>
      </c>
      <c r="AH37" s="46"/>
      <c r="AI37" s="47"/>
      <c r="AJ37" s="59"/>
      <c r="AK37" s="59"/>
      <c r="AL37" s="28" t="str">
        <f t="shared" si="6"/>
        <v/>
      </c>
      <c r="AM37" s="46"/>
      <c r="AN37" s="47"/>
      <c r="AO37" s="59"/>
      <c r="AP37" s="59"/>
      <c r="AQ37" s="28" t="str">
        <f t="shared" si="7"/>
        <v/>
      </c>
      <c r="AR37" s="46"/>
      <c r="AS37" s="47"/>
      <c r="AT37" s="59"/>
      <c r="AU37" s="59"/>
      <c r="AV37" s="28" t="str">
        <f t="shared" si="8"/>
        <v/>
      </c>
      <c r="AW37" s="46"/>
      <c r="AX37" s="47"/>
      <c r="AY37" s="59"/>
      <c r="AZ37" s="59"/>
      <c r="BA37" s="28" t="str">
        <f t="shared" si="9"/>
        <v/>
      </c>
      <c r="BB37" s="46"/>
      <c r="BC37" s="47"/>
      <c r="BD37" s="59"/>
      <c r="BE37" s="59"/>
      <c r="BF37" s="28" t="str">
        <f t="shared" si="10"/>
        <v/>
      </c>
      <c r="BG37" s="46"/>
      <c r="BH37" s="47"/>
      <c r="BI37" s="59"/>
      <c r="BJ37" s="59"/>
      <c r="BK37" s="34" t="str">
        <f t="shared" si="11"/>
        <v/>
      </c>
    </row>
    <row r="38" spans="2:63" x14ac:dyDescent="0.25">
      <c r="B38" s="37" t="s">
        <v>55</v>
      </c>
      <c r="C38" s="38"/>
      <c r="D38" s="46">
        <v>6621.2</v>
      </c>
      <c r="E38" s="47"/>
      <c r="F38" s="47">
        <v>2748.8</v>
      </c>
      <c r="G38" s="47"/>
      <c r="H38" s="28">
        <f t="shared" si="0"/>
        <v>32.200000000000728</v>
      </c>
      <c r="I38" s="46">
        <v>7428.4</v>
      </c>
      <c r="J38" s="47"/>
      <c r="K38" s="59">
        <v>3250.1</v>
      </c>
      <c r="L38" s="59"/>
      <c r="M38" s="28">
        <f t="shared" si="1"/>
        <v>42.299999999999272</v>
      </c>
      <c r="N38" s="46"/>
      <c r="O38" s="47"/>
      <c r="P38" s="59"/>
      <c r="Q38" s="59"/>
      <c r="R38" s="28" t="str">
        <f t="shared" si="2"/>
        <v/>
      </c>
      <c r="S38" s="46"/>
      <c r="T38" s="47"/>
      <c r="U38" s="59"/>
      <c r="V38" s="59"/>
      <c r="W38" s="28" t="str">
        <f t="shared" si="3"/>
        <v/>
      </c>
      <c r="X38" s="46"/>
      <c r="Y38" s="47"/>
      <c r="Z38" s="59"/>
      <c r="AA38" s="59"/>
      <c r="AB38" s="28" t="str">
        <f t="shared" si="4"/>
        <v/>
      </c>
      <c r="AC38" s="46"/>
      <c r="AD38" s="47"/>
      <c r="AE38" s="59"/>
      <c r="AF38" s="59"/>
      <c r="AG38" s="28" t="str">
        <f t="shared" si="5"/>
        <v/>
      </c>
      <c r="AH38" s="46"/>
      <c r="AI38" s="47"/>
      <c r="AJ38" s="59"/>
      <c r="AK38" s="59"/>
      <c r="AL38" s="28" t="str">
        <f t="shared" si="6"/>
        <v/>
      </c>
      <c r="AM38" s="46"/>
      <c r="AN38" s="47"/>
      <c r="AO38" s="59"/>
      <c r="AP38" s="59"/>
      <c r="AQ38" s="28" t="str">
        <f t="shared" si="7"/>
        <v/>
      </c>
      <c r="AR38" s="46"/>
      <c r="AS38" s="47"/>
      <c r="AT38" s="59"/>
      <c r="AU38" s="59"/>
      <c r="AV38" s="28" t="str">
        <f t="shared" si="8"/>
        <v/>
      </c>
      <c r="AW38" s="46"/>
      <c r="AX38" s="47"/>
      <c r="AY38" s="59"/>
      <c r="AZ38" s="59"/>
      <c r="BA38" s="28" t="str">
        <f t="shared" si="9"/>
        <v/>
      </c>
      <c r="BB38" s="46"/>
      <c r="BC38" s="47"/>
      <c r="BD38" s="59"/>
      <c r="BE38" s="59"/>
      <c r="BF38" s="28" t="str">
        <f t="shared" si="10"/>
        <v/>
      </c>
      <c r="BG38" s="46"/>
      <c r="BH38" s="47"/>
      <c r="BI38" s="59"/>
      <c r="BJ38" s="59"/>
      <c r="BK38" s="34" t="str">
        <f t="shared" si="11"/>
        <v/>
      </c>
    </row>
    <row r="39" spans="2:63" x14ac:dyDescent="0.25">
      <c r="B39" s="37" t="s">
        <v>56</v>
      </c>
      <c r="C39" s="38"/>
      <c r="D39" s="46">
        <v>6651.2</v>
      </c>
      <c r="E39" s="47"/>
      <c r="F39" s="47">
        <v>2766.3</v>
      </c>
      <c r="G39" s="47"/>
      <c r="H39" s="28">
        <f t="shared" si="0"/>
        <v>47.5</v>
      </c>
      <c r="I39" s="48"/>
      <c r="J39" s="49"/>
      <c r="K39" s="49"/>
      <c r="L39" s="49"/>
      <c r="M39" s="29" t="str">
        <f t="shared" si="1"/>
        <v/>
      </c>
      <c r="N39" s="46"/>
      <c r="O39" s="47"/>
      <c r="P39" s="59"/>
      <c r="Q39" s="59"/>
      <c r="R39" s="28" t="str">
        <f t="shared" si="2"/>
        <v/>
      </c>
      <c r="S39" s="46"/>
      <c r="T39" s="47"/>
      <c r="U39" s="59"/>
      <c r="V39" s="59"/>
      <c r="W39" s="28" t="str">
        <f t="shared" si="3"/>
        <v/>
      </c>
      <c r="X39" s="46"/>
      <c r="Y39" s="47"/>
      <c r="Z39" s="59"/>
      <c r="AA39" s="59"/>
      <c r="AB39" s="28" t="str">
        <f t="shared" si="4"/>
        <v/>
      </c>
      <c r="AC39" s="46"/>
      <c r="AD39" s="47"/>
      <c r="AE39" s="59"/>
      <c r="AF39" s="59"/>
      <c r="AG39" s="28" t="str">
        <f t="shared" si="5"/>
        <v/>
      </c>
      <c r="AH39" s="46"/>
      <c r="AI39" s="47"/>
      <c r="AJ39" s="59"/>
      <c r="AK39" s="59"/>
      <c r="AL39" s="28" t="str">
        <f t="shared" si="6"/>
        <v/>
      </c>
      <c r="AM39" s="46"/>
      <c r="AN39" s="47"/>
      <c r="AO39" s="59"/>
      <c r="AP39" s="59"/>
      <c r="AQ39" s="28" t="str">
        <f t="shared" si="7"/>
        <v/>
      </c>
      <c r="AR39" s="46"/>
      <c r="AS39" s="47"/>
      <c r="AT39" s="59"/>
      <c r="AU39" s="59"/>
      <c r="AV39" s="28" t="str">
        <f t="shared" si="8"/>
        <v/>
      </c>
      <c r="AW39" s="46"/>
      <c r="AX39" s="47"/>
      <c r="AY39" s="59"/>
      <c r="AZ39" s="59"/>
      <c r="BA39" s="28" t="str">
        <f t="shared" si="9"/>
        <v/>
      </c>
      <c r="BB39" s="46"/>
      <c r="BC39" s="47"/>
      <c r="BD39" s="59"/>
      <c r="BE39" s="59"/>
      <c r="BF39" s="28" t="str">
        <f t="shared" si="10"/>
        <v/>
      </c>
      <c r="BG39" s="46"/>
      <c r="BH39" s="47"/>
      <c r="BI39" s="59"/>
      <c r="BJ39" s="59"/>
      <c r="BK39" s="34" t="str">
        <f t="shared" si="11"/>
        <v/>
      </c>
    </row>
    <row r="40" spans="2:63" x14ac:dyDescent="0.25">
      <c r="B40" s="37" t="s">
        <v>57</v>
      </c>
      <c r="C40" s="38"/>
      <c r="D40" s="46">
        <v>6672.9</v>
      </c>
      <c r="E40" s="47"/>
      <c r="F40" s="47">
        <v>2782.6</v>
      </c>
      <c r="G40" s="47"/>
      <c r="H40" s="28">
        <f t="shared" si="0"/>
        <v>38</v>
      </c>
      <c r="I40" s="48"/>
      <c r="J40" s="49"/>
      <c r="K40" s="29"/>
      <c r="L40" s="29"/>
      <c r="M40" s="29" t="str">
        <f t="shared" ref="M40:M41" si="12">IF(COUNT(I39,I40)=2,I40-I39,"")</f>
        <v/>
      </c>
      <c r="N40" s="46"/>
      <c r="O40" s="47"/>
      <c r="P40" s="59"/>
      <c r="Q40" s="59"/>
      <c r="R40" s="28" t="str">
        <f t="shared" si="2"/>
        <v/>
      </c>
      <c r="S40" s="46"/>
      <c r="T40" s="47"/>
      <c r="U40" s="59"/>
      <c r="V40" s="59"/>
      <c r="W40" s="28" t="str">
        <f t="shared" si="3"/>
        <v/>
      </c>
      <c r="X40" s="46"/>
      <c r="Y40" s="47"/>
      <c r="Z40" s="59"/>
      <c r="AA40" s="59"/>
      <c r="AB40" s="28" t="str">
        <f t="shared" si="4"/>
        <v/>
      </c>
      <c r="AC40" s="46"/>
      <c r="AD40" s="47"/>
      <c r="AE40" s="59"/>
      <c r="AF40" s="59"/>
      <c r="AG40" s="28" t="str">
        <f t="shared" si="5"/>
        <v/>
      </c>
      <c r="AH40" s="46"/>
      <c r="AI40" s="47"/>
      <c r="AJ40" s="59"/>
      <c r="AK40" s="59"/>
      <c r="AL40" s="28" t="str">
        <f t="shared" si="6"/>
        <v/>
      </c>
      <c r="AM40" s="46"/>
      <c r="AN40" s="47"/>
      <c r="AO40" s="59"/>
      <c r="AP40" s="59"/>
      <c r="AQ40" s="28" t="str">
        <f t="shared" si="7"/>
        <v/>
      </c>
      <c r="AR40" s="46"/>
      <c r="AS40" s="47"/>
      <c r="AT40" s="59"/>
      <c r="AU40" s="59"/>
      <c r="AV40" s="28" t="str">
        <f t="shared" si="8"/>
        <v/>
      </c>
      <c r="AW40" s="46"/>
      <c r="AX40" s="47"/>
      <c r="AY40" s="59"/>
      <c r="AZ40" s="59"/>
      <c r="BA40" s="28" t="str">
        <f t="shared" si="9"/>
        <v/>
      </c>
      <c r="BB40" s="46"/>
      <c r="BC40" s="47"/>
      <c r="BD40" s="59"/>
      <c r="BE40" s="59"/>
      <c r="BF40" s="28" t="str">
        <f t="shared" si="10"/>
        <v/>
      </c>
      <c r="BG40" s="46"/>
      <c r="BH40" s="47"/>
      <c r="BI40" s="59"/>
      <c r="BJ40" s="59"/>
      <c r="BK40" s="34" t="str">
        <f t="shared" si="11"/>
        <v/>
      </c>
    </row>
    <row r="41" spans="2:63" ht="15.75" thickBot="1" x14ac:dyDescent="0.3">
      <c r="B41" s="35" t="s">
        <v>58</v>
      </c>
      <c r="C41" s="36"/>
      <c r="D41" s="42">
        <v>6697.7</v>
      </c>
      <c r="E41" s="43"/>
      <c r="F41" s="47">
        <v>2798.7</v>
      </c>
      <c r="G41" s="47"/>
      <c r="H41" s="28">
        <f t="shared" si="0"/>
        <v>40.899999999999636</v>
      </c>
      <c r="I41" s="44"/>
      <c r="J41" s="45"/>
      <c r="K41" s="29"/>
      <c r="L41" s="29"/>
      <c r="M41" s="29" t="str">
        <f t="shared" si="12"/>
        <v/>
      </c>
      <c r="N41" s="46"/>
      <c r="O41" s="47"/>
      <c r="P41" s="59"/>
      <c r="Q41" s="59"/>
      <c r="R41" s="28" t="str">
        <f t="shared" si="2"/>
        <v/>
      </c>
      <c r="S41" s="44"/>
      <c r="T41" s="45"/>
      <c r="U41" s="27"/>
      <c r="V41" s="27"/>
      <c r="W41" s="27"/>
      <c r="X41" s="42"/>
      <c r="Y41" s="43"/>
      <c r="Z41" s="59"/>
      <c r="AA41" s="59"/>
      <c r="AB41" s="28" t="str">
        <f t="shared" si="4"/>
        <v/>
      </c>
      <c r="AC41" s="44"/>
      <c r="AD41" s="45"/>
      <c r="AE41" s="27"/>
      <c r="AF41" s="27"/>
      <c r="AG41" s="27"/>
      <c r="AH41" s="42"/>
      <c r="AI41" s="43"/>
      <c r="AJ41" s="59"/>
      <c r="AK41" s="59"/>
      <c r="AL41" s="28" t="str">
        <f t="shared" si="6"/>
        <v/>
      </c>
      <c r="AM41" s="42"/>
      <c r="AN41" s="43"/>
      <c r="AO41" s="59"/>
      <c r="AP41" s="59"/>
      <c r="AQ41" s="28" t="str">
        <f t="shared" si="7"/>
        <v/>
      </c>
      <c r="AR41" s="44"/>
      <c r="AS41" s="45"/>
      <c r="AT41" s="27"/>
      <c r="AU41" s="27"/>
      <c r="AV41" s="27"/>
      <c r="AW41" s="42"/>
      <c r="AX41" s="43"/>
      <c r="AY41" s="59"/>
      <c r="AZ41" s="59"/>
      <c r="BA41" s="28" t="str">
        <f t="shared" si="9"/>
        <v/>
      </c>
      <c r="BB41" s="44"/>
      <c r="BC41" s="45"/>
      <c r="BD41" s="27"/>
      <c r="BE41" s="27"/>
      <c r="BF41" s="27"/>
      <c r="BG41" s="42"/>
      <c r="BH41" s="43"/>
      <c r="BI41" s="66"/>
      <c r="BJ41" s="66"/>
      <c r="BK41" s="4" t="str">
        <f t="shared" si="11"/>
        <v/>
      </c>
    </row>
    <row r="42" spans="2:63" ht="15.75" thickBot="1" x14ac:dyDescent="0.3">
      <c r="B42" s="40" t="s">
        <v>65</v>
      </c>
      <c r="C42" s="41"/>
      <c r="D42" s="39"/>
      <c r="E42" s="39"/>
      <c r="F42" s="25"/>
      <c r="G42" s="25"/>
      <c r="H42" s="25">
        <f>SUM(H11:H41)*400</f>
        <v>507679.99999999953</v>
      </c>
      <c r="I42" s="39"/>
      <c r="J42" s="39"/>
      <c r="K42" s="25"/>
      <c r="L42" s="25"/>
      <c r="M42" s="25">
        <f>SUM(M11:M41)*400</f>
        <v>472840.00000000012</v>
      </c>
      <c r="N42" s="39"/>
      <c r="O42" s="39"/>
      <c r="P42" s="25"/>
      <c r="Q42" s="25"/>
      <c r="R42" s="25">
        <f>SUM(R10:R41)*400</f>
        <v>350759.99999999988</v>
      </c>
      <c r="S42" s="39"/>
      <c r="T42" s="39"/>
      <c r="U42" s="25"/>
      <c r="V42" s="25"/>
      <c r="W42" s="25">
        <f>SUM(W11:W40)*400</f>
        <v>0</v>
      </c>
      <c r="X42" s="39"/>
      <c r="Y42" s="39"/>
      <c r="Z42" s="25"/>
      <c r="AA42" s="25"/>
      <c r="AB42" s="25">
        <f>SUM(AB11:AB41)*400</f>
        <v>0</v>
      </c>
      <c r="AC42" s="39"/>
      <c r="AD42" s="39"/>
      <c r="AE42" s="25"/>
      <c r="AF42" s="25"/>
      <c r="AG42" s="25">
        <f>SUM(AG11:AG40)*400</f>
        <v>0</v>
      </c>
      <c r="AH42" s="39"/>
      <c r="AI42" s="39"/>
      <c r="AJ42" s="25"/>
      <c r="AK42" s="25"/>
      <c r="AL42" s="25">
        <f>SUM(AL11:AL41)*400</f>
        <v>0</v>
      </c>
      <c r="AM42" s="39"/>
      <c r="AN42" s="39"/>
      <c r="AO42" s="25"/>
      <c r="AP42" s="25"/>
      <c r="AQ42" s="25">
        <f>SUM(AQ11:AQ41)*400</f>
        <v>0</v>
      </c>
      <c r="AR42" s="39"/>
      <c r="AS42" s="39"/>
      <c r="AT42" s="25"/>
      <c r="AU42" s="25"/>
      <c r="AV42" s="25">
        <f>SUM(AV11:AV40)*400</f>
        <v>0</v>
      </c>
      <c r="AW42" s="39"/>
      <c r="AX42" s="39"/>
      <c r="AY42" s="25"/>
      <c r="AZ42" s="25"/>
      <c r="BA42" s="25">
        <f>SUM(BA11:BA41)*400</f>
        <v>0</v>
      </c>
      <c r="BB42" s="39"/>
      <c r="BC42" s="39"/>
      <c r="BD42" s="25"/>
      <c r="BE42" s="25"/>
      <c r="BF42" s="25">
        <f>SUM(BF11:BF40)*400</f>
        <v>0</v>
      </c>
      <c r="BG42" s="39"/>
      <c r="BH42" s="39"/>
      <c r="BI42" s="26"/>
      <c r="BJ42" s="26"/>
      <c r="BK42" s="33">
        <f>SUM(BK11:BK41)*400</f>
        <v>0</v>
      </c>
    </row>
    <row r="43" spans="2:63" ht="15.75" thickTop="1" x14ac:dyDescent="0.25"/>
    <row r="45" spans="2:63" x14ac:dyDescent="0.25">
      <c r="J45" s="1"/>
      <c r="K45" s="47"/>
      <c r="L45" s="47"/>
      <c r="M45" s="59"/>
      <c r="N45" s="59"/>
    </row>
    <row r="46" spans="2:63" x14ac:dyDescent="0.25">
      <c r="J46" s="1"/>
      <c r="K46" s="47"/>
      <c r="L46" s="47"/>
      <c r="M46" s="59"/>
      <c r="N46" s="59"/>
    </row>
    <row r="47" spans="2:63" x14ac:dyDescent="0.25">
      <c r="J47" s="1"/>
      <c r="K47" s="47"/>
      <c r="L47" s="47"/>
      <c r="M47" s="59"/>
      <c r="N47" s="59"/>
    </row>
    <row r="48" spans="2:63" x14ac:dyDescent="0.25">
      <c r="J48" s="1"/>
      <c r="K48" s="47"/>
      <c r="L48" s="47"/>
      <c r="M48" s="59"/>
      <c r="N48" s="59"/>
    </row>
    <row r="49" spans="10:14" x14ac:dyDescent="0.25">
      <c r="J49" s="1"/>
      <c r="K49" s="47"/>
      <c r="L49" s="47"/>
      <c r="M49" s="59"/>
      <c r="N49" s="59"/>
    </row>
    <row r="50" spans="10:14" x14ac:dyDescent="0.25">
      <c r="J50" s="1"/>
      <c r="K50" s="47"/>
      <c r="L50" s="47"/>
      <c r="M50" s="59"/>
      <c r="N50" s="59"/>
    </row>
    <row r="51" spans="10:14" x14ac:dyDescent="0.25">
      <c r="J51" s="1"/>
      <c r="K51" s="47"/>
      <c r="L51" s="47"/>
      <c r="M51" s="59"/>
      <c r="N51" s="59"/>
    </row>
    <row r="52" spans="10:14" x14ac:dyDescent="0.25">
      <c r="J52" s="1"/>
      <c r="K52" s="47"/>
      <c r="L52" s="47"/>
      <c r="M52" s="59"/>
      <c r="N52" s="59"/>
    </row>
    <row r="53" spans="10:14" x14ac:dyDescent="0.25">
      <c r="J53" s="1"/>
      <c r="K53" s="47"/>
      <c r="L53" s="47"/>
      <c r="M53" s="59"/>
      <c r="N53" s="59"/>
    </row>
    <row r="54" spans="10:14" x14ac:dyDescent="0.25">
      <c r="J54" s="1"/>
      <c r="K54" s="47"/>
      <c r="L54" s="47"/>
      <c r="M54" s="59"/>
      <c r="N54" s="59"/>
    </row>
    <row r="55" spans="10:14" x14ac:dyDescent="0.25">
      <c r="J55" s="1"/>
      <c r="K55" s="47"/>
      <c r="L55" s="47"/>
      <c r="M55" s="59"/>
      <c r="N55" s="59"/>
    </row>
    <row r="56" spans="10:14" x14ac:dyDescent="0.25">
      <c r="J56" s="1"/>
      <c r="K56" s="47"/>
      <c r="L56" s="47"/>
      <c r="M56" s="59"/>
      <c r="N56" s="59"/>
    </row>
    <row r="57" spans="10:14" x14ac:dyDescent="0.25">
      <c r="J57" s="1"/>
      <c r="K57" s="47"/>
      <c r="L57" s="47"/>
      <c r="M57" s="59"/>
      <c r="N57" s="59"/>
    </row>
    <row r="58" spans="10:14" x14ac:dyDescent="0.25">
      <c r="J58" s="1"/>
      <c r="K58" s="47"/>
      <c r="L58" s="47"/>
      <c r="M58" s="59"/>
      <c r="N58" s="59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zoomScale="70" zoomScaleNormal="70" workbookViewId="0">
      <selection activeCell="J29" sqref="J29:K2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0" t="s">
        <v>13</v>
      </c>
      <c r="C2" s="51"/>
    </row>
    <row r="3" spans="2:39" ht="15.75" thickBot="1" x14ac:dyDescent="0.3">
      <c r="B3" s="54">
        <v>356738</v>
      </c>
      <c r="C3" s="55"/>
    </row>
    <row r="4" spans="2:39" ht="16.5" thickTop="1" thickBot="1" x14ac:dyDescent="0.3"/>
    <row r="5" spans="2:39" ht="15.75" thickTop="1" x14ac:dyDescent="0.25">
      <c r="B5" s="56" t="s">
        <v>14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6"/>
    </row>
    <row r="6" spans="2:39" ht="6.75" customHeight="1" x14ac:dyDescent="0.25">
      <c r="B6" s="5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34"/>
    </row>
    <row r="7" spans="2:39" x14ac:dyDescent="0.25">
      <c r="B7" s="2"/>
      <c r="C7" s="3"/>
      <c r="D7" s="52" t="s">
        <v>15</v>
      </c>
      <c r="E7" s="53"/>
      <c r="F7" s="30" t="s">
        <v>66</v>
      </c>
      <c r="G7" s="52" t="s">
        <v>17</v>
      </c>
      <c r="H7" s="53"/>
      <c r="I7" s="30" t="s">
        <v>66</v>
      </c>
      <c r="J7" s="52" t="s">
        <v>18</v>
      </c>
      <c r="K7" s="53"/>
      <c r="L7" s="30" t="s">
        <v>66</v>
      </c>
      <c r="M7" s="52" t="s">
        <v>19</v>
      </c>
      <c r="N7" s="53"/>
      <c r="O7" s="30" t="s">
        <v>66</v>
      </c>
      <c r="P7" s="52" t="s">
        <v>20</v>
      </c>
      <c r="Q7" s="53"/>
      <c r="R7" s="30" t="s">
        <v>66</v>
      </c>
      <c r="S7" s="52" t="s">
        <v>21</v>
      </c>
      <c r="T7" s="53"/>
      <c r="U7" s="30" t="s">
        <v>66</v>
      </c>
      <c r="V7" s="52" t="s">
        <v>22</v>
      </c>
      <c r="W7" s="53"/>
      <c r="X7" s="30" t="s">
        <v>66</v>
      </c>
      <c r="Y7" s="52" t="s">
        <v>23</v>
      </c>
      <c r="Z7" s="53"/>
      <c r="AA7" s="30" t="s">
        <v>66</v>
      </c>
      <c r="AB7" s="52" t="s">
        <v>24</v>
      </c>
      <c r="AC7" s="53"/>
      <c r="AD7" s="30" t="s">
        <v>66</v>
      </c>
      <c r="AE7" s="52" t="s">
        <v>25</v>
      </c>
      <c r="AF7" s="53"/>
      <c r="AG7" s="30" t="s">
        <v>66</v>
      </c>
      <c r="AH7" s="52" t="s">
        <v>26</v>
      </c>
      <c r="AI7" s="53"/>
      <c r="AJ7" s="30" t="s">
        <v>66</v>
      </c>
      <c r="AK7" s="52" t="s">
        <v>27</v>
      </c>
      <c r="AL7" s="53"/>
      <c r="AM7" s="7" t="s">
        <v>66</v>
      </c>
    </row>
    <row r="8" spans="2:39" x14ac:dyDescent="0.25">
      <c r="B8" s="37" t="s">
        <v>28</v>
      </c>
      <c r="C8" s="38"/>
      <c r="D8" s="46">
        <v>356880</v>
      </c>
      <c r="E8" s="47"/>
      <c r="F8" s="28">
        <f>IF(COUNT(B3,D8)=2,D8-B3,"")</f>
        <v>142</v>
      </c>
      <c r="G8" s="46">
        <v>361145</v>
      </c>
      <c r="H8" s="47"/>
      <c r="I8" s="28">
        <f>IF(COUNT(D38,G8)=2,G8-D38,"")</f>
        <v>178</v>
      </c>
      <c r="J8" s="46">
        <v>365466</v>
      </c>
      <c r="K8" s="47"/>
      <c r="L8" s="28">
        <f>IF(COUNT(G35,J8)=2,J8-G35,"")</f>
        <v>177</v>
      </c>
      <c r="M8" s="46"/>
      <c r="N8" s="47"/>
      <c r="O8" s="28" t="str">
        <f>IF(COUNT(J38,M8)=2,M8-J38,"")</f>
        <v/>
      </c>
      <c r="P8" s="46"/>
      <c r="Q8" s="47"/>
      <c r="R8" s="28" t="str">
        <f>IF(COUNT(M37,P8)=2,P8-M37,"")</f>
        <v/>
      </c>
      <c r="S8" s="46"/>
      <c r="T8" s="47"/>
      <c r="U8" s="28" t="str">
        <f>IF(COUNT(P38,S8)=2,S8-P38,"")</f>
        <v/>
      </c>
      <c r="V8" s="46"/>
      <c r="W8" s="47"/>
      <c r="X8" s="28" t="str">
        <f>IF(COUNT(S37,V8)=2,V8-S37,"")</f>
        <v/>
      </c>
      <c r="Y8" s="46"/>
      <c r="Z8" s="47"/>
      <c r="AA8" s="28" t="str">
        <f>IF(COUNT(V38,Y8)=2,Y8-V38,"")</f>
        <v/>
      </c>
      <c r="AB8" s="46"/>
      <c r="AC8" s="47"/>
      <c r="AD8" s="28" t="str">
        <f>IF(COUNT(Y38,AB8)=2,AB8-Y38,"")</f>
        <v/>
      </c>
      <c r="AE8" s="46"/>
      <c r="AF8" s="47"/>
      <c r="AG8" s="28" t="str">
        <f>IF(COUNT(AB37,AE8)=2,AE8-AB37,"")</f>
        <v/>
      </c>
      <c r="AH8" s="46"/>
      <c r="AI8" s="47"/>
      <c r="AJ8" s="28" t="str">
        <f>IF(COUNT(AE38,AH8)=2,AH8-AE38,"")</f>
        <v/>
      </c>
      <c r="AK8" s="46"/>
      <c r="AL8" s="47"/>
      <c r="AM8" s="34" t="str">
        <f>IF(COUNT(AH37,AK8)=2,AK8-AH37,"")</f>
        <v/>
      </c>
    </row>
    <row r="9" spans="2:39" x14ac:dyDescent="0.25">
      <c r="B9" s="37" t="s">
        <v>29</v>
      </c>
      <c r="C9" s="38"/>
      <c r="D9" s="46">
        <v>357009</v>
      </c>
      <c r="E9" s="47"/>
      <c r="F9" s="28">
        <f>IF(COUNT(D8,D9)=2,D9-D8,"")</f>
        <v>129</v>
      </c>
      <c r="G9" s="46">
        <v>361250</v>
      </c>
      <c r="H9" s="47"/>
      <c r="I9" s="28">
        <f>IF(COUNT(G8,G9)=2,G9-G8,"")</f>
        <v>105</v>
      </c>
      <c r="J9" s="46">
        <v>365578</v>
      </c>
      <c r="K9" s="47"/>
      <c r="L9" s="28">
        <f>IF(COUNT(J8,J9)=2,J9-J8,"")</f>
        <v>112</v>
      </c>
      <c r="M9" s="46"/>
      <c r="N9" s="47"/>
      <c r="O9" s="28" t="str">
        <f>IF(COUNT(M8,M9)=2,M9-M8,"")</f>
        <v/>
      </c>
      <c r="P9" s="46"/>
      <c r="Q9" s="47"/>
      <c r="R9" s="28" t="str">
        <f>IF(COUNT(P8,P9)=2,P9-P8,"")</f>
        <v/>
      </c>
      <c r="S9" s="46"/>
      <c r="T9" s="47"/>
      <c r="U9" s="28" t="str">
        <f>IF(COUNT(S8,S9)=2,S9-S8,"")</f>
        <v/>
      </c>
      <c r="V9" s="46"/>
      <c r="W9" s="47"/>
      <c r="X9" s="28" t="str">
        <f>IF(COUNT(V8,V9)=2,V9-V8,"")</f>
        <v/>
      </c>
      <c r="Y9" s="46"/>
      <c r="Z9" s="47"/>
      <c r="AA9" s="28" t="str">
        <f>IF(COUNT(Y8,Y9)=2,Y9-Y8,"")</f>
        <v/>
      </c>
      <c r="AB9" s="46"/>
      <c r="AC9" s="47"/>
      <c r="AD9" s="28" t="str">
        <f>IF(COUNT(AB8,AB9)=2,AB9-AB8,"")</f>
        <v/>
      </c>
      <c r="AE9" s="46"/>
      <c r="AF9" s="47"/>
      <c r="AG9" s="28" t="str">
        <f>IF(COUNT(AE8,AE9)=2,AE9-AE8,"")</f>
        <v/>
      </c>
      <c r="AH9" s="46"/>
      <c r="AI9" s="47"/>
      <c r="AJ9" s="28" t="str">
        <f>IF(COUNT(AH8,AH9)=2,AH9-AH8,"")</f>
        <v/>
      </c>
      <c r="AK9" s="46"/>
      <c r="AL9" s="47"/>
      <c r="AM9" s="34" t="str">
        <f>IF(COUNT(AK8,AK9)=2,AK9-AK8,"")</f>
        <v/>
      </c>
    </row>
    <row r="10" spans="2:39" x14ac:dyDescent="0.25">
      <c r="B10" s="37" t="s">
        <v>30</v>
      </c>
      <c r="C10" s="38"/>
      <c r="D10" s="46">
        <v>357114</v>
      </c>
      <c r="E10" s="47"/>
      <c r="F10" s="28">
        <f t="shared" ref="F10:F38" si="0">IF(COUNT(D9,D10)=2,D10-D9,"")</f>
        <v>105</v>
      </c>
      <c r="G10" s="46">
        <v>361359</v>
      </c>
      <c r="H10" s="47"/>
      <c r="I10" s="28">
        <f t="shared" ref="I10:I38" si="1">IF(COUNT(G9,G10)=2,G10-G9,"")</f>
        <v>109</v>
      </c>
      <c r="J10" s="46">
        <v>365739</v>
      </c>
      <c r="K10" s="47"/>
      <c r="L10" s="28">
        <f t="shared" ref="L10:L38" si="2">IF(COUNT(J9,J10)=2,J10-J9,"")</f>
        <v>161</v>
      </c>
      <c r="M10" s="46"/>
      <c r="N10" s="47"/>
      <c r="O10" s="28" t="str">
        <f t="shared" ref="O10:O37" si="3">IF(COUNT(M9,M10)=2,M10-M9,"")</f>
        <v/>
      </c>
      <c r="P10" s="46"/>
      <c r="Q10" s="47"/>
      <c r="R10" s="28" t="str">
        <f t="shared" ref="R10:R38" si="4">IF(COUNT(P9,P10)=2,P10-P9,"")</f>
        <v/>
      </c>
      <c r="S10" s="46"/>
      <c r="T10" s="47"/>
      <c r="U10" s="28" t="str">
        <f t="shared" ref="U10:U37" si="5">IF(COUNT(S9,S10)=2,S10-S9,"")</f>
        <v/>
      </c>
      <c r="V10" s="46"/>
      <c r="W10" s="47"/>
      <c r="X10" s="28" t="str">
        <f t="shared" ref="X10:X37" si="6">IF(COUNT(V9,V10)=2,V10-V9,"")</f>
        <v/>
      </c>
      <c r="Y10" s="46"/>
      <c r="Z10" s="47"/>
      <c r="AA10" s="28" t="str">
        <f t="shared" ref="AA10:AA38" si="7">IF(COUNT(Y9,Y10)=2,Y10-Y9,"")</f>
        <v/>
      </c>
      <c r="AB10" s="46"/>
      <c r="AC10" s="47"/>
      <c r="AD10" s="28" t="str">
        <f t="shared" ref="AD10:AD37" si="8">IF(COUNT(AB9,AB10)=2,AB10-AB9,"")</f>
        <v/>
      </c>
      <c r="AE10" s="46"/>
      <c r="AF10" s="47"/>
      <c r="AG10" s="28" t="str">
        <f t="shared" ref="AG10:AG38" si="9">IF(COUNT(AE9,AE10)=2,AE10-AE9,"")</f>
        <v/>
      </c>
      <c r="AH10" s="46"/>
      <c r="AI10" s="47"/>
      <c r="AJ10" s="28" t="str">
        <f t="shared" ref="AJ10:AJ37" si="10">IF(COUNT(AH9,AH10)=2,AH10-AH9,"")</f>
        <v/>
      </c>
      <c r="AK10" s="46"/>
      <c r="AL10" s="47"/>
      <c r="AM10" s="34" t="str">
        <f t="shared" ref="AM10:AM38" si="11">IF(COUNT(AK9,AK10)=2,AK10-AK9,"")</f>
        <v/>
      </c>
    </row>
    <row r="11" spans="2:39" x14ac:dyDescent="0.25">
      <c r="B11" s="37" t="s">
        <v>31</v>
      </c>
      <c r="C11" s="38"/>
      <c r="D11" s="46">
        <v>357284</v>
      </c>
      <c r="E11" s="47"/>
      <c r="F11" s="28">
        <f t="shared" si="0"/>
        <v>170</v>
      </c>
      <c r="G11" s="46">
        <v>361476</v>
      </c>
      <c r="H11" s="47"/>
      <c r="I11" s="28">
        <f t="shared" si="1"/>
        <v>117</v>
      </c>
      <c r="J11" s="46">
        <v>365897</v>
      </c>
      <c r="K11" s="47"/>
      <c r="L11" s="28">
        <f t="shared" si="2"/>
        <v>158</v>
      </c>
      <c r="M11" s="46"/>
      <c r="N11" s="47"/>
      <c r="O11" s="28" t="str">
        <f t="shared" si="3"/>
        <v/>
      </c>
      <c r="P11" s="46"/>
      <c r="Q11" s="47"/>
      <c r="R11" s="28" t="str">
        <f t="shared" si="4"/>
        <v/>
      </c>
      <c r="S11" s="46"/>
      <c r="T11" s="47"/>
      <c r="U11" s="28" t="str">
        <f t="shared" si="5"/>
        <v/>
      </c>
      <c r="V11" s="46"/>
      <c r="W11" s="47"/>
      <c r="X11" s="28" t="str">
        <f t="shared" si="6"/>
        <v/>
      </c>
      <c r="Y11" s="46"/>
      <c r="Z11" s="47"/>
      <c r="AA11" s="28" t="str">
        <f t="shared" si="7"/>
        <v/>
      </c>
      <c r="AB11" s="46"/>
      <c r="AC11" s="47"/>
      <c r="AD11" s="28" t="str">
        <f t="shared" si="8"/>
        <v/>
      </c>
      <c r="AE11" s="46"/>
      <c r="AF11" s="47"/>
      <c r="AG11" s="28" t="str">
        <f t="shared" si="9"/>
        <v/>
      </c>
      <c r="AH11" s="46"/>
      <c r="AI11" s="47"/>
      <c r="AJ11" s="28" t="str">
        <f t="shared" si="10"/>
        <v/>
      </c>
      <c r="AK11" s="46"/>
      <c r="AL11" s="47"/>
      <c r="AM11" s="34" t="str">
        <f t="shared" si="11"/>
        <v/>
      </c>
    </row>
    <row r="12" spans="2:39" x14ac:dyDescent="0.25">
      <c r="B12" s="37" t="s">
        <v>32</v>
      </c>
      <c r="C12" s="38"/>
      <c r="D12" s="46">
        <v>357431</v>
      </c>
      <c r="E12" s="47"/>
      <c r="F12" s="28">
        <f t="shared" si="0"/>
        <v>147</v>
      </c>
      <c r="G12" s="46">
        <v>361620</v>
      </c>
      <c r="H12" s="47"/>
      <c r="I12" s="28">
        <f t="shared" si="1"/>
        <v>144</v>
      </c>
      <c r="J12" s="46">
        <v>366051</v>
      </c>
      <c r="K12" s="47"/>
      <c r="L12" s="28">
        <f t="shared" si="2"/>
        <v>154</v>
      </c>
      <c r="M12" s="46"/>
      <c r="N12" s="47"/>
      <c r="O12" s="28" t="str">
        <f t="shared" si="3"/>
        <v/>
      </c>
      <c r="P12" s="46"/>
      <c r="Q12" s="47"/>
      <c r="R12" s="28" t="str">
        <f t="shared" si="4"/>
        <v/>
      </c>
      <c r="S12" s="46"/>
      <c r="T12" s="47"/>
      <c r="U12" s="28" t="str">
        <f t="shared" si="5"/>
        <v/>
      </c>
      <c r="V12" s="46"/>
      <c r="W12" s="47"/>
      <c r="X12" s="28" t="str">
        <f t="shared" si="6"/>
        <v/>
      </c>
      <c r="Y12" s="46"/>
      <c r="Z12" s="47"/>
      <c r="AA12" s="28" t="str">
        <f t="shared" si="7"/>
        <v/>
      </c>
      <c r="AB12" s="46"/>
      <c r="AC12" s="47"/>
      <c r="AD12" s="28" t="str">
        <f t="shared" si="8"/>
        <v/>
      </c>
      <c r="AE12" s="46"/>
      <c r="AF12" s="47"/>
      <c r="AG12" s="28" t="str">
        <f t="shared" si="9"/>
        <v/>
      </c>
      <c r="AH12" s="46"/>
      <c r="AI12" s="47"/>
      <c r="AJ12" s="28" t="str">
        <f t="shared" si="10"/>
        <v/>
      </c>
      <c r="AK12" s="46"/>
      <c r="AL12" s="47"/>
      <c r="AM12" s="34" t="str">
        <f t="shared" si="11"/>
        <v/>
      </c>
    </row>
    <row r="13" spans="2:39" x14ac:dyDescent="0.25">
      <c r="B13" s="37" t="s">
        <v>33</v>
      </c>
      <c r="C13" s="38"/>
      <c r="D13" s="46">
        <v>357554</v>
      </c>
      <c r="E13" s="47"/>
      <c r="F13" s="28">
        <f t="shared" si="0"/>
        <v>123</v>
      </c>
      <c r="G13" s="46">
        <v>361780</v>
      </c>
      <c r="H13" s="47"/>
      <c r="I13" s="28">
        <f t="shared" si="1"/>
        <v>160</v>
      </c>
      <c r="J13" s="46">
        <v>366214</v>
      </c>
      <c r="K13" s="47"/>
      <c r="L13" s="28">
        <f t="shared" si="2"/>
        <v>163</v>
      </c>
      <c r="M13" s="46"/>
      <c r="N13" s="47"/>
      <c r="O13" s="28" t="str">
        <f t="shared" si="3"/>
        <v/>
      </c>
      <c r="P13" s="46"/>
      <c r="Q13" s="47"/>
      <c r="R13" s="28" t="str">
        <f t="shared" si="4"/>
        <v/>
      </c>
      <c r="S13" s="46"/>
      <c r="T13" s="47"/>
      <c r="U13" s="28" t="str">
        <f t="shared" si="5"/>
        <v/>
      </c>
      <c r="V13" s="46"/>
      <c r="W13" s="47"/>
      <c r="X13" s="28" t="str">
        <f t="shared" si="6"/>
        <v/>
      </c>
      <c r="Y13" s="46"/>
      <c r="Z13" s="47"/>
      <c r="AA13" s="28" t="str">
        <f t="shared" si="7"/>
        <v/>
      </c>
      <c r="AB13" s="46"/>
      <c r="AC13" s="47"/>
      <c r="AD13" s="28" t="str">
        <f t="shared" si="8"/>
        <v/>
      </c>
      <c r="AE13" s="46"/>
      <c r="AF13" s="47"/>
      <c r="AG13" s="28" t="str">
        <f t="shared" si="9"/>
        <v/>
      </c>
      <c r="AH13" s="46"/>
      <c r="AI13" s="47"/>
      <c r="AJ13" s="28" t="str">
        <f t="shared" si="10"/>
        <v/>
      </c>
      <c r="AK13" s="46"/>
      <c r="AL13" s="47"/>
      <c r="AM13" s="34" t="str">
        <f t="shared" si="11"/>
        <v/>
      </c>
    </row>
    <row r="14" spans="2:39" x14ac:dyDescent="0.25">
      <c r="B14" s="37" t="s">
        <v>34</v>
      </c>
      <c r="C14" s="38"/>
      <c r="D14" s="46">
        <v>357682</v>
      </c>
      <c r="E14" s="47"/>
      <c r="F14" s="28">
        <f t="shared" si="0"/>
        <v>128</v>
      </c>
      <c r="G14" s="46">
        <v>361927</v>
      </c>
      <c r="H14" s="47"/>
      <c r="I14" s="28">
        <f t="shared" si="1"/>
        <v>147</v>
      </c>
      <c r="J14" s="46">
        <v>366399</v>
      </c>
      <c r="K14" s="47"/>
      <c r="L14" s="28">
        <f t="shared" si="2"/>
        <v>185</v>
      </c>
      <c r="M14" s="46"/>
      <c r="N14" s="47"/>
      <c r="O14" s="28" t="str">
        <f t="shared" si="3"/>
        <v/>
      </c>
      <c r="P14" s="46"/>
      <c r="Q14" s="47"/>
      <c r="R14" s="28" t="str">
        <f t="shared" si="4"/>
        <v/>
      </c>
      <c r="S14" s="46"/>
      <c r="T14" s="47"/>
      <c r="U14" s="28" t="str">
        <f t="shared" si="5"/>
        <v/>
      </c>
      <c r="V14" s="46"/>
      <c r="W14" s="47"/>
      <c r="X14" s="28" t="str">
        <f t="shared" si="6"/>
        <v/>
      </c>
      <c r="Y14" s="46"/>
      <c r="Z14" s="47"/>
      <c r="AA14" s="28" t="str">
        <f t="shared" si="7"/>
        <v/>
      </c>
      <c r="AB14" s="46"/>
      <c r="AC14" s="47"/>
      <c r="AD14" s="28" t="str">
        <f t="shared" si="8"/>
        <v/>
      </c>
      <c r="AE14" s="46"/>
      <c r="AF14" s="47"/>
      <c r="AG14" s="28" t="str">
        <f t="shared" si="9"/>
        <v/>
      </c>
      <c r="AH14" s="46"/>
      <c r="AI14" s="47"/>
      <c r="AJ14" s="28" t="str">
        <f t="shared" si="10"/>
        <v/>
      </c>
      <c r="AK14" s="46"/>
      <c r="AL14" s="47"/>
      <c r="AM14" s="34" t="str">
        <f t="shared" si="11"/>
        <v/>
      </c>
    </row>
    <row r="15" spans="2:39" x14ac:dyDescent="0.25">
      <c r="B15" s="37" t="s">
        <v>35</v>
      </c>
      <c r="C15" s="38"/>
      <c r="D15" s="46">
        <v>357831</v>
      </c>
      <c r="E15" s="47"/>
      <c r="F15" s="28">
        <f t="shared" si="0"/>
        <v>149</v>
      </c>
      <c r="G15" s="46">
        <v>362070</v>
      </c>
      <c r="H15" s="47"/>
      <c r="I15" s="28">
        <f t="shared" si="1"/>
        <v>143</v>
      </c>
      <c r="J15" s="46">
        <v>366581</v>
      </c>
      <c r="K15" s="47"/>
      <c r="L15" s="28">
        <f t="shared" si="2"/>
        <v>182</v>
      </c>
      <c r="M15" s="46"/>
      <c r="N15" s="47"/>
      <c r="O15" s="28" t="str">
        <f t="shared" si="3"/>
        <v/>
      </c>
      <c r="P15" s="46"/>
      <c r="Q15" s="47"/>
      <c r="R15" s="28" t="str">
        <f t="shared" si="4"/>
        <v/>
      </c>
      <c r="S15" s="46"/>
      <c r="T15" s="47"/>
      <c r="U15" s="28" t="str">
        <f t="shared" si="5"/>
        <v/>
      </c>
      <c r="V15" s="46"/>
      <c r="W15" s="47"/>
      <c r="X15" s="28" t="str">
        <f t="shared" si="6"/>
        <v/>
      </c>
      <c r="Y15" s="46"/>
      <c r="Z15" s="47"/>
      <c r="AA15" s="28" t="str">
        <f t="shared" si="7"/>
        <v/>
      </c>
      <c r="AB15" s="46"/>
      <c r="AC15" s="47"/>
      <c r="AD15" s="28" t="str">
        <f t="shared" si="8"/>
        <v/>
      </c>
      <c r="AE15" s="46"/>
      <c r="AF15" s="47"/>
      <c r="AG15" s="28" t="str">
        <f t="shared" si="9"/>
        <v/>
      </c>
      <c r="AH15" s="46"/>
      <c r="AI15" s="47"/>
      <c r="AJ15" s="28" t="str">
        <f t="shared" si="10"/>
        <v/>
      </c>
      <c r="AK15" s="46"/>
      <c r="AL15" s="47"/>
      <c r="AM15" s="34" t="str">
        <f t="shared" si="11"/>
        <v/>
      </c>
    </row>
    <row r="16" spans="2:39" x14ac:dyDescent="0.25">
      <c r="B16" s="37" t="s">
        <v>36</v>
      </c>
      <c r="C16" s="38"/>
      <c r="D16" s="46">
        <v>357978</v>
      </c>
      <c r="E16" s="47"/>
      <c r="F16" s="28">
        <f t="shared" si="0"/>
        <v>147</v>
      </c>
      <c r="G16" s="46">
        <v>362178</v>
      </c>
      <c r="H16" s="47"/>
      <c r="I16" s="28">
        <f t="shared" si="1"/>
        <v>108</v>
      </c>
      <c r="J16" s="46">
        <v>366719</v>
      </c>
      <c r="K16" s="47"/>
      <c r="L16" s="28">
        <f t="shared" si="2"/>
        <v>138</v>
      </c>
      <c r="M16" s="46"/>
      <c r="N16" s="47"/>
      <c r="O16" s="28" t="str">
        <f t="shared" si="3"/>
        <v/>
      </c>
      <c r="P16" s="46"/>
      <c r="Q16" s="47"/>
      <c r="R16" s="28" t="str">
        <f t="shared" si="4"/>
        <v/>
      </c>
      <c r="S16" s="46"/>
      <c r="T16" s="47"/>
      <c r="U16" s="28" t="str">
        <f t="shared" si="5"/>
        <v/>
      </c>
      <c r="V16" s="46"/>
      <c r="W16" s="47"/>
      <c r="X16" s="28" t="str">
        <f t="shared" si="6"/>
        <v/>
      </c>
      <c r="Y16" s="46"/>
      <c r="Z16" s="47"/>
      <c r="AA16" s="28" t="str">
        <f t="shared" si="7"/>
        <v/>
      </c>
      <c r="AB16" s="46"/>
      <c r="AC16" s="47"/>
      <c r="AD16" s="28" t="str">
        <f t="shared" si="8"/>
        <v/>
      </c>
      <c r="AE16" s="46"/>
      <c r="AF16" s="47"/>
      <c r="AG16" s="28" t="str">
        <f t="shared" si="9"/>
        <v/>
      </c>
      <c r="AH16" s="46"/>
      <c r="AI16" s="47"/>
      <c r="AJ16" s="28" t="str">
        <f t="shared" si="10"/>
        <v/>
      </c>
      <c r="AK16" s="46"/>
      <c r="AL16" s="47"/>
      <c r="AM16" s="34" t="str">
        <f t="shared" si="11"/>
        <v/>
      </c>
    </row>
    <row r="17" spans="2:39" x14ac:dyDescent="0.25">
      <c r="B17" s="37" t="s">
        <v>37</v>
      </c>
      <c r="C17" s="38"/>
      <c r="D17" s="46">
        <v>358116</v>
      </c>
      <c r="E17" s="47"/>
      <c r="F17" s="28">
        <f t="shared" si="0"/>
        <v>138</v>
      </c>
      <c r="G17" s="46">
        <v>362332</v>
      </c>
      <c r="H17" s="47"/>
      <c r="I17" s="28">
        <f t="shared" si="1"/>
        <v>154</v>
      </c>
      <c r="J17" s="46">
        <v>366869</v>
      </c>
      <c r="K17" s="47"/>
      <c r="L17" s="28">
        <f t="shared" si="2"/>
        <v>150</v>
      </c>
      <c r="M17" s="46"/>
      <c r="N17" s="47"/>
      <c r="O17" s="28" t="str">
        <f t="shared" si="3"/>
        <v/>
      </c>
      <c r="P17" s="46"/>
      <c r="Q17" s="47"/>
      <c r="R17" s="28" t="str">
        <f t="shared" si="4"/>
        <v/>
      </c>
      <c r="S17" s="46"/>
      <c r="T17" s="47"/>
      <c r="U17" s="28" t="str">
        <f t="shared" si="5"/>
        <v/>
      </c>
      <c r="V17" s="46"/>
      <c r="W17" s="47"/>
      <c r="X17" s="28" t="str">
        <f t="shared" si="6"/>
        <v/>
      </c>
      <c r="Y17" s="46"/>
      <c r="Z17" s="47"/>
      <c r="AA17" s="28" t="str">
        <f t="shared" si="7"/>
        <v/>
      </c>
      <c r="AB17" s="46"/>
      <c r="AC17" s="47"/>
      <c r="AD17" s="28" t="str">
        <f t="shared" si="8"/>
        <v/>
      </c>
      <c r="AE17" s="46"/>
      <c r="AF17" s="47"/>
      <c r="AG17" s="28" t="str">
        <f t="shared" si="9"/>
        <v/>
      </c>
      <c r="AH17" s="46"/>
      <c r="AI17" s="47"/>
      <c r="AJ17" s="28" t="str">
        <f t="shared" si="10"/>
        <v/>
      </c>
      <c r="AK17" s="46"/>
      <c r="AL17" s="47"/>
      <c r="AM17" s="34" t="str">
        <f t="shared" si="11"/>
        <v/>
      </c>
    </row>
    <row r="18" spans="2:39" x14ac:dyDescent="0.25">
      <c r="B18" s="37" t="s">
        <v>38</v>
      </c>
      <c r="C18" s="38"/>
      <c r="D18" s="46">
        <v>358214</v>
      </c>
      <c r="E18" s="47"/>
      <c r="F18" s="28">
        <f t="shared" si="0"/>
        <v>98</v>
      </c>
      <c r="G18" s="46">
        <v>362420</v>
      </c>
      <c r="H18" s="47"/>
      <c r="I18" s="28">
        <f t="shared" si="1"/>
        <v>88</v>
      </c>
      <c r="J18" s="46">
        <v>367026</v>
      </c>
      <c r="K18" s="47"/>
      <c r="L18" s="28">
        <f t="shared" si="2"/>
        <v>157</v>
      </c>
      <c r="M18" s="46"/>
      <c r="N18" s="47"/>
      <c r="O18" s="28" t="str">
        <f t="shared" si="3"/>
        <v/>
      </c>
      <c r="P18" s="46"/>
      <c r="Q18" s="47"/>
      <c r="R18" s="28" t="str">
        <f t="shared" si="4"/>
        <v/>
      </c>
      <c r="S18" s="46"/>
      <c r="T18" s="47"/>
      <c r="U18" s="28" t="str">
        <f t="shared" si="5"/>
        <v/>
      </c>
      <c r="V18" s="46"/>
      <c r="W18" s="47"/>
      <c r="X18" s="28" t="str">
        <f t="shared" si="6"/>
        <v/>
      </c>
      <c r="Y18" s="46"/>
      <c r="Z18" s="47"/>
      <c r="AA18" s="28" t="str">
        <f t="shared" si="7"/>
        <v/>
      </c>
      <c r="AB18" s="46"/>
      <c r="AC18" s="47"/>
      <c r="AD18" s="28" t="str">
        <f t="shared" si="8"/>
        <v/>
      </c>
      <c r="AE18" s="46"/>
      <c r="AF18" s="47"/>
      <c r="AG18" s="28" t="str">
        <f t="shared" si="9"/>
        <v/>
      </c>
      <c r="AH18" s="46"/>
      <c r="AI18" s="47"/>
      <c r="AJ18" s="28" t="str">
        <f t="shared" si="10"/>
        <v/>
      </c>
      <c r="AK18" s="46"/>
      <c r="AL18" s="47"/>
      <c r="AM18" s="34" t="str">
        <f t="shared" si="11"/>
        <v/>
      </c>
    </row>
    <row r="19" spans="2:39" x14ac:dyDescent="0.25">
      <c r="B19" s="37" t="s">
        <v>39</v>
      </c>
      <c r="C19" s="38"/>
      <c r="D19" s="46">
        <v>358331</v>
      </c>
      <c r="E19" s="47"/>
      <c r="F19" s="28">
        <f t="shared" si="0"/>
        <v>117</v>
      </c>
      <c r="G19" s="46">
        <v>362574</v>
      </c>
      <c r="H19" s="47"/>
      <c r="I19" s="28">
        <f t="shared" si="1"/>
        <v>154</v>
      </c>
      <c r="J19" s="46">
        <v>367192</v>
      </c>
      <c r="K19" s="47"/>
      <c r="L19" s="28">
        <f t="shared" si="2"/>
        <v>166</v>
      </c>
      <c r="M19" s="46"/>
      <c r="N19" s="47"/>
      <c r="O19" s="28" t="str">
        <f t="shared" si="3"/>
        <v/>
      </c>
      <c r="P19" s="46"/>
      <c r="Q19" s="47"/>
      <c r="R19" s="28" t="str">
        <f t="shared" si="4"/>
        <v/>
      </c>
      <c r="S19" s="46"/>
      <c r="T19" s="47"/>
      <c r="U19" s="28" t="str">
        <f t="shared" si="5"/>
        <v/>
      </c>
      <c r="V19" s="46"/>
      <c r="W19" s="47"/>
      <c r="X19" s="28" t="str">
        <f t="shared" si="6"/>
        <v/>
      </c>
      <c r="Y19" s="46"/>
      <c r="Z19" s="47"/>
      <c r="AA19" s="28" t="str">
        <f t="shared" si="7"/>
        <v/>
      </c>
      <c r="AB19" s="46"/>
      <c r="AC19" s="47"/>
      <c r="AD19" s="28" t="str">
        <f t="shared" si="8"/>
        <v/>
      </c>
      <c r="AE19" s="46"/>
      <c r="AF19" s="47"/>
      <c r="AG19" s="28" t="str">
        <f t="shared" si="9"/>
        <v/>
      </c>
      <c r="AH19" s="46"/>
      <c r="AI19" s="47"/>
      <c r="AJ19" s="28" t="str">
        <f t="shared" si="10"/>
        <v/>
      </c>
      <c r="AK19" s="46"/>
      <c r="AL19" s="47"/>
      <c r="AM19" s="34" t="str">
        <f t="shared" si="11"/>
        <v/>
      </c>
    </row>
    <row r="20" spans="2:39" x14ac:dyDescent="0.25">
      <c r="B20" s="37" t="s">
        <v>40</v>
      </c>
      <c r="C20" s="38"/>
      <c r="D20" s="46">
        <v>358455</v>
      </c>
      <c r="E20" s="47"/>
      <c r="F20" s="28">
        <f t="shared" si="0"/>
        <v>124</v>
      </c>
      <c r="G20" s="46">
        <v>362804</v>
      </c>
      <c r="H20" s="47"/>
      <c r="I20" s="28">
        <f t="shared" si="1"/>
        <v>230</v>
      </c>
      <c r="J20" s="46">
        <v>367401</v>
      </c>
      <c r="K20" s="47"/>
      <c r="L20" s="28">
        <f t="shared" si="2"/>
        <v>209</v>
      </c>
      <c r="M20" s="46"/>
      <c r="N20" s="47"/>
      <c r="O20" s="28" t="str">
        <f t="shared" si="3"/>
        <v/>
      </c>
      <c r="P20" s="46"/>
      <c r="Q20" s="47"/>
      <c r="R20" s="28" t="str">
        <f t="shared" si="4"/>
        <v/>
      </c>
      <c r="S20" s="46"/>
      <c r="T20" s="47"/>
      <c r="U20" s="28" t="str">
        <f t="shared" si="5"/>
        <v/>
      </c>
      <c r="V20" s="46"/>
      <c r="W20" s="47"/>
      <c r="X20" s="28" t="str">
        <f t="shared" si="6"/>
        <v/>
      </c>
      <c r="Y20" s="46"/>
      <c r="Z20" s="47"/>
      <c r="AA20" s="28" t="str">
        <f t="shared" si="7"/>
        <v/>
      </c>
      <c r="AB20" s="46"/>
      <c r="AC20" s="47"/>
      <c r="AD20" s="28" t="str">
        <f t="shared" si="8"/>
        <v/>
      </c>
      <c r="AE20" s="46"/>
      <c r="AF20" s="47"/>
      <c r="AG20" s="28" t="str">
        <f t="shared" si="9"/>
        <v/>
      </c>
      <c r="AH20" s="46"/>
      <c r="AI20" s="47"/>
      <c r="AJ20" s="28" t="str">
        <f t="shared" si="10"/>
        <v/>
      </c>
      <c r="AK20" s="46"/>
      <c r="AL20" s="47"/>
      <c r="AM20" s="34" t="str">
        <f t="shared" si="11"/>
        <v/>
      </c>
    </row>
    <row r="21" spans="2:39" x14ac:dyDescent="0.25">
      <c r="B21" s="37" t="s">
        <v>41</v>
      </c>
      <c r="C21" s="38"/>
      <c r="D21" s="46">
        <v>358581</v>
      </c>
      <c r="E21" s="47"/>
      <c r="F21" s="28">
        <f t="shared" si="0"/>
        <v>126</v>
      </c>
      <c r="G21" s="46">
        <v>363016</v>
      </c>
      <c r="H21" s="47"/>
      <c r="I21" s="28">
        <f t="shared" si="1"/>
        <v>212</v>
      </c>
      <c r="J21" s="46">
        <v>367590</v>
      </c>
      <c r="K21" s="47"/>
      <c r="L21" s="28">
        <f t="shared" si="2"/>
        <v>189</v>
      </c>
      <c r="M21" s="46"/>
      <c r="N21" s="47"/>
      <c r="O21" s="28" t="str">
        <f t="shared" si="3"/>
        <v/>
      </c>
      <c r="P21" s="46"/>
      <c r="Q21" s="47"/>
      <c r="R21" s="28" t="str">
        <f t="shared" si="4"/>
        <v/>
      </c>
      <c r="S21" s="46"/>
      <c r="T21" s="47"/>
      <c r="U21" s="28" t="str">
        <f t="shared" si="5"/>
        <v/>
      </c>
      <c r="V21" s="46"/>
      <c r="W21" s="47"/>
      <c r="X21" s="28" t="str">
        <f t="shared" si="6"/>
        <v/>
      </c>
      <c r="Y21" s="46"/>
      <c r="Z21" s="47"/>
      <c r="AA21" s="28" t="str">
        <f t="shared" si="7"/>
        <v/>
      </c>
      <c r="AB21" s="46"/>
      <c r="AC21" s="47"/>
      <c r="AD21" s="28" t="str">
        <f t="shared" si="8"/>
        <v/>
      </c>
      <c r="AE21" s="46"/>
      <c r="AF21" s="47"/>
      <c r="AG21" s="28" t="str">
        <f t="shared" si="9"/>
        <v/>
      </c>
      <c r="AH21" s="46"/>
      <c r="AI21" s="47"/>
      <c r="AJ21" s="28" t="str">
        <f t="shared" si="10"/>
        <v/>
      </c>
      <c r="AK21" s="46"/>
      <c r="AL21" s="47"/>
      <c r="AM21" s="34" t="str">
        <f t="shared" si="11"/>
        <v/>
      </c>
    </row>
    <row r="22" spans="2:39" x14ac:dyDescent="0.25">
      <c r="B22" s="37" t="s">
        <v>42</v>
      </c>
      <c r="C22" s="38"/>
      <c r="D22" s="46">
        <v>358706</v>
      </c>
      <c r="E22" s="47"/>
      <c r="F22" s="28">
        <f t="shared" si="0"/>
        <v>125</v>
      </c>
      <c r="G22" s="46">
        <v>363204</v>
      </c>
      <c r="H22" s="47"/>
      <c r="I22" s="28">
        <f t="shared" si="1"/>
        <v>188</v>
      </c>
      <c r="J22" s="46">
        <v>367719</v>
      </c>
      <c r="K22" s="47"/>
      <c r="L22" s="28">
        <f t="shared" si="2"/>
        <v>129</v>
      </c>
      <c r="M22" s="46"/>
      <c r="N22" s="47"/>
      <c r="O22" s="28" t="str">
        <f t="shared" si="3"/>
        <v/>
      </c>
      <c r="P22" s="46"/>
      <c r="Q22" s="47"/>
      <c r="R22" s="28" t="str">
        <f t="shared" si="4"/>
        <v/>
      </c>
      <c r="S22" s="46"/>
      <c r="T22" s="47"/>
      <c r="U22" s="28" t="str">
        <f t="shared" si="5"/>
        <v/>
      </c>
      <c r="V22" s="46"/>
      <c r="W22" s="47"/>
      <c r="X22" s="28" t="str">
        <f t="shared" si="6"/>
        <v/>
      </c>
      <c r="Y22" s="46"/>
      <c r="Z22" s="47"/>
      <c r="AA22" s="28" t="str">
        <f t="shared" si="7"/>
        <v/>
      </c>
      <c r="AB22" s="46"/>
      <c r="AC22" s="47"/>
      <c r="AD22" s="28" t="str">
        <f t="shared" si="8"/>
        <v/>
      </c>
      <c r="AE22" s="46"/>
      <c r="AF22" s="47"/>
      <c r="AG22" s="28" t="str">
        <f t="shared" si="9"/>
        <v/>
      </c>
      <c r="AH22" s="46"/>
      <c r="AI22" s="47"/>
      <c r="AJ22" s="28" t="str">
        <f t="shared" si="10"/>
        <v/>
      </c>
      <c r="AK22" s="46"/>
      <c r="AL22" s="47"/>
      <c r="AM22" s="34" t="str">
        <f t="shared" si="11"/>
        <v/>
      </c>
    </row>
    <row r="23" spans="2:39" x14ac:dyDescent="0.25">
      <c r="B23" s="37" t="s">
        <v>43</v>
      </c>
      <c r="C23" s="38"/>
      <c r="D23" s="46">
        <v>358867</v>
      </c>
      <c r="E23" s="47"/>
      <c r="F23" s="28">
        <f t="shared" si="0"/>
        <v>161</v>
      </c>
      <c r="G23" s="46">
        <v>363322</v>
      </c>
      <c r="H23" s="47"/>
      <c r="I23" s="28">
        <f t="shared" si="1"/>
        <v>118</v>
      </c>
      <c r="J23" s="46">
        <v>367837</v>
      </c>
      <c r="K23" s="47"/>
      <c r="L23" s="28">
        <f t="shared" si="2"/>
        <v>118</v>
      </c>
      <c r="M23" s="46"/>
      <c r="N23" s="47"/>
      <c r="O23" s="28" t="str">
        <f t="shared" si="3"/>
        <v/>
      </c>
      <c r="P23" s="46"/>
      <c r="Q23" s="47"/>
      <c r="R23" s="28" t="str">
        <f t="shared" si="4"/>
        <v/>
      </c>
      <c r="S23" s="46"/>
      <c r="T23" s="47"/>
      <c r="U23" s="28" t="str">
        <f t="shared" si="5"/>
        <v/>
      </c>
      <c r="V23" s="46"/>
      <c r="W23" s="47"/>
      <c r="X23" s="28" t="str">
        <f t="shared" si="6"/>
        <v/>
      </c>
      <c r="Y23" s="46"/>
      <c r="Z23" s="47"/>
      <c r="AA23" s="28" t="str">
        <f t="shared" si="7"/>
        <v/>
      </c>
      <c r="AB23" s="46"/>
      <c r="AC23" s="47"/>
      <c r="AD23" s="28" t="str">
        <f t="shared" si="8"/>
        <v/>
      </c>
      <c r="AE23" s="46"/>
      <c r="AF23" s="47"/>
      <c r="AG23" s="28" t="str">
        <f t="shared" si="9"/>
        <v/>
      </c>
      <c r="AH23" s="46"/>
      <c r="AI23" s="47"/>
      <c r="AJ23" s="28" t="str">
        <f t="shared" si="10"/>
        <v/>
      </c>
      <c r="AK23" s="46"/>
      <c r="AL23" s="47"/>
      <c r="AM23" s="34" t="str">
        <f t="shared" si="11"/>
        <v/>
      </c>
    </row>
    <row r="24" spans="2:39" x14ac:dyDescent="0.25">
      <c r="B24" s="37" t="s">
        <v>44</v>
      </c>
      <c r="C24" s="38"/>
      <c r="D24" s="46">
        <v>359020</v>
      </c>
      <c r="E24" s="47"/>
      <c r="F24" s="28">
        <f t="shared" si="0"/>
        <v>153</v>
      </c>
      <c r="G24" s="46">
        <v>363456</v>
      </c>
      <c r="H24" s="47"/>
      <c r="I24" s="28">
        <f t="shared" si="1"/>
        <v>134</v>
      </c>
      <c r="J24" s="46">
        <v>367952</v>
      </c>
      <c r="K24" s="47"/>
      <c r="L24" s="28">
        <f t="shared" si="2"/>
        <v>115</v>
      </c>
      <c r="M24" s="46"/>
      <c r="N24" s="47"/>
      <c r="O24" s="28" t="str">
        <f t="shared" si="3"/>
        <v/>
      </c>
      <c r="P24" s="46"/>
      <c r="Q24" s="47"/>
      <c r="R24" s="28" t="str">
        <f t="shared" si="4"/>
        <v/>
      </c>
      <c r="S24" s="46"/>
      <c r="T24" s="47"/>
      <c r="U24" s="28" t="str">
        <f t="shared" si="5"/>
        <v/>
      </c>
      <c r="V24" s="46"/>
      <c r="W24" s="47"/>
      <c r="X24" s="28" t="str">
        <f t="shared" si="6"/>
        <v/>
      </c>
      <c r="Y24" s="46"/>
      <c r="Z24" s="47"/>
      <c r="AA24" s="28" t="str">
        <f t="shared" si="7"/>
        <v/>
      </c>
      <c r="AB24" s="46"/>
      <c r="AC24" s="47"/>
      <c r="AD24" s="28" t="str">
        <f t="shared" si="8"/>
        <v/>
      </c>
      <c r="AE24" s="46"/>
      <c r="AF24" s="47"/>
      <c r="AG24" s="28" t="str">
        <f t="shared" si="9"/>
        <v/>
      </c>
      <c r="AH24" s="46"/>
      <c r="AI24" s="47"/>
      <c r="AJ24" s="28" t="str">
        <f t="shared" si="10"/>
        <v/>
      </c>
      <c r="AK24" s="46"/>
      <c r="AL24" s="47"/>
      <c r="AM24" s="34" t="str">
        <f t="shared" si="11"/>
        <v/>
      </c>
    </row>
    <row r="25" spans="2:39" x14ac:dyDescent="0.25">
      <c r="B25" s="37" t="s">
        <v>45</v>
      </c>
      <c r="C25" s="38"/>
      <c r="D25" s="46">
        <v>359109</v>
      </c>
      <c r="E25" s="47"/>
      <c r="F25" s="28">
        <f t="shared" si="0"/>
        <v>89</v>
      </c>
      <c r="G25" s="46">
        <v>363626</v>
      </c>
      <c r="H25" s="47"/>
      <c r="I25" s="28">
        <f t="shared" si="1"/>
        <v>170</v>
      </c>
      <c r="J25" s="46">
        <v>368076</v>
      </c>
      <c r="K25" s="47"/>
      <c r="L25" s="28">
        <f t="shared" si="2"/>
        <v>124</v>
      </c>
      <c r="M25" s="46"/>
      <c r="N25" s="47"/>
      <c r="O25" s="28" t="str">
        <f t="shared" si="3"/>
        <v/>
      </c>
      <c r="P25" s="46"/>
      <c r="Q25" s="47"/>
      <c r="R25" s="28" t="str">
        <f t="shared" si="4"/>
        <v/>
      </c>
      <c r="S25" s="46"/>
      <c r="T25" s="47"/>
      <c r="U25" s="28" t="str">
        <f t="shared" si="5"/>
        <v/>
      </c>
      <c r="V25" s="46"/>
      <c r="W25" s="47"/>
      <c r="X25" s="28" t="str">
        <f t="shared" si="6"/>
        <v/>
      </c>
      <c r="Y25" s="46"/>
      <c r="Z25" s="47"/>
      <c r="AA25" s="28" t="str">
        <f t="shared" si="7"/>
        <v/>
      </c>
      <c r="AB25" s="46"/>
      <c r="AC25" s="47"/>
      <c r="AD25" s="28" t="str">
        <f t="shared" si="8"/>
        <v/>
      </c>
      <c r="AE25" s="46"/>
      <c r="AF25" s="47"/>
      <c r="AG25" s="28" t="str">
        <f t="shared" si="9"/>
        <v/>
      </c>
      <c r="AH25" s="46"/>
      <c r="AI25" s="47"/>
      <c r="AJ25" s="28" t="str">
        <f t="shared" si="10"/>
        <v/>
      </c>
      <c r="AK25" s="46"/>
      <c r="AL25" s="47"/>
      <c r="AM25" s="34" t="str">
        <f t="shared" si="11"/>
        <v/>
      </c>
    </row>
    <row r="26" spans="2:39" x14ac:dyDescent="0.25">
      <c r="B26" s="37" t="s">
        <v>46</v>
      </c>
      <c r="C26" s="38"/>
      <c r="D26" s="46">
        <v>359214</v>
      </c>
      <c r="E26" s="47"/>
      <c r="F26" s="28">
        <f t="shared" si="0"/>
        <v>105</v>
      </c>
      <c r="G26" s="46">
        <v>363793</v>
      </c>
      <c r="H26" s="47"/>
      <c r="I26" s="28">
        <f t="shared" si="1"/>
        <v>167</v>
      </c>
      <c r="J26" s="46">
        <v>368251</v>
      </c>
      <c r="K26" s="47"/>
      <c r="L26" s="28">
        <f t="shared" si="2"/>
        <v>175</v>
      </c>
      <c r="M26" s="46"/>
      <c r="N26" s="47"/>
      <c r="O26" s="28" t="str">
        <f t="shared" si="3"/>
        <v/>
      </c>
      <c r="P26" s="46"/>
      <c r="Q26" s="47"/>
      <c r="R26" s="28" t="str">
        <f t="shared" si="4"/>
        <v/>
      </c>
      <c r="S26" s="46"/>
      <c r="T26" s="47"/>
      <c r="U26" s="28" t="str">
        <f t="shared" si="5"/>
        <v/>
      </c>
      <c r="V26" s="46"/>
      <c r="W26" s="47"/>
      <c r="X26" s="28" t="str">
        <f t="shared" si="6"/>
        <v/>
      </c>
      <c r="Y26" s="46"/>
      <c r="Z26" s="47"/>
      <c r="AA26" s="28" t="str">
        <f t="shared" si="7"/>
        <v/>
      </c>
      <c r="AB26" s="46"/>
      <c r="AC26" s="47"/>
      <c r="AD26" s="28" t="str">
        <f t="shared" si="8"/>
        <v/>
      </c>
      <c r="AE26" s="46"/>
      <c r="AF26" s="47"/>
      <c r="AG26" s="28" t="str">
        <f t="shared" si="9"/>
        <v/>
      </c>
      <c r="AH26" s="46"/>
      <c r="AI26" s="47"/>
      <c r="AJ26" s="28" t="str">
        <f t="shared" si="10"/>
        <v/>
      </c>
      <c r="AK26" s="46"/>
      <c r="AL26" s="47"/>
      <c r="AM26" s="34" t="str">
        <f t="shared" si="11"/>
        <v/>
      </c>
    </row>
    <row r="27" spans="2:39" x14ac:dyDescent="0.25">
      <c r="B27" s="37" t="s">
        <v>47</v>
      </c>
      <c r="C27" s="38"/>
      <c r="D27" s="46">
        <v>359297</v>
      </c>
      <c r="E27" s="47"/>
      <c r="F27" s="28">
        <f t="shared" si="0"/>
        <v>83</v>
      </c>
      <c r="G27" s="46">
        <v>364008</v>
      </c>
      <c r="H27" s="47"/>
      <c r="I27" s="28">
        <f t="shared" si="1"/>
        <v>215</v>
      </c>
      <c r="J27" s="46">
        <v>368434</v>
      </c>
      <c r="K27" s="47"/>
      <c r="L27" s="28">
        <f t="shared" si="2"/>
        <v>183</v>
      </c>
      <c r="M27" s="46"/>
      <c r="N27" s="47"/>
      <c r="O27" s="28" t="str">
        <f t="shared" si="3"/>
        <v/>
      </c>
      <c r="P27" s="46"/>
      <c r="Q27" s="47"/>
      <c r="R27" s="28" t="str">
        <f t="shared" si="4"/>
        <v/>
      </c>
      <c r="S27" s="46"/>
      <c r="T27" s="47"/>
      <c r="U27" s="28" t="str">
        <f t="shared" si="5"/>
        <v/>
      </c>
      <c r="V27" s="46"/>
      <c r="W27" s="47"/>
      <c r="X27" s="28" t="str">
        <f t="shared" si="6"/>
        <v/>
      </c>
      <c r="Y27" s="46"/>
      <c r="Z27" s="47"/>
      <c r="AA27" s="28" t="str">
        <f t="shared" si="7"/>
        <v/>
      </c>
      <c r="AB27" s="46"/>
      <c r="AC27" s="47"/>
      <c r="AD27" s="28" t="str">
        <f t="shared" si="8"/>
        <v/>
      </c>
      <c r="AE27" s="46"/>
      <c r="AF27" s="47"/>
      <c r="AG27" s="28" t="str">
        <f t="shared" si="9"/>
        <v/>
      </c>
      <c r="AH27" s="46"/>
      <c r="AI27" s="47"/>
      <c r="AJ27" s="28" t="str">
        <f t="shared" si="10"/>
        <v/>
      </c>
      <c r="AK27" s="46"/>
      <c r="AL27" s="47"/>
      <c r="AM27" s="34" t="str">
        <f t="shared" si="11"/>
        <v/>
      </c>
    </row>
    <row r="28" spans="2:39" x14ac:dyDescent="0.25">
      <c r="B28" s="37" t="s">
        <v>48</v>
      </c>
      <c r="C28" s="38"/>
      <c r="D28" s="46">
        <v>359393</v>
      </c>
      <c r="E28" s="47"/>
      <c r="F28" s="28">
        <f t="shared" si="0"/>
        <v>96</v>
      </c>
      <c r="G28" s="46">
        <v>364207</v>
      </c>
      <c r="H28" s="47"/>
      <c r="I28" s="28">
        <f t="shared" si="1"/>
        <v>199</v>
      </c>
      <c r="J28" s="46">
        <v>368615</v>
      </c>
      <c r="K28" s="47"/>
      <c r="L28" s="28">
        <f t="shared" si="2"/>
        <v>181</v>
      </c>
      <c r="M28" s="46"/>
      <c r="N28" s="47"/>
      <c r="O28" s="28" t="str">
        <f t="shared" si="3"/>
        <v/>
      </c>
      <c r="P28" s="46"/>
      <c r="Q28" s="47"/>
      <c r="R28" s="28" t="str">
        <f t="shared" si="4"/>
        <v/>
      </c>
      <c r="S28" s="46"/>
      <c r="T28" s="47"/>
      <c r="U28" s="28" t="str">
        <f t="shared" si="5"/>
        <v/>
      </c>
      <c r="V28" s="46"/>
      <c r="W28" s="47"/>
      <c r="X28" s="28" t="str">
        <f t="shared" si="6"/>
        <v/>
      </c>
      <c r="Y28" s="46"/>
      <c r="Z28" s="47"/>
      <c r="AA28" s="28" t="str">
        <f t="shared" si="7"/>
        <v/>
      </c>
      <c r="AB28" s="46"/>
      <c r="AC28" s="47"/>
      <c r="AD28" s="28" t="str">
        <f t="shared" si="8"/>
        <v/>
      </c>
      <c r="AE28" s="46"/>
      <c r="AF28" s="47"/>
      <c r="AG28" s="28" t="str">
        <f t="shared" si="9"/>
        <v/>
      </c>
      <c r="AH28" s="46"/>
      <c r="AI28" s="47"/>
      <c r="AJ28" s="28" t="str">
        <f t="shared" si="10"/>
        <v/>
      </c>
      <c r="AK28" s="46"/>
      <c r="AL28" s="47"/>
      <c r="AM28" s="34" t="str">
        <f t="shared" si="11"/>
        <v/>
      </c>
    </row>
    <row r="29" spans="2:39" x14ac:dyDescent="0.25">
      <c r="B29" s="37" t="s">
        <v>49</v>
      </c>
      <c r="C29" s="38"/>
      <c r="D29" s="46">
        <v>359528</v>
      </c>
      <c r="E29" s="47"/>
      <c r="F29" s="28">
        <f t="shared" si="0"/>
        <v>135</v>
      </c>
      <c r="G29" s="46">
        <v>364352</v>
      </c>
      <c r="H29" s="47"/>
      <c r="I29" s="28">
        <f t="shared" si="1"/>
        <v>145</v>
      </c>
      <c r="J29" s="46"/>
      <c r="K29" s="47"/>
      <c r="L29" s="28" t="str">
        <f t="shared" si="2"/>
        <v/>
      </c>
      <c r="M29" s="46"/>
      <c r="N29" s="47"/>
      <c r="O29" s="28" t="str">
        <f t="shared" si="3"/>
        <v/>
      </c>
      <c r="P29" s="46"/>
      <c r="Q29" s="47"/>
      <c r="R29" s="28" t="str">
        <f t="shared" si="4"/>
        <v/>
      </c>
      <c r="S29" s="46"/>
      <c r="T29" s="47"/>
      <c r="U29" s="28" t="str">
        <f t="shared" si="5"/>
        <v/>
      </c>
      <c r="V29" s="46"/>
      <c r="W29" s="47"/>
      <c r="X29" s="28" t="str">
        <f t="shared" si="6"/>
        <v/>
      </c>
      <c r="Y29" s="46"/>
      <c r="Z29" s="47"/>
      <c r="AA29" s="28" t="str">
        <f t="shared" si="7"/>
        <v/>
      </c>
      <c r="AB29" s="46"/>
      <c r="AC29" s="47"/>
      <c r="AD29" s="28" t="str">
        <f t="shared" si="8"/>
        <v/>
      </c>
      <c r="AE29" s="46"/>
      <c r="AF29" s="47"/>
      <c r="AG29" s="28" t="str">
        <f t="shared" si="9"/>
        <v/>
      </c>
      <c r="AH29" s="46"/>
      <c r="AI29" s="47"/>
      <c r="AJ29" s="28" t="str">
        <f t="shared" si="10"/>
        <v/>
      </c>
      <c r="AK29" s="46"/>
      <c r="AL29" s="47"/>
      <c r="AM29" s="34" t="str">
        <f t="shared" si="11"/>
        <v/>
      </c>
    </row>
    <row r="30" spans="2:39" x14ac:dyDescent="0.25">
      <c r="B30" s="37" t="s">
        <v>50</v>
      </c>
      <c r="C30" s="38"/>
      <c r="D30" s="46">
        <v>359733</v>
      </c>
      <c r="E30" s="47"/>
      <c r="F30" s="28">
        <f t="shared" si="0"/>
        <v>205</v>
      </c>
      <c r="G30" s="46">
        <v>364477</v>
      </c>
      <c r="H30" s="47"/>
      <c r="I30" s="28">
        <f t="shared" si="1"/>
        <v>125</v>
      </c>
      <c r="J30" s="46"/>
      <c r="K30" s="47"/>
      <c r="L30" s="28" t="str">
        <f t="shared" si="2"/>
        <v/>
      </c>
      <c r="M30" s="46"/>
      <c r="N30" s="47"/>
      <c r="O30" s="28" t="str">
        <f t="shared" si="3"/>
        <v/>
      </c>
      <c r="P30" s="46"/>
      <c r="Q30" s="47"/>
      <c r="R30" s="28" t="str">
        <f t="shared" si="4"/>
        <v/>
      </c>
      <c r="S30" s="46"/>
      <c r="T30" s="47"/>
      <c r="U30" s="28" t="str">
        <f t="shared" si="5"/>
        <v/>
      </c>
      <c r="V30" s="46"/>
      <c r="W30" s="47"/>
      <c r="X30" s="28" t="str">
        <f t="shared" si="6"/>
        <v/>
      </c>
      <c r="Y30" s="46"/>
      <c r="Z30" s="47"/>
      <c r="AA30" s="28" t="str">
        <f t="shared" si="7"/>
        <v/>
      </c>
      <c r="AB30" s="46"/>
      <c r="AC30" s="47"/>
      <c r="AD30" s="28" t="str">
        <f t="shared" si="8"/>
        <v/>
      </c>
      <c r="AE30" s="46"/>
      <c r="AF30" s="47"/>
      <c r="AG30" s="28" t="str">
        <f t="shared" si="9"/>
        <v/>
      </c>
      <c r="AH30" s="46"/>
      <c r="AI30" s="47"/>
      <c r="AJ30" s="28" t="str">
        <f t="shared" si="10"/>
        <v/>
      </c>
      <c r="AK30" s="46"/>
      <c r="AL30" s="47"/>
      <c r="AM30" s="34" t="str">
        <f t="shared" si="11"/>
        <v/>
      </c>
    </row>
    <row r="31" spans="2:39" x14ac:dyDescent="0.25">
      <c r="B31" s="37" t="s">
        <v>51</v>
      </c>
      <c r="C31" s="38"/>
      <c r="D31" s="46">
        <v>359956</v>
      </c>
      <c r="E31" s="47"/>
      <c r="F31" s="28">
        <f>IF(COUNT(D30,D31)=2,D31-D30,"")</f>
        <v>223</v>
      </c>
      <c r="G31" s="46">
        <v>364609</v>
      </c>
      <c r="H31" s="47"/>
      <c r="I31" s="28">
        <f t="shared" si="1"/>
        <v>132</v>
      </c>
      <c r="J31" s="46"/>
      <c r="K31" s="47"/>
      <c r="L31" s="28" t="str">
        <f t="shared" si="2"/>
        <v/>
      </c>
      <c r="M31" s="46"/>
      <c r="N31" s="47"/>
      <c r="O31" s="28" t="str">
        <f t="shared" si="3"/>
        <v/>
      </c>
      <c r="P31" s="46"/>
      <c r="Q31" s="47"/>
      <c r="R31" s="28" t="str">
        <f t="shared" si="4"/>
        <v/>
      </c>
      <c r="S31" s="46"/>
      <c r="T31" s="47"/>
      <c r="U31" s="28" t="str">
        <f t="shared" si="5"/>
        <v/>
      </c>
      <c r="V31" s="46"/>
      <c r="W31" s="47"/>
      <c r="X31" s="28" t="str">
        <f t="shared" si="6"/>
        <v/>
      </c>
      <c r="Y31" s="46"/>
      <c r="Z31" s="47"/>
      <c r="AA31" s="28" t="str">
        <f t="shared" si="7"/>
        <v/>
      </c>
      <c r="AB31" s="46"/>
      <c r="AC31" s="47"/>
      <c r="AD31" s="28" t="str">
        <f t="shared" si="8"/>
        <v/>
      </c>
      <c r="AE31" s="46"/>
      <c r="AF31" s="47"/>
      <c r="AG31" s="28" t="str">
        <f t="shared" si="9"/>
        <v/>
      </c>
      <c r="AH31" s="46"/>
      <c r="AI31" s="47"/>
      <c r="AJ31" s="28" t="str">
        <f t="shared" si="10"/>
        <v/>
      </c>
      <c r="AK31" s="46"/>
      <c r="AL31" s="47"/>
      <c r="AM31" s="34" t="str">
        <f t="shared" si="11"/>
        <v/>
      </c>
    </row>
    <row r="32" spans="2:39" x14ac:dyDescent="0.25">
      <c r="B32" s="37" t="s">
        <v>52</v>
      </c>
      <c r="C32" s="38"/>
      <c r="D32" s="46">
        <v>360157</v>
      </c>
      <c r="E32" s="47"/>
      <c r="F32" s="28">
        <f>IF(COUNT(D31,D32)=2,D32-D31,"")</f>
        <v>201</v>
      </c>
      <c r="G32" s="46">
        <v>364762</v>
      </c>
      <c r="H32" s="47"/>
      <c r="I32" s="28">
        <f t="shared" si="1"/>
        <v>153</v>
      </c>
      <c r="J32" s="46"/>
      <c r="K32" s="47"/>
      <c r="L32" s="28" t="str">
        <f t="shared" si="2"/>
        <v/>
      </c>
      <c r="M32" s="46"/>
      <c r="N32" s="47"/>
      <c r="O32" s="28" t="str">
        <f t="shared" si="3"/>
        <v/>
      </c>
      <c r="P32" s="46"/>
      <c r="Q32" s="47"/>
      <c r="R32" s="28" t="str">
        <f t="shared" si="4"/>
        <v/>
      </c>
      <c r="S32" s="46"/>
      <c r="T32" s="47"/>
      <c r="U32" s="28" t="str">
        <f t="shared" si="5"/>
        <v/>
      </c>
      <c r="V32" s="46"/>
      <c r="W32" s="47"/>
      <c r="X32" s="28" t="str">
        <f t="shared" si="6"/>
        <v/>
      </c>
      <c r="Y32" s="46"/>
      <c r="Z32" s="47"/>
      <c r="AA32" s="28" t="str">
        <f t="shared" si="7"/>
        <v/>
      </c>
      <c r="AB32" s="46"/>
      <c r="AC32" s="47"/>
      <c r="AD32" s="28" t="str">
        <f t="shared" si="8"/>
        <v/>
      </c>
      <c r="AE32" s="46"/>
      <c r="AF32" s="47"/>
      <c r="AG32" s="28" t="str">
        <f t="shared" si="9"/>
        <v/>
      </c>
      <c r="AH32" s="46"/>
      <c r="AI32" s="47"/>
      <c r="AJ32" s="28" t="str">
        <f t="shared" si="10"/>
        <v/>
      </c>
      <c r="AK32" s="46"/>
      <c r="AL32" s="47"/>
      <c r="AM32" s="34" t="str">
        <f t="shared" si="11"/>
        <v/>
      </c>
    </row>
    <row r="33" spans="2:39" x14ac:dyDescent="0.25">
      <c r="B33" s="37" t="s">
        <v>53</v>
      </c>
      <c r="C33" s="38"/>
      <c r="D33" s="46">
        <v>360323</v>
      </c>
      <c r="E33" s="47"/>
      <c r="F33" s="28">
        <f>IF(COUNT(D32,D33)=2,D33-D32,"")</f>
        <v>166</v>
      </c>
      <c r="G33" s="46">
        <v>364921</v>
      </c>
      <c r="H33" s="47"/>
      <c r="I33" s="28">
        <f t="shared" si="1"/>
        <v>159</v>
      </c>
      <c r="J33" s="46"/>
      <c r="K33" s="47"/>
      <c r="L33" s="28" t="str">
        <f t="shared" si="2"/>
        <v/>
      </c>
      <c r="M33" s="46"/>
      <c r="N33" s="47"/>
      <c r="O33" s="28" t="str">
        <f t="shared" si="3"/>
        <v/>
      </c>
      <c r="P33" s="46"/>
      <c r="Q33" s="47"/>
      <c r="R33" s="28" t="str">
        <f t="shared" si="4"/>
        <v/>
      </c>
      <c r="S33" s="46"/>
      <c r="T33" s="47"/>
      <c r="U33" s="28" t="str">
        <f t="shared" si="5"/>
        <v/>
      </c>
      <c r="V33" s="46"/>
      <c r="W33" s="47"/>
      <c r="X33" s="28" t="str">
        <f t="shared" si="6"/>
        <v/>
      </c>
      <c r="Y33" s="46"/>
      <c r="Z33" s="47"/>
      <c r="AA33" s="28" t="str">
        <f t="shared" si="7"/>
        <v/>
      </c>
      <c r="AB33" s="46"/>
      <c r="AC33" s="47"/>
      <c r="AD33" s="28" t="str">
        <f t="shared" si="8"/>
        <v/>
      </c>
      <c r="AE33" s="46"/>
      <c r="AF33" s="47"/>
      <c r="AG33" s="28" t="str">
        <f t="shared" si="9"/>
        <v/>
      </c>
      <c r="AH33" s="46"/>
      <c r="AI33" s="47"/>
      <c r="AJ33" s="28" t="str">
        <f t="shared" si="10"/>
        <v/>
      </c>
      <c r="AK33" s="46"/>
      <c r="AL33" s="47"/>
      <c r="AM33" s="34" t="str">
        <f t="shared" si="11"/>
        <v/>
      </c>
    </row>
    <row r="34" spans="2:39" x14ac:dyDescent="0.25">
      <c r="B34" s="37" t="s">
        <v>54</v>
      </c>
      <c r="C34" s="38"/>
      <c r="D34" s="46">
        <v>360477</v>
      </c>
      <c r="E34" s="47"/>
      <c r="F34" s="28">
        <f t="shared" si="0"/>
        <v>154</v>
      </c>
      <c r="G34" s="46">
        <v>365098</v>
      </c>
      <c r="H34" s="47"/>
      <c r="I34" s="28">
        <f t="shared" si="1"/>
        <v>177</v>
      </c>
      <c r="J34" s="46"/>
      <c r="K34" s="47"/>
      <c r="L34" s="28" t="str">
        <f t="shared" si="2"/>
        <v/>
      </c>
      <c r="M34" s="46"/>
      <c r="N34" s="47"/>
      <c r="O34" s="28" t="str">
        <f t="shared" si="3"/>
        <v/>
      </c>
      <c r="P34" s="46"/>
      <c r="Q34" s="47"/>
      <c r="R34" s="28" t="str">
        <f t="shared" si="4"/>
        <v/>
      </c>
      <c r="S34" s="46"/>
      <c r="T34" s="47"/>
      <c r="U34" s="28" t="str">
        <f t="shared" si="5"/>
        <v/>
      </c>
      <c r="V34" s="46"/>
      <c r="W34" s="47"/>
      <c r="X34" s="28" t="str">
        <f t="shared" si="6"/>
        <v/>
      </c>
      <c r="Y34" s="46"/>
      <c r="Z34" s="47"/>
      <c r="AA34" s="28" t="str">
        <f t="shared" si="7"/>
        <v/>
      </c>
      <c r="AB34" s="46"/>
      <c r="AC34" s="47"/>
      <c r="AD34" s="28" t="str">
        <f t="shared" si="8"/>
        <v/>
      </c>
      <c r="AE34" s="46"/>
      <c r="AF34" s="47"/>
      <c r="AG34" s="28" t="str">
        <f t="shared" si="9"/>
        <v/>
      </c>
      <c r="AH34" s="46"/>
      <c r="AI34" s="47"/>
      <c r="AJ34" s="28" t="str">
        <f t="shared" si="10"/>
        <v/>
      </c>
      <c r="AK34" s="46"/>
      <c r="AL34" s="47"/>
      <c r="AM34" s="34" t="str">
        <f t="shared" si="11"/>
        <v/>
      </c>
    </row>
    <row r="35" spans="2:39" x14ac:dyDescent="0.25">
      <c r="B35" s="37" t="s">
        <v>55</v>
      </c>
      <c r="C35" s="38"/>
      <c r="D35" s="46">
        <v>360568</v>
      </c>
      <c r="E35" s="47"/>
      <c r="F35" s="28">
        <f t="shared" si="0"/>
        <v>91</v>
      </c>
      <c r="G35" s="46">
        <v>365289</v>
      </c>
      <c r="H35" s="47"/>
      <c r="I35" s="28">
        <f t="shared" si="1"/>
        <v>191</v>
      </c>
      <c r="J35" s="46"/>
      <c r="K35" s="47"/>
      <c r="L35" s="28" t="str">
        <f t="shared" si="2"/>
        <v/>
      </c>
      <c r="M35" s="46"/>
      <c r="N35" s="47"/>
      <c r="O35" s="28" t="str">
        <f t="shared" si="3"/>
        <v/>
      </c>
      <c r="P35" s="46"/>
      <c r="Q35" s="47"/>
      <c r="R35" s="28" t="str">
        <f t="shared" si="4"/>
        <v/>
      </c>
      <c r="S35" s="46"/>
      <c r="T35" s="47"/>
      <c r="U35" s="28" t="str">
        <f t="shared" si="5"/>
        <v/>
      </c>
      <c r="V35" s="46"/>
      <c r="W35" s="47"/>
      <c r="X35" s="28" t="str">
        <f t="shared" si="6"/>
        <v/>
      </c>
      <c r="Y35" s="46"/>
      <c r="Z35" s="47"/>
      <c r="AA35" s="28" t="str">
        <f t="shared" si="7"/>
        <v/>
      </c>
      <c r="AB35" s="46"/>
      <c r="AC35" s="47"/>
      <c r="AD35" s="28" t="str">
        <f t="shared" si="8"/>
        <v/>
      </c>
      <c r="AE35" s="46"/>
      <c r="AF35" s="47"/>
      <c r="AG35" s="28" t="str">
        <f t="shared" si="9"/>
        <v/>
      </c>
      <c r="AH35" s="46"/>
      <c r="AI35" s="47"/>
      <c r="AJ35" s="28" t="str">
        <f t="shared" si="10"/>
        <v/>
      </c>
      <c r="AK35" s="46"/>
      <c r="AL35" s="47"/>
      <c r="AM35" s="34" t="str">
        <f t="shared" si="11"/>
        <v/>
      </c>
    </row>
    <row r="36" spans="2:39" x14ac:dyDescent="0.25">
      <c r="B36" s="37" t="s">
        <v>56</v>
      </c>
      <c r="C36" s="38"/>
      <c r="D36" s="46">
        <v>360714</v>
      </c>
      <c r="E36" s="47"/>
      <c r="F36" s="28">
        <f t="shared" si="0"/>
        <v>146</v>
      </c>
      <c r="G36" s="48"/>
      <c r="H36" s="49"/>
      <c r="I36" s="29" t="str">
        <f t="shared" si="1"/>
        <v/>
      </c>
      <c r="J36" s="46"/>
      <c r="K36" s="47"/>
      <c r="L36" s="28" t="str">
        <f t="shared" si="2"/>
        <v/>
      </c>
      <c r="M36" s="46"/>
      <c r="N36" s="47"/>
      <c r="O36" s="28" t="str">
        <f t="shared" si="3"/>
        <v/>
      </c>
      <c r="P36" s="46"/>
      <c r="Q36" s="47"/>
      <c r="R36" s="28" t="str">
        <f t="shared" si="4"/>
        <v/>
      </c>
      <c r="S36" s="46"/>
      <c r="T36" s="47"/>
      <c r="U36" s="28" t="str">
        <f t="shared" si="5"/>
        <v/>
      </c>
      <c r="V36" s="46"/>
      <c r="W36" s="47"/>
      <c r="X36" s="28" t="str">
        <f t="shared" si="6"/>
        <v/>
      </c>
      <c r="Y36" s="46"/>
      <c r="Z36" s="47"/>
      <c r="AA36" s="28" t="str">
        <f t="shared" si="7"/>
        <v/>
      </c>
      <c r="AB36" s="46"/>
      <c r="AC36" s="47"/>
      <c r="AD36" s="28" t="str">
        <f t="shared" si="8"/>
        <v/>
      </c>
      <c r="AE36" s="46"/>
      <c r="AF36" s="47"/>
      <c r="AG36" s="28" t="str">
        <f t="shared" si="9"/>
        <v/>
      </c>
      <c r="AH36" s="46"/>
      <c r="AI36" s="47"/>
      <c r="AJ36" s="28" t="str">
        <f t="shared" si="10"/>
        <v/>
      </c>
      <c r="AK36" s="46"/>
      <c r="AL36" s="47"/>
      <c r="AM36" s="34" t="str">
        <f t="shared" si="11"/>
        <v/>
      </c>
    </row>
    <row r="37" spans="2:39" x14ac:dyDescent="0.25">
      <c r="B37" s="37" t="s">
        <v>57</v>
      </c>
      <c r="C37" s="38"/>
      <c r="D37" s="46">
        <v>360866</v>
      </c>
      <c r="E37" s="47"/>
      <c r="F37" s="28">
        <f t="shared" si="0"/>
        <v>152</v>
      </c>
      <c r="G37" s="48"/>
      <c r="H37" s="49"/>
      <c r="I37" s="29" t="str">
        <f t="shared" si="1"/>
        <v/>
      </c>
      <c r="J37" s="46"/>
      <c r="K37" s="47"/>
      <c r="L37" s="28" t="str">
        <f t="shared" si="2"/>
        <v/>
      </c>
      <c r="M37" s="46"/>
      <c r="N37" s="47"/>
      <c r="O37" s="28" t="str">
        <f t="shared" si="3"/>
        <v/>
      </c>
      <c r="P37" s="46"/>
      <c r="Q37" s="47"/>
      <c r="R37" s="28" t="str">
        <f t="shared" si="4"/>
        <v/>
      </c>
      <c r="S37" s="46"/>
      <c r="T37" s="47"/>
      <c r="U37" s="28" t="str">
        <f t="shared" si="5"/>
        <v/>
      </c>
      <c r="V37" s="46"/>
      <c r="W37" s="47"/>
      <c r="X37" s="28" t="str">
        <f t="shared" si="6"/>
        <v/>
      </c>
      <c r="Y37" s="46"/>
      <c r="Z37" s="47"/>
      <c r="AA37" s="28" t="str">
        <f t="shared" si="7"/>
        <v/>
      </c>
      <c r="AB37" s="46"/>
      <c r="AC37" s="47"/>
      <c r="AD37" s="28" t="str">
        <f t="shared" si="8"/>
        <v/>
      </c>
      <c r="AE37" s="46"/>
      <c r="AF37" s="47"/>
      <c r="AG37" s="28" t="str">
        <f t="shared" si="9"/>
        <v/>
      </c>
      <c r="AH37" s="46"/>
      <c r="AI37" s="47"/>
      <c r="AJ37" s="28" t="str">
        <f t="shared" si="10"/>
        <v/>
      </c>
      <c r="AK37" s="46"/>
      <c r="AL37" s="47"/>
      <c r="AM37" s="34" t="str">
        <f t="shared" si="11"/>
        <v/>
      </c>
    </row>
    <row r="38" spans="2:39" ht="15.75" thickBot="1" x14ac:dyDescent="0.3">
      <c r="B38" s="35" t="s">
        <v>58</v>
      </c>
      <c r="C38" s="36"/>
      <c r="D38" s="42">
        <v>360967</v>
      </c>
      <c r="E38" s="43"/>
      <c r="F38" s="28">
        <f t="shared" si="0"/>
        <v>101</v>
      </c>
      <c r="G38" s="44"/>
      <c r="H38" s="45"/>
      <c r="I38" s="29" t="str">
        <f t="shared" si="1"/>
        <v/>
      </c>
      <c r="J38" s="42"/>
      <c r="K38" s="43"/>
      <c r="L38" s="28" t="str">
        <f t="shared" si="2"/>
        <v/>
      </c>
      <c r="M38" s="44"/>
      <c r="N38" s="45"/>
      <c r="O38" s="27"/>
      <c r="P38" s="42"/>
      <c r="Q38" s="43"/>
      <c r="R38" s="28" t="str">
        <f t="shared" si="4"/>
        <v/>
      </c>
      <c r="S38" s="44"/>
      <c r="T38" s="45"/>
      <c r="U38" s="27"/>
      <c r="V38" s="42"/>
      <c r="W38" s="43"/>
      <c r="X38" s="28" t="str">
        <f>IF(COUNT(V37,V38)=2,V38-V37,"")</f>
        <v/>
      </c>
      <c r="Y38" s="42"/>
      <c r="Z38" s="43"/>
      <c r="AA38" s="28" t="str">
        <f t="shared" si="7"/>
        <v/>
      </c>
      <c r="AB38" s="44"/>
      <c r="AC38" s="45"/>
      <c r="AD38" s="27"/>
      <c r="AE38" s="42"/>
      <c r="AF38" s="43"/>
      <c r="AG38" s="28" t="str">
        <f t="shared" si="9"/>
        <v/>
      </c>
      <c r="AH38" s="44"/>
      <c r="AI38" s="45"/>
      <c r="AJ38" s="27"/>
      <c r="AK38" s="42"/>
      <c r="AL38" s="43"/>
      <c r="AM38" s="4" t="str">
        <f t="shared" si="11"/>
        <v/>
      </c>
    </row>
    <row r="39" spans="2:39" ht="15.75" thickBot="1" x14ac:dyDescent="0.3">
      <c r="B39" s="40" t="s">
        <v>59</v>
      </c>
      <c r="C39" s="41"/>
      <c r="D39" s="39"/>
      <c r="E39" s="39"/>
      <c r="F39" s="25">
        <f>SUM(F8:F38)</f>
        <v>4229</v>
      </c>
      <c r="G39" s="39"/>
      <c r="H39" s="39"/>
      <c r="I39" s="25">
        <f>SUM(I8:I38)</f>
        <v>4322</v>
      </c>
      <c r="J39" s="39"/>
      <c r="K39" s="39"/>
      <c r="L39" s="25">
        <f>SUM(L8:L38)</f>
        <v>3326</v>
      </c>
      <c r="M39" s="39"/>
      <c r="N39" s="39"/>
      <c r="O39" s="25">
        <f>SUM(O8:O37)</f>
        <v>0</v>
      </c>
      <c r="P39" s="39"/>
      <c r="Q39" s="39"/>
      <c r="R39" s="25">
        <f>SUM(R8:R38)</f>
        <v>0</v>
      </c>
      <c r="S39" s="39"/>
      <c r="T39" s="39"/>
      <c r="U39" s="25">
        <f>SUM(U8:U37)</f>
        <v>0</v>
      </c>
      <c r="V39" s="39"/>
      <c r="W39" s="39"/>
      <c r="X39" s="25">
        <f>SUM(X8:X38)</f>
        <v>0</v>
      </c>
      <c r="Y39" s="39"/>
      <c r="Z39" s="39"/>
      <c r="AA39" s="25">
        <f>SUM(AA8:AA38)</f>
        <v>0</v>
      </c>
      <c r="AB39" s="39"/>
      <c r="AC39" s="39"/>
      <c r="AD39" s="25">
        <f>SUM(AD8:AD37)</f>
        <v>0</v>
      </c>
      <c r="AE39" s="39"/>
      <c r="AF39" s="39"/>
      <c r="AG39" s="25">
        <f>SUM(AG8:AG38)</f>
        <v>0</v>
      </c>
      <c r="AH39" s="39"/>
      <c r="AI39" s="39"/>
      <c r="AJ39" s="25">
        <f>SUM(AJ8:AJ37)</f>
        <v>0</v>
      </c>
      <c r="AK39" s="39"/>
      <c r="AL39" s="39"/>
      <c r="AM39" s="33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2021-03-22T02:38:12Z</dcterms:modified>
  <cp:category/>
  <cp:contentStatus/>
</cp:coreProperties>
</file>