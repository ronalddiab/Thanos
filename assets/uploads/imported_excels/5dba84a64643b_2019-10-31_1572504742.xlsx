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J32" i="2" l="1"/>
  <c r="I32" i="2"/>
  <c r="H32" i="2"/>
  <c r="F32" i="2"/>
  <c r="E32" i="2"/>
  <c r="L32" i="3"/>
  <c r="K32" i="3"/>
  <c r="I32" i="3"/>
  <c r="G32" i="3"/>
  <c r="E32" i="3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2" i="3" l="1"/>
  <c r="J2" i="2" l="1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<sst xmlns="http://schemas.openxmlformats.org/spreadsheetml/2006/main" count="106" uniqueCount="37">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</sst>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4" workbookViewId="0">
      <selection activeCell="E36" sqref="E3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9636.3000000000466</v>
      </c>
      <c r="F18" s="25">
        <v>0.11799999999999999</v>
      </c>
      <c r="G18" s="27">
        <f>(('10 - 2019'!E23-'10 - 2019'!E22)+('10 - 2019'!F23-'10 - 2019'!F22)+('10 - 2019'!G23-'10 - 2019'!G22))*1.81</f>
        <v>134.26580000000135</v>
      </c>
      <c r="H18" s="25">
        <v>0.99</v>
      </c>
      <c r="I18" s="27">
        <f>'10 - 2019'!J23-'10 - 2019'!J22</f>
        <v>29374</v>
      </c>
      <c r="J18" s="25">
        <v>8.1000000000000003E-2</v>
      </c>
      <c r="K18" s="27">
        <f>'10 - 2019'!H23-'10 - 2019'!H22</f>
        <v>0</v>
      </c>
      <c r="L18" s="27">
        <f>'10 - 2019'!I23-'10 - 2019'!I22</f>
        <v>112</v>
      </c>
      <c r="M18" s="26">
        <v>4.393629424766913</v>
      </c>
      <c r="N18" s="27">
        <v>67</v>
      </c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10925.699999999953</v>
      </c>
      <c r="F19" s="25">
        <v>0.11799999999999999</v>
      </c>
      <c r="G19" s="27">
        <f>(('10 - 2019'!E24-'10 - 2019'!E23)+('10 - 2019'!F24-'10 - 2019'!F23)+('10 - 2019'!G24-'10 - 2019'!G23))*1.81</f>
        <v>140.61890000000051</v>
      </c>
      <c r="H19" s="25">
        <v>0.99</v>
      </c>
      <c r="I19" s="27">
        <f>'10 - 2019'!J24-'10 - 2019'!J23</f>
        <v>35133</v>
      </c>
      <c r="J19" s="25">
        <v>8.1000000000000003E-2</v>
      </c>
      <c r="K19" s="27">
        <f>'10 - 2019'!H24-'10 - 2019'!H23</f>
        <v>0</v>
      </c>
      <c r="L19" s="27">
        <f>'10 - 2019'!I24-'10 - 2019'!I23</f>
        <v>113</v>
      </c>
      <c r="M19" s="26">
        <v>4.393629424766913</v>
      </c>
      <c r="N19" s="27">
        <v>68</v>
      </c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8397.3000000000466</v>
      </c>
      <c r="F20" s="25">
        <v>0.11799999999999999</v>
      </c>
      <c r="G20" s="27">
        <f>(('10 - 2019'!E25-'10 - 2019'!E24)+('10 - 2019'!F25-'10 - 2019'!F24)+('10 - 2019'!G25-'10 - 2019'!G24))*1.81</f>
        <v>111.31500000000206</v>
      </c>
      <c r="H20" s="25">
        <v>0.99</v>
      </c>
      <c r="I20" s="27">
        <f>'10 - 2019'!J25-'10 - 2019'!J24</f>
        <v>25479</v>
      </c>
      <c r="J20" s="25">
        <v>8.1000000000000003E-2</v>
      </c>
      <c r="K20" s="27">
        <f>'10 - 2019'!H25-'10 - 2019'!H24</f>
        <v>0</v>
      </c>
      <c r="L20" s="27">
        <f>'10 - 2019'!I25-'10 - 2019'!I24</f>
        <v>112</v>
      </c>
      <c r="M20" s="26">
        <v>4.393629424766913</v>
      </c>
      <c r="N20" s="27">
        <v>56</v>
      </c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10866</v>
      </c>
      <c r="F21" s="25">
        <v>0.11799999999999999</v>
      </c>
      <c r="G21" s="27">
        <f>(('10 - 2019'!E26-'10 - 2019'!E25)+('10 - 2019'!F26-'10 - 2019'!F25)+('10 - 2019'!G26-'10 - 2019'!G25))*1.81</f>
        <v>131.76799999999744</v>
      </c>
      <c r="H21" s="25">
        <v>0.99</v>
      </c>
      <c r="I21" s="27">
        <f>'10 - 2019'!J26-'10 - 2019'!J25</f>
        <v>30349</v>
      </c>
      <c r="J21" s="25">
        <v>8.1000000000000003E-2</v>
      </c>
      <c r="K21" s="27">
        <f>'10 - 2019'!H26-'10 - 2019'!H25</f>
        <v>0</v>
      </c>
      <c r="L21" s="27">
        <f>'10 - 2019'!I26-'10 - 2019'!I25</f>
        <v>120</v>
      </c>
      <c r="M21" s="26">
        <v>4.393629424766913</v>
      </c>
      <c r="N21" s="6">
        <v>61</v>
      </c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9070</v>
      </c>
      <c r="F22" s="25">
        <v>0.11799999999999999</v>
      </c>
      <c r="G22" s="27">
        <f>(('10 - 2019'!E27-'10 - 2019'!E26)+('10 - 2019'!F27-'10 - 2019'!F26)+('10 - 2019'!G27-'10 - 2019'!G26))*1.81</f>
        <v>95.875700000002112</v>
      </c>
      <c r="H22" s="25">
        <v>0.99</v>
      </c>
      <c r="I22" s="27">
        <f>'10 - 2019'!J27-'10 - 2019'!J26</f>
        <v>27030</v>
      </c>
      <c r="J22" s="25">
        <v>8.1000000000000003E-2</v>
      </c>
      <c r="K22" s="27">
        <f>'10 - 2019'!H27-'10 - 2019'!H26</f>
        <v>0</v>
      </c>
      <c r="L22" s="27">
        <f>'10 - 2019'!I27-'10 - 2019'!I26</f>
        <v>91</v>
      </c>
      <c r="M22" s="26">
        <v>4.393629424766913</v>
      </c>
      <c r="N22" s="6">
        <v>60</v>
      </c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8137</v>
      </c>
      <c r="F23" s="25">
        <v>0.11799999999999999</v>
      </c>
      <c r="G23" s="27">
        <f>(('10 - 2019'!E28-'10 - 2019'!E27)+('10 - 2019'!F28-'10 - 2019'!F27)+('10 - 2019'!G28-'10 - 2019'!G27))*1.81</f>
        <v>119.85819999999923</v>
      </c>
      <c r="H23" s="25">
        <v>0.99</v>
      </c>
      <c r="I23" s="27">
        <f>'10 - 2019'!J28-'10 - 2019'!J27</f>
        <v>29805</v>
      </c>
      <c r="J23" s="25">
        <v>8.1000000000000003E-2</v>
      </c>
      <c r="K23" s="27">
        <f>'10 - 2019'!H28-'10 - 2019'!H27</f>
        <v>0</v>
      </c>
      <c r="L23" s="27">
        <f>'10 - 2019'!I28-'10 - 2019'!I27</f>
        <v>111</v>
      </c>
      <c r="M23" s="26">
        <v>4.393629424766913</v>
      </c>
      <c r="N23" s="6">
        <v>74</v>
      </c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11819</v>
      </c>
      <c r="F24" s="25">
        <v>0.11799999999999999</v>
      </c>
      <c r="G24" s="27">
        <f>(('10 - 2019'!E29-'10 - 2019'!E28)+('10 - 2019'!F29-'10 - 2019'!F28)+('10 - 2019'!G29-'10 - 2019'!G28))*1.81</f>
        <v>143.85879999999921</v>
      </c>
      <c r="H24" s="25">
        <v>0.99</v>
      </c>
      <c r="I24" s="27">
        <f>'10 - 2019'!J29-'10 - 2019'!J28</f>
        <v>34157</v>
      </c>
      <c r="J24" s="25">
        <v>8.1000000000000003E-2</v>
      </c>
      <c r="K24" s="27">
        <f>'10 - 2019'!H29-'10 - 2019'!H28</f>
        <v>0</v>
      </c>
      <c r="L24" s="27">
        <f>'10 - 2019'!I29-'10 - 2019'!I28</f>
        <v>170</v>
      </c>
      <c r="M24" s="26">
        <v>4.393629424766913</v>
      </c>
      <c r="N24" s="6">
        <v>80</v>
      </c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8110</v>
      </c>
      <c r="F25" s="25">
        <v>0.11799999999999999</v>
      </c>
      <c r="G25" s="27">
        <f>(('10 - 2019'!E30-'10 - 2019'!E29)+('10 - 2019'!F30-'10 - 2019'!F29)+('10 - 2019'!G30-'10 - 2019'!G29))*1.81</f>
        <v>101.77629999999797</v>
      </c>
      <c r="H25" s="25">
        <v>0.99</v>
      </c>
      <c r="I25" s="27">
        <f>'10 - 2019'!J30-'10 - 2019'!J29</f>
        <v>31285</v>
      </c>
      <c r="J25" s="25">
        <v>8.1000000000000003E-2</v>
      </c>
      <c r="K25" s="27">
        <f>'10 - 2019'!H30-'10 - 2019'!H29</f>
        <v>0</v>
      </c>
      <c r="L25" s="27">
        <f>'10 - 2019'!I30-'10 - 2019'!I29</f>
        <v>51</v>
      </c>
      <c r="M25" s="26">
        <v>4.393629424766913</v>
      </c>
      <c r="N25" s="6">
        <v>90</v>
      </c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11508</v>
      </c>
      <c r="F26" s="25">
        <v>0.11799999999999999</v>
      </c>
      <c r="G26" s="27">
        <f>(('10 - 2019'!E31-'10 - 2019'!E30)+('10 - 2019'!F31-'10 - 2019'!F30)+('10 - 2019'!G31-'10 - 2019'!G30))*1.81</f>
        <v>151.06260000000213</v>
      </c>
      <c r="H26" s="25">
        <v>0.99</v>
      </c>
      <c r="I26" s="27">
        <f>'10 - 2019'!J31-'10 - 2019'!J30</f>
        <v>29289</v>
      </c>
      <c r="J26" s="25">
        <v>8.1000000000000003E-2</v>
      </c>
      <c r="K26" s="27">
        <f>'10 - 2019'!H31-'10 - 2019'!H30</f>
        <v>0</v>
      </c>
      <c r="L26" s="27">
        <f>'10 - 2019'!I31-'10 - 2019'!I30</f>
        <v>118</v>
      </c>
      <c r="M26" s="26">
        <v>4.393629424766913</v>
      </c>
      <c r="N26" s="6">
        <v>90</v>
      </c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8610</v>
      </c>
      <c r="F27" s="25">
        <v>0.11799999999999999</v>
      </c>
      <c r="G27" s="27">
        <f>(('10 - 2019'!E32-'10 - 2019'!E31)+('10 - 2019'!F32-'10 - 2019'!F31)+('10 - 2019'!G32-'10 - 2019'!G31))*1.81</f>
        <v>124.63659999999736</v>
      </c>
      <c r="H27" s="25">
        <v>0.99</v>
      </c>
      <c r="I27" s="27">
        <f>'10 - 2019'!J32-'10 - 2019'!J31</f>
        <v>28514</v>
      </c>
      <c r="J27" s="25">
        <v>8.1000000000000003E-2</v>
      </c>
      <c r="K27" s="27">
        <f>'10 - 2019'!H32-'10 - 2019'!H31</f>
        <v>0</v>
      </c>
      <c r="L27" s="27">
        <f>'10 - 2019'!I32-'10 - 2019'!I31</f>
        <v>119</v>
      </c>
      <c r="M27" s="26">
        <v>4.393629424766913</v>
      </c>
      <c r="N27" s="6">
        <v>98</v>
      </c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10077</v>
      </c>
      <c r="F28" s="25">
        <v>0.11799999999999999</v>
      </c>
      <c r="G28" s="27">
        <f>(('10 - 2019'!E33-'10 - 2019'!E32)+('10 - 2019'!F33-'10 - 2019'!F32)+('10 - 2019'!G33-'10 - 2019'!G32))*1.81</f>
        <v>93.015899999999775</v>
      </c>
      <c r="H28" s="25">
        <v>0.99</v>
      </c>
      <c r="I28" s="27">
        <f>'10 - 2019'!J33-'10 - 2019'!J32</f>
        <v>26841</v>
      </c>
      <c r="J28" s="25">
        <v>8.1000000000000003E-2</v>
      </c>
      <c r="K28" s="27">
        <f>'10 - 2019'!H33-'10 - 2019'!H32</f>
        <v>0</v>
      </c>
      <c r="L28" s="27">
        <f>'10 - 2019'!I33-'10 - 2019'!I32</f>
        <v>107</v>
      </c>
      <c r="M28" s="26">
        <v>4.393629424766913</v>
      </c>
      <c r="N28" s="6">
        <v>91</v>
      </c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9407</v>
      </c>
      <c r="F29" s="25">
        <v>0.11799999999999999</v>
      </c>
      <c r="G29" s="27">
        <f>(('10 - 2019'!E34-'10 - 2019'!E33)+('10 - 2019'!F34-'10 - 2019'!F33)+('10 - 2019'!G34-'10 - 2019'!G33))*1.81</f>
        <v>123.80400000000304</v>
      </c>
      <c r="H29" s="25">
        <v>0.99</v>
      </c>
      <c r="I29" s="27">
        <f>'10 - 2019'!J34-'10 - 2019'!J33</f>
        <v>17531</v>
      </c>
      <c r="J29" s="25">
        <v>8.1000000000000003E-2</v>
      </c>
      <c r="K29" s="27">
        <f>'10 - 2019'!H34-'10 - 2019'!H33</f>
        <v>0</v>
      </c>
      <c r="L29" s="27">
        <f>'10 - 2019'!I34-'10 - 2019'!I33</f>
        <v>82</v>
      </c>
      <c r="M29" s="26">
        <v>4.393629424766913</v>
      </c>
      <c r="N29" s="6">
        <v>98</v>
      </c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9872</v>
      </c>
      <c r="F30" s="25">
        <v>0.11799999999999999</v>
      </c>
      <c r="G30" s="27">
        <f>(('10 - 2019'!E35-'10 - 2019'!E34)+('10 - 2019'!F35-'10 - 2019'!F34)+('10 - 2019'!G35-'10 - 2019'!G34))*1.81</f>
        <v>120.18399999999811</v>
      </c>
      <c r="H30" s="25">
        <v>0.99</v>
      </c>
      <c r="I30" s="27">
        <f>'10 - 2019'!J35-'10 - 2019'!J34</f>
        <v>25157</v>
      </c>
      <c r="J30" s="25">
        <v>8.1000000000000003E-2</v>
      </c>
      <c r="K30" s="27">
        <f>'10 - 2019'!H35-'10 - 2019'!H34</f>
        <v>0</v>
      </c>
      <c r="L30" s="27">
        <f>'10 - 2019'!I35-'10 - 2019'!I34</f>
        <v>113</v>
      </c>
      <c r="M30" s="26">
        <v>4.393629424766913</v>
      </c>
      <c r="N30" s="6">
        <v>97</v>
      </c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9034</v>
      </c>
      <c r="F31" s="25">
        <v>0.11799999999999999</v>
      </c>
      <c r="G31" s="27">
        <f>(('10 - 2019'!E36-'10 - 2019'!E35)+('10 - 2019'!F36-'10 - 2019'!F35)+('10 - 2019'!G36-'10 - 2019'!G35))*1.81</f>
        <v>121.30619999999956</v>
      </c>
      <c r="H31" s="25">
        <v>0.99</v>
      </c>
      <c r="I31" s="27">
        <f>'10 - 2019'!J36-'10 - 2019'!J35</f>
        <v>22459</v>
      </c>
      <c r="J31" s="25">
        <v>8.1000000000000003E-2</v>
      </c>
      <c r="K31" s="27">
        <f>'10 - 2019'!H36-'10 - 2019'!H35</f>
        <v>0</v>
      </c>
      <c r="L31" s="27">
        <f>'10 - 2019'!I36-'10 - 2019'!I35</f>
        <v>117</v>
      </c>
      <c r="M31" s="26">
        <v>4.393629424766913</v>
      </c>
      <c r="N31" s="6">
        <v>89</v>
      </c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10113</v>
      </c>
      <c r="F32" s="25">
        <v>0.11799999999999999</v>
      </c>
      <c r="G32" s="27">
        <f>(('10 - 2019'!E37-'10 - 2019'!E36)+('10 - 2019'!F37-'10 - 2019'!F36)+('10 - 2019'!G37-'10 - 2019'!G36))*1.81</f>
        <v>132.14810000000244</v>
      </c>
      <c r="H32" s="25">
        <v>0.99</v>
      </c>
      <c r="I32" s="27">
        <f>'10 - 2019'!J37-'10 - 2019'!J36</f>
        <v>26556</v>
      </c>
      <c r="J32" s="25">
        <v>8.1000000000000003E-2</v>
      </c>
      <c r="K32" s="27">
        <f>'10 - 2019'!H37-'10 - 2019'!H36</f>
        <v>0</v>
      </c>
      <c r="L32" s="27">
        <f>'10 - 2019'!I37-'10 - 2019'!I36</f>
        <v>114</v>
      </c>
      <c r="M32" s="26">
        <v>4.393629424766913</v>
      </c>
      <c r="N32" s="27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8" sqref="K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3337.3000000000029</v>
      </c>
      <c r="F18" s="27">
        <f>'10 - 2019'!C23-'10 - 2019'!C22</f>
        <v>6299</v>
      </c>
      <c r="G18" s="25">
        <v>0.11799999999999999</v>
      </c>
      <c r="H18" s="27">
        <f>'10 - 2019'!E23-'10 - 2019'!E22</f>
        <v>30.630000000000109</v>
      </c>
      <c r="I18" s="27">
        <f>'10 - 2019'!F23-'10 - 2019'!F22</f>
        <v>6.9400000000000546</v>
      </c>
      <c r="J18" s="27">
        <f>'10 - 2019'!G23-'10 - 2019'!G22</f>
        <v>36.610000000000582</v>
      </c>
      <c r="K18" s="25">
        <v>0.74</v>
      </c>
      <c r="L18" s="27">
        <v>67</v>
      </c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3803.6999999999971</v>
      </c>
      <c r="F19" s="27">
        <f>'10 - 2019'!C24-'10 - 2019'!C23</f>
        <v>7122</v>
      </c>
      <c r="G19" s="25">
        <v>0.11799999999999999</v>
      </c>
      <c r="H19" s="27">
        <f>'10 - 2019'!E24-'10 - 2019'!E23</f>
        <v>29.420000000000073</v>
      </c>
      <c r="I19" s="27">
        <f>'10 - 2019'!F24-'10 - 2019'!F23</f>
        <v>7.5899999999999181</v>
      </c>
      <c r="J19" s="27">
        <f>'10 - 2019'!G24-'10 - 2019'!G23</f>
        <v>40.680000000000291</v>
      </c>
      <c r="K19" s="25">
        <v>0.74</v>
      </c>
      <c r="L19" s="6">
        <v>68</v>
      </c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2988.3000000000029</v>
      </c>
      <c r="F20" s="27">
        <f>'10 - 2019'!C25-'10 - 2019'!C24</f>
        <v>5409</v>
      </c>
      <c r="G20" s="25">
        <v>0.11799999999999999</v>
      </c>
      <c r="H20" s="27">
        <f>'10 - 2019'!E25-'10 - 2019'!E24</f>
        <v>22.050000000000182</v>
      </c>
      <c r="I20" s="27">
        <f>'10 - 2019'!F25-'10 - 2019'!F24</f>
        <v>6.4100000000000819</v>
      </c>
      <c r="J20" s="27">
        <f>'10 - 2019'!G25-'10 - 2019'!G24</f>
        <v>33.040000000000873</v>
      </c>
      <c r="K20" s="25">
        <v>0.74</v>
      </c>
      <c r="L20" s="6">
        <v>56</v>
      </c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3809</v>
      </c>
      <c r="F21" s="27">
        <f>'10 - 2019'!C26-'10 - 2019'!C25</f>
        <v>7057</v>
      </c>
      <c r="G21" s="25">
        <v>0.11799999999999999</v>
      </c>
      <c r="H21" s="27">
        <f>'10 - 2019'!E26-'10 - 2019'!E25</f>
        <v>27.210000000000036</v>
      </c>
      <c r="I21" s="27">
        <f>'10 - 2019'!F26-'10 - 2019'!F25</f>
        <v>5.9900000000000091</v>
      </c>
      <c r="J21" s="27">
        <f>'10 - 2019'!G26-'10 - 2019'!G25</f>
        <v>39.599999999998545</v>
      </c>
      <c r="K21" s="25">
        <v>0.74</v>
      </c>
      <c r="L21" s="6">
        <v>61</v>
      </c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3213</v>
      </c>
      <c r="F22" s="27">
        <f>'10 - 2019'!C27-'10 - 2019'!C26</f>
        <v>5857</v>
      </c>
      <c r="G22" s="25">
        <v>0.11799999999999999</v>
      </c>
      <c r="H22" s="27">
        <f>'10 - 2019'!E27-'10 - 2019'!E26</f>
        <v>21.199999999999818</v>
      </c>
      <c r="I22" s="27">
        <f>'10 - 2019'!F27-'10 - 2019'!F26</f>
        <v>5.2100000000000364</v>
      </c>
      <c r="J22" s="27">
        <f>'10 - 2019'!G27-'10 - 2019'!G26</f>
        <v>26.56000000000131</v>
      </c>
      <c r="K22" s="25">
        <v>0.74</v>
      </c>
      <c r="L22" s="27">
        <v>60</v>
      </c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2889</v>
      </c>
      <c r="F23" s="27">
        <f>'10 - 2019'!C28-'10 - 2019'!C27</f>
        <v>5248</v>
      </c>
      <c r="G23" s="25">
        <v>0.11799999999999999</v>
      </c>
      <c r="H23" s="27">
        <f>'10 - 2019'!E28-'10 - 2019'!E27</f>
        <v>25.319999999999709</v>
      </c>
      <c r="I23" s="27">
        <f>'10 - 2019'!F28-'10 - 2019'!F27</f>
        <v>6.8199999999999363</v>
      </c>
      <c r="J23" s="27">
        <f>'10 - 2019'!G28-'10 - 2019'!G27</f>
        <v>34.079999999999927</v>
      </c>
      <c r="K23" s="25">
        <v>0.74</v>
      </c>
      <c r="L23" s="27">
        <v>74</v>
      </c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4176</v>
      </c>
      <c r="F24" s="27">
        <f>'10 - 2019'!C29-'10 - 2019'!C28</f>
        <v>7643</v>
      </c>
      <c r="G24" s="25">
        <v>0.11799999999999999</v>
      </c>
      <c r="H24" s="27">
        <f>'10 - 2019'!E29-'10 - 2019'!E28</f>
        <v>29.640000000000327</v>
      </c>
      <c r="I24" s="27">
        <f>'10 - 2019'!F29-'10 - 2019'!F28</f>
        <v>5.7100000000000364</v>
      </c>
      <c r="J24" s="27">
        <f>'10 - 2019'!G29-'10 - 2019'!G28</f>
        <v>44.1299999999992</v>
      </c>
      <c r="K24" s="25">
        <v>0.74</v>
      </c>
      <c r="L24" s="27">
        <v>80</v>
      </c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2921</v>
      </c>
      <c r="F25" s="27">
        <f>'10 - 2019'!C30-'10 - 2019'!C29</f>
        <v>5189</v>
      </c>
      <c r="G25" s="25">
        <v>0.11799999999999999</v>
      </c>
      <c r="H25" s="27">
        <f>'10 - 2019'!E30-'10 - 2019'!E29</f>
        <v>21.299999999999272</v>
      </c>
      <c r="I25" s="27">
        <f>'10 - 2019'!F30-'10 - 2019'!F29</f>
        <v>4.3599999999999</v>
      </c>
      <c r="J25" s="27">
        <f>'10 - 2019'!G30-'10 - 2019'!G29</f>
        <v>30.569999999999709</v>
      </c>
      <c r="K25" s="25">
        <v>0.74</v>
      </c>
      <c r="L25" s="6">
        <v>90</v>
      </c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3998</v>
      </c>
      <c r="F26" s="27">
        <f>'10 - 2019'!C31-'10 - 2019'!C30</f>
        <v>7510</v>
      </c>
      <c r="G26" s="25">
        <v>0.11799999999999999</v>
      </c>
      <c r="H26" s="27">
        <f>'10 - 2019'!E31-'10 - 2019'!E30</f>
        <v>30.800000000000182</v>
      </c>
      <c r="I26" s="27">
        <f>'10 - 2019'!F31-'10 - 2019'!F30</f>
        <v>8.4500000000000455</v>
      </c>
      <c r="J26" s="27">
        <f>'10 - 2019'!G31-'10 - 2019'!G30</f>
        <v>44.210000000000946</v>
      </c>
      <c r="K26" s="25">
        <v>0.74</v>
      </c>
      <c r="L26" s="6">
        <v>90</v>
      </c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3174</v>
      </c>
      <c r="F27" s="27">
        <f>'10 - 2019'!C32-'10 - 2019'!C31</f>
        <v>5436</v>
      </c>
      <c r="G27" s="25">
        <v>0.11799999999999999</v>
      </c>
      <c r="H27" s="27">
        <f>'10 - 2019'!E32-'10 - 2019'!E31</f>
        <v>23.449999999999818</v>
      </c>
      <c r="I27" s="27">
        <f>'10 - 2019'!F32-'10 - 2019'!F31</f>
        <v>5.8799999999998818</v>
      </c>
      <c r="J27" s="27">
        <f>'10 - 2019'!G32-'10 - 2019'!G31</f>
        <v>39.529999999998836</v>
      </c>
      <c r="K27" s="25">
        <v>0.74</v>
      </c>
      <c r="L27" s="6">
        <v>98</v>
      </c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3637</v>
      </c>
      <c r="F28" s="27">
        <f>'10 - 2019'!C33-'10 - 2019'!C32</f>
        <v>6440</v>
      </c>
      <c r="G28" s="25">
        <v>0.11799999999999999</v>
      </c>
      <c r="H28" s="27">
        <f>'10 - 2019'!E33-'10 - 2019'!E32</f>
        <v>15.25</v>
      </c>
      <c r="I28" s="27">
        <f>'10 - 2019'!F33-'10 - 2019'!F32</f>
        <v>5.6500000000000909</v>
      </c>
      <c r="J28" s="27">
        <f>'10 - 2019'!G33-'10 - 2019'!G32</f>
        <v>30.489999999999782</v>
      </c>
      <c r="K28" s="25">
        <v>0.74</v>
      </c>
      <c r="L28" s="6">
        <v>91</v>
      </c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3407</v>
      </c>
      <c r="F29" s="27">
        <f>'10 - 2019'!C34-'10 - 2019'!C33</f>
        <v>6000</v>
      </c>
      <c r="G29" s="25">
        <v>0.11799999999999999</v>
      </c>
      <c r="H29" s="27">
        <f>'10 - 2019'!E34-'10 - 2019'!E33</f>
        <v>33.220000000000255</v>
      </c>
      <c r="I29" s="27">
        <f>'10 - 2019'!F34-'10 - 2019'!F33</f>
        <v>4.1200000000001182</v>
      </c>
      <c r="J29" s="27">
        <f>'10 - 2019'!G34-'10 - 2019'!G33</f>
        <v>31.06000000000131</v>
      </c>
      <c r="K29" s="25">
        <v>0.74</v>
      </c>
      <c r="L29" s="6">
        <v>98</v>
      </c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3635</v>
      </c>
      <c r="F30" s="27">
        <f>'10 - 2019'!C35-'10 - 2019'!C34</f>
        <v>6237</v>
      </c>
      <c r="G30" s="25">
        <v>0.11799999999999999</v>
      </c>
      <c r="H30" s="27">
        <f>'10 - 2019'!E35-'10 - 2019'!E34</f>
        <v>23.760000000000218</v>
      </c>
      <c r="I30" s="27">
        <f>'10 - 2019'!F35-'10 - 2019'!F34</f>
        <v>6.6099999999999</v>
      </c>
      <c r="J30" s="27">
        <f>'10 - 2019'!G35-'10 - 2019'!G34</f>
        <v>36.029999999998836</v>
      </c>
      <c r="K30" s="25">
        <v>0.74</v>
      </c>
      <c r="L30" s="6">
        <v>97</v>
      </c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3279</v>
      </c>
      <c r="F31" s="27">
        <f>'10 - 2019'!C36-'10 - 2019'!C35</f>
        <v>5755</v>
      </c>
      <c r="G31" s="25">
        <v>0.11799999999999999</v>
      </c>
      <c r="H31" s="27">
        <f>'10 - 2019'!E36-'10 - 2019'!E35</f>
        <v>22.949999999999818</v>
      </c>
      <c r="I31" s="27">
        <f>'10 - 2019'!F36-'10 - 2019'!F35</f>
        <v>7.0699999999999363</v>
      </c>
      <c r="J31" s="27">
        <f>'10 - 2019'!G36-'10 - 2019'!G35</f>
        <v>37</v>
      </c>
      <c r="K31" s="25">
        <v>0.74</v>
      </c>
      <c r="L31" s="6">
        <v>89</v>
      </c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3717</v>
      </c>
      <c r="F32" s="27">
        <f>'10 - 2019'!C37-'10 - 2019'!C36</f>
        <v>6396</v>
      </c>
      <c r="G32" s="25">
        <v>0.11799999999999999</v>
      </c>
      <c r="H32" s="27">
        <f>'10 - 2019'!E37-'10 - 2019'!E36</f>
        <v>27.380000000000109</v>
      </c>
      <c r="I32" s="27">
        <f>'10 - 2019'!F37-'10 - 2019'!F36</f>
        <v>5.8300000000001546</v>
      </c>
      <c r="J32" s="27">
        <f>'10 - 2019'!G37-'10 - 2019'!G36</f>
        <v>39.800000000001091</v>
      </c>
      <c r="K32" s="25">
        <v>0.74</v>
      </c>
      <c r="L32" s="27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G29" sqref="G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>
        <v>93493</v>
      </c>
      <c r="C23" s="22">
        <v>798439</v>
      </c>
      <c r="D23" s="17">
        <v>0.79</v>
      </c>
      <c r="E23" s="30">
        <v>6834.34</v>
      </c>
      <c r="F23" s="30">
        <v>1226.19</v>
      </c>
      <c r="G23" s="18">
        <v>12259.32</v>
      </c>
      <c r="H23" s="16">
        <v>14528</v>
      </c>
      <c r="I23" s="16">
        <v>75155</v>
      </c>
      <c r="J23" s="16">
        <v>35814416</v>
      </c>
      <c r="K23" s="19"/>
      <c r="L23" s="35"/>
    </row>
    <row r="24" spans="1:16" ht="12.75" customHeight="1" x14ac:dyDescent="0.25">
      <c r="A24" s="50">
        <v>43756</v>
      </c>
      <c r="B24" s="18">
        <v>97296.7</v>
      </c>
      <c r="C24" s="18">
        <v>805561</v>
      </c>
      <c r="D24" s="29">
        <v>0.72</v>
      </c>
      <c r="E24" s="30">
        <v>6863.76</v>
      </c>
      <c r="F24" s="30">
        <v>1233.78</v>
      </c>
      <c r="G24" s="18">
        <v>12300</v>
      </c>
      <c r="H24" s="16">
        <v>14528</v>
      </c>
      <c r="I24" s="16">
        <v>75268</v>
      </c>
      <c r="J24" s="16">
        <v>35849549</v>
      </c>
      <c r="K24" s="28"/>
      <c r="L24" s="35"/>
    </row>
    <row r="25" spans="1:16" ht="12.75" customHeight="1" x14ac:dyDescent="0.25">
      <c r="A25" s="50">
        <v>43757</v>
      </c>
      <c r="B25" s="16">
        <v>100285</v>
      </c>
      <c r="C25" s="16">
        <v>810970</v>
      </c>
      <c r="D25" s="17">
        <v>0.66</v>
      </c>
      <c r="E25" s="30">
        <v>6885.81</v>
      </c>
      <c r="F25" s="30">
        <v>1240.19</v>
      </c>
      <c r="G25" s="18">
        <v>12333.04</v>
      </c>
      <c r="H25" s="16">
        <v>14528</v>
      </c>
      <c r="I25" s="16">
        <v>75380</v>
      </c>
      <c r="J25" s="16">
        <v>35875028</v>
      </c>
      <c r="K25" s="19"/>
      <c r="L25" s="34"/>
    </row>
    <row r="26" spans="1:16" ht="12.75" customHeight="1" x14ac:dyDescent="0.25">
      <c r="A26" s="50">
        <v>43758</v>
      </c>
      <c r="B26" s="16">
        <v>104094</v>
      </c>
      <c r="C26" s="16">
        <v>818027</v>
      </c>
      <c r="D26" s="17">
        <v>0.6</v>
      </c>
      <c r="E26" s="30">
        <v>6913.02</v>
      </c>
      <c r="F26" s="30">
        <v>1246.18</v>
      </c>
      <c r="G26" s="18">
        <v>12372.64</v>
      </c>
      <c r="H26" s="16">
        <v>14528</v>
      </c>
      <c r="I26" s="16">
        <v>75500</v>
      </c>
      <c r="J26" s="16">
        <v>35905377</v>
      </c>
      <c r="K26" s="19"/>
      <c r="L26" s="34"/>
    </row>
    <row r="27" spans="1:16" ht="12.75" customHeight="1" x14ac:dyDescent="0.25">
      <c r="A27" s="50">
        <v>43759</v>
      </c>
      <c r="B27" s="16">
        <v>107307</v>
      </c>
      <c r="C27" s="16">
        <v>823884</v>
      </c>
      <c r="D27" s="17">
        <v>0.55000000000000004</v>
      </c>
      <c r="E27" s="30">
        <v>6934.22</v>
      </c>
      <c r="F27" s="30">
        <v>1251.3900000000001</v>
      </c>
      <c r="G27" s="18">
        <v>12399.2</v>
      </c>
      <c r="H27" s="16">
        <v>14528</v>
      </c>
      <c r="I27" s="16">
        <v>75591</v>
      </c>
      <c r="J27" s="16">
        <v>35932407</v>
      </c>
      <c r="K27" s="19"/>
      <c r="L27" s="34"/>
    </row>
    <row r="28" spans="1:16" ht="12.75" customHeight="1" x14ac:dyDescent="0.25">
      <c r="A28" s="50">
        <v>43760</v>
      </c>
      <c r="B28" s="16">
        <v>110196</v>
      </c>
      <c r="C28" s="16">
        <v>829132</v>
      </c>
      <c r="D28" s="17">
        <v>0.48</v>
      </c>
      <c r="E28" s="30">
        <v>6959.54</v>
      </c>
      <c r="F28" s="30">
        <v>1258.21</v>
      </c>
      <c r="G28" s="18">
        <v>12433.28</v>
      </c>
      <c r="H28" s="16">
        <v>14528</v>
      </c>
      <c r="I28" s="16">
        <v>75702</v>
      </c>
      <c r="J28" s="16">
        <v>35962212</v>
      </c>
      <c r="K28" s="19"/>
      <c r="L28" s="34"/>
      <c r="P28" s="6"/>
    </row>
    <row r="29" spans="1:16" ht="12.75" customHeight="1" x14ac:dyDescent="0.25">
      <c r="A29" s="50">
        <v>43761</v>
      </c>
      <c r="B29" s="16">
        <v>114372</v>
      </c>
      <c r="C29" s="16">
        <v>836775</v>
      </c>
      <c r="D29" s="17">
        <v>0.75</v>
      </c>
      <c r="E29" s="30">
        <v>6989.18</v>
      </c>
      <c r="F29" s="30">
        <v>1263.92</v>
      </c>
      <c r="G29" s="18">
        <v>12477.41</v>
      </c>
      <c r="H29" s="16">
        <v>14528</v>
      </c>
      <c r="I29" s="16">
        <v>75872</v>
      </c>
      <c r="J29" s="16">
        <v>35996369</v>
      </c>
      <c r="K29" s="19">
        <v>2700</v>
      </c>
      <c r="L29" s="36"/>
      <c r="P29" s="6"/>
    </row>
    <row r="30" spans="1:16" ht="12.75" customHeight="1" x14ac:dyDescent="0.25">
      <c r="A30" s="50">
        <v>43762</v>
      </c>
      <c r="B30" s="16">
        <v>117293</v>
      </c>
      <c r="C30" s="16">
        <v>841964</v>
      </c>
      <c r="D30" s="17">
        <v>0.68</v>
      </c>
      <c r="E30" s="30">
        <v>7010.48</v>
      </c>
      <c r="F30" s="30">
        <v>1268.28</v>
      </c>
      <c r="G30" s="18">
        <v>12507.98</v>
      </c>
      <c r="H30" s="16">
        <v>14528</v>
      </c>
      <c r="I30" s="16">
        <v>75923</v>
      </c>
      <c r="J30" s="16">
        <v>36027654</v>
      </c>
      <c r="K30" s="19"/>
      <c r="L30" s="36"/>
      <c r="P30" s="6"/>
    </row>
    <row r="31" spans="1:16" ht="12.75" customHeight="1" x14ac:dyDescent="0.25">
      <c r="A31" s="50">
        <v>43763</v>
      </c>
      <c r="B31" s="16">
        <v>121291</v>
      </c>
      <c r="C31" s="16">
        <v>849474</v>
      </c>
      <c r="D31" s="17">
        <v>0.6</v>
      </c>
      <c r="E31" s="30">
        <v>7041.28</v>
      </c>
      <c r="F31" s="30">
        <v>1276.73</v>
      </c>
      <c r="G31" s="18">
        <v>12552.19</v>
      </c>
      <c r="H31" s="16">
        <v>14528</v>
      </c>
      <c r="I31" s="16">
        <v>76041</v>
      </c>
      <c r="J31" s="16">
        <v>36056943</v>
      </c>
      <c r="K31" s="19"/>
      <c r="L31" s="34"/>
      <c r="P31" s="6"/>
    </row>
    <row r="32" spans="1:16" ht="12.75" customHeight="1" x14ac:dyDescent="0.25">
      <c r="A32" s="50">
        <v>43764</v>
      </c>
      <c r="B32" s="18">
        <v>124465</v>
      </c>
      <c r="C32" s="21">
        <v>854910</v>
      </c>
      <c r="D32" s="29">
        <v>0.53</v>
      </c>
      <c r="E32" s="30">
        <v>7064.73</v>
      </c>
      <c r="F32" s="30">
        <v>1282.6099999999999</v>
      </c>
      <c r="G32" s="18">
        <v>12591.72</v>
      </c>
      <c r="H32" s="16">
        <v>14528</v>
      </c>
      <c r="I32" s="18">
        <v>76160</v>
      </c>
      <c r="J32" s="18">
        <v>36085457</v>
      </c>
      <c r="K32" s="19"/>
      <c r="L32" s="34"/>
      <c r="P32" s="6"/>
    </row>
    <row r="33" spans="1:12" ht="12.75" customHeight="1" x14ac:dyDescent="0.25">
      <c r="A33" s="50">
        <v>43765</v>
      </c>
      <c r="B33" s="16">
        <v>128102</v>
      </c>
      <c r="C33" s="21">
        <v>861350</v>
      </c>
      <c r="D33" s="17">
        <v>0.47</v>
      </c>
      <c r="E33" s="30">
        <v>7079.98</v>
      </c>
      <c r="F33" s="30">
        <v>1288.26</v>
      </c>
      <c r="G33" s="18">
        <v>12622.21</v>
      </c>
      <c r="H33" s="18">
        <v>14528</v>
      </c>
      <c r="I33" s="16">
        <v>76267</v>
      </c>
      <c r="J33" s="16">
        <v>36112298</v>
      </c>
      <c r="K33" s="19"/>
      <c r="L33" s="34"/>
    </row>
    <row r="34" spans="1:12" ht="12.75" customHeight="1" x14ac:dyDescent="0.25">
      <c r="A34" s="50">
        <v>43766</v>
      </c>
      <c r="B34" s="16">
        <v>131509</v>
      </c>
      <c r="C34" s="21">
        <v>867350</v>
      </c>
      <c r="D34" s="17">
        <v>0.43</v>
      </c>
      <c r="E34" s="30">
        <v>7113.2</v>
      </c>
      <c r="F34" s="30">
        <v>1292.3800000000001</v>
      </c>
      <c r="G34" s="18">
        <v>12653.27</v>
      </c>
      <c r="H34" s="18">
        <v>14528</v>
      </c>
      <c r="I34" s="16">
        <v>76349</v>
      </c>
      <c r="J34" s="16">
        <v>36129829</v>
      </c>
      <c r="K34" s="19"/>
      <c r="L34" s="34"/>
    </row>
    <row r="35" spans="1:12" ht="12.75" customHeight="1" x14ac:dyDescent="0.25">
      <c r="A35" s="50">
        <v>43767</v>
      </c>
      <c r="B35" s="16">
        <v>135144</v>
      </c>
      <c r="C35" s="16">
        <v>873587</v>
      </c>
      <c r="D35" s="17">
        <v>0.38</v>
      </c>
      <c r="E35" s="30">
        <v>7136.96</v>
      </c>
      <c r="F35" s="30">
        <v>1298.99</v>
      </c>
      <c r="G35" s="18">
        <v>12689.3</v>
      </c>
      <c r="H35" s="16">
        <v>14528</v>
      </c>
      <c r="I35" s="16">
        <v>76462</v>
      </c>
      <c r="J35" s="16">
        <v>36154986</v>
      </c>
      <c r="K35" s="19"/>
      <c r="L35" s="34"/>
    </row>
    <row r="36" spans="1:12" ht="12.75" customHeight="1" x14ac:dyDescent="0.25">
      <c r="A36" s="50">
        <v>43768</v>
      </c>
      <c r="B36" s="16">
        <v>138423</v>
      </c>
      <c r="C36" s="16">
        <v>879342</v>
      </c>
      <c r="D36" s="17">
        <v>0.85</v>
      </c>
      <c r="E36" s="30">
        <v>7159.91</v>
      </c>
      <c r="F36" s="30">
        <v>1306.06</v>
      </c>
      <c r="G36" s="18">
        <v>12726.3</v>
      </c>
      <c r="H36" s="16">
        <v>14528</v>
      </c>
      <c r="I36" s="16">
        <v>76579</v>
      </c>
      <c r="J36" s="16">
        <v>36177445</v>
      </c>
      <c r="K36" s="19">
        <v>4000</v>
      </c>
      <c r="L36" s="34"/>
    </row>
    <row r="37" spans="1:12" x14ac:dyDescent="0.25">
      <c r="A37" s="50">
        <v>43769</v>
      </c>
      <c r="B37" s="16">
        <v>142140</v>
      </c>
      <c r="C37" s="16">
        <v>885738</v>
      </c>
      <c r="D37" s="17">
        <v>0.8</v>
      </c>
      <c r="E37" s="30">
        <v>7187.29</v>
      </c>
      <c r="F37" s="30">
        <v>1311.89</v>
      </c>
      <c r="G37" s="18">
        <v>12766.1</v>
      </c>
      <c r="H37" s="16">
        <v>14528</v>
      </c>
      <c r="I37" s="16">
        <v>76693</v>
      </c>
      <c r="J37" s="16">
        <v>36204001</v>
      </c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2019-10-31T05:03:48Z</dcterms:modified>
</cp:coreProperties>
</file>