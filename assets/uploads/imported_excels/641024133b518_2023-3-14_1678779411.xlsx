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506B224F-0A72-4034-875A-283FE6C038B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L5" i="4"/>
  <c r="N5" i="4" s="1"/>
  <c r="L6" i="4"/>
  <c r="N6" i="4" s="1"/>
  <c r="L7" i="4"/>
  <c r="L8" i="4"/>
  <c r="L9" i="4"/>
  <c r="L10" i="4"/>
  <c r="L11" i="4"/>
  <c r="N11" i="4" s="1"/>
  <c r="L12" i="4"/>
  <c r="N12" i="4" s="1"/>
  <c r="L13" i="4"/>
  <c r="L14" i="4"/>
  <c r="L15" i="4"/>
  <c r="L16" i="4"/>
  <c r="L17" i="4"/>
  <c r="N17" i="4" s="1"/>
  <c r="L18" i="4"/>
  <c r="N18" i="4" s="1"/>
  <c r="L19" i="4"/>
  <c r="L20" i="4"/>
  <c r="L21" i="4"/>
  <c r="L22" i="4"/>
  <c r="L23" i="4"/>
  <c r="N23" i="4" s="1"/>
  <c r="L24" i="4"/>
  <c r="N24" i="4" s="1"/>
  <c r="L25" i="4"/>
  <c r="L26" i="4"/>
  <c r="L27" i="4"/>
  <c r="L28" i="4"/>
  <c r="L29" i="4"/>
  <c r="N29" i="4" s="1"/>
  <c r="L30" i="4"/>
  <c r="N30" i="4" s="1"/>
  <c r="L31" i="4"/>
  <c r="L2" i="4"/>
  <c r="N2" i="4" s="1"/>
  <c r="O2" i="4"/>
  <c r="N3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N4" i="4"/>
  <c r="N7" i="4"/>
  <c r="N8" i="4"/>
  <c r="N9" i="4"/>
  <c r="N10" i="4"/>
  <c r="N13" i="4"/>
  <c r="N14" i="4"/>
  <c r="N15" i="4"/>
  <c r="N16" i="4"/>
  <c r="N19" i="4"/>
  <c r="N20" i="4"/>
  <c r="N21" i="4"/>
  <c r="N22" i="4"/>
  <c r="N25" i="4"/>
  <c r="N26" i="4"/>
  <c r="N27" i="4"/>
  <c r="N28" i="4"/>
  <c r="N31" i="4"/>
  <c r="F35" i="2" l="1"/>
  <c r="E35" i="2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E36" i="1" l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F36" i="1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39" i="2"/>
  <c r="G45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<sst xmlns="http://schemas.openxmlformats.org/spreadsheetml/2006/main" count="115" uniqueCount="45">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</sst>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1" fillId="0" borderId="5" xfId="1" applyFont="1" applyBorder="1" applyAlignment="1">
      <alignment horizontal="center" vertical="center"/>
    </xf>
    <xf numFmtId="37" fontId="0" fillId="0" borderId="4" xfId="1" applyNumberFormat="1" applyFont="1" applyBorder="1" applyAlignment="1">
      <alignment horizontal="center"/>
    </xf>
    <xf numFmtId="37" fontId="0" fillId="0" borderId="5" xfId="1" applyNumberFormat="1" applyFont="1" applyBorder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B1" workbookViewId="0">
      <selection activeCell="F15" sqref="F15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6</v>
      </c>
      <c r="D2" s="45">
        <f>Water!D5</f>
        <v>2020</v>
      </c>
      <c r="E2" s="43">
        <f>Electricity!G6</f>
        <v>29376.000000001113</v>
      </c>
      <c r="F2" s="43">
        <f>Electricity!E6</f>
        <v>5279.9999999997453</v>
      </c>
      <c r="G2" s="43">
        <f>Electricity!F6</f>
        <v>24096.000000001368</v>
      </c>
      <c r="H2" s="47">
        <v>1553.67</v>
      </c>
      <c r="I2" s="57" t="s">
        <v>28</v>
      </c>
      <c r="J2" s="106">
        <f>Electricity!L6</f>
        <v>33957409.259521045</v>
      </c>
      <c r="K2" s="43">
        <f>J2/E2</f>
        <v>1155.957559215678</v>
      </c>
      <c r="L2" s="58">
        <f>Water!G5</f>
        <v>284</v>
      </c>
      <c r="M2" s="58">
        <v>12550</v>
      </c>
      <c r="N2" s="106">
        <f>TOTAL!L2*TOTAL!M2</f>
        <v>3564200</v>
      </c>
      <c r="O2" s="43">
        <f>Electricity!C6</f>
        <v>164</v>
      </c>
    </row>
    <row r="3" spans="1:15" x14ac:dyDescent="0.25">
      <c r="A3" s="48" t="s">
        <v>44</v>
      </c>
      <c r="B3" s="45">
        <v>2</v>
      </c>
      <c r="C3" s="45">
        <v>6</v>
      </c>
      <c r="D3" s="45">
        <f>D2</f>
        <v>2020</v>
      </c>
      <c r="E3" s="43">
        <f>Electricity!G7</f>
        <v>23824.000000000524</v>
      </c>
      <c r="F3" s="43">
        <f>Electricity!E7</f>
        <v>1520.0000000004366</v>
      </c>
      <c r="G3" s="43">
        <f>Electricity!F7</f>
        <v>22304.000000000087</v>
      </c>
      <c r="H3" s="47">
        <v>1553.67</v>
      </c>
      <c r="I3" s="57" t="s">
        <v>28</v>
      </c>
      <c r="J3" s="106">
        <f>Electricity!L7</f>
        <v>26074742.292480789</v>
      </c>
      <c r="K3" s="43">
        <f t="shared" ref="K3:K31" si="0">J3/E3</f>
        <v>1094.4737362525275</v>
      </c>
      <c r="L3" s="58">
        <f>Water!G6</f>
        <v>294</v>
      </c>
      <c r="M3" s="58">
        <v>12550</v>
      </c>
      <c r="N3" s="106">
        <f>TOTAL!L3*TOTAL!M3</f>
        <v>3689700</v>
      </c>
      <c r="O3" s="43">
        <f>O2</f>
        <v>164</v>
      </c>
    </row>
    <row r="4" spans="1:15" x14ac:dyDescent="0.25">
      <c r="A4" s="48" t="s">
        <v>44</v>
      </c>
      <c r="B4" s="45">
        <v>3</v>
      </c>
      <c r="C4" s="45">
        <v>6</v>
      </c>
      <c r="D4" s="45">
        <f t="shared" ref="D4:D31" si="1">D3</f>
        <v>2020</v>
      </c>
      <c r="E4" s="43">
        <f>Electricity!G8</f>
        <v>32919.999999999163</v>
      </c>
      <c r="F4" s="43">
        <f>Electricity!E8</f>
        <v>9439.9999999995998</v>
      </c>
      <c r="G4" s="43">
        <f>Electricity!F8</f>
        <v>23479.999999999563</v>
      </c>
      <c r="H4" s="47">
        <v>1553.67</v>
      </c>
      <c r="I4" s="57" t="s">
        <v>28</v>
      </c>
      <c r="J4" s="106">
        <f>Electricity!L8</f>
        <v>39922441.420798905</v>
      </c>
      <c r="K4" s="43">
        <f t="shared" si="0"/>
        <v>1212.7108572539466</v>
      </c>
      <c r="L4" s="58">
        <f>Water!G7</f>
        <v>319</v>
      </c>
      <c r="M4" s="58">
        <v>12550</v>
      </c>
      <c r="N4" s="106">
        <f>TOTAL!L4*TOTAL!M4</f>
        <v>4003450</v>
      </c>
      <c r="O4" s="43">
        <f t="shared" ref="N4:O31" si="2">O3</f>
        <v>164</v>
      </c>
    </row>
    <row r="5" spans="1:15" x14ac:dyDescent="0.25">
      <c r="A5" s="48" t="s">
        <v>44</v>
      </c>
      <c r="B5" s="45">
        <v>4</v>
      </c>
      <c r="C5" s="45">
        <v>6</v>
      </c>
      <c r="D5" s="45">
        <f t="shared" si="1"/>
        <v>2020</v>
      </c>
      <c r="E5" s="43">
        <f>Electricity!G9</f>
        <v>26720.000000000255</v>
      </c>
      <c r="F5" s="43">
        <f>Electricity!E9</f>
        <v>3720.0000000002547</v>
      </c>
      <c r="G5" s="43">
        <f>Electricity!F9</f>
        <v>23000</v>
      </c>
      <c r="H5" s="47">
        <v>1553.67</v>
      </c>
      <c r="I5" s="57" t="s">
        <v>28</v>
      </c>
      <c r="J5" s="106">
        <f>Electricity!L9</f>
        <v>30313054.617600404</v>
      </c>
      <c r="K5" s="43">
        <f t="shared" si="0"/>
        <v>1134.4706069461122</v>
      </c>
      <c r="L5" s="58">
        <f>Water!G8</f>
        <v>318</v>
      </c>
      <c r="M5" s="58">
        <v>12550</v>
      </c>
      <c r="N5" s="106">
        <f>TOTAL!L5*TOTAL!M5</f>
        <v>3990900</v>
      </c>
      <c r="O5" s="43">
        <f t="shared" si="2"/>
        <v>164</v>
      </c>
    </row>
    <row r="6" spans="1:15" x14ac:dyDescent="0.25">
      <c r="A6" s="48" t="s">
        <v>44</v>
      </c>
      <c r="B6" s="45">
        <v>5</v>
      </c>
      <c r="C6" s="45">
        <v>6</v>
      </c>
      <c r="D6" s="45">
        <f t="shared" si="1"/>
        <v>2020</v>
      </c>
      <c r="E6" s="43">
        <f>Electricity!G10</f>
        <v>29840.000000001965</v>
      </c>
      <c r="F6" s="43">
        <f>Electricity!E10</f>
        <v>6920.0000000000728</v>
      </c>
      <c r="G6" s="43">
        <f>Electricity!F10</f>
        <v>22920.000000001892</v>
      </c>
      <c r="H6" s="47">
        <v>1553.67</v>
      </c>
      <c r="I6" s="57" t="s">
        <v>28</v>
      </c>
      <c r="J6" s="106">
        <f>Electricity!L10</f>
        <v>35319269.376002118</v>
      </c>
      <c r="K6" s="43">
        <f t="shared" si="0"/>
        <v>1183.6216278820307</v>
      </c>
      <c r="L6" s="58">
        <f>Water!G9</f>
        <v>500</v>
      </c>
      <c r="M6" s="58">
        <v>12550</v>
      </c>
      <c r="N6" s="106">
        <f>TOTAL!L6*TOTAL!M6</f>
        <v>6275000</v>
      </c>
      <c r="O6" s="43">
        <f t="shared" si="2"/>
        <v>164</v>
      </c>
    </row>
    <row r="7" spans="1:15" x14ac:dyDescent="0.25">
      <c r="A7" s="48" t="s">
        <v>44</v>
      </c>
      <c r="B7" s="45">
        <v>6</v>
      </c>
      <c r="C7" s="45">
        <v>6</v>
      </c>
      <c r="D7" s="45">
        <f t="shared" si="1"/>
        <v>2020</v>
      </c>
      <c r="E7" s="43">
        <f>Electricity!G11</f>
        <v>28799.999999997453</v>
      </c>
      <c r="F7" s="43">
        <f>Electricity!E11</f>
        <v>5239.9999999997817</v>
      </c>
      <c r="G7" s="43">
        <f>Electricity!F11</f>
        <v>23559.999999997672</v>
      </c>
      <c r="H7" s="47">
        <v>1553.67</v>
      </c>
      <c r="I7" s="57" t="s">
        <v>28</v>
      </c>
      <c r="J7" s="106">
        <f>Electricity!L11</f>
        <v>33325268.582397182</v>
      </c>
      <c r="K7" s="43">
        <f t="shared" si="0"/>
        <v>1157.1273813333378</v>
      </c>
      <c r="L7" s="58">
        <f>Water!G10</f>
        <v>346</v>
      </c>
      <c r="M7" s="58">
        <v>12550</v>
      </c>
      <c r="N7" s="106">
        <f>TOTAL!L7*TOTAL!M7</f>
        <v>4342300</v>
      </c>
      <c r="O7" s="43">
        <f t="shared" si="2"/>
        <v>164</v>
      </c>
    </row>
    <row r="8" spans="1:15" x14ac:dyDescent="0.25">
      <c r="A8" s="48" t="s">
        <v>44</v>
      </c>
      <c r="B8" s="45">
        <v>7</v>
      </c>
      <c r="C8" s="45">
        <v>6</v>
      </c>
      <c r="D8" s="45">
        <f t="shared" si="1"/>
        <v>2020</v>
      </c>
      <c r="E8" s="43">
        <f>Electricity!G12</f>
        <v>28040.000000001783</v>
      </c>
      <c r="F8" s="43">
        <f>Electricity!E12</f>
        <v>5320.0000000006185</v>
      </c>
      <c r="G8" s="43">
        <f>Electricity!F12</f>
        <v>22720.000000001164</v>
      </c>
      <c r="H8" s="47">
        <v>1553.67</v>
      </c>
      <c r="I8" s="57" t="s">
        <v>28</v>
      </c>
      <c r="J8" s="106">
        <f>Electricity!L12</f>
        <v>32561608.704002216</v>
      </c>
      <c r="K8" s="43">
        <f t="shared" si="0"/>
        <v>1161.2556599144132</v>
      </c>
      <c r="L8" s="58">
        <f>Water!G11</f>
        <v>300</v>
      </c>
      <c r="M8" s="58">
        <v>12550</v>
      </c>
      <c r="N8" s="106">
        <f>TOTAL!L8*TOTAL!M8</f>
        <v>3765000</v>
      </c>
      <c r="O8" s="43">
        <f t="shared" si="2"/>
        <v>164</v>
      </c>
    </row>
    <row r="9" spans="1:15" x14ac:dyDescent="0.25">
      <c r="A9" s="48" t="s">
        <v>44</v>
      </c>
      <c r="B9" s="45">
        <v>8</v>
      </c>
      <c r="C9" s="45">
        <v>6</v>
      </c>
      <c r="D9" s="45">
        <f t="shared" si="1"/>
        <v>2020</v>
      </c>
      <c r="E9" s="43">
        <f>Electricity!G13</f>
        <v>27680.000000001201</v>
      </c>
      <c r="F9" s="43">
        <f>Electricity!E13</f>
        <v>5439.9999999995998</v>
      </c>
      <c r="G9" s="43">
        <f>Electricity!F13</f>
        <v>22240.000000001601</v>
      </c>
      <c r="H9" s="47">
        <v>1553.67</v>
      </c>
      <c r="I9" s="57" t="s">
        <v>28</v>
      </c>
      <c r="J9" s="106">
        <f>Electricity!L13</f>
        <v>32243417.088001061</v>
      </c>
      <c r="K9" s="43">
        <f t="shared" si="0"/>
        <v>1164.863334104034</v>
      </c>
      <c r="L9" s="58">
        <f>Water!G12</f>
        <v>273</v>
      </c>
      <c r="M9" s="58">
        <v>12550</v>
      </c>
      <c r="N9" s="106">
        <f>TOTAL!L9*TOTAL!M9</f>
        <v>3426150</v>
      </c>
      <c r="O9" s="43">
        <f t="shared" si="2"/>
        <v>164</v>
      </c>
    </row>
    <row r="10" spans="1:15" x14ac:dyDescent="0.25">
      <c r="A10" s="48" t="s">
        <v>44</v>
      </c>
      <c r="B10" s="45">
        <v>9</v>
      </c>
      <c r="C10" s="45">
        <v>6</v>
      </c>
      <c r="D10" s="45">
        <f t="shared" si="1"/>
        <v>2020</v>
      </c>
      <c r="E10" s="43">
        <f>Electricity!G14</f>
        <v>28759.99999999749</v>
      </c>
      <c r="F10" s="43">
        <f>Electricity!E14</f>
        <v>5359.9999999996726</v>
      </c>
      <c r="G10" s="43">
        <f>Electricity!F14</f>
        <v>23399.999999997817</v>
      </c>
      <c r="H10" s="47">
        <v>1553.67</v>
      </c>
      <c r="I10" s="57" t="s">
        <v>28</v>
      </c>
      <c r="J10" s="106">
        <f>Electricity!L14</f>
        <v>33346481.356797166</v>
      </c>
      <c r="K10" s="43">
        <f t="shared" si="0"/>
        <v>1159.4743169958301</v>
      </c>
      <c r="L10" s="58">
        <f>Water!G13</f>
        <v>372</v>
      </c>
      <c r="M10" s="58">
        <v>12550</v>
      </c>
      <c r="N10" s="106">
        <f>TOTAL!L10*TOTAL!M10</f>
        <v>4668600</v>
      </c>
      <c r="O10" s="43">
        <f t="shared" si="2"/>
        <v>164</v>
      </c>
    </row>
    <row r="11" spans="1:15" x14ac:dyDescent="0.25">
      <c r="A11" s="48" t="s">
        <v>44</v>
      </c>
      <c r="B11" s="45">
        <v>10</v>
      </c>
      <c r="C11" s="45">
        <v>6</v>
      </c>
      <c r="D11" s="45">
        <f t="shared" si="1"/>
        <v>2020</v>
      </c>
      <c r="E11" s="43">
        <f>Electricity!G15</f>
        <v>27440.000000002328</v>
      </c>
      <c r="F11" s="43">
        <f>Electricity!E15</f>
        <v>5200.0000000007276</v>
      </c>
      <c r="G11" s="43">
        <f>Electricity!F15</f>
        <v>22240.000000001601</v>
      </c>
      <c r="H11" s="47">
        <v>1553.67</v>
      </c>
      <c r="I11" s="57" t="s">
        <v>28</v>
      </c>
      <c r="J11" s="106">
        <f>Electricity!L15</f>
        <v>31861587.148802858</v>
      </c>
      <c r="K11" s="43">
        <f t="shared" si="0"/>
        <v>1161.1365579008802</v>
      </c>
      <c r="L11" s="58">
        <f>Water!G14</f>
        <v>489</v>
      </c>
      <c r="M11" s="58">
        <v>12550</v>
      </c>
      <c r="N11" s="106">
        <f>TOTAL!L11*TOTAL!M11</f>
        <v>6136950</v>
      </c>
      <c r="O11" s="43">
        <f t="shared" si="2"/>
        <v>164</v>
      </c>
    </row>
    <row r="12" spans="1:15" x14ac:dyDescent="0.25">
      <c r="A12" s="48" t="s">
        <v>44</v>
      </c>
      <c r="B12" s="45">
        <v>11</v>
      </c>
      <c r="C12" s="45">
        <v>6</v>
      </c>
      <c r="D12" s="45">
        <f t="shared" si="1"/>
        <v>2020</v>
      </c>
      <c r="E12" s="43">
        <f>Electricity!G16</f>
        <v>28239.999999998872</v>
      </c>
      <c r="F12" s="43">
        <f>Electricity!E16</f>
        <v>5439.9999999995998</v>
      </c>
      <c r="G12" s="43">
        <f>Electricity!F16</f>
        <v>22799.999999999272</v>
      </c>
      <c r="H12" s="47">
        <v>1553.67</v>
      </c>
      <c r="I12" s="57" t="s">
        <v>28</v>
      </c>
      <c r="J12" s="106">
        <f>Electricity!L16</f>
        <v>32837374.771198593</v>
      </c>
      <c r="K12" s="43">
        <f t="shared" si="0"/>
        <v>1162.7965570538211</v>
      </c>
      <c r="L12" s="58">
        <f>Water!G15</f>
        <v>346</v>
      </c>
      <c r="M12" s="58">
        <v>12550</v>
      </c>
      <c r="N12" s="106">
        <f>TOTAL!L12*TOTAL!M12</f>
        <v>4342300</v>
      </c>
      <c r="O12" s="43">
        <f t="shared" si="2"/>
        <v>164</v>
      </c>
    </row>
    <row r="13" spans="1:15" x14ac:dyDescent="0.25">
      <c r="A13" s="48" t="s">
        <v>44</v>
      </c>
      <c r="B13" s="45">
        <v>12</v>
      </c>
      <c r="C13" s="45">
        <v>6</v>
      </c>
      <c r="D13" s="45">
        <f t="shared" si="1"/>
        <v>2020</v>
      </c>
      <c r="E13" s="43">
        <f>Electricity!G17</f>
        <v>31079.999999999927</v>
      </c>
      <c r="F13" s="43">
        <f>Electricity!E17</f>
        <v>5440.0000000005093</v>
      </c>
      <c r="G13" s="43">
        <f>Electricity!F17</f>
        <v>25639.999999999418</v>
      </c>
      <c r="H13" s="47">
        <v>1553.67</v>
      </c>
      <c r="I13" s="57" t="s">
        <v>28</v>
      </c>
      <c r="J13" s="106">
        <f>Electricity!L17</f>
        <v>35849588.736000188</v>
      </c>
      <c r="K13" s="43">
        <f t="shared" si="0"/>
        <v>1153.4616710424798</v>
      </c>
      <c r="L13" s="58">
        <f>Water!G16</f>
        <v>295</v>
      </c>
      <c r="M13" s="58">
        <v>12550</v>
      </c>
      <c r="N13" s="106">
        <f>TOTAL!L13*TOTAL!M13</f>
        <v>3702250</v>
      </c>
      <c r="O13" s="43">
        <f t="shared" si="2"/>
        <v>164</v>
      </c>
    </row>
    <row r="14" spans="1:15" x14ac:dyDescent="0.25">
      <c r="A14" s="48" t="s">
        <v>44</v>
      </c>
      <c r="B14" s="45">
        <v>13</v>
      </c>
      <c r="C14" s="45">
        <v>6</v>
      </c>
      <c r="D14" s="45">
        <f t="shared" si="1"/>
        <v>2020</v>
      </c>
      <c r="E14" s="43">
        <f>Electricity!G18</f>
        <v>26280.000000001564</v>
      </c>
      <c r="F14" s="43">
        <f>Electricity!E18</f>
        <v>5199.9999999998181</v>
      </c>
      <c r="G14" s="43">
        <f>Electricity!F18</f>
        <v>21080.000000001746</v>
      </c>
      <c r="H14" s="47">
        <v>1553.67</v>
      </c>
      <c r="I14" s="57" t="s">
        <v>28</v>
      </c>
      <c r="J14" s="106">
        <f>Electricity!L18</f>
        <v>30631246.233601563</v>
      </c>
      <c r="K14" s="43">
        <f t="shared" si="0"/>
        <v>1165.5725355251043</v>
      </c>
      <c r="L14" s="58">
        <f>Water!G17</f>
        <v>299</v>
      </c>
      <c r="M14" s="58">
        <v>12550</v>
      </c>
      <c r="N14" s="106">
        <f>TOTAL!L14*TOTAL!M14</f>
        <v>3752450</v>
      </c>
      <c r="O14" s="43">
        <f t="shared" si="2"/>
        <v>164</v>
      </c>
    </row>
    <row r="15" spans="1:15" x14ac:dyDescent="0.25">
      <c r="A15" s="48" t="s">
        <v>44</v>
      </c>
      <c r="B15" s="45">
        <v>14</v>
      </c>
      <c r="C15" s="45">
        <v>6</v>
      </c>
      <c r="D15" s="45">
        <f t="shared" si="1"/>
        <v>2020</v>
      </c>
      <c r="E15" s="43">
        <f>Electricity!G19</f>
        <v>28279.999999998836</v>
      </c>
      <c r="F15" s="43">
        <f>Electricity!E19</f>
        <v>5159.9999999998545</v>
      </c>
      <c r="G15" s="43">
        <f>Electricity!F19</f>
        <v>23119.999999998981</v>
      </c>
      <c r="H15" s="47">
        <v>1553.67</v>
      </c>
      <c r="I15" s="57" t="s">
        <v>28</v>
      </c>
      <c r="J15" s="106">
        <f>Electricity!L19</f>
        <v>32731310.899198685</v>
      </c>
      <c r="K15" s="43">
        <f t="shared" si="0"/>
        <v>1157.4013755021228</v>
      </c>
      <c r="L15" s="58">
        <f>Water!G18</f>
        <v>327</v>
      </c>
      <c r="M15" s="58">
        <v>12550</v>
      </c>
      <c r="N15" s="106">
        <f>TOTAL!L15*TOTAL!M15</f>
        <v>4103850</v>
      </c>
      <c r="O15" s="43">
        <f t="shared" si="2"/>
        <v>164</v>
      </c>
    </row>
    <row r="16" spans="1:15" x14ac:dyDescent="0.25">
      <c r="A16" s="48" t="s">
        <v>44</v>
      </c>
      <c r="B16" s="45">
        <v>15</v>
      </c>
      <c r="C16" s="45">
        <v>6</v>
      </c>
      <c r="D16" s="45">
        <f t="shared" si="1"/>
        <v>2020</v>
      </c>
      <c r="E16" s="43">
        <f>Electricity!G20</f>
        <v>28639.999999999418</v>
      </c>
      <c r="F16" s="43">
        <f>Electricity!E20</f>
        <v>5479.9999999995634</v>
      </c>
      <c r="G16" s="43">
        <f>Electricity!F20</f>
        <v>23159.999999999854</v>
      </c>
      <c r="H16" s="47">
        <v>1553.67</v>
      </c>
      <c r="I16" s="57" t="s">
        <v>28</v>
      </c>
      <c r="J16" s="106">
        <f>Electricity!L20</f>
        <v>33282843.033599153</v>
      </c>
      <c r="K16" s="43">
        <f t="shared" si="0"/>
        <v>1162.1104411173126</v>
      </c>
      <c r="L16" s="58">
        <f>Water!G19</f>
        <v>453</v>
      </c>
      <c r="M16" s="58">
        <v>12550</v>
      </c>
      <c r="N16" s="106">
        <f>TOTAL!L16*TOTAL!M16</f>
        <v>5685150</v>
      </c>
      <c r="O16" s="43">
        <f t="shared" si="2"/>
        <v>164</v>
      </c>
    </row>
    <row r="17" spans="1:15" x14ac:dyDescent="0.25">
      <c r="A17" s="48" t="s">
        <v>44</v>
      </c>
      <c r="B17" s="45">
        <v>16</v>
      </c>
      <c r="C17" s="45">
        <v>6</v>
      </c>
      <c r="D17" s="45">
        <f t="shared" si="1"/>
        <v>2020</v>
      </c>
      <c r="E17" s="43">
        <f>Electricity!G21</f>
        <v>28120.00000000171</v>
      </c>
      <c r="F17" s="43">
        <f>Electricity!E21</f>
        <v>5400.0000000005457</v>
      </c>
      <c r="G17" s="43">
        <f>Electricity!F21</f>
        <v>22720.000000001164</v>
      </c>
      <c r="H17" s="47">
        <v>1553.67</v>
      </c>
      <c r="I17" s="57" t="s">
        <v>28</v>
      </c>
      <c r="J17" s="106">
        <f>Electricity!L21</f>
        <v>32688885.350402098</v>
      </c>
      <c r="K17" s="43">
        <f t="shared" si="0"/>
        <v>1162.4781419061205</v>
      </c>
      <c r="L17" s="58">
        <f>Water!G20</f>
        <v>323</v>
      </c>
      <c r="M17" s="58">
        <v>12550</v>
      </c>
      <c r="N17" s="106">
        <f>TOTAL!L17*TOTAL!M17</f>
        <v>4053650</v>
      </c>
      <c r="O17" s="43">
        <f t="shared" si="2"/>
        <v>164</v>
      </c>
    </row>
    <row r="18" spans="1:15" x14ac:dyDescent="0.25">
      <c r="A18" s="48" t="s">
        <v>44</v>
      </c>
      <c r="B18" s="45">
        <v>17</v>
      </c>
      <c r="C18" s="45">
        <v>6</v>
      </c>
      <c r="D18" s="45">
        <f t="shared" si="1"/>
        <v>2020</v>
      </c>
      <c r="E18" s="43">
        <f>Electricity!G22</f>
        <v>27999.999999999091</v>
      </c>
      <c r="F18" s="43">
        <f>Electricity!E22</f>
        <v>5359.9999999996726</v>
      </c>
      <c r="G18" s="43">
        <f>Electricity!F22</f>
        <v>22639.999999999418</v>
      </c>
      <c r="H18" s="47">
        <v>1553.67</v>
      </c>
      <c r="I18" s="57" t="s">
        <v>28</v>
      </c>
      <c r="J18" s="106">
        <f>Electricity!L22</f>
        <v>32540395.92959886</v>
      </c>
      <c r="K18" s="43">
        <f t="shared" si="0"/>
        <v>1162.1569974857114</v>
      </c>
      <c r="L18" s="58">
        <f>Water!G21</f>
        <v>296</v>
      </c>
      <c r="M18" s="58">
        <v>12550</v>
      </c>
      <c r="N18" s="106">
        <f>TOTAL!L18*TOTAL!M18</f>
        <v>3714800</v>
      </c>
      <c r="O18" s="43">
        <f t="shared" si="2"/>
        <v>164</v>
      </c>
    </row>
    <row r="19" spans="1:15" x14ac:dyDescent="0.25">
      <c r="A19" s="48" t="s">
        <v>44</v>
      </c>
      <c r="B19" s="45">
        <v>18</v>
      </c>
      <c r="C19" s="45">
        <v>6</v>
      </c>
      <c r="D19" s="45">
        <f t="shared" si="1"/>
        <v>2020</v>
      </c>
      <c r="E19" s="43">
        <f>Electricity!G23</f>
        <v>28799.999999998363</v>
      </c>
      <c r="F19" s="43">
        <f>Electricity!E23</f>
        <v>5400.0000000005457</v>
      </c>
      <c r="G19" s="43">
        <f>Electricity!F23</f>
        <v>23399.999999997817</v>
      </c>
      <c r="H19" s="47">
        <v>1553.67</v>
      </c>
      <c r="I19" s="57" t="s">
        <v>28</v>
      </c>
      <c r="J19" s="106">
        <f>Electricity!L23</f>
        <v>33410119.679998551</v>
      </c>
      <c r="K19" s="43">
        <f t="shared" si="0"/>
        <v>1160.0736000000156</v>
      </c>
      <c r="L19" s="58">
        <f>Water!G22</f>
        <v>304</v>
      </c>
      <c r="M19" s="58">
        <v>12550</v>
      </c>
      <c r="N19" s="106">
        <f>TOTAL!L19*TOTAL!M19</f>
        <v>3815200</v>
      </c>
      <c r="O19" s="43">
        <f t="shared" si="2"/>
        <v>164</v>
      </c>
    </row>
    <row r="20" spans="1:15" x14ac:dyDescent="0.25">
      <c r="A20" s="48" t="s">
        <v>44</v>
      </c>
      <c r="B20" s="45">
        <v>19</v>
      </c>
      <c r="C20" s="45">
        <v>6</v>
      </c>
      <c r="D20" s="45">
        <f t="shared" si="1"/>
        <v>2020</v>
      </c>
      <c r="E20" s="43">
        <f>Electricity!G24</f>
        <v>28880.000000000109</v>
      </c>
      <c r="F20" s="43">
        <f>Electricity!E24</f>
        <v>5359.9999999996726</v>
      </c>
      <c r="G20" s="43">
        <f>Electricity!F24</f>
        <v>23520.000000000437</v>
      </c>
      <c r="H20" s="47">
        <v>1553.67</v>
      </c>
      <c r="I20" s="57" t="s">
        <v>28</v>
      </c>
      <c r="J20" s="106">
        <f>Electricity!L24</f>
        <v>33473758.003199942</v>
      </c>
      <c r="K20" s="43">
        <f t="shared" si="0"/>
        <v>1159.0636427700767</v>
      </c>
      <c r="L20" s="58">
        <f>Water!G23</f>
        <v>412</v>
      </c>
      <c r="M20" s="58">
        <v>12550</v>
      </c>
      <c r="N20" s="106">
        <f>TOTAL!L20*TOTAL!M20</f>
        <v>5170600</v>
      </c>
      <c r="O20" s="43">
        <f t="shared" si="2"/>
        <v>164</v>
      </c>
    </row>
    <row r="21" spans="1:15" x14ac:dyDescent="0.25">
      <c r="A21" s="48" t="s">
        <v>44</v>
      </c>
      <c r="B21" s="45">
        <v>20</v>
      </c>
      <c r="C21" s="45">
        <v>6</v>
      </c>
      <c r="D21" s="45">
        <f t="shared" si="1"/>
        <v>2020</v>
      </c>
      <c r="E21" s="43">
        <f>Electricity!G25</f>
        <v>26679.999999999382</v>
      </c>
      <c r="F21" s="43">
        <f>Electricity!E25</f>
        <v>5039.9999999999636</v>
      </c>
      <c r="G21" s="43">
        <f>Electricity!F25</f>
        <v>21639.999999999418</v>
      </c>
      <c r="H21" s="47">
        <v>1553.67</v>
      </c>
      <c r="I21" s="57" t="s">
        <v>28</v>
      </c>
      <c r="J21" s="106">
        <f>Electricity!L25</f>
        <v>30970650.62399932</v>
      </c>
      <c r="K21" s="43">
        <f t="shared" si="0"/>
        <v>1160.8189889055486</v>
      </c>
      <c r="L21" s="58">
        <f>Water!G24</f>
        <v>296</v>
      </c>
      <c r="M21" s="58">
        <v>12550</v>
      </c>
      <c r="N21" s="106">
        <f>TOTAL!L21*TOTAL!M21</f>
        <v>3714800</v>
      </c>
      <c r="O21" s="43">
        <f t="shared" si="2"/>
        <v>164</v>
      </c>
    </row>
    <row r="22" spans="1:15" x14ac:dyDescent="0.25">
      <c r="A22" s="48" t="s">
        <v>44</v>
      </c>
      <c r="B22" s="45">
        <v>21</v>
      </c>
      <c r="C22" s="45">
        <v>6</v>
      </c>
      <c r="D22" s="45">
        <f t="shared" si="1"/>
        <v>2020</v>
      </c>
      <c r="E22" s="43">
        <f>Electricity!G26</f>
        <v>28880.000000000109</v>
      </c>
      <c r="F22" s="43">
        <f>Electricity!E26</f>
        <v>5199.9999999998181</v>
      </c>
      <c r="G22" s="43">
        <f>Electricity!F26</f>
        <v>23680.000000000291</v>
      </c>
      <c r="H22" s="47">
        <v>1553.67</v>
      </c>
      <c r="I22" s="57" t="s">
        <v>28</v>
      </c>
      <c r="J22" s="106">
        <f>Electricity!L26</f>
        <v>33388906.905600019</v>
      </c>
      <c r="K22" s="43">
        <f t="shared" si="0"/>
        <v>1156.1255853739574</v>
      </c>
      <c r="L22" s="58">
        <f>Water!G25</f>
        <v>298</v>
      </c>
      <c r="M22" s="58">
        <v>12550</v>
      </c>
      <c r="N22" s="106">
        <f>TOTAL!L22*TOTAL!M22</f>
        <v>3739900</v>
      </c>
      <c r="O22" s="43">
        <f t="shared" si="2"/>
        <v>164</v>
      </c>
    </row>
    <row r="23" spans="1:15" x14ac:dyDescent="0.25">
      <c r="A23" s="48" t="s">
        <v>44</v>
      </c>
      <c r="B23" s="45">
        <v>22</v>
      </c>
      <c r="C23" s="45">
        <v>6</v>
      </c>
      <c r="D23" s="45">
        <f t="shared" si="1"/>
        <v>2020</v>
      </c>
      <c r="E23" s="43">
        <f>Electricity!G27</f>
        <v>26120.000000002619</v>
      </c>
      <c r="F23" s="43">
        <f>Electricity!E27</f>
        <v>5319.999999999709</v>
      </c>
      <c r="G23" s="43">
        <f>Electricity!F27</f>
        <v>20800.00000000291</v>
      </c>
      <c r="H23" s="47">
        <v>1553.67</v>
      </c>
      <c r="I23" s="57" t="s">
        <v>28</v>
      </c>
      <c r="J23" s="106">
        <f>Electricity!L27</f>
        <v>30525182.361602623</v>
      </c>
      <c r="K23" s="43">
        <f t="shared" si="0"/>
        <v>1168.651698376706</v>
      </c>
      <c r="L23" s="58">
        <f>Water!G26</f>
        <v>300</v>
      </c>
      <c r="M23" s="58">
        <v>12550</v>
      </c>
      <c r="N23" s="106">
        <f>TOTAL!L23*TOTAL!M23</f>
        <v>3765000</v>
      </c>
      <c r="O23" s="43">
        <f t="shared" si="2"/>
        <v>164</v>
      </c>
    </row>
    <row r="24" spans="1:15" x14ac:dyDescent="0.25">
      <c r="A24" s="48" t="s">
        <v>44</v>
      </c>
      <c r="B24" s="45">
        <v>23</v>
      </c>
      <c r="C24" s="45">
        <v>6</v>
      </c>
      <c r="D24" s="45">
        <f t="shared" si="1"/>
        <v>2020</v>
      </c>
      <c r="E24" s="43">
        <f>Electricity!G28</f>
        <v>27719.999999997526</v>
      </c>
      <c r="F24" s="43">
        <f>Electricity!E28</f>
        <v>5000</v>
      </c>
      <c r="G24" s="43">
        <f>Electricity!F28</f>
        <v>22719.999999997526</v>
      </c>
      <c r="H24" s="47">
        <v>1553.67</v>
      </c>
      <c r="I24" s="57" t="s">
        <v>28</v>
      </c>
      <c r="J24" s="106">
        <f>Electricity!L28</f>
        <v>32052502.118397377</v>
      </c>
      <c r="K24" s="43">
        <f t="shared" si="0"/>
        <v>1156.2951702164587</v>
      </c>
      <c r="L24" s="58">
        <f>Water!G27</f>
        <v>293</v>
      </c>
      <c r="M24" s="58">
        <v>12550</v>
      </c>
      <c r="N24" s="106">
        <f>TOTAL!L24*TOTAL!M24</f>
        <v>3677150</v>
      </c>
      <c r="O24" s="43">
        <f t="shared" si="2"/>
        <v>164</v>
      </c>
    </row>
    <row r="25" spans="1:15" x14ac:dyDescent="0.25">
      <c r="A25" s="48" t="s">
        <v>44</v>
      </c>
      <c r="B25" s="45">
        <v>24</v>
      </c>
      <c r="C25" s="45">
        <v>6</v>
      </c>
      <c r="D25" s="45">
        <f t="shared" si="1"/>
        <v>2020</v>
      </c>
      <c r="E25" s="43">
        <f>Electricity!G29</f>
        <v>28840.000000001965</v>
      </c>
      <c r="F25" s="43">
        <f>Electricity!E29</f>
        <v>5440.0000000005093</v>
      </c>
      <c r="G25" s="43">
        <f>Electricity!F29</f>
        <v>23400.000000001455</v>
      </c>
      <c r="H25" s="47">
        <v>1553.67</v>
      </c>
      <c r="I25" s="57" t="s">
        <v>28</v>
      </c>
      <c r="J25" s="106">
        <f>Electricity!L29</f>
        <v>33473758.003202349</v>
      </c>
      <c r="K25" s="43">
        <f t="shared" si="0"/>
        <v>1160.6712206380053</v>
      </c>
      <c r="L25" s="58">
        <f>Water!G28</f>
        <v>385</v>
      </c>
      <c r="M25" s="58">
        <v>12550</v>
      </c>
      <c r="N25" s="106">
        <f>TOTAL!L25*TOTAL!M25</f>
        <v>4831750</v>
      </c>
      <c r="O25" s="43">
        <f t="shared" si="2"/>
        <v>164</v>
      </c>
    </row>
    <row r="26" spans="1:15" x14ac:dyDescent="0.25">
      <c r="A26" s="48" t="s">
        <v>44</v>
      </c>
      <c r="B26" s="45">
        <v>25</v>
      </c>
      <c r="C26" s="45">
        <v>6</v>
      </c>
      <c r="D26" s="45">
        <f t="shared" si="1"/>
        <v>2020</v>
      </c>
      <c r="E26" s="43">
        <f>Electricity!G30</f>
        <v>25079.999999998108</v>
      </c>
      <c r="F26" s="43">
        <f>Electricity!E30</f>
        <v>5159.9999999998545</v>
      </c>
      <c r="G26" s="43">
        <f>Electricity!F30</f>
        <v>19919.999999998254</v>
      </c>
      <c r="H26" s="47">
        <v>1553.67</v>
      </c>
      <c r="I26" s="57" t="s">
        <v>28</v>
      </c>
      <c r="J26" s="106">
        <f>Electricity!L30</f>
        <v>29337266.995197915</v>
      </c>
      <c r="K26" s="43">
        <f t="shared" si="0"/>
        <v>1169.747487846895</v>
      </c>
      <c r="L26" s="58">
        <f>Water!G29</f>
        <v>339</v>
      </c>
      <c r="M26" s="58">
        <v>12550</v>
      </c>
      <c r="N26" s="106">
        <f>TOTAL!L26*TOTAL!M26</f>
        <v>4254450</v>
      </c>
      <c r="O26" s="43">
        <f t="shared" si="2"/>
        <v>164</v>
      </c>
    </row>
    <row r="27" spans="1:15" x14ac:dyDescent="0.25">
      <c r="A27" s="48" t="s">
        <v>44</v>
      </c>
      <c r="B27" s="45">
        <v>26</v>
      </c>
      <c r="C27" s="45">
        <v>6</v>
      </c>
      <c r="D27" s="45">
        <f t="shared" si="1"/>
        <v>2020</v>
      </c>
      <c r="E27" s="43">
        <f>Electricity!G31</f>
        <v>29879.9999999992</v>
      </c>
      <c r="F27" s="43">
        <f>Electricity!E31</f>
        <v>5079.9999999999272</v>
      </c>
      <c r="G27" s="43">
        <f>Electricity!F31</f>
        <v>24799.999999999272</v>
      </c>
      <c r="H27" s="47">
        <v>1553.67</v>
      </c>
      <c r="I27" s="57" t="s">
        <v>28</v>
      </c>
      <c r="J27" s="106">
        <f>Electricity!L31</f>
        <v>34385907.302399114</v>
      </c>
      <c r="K27" s="43">
        <f t="shared" si="0"/>
        <v>1150.8001105220894</v>
      </c>
      <c r="L27" s="58">
        <f>Water!G30</f>
        <v>442</v>
      </c>
      <c r="M27" s="58">
        <v>12550</v>
      </c>
      <c r="N27" s="106">
        <f>TOTAL!L27*TOTAL!M27</f>
        <v>5547100</v>
      </c>
      <c r="O27" s="43">
        <f t="shared" si="2"/>
        <v>164</v>
      </c>
    </row>
    <row r="28" spans="1:15" x14ac:dyDescent="0.25">
      <c r="A28" s="48" t="s">
        <v>44</v>
      </c>
      <c r="B28" s="45">
        <v>27</v>
      </c>
      <c r="C28" s="45">
        <v>6</v>
      </c>
      <c r="D28" s="45">
        <f t="shared" si="1"/>
        <v>2020</v>
      </c>
      <c r="E28" s="43">
        <f>Electricity!G32</f>
        <v>28800.000000002001</v>
      </c>
      <c r="F28" s="43">
        <f>Electricity!E32</f>
        <v>5400.0000000005457</v>
      </c>
      <c r="G28" s="43">
        <f>Electricity!F32</f>
        <v>23400.000000001455</v>
      </c>
      <c r="H28" s="47">
        <v>1553.67</v>
      </c>
      <c r="I28" s="57" t="s">
        <v>28</v>
      </c>
      <c r="J28" s="106">
        <f>Electricity!L32</f>
        <v>33410119.68000241</v>
      </c>
      <c r="K28" s="43">
        <f t="shared" si="0"/>
        <v>1160.0736000000031</v>
      </c>
      <c r="L28" s="58">
        <f>Water!G31</f>
        <v>282</v>
      </c>
      <c r="M28" s="58">
        <v>12550</v>
      </c>
      <c r="N28" s="106">
        <f>TOTAL!L28*TOTAL!M28</f>
        <v>3539100</v>
      </c>
      <c r="O28" s="43">
        <f t="shared" si="2"/>
        <v>164</v>
      </c>
    </row>
    <row r="29" spans="1:15" x14ac:dyDescent="0.25">
      <c r="A29" s="48" t="s">
        <v>44</v>
      </c>
      <c r="B29" s="45">
        <v>28</v>
      </c>
      <c r="C29" s="45">
        <v>6</v>
      </c>
      <c r="D29" s="45">
        <f t="shared" si="1"/>
        <v>2020</v>
      </c>
      <c r="E29" s="43">
        <f>Electricity!G33</f>
        <v>26519.999999997708</v>
      </c>
      <c r="F29" s="43">
        <f>Electricity!E33</f>
        <v>4919.9999999991633</v>
      </c>
      <c r="G29" s="43">
        <f>Electricity!F33</f>
        <v>21599.999999998545</v>
      </c>
      <c r="H29" s="47">
        <v>1553.67</v>
      </c>
      <c r="I29" s="57" t="s">
        <v>28</v>
      </c>
      <c r="J29" s="106">
        <f>Electricity!L33</f>
        <v>30737310.105597124</v>
      </c>
      <c r="K29" s="43">
        <f t="shared" si="0"/>
        <v>1159.0237596380007</v>
      </c>
      <c r="L29" s="58">
        <f>Water!G32</f>
        <v>298</v>
      </c>
      <c r="M29" s="58">
        <v>12550</v>
      </c>
      <c r="N29" s="106">
        <f>TOTAL!L29*TOTAL!M29</f>
        <v>3739900</v>
      </c>
      <c r="O29" s="43">
        <f t="shared" si="2"/>
        <v>164</v>
      </c>
    </row>
    <row r="30" spans="1:15" s="43" customFormat="1" x14ac:dyDescent="0.25">
      <c r="A30" s="48" t="s">
        <v>44</v>
      </c>
      <c r="B30" s="45">
        <v>29</v>
      </c>
      <c r="C30" s="45">
        <v>6</v>
      </c>
      <c r="D30" s="45">
        <f t="shared" si="1"/>
        <v>2020</v>
      </c>
      <c r="E30" s="43">
        <f>Electricity!G34</f>
        <v>27920.000000001892</v>
      </c>
      <c r="F30" s="43">
        <f>Electricity!E34</f>
        <v>5200.0000000007276</v>
      </c>
      <c r="G30" s="43">
        <f>Electricity!F34</f>
        <v>22720.000000001164</v>
      </c>
      <c r="H30" s="47">
        <v>1553.67</v>
      </c>
      <c r="I30" s="57" t="s">
        <v>28</v>
      </c>
      <c r="J30" s="106">
        <f>Electricity!L34</f>
        <v>32370693.734402388</v>
      </c>
      <c r="K30" s="43">
        <f t="shared" si="0"/>
        <v>1159.4088013753651</v>
      </c>
      <c r="L30" s="58">
        <f>Water!G33</f>
        <v>283</v>
      </c>
      <c r="M30" s="58">
        <v>12550</v>
      </c>
      <c r="N30" s="106">
        <f>TOTAL!L30*TOTAL!M30</f>
        <v>3551650</v>
      </c>
      <c r="O30" s="43">
        <f t="shared" si="2"/>
        <v>164</v>
      </c>
    </row>
    <row r="31" spans="1:15" s="43" customFormat="1" x14ac:dyDescent="0.25">
      <c r="A31" s="48" t="s">
        <v>44</v>
      </c>
      <c r="B31" s="45">
        <v>30</v>
      </c>
      <c r="C31" s="45">
        <v>6</v>
      </c>
      <c r="D31" s="45">
        <f t="shared" si="1"/>
        <v>2020</v>
      </c>
      <c r="E31" s="43">
        <f>Electricity!G35</f>
        <v>27640.000000001237</v>
      </c>
      <c r="F31" s="43">
        <f>Electricity!E35</f>
        <v>5079.9999999999272</v>
      </c>
      <c r="G31" s="43">
        <f>Electricity!F35</f>
        <v>22560.00000000131</v>
      </c>
      <c r="H31" s="47">
        <v>1553.67</v>
      </c>
      <c r="I31" s="57" t="s">
        <v>28</v>
      </c>
      <c r="J31" s="106">
        <f>Electricity!L35</f>
        <v>32010076.569601271</v>
      </c>
      <c r="K31" s="43">
        <f t="shared" si="0"/>
        <v>1158.1069670622228</v>
      </c>
      <c r="L31" s="58">
        <f>Water!G34</f>
        <v>402</v>
      </c>
      <c r="M31" s="58">
        <v>12550</v>
      </c>
      <c r="N31" s="106">
        <f>TOTAL!L31*TOTAL!M31</f>
        <v>5045100</v>
      </c>
      <c r="O31" s="43">
        <f t="shared" si="2"/>
        <v>164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43983</v>
      </c>
      <c r="C6" s="59">
        <v>164</v>
      </c>
      <c r="D6" s="87">
        <v>1035.78</v>
      </c>
      <c r="E6" s="113">
        <v>5279.9999999997453</v>
      </c>
      <c r="F6" s="113">
        <v>24096.000000001368</v>
      </c>
      <c r="G6" s="80">
        <f>F6+E6</f>
        <v>29376.000000001113</v>
      </c>
      <c r="H6" s="81">
        <f t="shared" ref="H6:H33" si="0">E6*1.5*D6</f>
        <v>8203377.5999996038</v>
      </c>
      <c r="I6" s="81">
        <f t="shared" ref="I6:I33" si="1">F6*D6</f>
        <v>24958154.880001415</v>
      </c>
      <c r="J6" s="81">
        <f t="shared" ref="J6:J30" si="2">I6+H6</f>
        <v>33161532.480001017</v>
      </c>
      <c r="K6" s="81">
        <f>J6*0.024</f>
        <v>795876.77952002443</v>
      </c>
      <c r="L6" s="104">
        <f>J6+K6</f>
        <v>33957409.259521045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43984</v>
      </c>
      <c r="C7" s="59">
        <f>C6</f>
        <v>164</v>
      </c>
      <c r="D7" s="87">
        <v>1035.78</v>
      </c>
      <c r="E7" s="113">
        <v>1520.0000000004366</v>
      </c>
      <c r="F7" s="113">
        <v>22304.000000000087</v>
      </c>
      <c r="G7" s="80">
        <f t="shared" ref="G7:G33" si="3">F7+E7</f>
        <v>23824.000000000524</v>
      </c>
      <c r="H7" s="81">
        <f t="shared" si="0"/>
        <v>2361578.4000006784</v>
      </c>
      <c r="I7" s="81">
        <f t="shared" si="1"/>
        <v>23102037.12000009</v>
      </c>
      <c r="J7" s="81">
        <f t="shared" si="2"/>
        <v>25463615.520000771</v>
      </c>
      <c r="K7" s="81">
        <f t="shared" ref="K7:K35" si="4">J7*0.024</f>
        <v>611126.77248001855</v>
      </c>
      <c r="L7" s="104">
        <f>J7+K7</f>
        <v>26074742.292480789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43985</v>
      </c>
      <c r="C8" s="59">
        <f t="shared" ref="C8:C35" si="5">C7</f>
        <v>164</v>
      </c>
      <c r="D8" s="87">
        <v>1035.78</v>
      </c>
      <c r="E8" s="113">
        <v>9439.9999999995998</v>
      </c>
      <c r="F8" s="113">
        <v>23479.999999999563</v>
      </c>
      <c r="G8" s="80">
        <f t="shared" si="3"/>
        <v>32919.999999999163</v>
      </c>
      <c r="H8" s="81">
        <f t="shared" si="0"/>
        <v>14666644.799999379</v>
      </c>
      <c r="I8" s="81">
        <f t="shared" si="1"/>
        <v>24320114.399999548</v>
      </c>
      <c r="J8" s="81">
        <f t="shared" si="2"/>
        <v>38986759.19999893</v>
      </c>
      <c r="K8" s="81">
        <f t="shared" si="4"/>
        <v>935682.2207999744</v>
      </c>
      <c r="L8" s="104">
        <f t="shared" ref="L8:L30" si="6">J8+K8</f>
        <v>39922441.420798905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43986</v>
      </c>
      <c r="C9" s="59">
        <f t="shared" si="5"/>
        <v>164</v>
      </c>
      <c r="D9" s="87">
        <v>1035.78</v>
      </c>
      <c r="E9" s="113">
        <v>3720.0000000002547</v>
      </c>
      <c r="F9" s="113">
        <v>23000</v>
      </c>
      <c r="G9" s="80">
        <f t="shared" si="3"/>
        <v>26720.000000000255</v>
      </c>
      <c r="H9" s="81">
        <f t="shared" si="0"/>
        <v>5779652.4000003953</v>
      </c>
      <c r="I9" s="81">
        <f t="shared" si="1"/>
        <v>23822940</v>
      </c>
      <c r="J9" s="81">
        <f t="shared" si="2"/>
        <v>29602592.400000393</v>
      </c>
      <c r="K9" s="81">
        <f t="shared" si="4"/>
        <v>710462.2176000094</v>
      </c>
      <c r="L9" s="104">
        <f t="shared" si="6"/>
        <v>30313054.617600404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43987</v>
      </c>
      <c r="C10" s="59">
        <f t="shared" si="5"/>
        <v>164</v>
      </c>
      <c r="D10" s="87">
        <v>1035.78</v>
      </c>
      <c r="E10" s="113">
        <v>6920.0000000000728</v>
      </c>
      <c r="F10" s="113">
        <v>22920.000000001892</v>
      </c>
      <c r="G10" s="80">
        <f t="shared" si="3"/>
        <v>29840.000000001965</v>
      </c>
      <c r="H10" s="81">
        <f t="shared" si="0"/>
        <v>10751396.400000112</v>
      </c>
      <c r="I10" s="81">
        <f t="shared" si="1"/>
        <v>23740077.600001957</v>
      </c>
      <c r="J10" s="81">
        <f t="shared" si="2"/>
        <v>34491474.000002071</v>
      </c>
      <c r="K10" s="81">
        <f t="shared" si="4"/>
        <v>827795.37600004976</v>
      </c>
      <c r="L10" s="104">
        <f t="shared" si="6"/>
        <v>35319269.376002118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43988</v>
      </c>
      <c r="C11" s="59">
        <f t="shared" si="5"/>
        <v>164</v>
      </c>
      <c r="D11" s="87">
        <v>1035.78</v>
      </c>
      <c r="E11" s="113">
        <v>5239.9999999997817</v>
      </c>
      <c r="F11" s="113">
        <v>23559.999999997672</v>
      </c>
      <c r="G11" s="80">
        <f t="shared" si="3"/>
        <v>28799.999999997453</v>
      </c>
      <c r="H11" s="81">
        <f t="shared" si="0"/>
        <v>8141230.7999996608</v>
      </c>
      <c r="I11" s="81">
        <f t="shared" si="1"/>
        <v>24402976.799997587</v>
      </c>
      <c r="J11" s="81">
        <f t="shared" si="2"/>
        <v>32544207.599997249</v>
      </c>
      <c r="K11" s="81">
        <f t="shared" si="4"/>
        <v>781060.98239993397</v>
      </c>
      <c r="L11" s="104">
        <f t="shared" si="6"/>
        <v>33325268.582397182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43989</v>
      </c>
      <c r="C12" s="59">
        <f t="shared" si="5"/>
        <v>164</v>
      </c>
      <c r="D12" s="87">
        <v>1035.78</v>
      </c>
      <c r="E12" s="113">
        <v>5320.0000000006185</v>
      </c>
      <c r="F12" s="113">
        <v>22720.000000001164</v>
      </c>
      <c r="G12" s="80">
        <f t="shared" si="3"/>
        <v>28040.000000001783</v>
      </c>
      <c r="H12" s="81">
        <f t="shared" si="0"/>
        <v>8265524.4000009606</v>
      </c>
      <c r="I12" s="81">
        <f t="shared" si="1"/>
        <v>23532921.600001205</v>
      </c>
      <c r="J12" s="81">
        <f t="shared" si="2"/>
        <v>31798446.000002164</v>
      </c>
      <c r="K12" s="81">
        <f t="shared" si="4"/>
        <v>763162.70400005195</v>
      </c>
      <c r="L12" s="104">
        <f t="shared" si="6"/>
        <v>32561608.704002216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43990</v>
      </c>
      <c r="C13" s="59">
        <f t="shared" si="5"/>
        <v>164</v>
      </c>
      <c r="D13" s="87">
        <v>1035.78</v>
      </c>
      <c r="E13" s="113">
        <v>5439.9999999995998</v>
      </c>
      <c r="F13" s="113">
        <v>22240.000000001601</v>
      </c>
      <c r="G13" s="80">
        <f t="shared" si="3"/>
        <v>27680.000000001201</v>
      </c>
      <c r="H13" s="81">
        <f t="shared" si="0"/>
        <v>8451964.7999993786</v>
      </c>
      <c r="I13" s="81">
        <f t="shared" si="1"/>
        <v>23035747.200001657</v>
      </c>
      <c r="J13" s="81">
        <f t="shared" si="2"/>
        <v>31487712.000001036</v>
      </c>
      <c r="K13" s="81">
        <f t="shared" si="4"/>
        <v>755705.0880000249</v>
      </c>
      <c r="L13" s="104">
        <f t="shared" si="6"/>
        <v>32243417.088001061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43991</v>
      </c>
      <c r="C14" s="59">
        <f t="shared" si="5"/>
        <v>164</v>
      </c>
      <c r="D14" s="87">
        <v>1035.78</v>
      </c>
      <c r="E14" s="113">
        <v>5359.9999999996726</v>
      </c>
      <c r="F14" s="113">
        <v>23399.999999997817</v>
      </c>
      <c r="G14" s="80">
        <f t="shared" si="3"/>
        <v>28759.99999999749</v>
      </c>
      <c r="H14" s="81">
        <f t="shared" si="0"/>
        <v>8327671.1999994908</v>
      </c>
      <c r="I14" s="81">
        <f t="shared" si="1"/>
        <v>24237251.999997739</v>
      </c>
      <c r="J14" s="81">
        <f t="shared" si="2"/>
        <v>32564923.199997231</v>
      </c>
      <c r="K14" s="81">
        <f t="shared" si="4"/>
        <v>781558.15679993352</v>
      </c>
      <c r="L14" s="104">
        <f t="shared" si="6"/>
        <v>33346481.356797166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43992</v>
      </c>
      <c r="C15" s="59">
        <f t="shared" si="5"/>
        <v>164</v>
      </c>
      <c r="D15" s="87">
        <v>1035.78</v>
      </c>
      <c r="E15" s="113">
        <v>5200.0000000007276</v>
      </c>
      <c r="F15" s="113">
        <v>22240.000000001601</v>
      </c>
      <c r="G15" s="80">
        <f t="shared" si="3"/>
        <v>27440.000000002328</v>
      </c>
      <c r="H15" s="81">
        <f t="shared" si="0"/>
        <v>8079084.0000011306</v>
      </c>
      <c r="I15" s="81">
        <f t="shared" si="1"/>
        <v>23035747.200001657</v>
      </c>
      <c r="J15" s="81">
        <f t="shared" si="2"/>
        <v>31114831.200002789</v>
      </c>
      <c r="K15" s="81">
        <f t="shared" si="4"/>
        <v>746755.94880006695</v>
      </c>
      <c r="L15" s="104">
        <f t="shared" si="6"/>
        <v>31861587.148802858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43993</v>
      </c>
      <c r="C16" s="59">
        <f t="shared" si="5"/>
        <v>164</v>
      </c>
      <c r="D16" s="87">
        <v>1035.78</v>
      </c>
      <c r="E16" s="113">
        <v>5439.9999999995998</v>
      </c>
      <c r="F16" s="113">
        <v>22799.999999999272</v>
      </c>
      <c r="G16" s="80">
        <f t="shared" si="3"/>
        <v>28239.999999998872</v>
      </c>
      <c r="H16" s="81">
        <f t="shared" si="0"/>
        <v>8451964.7999993786</v>
      </c>
      <c r="I16" s="81">
        <f t="shared" si="1"/>
        <v>23615783.999999247</v>
      </c>
      <c r="J16" s="81">
        <f t="shared" si="2"/>
        <v>32067748.799998626</v>
      </c>
      <c r="K16" s="81">
        <f t="shared" si="4"/>
        <v>769625.97119996708</v>
      </c>
      <c r="L16" s="104">
        <f t="shared" si="6"/>
        <v>32837374.771198593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43994</v>
      </c>
      <c r="C17" s="59">
        <f t="shared" si="5"/>
        <v>164</v>
      </c>
      <c r="D17" s="87">
        <v>1035.78</v>
      </c>
      <c r="E17" s="113">
        <v>5440.0000000005093</v>
      </c>
      <c r="F17" s="113">
        <v>25639.999999999418</v>
      </c>
      <c r="G17" s="80">
        <f t="shared" si="3"/>
        <v>31079.999999999927</v>
      </c>
      <c r="H17" s="81">
        <f t="shared" si="0"/>
        <v>8451964.8000007905</v>
      </c>
      <c r="I17" s="81">
        <f t="shared" si="1"/>
        <v>26557399.199999396</v>
      </c>
      <c r="J17" s="81">
        <f t="shared" si="2"/>
        <v>35009364.000000186</v>
      </c>
      <c r="K17" s="81">
        <f t="shared" si="4"/>
        <v>840224.73600000446</v>
      </c>
      <c r="L17" s="104">
        <f t="shared" si="6"/>
        <v>35849588.736000188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43995</v>
      </c>
      <c r="C18" s="59">
        <f t="shared" si="5"/>
        <v>164</v>
      </c>
      <c r="D18" s="87">
        <v>1035.78</v>
      </c>
      <c r="E18" s="113">
        <v>5199.9999999998181</v>
      </c>
      <c r="F18" s="113">
        <v>21080.000000001746</v>
      </c>
      <c r="G18" s="80">
        <f t="shared" si="3"/>
        <v>26280.000000001564</v>
      </c>
      <c r="H18" s="81">
        <f t="shared" si="0"/>
        <v>8079083.9999997169</v>
      </c>
      <c r="I18" s="81">
        <f t="shared" si="1"/>
        <v>21834242.400001809</v>
      </c>
      <c r="J18" s="81">
        <f t="shared" si="2"/>
        <v>29913326.400001526</v>
      </c>
      <c r="K18" s="81">
        <f t="shared" si="4"/>
        <v>717919.83360003668</v>
      </c>
      <c r="L18" s="104">
        <f t="shared" si="6"/>
        <v>30631246.233601563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43996</v>
      </c>
      <c r="C19" s="59">
        <f t="shared" si="5"/>
        <v>164</v>
      </c>
      <c r="D19" s="87">
        <v>1035.78</v>
      </c>
      <c r="E19" s="113">
        <v>5159.9999999998545</v>
      </c>
      <c r="F19" s="113">
        <v>23119.999999998981</v>
      </c>
      <c r="G19" s="80">
        <f t="shared" si="3"/>
        <v>28279.999999998836</v>
      </c>
      <c r="H19" s="81">
        <f t="shared" si="0"/>
        <v>8016937.1999997739</v>
      </c>
      <c r="I19" s="81">
        <f t="shared" si="1"/>
        <v>23947233.599998944</v>
      </c>
      <c r="J19" s="81">
        <f t="shared" si="2"/>
        <v>31964170.799998716</v>
      </c>
      <c r="K19" s="81">
        <f t="shared" si="4"/>
        <v>767140.09919996921</v>
      </c>
      <c r="L19" s="104">
        <f t="shared" si="6"/>
        <v>32731310.899198685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43997</v>
      </c>
      <c r="C20" s="59">
        <f t="shared" si="5"/>
        <v>164</v>
      </c>
      <c r="D20" s="87">
        <v>1035.78</v>
      </c>
      <c r="E20" s="113">
        <v>5479.9999999995634</v>
      </c>
      <c r="F20" s="113">
        <v>23159.999999999854</v>
      </c>
      <c r="G20" s="80">
        <f t="shared" si="3"/>
        <v>28639.999999999418</v>
      </c>
      <c r="H20" s="81">
        <f t="shared" si="0"/>
        <v>8514111.5999993216</v>
      </c>
      <c r="I20" s="81">
        <f t="shared" si="1"/>
        <v>23988664.799999848</v>
      </c>
      <c r="J20" s="81">
        <f t="shared" si="2"/>
        <v>32502776.399999171</v>
      </c>
      <c r="K20" s="81">
        <f t="shared" si="4"/>
        <v>780066.63359998015</v>
      </c>
      <c r="L20" s="104">
        <f t="shared" si="6"/>
        <v>33282843.033599153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43998</v>
      </c>
      <c r="C21" s="59">
        <f t="shared" si="5"/>
        <v>164</v>
      </c>
      <c r="D21" s="87">
        <v>1035.78</v>
      </c>
      <c r="E21" s="113">
        <v>5400.0000000005457</v>
      </c>
      <c r="F21" s="113">
        <v>22720.000000001164</v>
      </c>
      <c r="G21" s="80">
        <f t="shared" si="3"/>
        <v>28120.00000000171</v>
      </c>
      <c r="H21" s="81">
        <f t="shared" si="0"/>
        <v>8389818.0000008475</v>
      </c>
      <c r="I21" s="81">
        <f t="shared" si="1"/>
        <v>23532921.600001205</v>
      </c>
      <c r="J21" s="81">
        <f t="shared" si="2"/>
        <v>31922739.60000205</v>
      </c>
      <c r="K21" s="81">
        <f t="shared" si="4"/>
        <v>766145.75040004926</v>
      </c>
      <c r="L21" s="104">
        <f t="shared" si="6"/>
        <v>32688885.350402098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43999</v>
      </c>
      <c r="C22" s="59">
        <f t="shared" si="5"/>
        <v>164</v>
      </c>
      <c r="D22" s="87">
        <v>1035.78</v>
      </c>
      <c r="E22" s="113">
        <v>5359.9999999996726</v>
      </c>
      <c r="F22" s="113">
        <v>22639.999999999418</v>
      </c>
      <c r="G22" s="80">
        <f t="shared" si="3"/>
        <v>27999.999999999091</v>
      </c>
      <c r="H22" s="81">
        <f t="shared" si="0"/>
        <v>8327671.1999994908</v>
      </c>
      <c r="I22" s="81">
        <f t="shared" si="1"/>
        <v>23450059.199999396</v>
      </c>
      <c r="J22" s="81">
        <f t="shared" si="2"/>
        <v>31777730.399998888</v>
      </c>
      <c r="K22" s="81">
        <f t="shared" si="4"/>
        <v>762665.52959997335</v>
      </c>
      <c r="L22" s="104">
        <f t="shared" si="6"/>
        <v>32540395.92959886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44000</v>
      </c>
      <c r="C23" s="59">
        <f t="shared" si="5"/>
        <v>164</v>
      </c>
      <c r="D23" s="87">
        <v>1035.78</v>
      </c>
      <c r="E23" s="113">
        <v>5400.0000000005457</v>
      </c>
      <c r="F23" s="113">
        <v>23399.999999997817</v>
      </c>
      <c r="G23" s="80">
        <f t="shared" si="3"/>
        <v>28799.999999998363</v>
      </c>
      <c r="H23" s="81">
        <f t="shared" si="0"/>
        <v>8389818.0000008475</v>
      </c>
      <c r="I23" s="81">
        <f t="shared" si="1"/>
        <v>24237251.999997739</v>
      </c>
      <c r="J23" s="81">
        <f t="shared" si="2"/>
        <v>32627069.999998584</v>
      </c>
      <c r="K23" s="81">
        <f t="shared" si="4"/>
        <v>783049.67999996606</v>
      </c>
      <c r="L23" s="104">
        <f t="shared" si="6"/>
        <v>33410119.679998551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44001</v>
      </c>
      <c r="C24" s="59">
        <f t="shared" si="5"/>
        <v>164</v>
      </c>
      <c r="D24" s="87">
        <v>1035.78</v>
      </c>
      <c r="E24" s="113">
        <v>5359.9999999996726</v>
      </c>
      <c r="F24" s="113">
        <v>23520.000000000437</v>
      </c>
      <c r="G24" s="80">
        <f t="shared" si="3"/>
        <v>28880.000000000109</v>
      </c>
      <c r="H24" s="81">
        <f t="shared" si="0"/>
        <v>8327671.1999994908</v>
      </c>
      <c r="I24" s="81">
        <f t="shared" si="1"/>
        <v>24361545.600000452</v>
      </c>
      <c r="J24" s="81">
        <f t="shared" si="2"/>
        <v>32689216.799999945</v>
      </c>
      <c r="K24" s="81">
        <f t="shared" si="4"/>
        <v>784541.20319999871</v>
      </c>
      <c r="L24" s="104">
        <f t="shared" si="6"/>
        <v>33473758.003199942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44002</v>
      </c>
      <c r="C25" s="59">
        <f t="shared" si="5"/>
        <v>164</v>
      </c>
      <c r="D25" s="87">
        <v>1035.78</v>
      </c>
      <c r="E25" s="113">
        <v>5039.9999999999636</v>
      </c>
      <c r="F25" s="113">
        <v>21639.999999999418</v>
      </c>
      <c r="G25" s="80">
        <f t="shared" si="3"/>
        <v>26679.999999999382</v>
      </c>
      <c r="H25" s="81">
        <f t="shared" si="0"/>
        <v>7830496.799999943</v>
      </c>
      <c r="I25" s="81">
        <f t="shared" si="1"/>
        <v>22414279.199999396</v>
      </c>
      <c r="J25" s="81">
        <f t="shared" si="2"/>
        <v>30244775.999999337</v>
      </c>
      <c r="K25" s="81">
        <f t="shared" si="4"/>
        <v>725874.62399998412</v>
      </c>
      <c r="L25" s="104">
        <f t="shared" si="6"/>
        <v>30970650.62399932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44003</v>
      </c>
      <c r="C26" s="59">
        <f t="shared" si="5"/>
        <v>164</v>
      </c>
      <c r="D26" s="87">
        <v>1035.78</v>
      </c>
      <c r="E26" s="113">
        <v>5199.9999999998181</v>
      </c>
      <c r="F26" s="113">
        <v>23680.000000000291</v>
      </c>
      <c r="G26" s="80">
        <f t="shared" si="3"/>
        <v>28880.000000000109</v>
      </c>
      <c r="H26" s="81">
        <f t="shared" si="0"/>
        <v>8079083.9999997169</v>
      </c>
      <c r="I26" s="81">
        <f t="shared" si="1"/>
        <v>24527270.4000003</v>
      </c>
      <c r="J26" s="81">
        <f t="shared" si="2"/>
        <v>32606354.400000017</v>
      </c>
      <c r="K26" s="81">
        <f t="shared" si="4"/>
        <v>782552.50560000038</v>
      </c>
      <c r="L26" s="104">
        <f>J26+K26</f>
        <v>33388906.905600019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44004</v>
      </c>
      <c r="C27" s="59">
        <f t="shared" si="5"/>
        <v>164</v>
      </c>
      <c r="D27" s="87">
        <v>1035.78</v>
      </c>
      <c r="E27" s="113">
        <v>5319.999999999709</v>
      </c>
      <c r="F27" s="113">
        <v>20800.00000000291</v>
      </c>
      <c r="G27" s="80">
        <f t="shared" si="3"/>
        <v>26120.000000002619</v>
      </c>
      <c r="H27" s="81">
        <f t="shared" si="0"/>
        <v>8265524.3999995477</v>
      </c>
      <c r="I27" s="81">
        <f t="shared" si="1"/>
        <v>21544224.000003014</v>
      </c>
      <c r="J27" s="81">
        <f t="shared" si="2"/>
        <v>29809748.400002562</v>
      </c>
      <c r="K27" s="81">
        <f t="shared" si="4"/>
        <v>715433.96160006151</v>
      </c>
      <c r="L27" s="104">
        <f t="shared" si="6"/>
        <v>30525182.361602623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44005</v>
      </c>
      <c r="C28" s="59">
        <f t="shared" si="5"/>
        <v>164</v>
      </c>
      <c r="D28" s="87">
        <v>1035.78</v>
      </c>
      <c r="E28" s="113">
        <v>5000</v>
      </c>
      <c r="F28" s="113">
        <v>22719.999999997526</v>
      </c>
      <c r="G28" s="80">
        <f t="shared" si="3"/>
        <v>27719.999999997526</v>
      </c>
      <c r="H28" s="81">
        <f t="shared" si="0"/>
        <v>7768350</v>
      </c>
      <c r="I28" s="81">
        <f t="shared" si="1"/>
        <v>23532921.599997438</v>
      </c>
      <c r="J28" s="81">
        <f t="shared" si="2"/>
        <v>31301271.599997438</v>
      </c>
      <c r="K28" s="81">
        <f t="shared" si="4"/>
        <v>751230.51839993859</v>
      </c>
      <c r="L28" s="104">
        <f t="shared" si="6"/>
        <v>32052502.118397377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44006</v>
      </c>
      <c r="C29" s="59">
        <f t="shared" si="5"/>
        <v>164</v>
      </c>
      <c r="D29" s="87">
        <v>1035.78</v>
      </c>
      <c r="E29" s="113">
        <v>5440.0000000005093</v>
      </c>
      <c r="F29" s="113">
        <v>23400.000000001455</v>
      </c>
      <c r="G29" s="80">
        <f t="shared" si="3"/>
        <v>28840.000000001965</v>
      </c>
      <c r="H29" s="81">
        <f t="shared" si="0"/>
        <v>8451964.8000007905</v>
      </c>
      <c r="I29" s="81">
        <f t="shared" si="1"/>
        <v>24237252.000001505</v>
      </c>
      <c r="J29" s="81">
        <f t="shared" si="2"/>
        <v>32689216.800002296</v>
      </c>
      <c r="K29" s="81">
        <f t="shared" si="4"/>
        <v>784541.20320005505</v>
      </c>
      <c r="L29" s="104">
        <f t="shared" si="6"/>
        <v>33473758.003202349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44007</v>
      </c>
      <c r="C30" s="59">
        <f t="shared" si="5"/>
        <v>164</v>
      </c>
      <c r="D30" s="87">
        <v>1035.78</v>
      </c>
      <c r="E30" s="113">
        <v>5159.9999999998545</v>
      </c>
      <c r="F30" s="113">
        <v>19919.999999998254</v>
      </c>
      <c r="G30" s="80">
        <f t="shared" si="3"/>
        <v>25079.999999998108</v>
      </c>
      <c r="H30" s="81">
        <f t="shared" si="0"/>
        <v>8016937.1999997739</v>
      </c>
      <c r="I30" s="81">
        <f t="shared" si="1"/>
        <v>20632737.599998191</v>
      </c>
      <c r="J30" s="81">
        <f t="shared" si="2"/>
        <v>28649674.799997963</v>
      </c>
      <c r="K30" s="81">
        <f t="shared" si="4"/>
        <v>687592.19519995118</v>
      </c>
      <c r="L30" s="104">
        <f t="shared" si="6"/>
        <v>29337266.995197915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44008</v>
      </c>
      <c r="C31" s="59">
        <f t="shared" si="5"/>
        <v>164</v>
      </c>
      <c r="D31" s="87">
        <v>1035.78</v>
      </c>
      <c r="E31" s="113">
        <v>5079.9999999999272</v>
      </c>
      <c r="F31" s="113">
        <v>24799.999999999272</v>
      </c>
      <c r="G31" s="80">
        <f t="shared" si="3"/>
        <v>29879.9999999992</v>
      </c>
      <c r="H31" s="81">
        <f t="shared" si="0"/>
        <v>7892643.5999998869</v>
      </c>
      <c r="I31" s="81">
        <f t="shared" si="1"/>
        <v>25687343.999999247</v>
      </c>
      <c r="J31" s="81">
        <f t="shared" ref="J31:J33" si="7">I31+H31</f>
        <v>33579987.599999137</v>
      </c>
      <c r="K31" s="81">
        <f t="shared" si="4"/>
        <v>805919.70239997935</v>
      </c>
      <c r="L31" s="104">
        <f t="shared" ref="L31:L33" si="8">J31+K31</f>
        <v>34385907.302399114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44009</v>
      </c>
      <c r="C32" s="59">
        <f t="shared" si="5"/>
        <v>164</v>
      </c>
      <c r="D32" s="87">
        <v>1035.78</v>
      </c>
      <c r="E32" s="113">
        <v>5400.0000000005457</v>
      </c>
      <c r="F32" s="113">
        <v>23400.000000001455</v>
      </c>
      <c r="G32" s="80">
        <f t="shared" si="3"/>
        <v>28800.000000002001</v>
      </c>
      <c r="H32" s="81">
        <f t="shared" si="0"/>
        <v>8389818.0000008475</v>
      </c>
      <c r="I32" s="81">
        <f t="shared" si="1"/>
        <v>24237252.000001505</v>
      </c>
      <c r="J32" s="81">
        <f t="shared" si="7"/>
        <v>32627070.000002354</v>
      </c>
      <c r="K32" s="81">
        <f t="shared" si="4"/>
        <v>783049.68000005651</v>
      </c>
      <c r="L32" s="104">
        <f t="shared" si="8"/>
        <v>33410119.68000241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44010</v>
      </c>
      <c r="C33" s="59">
        <f t="shared" si="5"/>
        <v>164</v>
      </c>
      <c r="D33" s="87">
        <v>1035.78</v>
      </c>
      <c r="E33" s="113">
        <v>4919.9999999991633</v>
      </c>
      <c r="F33" s="113">
        <v>21599.999999998545</v>
      </c>
      <c r="G33" s="80">
        <f t="shared" si="3"/>
        <v>26519.999999997708</v>
      </c>
      <c r="H33" s="81">
        <f t="shared" si="0"/>
        <v>7644056.3999987002</v>
      </c>
      <c r="I33" s="81">
        <f t="shared" si="1"/>
        <v>22372847.999998491</v>
      </c>
      <c r="J33" s="81">
        <f t="shared" si="7"/>
        <v>30016904.39999719</v>
      </c>
      <c r="K33" s="81">
        <f t="shared" si="4"/>
        <v>720405.70559993258</v>
      </c>
      <c r="L33" s="104">
        <f t="shared" si="8"/>
        <v>30737310.105597124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44011</v>
      </c>
      <c r="C34" s="59">
        <f t="shared" si="5"/>
        <v>164</v>
      </c>
      <c r="D34" s="87">
        <v>1035.78</v>
      </c>
      <c r="E34" s="113">
        <v>5200.0000000007276</v>
      </c>
      <c r="F34" s="113">
        <v>22720.000000001164</v>
      </c>
      <c r="G34" s="80">
        <f t="shared" ref="G34" si="9">F34+E34</f>
        <v>27920.000000001892</v>
      </c>
      <c r="H34" s="81">
        <f t="shared" ref="H34" si="10">E34*1.5*D34</f>
        <v>8079084.0000011306</v>
      </c>
      <c r="I34" s="81">
        <f t="shared" ref="I34" si="11">F34*D34</f>
        <v>23532921.600001205</v>
      </c>
      <c r="J34" s="81">
        <f t="shared" ref="J34" si="12">I34+H34</f>
        <v>31612005.600002334</v>
      </c>
      <c r="K34" s="81">
        <f t="shared" si="4"/>
        <v>758688.13440005598</v>
      </c>
      <c r="L34" s="104">
        <f t="shared" ref="L34" si="13">J34+K34</f>
        <v>32370693.734402388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44012</v>
      </c>
      <c r="C35" s="59">
        <f t="shared" si="5"/>
        <v>164</v>
      </c>
      <c r="D35" s="87">
        <v>1035.78</v>
      </c>
      <c r="E35" s="113">
        <v>5079.9999999999272</v>
      </c>
      <c r="F35" s="113">
        <v>22560.00000000131</v>
      </c>
      <c r="G35" s="80">
        <f t="shared" ref="G35" si="14">F35+E35</f>
        <v>27640.000000001237</v>
      </c>
      <c r="H35" s="81">
        <f t="shared" ref="H35" si="15">E35*1.5*D35</f>
        <v>7892643.5999998869</v>
      </c>
      <c r="I35" s="81">
        <f t="shared" ref="I35" si="16">F35*D35</f>
        <v>23367196.800001357</v>
      </c>
      <c r="J35" s="81">
        <f t="shared" ref="J35" si="17">I35+H35</f>
        <v>31259840.400001243</v>
      </c>
      <c r="K35" s="81">
        <f t="shared" si="4"/>
        <v>750236.16960002983</v>
      </c>
      <c r="L35" s="104">
        <f t="shared" ref="L35" si="18">J35+K35</f>
        <v>32010076.569601271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4592</v>
      </c>
      <c r="D36" s="88"/>
      <c r="E36" s="82">
        <f t="shared" ref="E36:L36" si="19">SUM(E6:E35)</f>
        <v>158520.00000000047</v>
      </c>
      <c r="F36" s="82">
        <f t="shared" si="19"/>
        <v>685280.00000000268</v>
      </c>
      <c r="G36" s="82">
        <f t="shared" si="19"/>
        <v>843800.00000000291</v>
      </c>
      <c r="H36" s="82">
        <f t="shared" si="19"/>
        <v>246287768.40000063</v>
      </c>
      <c r="I36" s="82">
        <f t="shared" si="19"/>
        <v>709799318.40000272</v>
      </c>
      <c r="J36" s="82">
        <f t="shared" si="19"/>
        <v>956087086.80000329</v>
      </c>
      <c r="K36" s="82">
        <f t="shared" si="19"/>
        <v>22946090.083200078</v>
      </c>
      <c r="L36" s="82">
        <f t="shared" si="19"/>
        <v>979033176.88320351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topLeftCell="A4" zoomScaleNormal="100" workbookViewId="0">
      <selection activeCell="F49" sqref="F49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6</v>
      </c>
      <c r="D5" s="78">
        <v>2020</v>
      </c>
      <c r="E5" s="114">
        <v>48</v>
      </c>
      <c r="F5" s="108">
        <v>236</v>
      </c>
      <c r="G5" s="56">
        <f>E5+F5</f>
        <v>284</v>
      </c>
    </row>
    <row r="6" spans="1:43" ht="15.75" x14ac:dyDescent="0.25">
      <c r="B6" s="78">
        <v>2</v>
      </c>
      <c r="C6" s="78">
        <v>6</v>
      </c>
      <c r="D6" s="78">
        <f>D5</f>
        <v>2020</v>
      </c>
      <c r="E6" s="115">
        <v>49</v>
      </c>
      <c r="F6" s="108">
        <v>245</v>
      </c>
      <c r="G6" s="56">
        <f t="shared" ref="G6:G34" si="0">E6+F6</f>
        <v>294</v>
      </c>
    </row>
    <row r="7" spans="1:43" ht="15.75" x14ac:dyDescent="0.25">
      <c r="B7" s="78">
        <v>3</v>
      </c>
      <c r="C7" s="78">
        <v>6</v>
      </c>
      <c r="D7" s="78">
        <f t="shared" ref="D7:D34" si="1">D6</f>
        <v>2020</v>
      </c>
      <c r="E7" s="115">
        <v>54</v>
      </c>
      <c r="F7" s="108">
        <v>265</v>
      </c>
      <c r="G7" s="56">
        <f t="shared" si="0"/>
        <v>319</v>
      </c>
    </row>
    <row r="8" spans="1:43" ht="15.75" x14ac:dyDescent="0.25">
      <c r="B8" s="78">
        <v>4</v>
      </c>
      <c r="C8" s="78">
        <v>6</v>
      </c>
      <c r="D8" s="78">
        <f t="shared" si="1"/>
        <v>2020</v>
      </c>
      <c r="E8" s="115">
        <v>53</v>
      </c>
      <c r="F8" s="108">
        <v>265</v>
      </c>
      <c r="G8" s="56">
        <f t="shared" si="0"/>
        <v>318</v>
      </c>
    </row>
    <row r="9" spans="1:43" ht="15.75" x14ac:dyDescent="0.25">
      <c r="B9" s="78">
        <v>5</v>
      </c>
      <c r="C9" s="78">
        <v>6</v>
      </c>
      <c r="D9" s="78">
        <f t="shared" si="1"/>
        <v>2020</v>
      </c>
      <c r="E9" s="115">
        <v>84</v>
      </c>
      <c r="F9" s="109">
        <v>416</v>
      </c>
      <c r="G9" s="56">
        <f t="shared" si="0"/>
        <v>500</v>
      </c>
    </row>
    <row r="10" spans="1:43" ht="15.75" x14ac:dyDescent="0.25">
      <c r="B10" s="78">
        <v>6</v>
      </c>
      <c r="C10" s="78">
        <v>6</v>
      </c>
      <c r="D10" s="78">
        <f t="shared" si="1"/>
        <v>2020</v>
      </c>
      <c r="E10" s="115">
        <v>58</v>
      </c>
      <c r="F10" s="108">
        <v>288</v>
      </c>
      <c r="G10" s="56">
        <f t="shared" si="0"/>
        <v>346</v>
      </c>
    </row>
    <row r="11" spans="1:43" ht="15.75" x14ac:dyDescent="0.25">
      <c r="B11" s="78">
        <v>7</v>
      </c>
      <c r="C11" s="78">
        <v>6</v>
      </c>
      <c r="D11" s="78">
        <f t="shared" si="1"/>
        <v>2020</v>
      </c>
      <c r="E11" s="115">
        <v>48</v>
      </c>
      <c r="F11" s="108">
        <v>252</v>
      </c>
      <c r="G11" s="56">
        <f t="shared" si="0"/>
        <v>300</v>
      </c>
    </row>
    <row r="12" spans="1:43" ht="15.75" x14ac:dyDescent="0.25">
      <c r="B12" s="78">
        <v>8</v>
      </c>
      <c r="C12" s="78">
        <v>6</v>
      </c>
      <c r="D12" s="78">
        <f t="shared" si="1"/>
        <v>2020</v>
      </c>
      <c r="E12" s="115">
        <v>45</v>
      </c>
      <c r="F12" s="108">
        <v>228</v>
      </c>
      <c r="G12" s="56">
        <f t="shared" si="0"/>
        <v>273</v>
      </c>
    </row>
    <row r="13" spans="1:43" ht="15.75" x14ac:dyDescent="0.25">
      <c r="B13" s="78">
        <v>9</v>
      </c>
      <c r="C13" s="78">
        <v>6</v>
      </c>
      <c r="D13" s="78">
        <f t="shared" si="1"/>
        <v>2020</v>
      </c>
      <c r="E13" s="115">
        <v>63</v>
      </c>
      <c r="F13" s="108">
        <v>309</v>
      </c>
      <c r="G13" s="56">
        <f t="shared" si="0"/>
        <v>372</v>
      </c>
    </row>
    <row r="14" spans="1:43" ht="15.75" x14ac:dyDescent="0.25">
      <c r="B14" s="78">
        <v>10</v>
      </c>
      <c r="C14" s="78">
        <v>6</v>
      </c>
      <c r="D14" s="78">
        <f t="shared" si="1"/>
        <v>2020</v>
      </c>
      <c r="E14" s="115">
        <v>83</v>
      </c>
      <c r="F14" s="108">
        <v>406</v>
      </c>
      <c r="G14" s="56">
        <f t="shared" si="0"/>
        <v>489</v>
      </c>
    </row>
    <row r="15" spans="1:43" ht="15.75" x14ac:dyDescent="0.25">
      <c r="B15" s="78">
        <v>11</v>
      </c>
      <c r="C15" s="78">
        <v>6</v>
      </c>
      <c r="D15" s="78">
        <f t="shared" si="1"/>
        <v>2020</v>
      </c>
      <c r="E15" s="115">
        <v>59</v>
      </c>
      <c r="F15" s="109">
        <v>287</v>
      </c>
      <c r="G15" s="56">
        <f t="shared" si="0"/>
        <v>346</v>
      </c>
    </row>
    <row r="16" spans="1:43" ht="15.75" x14ac:dyDescent="0.25">
      <c r="B16" s="78">
        <v>12</v>
      </c>
      <c r="C16" s="78">
        <v>6</v>
      </c>
      <c r="D16" s="78">
        <f t="shared" si="1"/>
        <v>2020</v>
      </c>
      <c r="E16" s="115">
        <v>49</v>
      </c>
      <c r="F16" s="109">
        <v>246</v>
      </c>
      <c r="G16" s="56">
        <f t="shared" si="0"/>
        <v>295</v>
      </c>
    </row>
    <row r="17" spans="2:7" ht="15.75" x14ac:dyDescent="0.25">
      <c r="B17" s="78">
        <v>13</v>
      </c>
      <c r="C17" s="78">
        <v>6</v>
      </c>
      <c r="D17" s="78">
        <f t="shared" si="1"/>
        <v>2020</v>
      </c>
      <c r="E17" s="115">
        <v>50</v>
      </c>
      <c r="F17" s="109">
        <v>249</v>
      </c>
      <c r="G17" s="56">
        <f t="shared" si="0"/>
        <v>299</v>
      </c>
    </row>
    <row r="18" spans="2:7" ht="15.75" x14ac:dyDescent="0.25">
      <c r="B18" s="78">
        <v>14</v>
      </c>
      <c r="C18" s="78">
        <v>6</v>
      </c>
      <c r="D18" s="78">
        <f t="shared" si="1"/>
        <v>2020</v>
      </c>
      <c r="E18" s="115">
        <v>54</v>
      </c>
      <c r="F18" s="109">
        <v>273</v>
      </c>
      <c r="G18" s="56">
        <f t="shared" si="0"/>
        <v>327</v>
      </c>
    </row>
    <row r="19" spans="2:7" ht="15.75" x14ac:dyDescent="0.25">
      <c r="B19" s="78">
        <v>15</v>
      </c>
      <c r="C19" s="78">
        <v>6</v>
      </c>
      <c r="D19" s="78">
        <f t="shared" si="1"/>
        <v>2020</v>
      </c>
      <c r="E19" s="115">
        <v>77</v>
      </c>
      <c r="F19" s="108">
        <v>376</v>
      </c>
      <c r="G19" s="56">
        <f t="shared" si="0"/>
        <v>453</v>
      </c>
    </row>
    <row r="20" spans="2:7" ht="15.75" x14ac:dyDescent="0.25">
      <c r="B20" s="78">
        <v>16</v>
      </c>
      <c r="C20" s="78">
        <v>6</v>
      </c>
      <c r="D20" s="78">
        <f t="shared" si="1"/>
        <v>2020</v>
      </c>
      <c r="E20" s="115">
        <v>54</v>
      </c>
      <c r="F20" s="108">
        <v>269</v>
      </c>
      <c r="G20" s="56">
        <f t="shared" si="0"/>
        <v>323</v>
      </c>
    </row>
    <row r="21" spans="2:7" ht="15.75" x14ac:dyDescent="0.25">
      <c r="B21" s="78">
        <v>17</v>
      </c>
      <c r="C21" s="78">
        <v>6</v>
      </c>
      <c r="D21" s="78">
        <f t="shared" si="1"/>
        <v>2020</v>
      </c>
      <c r="E21" s="115">
        <v>50</v>
      </c>
      <c r="F21" s="108">
        <v>246</v>
      </c>
      <c r="G21" s="56">
        <f t="shared" si="0"/>
        <v>296</v>
      </c>
    </row>
    <row r="22" spans="2:7" ht="15.75" x14ac:dyDescent="0.25">
      <c r="B22" s="78">
        <v>18</v>
      </c>
      <c r="C22" s="78">
        <v>6</v>
      </c>
      <c r="D22" s="78">
        <f t="shared" si="1"/>
        <v>2020</v>
      </c>
      <c r="E22" s="115">
        <v>50</v>
      </c>
      <c r="F22" s="108">
        <v>254</v>
      </c>
      <c r="G22" s="56">
        <f t="shared" si="0"/>
        <v>304</v>
      </c>
    </row>
    <row r="23" spans="2:7" ht="15.75" x14ac:dyDescent="0.25">
      <c r="B23" s="78">
        <v>19</v>
      </c>
      <c r="C23" s="78">
        <v>6</v>
      </c>
      <c r="D23" s="78">
        <f t="shared" si="1"/>
        <v>2020</v>
      </c>
      <c r="E23" s="115">
        <v>70</v>
      </c>
      <c r="F23" s="109">
        <v>342</v>
      </c>
      <c r="G23" s="56">
        <f t="shared" si="0"/>
        <v>412</v>
      </c>
    </row>
    <row r="24" spans="2:7" ht="15.75" x14ac:dyDescent="0.25">
      <c r="B24" s="78">
        <v>20</v>
      </c>
      <c r="C24" s="78">
        <v>6</v>
      </c>
      <c r="D24" s="78">
        <f t="shared" si="1"/>
        <v>2020</v>
      </c>
      <c r="E24" s="115">
        <v>48</v>
      </c>
      <c r="F24" s="108">
        <v>248</v>
      </c>
      <c r="G24" s="56">
        <f t="shared" si="0"/>
        <v>296</v>
      </c>
    </row>
    <row r="25" spans="2:7" ht="15.75" x14ac:dyDescent="0.25">
      <c r="B25" s="78">
        <v>21</v>
      </c>
      <c r="C25" s="78">
        <v>6</v>
      </c>
      <c r="D25" s="78">
        <f t="shared" si="1"/>
        <v>2020</v>
      </c>
      <c r="E25" s="115">
        <v>49</v>
      </c>
      <c r="F25" s="108">
        <v>249</v>
      </c>
      <c r="G25" s="56">
        <f t="shared" si="0"/>
        <v>298</v>
      </c>
    </row>
    <row r="26" spans="2:7" ht="15.75" x14ac:dyDescent="0.25">
      <c r="B26" s="78">
        <v>22</v>
      </c>
      <c r="C26" s="78">
        <v>6</v>
      </c>
      <c r="D26" s="78">
        <f t="shared" si="1"/>
        <v>2020</v>
      </c>
      <c r="E26" s="115">
        <v>51</v>
      </c>
      <c r="F26" s="108">
        <v>249</v>
      </c>
      <c r="G26" s="56">
        <f t="shared" si="0"/>
        <v>300</v>
      </c>
    </row>
    <row r="27" spans="2:7" ht="15.75" x14ac:dyDescent="0.25">
      <c r="B27" s="78">
        <v>23</v>
      </c>
      <c r="C27" s="78">
        <v>6</v>
      </c>
      <c r="D27" s="78">
        <f t="shared" si="1"/>
        <v>2020</v>
      </c>
      <c r="E27" s="115">
        <v>53</v>
      </c>
      <c r="F27" s="108">
        <v>240</v>
      </c>
      <c r="G27" s="56">
        <f t="shared" si="0"/>
        <v>293</v>
      </c>
    </row>
    <row r="28" spans="2:7" ht="15.75" x14ac:dyDescent="0.25">
      <c r="B28" s="78">
        <v>24</v>
      </c>
      <c r="C28" s="78">
        <v>6</v>
      </c>
      <c r="D28" s="78">
        <f t="shared" si="1"/>
        <v>2020</v>
      </c>
      <c r="E28" s="115">
        <v>61</v>
      </c>
      <c r="F28" s="108">
        <v>324</v>
      </c>
      <c r="G28" s="56">
        <f t="shared" si="0"/>
        <v>385</v>
      </c>
    </row>
    <row r="29" spans="2:7" ht="15.75" x14ac:dyDescent="0.25">
      <c r="B29" s="78">
        <v>25</v>
      </c>
      <c r="C29" s="78">
        <v>6</v>
      </c>
      <c r="D29" s="78">
        <f t="shared" si="1"/>
        <v>2020</v>
      </c>
      <c r="E29" s="115">
        <v>57</v>
      </c>
      <c r="F29" s="108">
        <v>282</v>
      </c>
      <c r="G29" s="56">
        <f t="shared" si="0"/>
        <v>339</v>
      </c>
    </row>
    <row r="30" spans="2:7" ht="15.75" x14ac:dyDescent="0.25">
      <c r="B30" s="78">
        <v>26</v>
      </c>
      <c r="C30" s="78">
        <v>6</v>
      </c>
      <c r="D30" s="78">
        <f t="shared" si="1"/>
        <v>2020</v>
      </c>
      <c r="E30" s="115">
        <v>76</v>
      </c>
      <c r="F30" s="109">
        <v>366</v>
      </c>
      <c r="G30" s="56">
        <f t="shared" si="0"/>
        <v>442</v>
      </c>
    </row>
    <row r="31" spans="2:7" ht="15.75" x14ac:dyDescent="0.25">
      <c r="B31" s="78">
        <v>27</v>
      </c>
      <c r="C31" s="78">
        <v>6</v>
      </c>
      <c r="D31" s="78">
        <f t="shared" si="1"/>
        <v>2020</v>
      </c>
      <c r="E31" s="115">
        <v>46</v>
      </c>
      <c r="F31" s="108">
        <v>236</v>
      </c>
      <c r="G31" s="56">
        <f t="shared" si="0"/>
        <v>282</v>
      </c>
    </row>
    <row r="32" spans="2:7" ht="15.75" x14ac:dyDescent="0.25">
      <c r="B32" s="78">
        <v>28</v>
      </c>
      <c r="C32" s="78">
        <v>6</v>
      </c>
      <c r="D32" s="78">
        <f t="shared" si="1"/>
        <v>2020</v>
      </c>
      <c r="E32" s="115">
        <v>49</v>
      </c>
      <c r="F32" s="108">
        <v>249</v>
      </c>
      <c r="G32" s="56">
        <f t="shared" si="0"/>
        <v>298</v>
      </c>
    </row>
    <row r="33" spans="2:9" ht="15.75" x14ac:dyDescent="0.25">
      <c r="B33" s="78">
        <v>29</v>
      </c>
      <c r="C33" s="78">
        <v>6</v>
      </c>
      <c r="D33" s="78">
        <f t="shared" si="1"/>
        <v>2020</v>
      </c>
      <c r="E33" s="115">
        <v>47</v>
      </c>
      <c r="F33" s="108">
        <v>236</v>
      </c>
      <c r="G33" s="56">
        <f t="shared" si="0"/>
        <v>283</v>
      </c>
    </row>
    <row r="34" spans="2:9" ht="15.75" x14ac:dyDescent="0.25">
      <c r="B34" s="78">
        <v>30</v>
      </c>
      <c r="C34" s="78">
        <v>6</v>
      </c>
      <c r="D34" s="78">
        <f t="shared" si="1"/>
        <v>2020</v>
      </c>
      <c r="E34" s="115">
        <v>69</v>
      </c>
      <c r="F34" s="108">
        <v>333</v>
      </c>
      <c r="G34" s="56">
        <f t="shared" si="0"/>
        <v>402</v>
      </c>
    </row>
    <row r="35" spans="2:9" ht="21" x14ac:dyDescent="0.35">
      <c r="B35" s="64"/>
      <c r="C35" s="64"/>
      <c r="D35" s="64"/>
      <c r="E35" s="14">
        <f>SUM(E5:E34)</f>
        <v>1704</v>
      </c>
      <c r="F35" s="14">
        <f>SUM(F5:F34)</f>
        <v>8464</v>
      </c>
      <c r="G35" s="14">
        <f>SUM(G5:G34)</f>
        <v>10168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E35+F35</f>
        <v>10168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127608400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2023-03-14T07:05:41Z</dcterms:modified>
</cp:coreProperties>
</file>