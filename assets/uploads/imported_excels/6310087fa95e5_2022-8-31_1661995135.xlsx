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filterPrivacy="1" defaultThemeVersion="124226"/>
  <xr:revisionPtr revIDLastSave="0" documentId="13_ncr:1_{548EEB7A-6269-4078-88D4-E21AEBDA27E8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C13" i="8" l="1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O17" i="2"/>
  <c r="O16" i="2"/>
  <c r="N16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N5" i="8" s="1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L33" i="8" s="1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T7" i="8" s="1"/>
  <c r="C8" i="8"/>
  <c r="C9" i="8"/>
  <c r="C10" i="8"/>
  <c r="R10" i="8" s="1"/>
  <c r="C11" i="8"/>
  <c r="V11" i="8" s="1"/>
  <c r="C12" i="8"/>
  <c r="X12" i="8" s="1"/>
  <c r="C14" i="8"/>
  <c r="C15" i="8"/>
  <c r="C16" i="8"/>
  <c r="C17" i="8"/>
  <c r="T17" i="8" s="1"/>
  <c r="C18" i="8"/>
  <c r="R18" i="8" s="1"/>
  <c r="C19" i="8"/>
  <c r="X19" i="8" s="1"/>
  <c r="C20" i="8"/>
  <c r="C21" i="8"/>
  <c r="C22" i="8"/>
  <c r="C23" i="8"/>
  <c r="C24" i="8"/>
  <c r="C25" i="8"/>
  <c r="T25" i="8" s="1"/>
  <c r="C26" i="8"/>
  <c r="P26" i="8" s="1"/>
  <c r="C27" i="8"/>
  <c r="C28" i="8"/>
  <c r="C29" i="8"/>
  <c r="F29" i="8" s="1"/>
  <c r="C30" i="8"/>
  <c r="C31" i="8"/>
  <c r="V31" i="8" s="1"/>
  <c r="C32" i="8"/>
  <c r="H32" i="8" s="1"/>
  <c r="C33" i="8"/>
  <c r="C34" i="8"/>
  <c r="V34" i="8" s="1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C8" i="3" s="1"/>
  <c r="B9" i="3"/>
  <c r="C9" i="3" s="1"/>
  <c r="B10" i="3"/>
  <c r="C10" i="3" s="1"/>
  <c r="B11" i="3"/>
  <c r="B12" i="3"/>
  <c r="B13" i="3"/>
  <c r="B14" i="3"/>
  <c r="B15" i="3"/>
  <c r="C15" i="3" s="1"/>
  <c r="B16" i="3"/>
  <c r="C16" i="3" s="1"/>
  <c r="B17" i="3"/>
  <c r="C17" i="3" s="1"/>
  <c r="B18" i="3"/>
  <c r="B19" i="3"/>
  <c r="B20" i="3"/>
  <c r="B21" i="3"/>
  <c r="B22" i="3"/>
  <c r="B23" i="3"/>
  <c r="B24" i="3"/>
  <c r="C24" i="3" s="1"/>
  <c r="B25" i="3"/>
  <c r="C25" i="3" s="1"/>
  <c r="B26" i="3"/>
  <c r="C26" i="3" s="1"/>
  <c r="B27" i="3"/>
  <c r="B28" i="3"/>
  <c r="B29" i="3"/>
  <c r="D29" i="3" s="1"/>
  <c r="B30" i="3"/>
  <c r="B31" i="3"/>
  <c r="B32" i="3"/>
  <c r="C32" i="3" s="1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4" s="1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D12" i="3" s="1"/>
  <c r="C14" i="2"/>
  <c r="C13" i="4" s="1"/>
  <c r="C15" i="2"/>
  <c r="C14" i="4" s="1"/>
  <c r="C16" i="2"/>
  <c r="D15" i="3" s="1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F12" i="3" s="1"/>
  <c r="E14" i="2"/>
  <c r="E15" i="2"/>
  <c r="E14" i="4" s="1"/>
  <c r="E16" i="2"/>
  <c r="F15" i="3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I4" i="3" s="1"/>
  <c r="K6" i="2"/>
  <c r="K7" i="2"/>
  <c r="K11" i="2"/>
  <c r="K12" i="2"/>
  <c r="H11" i="4" s="1"/>
  <c r="K13" i="2"/>
  <c r="H12" i="4" s="1"/>
  <c r="K14" i="2"/>
  <c r="K15" i="2"/>
  <c r="K16" i="2"/>
  <c r="K17" i="2"/>
  <c r="K18" i="2"/>
  <c r="K19" i="2"/>
  <c r="K20" i="2"/>
  <c r="K21" i="2"/>
  <c r="K22" i="2"/>
  <c r="K24" i="2"/>
  <c r="K25" i="2"/>
  <c r="K26" i="2"/>
  <c r="H25" i="4" s="1"/>
  <c r="K27" i="2"/>
  <c r="K28" i="2"/>
  <c r="K29" i="2"/>
  <c r="I28" i="3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G32" i="4"/>
  <c r="V24" i="8"/>
  <c r="P25" i="8"/>
  <c r="V33" i="8"/>
  <c r="J5" i="8"/>
  <c r="V7" i="8"/>
  <c r="V23" i="8"/>
  <c r="D4" i="3"/>
  <c r="F24" i="8"/>
  <c r="N8" i="8"/>
  <c r="N15" i="8"/>
  <c r="F5" i="8"/>
  <c r="N33" i="8"/>
  <c r="T5" i="8"/>
  <c r="G20" i="4"/>
  <c r="T33" i="8"/>
  <c r="H33" i="8"/>
  <c r="F13" i="8"/>
  <c r="T13" i="8"/>
  <c r="J13" i="8"/>
  <c r="D15" i="8"/>
  <c r="I9" i="3"/>
  <c r="D14" i="8"/>
  <c r="R22" i="8"/>
  <c r="V8" i="8"/>
  <c r="H16" i="3"/>
  <c r="C28" i="4"/>
  <c r="T14" i="8"/>
  <c r="X23" i="8"/>
  <c r="H13" i="8"/>
  <c r="P15" i="8"/>
  <c r="T23" i="8"/>
  <c r="X31" i="8"/>
  <c r="T6" i="8"/>
  <c r="P23" i="8"/>
  <c r="P22" i="8"/>
  <c r="P31" i="8"/>
  <c r="X22" i="8"/>
  <c r="D23" i="8"/>
  <c r="F23" i="8"/>
  <c r="H23" i="8"/>
  <c r="L6" i="8"/>
  <c r="V16" i="8"/>
  <c r="L15" i="8"/>
  <c r="X15" i="8"/>
  <c r="T22" i="8"/>
  <c r="V15" i="8"/>
  <c r="L31" i="8"/>
  <c r="R6" i="8"/>
  <c r="P6" i="8"/>
  <c r="X5" i="8"/>
  <c r="X6" i="8"/>
  <c r="P9" i="8"/>
  <c r="T30" i="8"/>
  <c r="D9" i="8"/>
  <c r="T9" i="8"/>
  <c r="P16" i="8"/>
  <c r="H9" i="8"/>
  <c r="K33" i="3" l="1"/>
  <c r="E7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D5" i="8"/>
  <c r="I15" i="4"/>
  <c r="X18" i="8"/>
  <c r="X10" i="8"/>
  <c r="H17" i="8"/>
  <c r="V22" i="8"/>
  <c r="T12" i="8"/>
  <c r="R33" i="8"/>
  <c r="R25" i="8"/>
  <c r="R9" i="8"/>
  <c r="H5" i="8"/>
  <c r="D2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D11" i="8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D30" i="8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D21" i="8"/>
  <c r="D32" i="8"/>
  <c r="F21" i="8"/>
  <c r="J32" i="8"/>
  <c r="F15" i="8"/>
  <c r="J15" i="8"/>
  <c r="F32" i="8"/>
  <c r="H16" i="8"/>
  <c r="R29" i="8"/>
  <c r="D22" i="8"/>
  <c r="D6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D10" i="8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D31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D29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D18" i="8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19" i="8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C3" i="3"/>
  <c r="D33" i="8"/>
  <c r="D16" i="8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D12" i="8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D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D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D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D26" i="8"/>
  <c r="J26" i="8"/>
  <c r="X26" i="8"/>
  <c r="L26" i="8"/>
  <c r="T26" i="8"/>
  <c r="R26" i="8"/>
  <c r="X4" i="8"/>
  <c r="D24" i="4"/>
  <c r="E24" i="3"/>
  <c r="V25" i="2"/>
  <c r="M24" i="3" s="1"/>
  <c r="L35" i="2"/>
  <c r="D20" i="8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D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D27" i="8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D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D7" i="8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4" i="2"/>
  <c r="M3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B35" i="2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C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V35" i="2"/>
  <c r="M6" i="3"/>
  <c r="M34" i="3" s="1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<sst xmlns="http://schemas.openxmlformats.org/spreadsheetml/2006/main" count="205" uniqueCount="131">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</sst>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0" fontId="13" fillId="0" borderId="1" xfId="0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-613669.99999999988</c:v>
                </c:pt>
                <c:pt idx="1">
                  <c:v>-3418400</c:v>
                </c:pt>
                <c:pt idx="2">
                  <c:v>-328180.00000000006</c:v>
                </c:pt>
                <c:pt idx="3">
                  <c:v>-1299050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3.695649586383384</c:v>
                </c:pt>
                <c:pt idx="2" formatCode="_(* #,##0.00_);_(* \(#,##0.00\);_(* &quot;-&quot;??_);_(@_)">
                  <c:v>-274503</c:v>
                </c:pt>
                <c:pt idx="3">
                  <c:v>16.336547045170505</c:v>
                </c:pt>
                <c:pt idx="4" formatCode="0.00">
                  <c:v>-31606</c:v>
                </c:pt>
                <c:pt idx="5">
                  <c:v>1.8809736356602988</c:v>
                </c:pt>
                <c:pt idx="6" formatCode="0.00">
                  <c:v>-45468</c:v>
                </c:pt>
                <c:pt idx="7">
                  <c:v>2.7059453668987681</c:v>
                </c:pt>
                <c:pt idx="8" formatCode="0.00">
                  <c:v>-433</c:v>
                </c:pt>
                <c:pt idx="9">
                  <c:v>2.5769207879545321E-2</c:v>
                </c:pt>
                <c:pt idx="10" formatCode="0.00">
                  <c:v>-1908</c:v>
                </c:pt>
                <c:pt idx="11">
                  <c:v>0.11355115158007499</c:v>
                </c:pt>
                <c:pt idx="12" formatCode="0.00">
                  <c:v>-67225</c:v>
                </c:pt>
                <c:pt idx="13">
                  <c:v>4.0007736713682078</c:v>
                </c:pt>
                <c:pt idx="14" formatCode="_(* #,##0.00_);_(* \(#,##0.00\);_(* &quot;-&quot;??_);_(@_)">
                  <c:v>-274770</c:v>
                </c:pt>
                <c:pt idx="15">
                  <c:v>16.352437064809855</c:v>
                </c:pt>
                <c:pt idx="16" formatCode="0.00">
                  <c:v>-121037</c:v>
                </c:pt>
                <c:pt idx="17">
                  <c:v>7.2032970302922097</c:v>
                </c:pt>
                <c:pt idx="18" formatCode="0.00">
                  <c:v>-23163</c:v>
                </c:pt>
                <c:pt idx="19">
                  <c:v>1.3785038386002499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-902211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31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8</v>
      </c>
      <c r="D2" s="112">
        <v>2022</v>
      </c>
      <c r="E2" s="54">
        <v>19349.999999999</v>
      </c>
      <c r="F2" s="118"/>
      <c r="G2" s="102">
        <v>5192</v>
      </c>
      <c r="H2" s="119"/>
      <c r="I2" s="63">
        <v>326</v>
      </c>
      <c r="J2" s="73"/>
      <c r="K2" s="99"/>
      <c r="L2" s="73"/>
      <c r="M2" s="69">
        <v>12</v>
      </c>
      <c r="N2" s="69">
        <v>49</v>
      </c>
      <c r="O2" s="69">
        <v>106</v>
      </c>
    </row>
    <row r="3" spans="1:15" ht="15" x14ac:dyDescent="0.25">
      <c r="A3" s="44" t="s">
        <v>9</v>
      </c>
      <c r="B3" s="45">
        <f>B2+1</f>
        <v>2</v>
      </c>
      <c r="C3" s="46">
        <v>8</v>
      </c>
      <c r="D3" s="112">
        <v>2022</v>
      </c>
      <c r="E3" s="54">
        <v>19529.999999999291</v>
      </c>
      <c r="F3" s="118"/>
      <c r="G3" s="102">
        <v>5564</v>
      </c>
      <c r="H3" s="119"/>
      <c r="I3" s="63">
        <v>336</v>
      </c>
      <c r="J3" s="73"/>
      <c r="K3" s="99"/>
      <c r="L3" s="73"/>
      <c r="M3" s="69">
        <v>18</v>
      </c>
      <c r="N3" s="69">
        <v>58</v>
      </c>
      <c r="O3" s="69">
        <v>126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8</v>
      </c>
      <c r="D4" s="112">
        <v>2022</v>
      </c>
      <c r="E4" s="54">
        <v>21162.000000000946</v>
      </c>
      <c r="F4" s="118"/>
      <c r="G4" s="102">
        <v>5711</v>
      </c>
      <c r="H4" s="119"/>
      <c r="I4" s="63">
        <v>301</v>
      </c>
      <c r="J4" s="73"/>
      <c r="K4" s="99"/>
      <c r="L4" s="73"/>
      <c r="M4" s="69">
        <v>17</v>
      </c>
      <c r="N4" s="69">
        <v>50</v>
      </c>
      <c r="O4" s="69">
        <v>119</v>
      </c>
    </row>
    <row r="5" spans="1:15" ht="15" x14ac:dyDescent="0.25">
      <c r="A5" s="44" t="s">
        <v>9</v>
      </c>
      <c r="B5" s="45">
        <f t="shared" si="0"/>
        <v>4</v>
      </c>
      <c r="C5" s="46">
        <v>8</v>
      </c>
      <c r="D5" s="112">
        <v>2022</v>
      </c>
      <c r="E5" s="54">
        <v>19067.999999999531</v>
      </c>
      <c r="F5" s="118"/>
      <c r="G5" s="102">
        <v>5452</v>
      </c>
      <c r="H5" s="119"/>
      <c r="I5" s="63">
        <v>259</v>
      </c>
      <c r="J5" s="73"/>
      <c r="K5" s="99"/>
      <c r="L5" s="73"/>
      <c r="M5" s="69">
        <v>21</v>
      </c>
      <c r="N5" s="69">
        <v>57</v>
      </c>
      <c r="O5" s="69">
        <v>123</v>
      </c>
    </row>
    <row r="6" spans="1:15" ht="15" x14ac:dyDescent="0.25">
      <c r="A6" s="44" t="s">
        <v>9</v>
      </c>
      <c r="B6" s="45">
        <f t="shared" si="0"/>
        <v>5</v>
      </c>
      <c r="C6" s="46">
        <v>8</v>
      </c>
      <c r="D6" s="112">
        <v>2022</v>
      </c>
      <c r="E6" s="54">
        <v>18569.999999999709</v>
      </c>
      <c r="F6" s="118"/>
      <c r="G6" s="102">
        <v>5119</v>
      </c>
      <c r="H6" s="119"/>
      <c r="I6" s="63">
        <v>282</v>
      </c>
      <c r="J6" s="73"/>
      <c r="K6" s="99"/>
      <c r="L6" s="73"/>
      <c r="M6" s="69">
        <v>22</v>
      </c>
      <c r="N6" s="69">
        <v>58</v>
      </c>
      <c r="O6" s="69">
        <v>149</v>
      </c>
    </row>
    <row r="7" spans="1:15" ht="15" x14ac:dyDescent="0.25">
      <c r="A7" s="44" t="s">
        <v>9</v>
      </c>
      <c r="B7" s="45">
        <f t="shared" si="0"/>
        <v>6</v>
      </c>
      <c r="C7" s="46">
        <v>8</v>
      </c>
      <c r="D7" s="112">
        <v>2022</v>
      </c>
      <c r="E7" s="54">
        <v>19559.999999999716</v>
      </c>
      <c r="F7" s="118"/>
      <c r="G7" s="102">
        <v>5378</v>
      </c>
      <c r="H7" s="119"/>
      <c r="I7" s="63">
        <v>341</v>
      </c>
      <c r="J7" s="73"/>
      <c r="K7" s="99"/>
      <c r="L7" s="73"/>
      <c r="M7" s="69">
        <v>22</v>
      </c>
      <c r="N7" s="69">
        <v>60</v>
      </c>
      <c r="O7" s="69">
        <v>180</v>
      </c>
    </row>
    <row r="8" spans="1:15" ht="15" x14ac:dyDescent="0.25">
      <c r="A8" s="44" t="s">
        <v>9</v>
      </c>
      <c r="B8" s="45">
        <f t="shared" si="0"/>
        <v>7</v>
      </c>
      <c r="C8" s="46">
        <v>8</v>
      </c>
      <c r="D8" s="112">
        <v>2022</v>
      </c>
      <c r="E8" s="102">
        <v>20700.000000000728</v>
      </c>
      <c r="F8" s="118"/>
      <c r="G8" s="102">
        <v>5780</v>
      </c>
      <c r="H8" s="119"/>
      <c r="I8" s="63">
        <v>333</v>
      </c>
      <c r="J8" s="73"/>
      <c r="K8" s="99"/>
      <c r="L8" s="73"/>
      <c r="M8" s="69">
        <v>22</v>
      </c>
      <c r="N8" s="69">
        <v>66</v>
      </c>
      <c r="O8" s="69">
        <v>174</v>
      </c>
    </row>
    <row r="9" spans="1:15" ht="15" x14ac:dyDescent="0.25">
      <c r="A9" s="44" t="s">
        <v>9</v>
      </c>
      <c r="B9" s="45">
        <f t="shared" si="0"/>
        <v>8</v>
      </c>
      <c r="C9" s="46">
        <v>8</v>
      </c>
      <c r="D9" s="112">
        <v>2022</v>
      </c>
      <c r="E9" s="102">
        <v>20509.999999999764</v>
      </c>
      <c r="F9" s="118"/>
      <c r="G9" s="130">
        <v>5655</v>
      </c>
      <c r="H9" s="119"/>
      <c r="I9" s="63">
        <v>349</v>
      </c>
      <c r="J9" s="73"/>
      <c r="K9" s="99"/>
      <c r="L9" s="73"/>
      <c r="M9" s="69">
        <v>29</v>
      </c>
      <c r="N9" s="69">
        <v>82</v>
      </c>
      <c r="O9" s="69">
        <v>182</v>
      </c>
    </row>
    <row r="10" spans="1:15" ht="15" x14ac:dyDescent="0.25">
      <c r="A10" s="44" t="s">
        <v>9</v>
      </c>
      <c r="B10" s="45">
        <f t="shared" si="0"/>
        <v>9</v>
      </c>
      <c r="C10" s="46">
        <v>8</v>
      </c>
      <c r="D10" s="112">
        <v>2022</v>
      </c>
      <c r="E10" s="102">
        <v>19900.000000000546</v>
      </c>
      <c r="F10" s="118"/>
      <c r="G10" s="102">
        <v>5496</v>
      </c>
      <c r="H10" s="119"/>
      <c r="I10" s="63">
        <v>296</v>
      </c>
      <c r="J10" s="73"/>
      <c r="K10" s="99"/>
      <c r="L10" s="73"/>
      <c r="M10" s="69">
        <v>32</v>
      </c>
      <c r="N10" s="69">
        <v>91</v>
      </c>
      <c r="O10" s="69">
        <v>198</v>
      </c>
    </row>
    <row r="11" spans="1:15" ht="15" x14ac:dyDescent="0.25">
      <c r="A11" s="44" t="s">
        <v>9</v>
      </c>
      <c r="B11" s="45">
        <f t="shared" si="0"/>
        <v>10</v>
      </c>
      <c r="C11" s="46">
        <v>8</v>
      </c>
      <c r="D11" s="112">
        <v>2022</v>
      </c>
      <c r="E11" s="102">
        <v>19910.000000000535</v>
      </c>
      <c r="F11" s="118"/>
      <c r="G11" s="102">
        <v>5336</v>
      </c>
      <c r="H11" s="119"/>
      <c r="I11" s="63">
        <v>315</v>
      </c>
      <c r="J11" s="73"/>
      <c r="K11" s="99"/>
      <c r="L11" s="73"/>
      <c r="M11" s="69">
        <v>30</v>
      </c>
      <c r="N11" s="69">
        <v>87</v>
      </c>
      <c r="O11" s="69">
        <v>333</v>
      </c>
    </row>
    <row r="12" spans="1:15" ht="15" x14ac:dyDescent="0.25">
      <c r="A12" s="44" t="s">
        <v>9</v>
      </c>
      <c r="B12" s="45">
        <f t="shared" si="0"/>
        <v>11</v>
      </c>
      <c r="C12" s="46">
        <v>8</v>
      </c>
      <c r="D12" s="112">
        <v>2022</v>
      </c>
      <c r="E12" s="102">
        <v>18759.999999998399</v>
      </c>
      <c r="F12" s="118"/>
      <c r="G12" s="102">
        <v>5176</v>
      </c>
      <c r="H12" s="119"/>
      <c r="I12" s="63">
        <v>312</v>
      </c>
      <c r="J12" s="73"/>
      <c r="K12" s="99"/>
      <c r="L12" s="73"/>
      <c r="M12" s="69">
        <v>35</v>
      </c>
      <c r="N12" s="69">
        <v>99</v>
      </c>
      <c r="O12" s="69">
        <v>210</v>
      </c>
    </row>
    <row r="13" spans="1:15" ht="15" x14ac:dyDescent="0.25">
      <c r="A13" s="44" t="s">
        <v>9</v>
      </c>
      <c r="B13" s="45">
        <f t="shared" si="0"/>
        <v>12</v>
      </c>
      <c r="C13" s="46">
        <v>8</v>
      </c>
      <c r="D13" s="112">
        <v>2022</v>
      </c>
      <c r="E13" s="102">
        <v>19000.000000002499</v>
      </c>
      <c r="F13" s="118"/>
      <c r="G13" s="102">
        <v>5433</v>
      </c>
      <c r="H13" s="119"/>
      <c r="I13" s="63">
        <v>297</v>
      </c>
      <c r="J13" s="73"/>
      <c r="K13" s="99"/>
      <c r="L13" s="73"/>
      <c r="M13" s="69">
        <v>39</v>
      </c>
      <c r="N13" s="69">
        <v>115</v>
      </c>
      <c r="O13" s="69">
        <v>241</v>
      </c>
    </row>
    <row r="14" spans="1:15" ht="15" x14ac:dyDescent="0.25">
      <c r="A14" s="44" t="s">
        <v>9</v>
      </c>
      <c r="B14" s="45">
        <f t="shared" si="0"/>
        <v>13</v>
      </c>
      <c r="C14" s="46">
        <v>8</v>
      </c>
      <c r="D14" s="112">
        <v>2022</v>
      </c>
      <c r="E14" s="102"/>
      <c r="F14" s="118"/>
      <c r="G14" s="102"/>
      <c r="H14" s="119"/>
      <c r="I14" s="63"/>
      <c r="J14" s="73"/>
      <c r="K14" s="99"/>
      <c r="L14" s="73"/>
      <c r="M14" s="69">
        <v>36</v>
      </c>
      <c r="N14" s="69">
        <v>100</v>
      </c>
      <c r="O14" s="69">
        <v>245</v>
      </c>
    </row>
    <row r="15" spans="1:15" ht="15" x14ac:dyDescent="0.25">
      <c r="A15" s="44" t="s">
        <v>9</v>
      </c>
      <c r="B15" s="45">
        <f t="shared" si="0"/>
        <v>14</v>
      </c>
      <c r="C15" s="46">
        <v>8</v>
      </c>
      <c r="D15" s="112">
        <v>2022</v>
      </c>
      <c r="E15" s="102"/>
      <c r="F15" s="118"/>
      <c r="G15" s="102"/>
      <c r="H15" s="119"/>
      <c r="I15" s="63"/>
      <c r="J15" s="73"/>
      <c r="K15" s="99"/>
      <c r="L15" s="73"/>
      <c r="M15" s="69">
        <v>28</v>
      </c>
      <c r="N15" s="69">
        <v>79</v>
      </c>
      <c r="O15" s="69">
        <v>191</v>
      </c>
    </row>
    <row r="16" spans="1:15" ht="15" x14ac:dyDescent="0.25">
      <c r="A16" s="44" t="s">
        <v>9</v>
      </c>
      <c r="B16" s="45">
        <f t="shared" si="0"/>
        <v>15</v>
      </c>
      <c r="C16" s="46">
        <v>8</v>
      </c>
      <c r="D16" s="112">
        <v>2022</v>
      </c>
      <c r="E16" s="102"/>
      <c r="F16" s="118"/>
      <c r="G16" s="102"/>
      <c r="H16" s="119"/>
      <c r="I16" s="63"/>
      <c r="J16" s="73"/>
      <c r="K16" s="99"/>
      <c r="L16" s="73"/>
      <c r="M16" s="69">
        <v>23</v>
      </c>
      <c r="N16" s="69">
        <v>66</v>
      </c>
      <c r="O16" s="69">
        <v>187</v>
      </c>
    </row>
    <row r="17" spans="1:15" ht="15" x14ac:dyDescent="0.25">
      <c r="A17" s="44" t="s">
        <v>9</v>
      </c>
      <c r="B17" s="45">
        <f t="shared" si="0"/>
        <v>16</v>
      </c>
      <c r="C17" s="46">
        <v>8</v>
      </c>
      <c r="D17" s="112">
        <v>2022</v>
      </c>
      <c r="E17" s="102"/>
      <c r="F17" s="118"/>
      <c r="G17" s="102"/>
      <c r="H17" s="119"/>
      <c r="I17" s="63"/>
      <c r="J17" s="73"/>
      <c r="K17" s="99"/>
      <c r="L17" s="73"/>
      <c r="M17" s="69">
        <v>28</v>
      </c>
      <c r="N17" s="69">
        <v>73</v>
      </c>
      <c r="O17" s="69">
        <v>196</v>
      </c>
    </row>
    <row r="18" spans="1:15" ht="15" x14ac:dyDescent="0.25">
      <c r="A18" s="44" t="s">
        <v>9</v>
      </c>
      <c r="B18" s="45">
        <f t="shared" si="0"/>
        <v>17</v>
      </c>
      <c r="C18" s="46">
        <v>8</v>
      </c>
      <c r="D18" s="112">
        <v>2022</v>
      </c>
      <c r="E18" s="102"/>
      <c r="F18" s="118"/>
      <c r="G18" s="102"/>
      <c r="H18" s="119"/>
      <c r="I18" s="63"/>
      <c r="J18" s="73"/>
      <c r="K18" s="99"/>
      <c r="L18" s="73"/>
      <c r="M18" s="69">
        <v>28</v>
      </c>
      <c r="N18" s="69">
        <v>71</v>
      </c>
      <c r="O18" s="69">
        <v>202</v>
      </c>
    </row>
    <row r="19" spans="1:15" ht="15" x14ac:dyDescent="0.25">
      <c r="A19" s="44" t="s">
        <v>9</v>
      </c>
      <c r="B19" s="45">
        <f t="shared" si="0"/>
        <v>18</v>
      </c>
      <c r="C19" s="46">
        <v>8</v>
      </c>
      <c r="D19" s="112">
        <v>2022</v>
      </c>
      <c r="E19" s="102"/>
      <c r="F19" s="118"/>
      <c r="G19" s="102"/>
      <c r="H19" s="119"/>
      <c r="I19" s="63"/>
      <c r="J19" s="73"/>
      <c r="K19" s="99"/>
      <c r="L19" s="73"/>
      <c r="M19" s="69">
        <v>33</v>
      </c>
      <c r="N19" s="69">
        <v>93</v>
      </c>
      <c r="O19" s="69">
        <v>195</v>
      </c>
    </row>
    <row r="20" spans="1:15" ht="15" x14ac:dyDescent="0.25">
      <c r="A20" s="44" t="s">
        <v>9</v>
      </c>
      <c r="B20" s="45">
        <f t="shared" si="0"/>
        <v>19</v>
      </c>
      <c r="C20" s="46">
        <v>8</v>
      </c>
      <c r="D20" s="112">
        <v>2022</v>
      </c>
      <c r="E20" s="102"/>
      <c r="F20" s="118"/>
      <c r="G20" s="102"/>
      <c r="H20" s="119"/>
      <c r="I20" s="63"/>
      <c r="J20" s="73"/>
      <c r="K20" s="99"/>
      <c r="L20" s="73"/>
      <c r="M20" s="69">
        <v>27</v>
      </c>
      <c r="N20" s="69">
        <v>76</v>
      </c>
      <c r="O20" s="69">
        <v>245</v>
      </c>
    </row>
    <row r="21" spans="1:15" ht="15" x14ac:dyDescent="0.25">
      <c r="A21" s="44" t="s">
        <v>9</v>
      </c>
      <c r="B21" s="45">
        <f t="shared" si="0"/>
        <v>20</v>
      </c>
      <c r="C21" s="46">
        <v>8</v>
      </c>
      <c r="D21" s="112">
        <v>2022</v>
      </c>
      <c r="E21" s="102"/>
      <c r="F21" s="118"/>
      <c r="G21" s="102"/>
      <c r="H21" s="119"/>
      <c r="I21" s="63"/>
      <c r="J21" s="73"/>
      <c r="K21" s="99"/>
      <c r="L21" s="73"/>
      <c r="M21" s="69">
        <v>30</v>
      </c>
      <c r="N21" s="69">
        <v>86</v>
      </c>
      <c r="O21" s="69">
        <v>233</v>
      </c>
    </row>
    <row r="22" spans="1:15" ht="15" x14ac:dyDescent="0.25">
      <c r="A22" s="44" t="s">
        <v>9</v>
      </c>
      <c r="B22" s="45">
        <f t="shared" si="0"/>
        <v>21</v>
      </c>
      <c r="C22" s="46">
        <v>8</v>
      </c>
      <c r="D22" s="112">
        <v>2022</v>
      </c>
      <c r="E22" s="102"/>
      <c r="F22" s="118"/>
      <c r="G22" s="102"/>
      <c r="H22" s="119"/>
      <c r="I22" s="63"/>
      <c r="J22" s="73"/>
      <c r="K22" s="99"/>
      <c r="L22" s="73"/>
      <c r="M22" s="69">
        <v>26</v>
      </c>
      <c r="N22" s="69">
        <v>83</v>
      </c>
      <c r="O22" s="69">
        <v>208</v>
      </c>
    </row>
    <row r="23" spans="1:15" ht="15" x14ac:dyDescent="0.25">
      <c r="A23" s="44" t="s">
        <v>9</v>
      </c>
      <c r="B23" s="45">
        <f t="shared" si="0"/>
        <v>22</v>
      </c>
      <c r="C23" s="46">
        <v>8</v>
      </c>
      <c r="D23" s="112">
        <v>2022</v>
      </c>
      <c r="E23" s="102"/>
      <c r="F23" s="118"/>
      <c r="G23" s="102"/>
      <c r="H23" s="119"/>
      <c r="I23" s="63"/>
      <c r="J23" s="73"/>
      <c r="K23" s="99"/>
      <c r="L23" s="73"/>
      <c r="M23" s="69">
        <v>33</v>
      </c>
      <c r="N23" s="69">
        <v>130</v>
      </c>
      <c r="O23" s="69">
        <v>268</v>
      </c>
    </row>
    <row r="24" spans="1:15" ht="15" x14ac:dyDescent="0.25">
      <c r="A24" s="44" t="s">
        <v>9</v>
      </c>
      <c r="B24" s="45">
        <f t="shared" si="0"/>
        <v>23</v>
      </c>
      <c r="C24" s="46">
        <v>8</v>
      </c>
      <c r="D24" s="112">
        <v>2022</v>
      </c>
      <c r="E24" s="102"/>
      <c r="F24" s="118"/>
      <c r="G24" s="102"/>
      <c r="H24" s="119"/>
      <c r="I24" s="63"/>
      <c r="J24" s="73"/>
      <c r="K24" s="99"/>
      <c r="L24" s="73"/>
      <c r="M24" s="69">
        <v>25</v>
      </c>
      <c r="N24" s="69">
        <v>114</v>
      </c>
      <c r="O24" s="69">
        <v>230</v>
      </c>
    </row>
    <row r="25" spans="1:15" ht="15" x14ac:dyDescent="0.25">
      <c r="A25" s="44" t="s">
        <v>9</v>
      </c>
      <c r="B25" s="45">
        <f t="shared" si="0"/>
        <v>24</v>
      </c>
      <c r="C25" s="46">
        <v>8</v>
      </c>
      <c r="D25" s="112">
        <v>2022</v>
      </c>
      <c r="E25" s="102"/>
      <c r="F25" s="118"/>
      <c r="G25" s="102"/>
      <c r="H25" s="119"/>
      <c r="I25" s="63"/>
      <c r="J25" s="73"/>
      <c r="K25" s="99"/>
      <c r="L25" s="73"/>
      <c r="M25" s="69">
        <v>21</v>
      </c>
      <c r="N25" s="69">
        <v>119</v>
      </c>
      <c r="O25" s="69">
        <v>204</v>
      </c>
    </row>
    <row r="26" spans="1:15" ht="15" x14ac:dyDescent="0.25">
      <c r="A26" s="44" t="s">
        <v>9</v>
      </c>
      <c r="B26" s="45">
        <f>B25+1</f>
        <v>25</v>
      </c>
      <c r="C26" s="46">
        <v>8</v>
      </c>
      <c r="D26" s="112">
        <v>2022</v>
      </c>
      <c r="E26" s="102"/>
      <c r="F26" s="118"/>
      <c r="G26" s="102"/>
      <c r="H26" s="119"/>
      <c r="I26" s="63"/>
      <c r="J26" s="73"/>
      <c r="K26" s="99"/>
      <c r="L26" s="73"/>
      <c r="M26" s="69">
        <v>18</v>
      </c>
      <c r="N26" s="69">
        <v>104</v>
      </c>
      <c r="O26" s="69">
        <v>200</v>
      </c>
    </row>
    <row r="27" spans="1:15" ht="15" x14ac:dyDescent="0.25">
      <c r="A27" s="44" t="s">
        <v>9</v>
      </c>
      <c r="B27" s="45">
        <f t="shared" si="0"/>
        <v>26</v>
      </c>
      <c r="C27" s="46">
        <v>8</v>
      </c>
      <c r="D27" s="112">
        <v>2022</v>
      </c>
      <c r="E27" s="102"/>
      <c r="F27" s="118"/>
      <c r="G27" s="102"/>
      <c r="H27" s="119"/>
      <c r="I27" s="63"/>
      <c r="J27" s="73"/>
      <c r="K27" s="99"/>
      <c r="L27" s="73"/>
      <c r="M27" s="69">
        <v>20</v>
      </c>
      <c r="N27" s="69">
        <v>113</v>
      </c>
      <c r="O27" s="69">
        <v>180</v>
      </c>
    </row>
    <row r="28" spans="1:15" ht="15" x14ac:dyDescent="0.25">
      <c r="A28" s="44" t="s">
        <v>9</v>
      </c>
      <c r="B28" s="45">
        <f t="shared" si="0"/>
        <v>27</v>
      </c>
      <c r="C28" s="46">
        <v>8</v>
      </c>
      <c r="D28" s="112">
        <v>2022</v>
      </c>
      <c r="E28" s="102"/>
      <c r="F28" s="118"/>
      <c r="G28" s="102"/>
      <c r="H28" s="119"/>
      <c r="I28" s="63"/>
      <c r="J28" s="73"/>
      <c r="K28" s="99"/>
      <c r="L28" s="73"/>
      <c r="M28" s="69">
        <v>21</v>
      </c>
      <c r="N28" s="69">
        <v>111</v>
      </c>
      <c r="O28" s="69">
        <v>218</v>
      </c>
    </row>
    <row r="29" spans="1:15" ht="15" x14ac:dyDescent="0.25">
      <c r="A29" s="44" t="s">
        <v>9</v>
      </c>
      <c r="B29" s="45">
        <f t="shared" si="0"/>
        <v>28</v>
      </c>
      <c r="C29" s="46">
        <v>8</v>
      </c>
      <c r="D29" s="112">
        <v>2022</v>
      </c>
      <c r="E29" s="102"/>
      <c r="F29" s="118"/>
      <c r="G29" s="102"/>
      <c r="H29" s="119"/>
      <c r="I29" s="63"/>
      <c r="J29" s="73"/>
      <c r="K29" s="99"/>
      <c r="L29" s="73"/>
      <c r="M29" s="69">
        <v>19</v>
      </c>
      <c r="N29" s="69">
        <v>93</v>
      </c>
      <c r="O29" s="69">
        <v>169</v>
      </c>
    </row>
    <row r="30" spans="1:15" ht="15" x14ac:dyDescent="0.25">
      <c r="A30" s="44" t="s">
        <v>9</v>
      </c>
      <c r="B30" s="45">
        <f t="shared" si="0"/>
        <v>29</v>
      </c>
      <c r="C30" s="46">
        <v>8</v>
      </c>
      <c r="D30" s="112">
        <v>2022</v>
      </c>
      <c r="E30" s="102"/>
      <c r="F30" s="118"/>
      <c r="G30" s="102"/>
      <c r="H30" s="119"/>
      <c r="I30" s="63"/>
      <c r="J30" s="73"/>
      <c r="K30" s="99"/>
      <c r="L30" s="73"/>
      <c r="M30" s="69">
        <v>16</v>
      </c>
      <c r="N30" s="69">
        <v>60</v>
      </c>
      <c r="O30" s="69">
        <v>158</v>
      </c>
    </row>
    <row r="31" spans="1:15" ht="15" x14ac:dyDescent="0.25">
      <c r="A31" s="44" t="s">
        <v>9</v>
      </c>
      <c r="B31" s="45">
        <f t="shared" si="0"/>
        <v>30</v>
      </c>
      <c r="C31" s="46">
        <v>8</v>
      </c>
      <c r="D31" s="112">
        <v>2022</v>
      </c>
      <c r="E31" s="98"/>
      <c r="F31" s="118"/>
      <c r="G31" s="98"/>
      <c r="H31" s="119"/>
      <c r="I31" s="63"/>
      <c r="J31" s="73"/>
      <c r="K31" s="99"/>
      <c r="L31" s="73"/>
      <c r="M31" s="69">
        <v>15</v>
      </c>
      <c r="N31" s="69">
        <v>54</v>
      </c>
      <c r="O31" s="69">
        <v>133</v>
      </c>
    </row>
    <row r="32" spans="1:15" ht="15" x14ac:dyDescent="0.25">
      <c r="A32" s="44" t="s">
        <v>9</v>
      </c>
      <c r="B32" s="45">
        <f t="shared" si="0"/>
        <v>31</v>
      </c>
      <c r="C32" s="46">
        <v>8</v>
      </c>
      <c r="D32" s="112">
        <v>2022</v>
      </c>
      <c r="E32" s="98"/>
      <c r="F32" s="118"/>
      <c r="G32" s="98"/>
      <c r="H32" s="119"/>
      <c r="I32" s="63"/>
      <c r="J32" s="73"/>
      <c r="K32" s="99"/>
      <c r="L32" s="73"/>
      <c r="M32" s="69"/>
      <c r="N32" s="69"/>
      <c r="O32" s="69"/>
    </row>
    <row r="33" spans="1:15" ht="18.75" customHeight="1" x14ac:dyDescent="0.2">
      <c r="A33" s="137" t="s">
        <v>51</v>
      </c>
      <c r="B33" s="137"/>
      <c r="C33" s="137"/>
      <c r="D33" s="137"/>
      <c r="E33" s="97">
        <f>SUM(E2:E32)</f>
        <v>236020.00000000067</v>
      </c>
      <c r="F33" s="95">
        <v>0</v>
      </c>
      <c r="G33" s="97">
        <f>SUM(G2:G32)</f>
        <v>65292</v>
      </c>
      <c r="H33" s="94">
        <v>0</v>
      </c>
      <c r="I33" s="97">
        <f>SUM(I2:I32)</f>
        <v>3747</v>
      </c>
      <c r="J33" s="95">
        <v>0</v>
      </c>
      <c r="K33" s="96">
        <f>SUM(K2:K32)</f>
        <v>0</v>
      </c>
      <c r="L33" s="94">
        <v>0</v>
      </c>
      <c r="M33" s="97">
        <f>SUM(M2:M32)</f>
        <v>746</v>
      </c>
      <c r="N33" s="97">
        <f>SUM(N2:N32)</f>
        <v>2497</v>
      </c>
      <c r="O33" s="97">
        <f>SUM(O2:O32)</f>
        <v>5803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3" zoomScale="78" zoomScaleNormal="78" workbookViewId="0">
      <selection activeCell="V4" sqref="V4:X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1" t="s">
        <v>10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74"/>
      <c r="V1" s="74"/>
    </row>
    <row r="2" spans="1:25" s="17" customFormat="1" ht="33" customHeight="1" x14ac:dyDescent="0.25">
      <c r="A2" s="28" t="s">
        <v>2</v>
      </c>
      <c r="B2" s="138" t="s">
        <v>124</v>
      </c>
      <c r="C2" s="138" t="s">
        <v>11</v>
      </c>
      <c r="D2" s="138" t="s">
        <v>12</v>
      </c>
      <c r="E2" s="138" t="s">
        <v>13</v>
      </c>
      <c r="F2" s="138" t="s">
        <v>14</v>
      </c>
      <c r="G2" s="143" t="s">
        <v>130</v>
      </c>
      <c r="H2" s="145" t="s">
        <v>15</v>
      </c>
      <c r="I2" s="138" t="s">
        <v>16</v>
      </c>
      <c r="J2" s="148" t="s">
        <v>17</v>
      </c>
      <c r="K2" s="149"/>
      <c r="L2" s="150"/>
      <c r="M2" s="143" t="s">
        <v>18</v>
      </c>
      <c r="N2" s="145" t="s">
        <v>19</v>
      </c>
      <c r="O2" s="146" t="s">
        <v>20</v>
      </c>
      <c r="P2" s="145" t="s">
        <v>21</v>
      </c>
      <c r="Q2" s="151" t="s">
        <v>22</v>
      </c>
      <c r="R2" s="138" t="s">
        <v>23</v>
      </c>
      <c r="S2" s="138" t="s">
        <v>24</v>
      </c>
      <c r="T2" s="138" t="s">
        <v>25</v>
      </c>
      <c r="V2" s="140" t="s">
        <v>6</v>
      </c>
      <c r="W2" s="140" t="s">
        <v>7</v>
      </c>
      <c r="X2" s="140" t="s">
        <v>8</v>
      </c>
    </row>
    <row r="3" spans="1:25" s="17" customFormat="1" ht="45" customHeight="1" x14ac:dyDescent="0.25">
      <c r="A3" s="29"/>
      <c r="B3" s="139"/>
      <c r="C3" s="139"/>
      <c r="D3" s="139"/>
      <c r="E3" s="139"/>
      <c r="F3" s="139"/>
      <c r="G3" s="144"/>
      <c r="H3" s="145"/>
      <c r="I3" s="139"/>
      <c r="J3" s="18" t="s">
        <v>26</v>
      </c>
      <c r="K3" s="18" t="s">
        <v>27</v>
      </c>
      <c r="L3" s="18" t="s">
        <v>28</v>
      </c>
      <c r="M3" s="144"/>
      <c r="N3" s="145"/>
      <c r="O3" s="147"/>
      <c r="P3" s="145"/>
      <c r="Q3" s="152"/>
      <c r="R3" s="139"/>
      <c r="S3" s="139"/>
      <c r="T3" s="139"/>
      <c r="V3" s="140"/>
      <c r="W3" s="140"/>
      <c r="X3" s="140"/>
    </row>
    <row r="4" spans="1:25" ht="21" customHeight="1" x14ac:dyDescent="0.25">
      <c r="A4" s="8">
        <v>44774</v>
      </c>
      <c r="B4" s="104">
        <v>1.4440999999999999</v>
      </c>
      <c r="C4" s="105">
        <v>328.18</v>
      </c>
      <c r="D4" s="105">
        <v>8299585.3399999999</v>
      </c>
      <c r="E4" s="105">
        <v>9301762.3100000005</v>
      </c>
      <c r="F4" s="105">
        <v>3.4184000000000001</v>
      </c>
      <c r="G4" s="105">
        <v>1.0938000000000001</v>
      </c>
      <c r="H4" s="105">
        <v>1.008</v>
      </c>
      <c r="I4" s="105">
        <v>356.43</v>
      </c>
      <c r="J4" s="105">
        <v>496.57</v>
      </c>
      <c r="K4" s="105">
        <v>476.71</v>
      </c>
      <c r="L4" s="105">
        <v>325.77</v>
      </c>
      <c r="M4" s="105">
        <v>819.48</v>
      </c>
      <c r="N4" s="105">
        <v>746.05</v>
      </c>
      <c r="O4" s="105">
        <v>236.09</v>
      </c>
      <c r="P4" s="105">
        <v>995.81</v>
      </c>
      <c r="Q4" s="105">
        <v>743.73</v>
      </c>
      <c r="R4" s="105">
        <v>190.15</v>
      </c>
      <c r="S4" s="105">
        <v>169.45</v>
      </c>
      <c r="T4" s="105">
        <v>613.66999999999996</v>
      </c>
      <c r="V4" s="69">
        <v>12</v>
      </c>
      <c r="W4" s="69">
        <v>49</v>
      </c>
      <c r="X4" s="69">
        <v>106</v>
      </c>
      <c r="Y4" s="17"/>
    </row>
    <row r="5" spans="1:25" ht="21" customHeight="1" x14ac:dyDescent="0.25">
      <c r="A5" s="8">
        <v>44775</v>
      </c>
      <c r="B5" s="106">
        <v>1.4450000000000001</v>
      </c>
      <c r="C5" s="107">
        <v>328.41</v>
      </c>
      <c r="D5" s="107">
        <v>8301462.4900000002</v>
      </c>
      <c r="E5" s="107">
        <v>9303950.9600000009</v>
      </c>
      <c r="F5" s="107">
        <v>3.4209999999999998</v>
      </c>
      <c r="G5" s="107">
        <v>1.0945</v>
      </c>
      <c r="H5" s="107">
        <v>1.0088999999999999</v>
      </c>
      <c r="I5" s="107">
        <v>356.7</v>
      </c>
      <c r="J5" s="107">
        <v>497.01</v>
      </c>
      <c r="K5" s="107">
        <v>477.03</v>
      </c>
      <c r="L5" s="107">
        <v>326.02</v>
      </c>
      <c r="M5" s="107">
        <v>820.09</v>
      </c>
      <c r="N5" s="107">
        <v>746.26</v>
      </c>
      <c r="O5" s="107">
        <v>236.29</v>
      </c>
      <c r="P5" s="107">
        <v>996.51</v>
      </c>
      <c r="Q5" s="107">
        <v>743.96</v>
      </c>
      <c r="R5" s="105">
        <v>190.15</v>
      </c>
      <c r="S5" s="107">
        <v>169.59</v>
      </c>
      <c r="T5" s="107">
        <v>614.15</v>
      </c>
      <c r="V5" s="69">
        <v>18</v>
      </c>
      <c r="W5" s="69">
        <v>58</v>
      </c>
      <c r="X5" s="69">
        <v>126</v>
      </c>
      <c r="Y5" s="17"/>
    </row>
    <row r="6" spans="1:25" ht="21" customHeight="1" x14ac:dyDescent="0.25">
      <c r="A6" s="8">
        <v>44776</v>
      </c>
      <c r="B6" s="106">
        <v>1.4459</v>
      </c>
      <c r="C6" s="107">
        <v>328.67</v>
      </c>
      <c r="D6" s="107">
        <v>8303584.4500000002</v>
      </c>
      <c r="E6" s="107">
        <v>9306579.4800000004</v>
      </c>
      <c r="F6" s="107">
        <v>3.4236</v>
      </c>
      <c r="G6" s="107">
        <v>1.0952</v>
      </c>
      <c r="H6" s="107">
        <v>1.01</v>
      </c>
      <c r="I6" s="107">
        <v>357</v>
      </c>
      <c r="J6" s="107">
        <v>497.27</v>
      </c>
      <c r="K6" s="107">
        <v>477.25</v>
      </c>
      <c r="L6" s="107">
        <v>326.20999999999998</v>
      </c>
      <c r="M6" s="107">
        <v>820.7</v>
      </c>
      <c r="N6" s="107">
        <v>746.57</v>
      </c>
      <c r="O6" s="107">
        <v>236.5</v>
      </c>
      <c r="P6" s="107">
        <v>997.23</v>
      </c>
      <c r="Q6" s="107">
        <v>744.33</v>
      </c>
      <c r="R6" s="105">
        <v>190.15</v>
      </c>
      <c r="S6" s="107">
        <v>169.73</v>
      </c>
      <c r="T6" s="107">
        <v>614.65</v>
      </c>
      <c r="V6" s="69">
        <v>17</v>
      </c>
      <c r="W6" s="69">
        <v>50</v>
      </c>
      <c r="X6" s="69">
        <v>119</v>
      </c>
      <c r="Y6" s="17"/>
    </row>
    <row r="7" spans="1:25" ht="21" customHeight="1" x14ac:dyDescent="0.25">
      <c r="A7" s="8">
        <v>44777</v>
      </c>
      <c r="B7" s="106">
        <v>1.4469000000000001</v>
      </c>
      <c r="C7" s="107">
        <v>328.92</v>
      </c>
      <c r="D7" s="107">
        <v>8305756.3799999999</v>
      </c>
      <c r="E7" s="107">
        <v>9309303.1899999995</v>
      </c>
      <c r="F7" s="107">
        <v>3.4262999999999999</v>
      </c>
      <c r="G7" s="107">
        <v>1.0960000000000001</v>
      </c>
      <c r="H7" s="107">
        <v>1.0111000000000001</v>
      </c>
      <c r="I7" s="107">
        <v>357.33</v>
      </c>
      <c r="J7" s="107">
        <v>497.75</v>
      </c>
      <c r="K7" s="107">
        <v>477.53</v>
      </c>
      <c r="L7" s="107">
        <v>326.45</v>
      </c>
      <c r="M7" s="107">
        <v>821.39</v>
      </c>
      <c r="N7" s="107">
        <v>747</v>
      </c>
      <c r="O7" s="107">
        <v>236.68</v>
      </c>
      <c r="P7" s="107">
        <v>997.93</v>
      </c>
      <c r="Q7" s="107">
        <v>744.72</v>
      </c>
      <c r="R7" s="105">
        <v>190.15</v>
      </c>
      <c r="S7" s="107">
        <v>169.88</v>
      </c>
      <c r="T7" s="107">
        <v>615.16</v>
      </c>
      <c r="V7" s="69">
        <v>21</v>
      </c>
      <c r="W7" s="69">
        <v>57</v>
      </c>
      <c r="X7" s="69">
        <v>123</v>
      </c>
      <c r="Y7" s="17"/>
    </row>
    <row r="8" spans="1:25" ht="21" customHeight="1" x14ac:dyDescent="0.25">
      <c r="A8" s="8">
        <v>44778</v>
      </c>
      <c r="B8" s="106">
        <v>1.4479</v>
      </c>
      <c r="C8" s="107">
        <v>329.16</v>
      </c>
      <c r="D8" s="107">
        <v>8307493.2999999998</v>
      </c>
      <c r="E8" s="107">
        <v>9311725.5500000007</v>
      </c>
      <c r="F8" s="107">
        <v>3.4289000000000001</v>
      </c>
      <c r="G8" s="107">
        <v>1.0967</v>
      </c>
      <c r="H8" s="107">
        <v>1.0121</v>
      </c>
      <c r="I8" s="107">
        <v>357.63</v>
      </c>
      <c r="J8" s="107">
        <v>498.16</v>
      </c>
      <c r="K8" s="107">
        <v>477.97</v>
      </c>
      <c r="L8" s="107">
        <v>326.66000000000003</v>
      </c>
      <c r="M8" s="107">
        <v>822.04</v>
      </c>
      <c r="N8" s="107">
        <v>747.37</v>
      </c>
      <c r="O8" s="107">
        <v>236.89</v>
      </c>
      <c r="P8" s="107">
        <v>998.53</v>
      </c>
      <c r="Q8" s="107">
        <v>745.06</v>
      </c>
      <c r="R8" s="105">
        <v>190.15</v>
      </c>
      <c r="S8" s="107">
        <v>170.02</v>
      </c>
      <c r="T8" s="107">
        <v>615.64</v>
      </c>
      <c r="V8" s="101">
        <v>22</v>
      </c>
      <c r="W8" s="101">
        <v>58</v>
      </c>
      <c r="X8" s="122">
        <v>149</v>
      </c>
      <c r="Y8" s="17"/>
    </row>
    <row r="9" spans="1:25" ht="21" customHeight="1" x14ac:dyDescent="0.25">
      <c r="A9" s="8">
        <v>44779</v>
      </c>
      <c r="B9" s="108">
        <v>1.4488000000000001</v>
      </c>
      <c r="C9" s="107">
        <v>329.4</v>
      </c>
      <c r="D9" s="107">
        <v>8309192.6200000001</v>
      </c>
      <c r="E9" s="107">
        <v>9313795.5500000007</v>
      </c>
      <c r="F9" s="107">
        <v>3.4315000000000002</v>
      </c>
      <c r="G9" s="107">
        <v>1.0973999999999999</v>
      </c>
      <c r="H9" s="107">
        <v>1.0129999999999999</v>
      </c>
      <c r="I9" s="107">
        <v>357.91</v>
      </c>
      <c r="J9" s="107">
        <v>498.55</v>
      </c>
      <c r="K9" s="107">
        <v>478</v>
      </c>
      <c r="L9" s="107">
        <v>326.88</v>
      </c>
      <c r="M9" s="107">
        <v>822.65</v>
      </c>
      <c r="N9" s="107">
        <v>747.66</v>
      </c>
      <c r="O9" s="107">
        <v>237.1</v>
      </c>
      <c r="P9" s="107">
        <v>999.15</v>
      </c>
      <c r="Q9" s="107">
        <v>745.37</v>
      </c>
      <c r="R9" s="105">
        <v>190.15</v>
      </c>
      <c r="S9" s="107">
        <v>170.16</v>
      </c>
      <c r="T9" s="107">
        <v>615.89</v>
      </c>
      <c r="V9" s="101">
        <v>22</v>
      </c>
      <c r="W9" s="101">
        <v>60</v>
      </c>
      <c r="X9" s="122">
        <v>180</v>
      </c>
      <c r="Y9" s="17"/>
    </row>
    <row r="10" spans="1:25" ht="21" customHeight="1" x14ac:dyDescent="0.25">
      <c r="A10" s="8">
        <v>44780</v>
      </c>
      <c r="B10" s="104">
        <v>1.4498</v>
      </c>
      <c r="C10" s="105">
        <v>329.65</v>
      </c>
      <c r="D10" s="105">
        <v>8311079.8099999996</v>
      </c>
      <c r="E10" s="105">
        <v>9316293.0600000005</v>
      </c>
      <c r="F10" s="105">
        <v>3.4340000000000002</v>
      </c>
      <c r="G10" s="105">
        <v>1.0981000000000001</v>
      </c>
      <c r="H10" s="105">
        <v>1.014</v>
      </c>
      <c r="I10" s="105">
        <v>358.22</v>
      </c>
      <c r="J10" s="107">
        <v>499.1</v>
      </c>
      <c r="K10" s="107">
        <v>478.26</v>
      </c>
      <c r="L10" s="107">
        <v>327.10000000000002</v>
      </c>
      <c r="M10" s="107">
        <v>823.33</v>
      </c>
      <c r="N10" s="107">
        <v>747.89</v>
      </c>
      <c r="O10" s="107">
        <v>237.29</v>
      </c>
      <c r="P10" s="107">
        <v>999.72</v>
      </c>
      <c r="Q10" s="107">
        <v>745.68</v>
      </c>
      <c r="R10" s="105">
        <v>190.15</v>
      </c>
      <c r="S10" s="107">
        <v>170.3</v>
      </c>
      <c r="T10" s="107">
        <v>616.35</v>
      </c>
      <c r="V10" s="101">
        <v>22</v>
      </c>
      <c r="W10" s="101">
        <v>66</v>
      </c>
      <c r="X10" s="101">
        <v>174</v>
      </c>
      <c r="Y10" s="17"/>
    </row>
    <row r="11" spans="1:25" ht="21" customHeight="1" x14ac:dyDescent="0.25">
      <c r="A11" s="8">
        <v>44781</v>
      </c>
      <c r="B11" s="106">
        <v>1.4508000000000001</v>
      </c>
      <c r="C11" s="107">
        <v>329.88</v>
      </c>
      <c r="D11" s="107">
        <v>8313030.4100000001</v>
      </c>
      <c r="E11" s="107">
        <v>9318899.0500000007</v>
      </c>
      <c r="F11" s="107">
        <v>3.4365999999999999</v>
      </c>
      <c r="G11" s="107">
        <v>1.0989</v>
      </c>
      <c r="H11" s="107">
        <v>1.0150999999999999</v>
      </c>
      <c r="I11" s="107">
        <v>358.55</v>
      </c>
      <c r="J11" s="107">
        <v>499.52</v>
      </c>
      <c r="K11" s="107">
        <v>478.57</v>
      </c>
      <c r="L11" s="107">
        <v>327.35000000000002</v>
      </c>
      <c r="M11" s="107">
        <v>824.04</v>
      </c>
      <c r="N11" s="107">
        <v>748.18</v>
      </c>
      <c r="O11" s="107">
        <v>237.49</v>
      </c>
      <c r="P11" s="107">
        <v>1.0004</v>
      </c>
      <c r="Q11" s="107">
        <v>746</v>
      </c>
      <c r="R11" s="105">
        <v>190.15</v>
      </c>
      <c r="S11" s="107">
        <v>170.44</v>
      </c>
      <c r="T11" s="107">
        <v>616.84</v>
      </c>
      <c r="V11" s="101">
        <v>29</v>
      </c>
      <c r="W11" s="101">
        <v>82</v>
      </c>
      <c r="X11" s="101">
        <v>182</v>
      </c>
      <c r="Y11" s="17"/>
    </row>
    <row r="12" spans="1:25" ht="21" customHeight="1" x14ac:dyDescent="0.25">
      <c r="A12" s="8">
        <v>44782</v>
      </c>
      <c r="B12" s="106">
        <v>1.4519</v>
      </c>
      <c r="C12" s="107">
        <v>330.12</v>
      </c>
      <c r="D12" s="107">
        <v>8315101.2699999996</v>
      </c>
      <c r="E12" s="107">
        <v>9321407.4800000004</v>
      </c>
      <c r="F12" s="107">
        <v>3.4392</v>
      </c>
      <c r="G12" s="107">
        <v>1.0998000000000001</v>
      </c>
      <c r="H12" s="107">
        <v>1.0161</v>
      </c>
      <c r="I12" s="107">
        <v>358.88</v>
      </c>
      <c r="J12" s="107">
        <v>499.91</v>
      </c>
      <c r="K12" s="107">
        <v>478.83</v>
      </c>
      <c r="L12" s="107">
        <v>327.58</v>
      </c>
      <c r="M12" s="107">
        <v>824.72</v>
      </c>
      <c r="N12" s="107">
        <v>748.5</v>
      </c>
      <c r="O12" s="107">
        <v>237.68</v>
      </c>
      <c r="P12" s="107">
        <v>1.0011000000000001</v>
      </c>
      <c r="Q12" s="107">
        <v>746.37</v>
      </c>
      <c r="R12" s="107">
        <v>190.15</v>
      </c>
      <c r="S12" s="107">
        <v>170.58</v>
      </c>
      <c r="T12" s="107">
        <v>617.29999999999995</v>
      </c>
      <c r="V12" s="101">
        <v>32</v>
      </c>
      <c r="W12" s="101">
        <v>91</v>
      </c>
      <c r="X12" s="101">
        <v>198</v>
      </c>
      <c r="Y12" s="17"/>
    </row>
    <row r="13" spans="1:25" ht="21" customHeight="1" x14ac:dyDescent="0.25">
      <c r="A13" s="8">
        <v>44783</v>
      </c>
      <c r="B13" s="106">
        <v>1.4529000000000001</v>
      </c>
      <c r="C13" s="108">
        <v>330.37</v>
      </c>
      <c r="D13" s="107">
        <v>8317104.5999999996</v>
      </c>
      <c r="E13" s="107">
        <v>9323837.2699999996</v>
      </c>
      <c r="F13" s="107">
        <v>3.4417</v>
      </c>
      <c r="G13" s="107">
        <v>1.1006</v>
      </c>
      <c r="H13" s="107">
        <v>1.0172000000000001</v>
      </c>
      <c r="I13" s="107">
        <v>359.18</v>
      </c>
      <c r="J13" s="107">
        <v>500.32</v>
      </c>
      <c r="K13" s="107">
        <v>479.07</v>
      </c>
      <c r="L13" s="107">
        <v>327.83</v>
      </c>
      <c r="M13" s="107">
        <v>825.42</v>
      </c>
      <c r="N13" s="107">
        <v>748.8</v>
      </c>
      <c r="O13" s="107">
        <v>237.87</v>
      </c>
      <c r="P13" s="107">
        <v>1.0018</v>
      </c>
      <c r="Q13" s="107">
        <v>746.7</v>
      </c>
      <c r="R13" s="107">
        <v>190.15</v>
      </c>
      <c r="S13" s="107">
        <v>170.71</v>
      </c>
      <c r="T13" s="107">
        <v>617.78</v>
      </c>
      <c r="V13" s="101">
        <v>30</v>
      </c>
      <c r="W13" s="101">
        <v>87</v>
      </c>
      <c r="X13" s="101">
        <v>333</v>
      </c>
      <c r="Y13" s="17"/>
    </row>
    <row r="14" spans="1:25" ht="21" customHeight="1" x14ac:dyDescent="0.25">
      <c r="A14" s="8">
        <v>44784</v>
      </c>
      <c r="B14" s="106">
        <v>1.454</v>
      </c>
      <c r="C14" s="104">
        <v>330.64</v>
      </c>
      <c r="D14" s="107">
        <v>8318835.54</v>
      </c>
      <c r="E14" s="107">
        <v>9326174.6899999995</v>
      </c>
      <c r="F14" s="107">
        <v>3.4443000000000001</v>
      </c>
      <c r="G14" s="107">
        <v>1.1013999999999999</v>
      </c>
      <c r="H14" s="107">
        <v>1.0182</v>
      </c>
      <c r="I14" s="107">
        <v>359.48</v>
      </c>
      <c r="J14" s="107">
        <v>500.72</v>
      </c>
      <c r="K14" s="107">
        <v>479.36</v>
      </c>
      <c r="L14" s="107">
        <v>328.06</v>
      </c>
      <c r="M14" s="107">
        <v>826.11</v>
      </c>
      <c r="N14" s="107">
        <v>749.1</v>
      </c>
      <c r="O14" s="107">
        <v>238.04</v>
      </c>
      <c r="P14" s="107">
        <v>1.0025999999999999</v>
      </c>
      <c r="Q14" s="107">
        <v>747.04</v>
      </c>
      <c r="R14" s="107">
        <v>190.15</v>
      </c>
      <c r="S14" s="107">
        <v>170.86</v>
      </c>
      <c r="T14" s="107">
        <v>618.29</v>
      </c>
      <c r="V14" s="101">
        <v>35</v>
      </c>
      <c r="W14" s="101">
        <v>99</v>
      </c>
      <c r="X14" s="101">
        <v>210</v>
      </c>
      <c r="Y14" s="17"/>
    </row>
    <row r="15" spans="1:25" ht="21" customHeight="1" x14ac:dyDescent="0.25">
      <c r="A15" s="8">
        <v>44785</v>
      </c>
      <c r="B15" s="106">
        <v>1.4551000000000001</v>
      </c>
      <c r="C15" s="106">
        <v>330.94</v>
      </c>
      <c r="D15" s="107">
        <v>8320799.5499999998</v>
      </c>
      <c r="E15" s="107">
        <v>9328678.7400000002</v>
      </c>
      <c r="F15" s="107">
        <v>3.4470999999999998</v>
      </c>
      <c r="G15" s="107">
        <v>1.1022000000000001</v>
      </c>
      <c r="H15" s="107">
        <v>1.0194000000000001</v>
      </c>
      <c r="I15" s="107">
        <v>359.8</v>
      </c>
      <c r="J15" s="107">
        <v>501.83</v>
      </c>
      <c r="K15" s="107">
        <v>479.82</v>
      </c>
      <c r="L15" s="107">
        <v>328.42</v>
      </c>
      <c r="M15" s="107">
        <v>826.84</v>
      </c>
      <c r="N15" s="107">
        <v>749.61</v>
      </c>
      <c r="O15" s="107">
        <v>238.27</v>
      </c>
      <c r="P15" s="107">
        <v>1.0033000000000001</v>
      </c>
      <c r="Q15" s="107">
        <v>747.41</v>
      </c>
      <c r="R15" s="107">
        <v>190.15</v>
      </c>
      <c r="S15" s="107">
        <v>171.04</v>
      </c>
      <c r="T15" s="107">
        <v>618.72</v>
      </c>
      <c r="V15" s="101">
        <v>39</v>
      </c>
      <c r="W15" s="101">
        <v>115</v>
      </c>
      <c r="X15" s="101">
        <v>241</v>
      </c>
      <c r="Y15" s="17"/>
    </row>
    <row r="16" spans="1:25" ht="21" customHeight="1" x14ac:dyDescent="0.25">
      <c r="A16" s="8">
        <v>44786</v>
      </c>
      <c r="B16" s="106">
        <v>1.4559</v>
      </c>
      <c r="C16" s="106">
        <v>331.13</v>
      </c>
      <c r="D16" s="107">
        <v>8322031.21</v>
      </c>
      <c r="E16" s="107">
        <v>9330045.8900000006</v>
      </c>
      <c r="F16" s="107">
        <v>3.4495</v>
      </c>
      <c r="G16" s="107">
        <v>1.1028</v>
      </c>
      <c r="H16" s="107">
        <v>1.0201</v>
      </c>
      <c r="I16" s="107">
        <v>360.01</v>
      </c>
      <c r="J16" s="107">
        <v>502.21</v>
      </c>
      <c r="K16" s="107">
        <v>479.95</v>
      </c>
      <c r="L16" s="107">
        <v>328.53</v>
      </c>
      <c r="M16" s="107">
        <v>827.29</v>
      </c>
      <c r="N16" s="107">
        <v>749.85</v>
      </c>
      <c r="O16" s="107">
        <v>238.41</v>
      </c>
      <c r="P16" s="107">
        <v>1.0038</v>
      </c>
      <c r="Q16" s="107">
        <v>747.64</v>
      </c>
      <c r="R16" s="107">
        <v>190.15</v>
      </c>
      <c r="S16" s="107">
        <v>171.14</v>
      </c>
      <c r="T16" s="107">
        <v>619</v>
      </c>
      <c r="V16" s="101">
        <v>36</v>
      </c>
      <c r="W16" s="101">
        <v>100</v>
      </c>
      <c r="X16" s="101">
        <v>245</v>
      </c>
      <c r="Y16" s="17"/>
    </row>
    <row r="17" spans="1:25" ht="21" customHeight="1" x14ac:dyDescent="0.25">
      <c r="A17" s="8">
        <v>44787</v>
      </c>
      <c r="B17" s="106">
        <v>1.4570000000000001</v>
      </c>
      <c r="C17" s="107">
        <v>331.38</v>
      </c>
      <c r="D17" s="107">
        <v>8323866.0300000003</v>
      </c>
      <c r="E17" s="107">
        <v>9332402.7100000009</v>
      </c>
      <c r="F17" s="107">
        <v>3.4521999999999999</v>
      </c>
      <c r="G17" s="107">
        <v>1.1035999999999999</v>
      </c>
      <c r="H17" s="107">
        <v>1.0213000000000001</v>
      </c>
      <c r="I17" s="107">
        <v>360.3</v>
      </c>
      <c r="J17" s="107">
        <v>503.09</v>
      </c>
      <c r="K17" s="107">
        <v>480.26</v>
      </c>
      <c r="L17" s="107">
        <v>328.79</v>
      </c>
      <c r="M17" s="107">
        <v>827.9</v>
      </c>
      <c r="N17" s="107">
        <v>750.22</v>
      </c>
      <c r="O17" s="107">
        <v>238.6</v>
      </c>
      <c r="P17" s="107">
        <v>1.0044999999999999</v>
      </c>
      <c r="Q17" s="107">
        <v>747.89</v>
      </c>
      <c r="R17" s="107">
        <v>190.15</v>
      </c>
      <c r="S17" s="107">
        <v>171.28</v>
      </c>
      <c r="T17" s="107">
        <v>619.49</v>
      </c>
      <c r="V17" s="101">
        <v>28</v>
      </c>
      <c r="W17" s="101">
        <v>79</v>
      </c>
      <c r="X17" s="101">
        <v>191</v>
      </c>
      <c r="Y17" s="17"/>
    </row>
    <row r="18" spans="1:25" ht="21" customHeight="1" x14ac:dyDescent="0.25">
      <c r="A18" s="8">
        <v>44788</v>
      </c>
      <c r="B18" s="106">
        <v>1.4581999999999999</v>
      </c>
      <c r="C18" s="107">
        <v>331.63</v>
      </c>
      <c r="D18" s="107">
        <v>8325808.3399999999</v>
      </c>
      <c r="E18" s="107">
        <v>9334777.6300000008</v>
      </c>
      <c r="F18" s="107">
        <v>3.4548999999999999</v>
      </c>
      <c r="G18" s="107">
        <v>1.1043000000000001</v>
      </c>
      <c r="H18" s="107">
        <v>1.0224</v>
      </c>
      <c r="I18" s="107">
        <v>360.63</v>
      </c>
      <c r="J18" s="107">
        <v>503.79</v>
      </c>
      <c r="K18" s="107">
        <v>480.58</v>
      </c>
      <c r="L18" s="107">
        <v>329.06</v>
      </c>
      <c r="M18" s="107">
        <v>828.55</v>
      </c>
      <c r="N18" s="107">
        <v>750.68</v>
      </c>
      <c r="O18" s="107">
        <v>238.8</v>
      </c>
      <c r="P18" s="107">
        <v>1.0054000000000001</v>
      </c>
      <c r="Q18" s="107">
        <v>748.31</v>
      </c>
      <c r="R18" s="107">
        <v>190.15</v>
      </c>
      <c r="S18" s="107">
        <v>171.42</v>
      </c>
      <c r="T18" s="107">
        <v>620</v>
      </c>
      <c r="V18" s="101">
        <v>23</v>
      </c>
      <c r="W18" s="101">
        <v>66</v>
      </c>
      <c r="X18" s="101">
        <v>187</v>
      </c>
      <c r="Y18" s="17"/>
    </row>
    <row r="19" spans="1:25" ht="21" customHeight="1" x14ac:dyDescent="0.25">
      <c r="A19" s="8">
        <v>44789</v>
      </c>
      <c r="B19" s="106">
        <v>1.4594</v>
      </c>
      <c r="C19" s="107">
        <v>331.88</v>
      </c>
      <c r="D19" s="107">
        <v>8327563.6600000001</v>
      </c>
      <c r="E19" s="107">
        <v>9337313.6300000008</v>
      </c>
      <c r="F19" s="107">
        <v>3.4575999999999998</v>
      </c>
      <c r="G19" s="107">
        <v>1.1051</v>
      </c>
      <c r="H19" s="107">
        <v>1.0235000000000001</v>
      </c>
      <c r="I19" s="107">
        <v>360.94</v>
      </c>
      <c r="J19" s="107">
        <v>504.35</v>
      </c>
      <c r="K19" s="107">
        <v>480.88</v>
      </c>
      <c r="L19" s="107">
        <v>329.29</v>
      </c>
      <c r="M19" s="107">
        <v>829.08</v>
      </c>
      <c r="N19" s="107">
        <v>751.07</v>
      </c>
      <c r="O19" s="123">
        <v>239</v>
      </c>
      <c r="P19" s="107">
        <v>1.0063</v>
      </c>
      <c r="Q19" s="107">
        <v>748.55</v>
      </c>
      <c r="R19" s="107">
        <v>190.15</v>
      </c>
      <c r="S19" s="107">
        <v>171.56</v>
      </c>
      <c r="T19" s="107">
        <v>620.48</v>
      </c>
      <c r="V19" s="101">
        <v>28</v>
      </c>
      <c r="W19" s="101">
        <v>73</v>
      </c>
      <c r="X19" s="101">
        <v>196</v>
      </c>
      <c r="Y19" s="17"/>
    </row>
    <row r="20" spans="1:25" ht="21" customHeight="1" x14ac:dyDescent="0.25">
      <c r="A20" s="8">
        <v>44790</v>
      </c>
      <c r="B20" s="106">
        <v>1.4604999999999999</v>
      </c>
      <c r="C20" s="107">
        <v>332.13</v>
      </c>
      <c r="D20" s="107">
        <v>8329273.7000000002</v>
      </c>
      <c r="E20" s="107">
        <v>9339782.1600000001</v>
      </c>
      <c r="F20" s="107">
        <v>3.4601999999999999</v>
      </c>
      <c r="G20" s="107">
        <v>1.1059000000000001</v>
      </c>
      <c r="H20" s="107">
        <v>1.0245</v>
      </c>
      <c r="I20" s="107">
        <v>361.25</v>
      </c>
      <c r="J20" s="107">
        <v>504.91</v>
      </c>
      <c r="K20" s="107">
        <v>481.22</v>
      </c>
      <c r="L20" s="107">
        <v>329.5</v>
      </c>
      <c r="M20" s="107">
        <v>829.68</v>
      </c>
      <c r="N20" s="107">
        <v>751.51</v>
      </c>
      <c r="O20" s="107">
        <v>239.2</v>
      </c>
      <c r="P20" s="107">
        <v>1.0071000000000001</v>
      </c>
      <c r="Q20" s="107">
        <v>748.77</v>
      </c>
      <c r="R20" s="107">
        <v>190.15</v>
      </c>
      <c r="S20" s="107">
        <v>171.7</v>
      </c>
      <c r="T20" s="107">
        <v>620.96</v>
      </c>
      <c r="V20" s="101">
        <v>28</v>
      </c>
      <c r="W20" s="101">
        <v>71</v>
      </c>
      <c r="X20" s="101">
        <v>202</v>
      </c>
      <c r="Y20" s="17"/>
    </row>
    <row r="21" spans="1:25" ht="21" customHeight="1" x14ac:dyDescent="0.25">
      <c r="A21" s="8">
        <v>44791</v>
      </c>
      <c r="B21" s="106">
        <v>1.4616</v>
      </c>
      <c r="C21" s="107">
        <v>332.4</v>
      </c>
      <c r="D21" s="107">
        <v>8330967.5199999996</v>
      </c>
      <c r="E21" s="107">
        <v>9342324.5</v>
      </c>
      <c r="F21" s="107">
        <v>3.4626999999999999</v>
      </c>
      <c r="G21" s="107">
        <v>1.1066</v>
      </c>
      <c r="H21" s="107">
        <v>1.0254000000000001</v>
      </c>
      <c r="I21" s="107">
        <v>361.58</v>
      </c>
      <c r="J21" s="107">
        <v>505.42</v>
      </c>
      <c r="K21" s="107">
        <v>481.57</v>
      </c>
      <c r="L21" s="107">
        <v>329.73</v>
      </c>
      <c r="M21" s="107">
        <v>830.31</v>
      </c>
      <c r="N21" s="107">
        <v>751.9</v>
      </c>
      <c r="O21" s="107">
        <v>239.4</v>
      </c>
      <c r="P21" s="107">
        <v>1.0077</v>
      </c>
      <c r="Q21" s="107">
        <v>749.06</v>
      </c>
      <c r="R21" s="107">
        <v>190.15</v>
      </c>
      <c r="S21" s="107">
        <v>171.84</v>
      </c>
      <c r="T21" s="107">
        <v>621.45000000000005</v>
      </c>
      <c r="V21" s="101">
        <v>33</v>
      </c>
      <c r="W21" s="101">
        <v>93</v>
      </c>
      <c r="X21" s="101">
        <v>195</v>
      </c>
      <c r="Y21" s="17"/>
    </row>
    <row r="22" spans="1:25" ht="21" customHeight="1" x14ac:dyDescent="0.25">
      <c r="A22" s="8">
        <v>44792</v>
      </c>
      <c r="B22" s="106">
        <v>1.4629000000000001</v>
      </c>
      <c r="C22" s="107">
        <v>332.66</v>
      </c>
      <c r="D22" s="107">
        <v>8332712.4900000002</v>
      </c>
      <c r="E22" s="107">
        <v>9345011.5500000007</v>
      </c>
      <c r="F22" s="107">
        <v>3.4653999999999998</v>
      </c>
      <c r="G22" s="107">
        <v>1.1073999999999999</v>
      </c>
      <c r="H22" s="107">
        <v>1.0263</v>
      </c>
      <c r="I22" s="107">
        <v>361.9</v>
      </c>
      <c r="J22" s="107">
        <v>505.94</v>
      </c>
      <c r="K22" s="107">
        <v>481.94</v>
      </c>
      <c r="L22" s="107">
        <v>329.98</v>
      </c>
      <c r="M22" s="107">
        <v>830.99</v>
      </c>
      <c r="N22" s="107">
        <v>752.34</v>
      </c>
      <c r="O22" s="107">
        <v>239.58</v>
      </c>
      <c r="P22" s="107">
        <v>1.0085</v>
      </c>
      <c r="Q22" s="107">
        <v>749.31</v>
      </c>
      <c r="R22" s="107">
        <v>190.15</v>
      </c>
      <c r="S22" s="107">
        <v>171.99</v>
      </c>
      <c r="T22" s="107">
        <v>621.92999999999995</v>
      </c>
      <c r="V22" s="101">
        <v>27</v>
      </c>
      <c r="W22" s="101">
        <v>76</v>
      </c>
      <c r="X22" s="101">
        <v>245</v>
      </c>
      <c r="Y22" s="17"/>
    </row>
    <row r="23" spans="1:25" ht="21" customHeight="1" x14ac:dyDescent="0.25">
      <c r="A23" s="8">
        <v>44793</v>
      </c>
      <c r="B23" s="106">
        <v>1.464</v>
      </c>
      <c r="C23" s="107">
        <v>332.94</v>
      </c>
      <c r="D23" s="107">
        <v>8334442.8799999999</v>
      </c>
      <c r="E23" s="107">
        <v>9347149.5500000007</v>
      </c>
      <c r="F23" s="107">
        <v>3.4681000000000002</v>
      </c>
      <c r="G23" s="107">
        <v>1.1082000000000001</v>
      </c>
      <c r="H23" s="107">
        <v>1.0271999999999999</v>
      </c>
      <c r="I23" s="107">
        <v>362.21</v>
      </c>
      <c r="J23" s="107">
        <v>506.4</v>
      </c>
      <c r="K23" s="107">
        <v>482.27</v>
      </c>
      <c r="L23" s="107">
        <v>330.23</v>
      </c>
      <c r="M23" s="107">
        <v>831.61</v>
      </c>
      <c r="N23" s="107">
        <v>752.76</v>
      </c>
      <c r="O23" s="107">
        <v>239.77</v>
      </c>
      <c r="P23" s="107">
        <v>1.0093000000000001</v>
      </c>
      <c r="Q23" s="107">
        <v>749.57</v>
      </c>
      <c r="R23" s="107">
        <v>190.15</v>
      </c>
      <c r="S23" s="107">
        <v>172.12</v>
      </c>
      <c r="T23" s="107">
        <v>622.21</v>
      </c>
      <c r="V23" s="101">
        <v>30</v>
      </c>
      <c r="W23" s="101">
        <v>86</v>
      </c>
      <c r="X23" s="101">
        <v>233</v>
      </c>
      <c r="Y23" s="17"/>
    </row>
    <row r="24" spans="1:25" ht="21" customHeight="1" x14ac:dyDescent="0.25">
      <c r="A24" s="8">
        <v>44794</v>
      </c>
      <c r="B24" s="106">
        <v>1.4652000000000001</v>
      </c>
      <c r="C24" s="107">
        <v>333.2</v>
      </c>
      <c r="D24" s="107">
        <v>8336108.2000000002</v>
      </c>
      <c r="E24" s="107">
        <v>9349589.8000000007</v>
      </c>
      <c r="F24" s="107">
        <v>3.4708000000000001</v>
      </c>
      <c r="G24" s="107">
        <v>1.109</v>
      </c>
      <c r="H24" s="107">
        <v>1.0281</v>
      </c>
      <c r="I24" s="107">
        <v>362.5</v>
      </c>
      <c r="J24" s="107">
        <v>506.88</v>
      </c>
      <c r="K24" s="107">
        <v>482.55</v>
      </c>
      <c r="L24" s="107">
        <v>330.45</v>
      </c>
      <c r="M24" s="107">
        <v>832.26</v>
      </c>
      <c r="N24" s="107">
        <v>753.19</v>
      </c>
      <c r="O24" s="107">
        <v>239.94</v>
      </c>
      <c r="P24" s="107">
        <v>1.0101</v>
      </c>
      <c r="Q24" s="107">
        <v>749.77</v>
      </c>
      <c r="R24" s="107">
        <v>190.15</v>
      </c>
      <c r="S24" s="107">
        <v>172.26</v>
      </c>
      <c r="T24" s="107">
        <v>622.66999999999996</v>
      </c>
      <c r="V24" s="101">
        <v>26</v>
      </c>
      <c r="W24" s="101">
        <v>83</v>
      </c>
      <c r="X24" s="101">
        <v>208</v>
      </c>
      <c r="Y24" s="17"/>
    </row>
    <row r="25" spans="1:25" ht="21" customHeight="1" x14ac:dyDescent="0.25">
      <c r="A25" s="8">
        <v>44795</v>
      </c>
      <c r="B25" s="106">
        <v>1.4663999999999999</v>
      </c>
      <c r="C25" s="107">
        <v>333.46</v>
      </c>
      <c r="D25" s="107">
        <v>8337959.7699999996</v>
      </c>
      <c r="E25" s="107">
        <v>9352073.4700000007</v>
      </c>
      <c r="F25" s="107">
        <v>3.4735999999999998</v>
      </c>
      <c r="G25" s="107">
        <v>1.1096999999999999</v>
      </c>
      <c r="H25" s="107">
        <v>1.0289999999999999</v>
      </c>
      <c r="I25" s="107">
        <v>362.78</v>
      </c>
      <c r="J25" s="107">
        <v>507.32</v>
      </c>
      <c r="K25" s="107">
        <v>482.89</v>
      </c>
      <c r="L25" s="107">
        <v>330.68</v>
      </c>
      <c r="M25" s="107">
        <v>832.95</v>
      </c>
      <c r="N25" s="107">
        <v>753.65</v>
      </c>
      <c r="O25" s="107">
        <v>240.09</v>
      </c>
      <c r="P25" s="107">
        <v>1.0109999999999999</v>
      </c>
      <c r="Q25" s="107">
        <v>750.14</v>
      </c>
      <c r="R25" s="107">
        <v>190.15</v>
      </c>
      <c r="S25" s="107">
        <v>172.42</v>
      </c>
      <c r="T25" s="107">
        <v>623.13</v>
      </c>
      <c r="V25" s="101">
        <v>33</v>
      </c>
      <c r="W25" s="101">
        <v>130</v>
      </c>
      <c r="X25" s="101">
        <v>268</v>
      </c>
      <c r="Y25" s="17"/>
    </row>
    <row r="26" spans="1:25" ht="21" customHeight="1" x14ac:dyDescent="0.25">
      <c r="A26" s="8">
        <v>44796</v>
      </c>
      <c r="B26" s="106">
        <v>1.4670000000000001</v>
      </c>
      <c r="C26" s="107">
        <v>333.72</v>
      </c>
      <c r="D26" s="107">
        <v>8339986.1299999999</v>
      </c>
      <c r="E26" s="107">
        <v>9354474.7100000009</v>
      </c>
      <c r="F26" s="107">
        <v>3.4763000000000002</v>
      </c>
      <c r="G26" s="107">
        <v>1.1105</v>
      </c>
      <c r="H26" s="107">
        <v>1.0299</v>
      </c>
      <c r="I26" s="107">
        <v>363.06</v>
      </c>
      <c r="J26" s="107">
        <v>507.83</v>
      </c>
      <c r="K26" s="107">
        <v>483.24</v>
      </c>
      <c r="L26" s="107">
        <v>330.92</v>
      </c>
      <c r="M26" s="107">
        <v>833.63</v>
      </c>
      <c r="N26" s="107">
        <v>754.12</v>
      </c>
      <c r="O26" s="107">
        <v>240.28</v>
      </c>
      <c r="P26" s="107">
        <v>1.0118</v>
      </c>
      <c r="Q26" s="107">
        <v>750.44</v>
      </c>
      <c r="R26" s="107">
        <v>190.15</v>
      </c>
      <c r="S26" s="107">
        <v>172.56</v>
      </c>
      <c r="T26" s="107">
        <v>623.59</v>
      </c>
      <c r="V26" s="101">
        <v>25</v>
      </c>
      <c r="W26" s="101">
        <v>114</v>
      </c>
      <c r="X26" s="101">
        <v>230</v>
      </c>
      <c r="Y26" s="17"/>
    </row>
    <row r="27" spans="1:25" s="128" customFormat="1" ht="21" customHeight="1" x14ac:dyDescent="0.25">
      <c r="A27" s="8">
        <v>44797</v>
      </c>
      <c r="B27" s="131">
        <v>1.4685999999999999</v>
      </c>
      <c r="C27" s="123">
        <v>333.99</v>
      </c>
      <c r="D27" s="123">
        <v>8341902.4500000002</v>
      </c>
      <c r="E27" s="123">
        <v>9356734.9800000004</v>
      </c>
      <c r="F27" s="123">
        <v>3.4790999999999999</v>
      </c>
      <c r="G27" s="123">
        <v>1.1112</v>
      </c>
      <c r="H27" s="123">
        <v>1.0306999999999999</v>
      </c>
      <c r="I27" s="123">
        <v>363.34</v>
      </c>
      <c r="J27" s="123">
        <v>508.32</v>
      </c>
      <c r="K27" s="123">
        <v>483.58</v>
      </c>
      <c r="L27" s="123">
        <v>331.2</v>
      </c>
      <c r="M27" s="123">
        <v>834.27</v>
      </c>
      <c r="N27" s="123">
        <v>754.66</v>
      </c>
      <c r="O27" s="123">
        <v>240.49</v>
      </c>
      <c r="P27" s="123">
        <v>1.0125999999999999</v>
      </c>
      <c r="Q27" s="123">
        <v>750.61</v>
      </c>
      <c r="R27" s="123">
        <v>190.15</v>
      </c>
      <c r="S27" s="123">
        <v>172.71</v>
      </c>
      <c r="T27" s="123">
        <v>624.04</v>
      </c>
      <c r="V27" s="132">
        <v>21</v>
      </c>
      <c r="W27" s="132">
        <v>119</v>
      </c>
      <c r="X27" s="132">
        <v>204</v>
      </c>
      <c r="Y27" s="133"/>
    </row>
    <row r="28" spans="1:25" ht="21" customHeight="1" x14ac:dyDescent="0.25">
      <c r="A28" s="8">
        <v>44798</v>
      </c>
      <c r="B28" s="106">
        <v>1.4697</v>
      </c>
      <c r="C28" s="107">
        <v>334.26</v>
      </c>
      <c r="D28" s="107">
        <v>8343760.8899999997</v>
      </c>
      <c r="E28" s="107">
        <v>9359012.2699999996</v>
      </c>
      <c r="F28" s="107">
        <v>3.4817999999999998</v>
      </c>
      <c r="G28" s="107">
        <v>1.1119000000000001</v>
      </c>
      <c r="H28" s="123">
        <v>1.0315000000000001</v>
      </c>
      <c r="I28" s="107">
        <v>363.69</v>
      </c>
      <c r="J28" s="107">
        <v>508.83</v>
      </c>
      <c r="K28" s="107">
        <v>483.94</v>
      </c>
      <c r="L28" s="107">
        <v>331.47</v>
      </c>
      <c r="M28" s="107">
        <v>834.89</v>
      </c>
      <c r="N28" s="107">
        <v>755.18</v>
      </c>
      <c r="O28" s="107">
        <v>240.68</v>
      </c>
      <c r="P28" s="107">
        <v>1.0134000000000001</v>
      </c>
      <c r="Q28" s="107">
        <v>750.73</v>
      </c>
      <c r="R28" s="107">
        <v>190.15</v>
      </c>
      <c r="S28" s="107">
        <v>172.88</v>
      </c>
      <c r="T28" s="107">
        <v>624.5</v>
      </c>
      <c r="V28" s="101">
        <v>18</v>
      </c>
      <c r="W28" s="101">
        <v>104</v>
      </c>
      <c r="X28" s="101">
        <v>200</v>
      </c>
      <c r="Y28" s="17"/>
    </row>
    <row r="29" spans="1:25" ht="21" customHeight="1" x14ac:dyDescent="0.25">
      <c r="A29" s="8">
        <v>44799</v>
      </c>
      <c r="B29" s="106">
        <v>1.4706999999999999</v>
      </c>
      <c r="C29" s="107">
        <v>334.53</v>
      </c>
      <c r="D29" s="107">
        <v>8345679.8799999999</v>
      </c>
      <c r="E29" s="107">
        <v>9361345.0399999991</v>
      </c>
      <c r="F29" s="107">
        <v>3.4843999999999999</v>
      </c>
      <c r="G29" s="107">
        <v>1.1126</v>
      </c>
      <c r="H29" s="107">
        <v>1.0322</v>
      </c>
      <c r="I29" s="107">
        <v>363.92</v>
      </c>
      <c r="J29" s="107">
        <v>509.3</v>
      </c>
      <c r="K29" s="107">
        <v>484.33</v>
      </c>
      <c r="L29" s="107">
        <v>331.72</v>
      </c>
      <c r="M29" s="107">
        <v>835.49</v>
      </c>
      <c r="N29" s="107">
        <v>755.61</v>
      </c>
      <c r="O29" s="107">
        <v>240.98</v>
      </c>
      <c r="P29" s="107">
        <v>1.0142</v>
      </c>
      <c r="Q29" s="107">
        <v>750.87</v>
      </c>
      <c r="R29" s="107">
        <v>190.15</v>
      </c>
      <c r="S29" s="107">
        <v>173.02</v>
      </c>
      <c r="T29" s="107">
        <v>624.98</v>
      </c>
      <c r="V29" s="101">
        <v>20</v>
      </c>
      <c r="W29" s="101">
        <v>113</v>
      </c>
      <c r="X29" s="101">
        <v>180</v>
      </c>
      <c r="Y29" s="17"/>
    </row>
    <row r="30" spans="1:25" ht="21" customHeight="1" x14ac:dyDescent="0.25">
      <c r="A30" s="8">
        <v>44800</v>
      </c>
      <c r="B30" s="106">
        <v>1.4715</v>
      </c>
      <c r="C30" s="107">
        <v>334.81</v>
      </c>
      <c r="D30" s="107">
        <v>8347232.2699999996</v>
      </c>
      <c r="E30" s="107">
        <v>9362906.2899999991</v>
      </c>
      <c r="F30" s="107">
        <v>3.4868999999999999</v>
      </c>
      <c r="G30" s="107">
        <v>1.1133</v>
      </c>
      <c r="H30" s="107">
        <v>1.0327999999999999</v>
      </c>
      <c r="I30" s="107">
        <v>364.13</v>
      </c>
      <c r="J30" s="107">
        <v>509.7</v>
      </c>
      <c r="K30" s="107">
        <v>484.67</v>
      </c>
      <c r="L30" s="107">
        <v>331.97</v>
      </c>
      <c r="M30" s="107">
        <v>835.94</v>
      </c>
      <c r="N30" s="107">
        <v>755.9</v>
      </c>
      <c r="O30" s="107">
        <v>241.39</v>
      </c>
      <c r="P30" s="107">
        <v>1.0146999999999999</v>
      </c>
      <c r="Q30" s="107">
        <v>751</v>
      </c>
      <c r="R30" s="107">
        <v>190.15</v>
      </c>
      <c r="S30" s="107">
        <v>173.18</v>
      </c>
      <c r="T30" s="107">
        <v>625.32000000000005</v>
      </c>
      <c r="V30" s="101">
        <v>21</v>
      </c>
      <c r="W30" s="101">
        <v>111</v>
      </c>
      <c r="X30" s="101">
        <v>218</v>
      </c>
      <c r="Y30" s="17"/>
    </row>
    <row r="31" spans="1:25" ht="21" customHeight="1" x14ac:dyDescent="0.25">
      <c r="A31" s="8">
        <v>44801</v>
      </c>
      <c r="B31" s="106">
        <v>1.4723999999999999</v>
      </c>
      <c r="C31" s="107">
        <v>335.07</v>
      </c>
      <c r="D31" s="107">
        <v>8348914.3399999999</v>
      </c>
      <c r="E31" s="107">
        <v>9364991.75</v>
      </c>
      <c r="F31" s="107">
        <v>3.4895999999999998</v>
      </c>
      <c r="G31" s="107">
        <v>1.1138999999999999</v>
      </c>
      <c r="H31" s="107">
        <v>1.0334000000000001</v>
      </c>
      <c r="I31" s="107">
        <v>364.36</v>
      </c>
      <c r="J31" s="107">
        <v>510.2</v>
      </c>
      <c r="K31" s="107">
        <v>484.98</v>
      </c>
      <c r="L31" s="107">
        <v>332.23</v>
      </c>
      <c r="M31" s="107">
        <v>836.38</v>
      </c>
      <c r="N31" s="107">
        <v>756.23</v>
      </c>
      <c r="O31" s="107">
        <v>241.71</v>
      </c>
      <c r="P31" s="107">
        <v>1.0154000000000001</v>
      </c>
      <c r="Q31" s="107">
        <v>751.16</v>
      </c>
      <c r="R31" s="107">
        <v>190.15</v>
      </c>
      <c r="S31" s="107">
        <v>173.33</v>
      </c>
      <c r="T31" s="107">
        <v>625.82000000000005</v>
      </c>
      <c r="V31" s="101">
        <v>19</v>
      </c>
      <c r="W31" s="101">
        <v>93</v>
      </c>
      <c r="X31" s="101">
        <v>169</v>
      </c>
      <c r="Y31" s="17"/>
    </row>
    <row r="32" spans="1:25" ht="21" customHeight="1" x14ac:dyDescent="0.25">
      <c r="A32" s="8">
        <v>44802</v>
      </c>
      <c r="B32" s="104">
        <v>1.4732000000000001</v>
      </c>
      <c r="C32" s="104">
        <v>335.33</v>
      </c>
      <c r="D32" s="104">
        <v>8350499.5599999996</v>
      </c>
      <c r="E32" s="109">
        <v>9367089.3499999996</v>
      </c>
      <c r="F32" s="104">
        <v>3.4921000000000002</v>
      </c>
      <c r="G32" s="104">
        <v>1.1145</v>
      </c>
      <c r="H32" s="104">
        <v>1.034</v>
      </c>
      <c r="I32" s="104">
        <v>364.59</v>
      </c>
      <c r="J32" s="104">
        <v>510.66</v>
      </c>
      <c r="K32" s="104">
        <v>485.23</v>
      </c>
      <c r="L32" s="104">
        <v>332.46</v>
      </c>
      <c r="M32" s="104">
        <v>836.76</v>
      </c>
      <c r="N32" s="104">
        <v>756.54</v>
      </c>
      <c r="O32" s="104">
        <v>241.88</v>
      </c>
      <c r="P32" s="104">
        <v>1.0159</v>
      </c>
      <c r="Q32" s="104">
        <v>751.28</v>
      </c>
      <c r="R32" s="107">
        <v>190.15</v>
      </c>
      <c r="S32" s="116">
        <v>173.48</v>
      </c>
      <c r="T32" s="104">
        <v>626.29999999999995</v>
      </c>
      <c r="V32" s="101">
        <v>16</v>
      </c>
      <c r="W32" s="101">
        <v>60</v>
      </c>
      <c r="X32" s="101">
        <v>158</v>
      </c>
      <c r="Y32" s="17"/>
    </row>
    <row r="33" spans="1:25" ht="19.5" customHeight="1" x14ac:dyDescent="0.25">
      <c r="A33" s="8">
        <v>44803</v>
      </c>
      <c r="B33" s="104">
        <v>1.474</v>
      </c>
      <c r="C33" s="116">
        <v>335.59</v>
      </c>
      <c r="D33" s="104">
        <v>8351915.9500000002</v>
      </c>
      <c r="E33" s="109">
        <v>93690411.530000001</v>
      </c>
      <c r="F33" s="104">
        <v>3.4946000000000002</v>
      </c>
      <c r="G33" s="104">
        <v>1.1151</v>
      </c>
      <c r="H33" s="104">
        <v>1.0346</v>
      </c>
      <c r="I33" s="104">
        <v>364.83</v>
      </c>
      <c r="J33" s="104">
        <v>511.09</v>
      </c>
      <c r="K33" s="104">
        <v>485.58</v>
      </c>
      <c r="L33" s="104">
        <v>332.72</v>
      </c>
      <c r="M33" s="104">
        <v>837.2</v>
      </c>
      <c r="N33" s="104">
        <v>756.86</v>
      </c>
      <c r="O33" s="104">
        <v>242.04</v>
      </c>
      <c r="P33" s="104">
        <v>1.0164</v>
      </c>
      <c r="Q33" s="104">
        <v>751.4</v>
      </c>
      <c r="R33" s="107">
        <v>190.15</v>
      </c>
      <c r="S33" s="116">
        <v>173.66</v>
      </c>
      <c r="T33" s="104">
        <v>626.73</v>
      </c>
      <c r="V33" s="101">
        <v>15</v>
      </c>
      <c r="W33" s="101">
        <v>54</v>
      </c>
      <c r="X33" s="101">
        <v>133</v>
      </c>
      <c r="Y33" s="17"/>
    </row>
    <row r="34" spans="1:25" ht="19.5" customHeight="1" x14ac:dyDescent="0.25">
      <c r="A34" s="8">
        <v>44804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25">
      <c r="A35" s="8">
        <v>44805</v>
      </c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746</v>
      </c>
      <c r="W35" s="75">
        <f>SUM(W4:W34)</f>
        <v>2497</v>
      </c>
      <c r="X35" s="75">
        <f>SUM(X4:X34)</f>
        <v>5803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45" sqref="U4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6" t="s">
        <v>30</v>
      </c>
      <c r="B2" s="138" t="s">
        <v>31</v>
      </c>
      <c r="C2" s="138" t="s">
        <v>32</v>
      </c>
      <c r="D2" s="138" t="s">
        <v>118</v>
      </c>
      <c r="E2" s="146" t="s">
        <v>33</v>
      </c>
      <c r="F2" s="153" t="s">
        <v>34</v>
      </c>
      <c r="G2" s="154"/>
      <c r="H2" s="155"/>
      <c r="I2" s="156" t="s">
        <v>35</v>
      </c>
      <c r="J2" s="156" t="s">
        <v>36</v>
      </c>
      <c r="K2" s="156" t="s">
        <v>37</v>
      </c>
      <c r="L2" s="156" t="s">
        <v>38</v>
      </c>
      <c r="M2" s="157" t="s">
        <v>39</v>
      </c>
      <c r="N2" s="157"/>
      <c r="O2" s="157"/>
      <c r="P2" s="157"/>
      <c r="Q2" s="157"/>
      <c r="R2" s="157"/>
      <c r="S2" s="156" t="s">
        <v>40</v>
      </c>
      <c r="T2" s="156"/>
      <c r="U2" s="158" t="s">
        <v>41</v>
      </c>
      <c r="V2" s="156" t="s">
        <v>42</v>
      </c>
    </row>
    <row r="3" spans="1:22" x14ac:dyDescent="0.25">
      <c r="A3" s="147"/>
      <c r="B3" s="139"/>
      <c r="C3" s="139"/>
      <c r="D3" s="139"/>
      <c r="E3" s="147"/>
      <c r="F3" s="6" t="s">
        <v>26</v>
      </c>
      <c r="G3" s="6" t="s">
        <v>27</v>
      </c>
      <c r="H3" s="6" t="s">
        <v>28</v>
      </c>
      <c r="I3" s="156"/>
      <c r="J3" s="156"/>
      <c r="K3" s="156"/>
      <c r="L3" s="156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8"/>
      <c r="V3" s="156"/>
    </row>
    <row r="4" spans="1:22" x14ac:dyDescent="0.25">
      <c r="A4" s="3">
        <f>'Kwh Reading'!A4</f>
        <v>44774</v>
      </c>
      <c r="B4" s="26">
        <f>TOTAL!E2</f>
        <v>19349.999999999</v>
      </c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Reading'!C5-'Kwh Reading'!C4)*1000</f>
        <v>230.00000000001819</v>
      </c>
      <c r="F4" s="2">
        <f>('Kwh Reading'!J5-'Kwh Reading'!J4)*1000</f>
        <v>439.99999999999773</v>
      </c>
      <c r="G4" s="2">
        <f>('Kwh Reading'!K5-'Kwh Reading'!K4)*1000</f>
        <v>319.99999999999318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269.99999999998181</v>
      </c>
      <c r="L4" s="2">
        <f>('Kwh Reading'!B5-'Kwh Reading'!B4)*1000000</f>
        <v>900.0000000001229</v>
      </c>
      <c r="M4" s="2">
        <f>('Kwh Reading'!M5-'Kwh Reading'!M4)*1000</f>
        <v>610.00000000001364</v>
      </c>
      <c r="N4" s="2">
        <f>('Kwh Reading'!H5-'Kwh Reading'!H4)*1000</f>
        <v>0.89999999999990088</v>
      </c>
      <c r="O4" s="2">
        <f>('Kwh Reading'!P5-'Kwh Reading'!P4)*1000</f>
        <v>700.00000000004547</v>
      </c>
      <c r="P4" s="2">
        <f>('Kwh Reading'!G5-'Kwh Reading'!G4)*1000000</f>
        <v>699.99999999992292</v>
      </c>
      <c r="Q4" s="2">
        <f>('Kwh Reading'!Q5-'Kwh Reading'!Q4)*1000</f>
        <v>230.00000000001819</v>
      </c>
      <c r="R4" s="2">
        <f>('Kwh Reading'!N5-'Kwh Reading'!N4)*1000</f>
        <v>210.00000000003638</v>
      </c>
      <c r="S4" s="2">
        <f>'Kwh Reading'!E5-'Kwh Reading'!E4</f>
        <v>2188.6500000003725</v>
      </c>
      <c r="T4" s="2">
        <f>'Kwh Reading'!D5-'Kwh Reading'!D4</f>
        <v>1877.1500000003725</v>
      </c>
      <c r="U4" s="27">
        <f>('Kwh Reading'!O5-'Kwh Reading'!O4)*1000</f>
        <v>199.99999999998863</v>
      </c>
      <c r="V4" s="16">
        <f>B4-(SUM(C4:U4))</f>
        <v>7003.2999999983695</v>
      </c>
    </row>
    <row r="5" spans="1:22" x14ac:dyDescent="0.25">
      <c r="A5" s="3">
        <f>'Kwh Reading'!A5</f>
        <v>44775</v>
      </c>
      <c r="B5" s="26">
        <f>TOTAL!E3</f>
        <v>19529.999999999291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259.99999999999091</v>
      </c>
      <c r="G5" s="2">
        <f>('Kwh Reading'!K6-'Kwh Reading'!K5)*1000</f>
        <v>220.00000000002728</v>
      </c>
      <c r="H5" s="2">
        <f>('Kwh Reading'!L6-'Kwh Reading'!L5)*1000</f>
        <v>189.99999999999773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300.00000000001137</v>
      </c>
      <c r="L5" s="2">
        <f>('Kwh Reading'!B6-'Kwh Reading'!B5)*1000000</f>
        <v>899.99999999990087</v>
      </c>
      <c r="M5" s="2">
        <f>('Kwh Reading'!M6-'Kwh Reading'!M5)*1000</f>
        <v>610.00000000001364</v>
      </c>
      <c r="N5" s="2">
        <f>('Kwh Reading'!H6-'Kwh Reading'!H5)*1000</f>
        <v>1.1000000000001009</v>
      </c>
      <c r="O5" s="2">
        <f>('Kwh Reading'!P6-'Kwh Reading'!P5)*1000</f>
        <v>720.00000000002728</v>
      </c>
      <c r="P5" s="2">
        <f>('Kwh Reading'!G6-'Kwh Reading'!G5)*1000000</f>
        <v>699.99999999992292</v>
      </c>
      <c r="Q5" s="2">
        <f>('Kwh Reading'!Q6-'Kwh Reading'!Q5)*1000</f>
        <v>370.00000000000455</v>
      </c>
      <c r="R5" s="2">
        <f>('Kwh Reading'!N6-'Kwh Reading'!N5)*1000</f>
        <v>310.00000000005912</v>
      </c>
      <c r="S5" s="2">
        <f>'Kwh Reading'!E6-'Kwh Reading'!E5</f>
        <v>2628.519999999553</v>
      </c>
      <c r="T5" s="2">
        <f>'Kwh Reading'!D6-'Kwh Reading'!D5</f>
        <v>2121.9599999999627</v>
      </c>
      <c r="U5" s="27">
        <f>('Kwh Reading'!O6-'Kwh Reading'!O5)*1000</f>
        <v>210.00000000000796</v>
      </c>
      <c r="V5" s="16">
        <f t="shared" ref="V5:V11" si="0">B5-(SUM(C5:U5))</f>
        <v>6488.4199999996781</v>
      </c>
    </row>
    <row r="6" spans="1:22" x14ac:dyDescent="0.25">
      <c r="A6" s="3">
        <f>'Kwh Reading'!A6</f>
        <v>44776</v>
      </c>
      <c r="B6" s="26">
        <f>TOTAL!E4</f>
        <v>21162.000000000946</v>
      </c>
      <c r="C6" s="4">
        <f>('Kwh Reading'!T7-'Kwh Reading'!T6)*1000</f>
        <v>509.99999999999091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480.00000000001819</v>
      </c>
      <c r="G6" s="2">
        <f>('Kwh Reading'!K7-'Kwh Reading'!K6)*1000</f>
        <v>279.99999999997272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329.99999999998408</v>
      </c>
      <c r="L6" s="2">
        <f>('Kwh Reading'!B7-'Kwh Reading'!B6)*1000000</f>
        <v>1000.0000000001119</v>
      </c>
      <c r="M6" s="2">
        <f>('Kwh Reading'!M7-'Kwh Reading'!M6)*1000</f>
        <v>689.99999999994088</v>
      </c>
      <c r="N6" s="2">
        <f>('Kwh Reading'!H7-'Kwh Reading'!H6)*1000</f>
        <v>1.1000000000001009</v>
      </c>
      <c r="O6" s="2">
        <f>('Kwh Reading'!P7-'Kwh Reading'!P6)*1000</f>
        <v>699.99999999993179</v>
      </c>
      <c r="P6" s="2">
        <f>('Kwh Reading'!G7-'Kwh Reading'!G6)*1000000</f>
        <v>800.00000000013392</v>
      </c>
      <c r="Q6" s="2">
        <f>('Kwh Reading'!Q7-'Kwh Reading'!Q6)*1000</f>
        <v>389.99999999998636</v>
      </c>
      <c r="R6" s="2">
        <f>('Kwh Reading'!N7-'Kwh Reading'!N6)*1000</f>
        <v>429.99999999994998</v>
      </c>
      <c r="S6" s="2">
        <f>'Kwh Reading'!E7-'Kwh Reading'!E6</f>
        <v>2723.7099999990314</v>
      </c>
      <c r="T6" s="2">
        <f>'Kwh Reading'!D7-'Kwh Reading'!D6</f>
        <v>2171.929999999702</v>
      </c>
      <c r="U6" s="27">
        <f>('Kwh Reading'!O7-'Kwh Reading'!O6)*1000</f>
        <v>180.00000000000682</v>
      </c>
      <c r="V6" s="16">
        <f t="shared" si="0"/>
        <v>7135.2600000022467</v>
      </c>
    </row>
    <row r="7" spans="1:22" x14ac:dyDescent="0.25">
      <c r="A7" s="3">
        <f>'Kwh Reading'!A7</f>
        <v>44777</v>
      </c>
      <c r="B7" s="26">
        <f>TOTAL!E5</f>
        <v>19067.999999999531</v>
      </c>
      <c r="C7" s="4">
        <f>('Kwh Reading'!T8-'Kwh Reading'!T7)*1000</f>
        <v>480.00000000001819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410.00000000002501</v>
      </c>
      <c r="G7" s="2">
        <f>('Kwh Reading'!K8-'Kwh Reading'!K7)*1000</f>
        <v>440.00000000005457</v>
      </c>
      <c r="H7" s="2">
        <f>('Kwh Reading'!L8-'Kwh Reading'!L7)*1000</f>
        <v>210.00000000003638</v>
      </c>
      <c r="I7" s="2">
        <f>('Kwh Reading'!R8-'Kwh Reading'!R7)*1000</f>
        <v>0</v>
      </c>
      <c r="J7" s="2">
        <f>('Kwh Reading'!S8-'Kwh Reading'!S7)*1000</f>
        <v>140.00000000001478</v>
      </c>
      <c r="K7" s="2">
        <f>('Kwh Reading'!I8-'Kwh Reading'!I7)*1000</f>
        <v>300.00000000001137</v>
      </c>
      <c r="L7" s="2">
        <f>('Kwh Reading'!B8-'Kwh Reading'!B7)*1000000</f>
        <v>999.99999999988984</v>
      </c>
      <c r="M7" s="2">
        <f>('Kwh Reading'!M8-'Kwh Reading'!M7)*1000</f>
        <v>649.99999999997726</v>
      </c>
      <c r="N7" s="2">
        <f>('Kwh Reading'!H8-'Kwh Reading'!H7)*1000</f>
        <v>0.99999999999988987</v>
      </c>
      <c r="O7" s="2">
        <f>('Kwh Reading'!P8-'Kwh Reading'!P7)*1000</f>
        <v>600.00000000002274</v>
      </c>
      <c r="P7" s="2">
        <f>('Kwh Reading'!G8-'Kwh Reading'!G7)*1000000</f>
        <v>699.99999999992292</v>
      </c>
      <c r="Q7" s="2">
        <f>('Kwh Reading'!Q8-'Kwh Reading'!Q7)*1000</f>
        <v>339.99999999991815</v>
      </c>
      <c r="R7" s="2">
        <f>('Kwh Reading'!N8-'Kwh Reading'!N7)*1000</f>
        <v>370.00000000000455</v>
      </c>
      <c r="S7" s="2">
        <f>'Kwh Reading'!E8-'Kwh Reading'!E7</f>
        <v>2422.3600000012666</v>
      </c>
      <c r="T7" s="2">
        <f>'Kwh Reading'!D8-'Kwh Reading'!D7</f>
        <v>1736.9199999999255</v>
      </c>
      <c r="U7" s="27">
        <f>('Kwh Reading'!O8-'Kwh Reading'!O7)*1000</f>
        <v>209.99999999997954</v>
      </c>
      <c r="V7" s="16">
        <f t="shared" si="0"/>
        <v>6217.7199999982968</v>
      </c>
    </row>
    <row r="8" spans="1:22" x14ac:dyDescent="0.25">
      <c r="A8" s="3">
        <f>'Kwh Reading'!A8</f>
        <v>44778</v>
      </c>
      <c r="B8" s="26">
        <f>TOTAL!E6</f>
        <v>18569.999999999709</v>
      </c>
      <c r="C8" s="4">
        <f>('Kwh Reading'!T9-'Kwh Reading'!T8)*1000</f>
        <v>250</v>
      </c>
      <c r="D8" s="2">
        <f>('Kwh Reading'!F9-'Kwh Reading'!F8)*1000000</f>
        <v>2600.0000000001578</v>
      </c>
      <c r="E8" s="2">
        <f>('Kwh Reading'!C9-'Kwh Reading'!C8)*1000</f>
        <v>239.99999999995225</v>
      </c>
      <c r="F8" s="2">
        <f>('Kwh Reading'!J9-'Kwh Reading'!J8)*1000</f>
        <v>389.99999999998636</v>
      </c>
      <c r="G8" s="2">
        <f>('Kwh Reading'!K9-'Kwh Reading'!K8)*1000</f>
        <v>29.999999999972715</v>
      </c>
      <c r="H8" s="2">
        <f>('Kwh Reading'!L9-'Kwh Reading'!L8)*1000</f>
        <v>219.99999999997044</v>
      </c>
      <c r="I8" s="2">
        <f>('Kwh Reading'!R9-'Kwh Reading'!R8)*1000</f>
        <v>0</v>
      </c>
      <c r="J8" s="2">
        <f>('Kwh Reading'!S9-'Kwh Reading'!S8)*1000</f>
        <v>139.99999999998636</v>
      </c>
      <c r="K8" s="2">
        <f>('Kwh Reading'!I9-'Kwh Reading'!I8)*1000</f>
        <v>280.00000000002956</v>
      </c>
      <c r="L8" s="2">
        <f>('Kwh Reading'!B9-'Kwh Reading'!B8)*1000000</f>
        <v>900.0000000001229</v>
      </c>
      <c r="M8" s="2">
        <f>('Kwh Reading'!M9-'Kwh Reading'!M8)*1000</f>
        <v>610.00000000001364</v>
      </c>
      <c r="N8" s="2">
        <f>('Kwh Reading'!H9-'Kwh Reading'!H8)*1000</f>
        <v>0.89999999999990088</v>
      </c>
      <c r="O8" s="2">
        <f>('Kwh Reading'!P9-'Kwh Reading'!P8)*1000</f>
        <v>620.00000000000455</v>
      </c>
      <c r="P8" s="2">
        <f>('Kwh Reading'!G9-'Kwh Reading'!G8)*1000000</f>
        <v>699.99999999992292</v>
      </c>
      <c r="Q8" s="2">
        <f>('Kwh Reading'!Q9-'Kwh Reading'!Q8)*1000</f>
        <v>310.00000000005912</v>
      </c>
      <c r="R8" s="2">
        <f>('Kwh Reading'!N9-'Kwh Reading'!N8)*1000</f>
        <v>289.99999999996362</v>
      </c>
      <c r="S8" s="2">
        <f>'Kwh Reading'!E9-'Kwh Reading'!E8</f>
        <v>2070</v>
      </c>
      <c r="T8" s="2">
        <f>'Kwh Reading'!D9-'Kwh Reading'!D8</f>
        <v>1699.320000000298</v>
      </c>
      <c r="U8" s="27">
        <f>('Kwh Reading'!O9-'Kwh Reading'!O8)*1000</f>
        <v>210.00000000000796</v>
      </c>
      <c r="V8" s="16">
        <f t="shared" si="0"/>
        <v>7009.7799999992621</v>
      </c>
    </row>
    <row r="9" spans="1:22" x14ac:dyDescent="0.25">
      <c r="A9" s="3">
        <f>'Kwh Reading'!A9</f>
        <v>44779</v>
      </c>
      <c r="B9" s="26">
        <f>TOTAL!E7</f>
        <v>19559.999999999716</v>
      </c>
      <c r="C9" s="4">
        <f>('Kwh Reading'!T10-'Kwh Reading'!T9)*1000</f>
        <v>460.00000000003638</v>
      </c>
      <c r="D9" s="2">
        <f>('Kwh Reading'!F10-'Kwh Reading'!F9)*1000000</f>
        <v>2499.9999999999468</v>
      </c>
      <c r="E9" s="2">
        <f>('Kwh Reading'!C10-'Kwh Reading'!C9)*1000</f>
        <v>250</v>
      </c>
      <c r="F9" s="2">
        <f>('Kwh Reading'!J10-'Kwh Reading'!J9)*1000</f>
        <v>550.00000000001137</v>
      </c>
      <c r="G9" s="2">
        <f>('Kwh Reading'!K10-'Kwh Reading'!K9)*1000</f>
        <v>259.99999999999091</v>
      </c>
      <c r="H9" s="2">
        <f>('Kwh Reading'!L10-'Kwh Reading'!L9)*1000</f>
        <v>220.00000000002728</v>
      </c>
      <c r="I9" s="2">
        <f>('Kwh Reading'!R10-'Kwh Reading'!R9)*1000</f>
        <v>0</v>
      </c>
      <c r="J9" s="2">
        <f>('Kwh Reading'!S10-'Kwh Reading'!S9)*1000</f>
        <v>140.00000000001478</v>
      </c>
      <c r="K9" s="2">
        <f>('Kwh Reading'!I10-'Kwh Reading'!I9)*1000</f>
        <v>310.00000000000227</v>
      </c>
      <c r="L9" s="2">
        <f>('Kwh Reading'!B10-'Kwh Reading'!B9)*1000000</f>
        <v>999.99999999988984</v>
      </c>
      <c r="M9" s="2">
        <f>('Kwh Reading'!M10-'Kwh Reading'!M9)*1000</f>
        <v>680.00000000006366</v>
      </c>
      <c r="N9" s="2">
        <f>('Kwh Reading'!H10-'Kwh Reading'!H9)*1000</f>
        <v>1.0000000000001119</v>
      </c>
      <c r="O9" s="2">
        <f>('Kwh Reading'!P10-'Kwh Reading'!P9)*1000</f>
        <v>570.00000000005002</v>
      </c>
      <c r="P9" s="2">
        <f>('Kwh Reading'!G10-'Kwh Reading'!G9)*1000000</f>
        <v>700.00000000014495</v>
      </c>
      <c r="Q9" s="2">
        <f>('Kwh Reading'!Q10-'Kwh Reading'!Q9)*1000</f>
        <v>309.99999999994543</v>
      </c>
      <c r="R9" s="2">
        <f>('Kwh Reading'!N10-'Kwh Reading'!N9)*1000</f>
        <v>230.00000000001819</v>
      </c>
      <c r="S9" s="2">
        <f>'Kwh Reading'!E10-'Kwh Reading'!E9</f>
        <v>2497.5099999997765</v>
      </c>
      <c r="T9" s="2">
        <f>'Kwh Reading'!D10-'Kwh Reading'!D9</f>
        <v>1887.1899999994785</v>
      </c>
      <c r="U9" s="27">
        <f>('Kwh Reading'!O10-'Kwh Reading'!O9)*1000</f>
        <v>189.99999999999773</v>
      </c>
      <c r="V9" s="16">
        <f t="shared" si="0"/>
        <v>6804.3000000003212</v>
      </c>
    </row>
    <row r="10" spans="1:22" x14ac:dyDescent="0.25">
      <c r="A10" s="3">
        <f>'Kwh Reading'!A10</f>
        <v>44780</v>
      </c>
      <c r="B10" s="26">
        <f>TOTAL!E8</f>
        <v>20700.000000000728</v>
      </c>
      <c r="C10" s="4">
        <f>('Kwh Reading'!T11-'Kwh Reading'!T10)*1000</f>
        <v>490.00000000000909</v>
      </c>
      <c r="D10" s="2">
        <f>('Kwh Reading'!F11-'Kwh Reading'!F10)*1000000</f>
        <v>2599.9999999997135</v>
      </c>
      <c r="E10" s="2">
        <f>('Kwh Reading'!C11-'Kwh Reading'!C10)*1000</f>
        <v>230.00000000001819</v>
      </c>
      <c r="F10" s="2">
        <f>('Kwh Reading'!J11-'Kwh Reading'!J10)*1000</f>
        <v>419.99999999995907</v>
      </c>
      <c r="G10" s="2">
        <f>('Kwh Reading'!K11-'Kwh Reading'!K10)*1000</f>
        <v>310.00000000000227</v>
      </c>
      <c r="H10" s="2">
        <f>('Kwh Reading'!L11-'Kwh Reading'!L10)*1000</f>
        <v>250</v>
      </c>
      <c r="I10" s="2">
        <f>('Kwh Reading'!R11-'Kwh Reading'!R10)*1000</f>
        <v>0</v>
      </c>
      <c r="J10" s="2">
        <f>('Kwh Reading'!S11-'Kwh Reading'!S10)*1000</f>
        <v>139.99999999998636</v>
      </c>
      <c r="K10" s="2">
        <f>('Kwh Reading'!I11-'Kwh Reading'!I10)*1000</f>
        <v>329.99999999998408</v>
      </c>
      <c r="L10" s="2">
        <f>('Kwh Reading'!B11-'Kwh Reading'!B10)*1000000</f>
        <v>1000.0000000001119</v>
      </c>
      <c r="M10" s="2">
        <f>('Kwh Reading'!M11-'Kwh Reading'!M10)*1000</f>
        <v>709.99999999992269</v>
      </c>
      <c r="N10" s="2">
        <f>('Kwh Reading'!H11-'Kwh Reading'!H10)*1000</f>
        <v>1.0999999999998789</v>
      </c>
      <c r="O10" s="136">
        <f>('Kwh Reading'!P11-'Kwh Reading'!P10)*1000</f>
        <v>-998719.6</v>
      </c>
      <c r="P10" s="2">
        <f>('Kwh Reading'!G11-'Kwh Reading'!G10)*1000000</f>
        <v>799.99999999991189</v>
      </c>
      <c r="Q10" s="2">
        <f>('Kwh Reading'!Q11-'Kwh Reading'!Q10)*1000</f>
        <v>320.00000000005002</v>
      </c>
      <c r="R10" s="2">
        <f>('Kwh Reading'!N11-'Kwh Reading'!N10)*1000</f>
        <v>289.99999999996362</v>
      </c>
      <c r="S10" s="33">
        <f>'Kwh Reading'!E11-'Kwh Reading'!E10</f>
        <v>2605.9900000002235</v>
      </c>
      <c r="T10" s="33">
        <f>'Kwh Reading'!D11-'Kwh Reading'!D10</f>
        <v>1950.6000000005588</v>
      </c>
      <c r="U10" s="27">
        <f>('Kwh Reading'!O11-'Kwh Reading'!O10)*1000</f>
        <v>200.00000000001705</v>
      </c>
      <c r="V10" s="16">
        <f t="shared" si="0"/>
        <v>1006771.9100000003</v>
      </c>
    </row>
    <row r="11" spans="1:22" x14ac:dyDescent="0.25">
      <c r="A11" s="3">
        <f>'Kwh Reading'!A11</f>
        <v>44781</v>
      </c>
      <c r="B11" s="26">
        <f>TOTAL!E9</f>
        <v>20509.999999999764</v>
      </c>
      <c r="C11" s="4">
        <f>('Kwh Reading'!T12-'Kwh Reading'!T11)*1000</f>
        <v>459.99999999992269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390.0000000000432</v>
      </c>
      <c r="G11" s="2">
        <f>('Kwh Reading'!K12-'Kwh Reading'!K11)*1000</f>
        <v>259.99999999999091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329.99999999998408</v>
      </c>
      <c r="L11" s="2">
        <f>('Kwh Reading'!B12-'Kwh Reading'!B11)*1000000</f>
        <v>1099.9999999998788</v>
      </c>
      <c r="M11" s="2">
        <f>('Kwh Reading'!M12-'Kwh Reading'!M11)*1000</f>
        <v>680.00000000006366</v>
      </c>
      <c r="N11" s="2">
        <f>('Kwh Reading'!H12-'Kwh Reading'!H11)*1000</f>
        <v>1.0000000000001119</v>
      </c>
      <c r="O11" s="2">
        <f>('Kwh Reading'!P12-'Kwh Reading'!P11)*1000</f>
        <v>0.70000000000014495</v>
      </c>
      <c r="P11" s="2">
        <f>('Kwh Reading'!G12-'Kwh Reading'!G11)*1000000</f>
        <v>900.0000000001229</v>
      </c>
      <c r="Q11" s="2">
        <f>('Kwh Reading'!Q12-'Kwh Reading'!Q11)*1000</f>
        <v>370.00000000000455</v>
      </c>
      <c r="R11" s="2">
        <f>('Kwh Reading'!N12-'Kwh Reading'!N11)*1000</f>
        <v>320.00000000005002</v>
      </c>
      <c r="S11" s="33">
        <f>'Kwh Reading'!E12-'Kwh Reading'!E11</f>
        <v>2508.429999999702</v>
      </c>
      <c r="T11" s="33">
        <f>'Kwh Reading'!D12-'Kwh Reading'!D11</f>
        <v>2070.859999999404</v>
      </c>
      <c r="U11" s="27">
        <f>('Kwh Reading'!O12-'Kwh Reading'!O11)*1000</f>
        <v>189.99999999999773</v>
      </c>
      <c r="V11" s="16">
        <f t="shared" si="0"/>
        <v>7719.010000000455</v>
      </c>
    </row>
    <row r="12" spans="1:22" x14ac:dyDescent="0.25">
      <c r="A12" s="3">
        <f>'Kwh Reading'!A12</f>
        <v>44782</v>
      </c>
      <c r="B12" s="26">
        <f>TOTAL!E10</f>
        <v>19900.000000000546</v>
      </c>
      <c r="C12" s="4">
        <f>('Kwh Reading'!T13-'Kwh Reading'!T12)*1000</f>
        <v>480.00000000001819</v>
      </c>
      <c r="D12" s="2">
        <f>('Kwh Reading'!F13-'Kwh Reading'!F12)*1000000</f>
        <v>2499.9999999999468</v>
      </c>
      <c r="E12" s="2">
        <f>('Kwh Reading'!C13-'Kwh Reading'!C12)*1000</f>
        <v>250</v>
      </c>
      <c r="F12" s="2">
        <f>('Kwh Reading'!J13-'Kwh Reading'!J12)*1000</f>
        <v>409.99999999996817</v>
      </c>
      <c r="G12" s="2">
        <f>('Kwh Reading'!K13-'Kwh Reading'!K12)*1000</f>
        <v>240.00000000000909</v>
      </c>
      <c r="H12" s="2">
        <f>('Kwh Reading'!L13-'Kwh Reading'!L12)*1000</f>
        <v>250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300.00000000001137</v>
      </c>
      <c r="L12" s="2">
        <f>('Kwh Reading'!B13-'Kwh Reading'!B12)*1000000</f>
        <v>1000.0000000001119</v>
      </c>
      <c r="M12" s="2">
        <f>('Kwh Reading'!M13-'Kwh Reading'!M12)*1000</f>
        <v>699.99999999993179</v>
      </c>
      <c r="N12" s="2">
        <f>('Kwh Reading'!H13-'Kwh Reading'!H12)*1000</f>
        <v>1.1000000000001009</v>
      </c>
      <c r="O12" s="2">
        <f>('Kwh Reading'!P13-'Kwh Reading'!P12)*1000</f>
        <v>0.69999999999992291</v>
      </c>
      <c r="P12" s="2">
        <f>('Kwh Reading'!G13-'Kwh Reading'!G12)*1000000</f>
        <v>799.99999999991189</v>
      </c>
      <c r="Q12" s="2">
        <f>('Kwh Reading'!Q13-'Kwh Reading'!Q12)*1000</f>
        <v>330.00000000004093</v>
      </c>
      <c r="R12" s="2">
        <f>('Kwh Reading'!N13-'Kwh Reading'!N12)*1000</f>
        <v>299.99999999995453</v>
      </c>
      <c r="S12" s="33">
        <f>'Kwh Reading'!E13-'Kwh Reading'!E12</f>
        <v>2429.7899999991059</v>
      </c>
      <c r="T12" s="33">
        <f>'Kwh Reading'!D13-'Kwh Reading'!D12</f>
        <v>2003.3300000000745</v>
      </c>
      <c r="U12" s="27">
        <f>('Kwh Reading'!O13-'Kwh Reading'!O12)*1000</f>
        <v>189.99999999999773</v>
      </c>
      <c r="V12" s="16">
        <f t="shared" ref="V12:V34" si="1">B12-(SUM(C12:U12))</f>
        <v>7585.080000001466</v>
      </c>
    </row>
    <row r="13" spans="1:22" x14ac:dyDescent="0.25">
      <c r="A13" s="3">
        <f>'Kwh Reading'!A13</f>
        <v>44783</v>
      </c>
      <c r="B13" s="26">
        <f>TOTAL!E11</f>
        <v>19910.000000000535</v>
      </c>
      <c r="C13" s="4">
        <f>('Kwh Reading'!T14-'Kwh Reading'!T13)*1000</f>
        <v>509.99999999999091</v>
      </c>
      <c r="D13" s="2">
        <f>('Kwh Reading'!F14-'Kwh Reading'!F13)*1000000</f>
        <v>2600.0000000001578</v>
      </c>
      <c r="E13" s="2">
        <f>('Kwh Reading'!C14-'Kwh Reading'!C13)*1000</f>
        <v>269.99999999998181</v>
      </c>
      <c r="F13" s="2">
        <f>('Kwh Reading'!J14-'Kwh Reading'!J13)*1000</f>
        <v>400.00000000003411</v>
      </c>
      <c r="G13" s="2">
        <f>('Kwh Reading'!K14-'Kwh Reading'!K13)*1000</f>
        <v>290.00000000002046</v>
      </c>
      <c r="H13" s="2">
        <f>('Kwh Reading'!L14-'Kwh Reading'!L13)*1000</f>
        <v>230.00000000001819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300.00000000001137</v>
      </c>
      <c r="L13" s="2">
        <f>('Kwh Reading'!B14-'Kwh Reading'!B13)*1000000</f>
        <v>1099.9999999998788</v>
      </c>
      <c r="M13" s="2">
        <f>('Kwh Reading'!M14-'Kwh Reading'!M13)*1000</f>
        <v>690.00000000005457</v>
      </c>
      <c r="N13" s="2">
        <f>('Kwh Reading'!H14-'Kwh Reading'!H13)*1000</f>
        <v>0.99999999999988987</v>
      </c>
      <c r="O13" s="2">
        <f>('Kwh Reading'!P14-'Kwh Reading'!P13)*1000</f>
        <v>0.79999999999991189</v>
      </c>
      <c r="P13" s="2">
        <f>('Kwh Reading'!G14-'Kwh Reading'!G13)*1000000</f>
        <v>799.99999999991189</v>
      </c>
      <c r="Q13" s="2">
        <f>('Kwh Reading'!Q14-'Kwh Reading'!Q13)*1000</f>
        <v>339.99999999991815</v>
      </c>
      <c r="R13" s="2">
        <f>('Kwh Reading'!N14-'Kwh Reading'!N13)*1000</f>
        <v>300.00000000006821</v>
      </c>
      <c r="S13" s="33">
        <f>'Kwh Reading'!E14-'Kwh Reading'!E13</f>
        <v>2337.4199999999255</v>
      </c>
      <c r="T13" s="33">
        <f>'Kwh Reading'!D14-'Kwh Reading'!D13</f>
        <v>1730.9400000004098</v>
      </c>
      <c r="U13" s="27">
        <f>('Kwh Reading'!O14-'Kwh Reading'!O13)*1000</f>
        <v>169.99999999998749</v>
      </c>
      <c r="V13" s="16">
        <f t="shared" si="1"/>
        <v>7689.8400000001602</v>
      </c>
    </row>
    <row r="14" spans="1:22" x14ac:dyDescent="0.25">
      <c r="A14" s="3">
        <f>'Kwh Reading'!A14</f>
        <v>44784</v>
      </c>
      <c r="B14" s="26">
        <f>TOTAL!E12</f>
        <v>18759.999999998399</v>
      </c>
      <c r="C14" s="4">
        <f>('Kwh Reading'!T15-'Kwh Reading'!T14)*1000</f>
        <v>430.00000000006366</v>
      </c>
      <c r="D14" s="2">
        <f>('Kwh Reading'!F15-'Kwh Reading'!F14)*1000000</f>
        <v>2799.9999999996917</v>
      </c>
      <c r="E14" s="2">
        <f>('Kwh Reading'!C15-'Kwh Reading'!C14)*1000</f>
        <v>300.00000000001137</v>
      </c>
      <c r="F14" s="2">
        <f>('Kwh Reading'!J15-'Kwh Reading'!J14)*1000</f>
        <v>1109.9999999999568</v>
      </c>
      <c r="G14" s="2">
        <f>('Kwh Reading'!K15-'Kwh Reading'!K14)*1000</f>
        <v>459.99999999997954</v>
      </c>
      <c r="H14" s="2">
        <f>('Kwh Reading'!L15-'Kwh Reading'!L14)*1000</f>
        <v>360.00000000001364</v>
      </c>
      <c r="I14" s="2">
        <f>('Kwh Reading'!R15-'Kwh Reading'!R14)*1000</f>
        <v>0</v>
      </c>
      <c r="J14" s="2">
        <f>('Kwh Reading'!S15-'Kwh Reading'!S14)*1000</f>
        <v>179.9999999999784</v>
      </c>
      <c r="K14" s="2">
        <f>('Kwh Reading'!I15-'Kwh Reading'!I14)*1000</f>
        <v>319.99999999999318</v>
      </c>
      <c r="L14" s="2">
        <f>('Kwh Reading'!B15-'Kwh Reading'!B14)*1000000</f>
        <v>1100.000000000101</v>
      </c>
      <c r="M14" s="2">
        <f>('Kwh Reading'!M15-'Kwh Reading'!M14)*1000</f>
        <v>730.00000000001819</v>
      </c>
      <c r="N14" s="2">
        <f>('Kwh Reading'!H15-'Kwh Reading'!H14)*1000</f>
        <v>1.2000000000000899</v>
      </c>
      <c r="O14" s="2">
        <f>('Kwh Reading'!P15-'Kwh Reading'!P14)*1000</f>
        <v>0.70000000000014495</v>
      </c>
      <c r="P14" s="2">
        <f>('Kwh Reading'!G15-'Kwh Reading'!G14)*1000000</f>
        <v>800.00000000013392</v>
      </c>
      <c r="Q14" s="2">
        <f>('Kwh Reading'!Q15-'Kwh Reading'!Q14)*1000</f>
        <v>370.00000000000455</v>
      </c>
      <c r="R14" s="2">
        <f>('Kwh Reading'!N15-'Kwh Reading'!N14)*1000</f>
        <v>509.99999999999091</v>
      </c>
      <c r="S14" s="33">
        <f>'Kwh Reading'!E15-'Kwh Reading'!E14</f>
        <v>2504.0500000007451</v>
      </c>
      <c r="T14" s="33">
        <f>'Kwh Reading'!D15-'Kwh Reading'!D14</f>
        <v>1964.0099999997765</v>
      </c>
      <c r="U14" s="27">
        <f>('Kwh Reading'!O15-'Kwh Reading'!O14)*1000</f>
        <v>230.00000000001819</v>
      </c>
      <c r="V14" s="16">
        <f t="shared" si="1"/>
        <v>4590.0399999979218</v>
      </c>
    </row>
    <row r="15" spans="1:22" x14ac:dyDescent="0.25">
      <c r="A15" s="3">
        <f>'Kwh Reading'!A15</f>
        <v>44785</v>
      </c>
      <c r="B15" s="26">
        <f>TOTAL!E13</f>
        <v>19000.000000002499</v>
      </c>
      <c r="C15" s="4">
        <f>('Kwh Reading'!T16-'Kwh Reading'!T15)*1000</f>
        <v>279.99999999997272</v>
      </c>
      <c r="D15" s="2">
        <f>('Kwh Reading'!F16-'Kwh Reading'!F15)*1000000</f>
        <v>2400.0000000001796</v>
      </c>
      <c r="E15" s="2">
        <f>('Kwh Reading'!C16-'Kwh Reading'!C15)*1000</f>
        <v>189.99999999999773</v>
      </c>
      <c r="F15" s="2">
        <f>('Kwh Reading'!J16-'Kwh Reading'!J15)*1000</f>
        <v>379.99999999999545</v>
      </c>
      <c r="G15" s="2">
        <f>('Kwh Reading'!K16-'Kwh Reading'!K15)*1000</f>
        <v>129.99999999999545</v>
      </c>
      <c r="H15" s="2">
        <f>('Kwh Reading'!L16-'Kwh Reading'!L15)*1000</f>
        <v>109.9999999999568</v>
      </c>
      <c r="I15" s="2">
        <f>('Kwh Reading'!R16-'Kwh Reading'!R15)*1000</f>
        <v>0</v>
      </c>
      <c r="J15" s="2">
        <f>('Kwh Reading'!S16-'Kwh Reading'!S15)*1000</f>
        <v>99.999999999994316</v>
      </c>
      <c r="K15" s="2">
        <f>('Kwh Reading'!I16-'Kwh Reading'!I15)*1000</f>
        <v>209.99999999997954</v>
      </c>
      <c r="L15" s="2">
        <f>('Kwh Reading'!B16-'Kwh Reading'!B15)*1000000</f>
        <v>799.99999999991189</v>
      </c>
      <c r="M15" s="27">
        <f>('Kwh Reading'!M16-'Kwh Reading'!M15)*1000</f>
        <v>449.99999999993179</v>
      </c>
      <c r="N15" s="2">
        <f>('Kwh Reading'!H16-'Kwh Reading'!H15)*1000</f>
        <v>0.69999999999992291</v>
      </c>
      <c r="O15" s="2">
        <f>('Kwh Reading'!P16-'Kwh Reading'!P15)*1000</f>
        <v>0.49999999999994493</v>
      </c>
      <c r="P15" s="2">
        <f>('Kwh Reading'!G16-'Kwh Reading'!G15)*1000000</f>
        <v>599.99999999993395</v>
      </c>
      <c r="Q15" s="2">
        <f>('Kwh Reading'!Q16-'Kwh Reading'!Q15)*1000</f>
        <v>230.00000000001819</v>
      </c>
      <c r="R15" s="2">
        <f>('Kwh Reading'!N16-'Kwh Reading'!N15)*1000</f>
        <v>240.00000000000909</v>
      </c>
      <c r="S15" s="33">
        <f>'Kwh Reading'!E16-'Kwh Reading'!E15</f>
        <v>1367.1500000003725</v>
      </c>
      <c r="T15" s="33">
        <f>'Kwh Reading'!D16-'Kwh Reading'!D15</f>
        <v>1231.660000000149</v>
      </c>
      <c r="U15" s="27">
        <f>('Kwh Reading'!O16-'Kwh Reading'!O15)*1000</f>
        <v>139.99999999998636</v>
      </c>
      <c r="V15" s="16">
        <f t="shared" si="1"/>
        <v>10139.990000002115</v>
      </c>
    </row>
    <row r="16" spans="1:22" x14ac:dyDescent="0.25">
      <c r="A16" s="3">
        <f>'Kwh Reading'!A16</f>
        <v>44786</v>
      </c>
      <c r="B16" s="26">
        <f>TOTAL!E14</f>
        <v>0</v>
      </c>
      <c r="C16" s="4">
        <f>('Kwh Reading'!T17-'Kwh Reading'!T16)*1000</f>
        <v>490.00000000000909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879.99999999999545</v>
      </c>
      <c r="G16" s="2">
        <f>('Kwh Reading'!K17-'Kwh Reading'!K16)*1000</f>
        <v>310.00000000000227</v>
      </c>
      <c r="H16" s="2">
        <f>('Kwh Reading'!L17-'Kwh Reading'!L16)*1000</f>
        <v>260.00000000004775</v>
      </c>
      <c r="I16" s="2">
        <f>('Kwh Reading'!R17-'Kwh Reading'!R16)*1000</f>
        <v>0</v>
      </c>
      <c r="J16" s="2">
        <f>('Kwh Reading'!S17-'Kwh Reading'!S16)*1000</f>
        <v>140.00000000001478</v>
      </c>
      <c r="K16" s="2">
        <f>('Kwh Reading'!I17-'Kwh Reading'!I16)*1000</f>
        <v>290.00000000002046</v>
      </c>
      <c r="L16" s="2">
        <f>('Kwh Reading'!B17-'Kwh Reading'!B16)*1000000</f>
        <v>1100.000000000101</v>
      </c>
      <c r="M16" s="2">
        <f>('Kwh Reading'!M17-'Kwh Reading'!M16)*1000</f>
        <v>610.00000000001364</v>
      </c>
      <c r="N16" s="2">
        <f>('Kwh Reading'!H17-'Kwh Reading'!H16)*1000</f>
        <v>1.2000000000000899</v>
      </c>
      <c r="O16" s="2">
        <f>('Kwh Reading'!P17-'Kwh Reading'!P16)*1000</f>
        <v>0.69999999999992291</v>
      </c>
      <c r="P16" s="2">
        <f>('Kwh Reading'!G17-'Kwh Reading'!G16)*1000000</f>
        <v>799.99999999991189</v>
      </c>
      <c r="Q16" s="2">
        <f>('Kwh Reading'!Q17-'Kwh Reading'!Q16)*1000</f>
        <v>250</v>
      </c>
      <c r="R16" s="2">
        <f>('Kwh Reading'!N17-'Kwh Reading'!N16)*1000</f>
        <v>370.00000000000455</v>
      </c>
      <c r="S16" s="33">
        <f>'Kwh Reading'!E17-'Kwh Reading'!E16</f>
        <v>2356.820000000298</v>
      </c>
      <c r="T16" s="33">
        <f>'Kwh Reading'!D17-'Kwh Reading'!D16</f>
        <v>1834.820000000298</v>
      </c>
      <c r="U16" s="27">
        <f>('Kwh Reading'!O17-'Kwh Reading'!O16)*1000</f>
        <v>189.99999999999773</v>
      </c>
      <c r="V16" s="16">
        <f t="shared" si="1"/>
        <v>-12833.540000000638</v>
      </c>
    </row>
    <row r="17" spans="1:22" x14ac:dyDescent="0.25">
      <c r="A17" s="3">
        <f>'Kwh Reading'!A17</f>
        <v>44787</v>
      </c>
      <c r="B17" s="26">
        <f>TOTAL!E15</f>
        <v>0</v>
      </c>
      <c r="C17" s="4">
        <f>('Kwh Reading'!T18-'Kwh Reading'!T17)*1000</f>
        <v>509.99999999999091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700.00000000004547</v>
      </c>
      <c r="G17" s="2">
        <f>('Kwh Reading'!K18-'Kwh Reading'!K17)*1000</f>
        <v>319.99999999999318</v>
      </c>
      <c r="H17" s="2">
        <f>('Kwh Reading'!L18-'Kwh Reading'!L17)*1000</f>
        <v>269.99999999998181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329.99999999998408</v>
      </c>
      <c r="L17" s="2">
        <f>('Kwh Reading'!B18-'Kwh Reading'!B17)*1000000</f>
        <v>1199.9999999998679</v>
      </c>
      <c r="M17" s="2">
        <f>('Kwh Reading'!M18-'Kwh Reading'!M17)*1000</f>
        <v>649.99999999997726</v>
      </c>
      <c r="N17" s="2">
        <f>('Kwh Reading'!H18-'Kwh Reading'!H17)*1000</f>
        <v>1.0999999999998789</v>
      </c>
      <c r="O17" s="2">
        <f>('Kwh Reading'!P18-'Kwh Reading'!P17)*1000</f>
        <v>0.90000000000012292</v>
      </c>
      <c r="P17" s="2">
        <f>('Kwh Reading'!G18-'Kwh Reading'!G17)*1000000</f>
        <v>700.00000000014495</v>
      </c>
      <c r="Q17" s="2">
        <f>('Kwh Reading'!Q18-'Kwh Reading'!Q17)*1000</f>
        <v>419.99999999995907</v>
      </c>
      <c r="R17" s="2">
        <f>('Kwh Reading'!N18-'Kwh Reading'!N17)*1000</f>
        <v>459.99999999992269</v>
      </c>
      <c r="S17" s="33">
        <f>'Kwh Reading'!E18-'Kwh Reading'!E17</f>
        <v>2374.9199999999255</v>
      </c>
      <c r="T17" s="33">
        <f>'Kwh Reading'!D18-'Kwh Reading'!D17</f>
        <v>1942.3099999995902</v>
      </c>
      <c r="U17" s="27">
        <f>('Kwh Reading'!O18-'Kwh Reading'!O17)*1000</f>
        <v>200.00000000001705</v>
      </c>
      <c r="V17" s="16">
        <f t="shared" si="1"/>
        <v>-13169.22999999931</v>
      </c>
    </row>
    <row r="18" spans="1:22" x14ac:dyDescent="0.25">
      <c r="A18" s="3">
        <f>'Kwh Reading'!A18</f>
        <v>44788</v>
      </c>
      <c r="B18" s="26">
        <f>TOTAL!E16</f>
        <v>0</v>
      </c>
      <c r="C18" s="4">
        <f>('Kwh Reading'!T19-'Kwh Reading'!T18)*1000</f>
        <v>480.00000000001819</v>
      </c>
      <c r="D18" s="2">
        <f>('Kwh Reading'!F19-'Kwh Reading'!F18)*1000000</f>
        <v>2699.9999999999245</v>
      </c>
      <c r="E18" s="2">
        <f>('Kwh Reading'!C19-'Kwh Reading'!C18)*1000</f>
        <v>250</v>
      </c>
      <c r="F18" s="2">
        <f>('Kwh Reading'!J19-'Kwh Reading'!J18)*1000</f>
        <v>560.00000000000227</v>
      </c>
      <c r="G18" s="2">
        <f>('Kwh Reading'!K19-'Kwh Reading'!K18)*1000</f>
        <v>300.00000000001137</v>
      </c>
      <c r="H18" s="2">
        <f>('Kwh Reading'!L19-'Kwh Reading'!L18)*1000</f>
        <v>230.00000000001819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530.0000000000864</v>
      </c>
      <c r="N18" s="2">
        <f>('Kwh Reading'!H19-'Kwh Reading'!H18)*1000</f>
        <v>1.1000000000001009</v>
      </c>
      <c r="O18" s="2">
        <f>('Kwh Reading'!P19-'Kwh Reading'!P18)*1000</f>
        <v>0.89999999999990088</v>
      </c>
      <c r="P18" s="2">
        <f>('Kwh Reading'!G19-'Kwh Reading'!G18)*1000000</f>
        <v>799.99999999991189</v>
      </c>
      <c r="Q18" s="2">
        <f>('Kwh Reading'!Q19-'Kwh Reading'!Q18)*1000</f>
        <v>240.00000000000909</v>
      </c>
      <c r="R18" s="2">
        <f>('Kwh Reading'!N19-'Kwh Reading'!N18)*1000</f>
        <v>390.00000000010004</v>
      </c>
      <c r="S18" s="33">
        <f>'Kwh Reading'!E19-'Kwh Reading'!E18</f>
        <v>2536</v>
      </c>
      <c r="T18" s="33">
        <f>'Kwh Reading'!D19-'Kwh Reading'!D18</f>
        <v>1755.320000000298</v>
      </c>
      <c r="U18" s="27">
        <f>('Kwh Reading'!O19-'Kwh Reading'!O18)*1000</f>
        <v>199.99999999998863</v>
      </c>
      <c r="V18" s="16">
        <f t="shared" si="1"/>
        <v>-12623.320000000476</v>
      </c>
    </row>
    <row r="19" spans="1:22" x14ac:dyDescent="0.25">
      <c r="A19" s="3">
        <f>'Kwh Reading'!A19</f>
        <v>44789</v>
      </c>
      <c r="B19" s="26">
        <f>TOTAL!E17</f>
        <v>0</v>
      </c>
      <c r="C19" s="4">
        <f>('Kwh Reading'!T20-'Kwh Reading'!T19)*1000</f>
        <v>480.00000000001819</v>
      </c>
      <c r="D19" s="2">
        <f>('Kwh Reading'!F20-'Kwh Reading'!F19)*1000000</f>
        <v>2600.0000000001578</v>
      </c>
      <c r="E19" s="2">
        <f>('Kwh Reading'!C20-'Kwh Reading'!C19)*1000</f>
        <v>250</v>
      </c>
      <c r="F19" s="2">
        <f>('Kwh Reading'!J20-'Kwh Reading'!J19)*1000</f>
        <v>560.00000000000227</v>
      </c>
      <c r="G19" s="2">
        <f>('Kwh Reading'!K20-'Kwh Reading'!K19)*1000</f>
        <v>340.00000000003183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310.00000000000227</v>
      </c>
      <c r="L19" s="2">
        <f>('Kwh Reading'!B20-'Kwh Reading'!B19)*1000000</f>
        <v>1099.9999999998788</v>
      </c>
      <c r="M19" s="2">
        <f>('Kwh Reading'!M20-'Kwh Reading'!M19)*1000</f>
        <v>599.99999999990905</v>
      </c>
      <c r="N19" s="2">
        <f>('Kwh Reading'!H20-'Kwh Reading'!H19)*1000</f>
        <v>0.99999999999988987</v>
      </c>
      <c r="O19" s="2">
        <f>('Kwh Reading'!P20-'Kwh Reading'!P19)*1000</f>
        <v>0.80000000000013394</v>
      </c>
      <c r="P19" s="2">
        <f>('Kwh Reading'!G20-'Kwh Reading'!G19)*1000000</f>
        <v>800.00000000013392</v>
      </c>
      <c r="Q19" s="2">
        <f>('Kwh Reading'!Q20-'Kwh Reading'!Q19)*1000</f>
        <v>220.00000000002728</v>
      </c>
      <c r="R19" s="2">
        <f>('Kwh Reading'!N20-'Kwh Reading'!N19)*1000</f>
        <v>439.99999999994088</v>
      </c>
      <c r="S19" s="33">
        <f>'Kwh Reading'!E20-'Kwh Reading'!E19</f>
        <v>2468.5299999993294</v>
      </c>
      <c r="T19" s="33">
        <f>'Kwh Reading'!D20-'Kwh Reading'!D19</f>
        <v>1710.0400000000373</v>
      </c>
      <c r="U19" s="27">
        <f>('Kwh Reading'!O20-'Kwh Reading'!O19)*1000</f>
        <v>199.99999999998863</v>
      </c>
      <c r="V19" s="16">
        <f t="shared" si="1"/>
        <v>-12430.369999999424</v>
      </c>
    </row>
    <row r="20" spans="1:22" x14ac:dyDescent="0.25">
      <c r="A20" s="3">
        <f>'Kwh Reading'!A20</f>
        <v>44790</v>
      </c>
      <c r="B20" s="26">
        <f>TOTAL!E18</f>
        <v>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269.99999999998181</v>
      </c>
      <c r="F20" s="2">
        <f>('Kwh Reading'!J21-'Kwh Reading'!J20)*1000</f>
        <v>509.99999999999091</v>
      </c>
      <c r="G20" s="2">
        <f>('Kwh Reading'!K21-'Kwh Reading'!K20)*1000</f>
        <v>349.99999999996589</v>
      </c>
      <c r="H20" s="27">
        <f>('Kwh Reading'!L21-'Kwh Reading'!L20)*1000</f>
        <v>230.00000000001819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329.99999999998408</v>
      </c>
      <c r="L20" s="2">
        <f>('Kwh Reading'!B21-'Kwh Reading'!B20)*1000000</f>
        <v>1100.000000000101</v>
      </c>
      <c r="M20" s="2">
        <f>('Kwh Reading'!M21-'Kwh Reading'!M20)*1000</f>
        <v>629.99999999999545</v>
      </c>
      <c r="N20" s="2">
        <f>('Kwh Reading'!H21-'Kwh Reading'!H20)*1000</f>
        <v>0.90000000000012292</v>
      </c>
      <c r="O20" s="2">
        <f>('Kwh Reading'!P21-'Kwh Reading'!P20)*1000</f>
        <v>0.59999999999993392</v>
      </c>
      <c r="P20" s="2">
        <f>('Kwh Reading'!G21-'Kwh Reading'!G20)*1000000</f>
        <v>699.99999999992292</v>
      </c>
      <c r="Q20" s="2">
        <f>('Kwh Reading'!Q21-'Kwh Reading'!Q20)*1000</f>
        <v>289.99999999996362</v>
      </c>
      <c r="R20" s="2">
        <f>('Kwh Reading'!N21-'Kwh Reading'!N20)*1000</f>
        <v>389.99999999998636</v>
      </c>
      <c r="S20" s="33">
        <f>'Kwh Reading'!E21-'Kwh Reading'!E20</f>
        <v>2542.339999999851</v>
      </c>
      <c r="T20" s="33">
        <f>'Kwh Reading'!D21-'Kwh Reading'!D20</f>
        <v>1693.8199999993667</v>
      </c>
      <c r="U20" s="27">
        <f>('Kwh Reading'!O21-'Kwh Reading'!O20)*1000</f>
        <v>200.00000000001705</v>
      </c>
      <c r="V20" s="16">
        <f t="shared" si="1"/>
        <v>-12367.659999999114</v>
      </c>
    </row>
    <row r="21" spans="1:22" ht="16.5" customHeight="1" x14ac:dyDescent="0.25">
      <c r="A21" s="3">
        <f>'Kwh Reading'!A21</f>
        <v>44791</v>
      </c>
      <c r="B21" s="26">
        <f>TOTAL!E19</f>
        <v>0</v>
      </c>
      <c r="C21" s="4">
        <f>('Kwh Reading'!T22-'Kwh Reading'!T21)*1000</f>
        <v>479.9999999999045</v>
      </c>
      <c r="D21" s="2">
        <f>('Kwh Reading'!F22-'Kwh Reading'!F21)*1000000</f>
        <v>2699.9999999999245</v>
      </c>
      <c r="E21" s="2">
        <f>('Kwh Reading'!C22-'Kwh Reading'!C21)*1000</f>
        <v>260.00000000004775</v>
      </c>
      <c r="F21" s="2">
        <f>('Kwh Reading'!J22-'Kwh Reading'!J21)*1000</f>
        <v>519.99999999998181</v>
      </c>
      <c r="G21" s="2">
        <f>('Kwh Reading'!K22-'Kwh Reading'!K21)*1000</f>
        <v>370.00000000000455</v>
      </c>
      <c r="H21" s="2">
        <f>('Kwh Reading'!L22-'Kwh Reading'!L21)*1000</f>
        <v>250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319.99999999999318</v>
      </c>
      <c r="L21" s="2">
        <f>('Kwh Reading'!B22-'Kwh Reading'!B21)*1000000</f>
        <v>1300.0000000000789</v>
      </c>
      <c r="M21" s="2">
        <f>('Kwh Reading'!M22-'Kwh Reading'!M21)*1000</f>
        <v>680.00000000006366</v>
      </c>
      <c r="N21" s="2">
        <f>('Kwh Reading'!H22-'Kwh Reading'!H21)*1000</f>
        <v>0.89999999999990088</v>
      </c>
      <c r="O21" s="2">
        <f>('Kwh Reading'!P22-'Kwh Reading'!P21)*1000</f>
        <v>0.79999999999991189</v>
      </c>
      <c r="P21" s="2">
        <f>('Kwh Reading'!G22-'Kwh Reading'!G21)*1000000</f>
        <v>799.99999999991189</v>
      </c>
      <c r="Q21" s="2">
        <f>('Kwh Reading'!Q22-'Kwh Reading'!Q21)*1000</f>
        <v>250</v>
      </c>
      <c r="R21" s="2">
        <f>('Kwh Reading'!N22-'Kwh Reading'!N21)*1000</f>
        <v>440.00000000005457</v>
      </c>
      <c r="S21" s="33">
        <f>'Kwh Reading'!E22-'Kwh Reading'!E21</f>
        <v>2687.0500000007451</v>
      </c>
      <c r="T21" s="33">
        <f>'Kwh Reading'!D22-'Kwh Reading'!D21</f>
        <v>1744.9700000006706</v>
      </c>
      <c r="U21" s="27">
        <f>('Kwh Reading'!O22-'Kwh Reading'!O21)*1000</f>
        <v>180.00000000000682</v>
      </c>
      <c r="V21" s="16">
        <f t="shared" si="1"/>
        <v>-13133.720000001395</v>
      </c>
    </row>
    <row r="22" spans="1:22" x14ac:dyDescent="0.25">
      <c r="A22" s="3">
        <f>'Kwh Reading'!A22</f>
        <v>44792</v>
      </c>
      <c r="B22" s="26">
        <f>TOTAL!E20</f>
        <v>0</v>
      </c>
      <c r="C22" s="4">
        <f>('Kwh Reading'!T23-'Kwh Reading'!T22)*1000</f>
        <v>280.0000000000864</v>
      </c>
      <c r="D22" s="2">
        <f>('Kwh Reading'!F23-'Kwh Reading'!F22)*1000000</f>
        <v>2700.0000000003688</v>
      </c>
      <c r="E22" s="2">
        <f>('Kwh Reading'!C23-'Kwh Reading'!C22)*1000</f>
        <v>279.99999999997272</v>
      </c>
      <c r="F22" s="2">
        <f>('Kwh Reading'!J23-'Kwh Reading'!J22)*1000</f>
        <v>459.99999999997954</v>
      </c>
      <c r="G22" s="2">
        <f>('Kwh Reading'!K23-'Kwh Reading'!K22)*1000</f>
        <v>329.99999999998408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310.00000000000227</v>
      </c>
      <c r="L22" s="2">
        <f>('Kwh Reading'!B23-'Kwh Reading'!B22)*1000000</f>
        <v>1099.9999999998788</v>
      </c>
      <c r="M22" s="2">
        <f>('Kwh Reading'!M23-'Kwh Reading'!M22)*1000</f>
        <v>620.00000000000455</v>
      </c>
      <c r="N22" s="2">
        <f>('Kwh Reading'!H23-'Kwh Reading'!H22)*1000</f>
        <v>0.89999999999990088</v>
      </c>
      <c r="O22" s="2">
        <f>('Kwh Reading'!P23-'Kwh Reading'!P22)*1000</f>
        <v>0.80000000000013394</v>
      </c>
      <c r="P22" s="2">
        <f>('Kwh Reading'!G23-'Kwh Reading'!G22)*1000000</f>
        <v>800.00000000013392</v>
      </c>
      <c r="Q22" s="2">
        <f>('Kwh Reading'!Q23-'Kwh Reading'!Q22)*1000</f>
        <v>260.00000000010459</v>
      </c>
      <c r="R22" s="2">
        <f>('Kwh Reading'!N23-'Kwh Reading'!N22)*1000</f>
        <v>419.99999999995907</v>
      </c>
      <c r="S22" s="33">
        <f>'Kwh Reading'!E23-'Kwh Reading'!E22</f>
        <v>2138</v>
      </c>
      <c r="T22" s="33">
        <f>'Kwh Reading'!D23-'Kwh Reading'!D22</f>
        <v>1730.3899999996647</v>
      </c>
      <c r="U22" s="27">
        <f>('Kwh Reading'!O23-'Kwh Reading'!O22)*1000</f>
        <v>189.99999999999773</v>
      </c>
      <c r="V22" s="16">
        <f t="shared" si="1"/>
        <v>-12000.090000000133</v>
      </c>
    </row>
    <row r="23" spans="1:22" x14ac:dyDescent="0.25">
      <c r="A23" s="3">
        <f>'Kwh Reading'!A23</f>
        <v>44793</v>
      </c>
      <c r="B23" s="26">
        <f>TOTAL!E21</f>
        <v>0</v>
      </c>
      <c r="C23" s="4">
        <f>('Kwh Reading'!T24-'Kwh Reading'!T23)*1000</f>
        <v>459.99999999992269</v>
      </c>
      <c r="D23" s="2">
        <f>('Kwh Reading'!F24-'Kwh Reading'!F23)*1000000</f>
        <v>2699.9999999999245</v>
      </c>
      <c r="E23" s="2">
        <f>('Kwh Reading'!C24-'Kwh Reading'!C23)*1000</f>
        <v>259.99999999999091</v>
      </c>
      <c r="F23" s="2">
        <f>('Kwh Reading'!J24-'Kwh Reading'!J23)*1000</f>
        <v>480.00000000001819</v>
      </c>
      <c r="G23" s="2">
        <f>('Kwh Reading'!K24-'Kwh Reading'!K23)*1000</f>
        <v>280.00000000002956</v>
      </c>
      <c r="H23" s="2">
        <f>('Kwh Reading'!L24-'Kwh Reading'!L23)*1000</f>
        <v>219.99999999997044</v>
      </c>
      <c r="I23" s="2">
        <f>('Kwh Reading'!R24-'Kwh Reading'!R23)*1000</f>
        <v>0</v>
      </c>
      <c r="J23" s="2">
        <f>('Kwh Reading'!S24-'Kwh Reading'!S23)*1000</f>
        <v>139.99999999998636</v>
      </c>
      <c r="K23" s="2">
        <f>('Kwh Reading'!I24-'Kwh Reading'!I23)*1000</f>
        <v>290.00000000002046</v>
      </c>
      <c r="L23" s="2">
        <f>('Kwh Reading'!B24-'Kwh Reading'!B23)*1000000</f>
        <v>1200.0000000000898</v>
      </c>
      <c r="M23" s="2">
        <f>('Kwh Reading'!M24-'Kwh Reading'!M23)*1000</f>
        <v>649.99999999997726</v>
      </c>
      <c r="N23" s="2">
        <f>('Kwh Reading'!H24-'Kwh Reading'!H23)*1000</f>
        <v>0.90000000000012292</v>
      </c>
      <c r="O23" s="2">
        <f>('Kwh Reading'!P24-'Kwh Reading'!P23)*1000</f>
        <v>0.79999999999991189</v>
      </c>
      <c r="P23" s="2">
        <f>('Kwh Reading'!G24-'Kwh Reading'!G23)*1000000</f>
        <v>799.99999999991189</v>
      </c>
      <c r="Q23" s="2">
        <f>('Kwh Reading'!Q24-'Kwh Reading'!Q23)*1000</f>
        <v>199.99999999993179</v>
      </c>
      <c r="R23" s="2">
        <f>('Kwh Reading'!N24-'Kwh Reading'!N23)*1000</f>
        <v>430.00000000006366</v>
      </c>
      <c r="S23" s="33">
        <f>'Kwh Reading'!E24-'Kwh Reading'!E23</f>
        <v>2440.25</v>
      </c>
      <c r="T23" s="33">
        <f>'Kwh Reading'!D24-'Kwh Reading'!D23</f>
        <v>1665.320000000298</v>
      </c>
      <c r="U23" s="27">
        <f>('Kwh Reading'!O24-'Kwh Reading'!O23)*1000</f>
        <v>169.99999999998749</v>
      </c>
      <c r="V23" s="124">
        <f t="shared" si="1"/>
        <v>-12387.270000000124</v>
      </c>
    </row>
    <row r="24" spans="1:22" x14ac:dyDescent="0.25">
      <c r="A24" s="3">
        <f>'Kwh Reading'!A24</f>
        <v>44794</v>
      </c>
      <c r="B24" s="26">
        <f>TOTAL!E22</f>
        <v>0</v>
      </c>
      <c r="C24" s="4">
        <f>('Kwh Reading'!T25-'Kwh Reading'!T24)*1000</f>
        <v>460.00000000003638</v>
      </c>
      <c r="D24" s="2">
        <f>('Kwh Reading'!F25-'Kwh Reading'!F24)*1000000</f>
        <v>2799.9999999996917</v>
      </c>
      <c r="E24" s="2">
        <f>('Kwh Reading'!C25-'Kwh Reading'!C24)*1000</f>
        <v>259.99999999999091</v>
      </c>
      <c r="F24" s="2">
        <f>('Kwh Reading'!J25-'Kwh Reading'!J24)*1000</f>
        <v>439.99999999999773</v>
      </c>
      <c r="G24" s="2">
        <f>('Kwh Reading'!K25-'Kwh Reading'!K24)*1000</f>
        <v>339.99999999997499</v>
      </c>
      <c r="H24" s="2">
        <f>('Kwh Reading'!L25-'Kwh Reading'!L24)*1000</f>
        <v>230.00000000001819</v>
      </c>
      <c r="I24" s="2">
        <f>('Kwh Reading'!R25-'Kwh Reading'!R24)*1000</f>
        <v>0</v>
      </c>
      <c r="J24" s="2">
        <f>('Kwh Reading'!S25-'Kwh Reading'!S24)*1000</f>
        <v>159.99999999999659</v>
      </c>
      <c r="K24" s="2">
        <f>('Kwh Reading'!I25-'Kwh Reading'!I24)*1000</f>
        <v>279.99999999997272</v>
      </c>
      <c r="L24" s="2">
        <f>('Kwh Reading'!B25-'Kwh Reading'!B24)*1000000</f>
        <v>1199.9999999998679</v>
      </c>
      <c r="M24" s="2">
        <f>('Kwh Reading'!M25-'Kwh Reading'!M24)*1000</f>
        <v>690.00000000005457</v>
      </c>
      <c r="N24" s="2">
        <f>('Kwh Reading'!H25-'Kwh Reading'!H24)*1000</f>
        <v>0.89999999999990088</v>
      </c>
      <c r="O24" s="2">
        <f>('Kwh Reading'!P25-'Kwh Reading'!P24)*1000</f>
        <v>0.89999999999990088</v>
      </c>
      <c r="P24" s="2">
        <f>('Kwh Reading'!G25-'Kwh Reading'!G24)*1000000</f>
        <v>699.99999999992292</v>
      </c>
      <c r="Q24" s="2">
        <f>('Kwh Reading'!Q25-'Kwh Reading'!Q24)*1000</f>
        <v>370.00000000000455</v>
      </c>
      <c r="R24" s="2">
        <f>('Kwh Reading'!N25-'Kwh Reading'!N24)*1000</f>
        <v>459.99999999992269</v>
      </c>
      <c r="S24" s="2">
        <f>'Kwh Reading'!E25-'Kwh Reading'!E24</f>
        <v>2483.6699999999255</v>
      </c>
      <c r="T24" s="2">
        <f>'Kwh Reading'!D25-'Kwh Reading'!D24</f>
        <v>1851.5699999993667</v>
      </c>
      <c r="U24" s="27">
        <f>('Kwh Reading'!O25-'Kwh Reading'!O24)*1000</f>
        <v>150.00000000000568</v>
      </c>
      <c r="V24" s="16">
        <f t="shared" si="1"/>
        <v>-12877.039999998748</v>
      </c>
    </row>
    <row r="25" spans="1:22" x14ac:dyDescent="0.25">
      <c r="A25" s="3">
        <f>'Kwh Reading'!A25</f>
        <v>44795</v>
      </c>
      <c r="B25" s="26">
        <f>TOTAL!E23</f>
        <v>0</v>
      </c>
      <c r="C25" s="4">
        <f>('Kwh Reading'!T26-'Kwh Reading'!T25)*1000</f>
        <v>460.00000000003638</v>
      </c>
      <c r="D25" s="2">
        <f>('Kwh Reading'!F26-'Kwh Reading'!F25)*1000000</f>
        <v>2700.0000000003688</v>
      </c>
      <c r="E25" s="2">
        <f>('Kwh Reading'!C26-'Kwh Reading'!C25)*1000</f>
        <v>260.00000000004775</v>
      </c>
      <c r="F25" s="2">
        <f>('Kwh Reading'!J26-'Kwh Reading'!J25)*1000</f>
        <v>509.99999999999091</v>
      </c>
      <c r="G25" s="2">
        <f>('Kwh Reading'!K26-'Kwh Reading'!K25)*1000</f>
        <v>350.00000000002274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140.00000000001478</v>
      </c>
      <c r="K25" s="2">
        <f>('Kwh Reading'!I26-'Kwh Reading'!I25)*1000</f>
        <v>280.00000000002956</v>
      </c>
      <c r="L25" s="2">
        <f>('Kwh Reading'!B26-'Kwh Reading'!B25)*1000000</f>
        <v>600.00000000015598</v>
      </c>
      <c r="M25" s="2">
        <f>('Kwh Reading'!M26-'Kwh Reading'!M25)*1000</f>
        <v>679.99999999994998</v>
      </c>
      <c r="N25" s="2">
        <f>('Kwh Reading'!H26-'Kwh Reading'!H25)*1000</f>
        <v>0.90000000000012292</v>
      </c>
      <c r="O25" s="2">
        <f>('Kwh Reading'!P26-'Kwh Reading'!P25)*1000</f>
        <v>0.80000000000013394</v>
      </c>
      <c r="P25" s="2">
        <f>('Kwh Reading'!G26-'Kwh Reading'!G25)*1000000</f>
        <v>800.00000000013392</v>
      </c>
      <c r="Q25" s="2">
        <f>('Kwh Reading'!Q26-'Kwh Reading'!Q25)*1000</f>
        <v>300.00000000006821</v>
      </c>
      <c r="R25" s="2">
        <f>('Kwh Reading'!N26-'Kwh Reading'!N25)*1000</f>
        <v>470.00000000002728</v>
      </c>
      <c r="S25" s="2">
        <f>'Kwh Reading'!E26-'Kwh Reading'!E25</f>
        <v>2401.2400000002235</v>
      </c>
      <c r="T25" s="2">
        <f>'Kwh Reading'!D26-'Kwh Reading'!D25</f>
        <v>2026.3600000003353</v>
      </c>
      <c r="U25" s="27">
        <f>('Kwh Reading'!O26-'Kwh Reading'!O25)*1000</f>
        <v>189.99999999999773</v>
      </c>
      <c r="V25" s="16">
        <f t="shared" si="1"/>
        <v>-12409.300000001413</v>
      </c>
    </row>
    <row r="26" spans="1:22" x14ac:dyDescent="0.25">
      <c r="A26" s="3">
        <f>'Kwh Reading'!A26</f>
        <v>44796</v>
      </c>
      <c r="B26" s="26">
        <f>TOTAL!E24</f>
        <v>0</v>
      </c>
      <c r="C26" s="4">
        <f>('Kwh Reading'!T27-'Kwh Reading'!T26)*1000</f>
        <v>449.99999999993179</v>
      </c>
      <c r="D26" s="2">
        <f>('Kwh Reading'!F27-'Kwh Reading'!F26)*1000000</f>
        <v>2799.9999999996917</v>
      </c>
      <c r="E26" s="2">
        <f>('Kwh Reading'!C27-'Kwh Reading'!C26)*1000</f>
        <v>269.99999999998181</v>
      </c>
      <c r="F26" s="2">
        <f>('Kwh Reading'!J27-'Kwh Reading'!J26)*1000</f>
        <v>490.00000000000909</v>
      </c>
      <c r="G26" s="2">
        <f>('Kwh Reading'!K27-'Kwh Reading'!K26)*1000</f>
        <v>339.99999999997499</v>
      </c>
      <c r="H26" s="2">
        <f>('Kwh Reading'!L27-'Kwh Reading'!L26)*1000</f>
        <v>279.99999999997272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1599.9999999998238</v>
      </c>
      <c r="M26" s="2">
        <f>('Kwh Reading'!M27-'Kwh Reading'!M26)*1000</f>
        <v>639.99999999998636</v>
      </c>
      <c r="N26" s="2">
        <f>('Kwh Reading'!H27-'Kwh Reading'!H26)*1000</f>
        <v>0.79999999999991189</v>
      </c>
      <c r="O26" s="2">
        <f>('Kwh Reading'!P27-'Kwh Reading'!P26)*1000</f>
        <v>0.79999999999991189</v>
      </c>
      <c r="P26" s="2">
        <f>('Kwh Reading'!G27-'Kwh Reading'!G26)*1000000</f>
        <v>699.99999999992292</v>
      </c>
      <c r="Q26" s="2">
        <f>('Kwh Reading'!Q27-'Kwh Reading'!Q26)*1000</f>
        <v>169.99999999995907</v>
      </c>
      <c r="R26" s="2">
        <f>('Kwh Reading'!N27-'Kwh Reading'!N26)*1000</f>
        <v>539.99999999996362</v>
      </c>
      <c r="S26" s="2">
        <f>'Kwh Reading'!E27-'Kwh Reading'!E26</f>
        <v>2260.269999999553</v>
      </c>
      <c r="T26" s="2">
        <f>'Kwh Reading'!D27-'Kwh Reading'!D26</f>
        <v>1916.320000000298</v>
      </c>
      <c r="U26" s="27">
        <f>('Kwh Reading'!O27-'Kwh Reading'!O26)*1000</f>
        <v>210.00000000000796</v>
      </c>
      <c r="V26" s="16">
        <f t="shared" si="1"/>
        <v>-13098.189999999053</v>
      </c>
    </row>
    <row r="27" spans="1:22" s="128" customFormat="1" x14ac:dyDescent="0.25">
      <c r="A27" s="126">
        <f>'Kwh Reading'!A27</f>
        <v>44797</v>
      </c>
      <c r="B27" s="26">
        <f>TOTAL!E25</f>
        <v>0</v>
      </c>
      <c r="C27" s="127">
        <f>('Kwh Reading'!T28-'Kwh Reading'!T27)*1000</f>
        <v>460.00000000003638</v>
      </c>
      <c r="D27" s="27">
        <f>('Kwh Reading'!F28-'Kwh Reading'!F27)*1000000</f>
        <v>2699.9999999999245</v>
      </c>
      <c r="E27" s="27">
        <f>('Kwh Reading'!C28-'Kwh Reading'!C27)*1000</f>
        <v>269.99999999998181</v>
      </c>
      <c r="F27" s="27">
        <f>('Kwh Reading'!J28-'Kwh Reading'!J27)*1000</f>
        <v>509.99999999999091</v>
      </c>
      <c r="G27" s="27">
        <f>('Kwh Reading'!K28-'Kwh Reading'!K27)*1000</f>
        <v>360.00000000001364</v>
      </c>
      <c r="H27" s="27">
        <f>('Kwh Reading'!L28-'Kwh Reading'!L27)*1000</f>
        <v>270.00000000003865</v>
      </c>
      <c r="I27" s="27">
        <f>('Kwh Reading'!R28-'Kwh Reading'!R27)*1000</f>
        <v>0</v>
      </c>
      <c r="J27" s="27">
        <f>('Kwh Reading'!S28-'Kwh Reading'!S27)*1000</f>
        <v>169.99999999998749</v>
      </c>
      <c r="K27" s="27">
        <f>('Kwh Reading'!I28-'Kwh Reading'!I27)*1000</f>
        <v>350.00000000002274</v>
      </c>
      <c r="L27" s="27">
        <f>('Kwh Reading'!B28-'Kwh Reading'!B27)*1000000</f>
        <v>1100.000000000101</v>
      </c>
      <c r="M27" s="27">
        <f>('Kwh Reading'!M28-'Kwh Reading'!M27)*1000</f>
        <v>620.00000000000455</v>
      </c>
      <c r="N27" s="27">
        <f>('Kwh Reading'!H28-'Kwh Reading'!H27)*1000</f>
        <v>0.80000000000013394</v>
      </c>
      <c r="O27" s="27">
        <f>('Kwh Reading'!P28-'Kwh Reading'!P27)*1000</f>
        <v>0.80000000000013394</v>
      </c>
      <c r="P27" s="27">
        <f>('Kwh Reading'!G28-'Kwh Reading'!G27)*1000000</f>
        <v>700.00000000014495</v>
      </c>
      <c r="Q27" s="27">
        <f>('Kwh Reading'!Q28-'Kwh Reading'!Q27)*1000</f>
        <v>120.00000000000455</v>
      </c>
      <c r="R27" s="27">
        <f>('Kwh Reading'!N28-'Kwh Reading'!N27)*1000</f>
        <v>519.99999999998181</v>
      </c>
      <c r="S27" s="27">
        <f>'Kwh Reading'!E28-'Kwh Reading'!E27</f>
        <v>2277.2899999991059</v>
      </c>
      <c r="T27" s="27">
        <f>'Kwh Reading'!D28-'Kwh Reading'!D27</f>
        <v>1858.4399999994785</v>
      </c>
      <c r="U27" s="27">
        <f>('Kwh Reading'!O28-'Kwh Reading'!O27)*1000</f>
        <v>189.99999999999773</v>
      </c>
      <c r="V27" s="124">
        <f t="shared" si="1"/>
        <v>-12477.329999998814</v>
      </c>
    </row>
    <row r="28" spans="1:22" s="128" customFormat="1" x14ac:dyDescent="0.25">
      <c r="A28" s="126">
        <f>'Kwh Reading'!A28</f>
        <v>44798</v>
      </c>
      <c r="B28" s="26">
        <f>TOTAL!E26</f>
        <v>0</v>
      </c>
      <c r="C28" s="127">
        <f>('Kwh Reading'!T29-'Kwh Reading'!T28)*1000</f>
        <v>480.00000000001819</v>
      </c>
      <c r="D28" s="27">
        <f>('Kwh Reading'!F29-'Kwh Reading'!F28)*1000000</f>
        <v>2600.0000000001578</v>
      </c>
      <c r="E28" s="27">
        <f>('Kwh Reading'!C29-'Kwh Reading'!C28)*1000</f>
        <v>269.99999999998181</v>
      </c>
      <c r="F28" s="27">
        <f>('Kwh Reading'!J29-'Kwh Reading'!J28)*1000</f>
        <v>470.00000000002728</v>
      </c>
      <c r="G28" s="27">
        <f>('Kwh Reading'!K29-'Kwh Reading'!K28)*1000</f>
        <v>389.99999999998636</v>
      </c>
      <c r="H28" s="27">
        <f>('Kwh Reading'!L29-'Kwh Reading'!L28)*1000</f>
        <v>250</v>
      </c>
      <c r="I28" s="27">
        <f>('Kwh Reading'!R29-'Kwh Reading'!R28)*1000</f>
        <v>0</v>
      </c>
      <c r="J28" s="27">
        <f>('Kwh Reading'!S29-'Kwh Reading'!S28)*1000</f>
        <v>140.00000000001478</v>
      </c>
      <c r="K28" s="27">
        <f>('Kwh Reading'!I29-'Kwh Reading'!I28)*1000</f>
        <v>230.00000000001819</v>
      </c>
      <c r="L28" s="27">
        <f>('Kwh Reading'!B29-'Kwh Reading'!B28)*1000000</f>
        <v>999.99999999988984</v>
      </c>
      <c r="M28" s="27">
        <f>('Kwh Reading'!M29-'Kwh Reading'!M28)*1000</f>
        <v>600.00000000002274</v>
      </c>
      <c r="N28" s="27">
        <f>('Kwh Reading'!H29-'Kwh Reading'!H28)*1000</f>
        <v>0.69999999999992291</v>
      </c>
      <c r="O28" s="27">
        <f>('Kwh Reading'!P29-'Kwh Reading'!P28)*1000</f>
        <v>0.79999999999991189</v>
      </c>
      <c r="P28" s="27">
        <f>('Kwh Reading'!G29-'Kwh Reading'!G28)*1000000</f>
        <v>699.99999999992292</v>
      </c>
      <c r="Q28" s="27">
        <f>('Kwh Reading'!Q29-'Kwh Reading'!Q28)*1000</f>
        <v>139.99999999998636</v>
      </c>
      <c r="R28" s="27">
        <f>('Kwh Reading'!N29-'Kwh Reading'!N28)*1000</f>
        <v>430.00000000006366</v>
      </c>
      <c r="S28" s="27">
        <f>'Kwh Reading'!E29-'Kwh Reading'!E28</f>
        <v>2332.769999999553</v>
      </c>
      <c r="T28" s="27">
        <f>'Kwh Reading'!D29-'Kwh Reading'!D28</f>
        <v>1918.9900000002235</v>
      </c>
      <c r="U28" s="27">
        <f>('Kwh Reading'!O29-'Kwh Reading'!O28)*1000</f>
        <v>299.99999999998295</v>
      </c>
      <c r="V28" s="124">
        <f t="shared" si="1"/>
        <v>-12253.259999999849</v>
      </c>
    </row>
    <row r="29" spans="1:22" x14ac:dyDescent="0.25">
      <c r="A29" s="3">
        <f>'Kwh Reading'!A29</f>
        <v>44799</v>
      </c>
      <c r="B29" s="26">
        <f>TOTAL!E27</f>
        <v>0</v>
      </c>
      <c r="C29" s="4">
        <f>('Kwh Reading'!T30-'Kwh Reading'!T29)*1000</f>
        <v>340.00000000003183</v>
      </c>
      <c r="D29" s="2">
        <f>('Kwh Reading'!F30-'Kwh Reading'!F29)*1000000</f>
        <v>2499.9999999999468</v>
      </c>
      <c r="E29" s="2">
        <f>('Kwh Reading'!C30-'Kwh Reading'!C29)*1000</f>
        <v>280.00000000002956</v>
      </c>
      <c r="F29" s="2">
        <f>('Kwh Reading'!J30-'Kwh Reading'!J29)*1000</f>
        <v>399.99999999997726</v>
      </c>
      <c r="G29" s="2">
        <f>('Kwh Reading'!K30-'Kwh Reading'!K29)*1000</f>
        <v>340.00000000003183</v>
      </c>
      <c r="H29" s="2">
        <f>('Kwh Reading'!L30-'Kwh Reading'!L29)*1000</f>
        <v>250</v>
      </c>
      <c r="I29" s="2">
        <f>('Kwh Reading'!R30-'Kwh Reading'!R29)*1000</f>
        <v>0</v>
      </c>
      <c r="J29" s="2">
        <f>('Kwh Reading'!S30-'Kwh Reading'!S29)*1000</f>
        <v>159.99999999999659</v>
      </c>
      <c r="K29" s="2">
        <f>('Kwh Reading'!I30-'Kwh Reading'!I29)*1000</f>
        <v>209.99999999997954</v>
      </c>
      <c r="L29" s="2">
        <f>('Kwh Reading'!B30-'Kwh Reading'!B29)*1000000</f>
        <v>800.00000000013392</v>
      </c>
      <c r="M29" s="2">
        <f>('Kwh Reading'!M30-'Kwh Reading'!M29)*1000</f>
        <v>450.00000000004547</v>
      </c>
      <c r="N29" s="2">
        <f>('Kwh Reading'!H30-'Kwh Reading'!H29)*1000</f>
        <v>0.59999999999993392</v>
      </c>
      <c r="O29" s="2">
        <f>('Kwh Reading'!P30-'Kwh Reading'!P29)*1000</f>
        <v>0.49999999999994493</v>
      </c>
      <c r="P29" s="2">
        <f>('Kwh Reading'!G30-'Kwh Reading'!G29)*1000000</f>
        <v>699.99999999992292</v>
      </c>
      <c r="Q29" s="2">
        <f>('Kwh Reading'!Q30-'Kwh Reading'!Q29)*1000</f>
        <v>129.99999999999545</v>
      </c>
      <c r="R29" s="2">
        <f>('Kwh Reading'!N30-'Kwh Reading'!N29)*1000</f>
        <v>289.99999999996362</v>
      </c>
      <c r="S29" s="2">
        <f>'Kwh Reading'!E30-'Kwh Reading'!E29</f>
        <v>1561.25</v>
      </c>
      <c r="T29" s="2">
        <f>'Kwh Reading'!D30-'Kwh Reading'!D29</f>
        <v>1552.3899999996647</v>
      </c>
      <c r="U29" s="27">
        <f>('Kwh Reading'!O30-'Kwh Reading'!O29)*1000</f>
        <v>409.99999999999659</v>
      </c>
      <c r="V29" s="16">
        <f t="shared" si="1"/>
        <v>-10374.739999999714</v>
      </c>
    </row>
    <row r="30" spans="1:22" x14ac:dyDescent="0.25">
      <c r="A30" s="3">
        <f>'Kwh Reading'!A30</f>
        <v>44800</v>
      </c>
      <c r="B30" s="26">
        <f>TOTAL!E28</f>
        <v>0</v>
      </c>
      <c r="C30" s="4">
        <f>('Kwh Reading'!T31-'Kwh Reading'!T30)*1000</f>
        <v>500</v>
      </c>
      <c r="D30" s="2">
        <f>('Kwh Reading'!F31-'Kwh Reading'!F30)*1000000</f>
        <v>2699.9999999999245</v>
      </c>
      <c r="E30" s="2">
        <f>('Kwh Reading'!C31-'Kwh Reading'!C30)*1000</f>
        <v>259.99999999999091</v>
      </c>
      <c r="F30" s="2">
        <f>('Kwh Reading'!J31-'Kwh Reading'!J30)*1000</f>
        <v>500</v>
      </c>
      <c r="G30" s="2">
        <f>('Kwh Reading'!K31-'Kwh Reading'!K30)*1000</f>
        <v>310.00000000000227</v>
      </c>
      <c r="H30" s="2">
        <f>('Kwh Reading'!L31-'Kwh Reading'!L30)*1000</f>
        <v>259.99999999999091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230.00000000001819</v>
      </c>
      <c r="L30" s="2">
        <f>('Kwh Reading'!B31-'Kwh Reading'!B30)*1000000</f>
        <v>899.99999999990087</v>
      </c>
      <c r="M30" s="2">
        <f>('Kwh Reading'!M31-'Kwh Reading'!M30)*1000</f>
        <v>439.99999999994088</v>
      </c>
      <c r="N30" s="2">
        <f>('Kwh Reading'!H31-'Kwh Reading'!H30)*1000</f>
        <v>0.60000000000015596</v>
      </c>
      <c r="O30" s="2">
        <f>('Kwh Reading'!P31-'Kwh Reading'!P30)*1000</f>
        <v>0.70000000000014495</v>
      </c>
      <c r="P30" s="2">
        <f>('Kwh Reading'!G31-'Kwh Reading'!G30)*1000000</f>
        <v>599.99999999993395</v>
      </c>
      <c r="Q30" s="2">
        <f>('Kwh Reading'!Q31-'Kwh Reading'!Q30)*1000</f>
        <v>159.99999999996817</v>
      </c>
      <c r="R30" s="2">
        <f>('Kwh Reading'!N31-'Kwh Reading'!N30)*1000</f>
        <v>330.00000000004093</v>
      </c>
      <c r="S30" s="2">
        <f>'Kwh Reading'!E31-'Kwh Reading'!E30</f>
        <v>2085.4600000008941</v>
      </c>
      <c r="T30" s="2">
        <f>'Kwh Reading'!D31-'Kwh Reading'!D30</f>
        <v>1682.070000000298</v>
      </c>
      <c r="U30" s="27">
        <f>('Kwh Reading'!O31-'Kwh Reading'!O30)*1000</f>
        <v>320.0000000000216</v>
      </c>
      <c r="V30" s="16">
        <f t="shared" si="1"/>
        <v>-11428.830000000931</v>
      </c>
    </row>
    <row r="31" spans="1:22" s="128" customFormat="1" x14ac:dyDescent="0.25">
      <c r="A31" s="126">
        <f>'Kwh Reading'!A31</f>
        <v>44801</v>
      </c>
      <c r="B31" s="26">
        <f>TOTAL!E29</f>
        <v>0</v>
      </c>
      <c r="C31" s="127">
        <f>('Kwh Reading'!T32-'Kwh Reading'!T31)*1000</f>
        <v>479.9999999999045</v>
      </c>
      <c r="D31" s="27">
        <f>('Kwh Reading'!F32-'Kwh Reading'!F31)*1000000</f>
        <v>2500.0000000003906</v>
      </c>
      <c r="E31" s="27">
        <f>('Kwh Reading'!C32-'Kwh Reading'!C31)*1000</f>
        <v>259.99999999999091</v>
      </c>
      <c r="F31" s="27">
        <f>('Kwh Reading'!J32-'Kwh Reading'!J31)*1000</f>
        <v>460.00000000003638</v>
      </c>
      <c r="G31" s="27">
        <f>('Kwh Reading'!K32-'Kwh Reading'!K31)*1000</f>
        <v>250</v>
      </c>
      <c r="H31" s="27">
        <f>('Kwh Reading'!L32-'Kwh Reading'!L31)*1000</f>
        <v>229.99999999996135</v>
      </c>
      <c r="I31" s="27">
        <f>('Kwh Reading'!R32-'Kwh Reading'!R31)*1000</f>
        <v>0</v>
      </c>
      <c r="J31" s="27">
        <f>('Kwh Reading'!S32-'Kwh Reading'!S31)*1000</f>
        <v>149.99999999997726</v>
      </c>
      <c r="K31" s="27">
        <f>('Kwh Reading'!I32-'Kwh Reading'!I31)*1000</f>
        <v>229.99999999996135</v>
      </c>
      <c r="L31" s="27">
        <f>('Kwh Reading'!B32-'Kwh Reading'!B31)*1000000</f>
        <v>800.00000000013392</v>
      </c>
      <c r="M31" s="27">
        <f>('Kwh Reading'!M32-'Kwh Reading'!M31)*1000</f>
        <v>379.99999999999545</v>
      </c>
      <c r="N31" s="27">
        <f>('Kwh Reading'!H32-'Kwh Reading'!H31)*1000</f>
        <v>0.59999999999993392</v>
      </c>
      <c r="O31" s="27">
        <f>('Kwh Reading'!P32-'Kwh Reading'!P31)*1000</f>
        <v>0.49999999999994493</v>
      </c>
      <c r="P31" s="27">
        <f>('Kwh Reading'!G32-'Kwh Reading'!G31)*1000000</f>
        <v>600.00000000015598</v>
      </c>
      <c r="Q31" s="27">
        <f>('Kwh Reading'!Q32-'Kwh Reading'!Q31)*1000</f>
        <v>120.00000000000455</v>
      </c>
      <c r="R31" s="27">
        <f>('Kwh Reading'!N32-'Kwh Reading'!N31)*1000</f>
        <v>309.99999999994543</v>
      </c>
      <c r="S31" s="27">
        <f>'Kwh Reading'!E32-'Kwh Reading'!E31</f>
        <v>2097.5999999996275</v>
      </c>
      <c r="T31" s="27">
        <f>'Kwh Reading'!D32-'Kwh Reading'!D31</f>
        <v>1585.2199999997392</v>
      </c>
      <c r="U31" s="27">
        <f>('Kwh Reading'!O32-'Kwh Reading'!O31)*1000</f>
        <v>169.99999999998749</v>
      </c>
      <c r="V31" s="124">
        <f t="shared" si="1"/>
        <v>-10623.919999999811</v>
      </c>
    </row>
    <row r="32" spans="1:22" x14ac:dyDescent="0.25">
      <c r="A32" s="3">
        <f>'Kwh Reading'!A32</f>
        <v>44802</v>
      </c>
      <c r="B32" s="26">
        <f>TOTAL!E30</f>
        <v>0</v>
      </c>
      <c r="C32" s="4">
        <f>('Kwh Reading'!T33-'Kwh Reading'!T32)*1000</f>
        <v>430.00000000006366</v>
      </c>
      <c r="D32" s="2">
        <f>('Kwh Reading'!F33-'Kwh Reading'!F32)*1000000</f>
        <v>2499.9999999999468</v>
      </c>
      <c r="E32" s="2">
        <f>('Kwh Reading'!C33-'Kwh Reading'!C32)*1000</f>
        <v>259.99999999999091</v>
      </c>
      <c r="F32" s="2">
        <f>('Kwh Reading'!J33-'Kwh Reading'!J32)*1000</f>
        <v>429.99999999994998</v>
      </c>
      <c r="G32" s="2">
        <f>('Kwh Reading'!K33-'Kwh Reading'!K32)*1000</f>
        <v>349.99999999996589</v>
      </c>
      <c r="H32" s="2">
        <f>('Kwh Reading'!L33-'Kwh Reading'!L32)*1000</f>
        <v>260.00000000004775</v>
      </c>
      <c r="I32" s="2">
        <f>('Kwh Reading'!R33-'Kwh Reading'!R32)*1000</f>
        <v>0</v>
      </c>
      <c r="J32" s="2">
        <f>('Kwh Reading'!S33-'Kwh Reading'!S32)*1000</f>
        <v>180.00000000000682</v>
      </c>
      <c r="K32" s="2">
        <f>('Kwh Reading'!I33-'Kwh Reading'!I32)*1000</f>
        <v>240.00000000000909</v>
      </c>
      <c r="L32" s="2">
        <f>('Kwh Reading'!B33-'Kwh Reading'!B32)*1000000</f>
        <v>799.99999999991189</v>
      </c>
      <c r="M32" s="2">
        <f>('Kwh Reading'!M33-'Kwh Reading'!M32)*1000</f>
        <v>440.00000000005457</v>
      </c>
      <c r="N32" s="2">
        <f>('Kwh Reading'!H33-'Kwh Reading'!H32)*1000</f>
        <v>0.59999999999993392</v>
      </c>
      <c r="O32" s="2">
        <f>('Kwh Reading'!P33-'Kwh Reading'!P32)*1000</f>
        <v>0.49999999999994493</v>
      </c>
      <c r="P32" s="2">
        <f>('Kwh Reading'!G33-'Kwh Reading'!G32)*1000000</f>
        <v>599.99999999993395</v>
      </c>
      <c r="Q32" s="2">
        <f>('Kwh Reading'!Q33-'Kwh Reading'!Q32)*1000</f>
        <v>120.00000000000455</v>
      </c>
      <c r="R32" s="2">
        <f>('Kwh Reading'!N33-'Kwh Reading'!N32)*1000</f>
        <v>320.00000000005002</v>
      </c>
      <c r="S32" s="2">
        <f>'Kwh Reading'!E33-'Kwh Reading'!E32</f>
        <v>84323322.180000007</v>
      </c>
      <c r="T32" s="2">
        <f>'Kwh Reading'!D33-'Kwh Reading'!D32</f>
        <v>1416.390000000596</v>
      </c>
      <c r="U32" s="27">
        <f>('Kwh Reading'!O33-'Kwh Reading'!O32)*1000</f>
        <v>159.99999999999659</v>
      </c>
      <c r="V32" s="16">
        <f t="shared" si="1"/>
        <v>-84331829.670000002</v>
      </c>
    </row>
    <row r="33" spans="1:22" x14ac:dyDescent="0.25">
      <c r="A33" s="3">
        <f>'Kwh Reading'!A33</f>
        <v>44803</v>
      </c>
      <c r="B33" s="26">
        <f>TOTAL!E31</f>
        <v>0</v>
      </c>
      <c r="C33" s="4">
        <f>('Kwh Reading'!T34-'Kwh Reading'!T33)*1000</f>
        <v>-626730</v>
      </c>
      <c r="D33" s="2">
        <f>('Kwh Reading'!F34-'Kwh Reading'!F33)*1000000</f>
        <v>-3494600</v>
      </c>
      <c r="E33" s="2">
        <f>('Kwh Reading'!C34-'Kwh Reading'!C33)*1000</f>
        <v>-335590</v>
      </c>
      <c r="F33" s="2">
        <f>('Kwh Reading'!J34-'Kwh Reading'!J33)*1000</f>
        <v>-511090</v>
      </c>
      <c r="G33" s="2">
        <f>('Kwh Reading'!K34-'Kwh Reading'!K33)*1000</f>
        <v>-485580</v>
      </c>
      <c r="H33" s="2">
        <f>('Kwh Reading'!L34-'Kwh Reading'!L33)*1000</f>
        <v>-332720</v>
      </c>
      <c r="I33" s="2">
        <f>('Kwh Reading'!R34-'Kwh Reading'!R33)*1000</f>
        <v>-190150</v>
      </c>
      <c r="J33" s="2">
        <f>('Kwh Reading'!S34-'Kwh Reading'!S33)*1000</f>
        <v>-173660</v>
      </c>
      <c r="K33" s="2">
        <f>('Kwh Reading'!I34-'Kwh Reading'!I33)*1000</f>
        <v>-364830</v>
      </c>
      <c r="L33" s="2">
        <f>('Kwh Reading'!B34-'Kwh Reading'!B33)*1000000</f>
        <v>-1474000</v>
      </c>
      <c r="M33" s="2">
        <f>('Kwh Reading'!M34-'Kwh Reading'!M33)*1000</f>
        <v>-837200</v>
      </c>
      <c r="N33" s="2">
        <f>('Kwh Reading'!H34-'Kwh Reading'!H33)*1000</f>
        <v>-1034.5999999999999</v>
      </c>
      <c r="O33" s="2">
        <f>('Kwh Reading'!P34-'Kwh Reading'!P33)*1000</f>
        <v>-1016.4</v>
      </c>
      <c r="P33" s="2">
        <f>('Kwh Reading'!G34-'Kwh Reading'!G33)*1000000</f>
        <v>-1115100</v>
      </c>
      <c r="Q33" s="2">
        <f>('Kwh Reading'!Q34-'Kwh Reading'!Q33)*1000</f>
        <v>-751400</v>
      </c>
      <c r="R33" s="2">
        <f>('Kwh Reading'!N34-'Kwh Reading'!N33)*1000</f>
        <v>-756860</v>
      </c>
      <c r="S33" s="2">
        <f>'Kwh Reading'!E34-'Kwh Reading'!E33</f>
        <v>-93690411.530000001</v>
      </c>
      <c r="T33" s="2">
        <f>'Kwh Reading'!D34-'Kwh Reading'!D33</f>
        <v>-8351915.9500000002</v>
      </c>
      <c r="U33" s="27">
        <f>('Kwh Reading'!O34-'Kwh Reading'!O33)*1000</f>
        <v>-242040</v>
      </c>
      <c r="V33" s="16">
        <f t="shared" si="1"/>
        <v>113735928.48</v>
      </c>
    </row>
    <row r="34" spans="1:22" x14ac:dyDescent="0.25">
      <c r="A34" s="3">
        <f>'Kwh Reading'!A34</f>
        <v>44804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236020.00000000067</v>
      </c>
      <c r="C35" s="72">
        <f t="shared" ref="C35" si="2">SUM(C4:C34)</f>
        <v>-613669.99999999988</v>
      </c>
      <c r="D35" s="72">
        <f t="shared" ref="D35" si="3">SUM(D4:D34)</f>
        <v>-3418400</v>
      </c>
      <c r="E35" s="72">
        <f t="shared" ref="E35" si="4">SUM(E4:E34)</f>
        <v>-328180.00000000006</v>
      </c>
      <c r="F35" s="72">
        <f t="shared" ref="F35" si="5">SUM(F4:F34)</f>
        <v>-496570</v>
      </c>
      <c r="G35" s="72">
        <f t="shared" ref="G35:U35" si="6">SUM(G4:G34)</f>
        <v>-476710</v>
      </c>
      <c r="H35" s="72">
        <f t="shared" si="6"/>
        <v>-325769.99999999994</v>
      </c>
      <c r="I35" s="72">
        <f t="shared" si="6"/>
        <v>-190150</v>
      </c>
      <c r="J35" s="72">
        <f t="shared" si="6"/>
        <v>-169450</v>
      </c>
      <c r="K35" s="72">
        <f t="shared" si="6"/>
        <v>-356430</v>
      </c>
      <c r="L35" s="72">
        <f t="shared" si="6"/>
        <v>-1444100</v>
      </c>
      <c r="M35" s="72">
        <f t="shared" si="6"/>
        <v>-819480</v>
      </c>
      <c r="N35" s="72">
        <f t="shared" si="6"/>
        <v>-1008</v>
      </c>
      <c r="O35" s="72">
        <f t="shared" si="6"/>
        <v>-995809.99999999965</v>
      </c>
      <c r="P35" s="72">
        <f t="shared" si="6"/>
        <v>-1093800</v>
      </c>
      <c r="Q35" s="72">
        <f t="shared" si="6"/>
        <v>-743730</v>
      </c>
      <c r="R35" s="72">
        <f t="shared" si="6"/>
        <v>-746049.99999999988</v>
      </c>
      <c r="S35" s="72">
        <f t="shared" si="6"/>
        <v>-9301762.3100000024</v>
      </c>
      <c r="T35" s="72">
        <f t="shared" si="6"/>
        <v>-8299585.3399999999</v>
      </c>
      <c r="U35" s="72">
        <f t="shared" si="6"/>
        <v>-236090</v>
      </c>
      <c r="V35" s="72">
        <f>SUM(V4:V34)</f>
        <v>30292765.650000006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44774</v>
      </c>
      <c r="B3" s="80">
        <f>TOTAL!E2</f>
        <v>19349.999999999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230.00000000001819</v>
      </c>
      <c r="F3" s="1">
        <f>('Kwh Consumption'!F4+'Kwh Consumption'!G4+'Kwh Consumption'!H4)</f>
        <v>1009.9999999999909</v>
      </c>
      <c r="G3" s="16">
        <f>('Kwh Consumption'!I4+'Kwh Consumption'!J4)</f>
        <v>140.00000000001478</v>
      </c>
      <c r="H3" s="1">
        <f>('Kwh Consumption'!K4+'Kwh Consumption'!L4)</f>
        <v>1170.0000000001046</v>
      </c>
      <c r="I3" s="1">
        <f>('Kwh Consumption'!M4+'Kwh Consumption'!N4+'Kwh Consumption'!O4+'Kwh Consumption'!P4+'Kwh Consumption'!Q4+'Kwh Consumption'!R4)</f>
        <v>2450.9000000000365</v>
      </c>
      <c r="J3" s="1">
        <f>('Kwh Consumption'!S4+'Kwh Consumption'!T4)</f>
        <v>4065.8000000007451</v>
      </c>
      <c r="K3" s="1">
        <f>'Kwh Consumption'!U4</f>
        <v>199.99999999998863</v>
      </c>
      <c r="L3" s="31">
        <f t="shared" ref="L3:L33" si="0">B3-C3-D3-E3-F3-G3-H3-I3-J3-K3</f>
        <v>7003.2999999983713</v>
      </c>
    </row>
    <row r="4" spans="1:12" x14ac:dyDescent="0.25">
      <c r="A4" s="14">
        <f>'Kwh Reading'!A5</f>
        <v>44775</v>
      </c>
      <c r="B4" s="80">
        <f>TOTAL!E3</f>
        <v>19529.999999999291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670.00000000001592</v>
      </c>
      <c r="G4" s="16">
        <f>('Kwh Consumption'!I5+'Kwh Consumption'!J5)</f>
        <v>139.99999999998636</v>
      </c>
      <c r="H4" s="1">
        <f>('Kwh Consumption'!K5+'Kwh Consumption'!L5)</f>
        <v>1199.9999999999122</v>
      </c>
      <c r="I4" s="1">
        <f>('Kwh Consumption'!M5+'Kwh Consumption'!N5+'Kwh Consumption'!O5+'Kwh Consumption'!P5+'Kwh Consumption'!Q5+'Kwh Consumption'!R5)</f>
        <v>2711.1000000000276</v>
      </c>
      <c r="J4" s="1">
        <f>('Kwh Consumption'!S5+'Kwh Consumption'!T5)</f>
        <v>4750.4799999995157</v>
      </c>
      <c r="K4" s="1">
        <f>'Kwh Consumption'!U5</f>
        <v>210.00000000000796</v>
      </c>
      <c r="L4" s="31">
        <f t="shared" si="0"/>
        <v>6488.4199999996772</v>
      </c>
    </row>
    <row r="5" spans="1:12" x14ac:dyDescent="0.25">
      <c r="A5" s="14">
        <f>'Kwh Reading'!A6</f>
        <v>44776</v>
      </c>
      <c r="B5" s="80">
        <f>TOTAL!E4</f>
        <v>21162.000000000946</v>
      </c>
      <c r="C5" s="1">
        <f>'Kwh Consumption'!C6</f>
        <v>509.99999999999091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1000</v>
      </c>
      <c r="G5" s="16">
        <f>('Kwh Consumption'!I6+'Kwh Consumption'!J6)</f>
        <v>150.00000000000568</v>
      </c>
      <c r="H5" s="1">
        <f>('Kwh Consumption'!K6+'Kwh Consumption'!L6)</f>
        <v>1330.000000000096</v>
      </c>
      <c r="I5" s="1">
        <f>('Kwh Consumption'!M6+'Kwh Consumption'!N6+'Kwh Consumption'!O6+'Kwh Consumption'!P6+'Kwh Consumption'!Q6+'Kwh Consumption'!R6)</f>
        <v>3011.0999999999431</v>
      </c>
      <c r="J5" s="1">
        <f>('Kwh Consumption'!S6+'Kwh Consumption'!T6)</f>
        <v>4895.6399999987334</v>
      </c>
      <c r="K5" s="1">
        <f>'Kwh Consumption'!U6</f>
        <v>180.00000000000682</v>
      </c>
      <c r="L5" s="31">
        <f t="shared" si="0"/>
        <v>7135.260000002243</v>
      </c>
    </row>
    <row r="6" spans="1:12" x14ac:dyDescent="0.25">
      <c r="A6" s="14">
        <f>'Kwh Reading'!A7</f>
        <v>44777</v>
      </c>
      <c r="B6" s="80">
        <f>TOTAL!E5</f>
        <v>19067.999999999531</v>
      </c>
      <c r="C6" s="1">
        <f>'Kwh Consumption'!C7</f>
        <v>480.00000000001819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1060.000000000116</v>
      </c>
      <c r="G6" s="16">
        <f>('Kwh Consumption'!I7+'Kwh Consumption'!J7)</f>
        <v>140.00000000001478</v>
      </c>
      <c r="H6" s="1">
        <f>('Kwh Consumption'!K7+'Kwh Consumption'!L7)</f>
        <v>1299.9999999999013</v>
      </c>
      <c r="I6" s="1">
        <f>('Kwh Consumption'!M7+'Kwh Consumption'!N7+'Kwh Consumption'!O7+'Kwh Consumption'!P7+'Kwh Consumption'!Q7+'Kwh Consumption'!R7)</f>
        <v>2660.9999999998454</v>
      </c>
      <c r="J6" s="1">
        <f>('Kwh Consumption'!S7+'Kwh Consumption'!T7)</f>
        <v>4159.2800000011921</v>
      </c>
      <c r="K6" s="1">
        <f>'Kwh Consumption'!U7</f>
        <v>209.99999999997954</v>
      </c>
      <c r="L6" s="31">
        <f t="shared" si="0"/>
        <v>6217.719999998295</v>
      </c>
    </row>
    <row r="7" spans="1:12" x14ac:dyDescent="0.25">
      <c r="A7" s="14">
        <f>'Kwh Reading'!A8</f>
        <v>44778</v>
      </c>
      <c r="B7" s="80">
        <f>TOTAL!E6</f>
        <v>18569.999999999709</v>
      </c>
      <c r="C7" s="1">
        <f>'Kwh Consumption'!C8</f>
        <v>250</v>
      </c>
      <c r="D7" s="1">
        <f>'Kwh Consumption'!D8</f>
        <v>2600.0000000001578</v>
      </c>
      <c r="E7" s="1">
        <f>'Kwh Consumption'!E8</f>
        <v>239.99999999995225</v>
      </c>
      <c r="F7" s="1">
        <f>('Kwh Consumption'!F8+'Kwh Consumption'!G8+'Kwh Consumption'!H8)</f>
        <v>639.99999999992951</v>
      </c>
      <c r="G7" s="16">
        <f>('Kwh Consumption'!I8+'Kwh Consumption'!J8)</f>
        <v>139.99999999998636</v>
      </c>
      <c r="H7" s="1">
        <f>('Kwh Consumption'!K8+'Kwh Consumption'!L8)</f>
        <v>1180.0000000001523</v>
      </c>
      <c r="I7" s="1">
        <f>('Kwh Consumption'!M8+'Kwh Consumption'!N8+'Kwh Consumption'!O8+'Kwh Consumption'!P8+'Kwh Consumption'!Q8+'Kwh Consumption'!R8)</f>
        <v>2530.8999999999637</v>
      </c>
      <c r="J7" s="1">
        <f>('Kwh Consumption'!S8+'Kwh Consumption'!T8)</f>
        <v>3769.320000000298</v>
      </c>
      <c r="K7" s="1">
        <f>'Kwh Consumption'!U8</f>
        <v>210.00000000000796</v>
      </c>
      <c r="L7" s="31">
        <f t="shared" si="0"/>
        <v>7009.7799999992612</v>
      </c>
    </row>
    <row r="8" spans="1:12" x14ac:dyDescent="0.25">
      <c r="A8" s="14">
        <f>'Kwh Reading'!A9</f>
        <v>44779</v>
      </c>
      <c r="B8" s="80">
        <f>TOTAL!E7</f>
        <v>19559.999999999716</v>
      </c>
      <c r="C8" s="1">
        <f>'Kwh Consumption'!C9</f>
        <v>460.00000000003638</v>
      </c>
      <c r="D8" s="1">
        <f>'Kwh Consumption'!D9</f>
        <v>2499.9999999999468</v>
      </c>
      <c r="E8" s="1">
        <f>'Kwh Consumption'!E9</f>
        <v>250</v>
      </c>
      <c r="F8" s="1">
        <f>('Kwh Consumption'!F9+'Kwh Consumption'!G9+'Kwh Consumption'!H9)</f>
        <v>1030.0000000000296</v>
      </c>
      <c r="G8" s="16">
        <f>('Kwh Consumption'!I9+'Kwh Consumption'!J9)</f>
        <v>140.00000000001478</v>
      </c>
      <c r="H8" s="1">
        <f>('Kwh Consumption'!K9+'Kwh Consumption'!L9)</f>
        <v>1309.9999999998922</v>
      </c>
      <c r="I8" s="1">
        <f>('Kwh Consumption'!M9+'Kwh Consumption'!N9+'Kwh Consumption'!O9+'Kwh Consumption'!P9+'Kwh Consumption'!Q9+'Kwh Consumption'!R9)</f>
        <v>2491.0000000002224</v>
      </c>
      <c r="J8" s="1">
        <f>('Kwh Consumption'!S9+'Kwh Consumption'!T9)</f>
        <v>4384.6999999992549</v>
      </c>
      <c r="K8" s="1">
        <f>'Kwh Consumption'!U9</f>
        <v>189.99999999999773</v>
      </c>
      <c r="L8" s="31">
        <f t="shared" si="0"/>
        <v>6804.3000000003231</v>
      </c>
    </row>
    <row r="9" spans="1:12" x14ac:dyDescent="0.25">
      <c r="A9" s="14">
        <f>'Kwh Reading'!A10</f>
        <v>44780</v>
      </c>
      <c r="B9" s="80">
        <f>TOTAL!E8</f>
        <v>20700.000000000728</v>
      </c>
      <c r="C9" s="1">
        <f>'Kwh Consumption'!C10</f>
        <v>490.00000000000909</v>
      </c>
      <c r="D9" s="1">
        <f>'Kwh Consumption'!D10</f>
        <v>2599.9999999997135</v>
      </c>
      <c r="E9" s="1">
        <f>'Kwh Consumption'!E10</f>
        <v>230.00000000001819</v>
      </c>
      <c r="F9" s="1">
        <f>('Kwh Consumption'!F10+'Kwh Consumption'!G10+'Kwh Consumption'!H10)</f>
        <v>979.99999999996135</v>
      </c>
      <c r="G9" s="16">
        <f>('Kwh Consumption'!I10+'Kwh Consumption'!J10)</f>
        <v>139.99999999998636</v>
      </c>
      <c r="H9" s="1">
        <f>('Kwh Consumption'!K10+'Kwh Consumption'!L10)</f>
        <v>1330.000000000096</v>
      </c>
      <c r="I9" s="1">
        <f>('Kwh Consumption'!M10+'Kwh Consumption'!N10+'Kwh Consumption'!O10+'Kwh Consumption'!P10+'Kwh Consumption'!Q10+'Kwh Consumption'!R10)</f>
        <v>-996598.50000000012</v>
      </c>
      <c r="J9" s="1">
        <f>('Kwh Consumption'!S10+'Kwh Consumption'!T10)</f>
        <v>4556.5900000007823</v>
      </c>
      <c r="K9" s="1">
        <f>'Kwh Consumption'!U10</f>
        <v>200.00000000001705</v>
      </c>
      <c r="L9" s="31">
        <f t="shared" si="0"/>
        <v>1006771.9100000003</v>
      </c>
    </row>
    <row r="10" spans="1:12" x14ac:dyDescent="0.25">
      <c r="A10" s="14">
        <f>'Kwh Reading'!A11</f>
        <v>44781</v>
      </c>
      <c r="B10" s="80">
        <f>TOTAL!E9</f>
        <v>20509.999999999764</v>
      </c>
      <c r="C10" s="1">
        <f>'Kwh Consumption'!C11</f>
        <v>459.99999999992269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879.99999999999545</v>
      </c>
      <c r="G10" s="16">
        <f>('Kwh Consumption'!I11+'Kwh Consumption'!J11)</f>
        <v>140.00000000001478</v>
      </c>
      <c r="H10" s="1">
        <f>('Kwh Consumption'!K11+'Kwh Consumption'!L11)</f>
        <v>1429.9999999998629</v>
      </c>
      <c r="I10" s="1">
        <f>('Kwh Consumption'!M11+'Kwh Consumption'!N11+'Kwh Consumption'!O11+'Kwh Consumption'!P11+'Kwh Consumption'!Q11+'Kwh Consumption'!R11)</f>
        <v>2271.7000000002413</v>
      </c>
      <c r="J10" s="1">
        <f>('Kwh Consumption'!S11+'Kwh Consumption'!T11)</f>
        <v>4579.2899999991059</v>
      </c>
      <c r="K10" s="1">
        <f>'Kwh Consumption'!U11</f>
        <v>189.99999999999773</v>
      </c>
      <c r="L10" s="31">
        <f t="shared" si="0"/>
        <v>7719.0100000004531</v>
      </c>
    </row>
    <row r="11" spans="1:12" x14ac:dyDescent="0.25">
      <c r="A11" s="14">
        <f>'Kwh Reading'!A12</f>
        <v>44782</v>
      </c>
      <c r="B11" s="80">
        <f>TOTAL!E10</f>
        <v>19900.000000000546</v>
      </c>
      <c r="C11" s="1">
        <f>'Kwh Consumption'!C12</f>
        <v>480.00000000001819</v>
      </c>
      <c r="D11" s="1">
        <f>'Kwh Consumption'!D12</f>
        <v>2499.9999999999468</v>
      </c>
      <c r="E11" s="1">
        <f>'Kwh Consumption'!E12</f>
        <v>250</v>
      </c>
      <c r="F11" s="1">
        <f>('Kwh Consumption'!F12+'Kwh Consumption'!G12+'Kwh Consumption'!H12)</f>
        <v>899.99999999997726</v>
      </c>
      <c r="G11" s="16">
        <f>('Kwh Consumption'!I12+'Kwh Consumption'!J12)</f>
        <v>129.99999999999545</v>
      </c>
      <c r="H11" s="1">
        <f>('Kwh Consumption'!K12+'Kwh Consumption'!L12)</f>
        <v>1300.0000000001232</v>
      </c>
      <c r="I11" s="1">
        <f>('Kwh Consumption'!M12+'Kwh Consumption'!N12+'Kwh Consumption'!O12+'Kwh Consumption'!P12+'Kwh Consumption'!Q12+'Kwh Consumption'!R12)</f>
        <v>2131.7999999998392</v>
      </c>
      <c r="J11" s="1">
        <f>('Kwh Consumption'!S12+'Kwh Consumption'!T12)</f>
        <v>4433.1199999991804</v>
      </c>
      <c r="K11" s="1">
        <f>'Kwh Consumption'!U12</f>
        <v>189.99999999999773</v>
      </c>
      <c r="L11" s="31">
        <f t="shared" si="0"/>
        <v>7585.080000001466</v>
      </c>
    </row>
    <row r="12" spans="1:12" x14ac:dyDescent="0.25">
      <c r="A12" s="14">
        <f>'Kwh Reading'!A13</f>
        <v>44783</v>
      </c>
      <c r="B12" s="80">
        <f>TOTAL!E11</f>
        <v>19910.000000000535</v>
      </c>
      <c r="C12" s="1">
        <f>'Kwh Consumption'!C13</f>
        <v>509.99999999999091</v>
      </c>
      <c r="D12" s="1">
        <f>'Kwh Consumption'!D13</f>
        <v>2600.0000000001578</v>
      </c>
      <c r="E12" s="1">
        <f>'Kwh Consumption'!E13</f>
        <v>269.99999999998181</v>
      </c>
      <c r="F12" s="1">
        <f>('Kwh Consumption'!F13+'Kwh Consumption'!G13+'Kwh Consumption'!H13)</f>
        <v>920.00000000007276</v>
      </c>
      <c r="G12" s="16">
        <f>('Kwh Consumption'!I13+'Kwh Consumption'!J13)</f>
        <v>150.00000000000568</v>
      </c>
      <c r="H12" s="1">
        <f>('Kwh Consumption'!K13+'Kwh Consumption'!L13)</f>
        <v>1399.9999999998902</v>
      </c>
      <c r="I12" s="1">
        <f>('Kwh Consumption'!M13+'Kwh Consumption'!N13+'Kwh Consumption'!O13+'Kwh Consumption'!P13+'Kwh Consumption'!Q13+'Kwh Consumption'!R13)</f>
        <v>2131.7999999999529</v>
      </c>
      <c r="J12" s="1">
        <f>('Kwh Consumption'!S13+'Kwh Consumption'!T13)</f>
        <v>4068.3600000003353</v>
      </c>
      <c r="K12" s="1">
        <f>'Kwh Consumption'!U13</f>
        <v>169.99999999998749</v>
      </c>
      <c r="L12" s="31">
        <f t="shared" si="0"/>
        <v>7689.840000000162</v>
      </c>
    </row>
    <row r="13" spans="1:12" x14ac:dyDescent="0.25">
      <c r="A13" s="14">
        <f>'Kwh Reading'!A14</f>
        <v>44784</v>
      </c>
      <c r="B13" s="80">
        <f>TOTAL!E12</f>
        <v>18759.999999998399</v>
      </c>
      <c r="C13" s="1">
        <f>'Kwh Consumption'!C14</f>
        <v>430.00000000006366</v>
      </c>
      <c r="D13" s="1">
        <f>'Kwh Consumption'!D14</f>
        <v>2799.9999999996917</v>
      </c>
      <c r="E13" s="1">
        <f>'Kwh Consumption'!E14</f>
        <v>300.00000000001137</v>
      </c>
      <c r="F13" s="1">
        <f>('Kwh Consumption'!F14+'Kwh Consumption'!G14+'Kwh Consumption'!H14)</f>
        <v>1929.99999999995</v>
      </c>
      <c r="G13" s="16">
        <f>('Kwh Consumption'!I14+'Kwh Consumption'!J14)</f>
        <v>179.9999999999784</v>
      </c>
      <c r="H13" s="1">
        <f>('Kwh Consumption'!K14+'Kwh Consumption'!L14)</f>
        <v>1420.0000000000941</v>
      </c>
      <c r="I13" s="1">
        <f>('Kwh Consumption'!M14+'Kwh Consumption'!N14+'Kwh Consumption'!O14+'Kwh Consumption'!P14+'Kwh Consumption'!Q14+'Kwh Consumption'!R14)</f>
        <v>2411.9000000001479</v>
      </c>
      <c r="J13" s="1">
        <f>('Kwh Consumption'!S14+'Kwh Consumption'!T14)</f>
        <v>4468.0600000005215</v>
      </c>
      <c r="K13" s="1">
        <f>'Kwh Consumption'!U14</f>
        <v>230.00000000001819</v>
      </c>
      <c r="L13" s="31">
        <f t="shared" si="0"/>
        <v>4590.0399999979236</v>
      </c>
    </row>
    <row r="14" spans="1:12" x14ac:dyDescent="0.25">
      <c r="A14" s="14">
        <f>'Kwh Reading'!A15</f>
        <v>44785</v>
      </c>
      <c r="B14" s="80">
        <f>TOTAL!E13</f>
        <v>19000.000000002499</v>
      </c>
      <c r="C14" s="1">
        <f>'Kwh Consumption'!C15</f>
        <v>279.99999999997272</v>
      </c>
      <c r="D14" s="1">
        <f>'Kwh Consumption'!D15</f>
        <v>2400.0000000001796</v>
      </c>
      <c r="E14" s="1">
        <f>'Kwh Consumption'!E15</f>
        <v>189.99999999999773</v>
      </c>
      <c r="F14" s="1">
        <f>('Kwh Consumption'!F15+'Kwh Consumption'!G15+'Kwh Consumption'!H15)</f>
        <v>619.9999999999477</v>
      </c>
      <c r="G14" s="16">
        <f>('Kwh Consumption'!I15+'Kwh Consumption'!J15)</f>
        <v>99.999999999994316</v>
      </c>
      <c r="H14" s="1">
        <f>('Kwh Consumption'!K15+'Kwh Consumption'!L15)</f>
        <v>1009.9999999998914</v>
      </c>
      <c r="I14" s="1">
        <f>('Kwh Consumption'!M15+'Kwh Consumption'!N15+'Kwh Consumption'!O15+'Kwh Consumption'!P15+'Kwh Consumption'!Q15+'Kwh Consumption'!R15)</f>
        <v>1521.199999999893</v>
      </c>
      <c r="J14" s="1">
        <f>('Kwh Consumption'!S15+'Kwh Consumption'!T15)</f>
        <v>2598.8100000005215</v>
      </c>
      <c r="K14" s="1">
        <f>'Kwh Consumption'!U15</f>
        <v>139.99999999998636</v>
      </c>
      <c r="L14" s="31">
        <f t="shared" si="0"/>
        <v>10139.990000002112</v>
      </c>
    </row>
    <row r="15" spans="1:12" x14ac:dyDescent="0.25">
      <c r="A15" s="14">
        <f>'Kwh Reading'!A16</f>
        <v>44786</v>
      </c>
      <c r="B15" s="80">
        <f>TOTAL!E14</f>
        <v>0</v>
      </c>
      <c r="C15" s="1">
        <f>'Kwh Consumption'!C16</f>
        <v>490.00000000000909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1450.0000000000455</v>
      </c>
      <c r="G15" s="16">
        <f>('Kwh Consumption'!I16+'Kwh Consumption'!J16)</f>
        <v>140.00000000001478</v>
      </c>
      <c r="H15" s="1">
        <f>('Kwh Consumption'!K16+'Kwh Consumption'!L16)</f>
        <v>1390.0000000001214</v>
      </c>
      <c r="I15" s="1">
        <f>('Kwh Consumption'!M16+'Kwh Consumption'!N16+'Kwh Consumption'!O16+'Kwh Consumption'!P16+'Kwh Consumption'!Q16+'Kwh Consumption'!R16)</f>
        <v>2031.8999999999301</v>
      </c>
      <c r="J15" s="1">
        <f>('Kwh Consumption'!S16+'Kwh Consumption'!T16)</f>
        <v>4191.640000000596</v>
      </c>
      <c r="K15" s="1">
        <f>'Kwh Consumption'!U16</f>
        <v>189.99999999999773</v>
      </c>
      <c r="L15" s="31">
        <f t="shared" si="0"/>
        <v>-12833.540000000639</v>
      </c>
    </row>
    <row r="16" spans="1:12" x14ac:dyDescent="0.25">
      <c r="A16" s="14">
        <f>'Kwh Reading'!A17</f>
        <v>44787</v>
      </c>
      <c r="B16" s="80">
        <f>TOTAL!E15</f>
        <v>0</v>
      </c>
      <c r="C16" s="1">
        <f>'Kwh Consumption'!C17</f>
        <v>509.99999999999091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1290.0000000000205</v>
      </c>
      <c r="G16" s="16">
        <f>('Kwh Consumption'!I17+'Kwh Consumption'!J17)</f>
        <v>139.99999999998636</v>
      </c>
      <c r="H16" s="1">
        <f>('Kwh Consumption'!K17+'Kwh Consumption'!L17)</f>
        <v>1529.999999999852</v>
      </c>
      <c r="I16" s="1">
        <f>('Kwh Consumption'!M17+'Kwh Consumption'!N17+'Kwh Consumption'!O17+'Kwh Consumption'!P17+'Kwh Consumption'!Q17+'Kwh Consumption'!R17)</f>
        <v>2232.0000000000041</v>
      </c>
      <c r="J16" s="1">
        <f>('Kwh Consumption'!S17+'Kwh Consumption'!T17)</f>
        <v>4317.2299999995157</v>
      </c>
      <c r="K16" s="1">
        <f>'Kwh Consumption'!U17</f>
        <v>200.00000000001705</v>
      </c>
      <c r="L16" s="31">
        <f t="shared" si="0"/>
        <v>-13169.22999999931</v>
      </c>
    </row>
    <row r="17" spans="1:12" x14ac:dyDescent="0.25">
      <c r="A17" s="14">
        <f>'Kwh Reading'!A18</f>
        <v>44788</v>
      </c>
      <c r="B17" s="80">
        <f>TOTAL!E16</f>
        <v>0</v>
      </c>
      <c r="C17" s="1">
        <f>'Kwh Consumption'!C18</f>
        <v>480.00000000001819</v>
      </c>
      <c r="D17" s="1">
        <f>'Kwh Consumption'!D18</f>
        <v>2699.9999999999245</v>
      </c>
      <c r="E17" s="1">
        <f>'Kwh Consumption'!E18</f>
        <v>250</v>
      </c>
      <c r="F17" s="1">
        <f>('Kwh Consumption'!F18+'Kwh Consumption'!G18+'Kwh Consumption'!H18)</f>
        <v>1090.0000000000318</v>
      </c>
      <c r="G17" s="16">
        <f>('Kwh Consumption'!I18+'Kwh Consumption'!J18)</f>
        <v>140.00000000001478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1962.0000000001073</v>
      </c>
      <c r="J17" s="1">
        <f>('Kwh Consumption'!S18+'Kwh Consumption'!T18)</f>
        <v>4291.320000000298</v>
      </c>
      <c r="K17" s="30">
        <f>'Kwh Consumption'!U18</f>
        <v>199.99999999998863</v>
      </c>
      <c r="L17" s="31">
        <f t="shared" si="0"/>
        <v>-12623.320000000476</v>
      </c>
    </row>
    <row r="18" spans="1:12" x14ac:dyDescent="0.25">
      <c r="A18" s="14">
        <f>'Kwh Reading'!A19</f>
        <v>44789</v>
      </c>
      <c r="B18" s="80">
        <f>TOTAL!E17</f>
        <v>0</v>
      </c>
      <c r="C18" s="1">
        <f>'Kwh Consumption'!C19</f>
        <v>480.00000000001819</v>
      </c>
      <c r="D18" s="1">
        <f>'Kwh Consumption'!D19</f>
        <v>2600.0000000001578</v>
      </c>
      <c r="E18" s="1">
        <f>'Kwh Consumption'!E19</f>
        <v>250</v>
      </c>
      <c r="F18" s="1">
        <f>('Kwh Consumption'!F19+'Kwh Consumption'!G19+'Kwh Consumption'!H19)</f>
        <v>1110.0000000000136</v>
      </c>
      <c r="G18" s="16">
        <f>('Kwh Consumption'!I19+'Kwh Consumption'!J19)</f>
        <v>139.99999999998636</v>
      </c>
      <c r="H18" s="1">
        <f>('Kwh Consumption'!K19+'Kwh Consumption'!L19)</f>
        <v>1409.9999999998811</v>
      </c>
      <c r="I18" s="1">
        <f>('Kwh Consumption'!M19+'Kwh Consumption'!N19+'Kwh Consumption'!O19+'Kwh Consumption'!P19+'Kwh Consumption'!Q19+'Kwh Consumption'!R19)</f>
        <v>2061.8000000000111</v>
      </c>
      <c r="J18" s="1">
        <f>('Kwh Consumption'!S19+'Kwh Consumption'!T19)</f>
        <v>4178.5699999993667</v>
      </c>
      <c r="K18" s="30">
        <f>'Kwh Consumption'!U19</f>
        <v>199.99999999998863</v>
      </c>
      <c r="L18" s="31">
        <f t="shared" si="0"/>
        <v>-12430.369999999424</v>
      </c>
    </row>
    <row r="19" spans="1:12" x14ac:dyDescent="0.25">
      <c r="A19" s="14">
        <f>'Kwh Reading'!A20</f>
        <v>44790</v>
      </c>
      <c r="B19" s="80">
        <f>TOTAL!E18</f>
        <v>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269.99999999998181</v>
      </c>
      <c r="F19" s="1">
        <f>('Kwh Consumption'!F20+'Kwh Consumption'!G20+'Kwh Consumption'!H20)</f>
        <v>1089.999999999975</v>
      </c>
      <c r="G19" s="16">
        <f>('Kwh Consumption'!I20+'Kwh Consumption'!J20)</f>
        <v>140.00000000001478</v>
      </c>
      <c r="H19" s="1">
        <f>('Kwh Consumption'!K20+'Kwh Consumption'!L20)</f>
        <v>1430.000000000085</v>
      </c>
      <c r="I19" s="1">
        <f>('Kwh Consumption'!M20+'Kwh Consumption'!N20+'Kwh Consumption'!O20+'Kwh Consumption'!P20+'Kwh Consumption'!Q20+'Kwh Consumption'!R20)</f>
        <v>2011.4999999998684</v>
      </c>
      <c r="J19" s="1">
        <f>('Kwh Consumption'!S20+'Kwh Consumption'!T20)</f>
        <v>4236.1599999992177</v>
      </c>
      <c r="K19" s="1">
        <f>'Kwh Consumption'!U20</f>
        <v>200.00000000001705</v>
      </c>
      <c r="L19" s="31">
        <f t="shared" si="0"/>
        <v>-12367.659999999114</v>
      </c>
    </row>
    <row r="20" spans="1:12" x14ac:dyDescent="0.25">
      <c r="A20" s="14">
        <f>'Kwh Reading'!A21</f>
        <v>44791</v>
      </c>
      <c r="B20" s="80">
        <f>TOTAL!E19</f>
        <v>0</v>
      </c>
      <c r="C20" s="1">
        <f>'Kwh Consumption'!C21</f>
        <v>479.9999999999045</v>
      </c>
      <c r="D20" s="1">
        <f>'Kwh Consumption'!D21</f>
        <v>2699.9999999999245</v>
      </c>
      <c r="E20" s="1">
        <f>'Kwh Consumption'!E21</f>
        <v>260.00000000004775</v>
      </c>
      <c r="F20" s="1">
        <f>('Kwh Consumption'!F21+'Kwh Consumption'!G21+'Kwh Consumption'!H21)</f>
        <v>1139.9999999999864</v>
      </c>
      <c r="G20" s="16">
        <f>('Kwh Consumption'!I21+'Kwh Consumption'!J21)</f>
        <v>150.00000000000568</v>
      </c>
      <c r="H20" s="1">
        <f>('Kwh Consumption'!K21+'Kwh Consumption'!L21)</f>
        <v>1620.0000000000721</v>
      </c>
      <c r="I20" s="1">
        <f>('Kwh Consumption'!M21+'Kwh Consumption'!N21+'Kwh Consumption'!O21+'Kwh Consumption'!P21+'Kwh Consumption'!Q21+'Kwh Consumption'!R21)</f>
        <v>2171.7000000000298</v>
      </c>
      <c r="J20" s="1">
        <f>('Kwh Consumption'!S21+'Kwh Consumption'!T21)</f>
        <v>4432.0200000014156</v>
      </c>
      <c r="K20" s="1">
        <f>'Kwh Consumption'!U21</f>
        <v>180.00000000000682</v>
      </c>
      <c r="L20" s="31">
        <f t="shared" si="0"/>
        <v>-13133.720000001395</v>
      </c>
    </row>
    <row r="21" spans="1:12" x14ac:dyDescent="0.25">
      <c r="A21" s="14">
        <f>'Kwh Reading'!A22</f>
        <v>44792</v>
      </c>
      <c r="B21" s="80">
        <f>TOTAL!E20</f>
        <v>0</v>
      </c>
      <c r="C21" s="1">
        <f>'Kwh Consumption'!C22</f>
        <v>280.0000000000864</v>
      </c>
      <c r="D21" s="1">
        <f>'Kwh Consumption'!D22</f>
        <v>2700.0000000003688</v>
      </c>
      <c r="E21" s="1">
        <f>'Kwh Consumption'!E22</f>
        <v>279.99999999997272</v>
      </c>
      <c r="F21" s="1">
        <f>('Kwh Consumption'!F22+'Kwh Consumption'!G22+'Kwh Consumption'!H22)</f>
        <v>1039.9999999999636</v>
      </c>
      <c r="G21" s="16">
        <f>('Kwh Consumption'!I22+'Kwh Consumption'!J22)</f>
        <v>129.99999999999545</v>
      </c>
      <c r="H21" s="1">
        <f>('Kwh Consumption'!K22+'Kwh Consumption'!L22)</f>
        <v>1409.9999999998811</v>
      </c>
      <c r="I21" s="1">
        <f>('Kwh Consumption'!M22+'Kwh Consumption'!N22+'Kwh Consumption'!O22+'Kwh Consumption'!P22+'Kwh Consumption'!Q22+'Kwh Consumption'!R22)</f>
        <v>2101.7000000002022</v>
      </c>
      <c r="J21" s="1">
        <f>('Kwh Consumption'!S22+'Kwh Consumption'!T22)</f>
        <v>3868.3899999996647</v>
      </c>
      <c r="K21" s="1">
        <f>'Kwh Consumption'!U22</f>
        <v>189.99999999999773</v>
      </c>
      <c r="L21" s="31">
        <f t="shared" si="0"/>
        <v>-12000.090000000133</v>
      </c>
    </row>
    <row r="22" spans="1:12" x14ac:dyDescent="0.25">
      <c r="A22" s="14">
        <f>'Kwh Reading'!A23</f>
        <v>44793</v>
      </c>
      <c r="B22" s="80">
        <f>TOTAL!E21</f>
        <v>0</v>
      </c>
      <c r="C22" s="1">
        <f>'Kwh Consumption'!C23</f>
        <v>459.99999999992269</v>
      </c>
      <c r="D22" s="1">
        <f>'Kwh Consumption'!D23</f>
        <v>2699.9999999999245</v>
      </c>
      <c r="E22" s="1">
        <f>'Kwh Consumption'!E23</f>
        <v>259.99999999999091</v>
      </c>
      <c r="F22" s="1">
        <f>('Kwh Consumption'!F23+'Kwh Consumption'!G23+'Kwh Consumption'!H23)</f>
        <v>980.00000000001819</v>
      </c>
      <c r="G22" s="16">
        <f>('Kwh Consumption'!I23+'Kwh Consumption'!J23)</f>
        <v>139.99999999998636</v>
      </c>
      <c r="H22" s="1">
        <f>('Kwh Consumption'!K23+'Kwh Consumption'!L23)</f>
        <v>1490.0000000001103</v>
      </c>
      <c r="I22" s="1">
        <f>('Kwh Consumption'!M23+'Kwh Consumption'!N23+'Kwh Consumption'!O23+'Kwh Consumption'!P23+'Kwh Consumption'!Q23+'Kwh Consumption'!R23)</f>
        <v>2081.6999999998848</v>
      </c>
      <c r="J22" s="1">
        <f>('Kwh Consumption'!S23+'Kwh Consumption'!T23)</f>
        <v>4105.570000000298</v>
      </c>
      <c r="K22" s="1">
        <f>'Kwh Consumption'!U23</f>
        <v>169.99999999998749</v>
      </c>
      <c r="L22" s="31">
        <f t="shared" si="0"/>
        <v>-12387.270000000122</v>
      </c>
    </row>
    <row r="23" spans="1:12" x14ac:dyDescent="0.25">
      <c r="A23" s="14">
        <f>'Kwh Reading'!A24</f>
        <v>44794</v>
      </c>
      <c r="B23" s="80">
        <f>TOTAL!E22</f>
        <v>0</v>
      </c>
      <c r="C23" s="1">
        <f>'Kwh Consumption'!C24</f>
        <v>460.00000000003638</v>
      </c>
      <c r="D23" s="1">
        <f>'Kwh Consumption'!D24</f>
        <v>2799.9999999996917</v>
      </c>
      <c r="E23" s="1">
        <f>'Kwh Consumption'!E24</f>
        <v>259.99999999999091</v>
      </c>
      <c r="F23" s="1">
        <f>('Kwh Consumption'!F24+'Kwh Consumption'!G24+'Kwh Consumption'!H24)</f>
        <v>1009.9999999999909</v>
      </c>
      <c r="G23" s="16">
        <f>('Kwh Consumption'!I24+'Kwh Consumption'!J24)</f>
        <v>159.99999999999659</v>
      </c>
      <c r="H23" s="1">
        <f>('Kwh Consumption'!K24+'Kwh Consumption'!L24)</f>
        <v>1479.9999999998406</v>
      </c>
      <c r="I23" s="1">
        <f>('Kwh Consumption'!M24+'Kwh Consumption'!N24+'Kwh Consumption'!O24+'Kwh Consumption'!P24+'Kwh Consumption'!Q24+'Kwh Consumption'!R24)</f>
        <v>2221.7999999999047</v>
      </c>
      <c r="J23" s="1">
        <f>('Kwh Consumption'!S24+'Kwh Consumption'!T24)</f>
        <v>4335.2399999992922</v>
      </c>
      <c r="K23" s="1">
        <f>'Kwh Consumption'!U24</f>
        <v>150.00000000000568</v>
      </c>
      <c r="L23" s="31">
        <f t="shared" si="0"/>
        <v>-12877.039999998749</v>
      </c>
    </row>
    <row r="24" spans="1:12" x14ac:dyDescent="0.25">
      <c r="A24" s="14">
        <f>'Kwh Reading'!A25</f>
        <v>44795</v>
      </c>
      <c r="B24" s="80">
        <f>TOTAL!E23</f>
        <v>0</v>
      </c>
      <c r="C24" s="1">
        <f>'Kwh Consumption'!C25</f>
        <v>460.00000000003638</v>
      </c>
      <c r="D24" s="1">
        <f>'Kwh Consumption'!D25</f>
        <v>2700.0000000003688</v>
      </c>
      <c r="E24" s="1">
        <f>'Kwh Consumption'!E25</f>
        <v>260.00000000004775</v>
      </c>
      <c r="F24" s="1">
        <f>('Kwh Consumption'!F25+'Kwh Consumption'!G25+'Kwh Consumption'!H25)</f>
        <v>1100.0000000000227</v>
      </c>
      <c r="G24" s="16">
        <f>('Kwh Consumption'!I25+'Kwh Consumption'!J25)</f>
        <v>140.00000000001478</v>
      </c>
      <c r="H24" s="1">
        <f>('Kwh Consumption'!K25+'Kwh Consumption'!L25)</f>
        <v>880.00000000018554</v>
      </c>
      <c r="I24" s="1">
        <f>('Kwh Consumption'!M25+'Kwh Consumption'!N25+'Kwh Consumption'!O25+'Kwh Consumption'!P25+'Kwh Consumption'!Q25+'Kwh Consumption'!R25)</f>
        <v>2251.7000000001799</v>
      </c>
      <c r="J24" s="1">
        <f>('Kwh Consumption'!S25+'Kwh Consumption'!T25)</f>
        <v>4427.6000000005588</v>
      </c>
      <c r="K24" s="1">
        <f>'Kwh Consumption'!U25</f>
        <v>189.99999999999773</v>
      </c>
      <c r="L24" s="31">
        <f t="shared" si="0"/>
        <v>-12409.300000001413</v>
      </c>
    </row>
    <row r="25" spans="1:12" x14ac:dyDescent="0.25">
      <c r="A25" s="14">
        <f>'Kwh Reading'!A26</f>
        <v>44796</v>
      </c>
      <c r="B25" s="80">
        <f>TOTAL!E24</f>
        <v>0</v>
      </c>
      <c r="C25" s="1">
        <f>'Kwh Consumption'!C26</f>
        <v>449.99999999993179</v>
      </c>
      <c r="D25" s="1">
        <f>'Kwh Consumption'!D26</f>
        <v>2799.9999999996917</v>
      </c>
      <c r="E25" s="1">
        <f>'Kwh Consumption'!E26</f>
        <v>269.99999999998181</v>
      </c>
      <c r="F25" s="1">
        <f>('Kwh Consumption'!F26+'Kwh Consumption'!G26+'Kwh Consumption'!H26)</f>
        <v>1109.9999999999568</v>
      </c>
      <c r="G25" s="16">
        <f>('Kwh Consumption'!I26+'Kwh Consumption'!J26)</f>
        <v>150.00000000000568</v>
      </c>
      <c r="H25" s="1">
        <f>('Kwh Consumption'!K26+'Kwh Consumption'!L26)</f>
        <v>1879.9999999997965</v>
      </c>
      <c r="I25" s="1">
        <f>('Kwh Consumption'!M26+'Kwh Consumption'!N26+'Kwh Consumption'!O26+'Kwh Consumption'!P26+'Kwh Consumption'!Q26+'Kwh Consumption'!R26)</f>
        <v>2051.5999999998321</v>
      </c>
      <c r="J25" s="1">
        <f>('Kwh Consumption'!S26+'Kwh Consumption'!T26)</f>
        <v>4176.589999999851</v>
      </c>
      <c r="K25" s="1">
        <f>'Kwh Consumption'!U26</f>
        <v>210.00000000000796</v>
      </c>
      <c r="L25" s="31">
        <f t="shared" si="0"/>
        <v>-13098.189999999053</v>
      </c>
    </row>
    <row r="26" spans="1:12" x14ac:dyDescent="0.25">
      <c r="A26" s="14">
        <f>'Kwh Reading'!A27</f>
        <v>44797</v>
      </c>
      <c r="B26" s="80">
        <f>TOTAL!E25</f>
        <v>0</v>
      </c>
      <c r="C26" s="1">
        <f>'Kwh Consumption'!C27</f>
        <v>460.00000000003638</v>
      </c>
      <c r="D26" s="1">
        <f>'Kwh Consumption'!D27</f>
        <v>2699.9999999999245</v>
      </c>
      <c r="E26" s="1">
        <f>'Kwh Consumption'!E27</f>
        <v>269.99999999998181</v>
      </c>
      <c r="F26" s="1">
        <f>('Kwh Consumption'!F27+'Kwh Consumption'!G27+'Kwh Consumption'!H27)</f>
        <v>1140.0000000000432</v>
      </c>
      <c r="G26" s="16">
        <f>('Kwh Consumption'!I27+'Kwh Consumption'!J27)</f>
        <v>169.99999999998749</v>
      </c>
      <c r="H26" s="1">
        <f>('Kwh Consumption'!K27+'Kwh Consumption'!L27)</f>
        <v>1450.0000000001237</v>
      </c>
      <c r="I26" s="1">
        <f>('Kwh Consumption'!M27+'Kwh Consumption'!N27+'Kwh Consumption'!O27+'Kwh Consumption'!P27+'Kwh Consumption'!Q27+'Kwh Consumption'!R27)</f>
        <v>1961.6000000001363</v>
      </c>
      <c r="J26" s="1">
        <f>('Kwh Consumption'!S27+'Kwh Consumption'!T27)</f>
        <v>4135.7299999985844</v>
      </c>
      <c r="K26" s="1">
        <f>'Kwh Consumption'!U27</f>
        <v>189.99999999999773</v>
      </c>
      <c r="L26" s="31">
        <f t="shared" si="0"/>
        <v>-12477.329999998816</v>
      </c>
    </row>
    <row r="27" spans="1:12" x14ac:dyDescent="0.25">
      <c r="A27" s="14">
        <f>'Kwh Reading'!A28</f>
        <v>44798</v>
      </c>
      <c r="B27" s="80">
        <f>TOTAL!E26</f>
        <v>0</v>
      </c>
      <c r="C27" s="1">
        <f>'Kwh Consumption'!C28</f>
        <v>480.00000000001819</v>
      </c>
      <c r="D27" s="1">
        <f>'Kwh Consumption'!D28</f>
        <v>2600.0000000001578</v>
      </c>
      <c r="E27" s="1">
        <f>'Kwh Consumption'!E28</f>
        <v>269.99999999998181</v>
      </c>
      <c r="F27" s="1">
        <f>('Kwh Consumption'!F28+'Kwh Consumption'!G28+'Kwh Consumption'!H28)</f>
        <v>1110.0000000000136</v>
      </c>
      <c r="G27" s="16">
        <f>('Kwh Consumption'!I28+'Kwh Consumption'!J28)</f>
        <v>140.00000000001478</v>
      </c>
      <c r="H27" s="1">
        <f>('Kwh Consumption'!K28+'Kwh Consumption'!L28)</f>
        <v>1229.9999999999081</v>
      </c>
      <c r="I27" s="1">
        <f>('Kwh Consumption'!M28+'Kwh Consumption'!N28+'Kwh Consumption'!O28+'Kwh Consumption'!P28+'Kwh Consumption'!Q28+'Kwh Consumption'!R28)</f>
        <v>1871.4999999999955</v>
      </c>
      <c r="J27" s="1">
        <f>('Kwh Consumption'!S28+'Kwh Consumption'!T28)</f>
        <v>4251.7599999997765</v>
      </c>
      <c r="K27" s="1">
        <f>'Kwh Consumption'!U28</f>
        <v>299.99999999998295</v>
      </c>
      <c r="L27" s="31">
        <f t="shared" si="0"/>
        <v>-12253.259999999849</v>
      </c>
    </row>
    <row r="28" spans="1:12" x14ac:dyDescent="0.25">
      <c r="A28" s="14">
        <f>'Kwh Reading'!A29</f>
        <v>44799</v>
      </c>
      <c r="B28" s="80">
        <f>TOTAL!E27</f>
        <v>0</v>
      </c>
      <c r="C28" s="1">
        <f>'Kwh Consumption'!C29</f>
        <v>340.00000000003183</v>
      </c>
      <c r="D28" s="1">
        <f>'Kwh Consumption'!D29</f>
        <v>2499.9999999999468</v>
      </c>
      <c r="E28" s="1">
        <f>'Kwh Consumption'!E29</f>
        <v>280.00000000002956</v>
      </c>
      <c r="F28" s="1">
        <f>('Kwh Consumption'!F29+'Kwh Consumption'!G29+'Kwh Consumption'!H29)</f>
        <v>990.00000000000909</v>
      </c>
      <c r="G28" s="16">
        <f>('Kwh Consumption'!I29+'Kwh Consumption'!J29)</f>
        <v>159.99999999999659</v>
      </c>
      <c r="H28" s="1">
        <f>('Kwh Consumption'!K29+'Kwh Consumption'!L29)</f>
        <v>1010.0000000001135</v>
      </c>
      <c r="I28" s="1">
        <f>('Kwh Consumption'!M29+'Kwh Consumption'!N29+'Kwh Consumption'!O29+'Kwh Consumption'!P29+'Kwh Consumption'!Q29+'Kwh Consumption'!R29)</f>
        <v>1571.0999999999274</v>
      </c>
      <c r="J28" s="1">
        <f>('Kwh Consumption'!S29+'Kwh Consumption'!T29)</f>
        <v>3113.6399999996647</v>
      </c>
      <c r="K28" s="1">
        <f>'Kwh Consumption'!U29</f>
        <v>409.99999999999659</v>
      </c>
      <c r="L28" s="31">
        <f t="shared" si="0"/>
        <v>-10374.739999999716</v>
      </c>
    </row>
    <row r="29" spans="1:12" x14ac:dyDescent="0.25">
      <c r="A29" s="14">
        <f>'Kwh Reading'!A30</f>
        <v>44800</v>
      </c>
      <c r="B29" s="80">
        <f>TOTAL!E28</f>
        <v>0</v>
      </c>
      <c r="C29" s="1">
        <f>'Kwh Consumption'!C30</f>
        <v>500</v>
      </c>
      <c r="D29" s="1">
        <f>'Kwh Consumption'!D30</f>
        <v>2699.9999999999245</v>
      </c>
      <c r="E29" s="1">
        <f>'Kwh Consumption'!E30</f>
        <v>259.99999999999091</v>
      </c>
      <c r="F29" s="1">
        <f>('Kwh Consumption'!F30+'Kwh Consumption'!G30+'Kwh Consumption'!H30)</f>
        <v>1069.9999999999932</v>
      </c>
      <c r="G29" s="16">
        <f>('Kwh Consumption'!I30+'Kwh Consumption'!J30)</f>
        <v>150.00000000000568</v>
      </c>
      <c r="H29" s="1">
        <f>('Kwh Consumption'!K30+'Kwh Consumption'!L30)</f>
        <v>1129.9999999999191</v>
      </c>
      <c r="I29" s="1">
        <f>('Kwh Consumption'!M30+'Kwh Consumption'!N30+'Kwh Consumption'!O30+'Kwh Consumption'!P30+'Kwh Consumption'!Q30+'Kwh Consumption'!R30)</f>
        <v>1531.2999999998842</v>
      </c>
      <c r="J29" s="1">
        <f>('Kwh Consumption'!S30+'Kwh Consumption'!T30)</f>
        <v>3767.5300000011921</v>
      </c>
      <c r="K29" s="1">
        <f>'Kwh Consumption'!U30</f>
        <v>320.0000000000216</v>
      </c>
      <c r="L29" s="31">
        <f t="shared" si="0"/>
        <v>-11428.830000000931</v>
      </c>
    </row>
    <row r="30" spans="1:12" x14ac:dyDescent="0.25">
      <c r="A30" s="14">
        <f>'Kwh Reading'!A31</f>
        <v>44801</v>
      </c>
      <c r="B30" s="80">
        <f>TOTAL!E29</f>
        <v>0</v>
      </c>
      <c r="C30" s="1">
        <f>'Kwh Consumption'!C31</f>
        <v>479.9999999999045</v>
      </c>
      <c r="D30" s="1">
        <f>'Kwh Consumption'!D31</f>
        <v>2500.0000000003906</v>
      </c>
      <c r="E30" s="1">
        <f>'Kwh Consumption'!E31</f>
        <v>259.99999999999091</v>
      </c>
      <c r="F30" s="1">
        <f>('Kwh Consumption'!F31+'Kwh Consumption'!G31+'Kwh Consumption'!H31)</f>
        <v>939.99999999999773</v>
      </c>
      <c r="G30" s="16">
        <f>('Kwh Consumption'!I31+'Kwh Consumption'!J31)</f>
        <v>149.99999999997726</v>
      </c>
      <c r="H30" s="1">
        <f>('Kwh Consumption'!K31+'Kwh Consumption'!L31)</f>
        <v>1030.0000000000953</v>
      </c>
      <c r="I30" s="1">
        <f>('Kwh Consumption'!M31+'Kwh Consumption'!N31+'Kwh Consumption'!O31+'Kwh Consumption'!P31+'Kwh Consumption'!Q31+'Kwh Consumption'!R31)</f>
        <v>1411.1000000001013</v>
      </c>
      <c r="J30" s="1">
        <f>('Kwh Consumption'!S31+'Kwh Consumption'!T31)</f>
        <v>3682.8199999993667</v>
      </c>
      <c r="K30" s="1">
        <f>'Kwh Consumption'!U31</f>
        <v>169.99999999998749</v>
      </c>
      <c r="L30" s="31">
        <f t="shared" si="0"/>
        <v>-10623.919999999811</v>
      </c>
    </row>
    <row r="31" spans="1:12" x14ac:dyDescent="0.25">
      <c r="A31" s="14">
        <f>'Kwh Reading'!A32</f>
        <v>44802</v>
      </c>
      <c r="B31" s="80">
        <f>TOTAL!E30</f>
        <v>0</v>
      </c>
      <c r="C31" s="1">
        <f>'Kwh Consumption'!C32</f>
        <v>430.00000000006366</v>
      </c>
      <c r="D31" s="1">
        <f>'Kwh Consumption'!D32</f>
        <v>2499.9999999999468</v>
      </c>
      <c r="E31" s="1">
        <f>'Kwh Consumption'!E32</f>
        <v>259.99999999999091</v>
      </c>
      <c r="F31" s="1">
        <f>('Kwh Consumption'!F32+'Kwh Consumption'!G32+'Kwh Consumption'!H32)</f>
        <v>1039.9999999999636</v>
      </c>
      <c r="G31" s="16">
        <f>('Kwh Consumption'!I32+'Kwh Consumption'!J32)</f>
        <v>180.00000000000682</v>
      </c>
      <c r="H31" s="1">
        <f>('Kwh Consumption'!K32+'Kwh Consumption'!L32)</f>
        <v>1039.9999999999209</v>
      </c>
      <c r="I31" s="1">
        <f>('Kwh Consumption'!M32+'Kwh Consumption'!N32+'Kwh Consumption'!O32+'Kwh Consumption'!P32+'Kwh Consumption'!Q32+'Kwh Consumption'!R32)</f>
        <v>1481.1000000000429</v>
      </c>
      <c r="J31" s="1">
        <f>('Kwh Consumption'!S32+'Kwh Consumption'!T32)</f>
        <v>84324738.570000008</v>
      </c>
      <c r="K31" s="1">
        <f>'Kwh Consumption'!U32</f>
        <v>159.99999999999659</v>
      </c>
      <c r="L31" s="31">
        <f t="shared" si="0"/>
        <v>-84331829.670000002</v>
      </c>
    </row>
    <row r="32" spans="1:12" x14ac:dyDescent="0.25">
      <c r="A32" s="14">
        <f>'Kwh Reading'!A33</f>
        <v>44803</v>
      </c>
      <c r="B32" s="80">
        <f>TOTAL!E31</f>
        <v>0</v>
      </c>
      <c r="C32" s="1">
        <f>'Kwh Consumption'!C33</f>
        <v>-626730</v>
      </c>
      <c r="D32" s="1">
        <f>'Kwh Consumption'!D33</f>
        <v>-3494600</v>
      </c>
      <c r="E32" s="1">
        <f>'Kwh Consumption'!E33</f>
        <v>-335590</v>
      </c>
      <c r="F32" s="1">
        <f>('Kwh Consumption'!F33+'Kwh Consumption'!G33+'Kwh Consumption'!H33)</f>
        <v>-1329390</v>
      </c>
      <c r="G32" s="16">
        <f>('Kwh Consumption'!I33+'Kwh Consumption'!J33)</f>
        <v>-363810</v>
      </c>
      <c r="H32" s="1">
        <f>('Kwh Consumption'!K33+'Kwh Consumption'!L33)</f>
        <v>-1838830</v>
      </c>
      <c r="I32" s="1">
        <f>('Kwh Consumption'!M33+'Kwh Consumption'!N33+'Kwh Consumption'!O33+'Kwh Consumption'!P33+'Kwh Consumption'!Q33+'Kwh Consumption'!R33)</f>
        <v>-3462611</v>
      </c>
      <c r="J32" s="1">
        <f>('Kwh Consumption'!S33+'Kwh Consumption'!T33)</f>
        <v>-102042327.48</v>
      </c>
      <c r="K32" s="1">
        <f>'Kwh Consumption'!U33</f>
        <v>-242040</v>
      </c>
      <c r="L32" s="31">
        <f t="shared" si="0"/>
        <v>113735928.48</v>
      </c>
    </row>
    <row r="33" spans="1:13" x14ac:dyDescent="0.25">
      <c r="A33" s="14">
        <f>'Kwh Reading'!A34</f>
        <v>44804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236020.00000000067</v>
      </c>
      <c r="C34" s="72">
        <f>SUM(C3:C33)</f>
        <v>-613669.99999999988</v>
      </c>
      <c r="D34" s="72">
        <f t="shared" ref="D34:L34" si="1">SUM(D3:D33)</f>
        <v>-3418400</v>
      </c>
      <c r="E34" s="72">
        <f t="shared" si="1"/>
        <v>-328180.00000000006</v>
      </c>
      <c r="F34" s="72">
        <f t="shared" si="1"/>
        <v>-1299050</v>
      </c>
      <c r="G34" s="72">
        <f t="shared" si="1"/>
        <v>-359600</v>
      </c>
      <c r="H34" s="72">
        <f t="shared" si="1"/>
        <v>-1800530</v>
      </c>
      <c r="I34" s="72">
        <f t="shared" si="1"/>
        <v>-4399878</v>
      </c>
      <c r="J34" s="72">
        <f t="shared" si="1"/>
        <v>-17601347.649999991</v>
      </c>
      <c r="K34" s="72">
        <f t="shared" si="1"/>
        <v>-236090</v>
      </c>
      <c r="L34" s="72">
        <f t="shared" si="1"/>
        <v>30292765.650000006</v>
      </c>
      <c r="M34" s="81">
        <f>C34+D34+E34+F34+G34+H34+I34+J34+K34+L34</f>
        <v>236020.0000000149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44774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44775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44776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44777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44778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44779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44780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44781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44782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44783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44784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44785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44786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44787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44788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44789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44790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44791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44792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44793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44794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44795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44796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44797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44798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44799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44800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44801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44802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44803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44804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59" t="s">
        <v>51</v>
      </c>
      <c r="B34" s="159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T38" sqref="T3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44774</v>
      </c>
      <c r="B3" s="32">
        <v>7190</v>
      </c>
      <c r="C3" s="32">
        <v>9613</v>
      </c>
      <c r="D3" s="53">
        <v>276842</v>
      </c>
      <c r="E3" s="53">
        <v>274770</v>
      </c>
      <c r="F3" s="53">
        <v>67225</v>
      </c>
      <c r="G3" s="53">
        <v>121037</v>
      </c>
      <c r="H3" s="54">
        <v>62098</v>
      </c>
      <c r="I3" s="32">
        <v>77074</v>
      </c>
      <c r="J3" s="53">
        <v>23163</v>
      </c>
      <c r="K3" s="53">
        <v>1024</v>
      </c>
      <c r="L3" s="53">
        <v>19072</v>
      </c>
      <c r="M3" s="53">
        <v>27877</v>
      </c>
      <c r="N3" s="53">
        <v>8752</v>
      </c>
      <c r="O3" s="53">
        <v>2247</v>
      </c>
      <c r="P3" s="53">
        <v>31606</v>
      </c>
      <c r="Q3" s="53">
        <v>1908</v>
      </c>
      <c r="R3" s="53">
        <v>433</v>
      </c>
    </row>
    <row r="4" spans="1:21" x14ac:dyDescent="0.25">
      <c r="A4" s="52">
        <v>44775</v>
      </c>
      <c r="B4" s="32">
        <v>7308</v>
      </c>
      <c r="C4" s="32">
        <v>9784</v>
      </c>
      <c r="D4" s="32">
        <v>276922</v>
      </c>
      <c r="E4" s="32">
        <v>274853</v>
      </c>
      <c r="F4" s="32">
        <v>67225</v>
      </c>
      <c r="G4" s="32">
        <v>121065</v>
      </c>
      <c r="H4" s="32">
        <v>62098</v>
      </c>
      <c r="I4" s="32">
        <v>77104</v>
      </c>
      <c r="J4" s="54">
        <v>23169</v>
      </c>
      <c r="K4" s="53">
        <v>1024</v>
      </c>
      <c r="L4" s="102">
        <v>19084</v>
      </c>
      <c r="M4" s="102">
        <v>27882</v>
      </c>
      <c r="N4" s="102">
        <v>8758</v>
      </c>
      <c r="O4" s="102">
        <v>2249</v>
      </c>
      <c r="P4" s="102">
        <v>31615</v>
      </c>
      <c r="Q4" s="102">
        <v>1908</v>
      </c>
      <c r="R4" s="102">
        <v>437</v>
      </c>
    </row>
    <row r="5" spans="1:21" x14ac:dyDescent="0.25">
      <c r="A5" s="52">
        <v>44776</v>
      </c>
      <c r="B5" s="32">
        <v>7450</v>
      </c>
      <c r="C5" s="32">
        <v>9988</v>
      </c>
      <c r="D5" s="32">
        <v>277072</v>
      </c>
      <c r="E5" s="32">
        <v>274926</v>
      </c>
      <c r="F5" s="32">
        <v>67226</v>
      </c>
      <c r="G5" s="32">
        <v>121079</v>
      </c>
      <c r="H5" s="32">
        <v>62098</v>
      </c>
      <c r="I5" s="32">
        <v>77119</v>
      </c>
      <c r="J5" s="53">
        <v>23174</v>
      </c>
      <c r="K5" s="53">
        <v>1024</v>
      </c>
      <c r="L5" s="102">
        <v>19078</v>
      </c>
      <c r="M5" s="102">
        <v>27888</v>
      </c>
      <c r="N5" s="102">
        <v>8759</v>
      </c>
      <c r="O5" s="102">
        <v>2251</v>
      </c>
      <c r="P5" s="102">
        <v>31615</v>
      </c>
      <c r="Q5" s="102">
        <v>1908</v>
      </c>
      <c r="R5" s="102">
        <v>440</v>
      </c>
    </row>
    <row r="6" spans="1:21" x14ac:dyDescent="0.25">
      <c r="A6" s="52">
        <v>44777</v>
      </c>
      <c r="B6" s="32">
        <v>7572</v>
      </c>
      <c r="C6" s="32">
        <v>10163</v>
      </c>
      <c r="D6" s="32">
        <v>277190</v>
      </c>
      <c r="E6" s="32">
        <v>275001</v>
      </c>
      <c r="F6" s="32">
        <v>67227</v>
      </c>
      <c r="G6" s="32">
        <v>121099</v>
      </c>
      <c r="H6" s="32">
        <v>62098</v>
      </c>
      <c r="I6" s="32">
        <v>77147</v>
      </c>
      <c r="J6" s="54">
        <v>23180</v>
      </c>
      <c r="K6" s="53">
        <v>1024</v>
      </c>
      <c r="L6" s="102">
        <v>19081</v>
      </c>
      <c r="M6" s="102">
        <v>27893</v>
      </c>
      <c r="N6" s="102">
        <v>8764</v>
      </c>
      <c r="O6" s="102">
        <v>2252</v>
      </c>
      <c r="P6" s="102">
        <v>31623</v>
      </c>
      <c r="Q6" s="102">
        <v>1908</v>
      </c>
      <c r="R6" s="102">
        <v>445</v>
      </c>
    </row>
    <row r="7" spans="1:21" x14ac:dyDescent="0.25">
      <c r="A7" s="52">
        <v>44778</v>
      </c>
      <c r="B7" s="54">
        <v>7692</v>
      </c>
      <c r="C7" s="32">
        <v>10335</v>
      </c>
      <c r="D7" s="102">
        <v>277289</v>
      </c>
      <c r="E7" s="102">
        <v>275075</v>
      </c>
      <c r="F7" s="32">
        <v>67227</v>
      </c>
      <c r="G7" s="102">
        <v>121120</v>
      </c>
      <c r="H7" s="102">
        <v>62098</v>
      </c>
      <c r="I7" s="102">
        <v>77183</v>
      </c>
      <c r="J7" s="102">
        <v>23186</v>
      </c>
      <c r="K7" s="53">
        <v>1024</v>
      </c>
      <c r="L7" s="102">
        <v>19083</v>
      </c>
      <c r="M7" s="102">
        <v>27887</v>
      </c>
      <c r="N7" s="102">
        <v>8770</v>
      </c>
      <c r="O7" s="102">
        <v>2254</v>
      </c>
      <c r="P7" s="102">
        <v>31636</v>
      </c>
      <c r="Q7" s="102">
        <v>1908</v>
      </c>
      <c r="R7" s="102">
        <v>449</v>
      </c>
    </row>
    <row r="8" spans="1:21" x14ac:dyDescent="0.25">
      <c r="A8" s="52">
        <v>44779</v>
      </c>
      <c r="B8" s="54">
        <v>7813</v>
      </c>
      <c r="C8" s="32">
        <v>10508</v>
      </c>
      <c r="D8" s="102">
        <v>277425</v>
      </c>
      <c r="E8" s="102">
        <v>275148</v>
      </c>
      <c r="F8" s="102">
        <v>67228</v>
      </c>
      <c r="G8" s="102">
        <v>121136</v>
      </c>
      <c r="H8" s="102">
        <v>62098</v>
      </c>
      <c r="I8" s="102">
        <v>77204</v>
      </c>
      <c r="J8" s="102">
        <v>23191</v>
      </c>
      <c r="K8" s="53">
        <v>1024</v>
      </c>
      <c r="L8" s="102">
        <v>19086</v>
      </c>
      <c r="M8" s="102">
        <v>27901</v>
      </c>
      <c r="N8" s="102">
        <v>8773</v>
      </c>
      <c r="O8" s="102">
        <v>2256</v>
      </c>
      <c r="P8" s="102">
        <v>31642</v>
      </c>
      <c r="Q8" s="102">
        <v>1908</v>
      </c>
      <c r="R8" s="102">
        <v>450</v>
      </c>
    </row>
    <row r="9" spans="1:21" x14ac:dyDescent="0.25">
      <c r="A9" s="52">
        <v>44780</v>
      </c>
      <c r="B9" s="54">
        <v>7955</v>
      </c>
      <c r="C9" s="32">
        <v>10713</v>
      </c>
      <c r="D9" s="102">
        <v>277614</v>
      </c>
      <c r="E9" s="102">
        <v>275213</v>
      </c>
      <c r="F9" s="102">
        <v>67228</v>
      </c>
      <c r="G9" s="102">
        <v>121157</v>
      </c>
      <c r="H9" s="102">
        <v>62098</v>
      </c>
      <c r="I9" s="102">
        <v>77218</v>
      </c>
      <c r="J9" s="102">
        <v>23197</v>
      </c>
      <c r="K9" s="53">
        <v>1024</v>
      </c>
      <c r="L9" s="102">
        <v>19089</v>
      </c>
      <c r="M9" s="102">
        <v>27907</v>
      </c>
      <c r="N9" s="102">
        <v>8774</v>
      </c>
      <c r="O9" s="102">
        <v>2258</v>
      </c>
      <c r="P9" s="102">
        <v>31642</v>
      </c>
      <c r="Q9" s="102">
        <v>1908</v>
      </c>
      <c r="R9" s="102">
        <v>455</v>
      </c>
    </row>
    <row r="10" spans="1:21" x14ac:dyDescent="0.25">
      <c r="A10" s="52">
        <v>44781</v>
      </c>
      <c r="B10" s="32">
        <v>8100</v>
      </c>
      <c r="C10" s="54">
        <v>10922</v>
      </c>
      <c r="D10" s="102">
        <v>277795</v>
      </c>
      <c r="E10" s="102">
        <v>275292</v>
      </c>
      <c r="F10" s="102">
        <v>67229</v>
      </c>
      <c r="G10" s="102">
        <v>121180</v>
      </c>
      <c r="H10" s="102">
        <v>62098</v>
      </c>
      <c r="I10" s="102">
        <v>77244</v>
      </c>
      <c r="J10" s="102">
        <v>23203</v>
      </c>
      <c r="K10" s="53">
        <v>1024</v>
      </c>
      <c r="L10" s="102">
        <v>19092</v>
      </c>
      <c r="M10" s="102">
        <v>27912</v>
      </c>
      <c r="N10" s="102">
        <v>8776</v>
      </c>
      <c r="O10" s="102">
        <v>2260</v>
      </c>
      <c r="P10" s="102">
        <v>31648</v>
      </c>
      <c r="Q10" s="102">
        <v>1918</v>
      </c>
      <c r="R10" s="102">
        <v>459</v>
      </c>
    </row>
    <row r="11" spans="1:21" x14ac:dyDescent="0.25">
      <c r="A11" s="52">
        <v>44782</v>
      </c>
      <c r="B11" s="54">
        <v>8249</v>
      </c>
      <c r="C11" s="32">
        <v>11138</v>
      </c>
      <c r="D11" s="102">
        <v>277957</v>
      </c>
      <c r="E11" s="102">
        <v>275368</v>
      </c>
      <c r="F11" s="102">
        <v>67229</v>
      </c>
      <c r="G11" s="102">
        <v>121202</v>
      </c>
      <c r="H11" s="102">
        <v>62098</v>
      </c>
      <c r="I11" s="102">
        <v>77290</v>
      </c>
      <c r="J11" s="102">
        <v>23208</v>
      </c>
      <c r="K11" s="102">
        <v>1024</v>
      </c>
      <c r="L11" s="102">
        <v>19094</v>
      </c>
      <c r="M11" s="102">
        <v>27916</v>
      </c>
      <c r="N11" s="102">
        <v>8780</v>
      </c>
      <c r="O11" s="102">
        <v>2262</v>
      </c>
      <c r="P11" s="102">
        <v>31671</v>
      </c>
      <c r="Q11" s="102">
        <v>1923</v>
      </c>
      <c r="R11" s="102">
        <v>464</v>
      </c>
    </row>
    <row r="12" spans="1:21" x14ac:dyDescent="0.25">
      <c r="A12" s="52">
        <v>44783</v>
      </c>
      <c r="B12" s="32">
        <v>8380</v>
      </c>
      <c r="C12" s="54">
        <v>11324</v>
      </c>
      <c r="D12" s="102">
        <v>278093</v>
      </c>
      <c r="E12" s="102">
        <v>275440</v>
      </c>
      <c r="F12" s="102">
        <v>67231</v>
      </c>
      <c r="G12" s="102">
        <v>121223</v>
      </c>
      <c r="H12" s="102">
        <v>62098</v>
      </c>
      <c r="I12" s="102">
        <v>77323</v>
      </c>
      <c r="J12" s="102">
        <v>23214</v>
      </c>
      <c r="K12" s="102">
        <v>1024</v>
      </c>
      <c r="L12" s="102">
        <v>19097</v>
      </c>
      <c r="M12" s="102">
        <v>27921</v>
      </c>
      <c r="N12" s="102">
        <v>8781</v>
      </c>
      <c r="O12" s="102">
        <v>2263</v>
      </c>
      <c r="P12" s="102">
        <v>31687</v>
      </c>
      <c r="Q12" s="102">
        <v>1925</v>
      </c>
      <c r="R12" s="102">
        <v>468</v>
      </c>
    </row>
    <row r="13" spans="1:21" x14ac:dyDescent="0.25">
      <c r="A13" s="52">
        <v>44784</v>
      </c>
      <c r="B13" s="54">
        <v>8500</v>
      </c>
      <c r="C13" s="32">
        <v>11488</v>
      </c>
      <c r="D13" s="102">
        <v>278221</v>
      </c>
      <c r="E13" s="102">
        <v>275512</v>
      </c>
      <c r="F13" s="102">
        <v>67231</v>
      </c>
      <c r="G13" s="102">
        <v>121245</v>
      </c>
      <c r="H13" s="102">
        <v>62098</v>
      </c>
      <c r="I13" s="102">
        <v>77343</v>
      </c>
      <c r="J13" s="102">
        <v>23220</v>
      </c>
      <c r="K13" s="102">
        <v>1024</v>
      </c>
      <c r="L13" s="102">
        <v>19099</v>
      </c>
      <c r="M13" s="102">
        <v>27928</v>
      </c>
      <c r="N13" s="102">
        <v>8783</v>
      </c>
      <c r="O13" s="102">
        <v>2264</v>
      </c>
      <c r="P13" s="129">
        <v>31687</v>
      </c>
      <c r="Q13" s="102">
        <v>1925</v>
      </c>
      <c r="R13" s="102">
        <v>471</v>
      </c>
    </row>
    <row r="14" spans="1:21" x14ac:dyDescent="0.25">
      <c r="A14" s="52">
        <v>44785</v>
      </c>
      <c r="B14" s="32">
        <v>8670</v>
      </c>
      <c r="C14" s="32">
        <v>11720</v>
      </c>
      <c r="D14" s="102">
        <v>278418</v>
      </c>
      <c r="E14" s="102">
        <v>275596</v>
      </c>
      <c r="F14" s="102">
        <v>67232</v>
      </c>
      <c r="G14" s="102">
        <v>121275</v>
      </c>
      <c r="H14" s="102">
        <v>62098</v>
      </c>
      <c r="I14" s="102">
        <v>77382</v>
      </c>
      <c r="J14" s="102">
        <v>23226</v>
      </c>
      <c r="K14" s="102">
        <v>1024</v>
      </c>
      <c r="L14" s="102">
        <v>19102</v>
      </c>
      <c r="M14" s="102">
        <v>27932</v>
      </c>
      <c r="N14" s="102">
        <v>8785</v>
      </c>
      <c r="O14" s="102">
        <v>2266</v>
      </c>
      <c r="P14" s="102">
        <v>31703</v>
      </c>
      <c r="Q14" s="102">
        <v>1925</v>
      </c>
      <c r="R14" s="102">
        <v>476</v>
      </c>
    </row>
    <row r="15" spans="1:21" x14ac:dyDescent="0.25">
      <c r="A15" s="52">
        <v>44786</v>
      </c>
      <c r="B15" s="32">
        <v>8782</v>
      </c>
      <c r="C15" s="32">
        <v>11874</v>
      </c>
      <c r="D15" s="102">
        <v>278542</v>
      </c>
      <c r="E15" s="102">
        <v>275668</v>
      </c>
      <c r="F15" s="102">
        <v>67233</v>
      </c>
      <c r="G15" s="102">
        <v>121290</v>
      </c>
      <c r="H15" s="102">
        <v>62098</v>
      </c>
      <c r="I15" s="102">
        <v>77398</v>
      </c>
      <c r="J15" s="102">
        <v>23231</v>
      </c>
      <c r="K15" s="102">
        <v>1024</v>
      </c>
      <c r="L15" s="102">
        <v>19105</v>
      </c>
      <c r="M15" s="102">
        <v>27933</v>
      </c>
      <c r="N15" s="102">
        <v>8786</v>
      </c>
      <c r="O15" s="102">
        <v>2268</v>
      </c>
      <c r="P15" s="102">
        <v>31703</v>
      </c>
      <c r="Q15" s="102">
        <v>1925</v>
      </c>
      <c r="R15" s="102">
        <v>477</v>
      </c>
      <c r="T15" s="100"/>
      <c r="U15" s="100"/>
    </row>
    <row r="16" spans="1:21" x14ac:dyDescent="0.25">
      <c r="A16" s="52">
        <v>44787</v>
      </c>
      <c r="B16" s="32">
        <v>8914</v>
      </c>
      <c r="C16" s="54">
        <v>12052</v>
      </c>
      <c r="D16" s="102">
        <v>278683</v>
      </c>
      <c r="E16" s="102">
        <v>275746</v>
      </c>
      <c r="F16" s="102">
        <v>67233</v>
      </c>
      <c r="G16" s="102">
        <v>121312</v>
      </c>
      <c r="H16" s="102">
        <v>62098</v>
      </c>
      <c r="I16" s="102">
        <v>77418</v>
      </c>
      <c r="J16" s="102">
        <v>23237</v>
      </c>
      <c r="K16" s="102">
        <v>1024</v>
      </c>
      <c r="L16" s="102">
        <v>19108</v>
      </c>
      <c r="M16" s="102">
        <v>27942</v>
      </c>
      <c r="N16" s="102">
        <v>8789</v>
      </c>
      <c r="O16" s="102">
        <v>2269</v>
      </c>
      <c r="P16" s="102">
        <v>31703</v>
      </c>
      <c r="Q16" s="102">
        <v>1927</v>
      </c>
      <c r="R16" s="102">
        <v>480</v>
      </c>
    </row>
    <row r="17" spans="1:22" x14ac:dyDescent="0.25">
      <c r="A17" s="52">
        <v>44788</v>
      </c>
      <c r="B17" s="32">
        <v>9049</v>
      </c>
      <c r="C17" s="32">
        <v>12232</v>
      </c>
      <c r="D17" s="102">
        <v>278813</v>
      </c>
      <c r="E17" s="102">
        <v>275818</v>
      </c>
      <c r="F17" s="102">
        <v>67234</v>
      </c>
      <c r="G17" s="102">
        <v>121338</v>
      </c>
      <c r="H17" s="102">
        <v>62098</v>
      </c>
      <c r="I17" s="102">
        <v>77459</v>
      </c>
      <c r="J17" s="102">
        <v>23243</v>
      </c>
      <c r="K17" s="102">
        <v>1024</v>
      </c>
      <c r="L17" s="102">
        <v>19111</v>
      </c>
      <c r="M17" s="102">
        <v>27948</v>
      </c>
      <c r="N17" s="102">
        <v>8792</v>
      </c>
      <c r="O17" s="102">
        <v>2271</v>
      </c>
      <c r="P17" s="102">
        <v>31722</v>
      </c>
      <c r="Q17" s="102">
        <v>1928</v>
      </c>
      <c r="R17" s="102">
        <v>486</v>
      </c>
    </row>
    <row r="18" spans="1:22" x14ac:dyDescent="0.25">
      <c r="A18" s="52">
        <v>44789</v>
      </c>
      <c r="B18" s="32">
        <v>9219</v>
      </c>
      <c r="C18" s="54">
        <v>12466</v>
      </c>
      <c r="D18" s="102">
        <v>279044</v>
      </c>
      <c r="E18" s="102">
        <v>275849</v>
      </c>
      <c r="F18" s="102">
        <v>67235</v>
      </c>
      <c r="G18" s="102">
        <v>121362</v>
      </c>
      <c r="H18" s="102">
        <v>62098</v>
      </c>
      <c r="I18" s="102">
        <v>77480</v>
      </c>
      <c r="J18" s="102">
        <v>23249</v>
      </c>
      <c r="K18" s="102">
        <v>1024</v>
      </c>
      <c r="L18" s="102">
        <v>19112</v>
      </c>
      <c r="M18" s="102">
        <v>27954</v>
      </c>
      <c r="N18" s="102">
        <v>8795</v>
      </c>
      <c r="O18" s="102">
        <v>2273</v>
      </c>
      <c r="P18" s="102">
        <v>31730</v>
      </c>
      <c r="Q18" s="102">
        <v>1931</v>
      </c>
      <c r="R18" s="102">
        <v>488</v>
      </c>
      <c r="U18" s="100"/>
    </row>
    <row r="19" spans="1:22" x14ac:dyDescent="0.25">
      <c r="A19" s="52">
        <v>44790</v>
      </c>
      <c r="B19" s="32">
        <v>9370</v>
      </c>
      <c r="C19" s="32">
        <v>12673</v>
      </c>
      <c r="D19" s="102">
        <v>279213</v>
      </c>
      <c r="E19" s="102">
        <v>275865</v>
      </c>
      <c r="F19" s="102">
        <v>67236</v>
      </c>
      <c r="G19" s="102">
        <v>121387</v>
      </c>
      <c r="H19" s="102">
        <v>62098</v>
      </c>
      <c r="I19" s="102">
        <v>77534</v>
      </c>
      <c r="J19" s="102">
        <v>23255</v>
      </c>
      <c r="K19" s="102">
        <v>1024</v>
      </c>
      <c r="L19" s="102">
        <v>19115</v>
      </c>
      <c r="M19" s="102">
        <v>27959</v>
      </c>
      <c r="N19" s="102">
        <v>8800</v>
      </c>
      <c r="O19" s="102">
        <v>2273</v>
      </c>
      <c r="P19" s="102">
        <v>31751</v>
      </c>
      <c r="Q19" s="102">
        <v>1933</v>
      </c>
      <c r="R19" s="102">
        <v>492</v>
      </c>
    </row>
    <row r="20" spans="1:22" x14ac:dyDescent="0.25">
      <c r="A20" s="52">
        <v>44791</v>
      </c>
      <c r="B20" s="32">
        <v>9494</v>
      </c>
      <c r="C20" s="54">
        <v>12841</v>
      </c>
      <c r="D20" s="103">
        <v>279328</v>
      </c>
      <c r="E20" s="102">
        <v>276045</v>
      </c>
      <c r="F20" s="102">
        <v>67237</v>
      </c>
      <c r="G20" s="102">
        <v>121415</v>
      </c>
      <c r="H20" s="102">
        <v>62098</v>
      </c>
      <c r="I20" s="102">
        <v>77549</v>
      </c>
      <c r="J20" s="102">
        <v>23269</v>
      </c>
      <c r="K20" s="102">
        <v>1024</v>
      </c>
      <c r="L20" s="102">
        <v>19118</v>
      </c>
      <c r="M20" s="102">
        <v>27964</v>
      </c>
      <c r="N20" s="102">
        <v>8803</v>
      </c>
      <c r="O20" s="102">
        <v>2274</v>
      </c>
      <c r="P20" s="102">
        <v>31751</v>
      </c>
      <c r="Q20" s="102">
        <v>1936</v>
      </c>
      <c r="R20" s="102">
        <v>497</v>
      </c>
    </row>
    <row r="21" spans="1:22" x14ac:dyDescent="0.25">
      <c r="A21" s="52">
        <v>44792</v>
      </c>
      <c r="B21" s="32">
        <v>9689</v>
      </c>
      <c r="C21" s="32">
        <v>13109</v>
      </c>
      <c r="D21" s="102">
        <v>279571</v>
      </c>
      <c r="E21" s="102">
        <v>276127</v>
      </c>
      <c r="F21" s="102">
        <v>276127</v>
      </c>
      <c r="G21" s="102">
        <v>121456</v>
      </c>
      <c r="H21" s="102">
        <v>62098</v>
      </c>
      <c r="I21" s="102">
        <v>77594</v>
      </c>
      <c r="J21" s="102">
        <v>23266</v>
      </c>
      <c r="K21" s="102">
        <v>1024</v>
      </c>
      <c r="L21" s="102">
        <v>19120</v>
      </c>
      <c r="M21" s="102">
        <v>27968</v>
      </c>
      <c r="N21" s="102">
        <v>8808</v>
      </c>
      <c r="O21" s="102">
        <v>2275</v>
      </c>
      <c r="P21" s="102">
        <v>31764</v>
      </c>
      <c r="Q21" s="102">
        <v>1939</v>
      </c>
      <c r="R21" s="102">
        <v>500</v>
      </c>
    </row>
    <row r="22" spans="1:22" x14ac:dyDescent="0.25">
      <c r="A22" s="52">
        <v>44793</v>
      </c>
      <c r="B22" s="32">
        <v>98100</v>
      </c>
      <c r="C22" s="54">
        <v>13275</v>
      </c>
      <c r="D22" s="102">
        <v>279686</v>
      </c>
      <c r="E22" s="102">
        <v>276198</v>
      </c>
      <c r="F22" s="102">
        <v>67238</v>
      </c>
      <c r="G22" s="102">
        <v>121484</v>
      </c>
      <c r="H22" s="102">
        <v>62098</v>
      </c>
      <c r="I22" s="102">
        <v>77616</v>
      </c>
      <c r="J22" s="102">
        <v>23272</v>
      </c>
      <c r="K22" s="102">
        <v>1024</v>
      </c>
      <c r="L22" s="102">
        <v>19123</v>
      </c>
      <c r="M22" s="102">
        <v>27972</v>
      </c>
      <c r="N22" s="102">
        <v>8808</v>
      </c>
      <c r="O22" s="102">
        <v>2276</v>
      </c>
      <c r="P22" s="102">
        <v>31768</v>
      </c>
      <c r="Q22" s="102">
        <v>1943</v>
      </c>
      <c r="R22" s="102">
        <v>501</v>
      </c>
    </row>
    <row r="23" spans="1:22" x14ac:dyDescent="0.25">
      <c r="A23" s="52">
        <v>44794</v>
      </c>
      <c r="B23" s="32">
        <v>9931</v>
      </c>
      <c r="C23" s="32">
        <v>13439</v>
      </c>
      <c r="D23" s="102">
        <v>279820</v>
      </c>
      <c r="E23" s="102">
        <v>276259</v>
      </c>
      <c r="F23" s="102">
        <v>67238</v>
      </c>
      <c r="G23" s="102">
        <v>121513</v>
      </c>
      <c r="H23" s="102">
        <v>62098</v>
      </c>
      <c r="I23" s="102">
        <v>77636</v>
      </c>
      <c r="J23" s="102">
        <v>23277</v>
      </c>
      <c r="K23" s="102">
        <v>1024</v>
      </c>
      <c r="L23" s="102">
        <v>19127</v>
      </c>
      <c r="M23" s="102">
        <v>27978</v>
      </c>
      <c r="N23" s="102">
        <v>8810</v>
      </c>
      <c r="O23" s="102">
        <v>2278</v>
      </c>
      <c r="P23" s="102">
        <v>31768</v>
      </c>
      <c r="Q23" s="102">
        <v>1950</v>
      </c>
      <c r="R23" s="102">
        <v>507</v>
      </c>
      <c r="S23" s="10" t="s">
        <v>125</v>
      </c>
    </row>
    <row r="24" spans="1:22" x14ac:dyDescent="0.25">
      <c r="A24" s="52">
        <v>44795</v>
      </c>
      <c r="B24" s="32">
        <v>10079</v>
      </c>
      <c r="C24" s="54">
        <v>13642</v>
      </c>
      <c r="D24" s="102">
        <v>279974</v>
      </c>
      <c r="E24" s="102">
        <v>276331</v>
      </c>
      <c r="F24" s="102">
        <v>67239</v>
      </c>
      <c r="G24" s="102">
        <v>121543</v>
      </c>
      <c r="H24" s="102">
        <v>62098</v>
      </c>
      <c r="I24" s="102">
        <v>77683</v>
      </c>
      <c r="J24" s="102">
        <v>23283</v>
      </c>
      <c r="K24" s="102">
        <v>1024</v>
      </c>
      <c r="L24" s="102">
        <v>19129</v>
      </c>
      <c r="M24" s="102">
        <v>27983</v>
      </c>
      <c r="N24" s="102">
        <v>8813</v>
      </c>
      <c r="O24" s="102">
        <v>2279</v>
      </c>
      <c r="P24" s="102">
        <v>31791</v>
      </c>
      <c r="Q24" s="102">
        <v>1951</v>
      </c>
      <c r="R24" s="102">
        <v>510</v>
      </c>
      <c r="S24" s="10" t="s">
        <v>127</v>
      </c>
    </row>
    <row r="25" spans="1:22" x14ac:dyDescent="0.25">
      <c r="A25" s="52">
        <v>44796</v>
      </c>
      <c r="B25" s="32">
        <v>10270</v>
      </c>
      <c r="C25" s="32">
        <v>13906</v>
      </c>
      <c r="D25" s="102">
        <v>280224</v>
      </c>
      <c r="E25" s="102">
        <v>276402</v>
      </c>
      <c r="F25" s="102">
        <v>67239</v>
      </c>
      <c r="G25" s="102">
        <v>121573</v>
      </c>
      <c r="H25" s="102">
        <v>62098</v>
      </c>
      <c r="I25" s="102">
        <v>77706</v>
      </c>
      <c r="J25" s="102">
        <v>23289</v>
      </c>
      <c r="K25" s="102">
        <v>1024</v>
      </c>
      <c r="L25" s="102">
        <v>19131</v>
      </c>
      <c r="M25" s="102">
        <v>27987</v>
      </c>
      <c r="N25" s="102">
        <v>8814</v>
      </c>
      <c r="O25" s="102">
        <v>2280</v>
      </c>
      <c r="P25" s="102">
        <v>31794</v>
      </c>
      <c r="Q25" s="102">
        <v>1952</v>
      </c>
      <c r="R25" s="102">
        <v>514</v>
      </c>
    </row>
    <row r="26" spans="1:22" x14ac:dyDescent="0.25">
      <c r="A26" s="52">
        <v>44797</v>
      </c>
      <c r="B26" s="32">
        <v>10456</v>
      </c>
      <c r="C26" s="54">
        <v>14062</v>
      </c>
      <c r="D26" s="102">
        <v>28049</v>
      </c>
      <c r="E26" s="102">
        <v>276481</v>
      </c>
      <c r="F26" s="102">
        <v>67242</v>
      </c>
      <c r="G26" s="102">
        <v>121605</v>
      </c>
      <c r="H26" s="102">
        <v>62098</v>
      </c>
      <c r="I26" s="102">
        <v>77733</v>
      </c>
      <c r="J26" s="102">
        <v>23295</v>
      </c>
      <c r="K26" s="102">
        <v>1024</v>
      </c>
      <c r="L26" s="102">
        <v>19134</v>
      </c>
      <c r="M26" s="102">
        <v>27992</v>
      </c>
      <c r="N26" s="102">
        <v>8818</v>
      </c>
      <c r="O26" s="102">
        <v>2282</v>
      </c>
      <c r="P26" s="102">
        <v>31794</v>
      </c>
      <c r="Q26" s="102">
        <v>1960</v>
      </c>
      <c r="R26" s="102">
        <v>517</v>
      </c>
    </row>
    <row r="27" spans="1:22" x14ac:dyDescent="0.25">
      <c r="A27" s="52">
        <v>44798</v>
      </c>
      <c r="B27" s="32">
        <v>10633</v>
      </c>
      <c r="C27" s="32">
        <v>14370</v>
      </c>
      <c r="D27" s="102">
        <v>280684</v>
      </c>
      <c r="E27" s="102">
        <v>276555</v>
      </c>
      <c r="F27" s="102">
        <v>67242</v>
      </c>
      <c r="G27" s="102">
        <v>121638</v>
      </c>
      <c r="H27" s="102">
        <v>62098</v>
      </c>
      <c r="I27" s="129">
        <v>77763</v>
      </c>
      <c r="J27" s="102">
        <v>23301</v>
      </c>
      <c r="K27" s="102">
        <v>1024</v>
      </c>
      <c r="L27" s="102">
        <v>19137</v>
      </c>
      <c r="M27" s="102">
        <v>27997</v>
      </c>
      <c r="N27" s="102">
        <v>8820</v>
      </c>
      <c r="O27" s="102">
        <v>2283</v>
      </c>
      <c r="P27" s="102">
        <v>31308</v>
      </c>
      <c r="Q27" s="102">
        <v>1969</v>
      </c>
      <c r="R27" s="102">
        <v>519</v>
      </c>
    </row>
    <row r="28" spans="1:22" x14ac:dyDescent="0.25">
      <c r="A28" s="52">
        <v>44799</v>
      </c>
      <c r="B28" s="32">
        <v>10805</v>
      </c>
      <c r="C28" s="54">
        <v>14628</v>
      </c>
      <c r="D28" s="102">
        <v>280880</v>
      </c>
      <c r="E28" s="102">
        <v>276645</v>
      </c>
      <c r="F28" s="102">
        <v>67243</v>
      </c>
      <c r="G28" s="102">
        <v>121679</v>
      </c>
      <c r="H28" s="102">
        <v>62098</v>
      </c>
      <c r="I28" s="102">
        <v>77811</v>
      </c>
      <c r="J28" s="102">
        <v>23308</v>
      </c>
      <c r="K28" s="102">
        <v>1024</v>
      </c>
      <c r="L28" s="102">
        <v>19140</v>
      </c>
      <c r="M28" s="102">
        <v>28004</v>
      </c>
      <c r="N28" s="102">
        <v>8823</v>
      </c>
      <c r="O28" s="102">
        <v>2285</v>
      </c>
      <c r="P28" s="102">
        <v>31924</v>
      </c>
      <c r="Q28" s="102">
        <v>1970</v>
      </c>
      <c r="R28" s="102">
        <v>525</v>
      </c>
    </row>
    <row r="29" spans="1:22" x14ac:dyDescent="0.25">
      <c r="A29" s="52">
        <v>44800</v>
      </c>
      <c r="B29" s="32">
        <v>10918</v>
      </c>
      <c r="C29" s="32">
        <v>14795</v>
      </c>
      <c r="D29" s="102">
        <v>281011</v>
      </c>
      <c r="E29" s="102">
        <v>276714</v>
      </c>
      <c r="F29" s="102">
        <v>67244</v>
      </c>
      <c r="G29" s="102">
        <v>121697</v>
      </c>
      <c r="H29" s="102">
        <v>62098</v>
      </c>
      <c r="I29" s="103">
        <v>77834</v>
      </c>
      <c r="J29" s="102">
        <v>23313</v>
      </c>
      <c r="K29" s="102">
        <v>1024</v>
      </c>
      <c r="L29" s="102">
        <v>19143</v>
      </c>
      <c r="M29" s="102">
        <v>28009</v>
      </c>
      <c r="N29" s="102">
        <v>8823</v>
      </c>
      <c r="O29" s="102">
        <v>2287</v>
      </c>
      <c r="P29" s="102">
        <v>31226</v>
      </c>
      <c r="Q29" s="102">
        <v>1973</v>
      </c>
      <c r="R29" s="102">
        <v>525</v>
      </c>
    </row>
    <row r="30" spans="1:22" x14ac:dyDescent="0.25">
      <c r="A30" s="52">
        <v>44801</v>
      </c>
      <c r="B30" s="32">
        <v>11047</v>
      </c>
      <c r="C30" s="54">
        <v>14992</v>
      </c>
      <c r="D30" s="102">
        <v>281158</v>
      </c>
      <c r="E30" s="102">
        <v>276795</v>
      </c>
      <c r="F30" s="102">
        <v>67244</v>
      </c>
      <c r="G30" s="102">
        <v>121728</v>
      </c>
      <c r="H30" s="102">
        <v>62098</v>
      </c>
      <c r="I30" s="102">
        <v>77857</v>
      </c>
      <c r="J30" s="102">
        <v>23320</v>
      </c>
      <c r="K30" s="102">
        <v>1024</v>
      </c>
      <c r="L30" s="102">
        <v>19147</v>
      </c>
      <c r="M30" s="102">
        <v>28015</v>
      </c>
      <c r="N30" s="102">
        <v>8831</v>
      </c>
      <c r="O30" s="102">
        <v>2289</v>
      </c>
      <c r="P30" s="102">
        <v>31826</v>
      </c>
      <c r="Q30" s="102">
        <v>1973</v>
      </c>
      <c r="R30" s="102">
        <v>529</v>
      </c>
    </row>
    <row r="31" spans="1:22" x14ac:dyDescent="0.25">
      <c r="A31" s="52">
        <v>44802</v>
      </c>
      <c r="B31" s="32">
        <v>11164</v>
      </c>
      <c r="C31" s="32">
        <v>15160</v>
      </c>
      <c r="D31" s="53">
        <v>281287</v>
      </c>
      <c r="E31" s="10">
        <v>276863</v>
      </c>
      <c r="F31" s="53">
        <v>67245</v>
      </c>
      <c r="G31" s="53">
        <v>121750</v>
      </c>
      <c r="H31" s="32">
        <v>62098</v>
      </c>
      <c r="I31" s="53">
        <v>77880</v>
      </c>
      <c r="J31" s="10">
        <v>23326</v>
      </c>
      <c r="K31" s="102">
        <v>1024</v>
      </c>
      <c r="L31" s="53">
        <v>19150</v>
      </c>
      <c r="M31" s="53">
        <v>28021</v>
      </c>
      <c r="N31" s="53">
        <v>8843</v>
      </c>
      <c r="O31" s="53">
        <v>2291</v>
      </c>
      <c r="P31" s="53">
        <v>31826</v>
      </c>
      <c r="Q31" s="53">
        <v>1973</v>
      </c>
      <c r="R31" s="53">
        <v>532</v>
      </c>
      <c r="S31" s="55"/>
      <c r="T31" s="55"/>
      <c r="U31" s="55"/>
      <c r="V31" s="55"/>
    </row>
    <row r="32" spans="1:22" x14ac:dyDescent="0.25">
      <c r="A32" s="52">
        <v>44803</v>
      </c>
      <c r="B32" s="32">
        <v>11307</v>
      </c>
      <c r="C32" s="54">
        <v>15373</v>
      </c>
      <c r="D32" s="53">
        <v>281497</v>
      </c>
      <c r="E32" s="53">
        <v>276929</v>
      </c>
      <c r="F32" s="53">
        <v>67246</v>
      </c>
      <c r="G32" s="53">
        <v>121772</v>
      </c>
      <c r="H32" s="54">
        <v>62048</v>
      </c>
      <c r="I32" s="32">
        <v>77898</v>
      </c>
      <c r="J32" s="53">
        <v>23332</v>
      </c>
      <c r="K32" s="102">
        <v>1024</v>
      </c>
      <c r="L32" s="53">
        <v>19153</v>
      </c>
      <c r="M32" s="53">
        <v>28027</v>
      </c>
      <c r="N32" s="53">
        <v>8845</v>
      </c>
      <c r="O32" s="53">
        <v>2292</v>
      </c>
      <c r="P32" s="53">
        <v>31826</v>
      </c>
      <c r="Q32" s="53">
        <v>1973</v>
      </c>
      <c r="R32" s="53">
        <v>536</v>
      </c>
      <c r="S32" s="56"/>
      <c r="T32" s="55"/>
      <c r="U32" s="55"/>
      <c r="V32" s="55"/>
    </row>
    <row r="33" spans="1:22" x14ac:dyDescent="0.25">
      <c r="A33" s="52">
        <v>44804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44805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I38" sqref="I3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64" t="s">
        <v>30</v>
      </c>
      <c r="B2" s="165" t="s">
        <v>107</v>
      </c>
      <c r="C2" s="165" t="s">
        <v>108</v>
      </c>
      <c r="D2" s="165"/>
      <c r="E2" s="166" t="s">
        <v>96</v>
      </c>
      <c r="F2" s="163"/>
      <c r="G2" s="160" t="s">
        <v>111</v>
      </c>
      <c r="H2" s="163"/>
      <c r="I2" s="160" t="s">
        <v>109</v>
      </c>
      <c r="J2" s="163"/>
      <c r="K2" s="160" t="s">
        <v>110</v>
      </c>
      <c r="L2" s="163"/>
      <c r="M2" s="160" t="s">
        <v>106</v>
      </c>
      <c r="N2" s="163"/>
      <c r="O2" s="160" t="s">
        <v>105</v>
      </c>
      <c r="P2" s="163"/>
      <c r="Q2" s="160" t="s">
        <v>112</v>
      </c>
      <c r="R2" s="163"/>
      <c r="S2" s="160" t="s">
        <v>113</v>
      </c>
      <c r="T2" s="163"/>
      <c r="U2" s="160" t="s">
        <v>114</v>
      </c>
      <c r="V2" s="163"/>
      <c r="W2" s="160" t="s">
        <v>98</v>
      </c>
      <c r="X2" s="161"/>
      <c r="Y2" s="162" t="s">
        <v>51</v>
      </c>
      <c r="Z2" s="162"/>
    </row>
    <row r="3" spans="1:26" ht="30" x14ac:dyDescent="0.35">
      <c r="A3" s="164"/>
      <c r="B3" s="165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44774</v>
      </c>
      <c r="B4" s="63">
        <f>TOTAL!I2</f>
        <v>326</v>
      </c>
      <c r="C4" s="64">
        <f>('Water Reading'!B4-'Water Reading'!B3)+('Water Reading'!C4-'Water Reading'!C3)</f>
        <v>289</v>
      </c>
      <c r="D4" s="65">
        <f>C4/B4</f>
        <v>0.88650306748466257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76</v>
      </c>
      <c r="H4" s="84">
        <f>G4/C4</f>
        <v>0.26297577854671278</v>
      </c>
      <c r="I4" s="85">
        <f>'Water Reading'!P4-'Water Reading'!P3</f>
        <v>9</v>
      </c>
      <c r="J4" s="66">
        <f>I4/C4</f>
        <v>3.1141868512110725E-2</v>
      </c>
      <c r="K4" s="86">
        <f>('Water Reading'!I4-'Water Reading'!I3)-('Water Reading'!P4-'Water Reading'!P3)</f>
        <v>21</v>
      </c>
      <c r="L4" s="66">
        <f>K4/C4</f>
        <v>7.2664359861591699E-2</v>
      </c>
      <c r="M4" s="85">
        <f>'Water Reading'!R4-'Water Reading'!R3</f>
        <v>4</v>
      </c>
      <c r="N4" s="87">
        <f>M4/C4</f>
        <v>1.384083044982699E-2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83</v>
      </c>
      <c r="T4" s="93">
        <f>S4/C4</f>
        <v>0.28719723183391005</v>
      </c>
      <c r="U4" s="85">
        <f>'Water Reading'!G4-'Water Reading'!G3</f>
        <v>28</v>
      </c>
      <c r="V4" s="93">
        <f>U4/C4</f>
        <v>9.6885813148788927E-2</v>
      </c>
      <c r="W4" s="86">
        <f>'Water Reading'!J4-'Water Reading'!J3</f>
        <v>6</v>
      </c>
      <c r="X4" s="93">
        <f>W4/C4</f>
        <v>2.0761245674740483E-2</v>
      </c>
      <c r="Y4" s="64">
        <f t="shared" ref="Y4:Y34" si="0">E4+I4+K4+M4+O4+G4+Q4+S4+U4+W4</f>
        <v>227</v>
      </c>
      <c r="Z4" s="65">
        <f t="shared" ref="Z4:Z35" si="1">Y4/B4</f>
        <v>0.69631901840490795</v>
      </c>
    </row>
    <row r="5" spans="1:26" x14ac:dyDescent="0.25">
      <c r="A5" s="8">
        <f>'Water Reading'!A4</f>
        <v>44775</v>
      </c>
      <c r="B5" s="63">
        <f>TOTAL!I3</f>
        <v>336</v>
      </c>
      <c r="C5" s="64">
        <f>('Water Reading'!B5-'Water Reading'!B4)+('Water Reading'!C5-'Water Reading'!C4)</f>
        <v>346</v>
      </c>
      <c r="D5" s="65">
        <f t="shared" ref="D5:D34" si="2">C5/B5</f>
        <v>1.0297619047619047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147</v>
      </c>
      <c r="H5" s="84">
        <f t="shared" ref="H5:H34" si="4">G5/C5</f>
        <v>0.42485549132947975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15</v>
      </c>
      <c r="L5" s="66">
        <f t="shared" ref="L5:L34" si="6">K5/C5</f>
        <v>4.3352601156069363E-2</v>
      </c>
      <c r="M5" s="85">
        <f>'Water Reading'!R5-'Water Reading'!R4</f>
        <v>3</v>
      </c>
      <c r="N5" s="87">
        <f t="shared" ref="N5:N34" si="7">M5/C5</f>
        <v>8.670520231213872E-3</v>
      </c>
      <c r="O5" s="85">
        <f>'Water Reading'!Q5-'Water Reading'!Q4</f>
        <v>0</v>
      </c>
      <c r="P5" s="92">
        <f t="shared" ref="P5:P34" si="8">O5/C5</f>
        <v>0</v>
      </c>
      <c r="Q5" s="86">
        <f>'Water Reading'!F5-'Water Reading'!F4</f>
        <v>1</v>
      </c>
      <c r="R5" s="93">
        <f t="shared" ref="R5:R34" si="9">Q5/C5</f>
        <v>2.8901734104046241E-3</v>
      </c>
      <c r="S5" s="85">
        <f>'Water Reading'!E5-'Water Reading'!E4</f>
        <v>73</v>
      </c>
      <c r="T5" s="93">
        <f t="shared" ref="T5:T34" si="10">S5/C5</f>
        <v>0.21098265895953758</v>
      </c>
      <c r="U5" s="85">
        <f>'Water Reading'!G5-'Water Reading'!G4</f>
        <v>14</v>
      </c>
      <c r="V5" s="93">
        <f t="shared" ref="V5:V34" si="11">U5/C5</f>
        <v>4.046242774566474E-2</v>
      </c>
      <c r="W5" s="86">
        <f>'Water Reading'!J5-'Water Reading'!J4</f>
        <v>5</v>
      </c>
      <c r="X5" s="93">
        <f t="shared" ref="X5:X34" si="12">W5/C5</f>
        <v>1.4450867052023121E-2</v>
      </c>
      <c r="Y5" s="64">
        <f t="shared" si="0"/>
        <v>258</v>
      </c>
      <c r="Z5" s="65">
        <f t="shared" si="1"/>
        <v>0.7678571428571429</v>
      </c>
    </row>
    <row r="6" spans="1:26" x14ac:dyDescent="0.25">
      <c r="A6" s="8">
        <f>'Water Reading'!A5</f>
        <v>44776</v>
      </c>
      <c r="B6" s="63">
        <f>TOTAL!I4</f>
        <v>301</v>
      </c>
      <c r="C6" s="64">
        <f>('Water Reading'!B6-'Water Reading'!B5)+('Water Reading'!C6-'Water Reading'!C5)</f>
        <v>297</v>
      </c>
      <c r="D6" s="65">
        <f t="shared" si="2"/>
        <v>0.98671096345514953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113</v>
      </c>
      <c r="H6" s="84">
        <f t="shared" si="4"/>
        <v>0.38047138047138046</v>
      </c>
      <c r="I6" s="85">
        <f>'Water Reading'!P6-'Water Reading'!P5</f>
        <v>8</v>
      </c>
      <c r="J6" s="66">
        <f t="shared" si="5"/>
        <v>2.6936026936026935E-2</v>
      </c>
      <c r="K6" s="86">
        <f>('Water Reading'!I6-'Water Reading'!I5)-('Water Reading'!P6-'Water Reading'!P5)</f>
        <v>20</v>
      </c>
      <c r="L6" s="66">
        <f t="shared" si="6"/>
        <v>6.7340067340067339E-2</v>
      </c>
      <c r="M6" s="85">
        <f>'Water Reading'!R6-'Water Reading'!R5</f>
        <v>5</v>
      </c>
      <c r="N6" s="87">
        <f t="shared" si="7"/>
        <v>1.6835016835016835E-2</v>
      </c>
      <c r="O6" s="85">
        <f>'Water Reading'!Q6-'Water Reading'!Q5</f>
        <v>0</v>
      </c>
      <c r="P6" s="92">
        <f t="shared" si="8"/>
        <v>0</v>
      </c>
      <c r="Q6" s="86">
        <f>'Water Reading'!F6-'Water Reading'!F5</f>
        <v>1</v>
      </c>
      <c r="R6" s="93">
        <f t="shared" si="9"/>
        <v>3.3670033670033669E-3</v>
      </c>
      <c r="S6" s="85">
        <f>'Water Reading'!E6-'Water Reading'!E5</f>
        <v>75</v>
      </c>
      <c r="T6" s="93">
        <f t="shared" si="10"/>
        <v>0.25252525252525254</v>
      </c>
      <c r="U6" s="85">
        <f>'Water Reading'!G6-'Water Reading'!G5</f>
        <v>20</v>
      </c>
      <c r="V6" s="93">
        <f t="shared" si="11"/>
        <v>6.7340067340067339E-2</v>
      </c>
      <c r="W6" s="86">
        <f>'Water Reading'!J6-'Water Reading'!J5</f>
        <v>6</v>
      </c>
      <c r="X6" s="93">
        <f t="shared" si="12"/>
        <v>2.0202020202020204E-2</v>
      </c>
      <c r="Y6" s="64">
        <f t="shared" si="0"/>
        <v>248</v>
      </c>
      <c r="Z6" s="65">
        <f t="shared" si="1"/>
        <v>0.82392026578073085</v>
      </c>
    </row>
    <row r="7" spans="1:26" x14ac:dyDescent="0.25">
      <c r="A7" s="8">
        <f>'Water Reading'!A6</f>
        <v>44777</v>
      </c>
      <c r="B7" s="63">
        <f>TOTAL!I5</f>
        <v>259</v>
      </c>
      <c r="C7" s="64">
        <f>('Water Reading'!B7-'Water Reading'!B6)+('Water Reading'!C7-'Water Reading'!C6)</f>
        <v>292</v>
      </c>
      <c r="D7" s="65">
        <f t="shared" si="2"/>
        <v>1.1274131274131274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95</v>
      </c>
      <c r="H7" s="84">
        <f t="shared" si="4"/>
        <v>0.32534246575342468</v>
      </c>
      <c r="I7" s="85">
        <f>'Water Reading'!P7-'Water Reading'!P6</f>
        <v>13</v>
      </c>
      <c r="J7" s="66">
        <f t="shared" si="5"/>
        <v>4.4520547945205477E-2</v>
      </c>
      <c r="K7" s="86">
        <f>('Water Reading'!I7-'Water Reading'!I6)-('Water Reading'!P7-'Water Reading'!P6)</f>
        <v>23</v>
      </c>
      <c r="L7" s="66">
        <f t="shared" si="6"/>
        <v>7.8767123287671229E-2</v>
      </c>
      <c r="M7" s="85">
        <f>'Water Reading'!R7-'Water Reading'!R6</f>
        <v>4</v>
      </c>
      <c r="N7" s="87">
        <f t="shared" si="7"/>
        <v>1.3698630136986301E-2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74</v>
      </c>
      <c r="T7" s="93">
        <f t="shared" si="10"/>
        <v>0.25342465753424659</v>
      </c>
      <c r="U7" s="85">
        <f>'Water Reading'!G7-'Water Reading'!G6</f>
        <v>21</v>
      </c>
      <c r="V7" s="93">
        <f t="shared" si="11"/>
        <v>7.1917808219178078E-2</v>
      </c>
      <c r="W7" s="86">
        <f>'Water Reading'!J7-'Water Reading'!J6</f>
        <v>6</v>
      </c>
      <c r="X7" s="93">
        <f t="shared" si="12"/>
        <v>2.0547945205479451E-2</v>
      </c>
      <c r="Y7" s="64">
        <f t="shared" si="0"/>
        <v>236</v>
      </c>
      <c r="Z7" s="65">
        <f t="shared" si="1"/>
        <v>0.91119691119691115</v>
      </c>
    </row>
    <row r="8" spans="1:26" x14ac:dyDescent="0.25">
      <c r="A8" s="8">
        <f>'Water Reading'!A7</f>
        <v>44778</v>
      </c>
      <c r="B8" s="63">
        <f>TOTAL!I6</f>
        <v>282</v>
      </c>
      <c r="C8" s="64">
        <f>('Water Reading'!B8-'Water Reading'!B7)+('Water Reading'!C8-'Water Reading'!C7)</f>
        <v>294</v>
      </c>
      <c r="D8" s="65">
        <f t="shared" si="2"/>
        <v>1.0425531914893618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135</v>
      </c>
      <c r="H8" s="84">
        <f t="shared" si="4"/>
        <v>0.45918367346938777</v>
      </c>
      <c r="I8" s="85">
        <f>'Water Reading'!P8-'Water Reading'!P7</f>
        <v>6</v>
      </c>
      <c r="J8" s="66">
        <f t="shared" si="5"/>
        <v>2.0408163265306121E-2</v>
      </c>
      <c r="K8" s="86">
        <f>('Water Reading'!I8-'Water Reading'!I7)-('Water Reading'!P8-'Water Reading'!P7)</f>
        <v>15</v>
      </c>
      <c r="L8" s="66">
        <f t="shared" si="6"/>
        <v>5.1020408163265307E-2</v>
      </c>
      <c r="M8" s="85">
        <f>'Water Reading'!R8-'Water Reading'!R7</f>
        <v>1</v>
      </c>
      <c r="N8" s="87">
        <f t="shared" si="7"/>
        <v>3.4013605442176869E-3</v>
      </c>
      <c r="O8" s="85">
        <f>'Water Reading'!Q8-'Water Reading'!Q7</f>
        <v>0</v>
      </c>
      <c r="P8" s="92">
        <f t="shared" si="8"/>
        <v>0</v>
      </c>
      <c r="Q8" s="86">
        <f>'Water Reading'!F8-'Water Reading'!F7</f>
        <v>1</v>
      </c>
      <c r="R8" s="93">
        <f t="shared" si="9"/>
        <v>3.4013605442176869E-3</v>
      </c>
      <c r="S8" s="85">
        <f>'Water Reading'!E8-'Water Reading'!E7</f>
        <v>73</v>
      </c>
      <c r="T8" s="93">
        <f t="shared" si="10"/>
        <v>0.24829931972789115</v>
      </c>
      <c r="U8" s="85">
        <f>'Water Reading'!G8-'Water Reading'!G7</f>
        <v>16</v>
      </c>
      <c r="V8" s="93">
        <f t="shared" si="11"/>
        <v>5.4421768707482991E-2</v>
      </c>
      <c r="W8" s="86">
        <f>'Water Reading'!J8-'Water Reading'!J7</f>
        <v>5</v>
      </c>
      <c r="X8" s="93">
        <f t="shared" si="12"/>
        <v>1.7006802721088437E-2</v>
      </c>
      <c r="Y8" s="64">
        <f t="shared" si="0"/>
        <v>252</v>
      </c>
      <c r="Z8" s="65">
        <f t="shared" si="1"/>
        <v>0.8936170212765957</v>
      </c>
    </row>
    <row r="9" spans="1:26" x14ac:dyDescent="0.25">
      <c r="A9" s="8">
        <f>'Water Reading'!A8</f>
        <v>44779</v>
      </c>
      <c r="B9" s="63">
        <f>TOTAL!I7</f>
        <v>341</v>
      </c>
      <c r="C9" s="64">
        <f>('Water Reading'!B9-'Water Reading'!B8)+('Water Reading'!C9-'Water Reading'!C8)</f>
        <v>347</v>
      </c>
      <c r="D9" s="65">
        <f t="shared" si="2"/>
        <v>1.0175953079178885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184</v>
      </c>
      <c r="H9" s="84">
        <f t="shared" si="4"/>
        <v>0.53025936599423629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14</v>
      </c>
      <c r="L9" s="66">
        <f t="shared" si="6"/>
        <v>4.0345821325648415E-2</v>
      </c>
      <c r="M9" s="134">
        <f>'Water Reading'!R9-'Water Reading'!R8</f>
        <v>5</v>
      </c>
      <c r="N9" s="87">
        <f t="shared" si="7"/>
        <v>1.4409221902017291E-2</v>
      </c>
      <c r="O9" s="85">
        <f>'Water Reading'!Q9-'Water Reading'!Q8</f>
        <v>0</v>
      </c>
      <c r="P9" s="92">
        <f t="shared" si="8"/>
        <v>0</v>
      </c>
      <c r="Q9" s="86">
        <f>'Water Reading'!F9-'Water Reading'!F8</f>
        <v>0</v>
      </c>
      <c r="R9" s="93">
        <f t="shared" si="9"/>
        <v>0</v>
      </c>
      <c r="S9" s="85">
        <f>'Water Reading'!E9-'Water Reading'!E8</f>
        <v>65</v>
      </c>
      <c r="T9" s="93">
        <f t="shared" si="10"/>
        <v>0.18731988472622479</v>
      </c>
      <c r="U9" s="85">
        <f>'Water Reading'!G9-'Water Reading'!G8</f>
        <v>21</v>
      </c>
      <c r="V9" s="93">
        <f t="shared" si="11"/>
        <v>6.0518731988472622E-2</v>
      </c>
      <c r="W9" s="86">
        <f>'Water Reading'!J9-'Water Reading'!J8</f>
        <v>6</v>
      </c>
      <c r="X9" s="93">
        <f t="shared" si="12"/>
        <v>1.7291066282420751E-2</v>
      </c>
      <c r="Y9" s="64">
        <f t="shared" si="0"/>
        <v>295</v>
      </c>
      <c r="Z9" s="65">
        <f t="shared" si="1"/>
        <v>0.86510263929618769</v>
      </c>
    </row>
    <row r="10" spans="1:26" x14ac:dyDescent="0.25">
      <c r="A10" s="8">
        <f>'Water Reading'!A9</f>
        <v>44780</v>
      </c>
      <c r="B10" s="63">
        <f>TOTAL!I8</f>
        <v>333</v>
      </c>
      <c r="C10" s="64">
        <f>('Water Reading'!B10-'Water Reading'!B9)+('Water Reading'!C10-'Water Reading'!C9)</f>
        <v>354</v>
      </c>
      <c r="D10" s="65">
        <f t="shared" si="2"/>
        <v>1.0630630630630631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167</v>
      </c>
      <c r="H10" s="84">
        <f t="shared" si="4"/>
        <v>0.47175141242937851</v>
      </c>
      <c r="I10" s="85">
        <f>'Water Reading'!P10-'Water Reading'!P9</f>
        <v>6</v>
      </c>
      <c r="J10" s="66">
        <f t="shared" si="5"/>
        <v>1.6949152542372881E-2</v>
      </c>
      <c r="K10" s="125">
        <f>('Water Reading'!I10-'Water Reading'!I9)-('Water Reading'!P10-'Water Reading'!P9)</f>
        <v>20</v>
      </c>
      <c r="L10" s="66">
        <f t="shared" si="6"/>
        <v>5.6497175141242938E-2</v>
      </c>
      <c r="M10" s="85">
        <f>'Water Reading'!R10-'Water Reading'!R9</f>
        <v>4</v>
      </c>
      <c r="N10" s="87">
        <f t="shared" si="7"/>
        <v>1.1299435028248588E-2</v>
      </c>
      <c r="O10" s="85">
        <f>'Water Reading'!Q10-'Water Reading'!Q9</f>
        <v>10</v>
      </c>
      <c r="P10" s="92">
        <f t="shared" si="8"/>
        <v>2.8248587570621469E-2</v>
      </c>
      <c r="Q10" s="86">
        <f>'Water Reading'!F10-'Water Reading'!F9</f>
        <v>1</v>
      </c>
      <c r="R10" s="93">
        <f t="shared" si="9"/>
        <v>2.8248587570621469E-3</v>
      </c>
      <c r="S10" s="85">
        <f>'Water Reading'!E10-'Water Reading'!E9</f>
        <v>79</v>
      </c>
      <c r="T10" s="93">
        <f t="shared" si="10"/>
        <v>0.2231638418079096</v>
      </c>
      <c r="U10" s="85">
        <f>'Water Reading'!G10-'Water Reading'!G9</f>
        <v>23</v>
      </c>
      <c r="V10" s="93">
        <f t="shared" si="11"/>
        <v>6.4971751412429377E-2</v>
      </c>
      <c r="W10" s="86">
        <f>'Water Reading'!J10-'Water Reading'!J9</f>
        <v>6</v>
      </c>
      <c r="X10" s="93">
        <f t="shared" si="12"/>
        <v>1.6949152542372881E-2</v>
      </c>
      <c r="Y10" s="64">
        <f t="shared" si="0"/>
        <v>316</v>
      </c>
      <c r="Z10" s="65">
        <f t="shared" si="1"/>
        <v>0.94894894894894899</v>
      </c>
    </row>
    <row r="11" spans="1:26" x14ac:dyDescent="0.25">
      <c r="A11" s="8">
        <f>'Water Reading'!A10</f>
        <v>44781</v>
      </c>
      <c r="B11" s="63">
        <f>TOTAL!I9</f>
        <v>349</v>
      </c>
      <c r="C11" s="64">
        <f>('Water Reading'!B11-'Water Reading'!B10)+('Water Reading'!C11-'Water Reading'!C10)</f>
        <v>365</v>
      </c>
      <c r="D11" s="65">
        <f t="shared" si="2"/>
        <v>1.0458452722063036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152</v>
      </c>
      <c r="H11" s="84">
        <f t="shared" si="4"/>
        <v>0.41643835616438357</v>
      </c>
      <c r="I11" s="85">
        <f>'Water Reading'!P11-'Water Reading'!P10</f>
        <v>23</v>
      </c>
      <c r="J11" s="66">
        <f t="shared" si="5"/>
        <v>6.3013698630136991E-2</v>
      </c>
      <c r="K11" s="86">
        <f>('Water Reading'!I11-'Water Reading'!I10)-('Water Reading'!P11-'Water Reading'!P10)</f>
        <v>23</v>
      </c>
      <c r="L11" s="66">
        <f t="shared" si="6"/>
        <v>6.3013698630136991E-2</v>
      </c>
      <c r="M11" s="85">
        <f>'Water Reading'!R11-'Water Reading'!R10</f>
        <v>5</v>
      </c>
      <c r="N11" s="87">
        <f t="shared" si="7"/>
        <v>1.3698630136986301E-2</v>
      </c>
      <c r="O11" s="85">
        <f>'Water Reading'!Q11-'Water Reading'!Q10</f>
        <v>5</v>
      </c>
      <c r="P11" s="92">
        <f t="shared" si="8"/>
        <v>1.3698630136986301E-2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76</v>
      </c>
      <c r="T11" s="93">
        <f t="shared" si="10"/>
        <v>0.20821917808219179</v>
      </c>
      <c r="U11" s="85">
        <f>'Water Reading'!G11-'Water Reading'!G10</f>
        <v>22</v>
      </c>
      <c r="V11" s="93">
        <f t="shared" si="11"/>
        <v>6.0273972602739728E-2</v>
      </c>
      <c r="W11" s="86">
        <f>'Water Reading'!J11-'Water Reading'!J10</f>
        <v>5</v>
      </c>
      <c r="X11" s="93">
        <f t="shared" si="12"/>
        <v>1.3698630136986301E-2</v>
      </c>
      <c r="Y11" s="64">
        <f t="shared" si="0"/>
        <v>311</v>
      </c>
      <c r="Z11" s="65">
        <f t="shared" si="1"/>
        <v>0.89111747851002865</v>
      </c>
    </row>
    <row r="12" spans="1:26" x14ac:dyDescent="0.25">
      <c r="A12" s="8">
        <f>'Water Reading'!A11</f>
        <v>44782</v>
      </c>
      <c r="B12" s="63">
        <f>TOTAL!I10</f>
        <v>296</v>
      </c>
      <c r="C12" s="64">
        <f>('Water Reading'!B12-'Water Reading'!B11)+('Water Reading'!C12-'Water Reading'!C11)</f>
        <v>317</v>
      </c>
      <c r="D12" s="65">
        <f t="shared" si="2"/>
        <v>1.0709459459459461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130</v>
      </c>
      <c r="H12" s="84">
        <f t="shared" si="4"/>
        <v>0.41009463722397477</v>
      </c>
      <c r="I12" s="85">
        <f>'Water Reading'!P12-'Water Reading'!P11</f>
        <v>16</v>
      </c>
      <c r="J12" s="66">
        <f t="shared" si="5"/>
        <v>5.0473186119873815E-2</v>
      </c>
      <c r="K12" s="86">
        <f>('Water Reading'!I12-'Water Reading'!I11)-('Water Reading'!P12-'Water Reading'!P11)</f>
        <v>17</v>
      </c>
      <c r="L12" s="66">
        <f t="shared" si="6"/>
        <v>5.362776025236593E-2</v>
      </c>
      <c r="M12" s="85">
        <f>'Water Reading'!R12-'Water Reading'!R11</f>
        <v>4</v>
      </c>
      <c r="N12" s="87">
        <f t="shared" si="7"/>
        <v>1.2618296529968454E-2</v>
      </c>
      <c r="O12" s="85">
        <f>'Water Reading'!Q12-'Water Reading'!Q11</f>
        <v>2</v>
      </c>
      <c r="P12" s="92">
        <f t="shared" si="8"/>
        <v>6.3091482649842269E-3</v>
      </c>
      <c r="Q12" s="86">
        <f>'Water Reading'!F12-'Water Reading'!F11</f>
        <v>2</v>
      </c>
      <c r="R12" s="93">
        <f t="shared" si="9"/>
        <v>6.3091482649842269E-3</v>
      </c>
      <c r="S12" s="85">
        <f>'Water Reading'!E12-'Water Reading'!E11</f>
        <v>72</v>
      </c>
      <c r="T12" s="93">
        <f t="shared" si="10"/>
        <v>0.22712933753943218</v>
      </c>
      <c r="U12" s="85">
        <f>'Water Reading'!G12-'Water Reading'!G11</f>
        <v>21</v>
      </c>
      <c r="V12" s="93">
        <f t="shared" si="11"/>
        <v>6.6246056782334389E-2</v>
      </c>
      <c r="W12" s="86">
        <f>'Water Reading'!J12-'Water Reading'!J11</f>
        <v>6</v>
      </c>
      <c r="X12" s="93">
        <f t="shared" si="12"/>
        <v>1.8927444794952682E-2</v>
      </c>
      <c r="Y12" s="64">
        <f t="shared" si="0"/>
        <v>270</v>
      </c>
      <c r="Z12" s="65">
        <f t="shared" si="1"/>
        <v>0.91216216216216217</v>
      </c>
    </row>
    <row r="13" spans="1:26" x14ac:dyDescent="0.25">
      <c r="A13" s="8">
        <f>'Water Reading'!A12</f>
        <v>44783</v>
      </c>
      <c r="B13" s="63">
        <f>TOTAL!I11</f>
        <v>315</v>
      </c>
      <c r="C13" s="64">
        <f>('Water Reading'!B13-'Water Reading'!B12)+('Water Reading'!C13-'Water Reading'!C12)</f>
        <v>284</v>
      </c>
      <c r="D13" s="65">
        <f t="shared" si="2"/>
        <v>0.9015873015873016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125</v>
      </c>
      <c r="H13" s="84">
        <f t="shared" si="4"/>
        <v>0.44014084507042256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20</v>
      </c>
      <c r="L13" s="66">
        <f t="shared" si="6"/>
        <v>7.0422535211267609E-2</v>
      </c>
      <c r="M13" s="85">
        <f>'Water Reading'!R13-'Water Reading'!R12</f>
        <v>3</v>
      </c>
      <c r="N13" s="87">
        <f t="shared" si="7"/>
        <v>1.0563380281690141E-2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72</v>
      </c>
      <c r="T13" s="93">
        <f t="shared" si="10"/>
        <v>0.25352112676056338</v>
      </c>
      <c r="U13" s="85">
        <f>'Water Reading'!G13-'Water Reading'!G12</f>
        <v>22</v>
      </c>
      <c r="V13" s="93">
        <f t="shared" si="11"/>
        <v>7.746478873239436E-2</v>
      </c>
      <c r="W13" s="86">
        <f>'Water Reading'!J13-'Water Reading'!J12</f>
        <v>6</v>
      </c>
      <c r="X13" s="93">
        <f t="shared" si="12"/>
        <v>2.1126760563380281E-2</v>
      </c>
      <c r="Y13" s="64">
        <f t="shared" si="0"/>
        <v>248</v>
      </c>
      <c r="Z13" s="65">
        <f t="shared" si="1"/>
        <v>0.78730158730158728</v>
      </c>
    </row>
    <row r="14" spans="1:26" x14ac:dyDescent="0.25">
      <c r="A14" s="8">
        <f>'Water Reading'!A13</f>
        <v>44784</v>
      </c>
      <c r="B14" s="63">
        <f>TOTAL!I12</f>
        <v>312</v>
      </c>
      <c r="C14" s="64">
        <f>('Water Reading'!B14-'Water Reading'!B13)+('Water Reading'!C14-'Water Reading'!C13)</f>
        <v>402</v>
      </c>
      <c r="D14" s="65">
        <f t="shared" si="2"/>
        <v>1.2884615384615385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192</v>
      </c>
      <c r="H14" s="84">
        <f t="shared" si="4"/>
        <v>0.47761194029850745</v>
      </c>
      <c r="I14" s="85">
        <f>'Water Reading'!P14-'Water Reading'!P13</f>
        <v>16</v>
      </c>
      <c r="J14" s="66">
        <f t="shared" si="5"/>
        <v>3.9800995024875621E-2</v>
      </c>
      <c r="K14" s="86">
        <f>('Water Reading'!I14-'Water Reading'!I13)-('Water Reading'!P14-'Water Reading'!P13)</f>
        <v>23</v>
      </c>
      <c r="L14" s="66">
        <f t="shared" si="6"/>
        <v>5.721393034825871E-2</v>
      </c>
      <c r="M14" s="85">
        <f>'Water Reading'!R14-'Water Reading'!R13</f>
        <v>5</v>
      </c>
      <c r="N14" s="87">
        <f t="shared" si="7"/>
        <v>1.2437810945273632E-2</v>
      </c>
      <c r="O14" s="85">
        <f>'Water Reading'!Q14-'Water Reading'!Q13</f>
        <v>0</v>
      </c>
      <c r="P14" s="92">
        <f t="shared" si="8"/>
        <v>0</v>
      </c>
      <c r="Q14" s="86">
        <f>'Water Reading'!F14-'Water Reading'!F13</f>
        <v>1</v>
      </c>
      <c r="R14" s="93">
        <f t="shared" si="9"/>
        <v>2.4875621890547263E-3</v>
      </c>
      <c r="S14" s="85">
        <f>'Water Reading'!E14-'Water Reading'!E13</f>
        <v>84</v>
      </c>
      <c r="T14" s="93">
        <f t="shared" si="10"/>
        <v>0.20895522388059701</v>
      </c>
      <c r="U14" s="85">
        <f>'Water Reading'!G14-'Water Reading'!G13</f>
        <v>30</v>
      </c>
      <c r="V14" s="93">
        <f t="shared" si="11"/>
        <v>7.4626865671641784E-2</v>
      </c>
      <c r="W14" s="86">
        <f>'Water Reading'!J14-'Water Reading'!J13</f>
        <v>6</v>
      </c>
      <c r="X14" s="93">
        <f t="shared" si="12"/>
        <v>1.4925373134328358E-2</v>
      </c>
      <c r="Y14" s="64">
        <f t="shared" si="0"/>
        <v>357</v>
      </c>
      <c r="Z14" s="65">
        <f t="shared" si="1"/>
        <v>1.1442307692307692</v>
      </c>
    </row>
    <row r="15" spans="1:26" x14ac:dyDescent="0.25">
      <c r="A15" s="8">
        <f>'Water Reading'!A14</f>
        <v>44785</v>
      </c>
      <c r="B15" s="63">
        <f>TOTAL!I13</f>
        <v>297</v>
      </c>
      <c r="C15" s="64">
        <f>('Water Reading'!B15-'Water Reading'!B14)+('Water Reading'!C15-'Water Reading'!C14)</f>
        <v>266</v>
      </c>
      <c r="D15" s="65">
        <f t="shared" si="2"/>
        <v>0.89562289562289565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123</v>
      </c>
      <c r="H15" s="84">
        <f t="shared" si="4"/>
        <v>0.46240601503759399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16</v>
      </c>
      <c r="L15" s="66">
        <f t="shared" si="6"/>
        <v>6.0150375939849621E-2</v>
      </c>
      <c r="M15" s="85">
        <f>'Water Reading'!R15-'Water Reading'!R14</f>
        <v>1</v>
      </c>
      <c r="N15" s="87">
        <f t="shared" si="7"/>
        <v>3.7593984962406013E-3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1</v>
      </c>
      <c r="R15" s="93">
        <f t="shared" si="9"/>
        <v>3.7593984962406013E-3</v>
      </c>
      <c r="S15" s="85">
        <f>'Water Reading'!E15-'Water Reading'!E14</f>
        <v>72</v>
      </c>
      <c r="T15" s="93">
        <f t="shared" si="10"/>
        <v>0.27067669172932329</v>
      </c>
      <c r="U15" s="85">
        <f>'Water Reading'!G15-'Water Reading'!G14</f>
        <v>15</v>
      </c>
      <c r="V15" s="93">
        <f t="shared" si="11"/>
        <v>5.6390977443609019E-2</v>
      </c>
      <c r="W15" s="86">
        <f>'Water Reading'!J15-'Water Reading'!J14</f>
        <v>5</v>
      </c>
      <c r="X15" s="93">
        <f t="shared" si="12"/>
        <v>1.8796992481203006E-2</v>
      </c>
      <c r="Y15" s="64">
        <f t="shared" si="0"/>
        <v>233</v>
      </c>
      <c r="Z15" s="65">
        <f t="shared" si="1"/>
        <v>0.78451178451178449</v>
      </c>
    </row>
    <row r="16" spans="1:26" x14ac:dyDescent="0.25">
      <c r="A16" s="8">
        <f>'Water Reading'!A15</f>
        <v>44786</v>
      </c>
      <c r="B16" s="63">
        <f>TOTAL!I14</f>
        <v>0</v>
      </c>
      <c r="C16" s="64">
        <f>('Water Reading'!B16-'Water Reading'!B15)+('Water Reading'!C16-'Water Reading'!C15)</f>
        <v>310</v>
      </c>
      <c r="D16" s="65" t="e">
        <f t="shared" si="2"/>
        <v>#DIV/0!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136</v>
      </c>
      <c r="H16" s="84">
        <f t="shared" si="4"/>
        <v>0.43870967741935485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20</v>
      </c>
      <c r="L16" s="66">
        <f t="shared" si="6"/>
        <v>6.4516129032258063E-2</v>
      </c>
      <c r="M16" s="85">
        <f>'Water Reading'!R16-'Water Reading'!R15</f>
        <v>3</v>
      </c>
      <c r="N16" s="87">
        <f t="shared" si="7"/>
        <v>9.6774193548387101E-3</v>
      </c>
      <c r="O16" s="85">
        <f>'Water Reading'!Q16-'Water Reading'!Q15</f>
        <v>2</v>
      </c>
      <c r="P16" s="92">
        <f t="shared" si="8"/>
        <v>6.4516129032258064E-3</v>
      </c>
      <c r="Q16" s="86">
        <f>'Water Reading'!F16-'Water Reading'!F15</f>
        <v>0</v>
      </c>
      <c r="R16" s="93">
        <f t="shared" si="9"/>
        <v>0</v>
      </c>
      <c r="S16" s="85">
        <f>'Water Reading'!E16-'Water Reading'!E15</f>
        <v>78</v>
      </c>
      <c r="T16" s="93">
        <f t="shared" si="10"/>
        <v>0.25161290322580643</v>
      </c>
      <c r="U16" s="85">
        <f>'Water Reading'!G16-'Water Reading'!G15</f>
        <v>22</v>
      </c>
      <c r="V16" s="93">
        <f t="shared" si="11"/>
        <v>7.0967741935483872E-2</v>
      </c>
      <c r="W16" s="86">
        <f>'Water Reading'!J16-'Water Reading'!J15</f>
        <v>6</v>
      </c>
      <c r="X16" s="93">
        <f t="shared" si="12"/>
        <v>1.935483870967742E-2</v>
      </c>
      <c r="Y16" s="64">
        <f t="shared" si="0"/>
        <v>267</v>
      </c>
      <c r="Z16" s="65" t="e">
        <f t="shared" si="1"/>
        <v>#DIV/0!</v>
      </c>
    </row>
    <row r="17" spans="1:26" x14ac:dyDescent="0.25">
      <c r="A17" s="8">
        <f>'Water Reading'!A16</f>
        <v>44787</v>
      </c>
      <c r="B17" s="63">
        <f>TOTAL!I15</f>
        <v>0</v>
      </c>
      <c r="C17" s="64">
        <f>('Water Reading'!B17-'Water Reading'!B16)+('Water Reading'!C17-'Water Reading'!C16)</f>
        <v>315</v>
      </c>
      <c r="D17" s="65" t="e">
        <f t="shared" si="2"/>
        <v>#DIV/0!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0.39047619047619048</v>
      </c>
      <c r="I17" s="85">
        <f>'Water Reading'!P17-'Water Reading'!P16</f>
        <v>19</v>
      </c>
      <c r="J17" s="66">
        <f t="shared" si="5"/>
        <v>6.0317460317460318E-2</v>
      </c>
      <c r="K17" s="86">
        <f>('Water Reading'!I17-'Water Reading'!I16)-('Water Reading'!P17-'Water Reading'!P16)</f>
        <v>22</v>
      </c>
      <c r="L17" s="66">
        <f t="shared" si="6"/>
        <v>6.9841269841269843E-2</v>
      </c>
      <c r="M17" s="85">
        <f>'Water Reading'!R17-'Water Reading'!R16</f>
        <v>6</v>
      </c>
      <c r="N17" s="87">
        <f t="shared" si="7"/>
        <v>1.9047619047619049E-2</v>
      </c>
      <c r="O17" s="85">
        <f>'Water Reading'!Q17-'Water Reading'!Q16</f>
        <v>1</v>
      </c>
      <c r="P17" s="92">
        <f t="shared" si="8"/>
        <v>3.1746031746031746E-3</v>
      </c>
      <c r="Q17" s="86">
        <f>'Water Reading'!F17-'Water Reading'!F16</f>
        <v>1</v>
      </c>
      <c r="R17" s="93">
        <f t="shared" si="9"/>
        <v>3.1746031746031746E-3</v>
      </c>
      <c r="S17" s="85">
        <f>'Water Reading'!E17-'Water Reading'!E16</f>
        <v>72</v>
      </c>
      <c r="T17" s="93">
        <f t="shared" si="10"/>
        <v>0.22857142857142856</v>
      </c>
      <c r="U17" s="85">
        <f>'Water Reading'!G17-'Water Reading'!G16</f>
        <v>26</v>
      </c>
      <c r="V17" s="93">
        <f t="shared" si="11"/>
        <v>8.2539682539682538E-2</v>
      </c>
      <c r="W17" s="86">
        <f>'Water Reading'!J17-'Water Reading'!J16</f>
        <v>6</v>
      </c>
      <c r="X17" s="93">
        <f t="shared" si="12"/>
        <v>1.9047619047619049E-2</v>
      </c>
      <c r="Y17" s="64">
        <f t="shared" si="0"/>
        <v>276</v>
      </c>
      <c r="Z17" s="65" t="e">
        <f t="shared" si="1"/>
        <v>#DIV/0!</v>
      </c>
    </row>
    <row r="18" spans="1:26" x14ac:dyDescent="0.25">
      <c r="A18" s="8">
        <f>'Water Reading'!A17</f>
        <v>44788</v>
      </c>
      <c r="B18" s="63">
        <f>TOTAL!I16</f>
        <v>0</v>
      </c>
      <c r="C18" s="64">
        <f>('Water Reading'!B18-'Water Reading'!B17)+('Water Reading'!C18-'Water Reading'!C17)</f>
        <v>404</v>
      </c>
      <c r="D18" s="65" t="e">
        <f t="shared" si="2"/>
        <v>#DIV/0!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226</v>
      </c>
      <c r="H18" s="84">
        <f t="shared" si="4"/>
        <v>0.55940594059405946</v>
      </c>
      <c r="I18" s="85">
        <f>'Water Reading'!P18-'Water Reading'!P17</f>
        <v>8</v>
      </c>
      <c r="J18" s="66">
        <f t="shared" si="5"/>
        <v>1.9801980198019802E-2</v>
      </c>
      <c r="K18" s="86">
        <f>('Water Reading'!I18-'Water Reading'!I17)-('Water Reading'!P18-'Water Reading'!P17)</f>
        <v>13</v>
      </c>
      <c r="L18" s="66">
        <f t="shared" si="6"/>
        <v>3.2178217821782179E-2</v>
      </c>
      <c r="M18" s="85">
        <f>'Water Reading'!R18-'Water Reading'!R17</f>
        <v>2</v>
      </c>
      <c r="N18" s="87">
        <f t="shared" si="7"/>
        <v>4.9504950495049506E-3</v>
      </c>
      <c r="O18" s="85">
        <f>'Water Reading'!Q18-'Water Reading'!Q17</f>
        <v>3</v>
      </c>
      <c r="P18" s="92">
        <f t="shared" si="8"/>
        <v>7.4257425742574254E-3</v>
      </c>
      <c r="Q18" s="86">
        <f>'Water Reading'!F18-'Water Reading'!F17</f>
        <v>1</v>
      </c>
      <c r="R18" s="93">
        <f t="shared" si="9"/>
        <v>2.4752475247524753E-3</v>
      </c>
      <c r="S18" s="85">
        <f>'Water Reading'!E18-'Water Reading'!E17</f>
        <v>31</v>
      </c>
      <c r="T18" s="93">
        <f t="shared" si="10"/>
        <v>7.6732673267326731E-2</v>
      </c>
      <c r="U18" s="85">
        <f>'Water Reading'!G18-'Water Reading'!G17</f>
        <v>24</v>
      </c>
      <c r="V18" s="93">
        <f t="shared" si="11"/>
        <v>5.9405940594059403E-2</v>
      </c>
      <c r="W18" s="86">
        <f>'Water Reading'!J18-'Water Reading'!J17</f>
        <v>6</v>
      </c>
      <c r="X18" s="93">
        <f t="shared" si="12"/>
        <v>1.4851485148514851E-2</v>
      </c>
      <c r="Y18" s="64">
        <f t="shared" si="0"/>
        <v>314</v>
      </c>
      <c r="Z18" s="65" t="e">
        <f t="shared" si="1"/>
        <v>#DIV/0!</v>
      </c>
    </row>
    <row r="19" spans="1:26" x14ac:dyDescent="0.25">
      <c r="A19" s="8">
        <f>'Water Reading'!A18</f>
        <v>44789</v>
      </c>
      <c r="B19" s="63">
        <f>TOTAL!I17</f>
        <v>0</v>
      </c>
      <c r="C19" s="64">
        <f>('Water Reading'!B19-'Water Reading'!B18)+('Water Reading'!C19-'Water Reading'!C18)</f>
        <v>358</v>
      </c>
      <c r="D19" s="65" t="e">
        <f t="shared" si="2"/>
        <v>#DIV/0!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163</v>
      </c>
      <c r="H19" s="84">
        <f t="shared" si="4"/>
        <v>0.45530726256983239</v>
      </c>
      <c r="I19" s="85">
        <f>'Water Reading'!P19-'Water Reading'!P18</f>
        <v>21</v>
      </c>
      <c r="J19" s="66">
        <f t="shared" si="5"/>
        <v>5.8659217877094973E-2</v>
      </c>
      <c r="K19" s="86">
        <f>('Water Reading'!I19-'Water Reading'!I18)-('Water Reading'!P19-'Water Reading'!P18)</f>
        <v>33</v>
      </c>
      <c r="L19" s="66">
        <f t="shared" si="6"/>
        <v>9.217877094972067E-2</v>
      </c>
      <c r="M19" s="85">
        <f>'Water Reading'!R19-'Water Reading'!R18</f>
        <v>4</v>
      </c>
      <c r="N19" s="87">
        <f t="shared" si="7"/>
        <v>1.11731843575419E-2</v>
      </c>
      <c r="O19" s="85">
        <f>'Water Reading'!Q19-'Water Reading'!Q18</f>
        <v>2</v>
      </c>
      <c r="P19" s="92">
        <f t="shared" si="8"/>
        <v>5.5865921787709499E-3</v>
      </c>
      <c r="Q19" s="86">
        <f>'Water Reading'!F19-'Water Reading'!F18</f>
        <v>1</v>
      </c>
      <c r="R19" s="93">
        <f t="shared" si="9"/>
        <v>2.7932960893854749E-3</v>
      </c>
      <c r="S19" s="85">
        <f>'Water Reading'!E19-'Water Reading'!E18</f>
        <v>16</v>
      </c>
      <c r="T19" s="93">
        <f t="shared" si="10"/>
        <v>4.4692737430167599E-2</v>
      </c>
      <c r="U19" s="85">
        <f>'Water Reading'!G19-'Water Reading'!G18</f>
        <v>25</v>
      </c>
      <c r="V19" s="93">
        <f t="shared" si="11"/>
        <v>6.9832402234636867E-2</v>
      </c>
      <c r="W19" s="86">
        <f>'Water Reading'!J19-'Water Reading'!J18</f>
        <v>6</v>
      </c>
      <c r="X19" s="93">
        <f t="shared" si="12"/>
        <v>1.6759776536312849E-2</v>
      </c>
      <c r="Y19" s="64">
        <f t="shared" si="0"/>
        <v>271</v>
      </c>
      <c r="Z19" s="65" t="e">
        <f t="shared" si="1"/>
        <v>#DIV/0!</v>
      </c>
    </row>
    <row r="20" spans="1:26" x14ac:dyDescent="0.25">
      <c r="A20" s="8">
        <f>'Water Reading'!A19</f>
        <v>44790</v>
      </c>
      <c r="B20" s="63">
        <f>TOTAL!I18</f>
        <v>0</v>
      </c>
      <c r="C20" s="64">
        <f>('Water Reading'!B20-'Water Reading'!B19)+('Water Reading'!C20-'Water Reading'!C19)</f>
        <v>292</v>
      </c>
      <c r="D20" s="65" t="e">
        <f t="shared" si="2"/>
        <v>#DIV/0!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105</v>
      </c>
      <c r="H20" s="84">
        <f t="shared" si="4"/>
        <v>0.3595890410958904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15</v>
      </c>
      <c r="L20" s="66">
        <f t="shared" si="6"/>
        <v>5.1369863013698627E-2</v>
      </c>
      <c r="M20" s="85">
        <f>'Water Reading'!R20-'Water Reading'!R19</f>
        <v>5</v>
      </c>
      <c r="N20" s="87">
        <f t="shared" si="7"/>
        <v>1.7123287671232876E-2</v>
      </c>
      <c r="O20" s="85">
        <f>'Water Reading'!Q20-'Water Reading'!Q19</f>
        <v>3</v>
      </c>
      <c r="P20" s="92">
        <f t="shared" si="8"/>
        <v>1.0273972602739725E-2</v>
      </c>
      <c r="Q20" s="86">
        <f>'Water Reading'!F20-'Water Reading'!F19</f>
        <v>1</v>
      </c>
      <c r="R20" s="93">
        <f t="shared" si="9"/>
        <v>3.4246575342465752E-3</v>
      </c>
      <c r="S20" s="85">
        <f>'Water Reading'!E20-'Water Reading'!E19</f>
        <v>180</v>
      </c>
      <c r="T20" s="93">
        <f t="shared" si="10"/>
        <v>0.61643835616438358</v>
      </c>
      <c r="U20" s="85">
        <f>'Water Reading'!G20-'Water Reading'!G19</f>
        <v>28</v>
      </c>
      <c r="V20" s="93">
        <f t="shared" si="11"/>
        <v>9.5890410958904104E-2</v>
      </c>
      <c r="W20" s="125">
        <f>'Water Reading'!J20-'Water Reading'!J19</f>
        <v>14</v>
      </c>
      <c r="X20" s="93">
        <f t="shared" si="12"/>
        <v>4.7945205479452052E-2</v>
      </c>
      <c r="Y20" s="64">
        <f t="shared" si="0"/>
        <v>351</v>
      </c>
      <c r="Z20" s="65" t="e">
        <f t="shared" si="1"/>
        <v>#DIV/0!</v>
      </c>
    </row>
    <row r="21" spans="1:26" x14ac:dyDescent="0.25">
      <c r="A21" s="8">
        <f>'Water Reading'!A20</f>
        <v>44791</v>
      </c>
      <c r="B21" s="63">
        <f>TOTAL!I19</f>
        <v>0</v>
      </c>
      <c r="C21" s="64">
        <f>('Water Reading'!B21-'Water Reading'!B20)+('Water Reading'!C21-'Water Reading'!C20)</f>
        <v>463</v>
      </c>
      <c r="D21" s="65" t="e">
        <f t="shared" si="2"/>
        <v>#DIV/0!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237</v>
      </c>
      <c r="H21" s="84">
        <f t="shared" si="4"/>
        <v>0.51187904967602593</v>
      </c>
      <c r="I21" s="85">
        <f>'Water Reading'!P21-'Water Reading'!P20</f>
        <v>13</v>
      </c>
      <c r="J21" s="66">
        <f t="shared" si="5"/>
        <v>2.8077753779697623E-2</v>
      </c>
      <c r="K21" s="86">
        <f>('Water Reading'!I21-'Water Reading'!I20)-('Water Reading'!P21-'Water Reading'!P20)</f>
        <v>32</v>
      </c>
      <c r="L21" s="66">
        <f t="shared" si="6"/>
        <v>6.9114470842332618E-2</v>
      </c>
      <c r="M21" s="85">
        <f>'Water Reading'!R21-'Water Reading'!R20</f>
        <v>3</v>
      </c>
      <c r="N21" s="87">
        <f t="shared" si="7"/>
        <v>6.4794816414686825E-3</v>
      </c>
      <c r="O21" s="85">
        <f>'Water Reading'!Q21-'Water Reading'!Q20</f>
        <v>3</v>
      </c>
      <c r="P21" s="92">
        <f t="shared" si="8"/>
        <v>6.4794816414686825E-3</v>
      </c>
      <c r="Q21" s="86">
        <f>'Water Reading'!F21-'Water Reading'!F20</f>
        <v>208890</v>
      </c>
      <c r="R21" s="93">
        <f t="shared" si="9"/>
        <v>451.16630669546436</v>
      </c>
      <c r="S21" s="85">
        <f>'Water Reading'!E21-'Water Reading'!E20</f>
        <v>82</v>
      </c>
      <c r="T21" s="93">
        <f t="shared" si="10"/>
        <v>0.17710583153347731</v>
      </c>
      <c r="U21" s="85">
        <f>'Water Reading'!G21-'Water Reading'!G20</f>
        <v>41</v>
      </c>
      <c r="V21" s="93">
        <f t="shared" si="11"/>
        <v>8.8552915766738655E-2</v>
      </c>
      <c r="W21" s="86">
        <f>'Water Reading'!J21-'Water Reading'!J20</f>
        <v>-3</v>
      </c>
      <c r="X21" s="93">
        <f t="shared" si="12"/>
        <v>-6.4794816414686825E-3</v>
      </c>
      <c r="Y21" s="64">
        <f t="shared" si="0"/>
        <v>209298</v>
      </c>
      <c r="Z21" s="65" t="e">
        <f t="shared" si="1"/>
        <v>#DIV/0!</v>
      </c>
    </row>
    <row r="22" spans="1:26" x14ac:dyDescent="0.25">
      <c r="A22" s="8">
        <f>'Water Reading'!A21</f>
        <v>44792</v>
      </c>
      <c r="B22" s="63">
        <f>TOTAL!I20</f>
        <v>0</v>
      </c>
      <c r="C22" s="64">
        <f>('Water Reading'!B22-'Water Reading'!B21)+('Water Reading'!C22-'Water Reading'!C21)</f>
        <v>88577</v>
      </c>
      <c r="D22" s="65" t="e">
        <f t="shared" si="2"/>
        <v>#DIV/0!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110</v>
      </c>
      <c r="H22" s="84">
        <f t="shared" si="4"/>
        <v>1.2418573670365896E-3</v>
      </c>
      <c r="I22" s="134">
        <f>'Water Reading'!P22-'Water Reading'!P21</f>
        <v>4</v>
      </c>
      <c r="J22" s="66">
        <f t="shared" si="5"/>
        <v>4.5158449710421439E-5</v>
      </c>
      <c r="K22" s="86">
        <f>('Water Reading'!I22-'Water Reading'!I21)-('Water Reading'!P22-'Water Reading'!P21)</f>
        <v>18</v>
      </c>
      <c r="L22" s="66">
        <f t="shared" si="6"/>
        <v>2.0321302369689649E-4</v>
      </c>
      <c r="M22" s="85">
        <f>'Water Reading'!R22-'Water Reading'!R21</f>
        <v>1</v>
      </c>
      <c r="N22" s="87">
        <f t="shared" si="7"/>
        <v>1.128961242760536E-5</v>
      </c>
      <c r="O22" s="85">
        <f>'Water Reading'!Q22-'Water Reading'!Q21</f>
        <v>4</v>
      </c>
      <c r="P22" s="92">
        <f t="shared" si="8"/>
        <v>4.5158449710421439E-5</v>
      </c>
      <c r="Q22" s="86">
        <f>'Water Reading'!F22-'Water Reading'!F21</f>
        <v>-208889</v>
      </c>
      <c r="R22" s="93">
        <f t="shared" si="9"/>
        <v>-2.358275850390056</v>
      </c>
      <c r="S22" s="85">
        <f>'Water Reading'!E22-'Water Reading'!E21</f>
        <v>71</v>
      </c>
      <c r="T22" s="93">
        <f t="shared" si="10"/>
        <v>8.0156248235998054E-4</v>
      </c>
      <c r="U22" s="85">
        <f>'Water Reading'!G22-'Water Reading'!G21</f>
        <v>28</v>
      </c>
      <c r="V22" s="93">
        <f t="shared" si="11"/>
        <v>3.161091479729501E-4</v>
      </c>
      <c r="W22" s="86">
        <f>'Water Reading'!J22-'Water Reading'!J21</f>
        <v>6</v>
      </c>
      <c r="X22" s="93">
        <f t="shared" si="12"/>
        <v>6.7737674565632159E-5</v>
      </c>
      <c r="Y22" s="64">
        <f t="shared" si="0"/>
        <v>-208647</v>
      </c>
      <c r="Z22" s="65" t="e">
        <f t="shared" si="1"/>
        <v>#DIV/0!</v>
      </c>
    </row>
    <row r="23" spans="1:26" x14ac:dyDescent="0.25">
      <c r="A23" s="8">
        <f>'Water Reading'!A22</f>
        <v>44793</v>
      </c>
      <c r="B23" s="63">
        <f>TOTAL!I21</f>
        <v>0</v>
      </c>
      <c r="C23" s="64">
        <f>('Water Reading'!B23-'Water Reading'!B22)+('Water Reading'!C23-'Water Reading'!C22)</f>
        <v>-88005</v>
      </c>
      <c r="D23" s="65" t="e">
        <f t="shared" si="2"/>
        <v>#DIV/0!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121</v>
      </c>
      <c r="H23" s="84">
        <f t="shared" si="4"/>
        <v>-1.3749218794386682E-3</v>
      </c>
      <c r="I23" s="134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20</v>
      </c>
      <c r="L23" s="66">
        <f t="shared" si="6"/>
        <v>-2.2725981478325096E-4</v>
      </c>
      <c r="M23" s="85">
        <f>'Water Reading'!R23-'Water Reading'!R22</f>
        <v>6</v>
      </c>
      <c r="N23" s="87">
        <f t="shared" si="7"/>
        <v>-6.8177944434975288E-5</v>
      </c>
      <c r="O23" s="85">
        <f>'Water Reading'!Q23-'Water Reading'!Q22</f>
        <v>7</v>
      </c>
      <c r="P23" s="92">
        <f t="shared" si="8"/>
        <v>-7.9540935174137836E-5</v>
      </c>
      <c r="Q23" s="86">
        <f>'Water Reading'!F23-'Water Reading'!F22</f>
        <v>0</v>
      </c>
      <c r="R23" s="93">
        <f t="shared" si="9"/>
        <v>0</v>
      </c>
      <c r="S23" s="85">
        <f>'Water Reading'!E23-'Water Reading'!E22</f>
        <v>61</v>
      </c>
      <c r="T23" s="93">
        <f t="shared" si="10"/>
        <v>-6.9314243508891542E-4</v>
      </c>
      <c r="U23" s="85">
        <f>'Water Reading'!G23-'Water Reading'!G22</f>
        <v>29</v>
      </c>
      <c r="V23" s="93">
        <f t="shared" si="11"/>
        <v>-3.2952673143571388E-4</v>
      </c>
      <c r="W23" s="86">
        <f>'Water Reading'!J23-'Water Reading'!J22</f>
        <v>5</v>
      </c>
      <c r="X23" s="93">
        <f t="shared" si="12"/>
        <v>-5.681495369581274E-5</v>
      </c>
      <c r="Y23" s="64">
        <f t="shared" si="0"/>
        <v>249</v>
      </c>
      <c r="Z23" s="65" t="e">
        <f t="shared" si="1"/>
        <v>#DIV/0!</v>
      </c>
    </row>
    <row r="24" spans="1:26" x14ac:dyDescent="0.25">
      <c r="A24" s="8">
        <f>'Water Reading'!A23</f>
        <v>44794</v>
      </c>
      <c r="B24" s="63">
        <f>TOTAL!I22</f>
        <v>0</v>
      </c>
      <c r="C24" s="64">
        <f>('Water Reading'!B24-'Water Reading'!B23)+('Water Reading'!C24-'Water Reading'!C23)</f>
        <v>351</v>
      </c>
      <c r="D24" s="65" t="e">
        <f t="shared" si="2"/>
        <v>#DIV/0!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150</v>
      </c>
      <c r="H24" s="84">
        <f t="shared" si="4"/>
        <v>0.42735042735042733</v>
      </c>
      <c r="I24" s="85">
        <f>'Water Reading'!P24-'Water Reading'!P23</f>
        <v>23</v>
      </c>
      <c r="J24" s="66">
        <f t="shared" si="5"/>
        <v>6.5527065527065526E-2</v>
      </c>
      <c r="K24" s="86">
        <f>('Water Reading'!I24-'Water Reading'!I23)-('Water Reading'!P24-'Water Reading'!P23)</f>
        <v>24</v>
      </c>
      <c r="L24" s="66">
        <f t="shared" si="6"/>
        <v>6.8376068376068383E-2</v>
      </c>
      <c r="M24" s="85">
        <f>'Water Reading'!R24-'Water Reading'!R23</f>
        <v>3</v>
      </c>
      <c r="N24" s="87">
        <f t="shared" si="7"/>
        <v>8.5470085470085479E-3</v>
      </c>
      <c r="O24" s="85">
        <f>'Water Reading'!Q24-'Water Reading'!Q23</f>
        <v>1</v>
      </c>
      <c r="P24" s="92">
        <f t="shared" si="8"/>
        <v>2.8490028490028491E-3</v>
      </c>
      <c r="Q24" s="86">
        <f>'Water Reading'!F24-'Water Reading'!F23</f>
        <v>1</v>
      </c>
      <c r="R24" s="93">
        <f t="shared" si="9"/>
        <v>2.8490028490028491E-3</v>
      </c>
      <c r="S24" s="85">
        <f>'Water Reading'!E24-'Water Reading'!E23</f>
        <v>72</v>
      </c>
      <c r="T24" s="93">
        <f t="shared" si="10"/>
        <v>0.20512820512820512</v>
      </c>
      <c r="U24" s="85">
        <f>'Water Reading'!G24-'Water Reading'!G23</f>
        <v>30</v>
      </c>
      <c r="V24" s="93">
        <f t="shared" si="11"/>
        <v>8.5470085470085472E-2</v>
      </c>
      <c r="W24" s="86">
        <f>'Water Reading'!J24-'Water Reading'!J23</f>
        <v>6</v>
      </c>
      <c r="X24" s="93">
        <f t="shared" si="12"/>
        <v>1.7094017094017096E-2</v>
      </c>
      <c r="Y24" s="64">
        <f t="shared" si="0"/>
        <v>310</v>
      </c>
      <c r="Z24" s="65" t="e">
        <f t="shared" si="1"/>
        <v>#DIV/0!</v>
      </c>
    </row>
    <row r="25" spans="1:26" x14ac:dyDescent="0.25">
      <c r="A25" s="8">
        <f>'Water Reading'!A24</f>
        <v>44795</v>
      </c>
      <c r="B25" s="63">
        <f>TOTAL!I23</f>
        <v>0</v>
      </c>
      <c r="C25" s="64">
        <f>('Water Reading'!B25-'Water Reading'!B24)+('Water Reading'!C25-'Water Reading'!C24)</f>
        <v>455</v>
      </c>
      <c r="D25" s="65" t="e">
        <f t="shared" si="2"/>
        <v>#DIV/0!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245</v>
      </c>
      <c r="H25" s="84">
        <f t="shared" si="4"/>
        <v>0.53846153846153844</v>
      </c>
      <c r="I25" s="85">
        <f>'Water Reading'!P25-'Water Reading'!P24</f>
        <v>3</v>
      </c>
      <c r="J25" s="66">
        <f t="shared" si="5"/>
        <v>6.5934065934065934E-3</v>
      </c>
      <c r="K25" s="86">
        <f>('Water Reading'!I25-'Water Reading'!I24)-('Water Reading'!P25-'Water Reading'!P24)</f>
        <v>20</v>
      </c>
      <c r="L25" s="66">
        <f t="shared" si="6"/>
        <v>4.3956043956043959E-2</v>
      </c>
      <c r="M25" s="85">
        <f>'Water Reading'!R25-'Water Reading'!R24</f>
        <v>4</v>
      </c>
      <c r="N25" s="87">
        <f t="shared" si="7"/>
        <v>8.7912087912087912E-3</v>
      </c>
      <c r="O25" s="85">
        <f>'Water Reading'!Q25-'Water Reading'!Q24</f>
        <v>1</v>
      </c>
      <c r="P25" s="92">
        <f t="shared" si="8"/>
        <v>2.1978021978021978E-3</v>
      </c>
      <c r="Q25" s="86">
        <f>'Water Reading'!F25-'Water Reading'!F24</f>
        <v>0</v>
      </c>
      <c r="R25" s="93">
        <f t="shared" si="9"/>
        <v>0</v>
      </c>
      <c r="S25" s="85">
        <f>'Water Reading'!E25-'Water Reading'!E24</f>
        <v>71</v>
      </c>
      <c r="T25" s="93">
        <f t="shared" si="10"/>
        <v>0.15604395604395604</v>
      </c>
      <c r="U25" s="85">
        <f>'Water Reading'!G25-'Water Reading'!G24</f>
        <v>30</v>
      </c>
      <c r="V25" s="93">
        <f t="shared" si="11"/>
        <v>6.5934065934065936E-2</v>
      </c>
      <c r="W25" s="86">
        <f>'Water Reading'!J25-'Water Reading'!J24</f>
        <v>6</v>
      </c>
      <c r="X25" s="93">
        <f t="shared" si="12"/>
        <v>1.3186813186813187E-2</v>
      </c>
      <c r="Y25" s="64">
        <f t="shared" si="0"/>
        <v>380</v>
      </c>
      <c r="Z25" s="65" t="e">
        <f t="shared" si="1"/>
        <v>#DIV/0!</v>
      </c>
    </row>
    <row r="26" spans="1:26" x14ac:dyDescent="0.25">
      <c r="A26" s="8">
        <f>'Water Reading'!A25</f>
        <v>44796</v>
      </c>
      <c r="B26" s="63">
        <f>TOTAL!I24</f>
        <v>0</v>
      </c>
      <c r="C26" s="64">
        <f>('Water Reading'!B26-'Water Reading'!B25)+('Water Reading'!C26-'Water Reading'!C25)</f>
        <v>342</v>
      </c>
      <c r="D26" s="65" t="e">
        <f t="shared" si="2"/>
        <v>#DIV/0!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-252186</v>
      </c>
      <c r="H26" s="84">
        <f t="shared" si="4"/>
        <v>-737.38596491228066</v>
      </c>
      <c r="I26" s="85">
        <f>'Water Reading'!P26-'Water Reading'!P25</f>
        <v>0</v>
      </c>
      <c r="J26" s="66">
        <f t="shared" si="5"/>
        <v>0</v>
      </c>
      <c r="K26" s="86">
        <f>('Water Reading'!I26-'Water Reading'!I25)-('Water Reading'!P26-'Water Reading'!P25)</f>
        <v>27</v>
      </c>
      <c r="L26" s="66">
        <f t="shared" si="6"/>
        <v>7.8947368421052627E-2</v>
      </c>
      <c r="M26" s="85">
        <f>'Water Reading'!R26-'Water Reading'!R25</f>
        <v>3</v>
      </c>
      <c r="N26" s="87">
        <f t="shared" si="7"/>
        <v>8.771929824561403E-3</v>
      </c>
      <c r="O26" s="85">
        <f>'Water Reading'!Q26-'Water Reading'!Q25</f>
        <v>8</v>
      </c>
      <c r="P26" s="92">
        <f t="shared" si="8"/>
        <v>2.3391812865497075E-2</v>
      </c>
      <c r="Q26" s="86">
        <f>'Water Reading'!F26-'Water Reading'!F25</f>
        <v>3</v>
      </c>
      <c r="R26" s="93">
        <f t="shared" si="9"/>
        <v>8.771929824561403E-3</v>
      </c>
      <c r="S26" s="85">
        <f>'Water Reading'!E26-'Water Reading'!E25</f>
        <v>79</v>
      </c>
      <c r="T26" s="93">
        <f t="shared" si="10"/>
        <v>0.23099415204678361</v>
      </c>
      <c r="U26" s="85">
        <f>'Water Reading'!G26-'Water Reading'!G25</f>
        <v>32</v>
      </c>
      <c r="V26" s="93">
        <f t="shared" si="11"/>
        <v>9.3567251461988299E-2</v>
      </c>
      <c r="W26" s="86">
        <f>'Water Reading'!J26-'Water Reading'!J25</f>
        <v>6</v>
      </c>
      <c r="X26" s="93">
        <f t="shared" si="12"/>
        <v>1.7543859649122806E-2</v>
      </c>
      <c r="Y26" s="64">
        <f t="shared" si="0"/>
        <v>-252028</v>
      </c>
      <c r="Z26" s="65" t="e">
        <f t="shared" si="1"/>
        <v>#DIV/0!</v>
      </c>
    </row>
    <row r="27" spans="1:26" x14ac:dyDescent="0.25">
      <c r="A27" s="8">
        <f>'Water Reading'!A26</f>
        <v>44797</v>
      </c>
      <c r="B27" s="63">
        <f>TOTAL!I25</f>
        <v>0</v>
      </c>
      <c r="C27" s="64">
        <f>('Water Reading'!B27-'Water Reading'!B26)+('Water Reading'!C27-'Water Reading'!C26)</f>
        <v>485</v>
      </c>
      <c r="D27" s="65" t="e">
        <f t="shared" si="2"/>
        <v>#DIV/0!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252624</v>
      </c>
      <c r="H27" s="84">
        <f t="shared" si="4"/>
        <v>520.87422680412374</v>
      </c>
      <c r="I27" s="85">
        <f>'Water Reading'!P27-'Water Reading'!P26</f>
        <v>-486</v>
      </c>
      <c r="J27" s="66">
        <f t="shared" si="5"/>
        <v>-1.0020618556701031</v>
      </c>
      <c r="K27" s="86">
        <f>('Water Reading'!I27-'Water Reading'!I26)-('Water Reading'!P27-'Water Reading'!P26)</f>
        <v>516</v>
      </c>
      <c r="L27" s="66">
        <f t="shared" si="6"/>
        <v>1.0639175257731959</v>
      </c>
      <c r="M27" s="85">
        <f>'Water Reading'!R27-'Water Reading'!R26</f>
        <v>2</v>
      </c>
      <c r="N27" s="87">
        <f t="shared" si="7"/>
        <v>4.1237113402061857E-3</v>
      </c>
      <c r="O27" s="85">
        <f>'Water Reading'!Q27-'Water Reading'!Q26</f>
        <v>9</v>
      </c>
      <c r="P27" s="92">
        <f t="shared" si="8"/>
        <v>1.8556701030927835E-2</v>
      </c>
      <c r="Q27" s="86">
        <f>'Water Reading'!F27-'Water Reading'!F26</f>
        <v>0</v>
      </c>
      <c r="R27" s="93">
        <f t="shared" si="9"/>
        <v>0</v>
      </c>
      <c r="S27" s="85">
        <f>'Water Reading'!E27-'Water Reading'!E26</f>
        <v>74</v>
      </c>
      <c r="T27" s="93">
        <f t="shared" si="10"/>
        <v>0.15257731958762888</v>
      </c>
      <c r="U27" s="85">
        <f>'Water Reading'!G27-'Water Reading'!G26</f>
        <v>33</v>
      </c>
      <c r="V27" s="93">
        <f t="shared" si="11"/>
        <v>6.8041237113402056E-2</v>
      </c>
      <c r="W27" s="86">
        <f>'Water Reading'!J27-'Water Reading'!J26</f>
        <v>6</v>
      </c>
      <c r="X27" s="93">
        <f t="shared" si="12"/>
        <v>1.2371134020618556E-2</v>
      </c>
      <c r="Y27" s="64">
        <f t="shared" si="0"/>
        <v>252778</v>
      </c>
      <c r="Z27" s="65" t="e">
        <f t="shared" si="1"/>
        <v>#DIV/0!</v>
      </c>
    </row>
    <row r="28" spans="1:26" x14ac:dyDescent="0.25">
      <c r="A28" s="8">
        <f>'Water Reading'!A27</f>
        <v>44798</v>
      </c>
      <c r="B28" s="63">
        <f>TOTAL!I26</f>
        <v>0</v>
      </c>
      <c r="C28" s="64">
        <f>('Water Reading'!B28-'Water Reading'!B27)+('Water Reading'!C28-'Water Reading'!C27)</f>
        <v>430</v>
      </c>
      <c r="D28" s="65" t="e">
        <f t="shared" si="2"/>
        <v>#DIV/0!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189</v>
      </c>
      <c r="H28" s="84">
        <f t="shared" si="4"/>
        <v>0.43953488372093025</v>
      </c>
      <c r="I28" s="85">
        <f>'Water Reading'!P28-'Water Reading'!P27</f>
        <v>616</v>
      </c>
      <c r="J28" s="66">
        <f t="shared" si="5"/>
        <v>1.4325581395348836</v>
      </c>
      <c r="K28" s="125">
        <f>('Water Reading'!I28-'Water Reading'!I27)-('Water Reading'!P28-'Water Reading'!P27)</f>
        <v>-568</v>
      </c>
      <c r="L28" s="135">
        <f t="shared" si="6"/>
        <v>-1.3209302325581396</v>
      </c>
      <c r="M28" s="85">
        <f>'Water Reading'!R28-'Water Reading'!R27</f>
        <v>6</v>
      </c>
      <c r="N28" s="87">
        <f t="shared" si="7"/>
        <v>1.3953488372093023E-2</v>
      </c>
      <c r="O28" s="85">
        <f>'Water Reading'!Q28-'Water Reading'!Q27</f>
        <v>1</v>
      </c>
      <c r="P28" s="92">
        <f t="shared" si="8"/>
        <v>2.3255813953488372E-3</v>
      </c>
      <c r="Q28" s="86">
        <f>'Water Reading'!F28-'Water Reading'!F27</f>
        <v>1</v>
      </c>
      <c r="R28" s="93">
        <f t="shared" si="9"/>
        <v>2.3255813953488372E-3</v>
      </c>
      <c r="S28" s="85">
        <f>'Water Reading'!E28-'Water Reading'!E27</f>
        <v>90</v>
      </c>
      <c r="T28" s="93">
        <f t="shared" si="10"/>
        <v>0.20930232558139536</v>
      </c>
      <c r="U28" s="85">
        <f>'Water Reading'!G28-'Water Reading'!G27</f>
        <v>41</v>
      </c>
      <c r="V28" s="93">
        <f t="shared" si="11"/>
        <v>9.5348837209302331E-2</v>
      </c>
      <c r="W28" s="86">
        <f>'Water Reading'!J28-'Water Reading'!J27</f>
        <v>7</v>
      </c>
      <c r="X28" s="93">
        <f t="shared" si="12"/>
        <v>1.627906976744186E-2</v>
      </c>
      <c r="Y28" s="64">
        <f t="shared" si="0"/>
        <v>383</v>
      </c>
      <c r="Z28" s="65" t="e">
        <f t="shared" si="1"/>
        <v>#DIV/0!</v>
      </c>
    </row>
    <row r="29" spans="1:26" x14ac:dyDescent="0.25">
      <c r="A29" s="8">
        <f>'Water Reading'!A28</f>
        <v>44799</v>
      </c>
      <c r="B29" s="63">
        <f>TOTAL!I27</f>
        <v>0</v>
      </c>
      <c r="C29" s="64">
        <f>('Water Reading'!B29-'Water Reading'!B28)+('Water Reading'!C29-'Water Reading'!C28)</f>
        <v>280</v>
      </c>
      <c r="D29" s="65" t="e">
        <f t="shared" si="2"/>
        <v>#DIV/0!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128</v>
      </c>
      <c r="H29" s="84">
        <f t="shared" si="4"/>
        <v>0.45714285714285713</v>
      </c>
      <c r="I29" s="85">
        <f>'Water Reading'!P29-'Water Reading'!P28</f>
        <v>-698</v>
      </c>
      <c r="J29" s="66">
        <f t="shared" si="5"/>
        <v>-2.4928571428571429</v>
      </c>
      <c r="K29" s="86">
        <f>('Water Reading'!I29-'Water Reading'!I28)-('Water Reading'!P29-'Water Reading'!P28)</f>
        <v>721</v>
      </c>
      <c r="L29" s="66">
        <f t="shared" si="6"/>
        <v>2.5750000000000002</v>
      </c>
      <c r="M29" s="85">
        <f>'Water Reading'!R29-'Water Reading'!R28</f>
        <v>0</v>
      </c>
      <c r="N29" s="87">
        <f t="shared" si="7"/>
        <v>0</v>
      </c>
      <c r="O29" s="85">
        <f>'Water Reading'!Q29-'Water Reading'!Q28</f>
        <v>3</v>
      </c>
      <c r="P29" s="92">
        <f t="shared" si="8"/>
        <v>1.0714285714285714E-2</v>
      </c>
      <c r="Q29" s="86">
        <f>'Water Reading'!F29-'Water Reading'!F28</f>
        <v>1</v>
      </c>
      <c r="R29" s="93">
        <f t="shared" si="9"/>
        <v>3.5714285714285713E-3</v>
      </c>
      <c r="S29" s="85">
        <f>'Water Reading'!E29-'Water Reading'!E28</f>
        <v>69</v>
      </c>
      <c r="T29" s="93">
        <f t="shared" si="10"/>
        <v>0.24642857142857144</v>
      </c>
      <c r="U29" s="85">
        <f>'Water Reading'!G29-'Water Reading'!G28</f>
        <v>18</v>
      </c>
      <c r="V29" s="93">
        <f t="shared" si="11"/>
        <v>6.4285714285714279E-2</v>
      </c>
      <c r="W29" s="86">
        <f>'Water Reading'!J29-'Water Reading'!J28</f>
        <v>5</v>
      </c>
      <c r="X29" s="93">
        <f t="shared" si="12"/>
        <v>1.7857142857142856E-2</v>
      </c>
      <c r="Y29" s="64">
        <f t="shared" si="0"/>
        <v>247</v>
      </c>
      <c r="Z29" s="65" t="e">
        <f t="shared" si="1"/>
        <v>#DIV/0!</v>
      </c>
    </row>
    <row r="30" spans="1:26" x14ac:dyDescent="0.25">
      <c r="A30" s="8">
        <f>'Water Reading'!A29</f>
        <v>44800</v>
      </c>
      <c r="B30" s="63">
        <f>TOTAL!I28</f>
        <v>0</v>
      </c>
      <c r="C30" s="64">
        <f>('Water Reading'!B30-'Water Reading'!B29)+('Water Reading'!C30-'Water Reading'!C29)</f>
        <v>326</v>
      </c>
      <c r="D30" s="65" t="e">
        <f t="shared" si="2"/>
        <v>#DIV/0!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143</v>
      </c>
      <c r="H30" s="84">
        <f t="shared" si="4"/>
        <v>0.43865030674846628</v>
      </c>
      <c r="I30" s="85">
        <f>'Water Reading'!P30-'Water Reading'!P29</f>
        <v>600</v>
      </c>
      <c r="J30" s="66">
        <f t="shared" si="5"/>
        <v>1.8404907975460123</v>
      </c>
      <c r="K30" s="86">
        <f>('Water Reading'!I30-'Water Reading'!I29)-('Water Reading'!P30-'Water Reading'!P29)</f>
        <v>-577</v>
      </c>
      <c r="L30" s="66">
        <f t="shared" si="6"/>
        <v>-1.7699386503067485</v>
      </c>
      <c r="M30" s="85">
        <f>'Water Reading'!R30-'Water Reading'!R29</f>
        <v>4</v>
      </c>
      <c r="N30" s="87">
        <f t="shared" si="7"/>
        <v>1.2269938650306749E-2</v>
      </c>
      <c r="O30" s="85">
        <f>'Water Reading'!Q30-'Water Reading'!Q29</f>
        <v>0</v>
      </c>
      <c r="P30" s="92">
        <f t="shared" si="8"/>
        <v>0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81</v>
      </c>
      <c r="T30" s="93">
        <f t="shared" si="10"/>
        <v>0.24846625766871167</v>
      </c>
      <c r="U30" s="85">
        <f>'Water Reading'!G30-'Water Reading'!G29</f>
        <v>31</v>
      </c>
      <c r="V30" s="93">
        <f t="shared" si="11"/>
        <v>9.5092024539877307E-2</v>
      </c>
      <c r="W30" s="86">
        <f>'Water Reading'!J30-'Water Reading'!J29</f>
        <v>7</v>
      </c>
      <c r="X30" s="93">
        <f t="shared" si="12"/>
        <v>2.1472392638036811E-2</v>
      </c>
      <c r="Y30" s="64">
        <f t="shared" si="0"/>
        <v>289</v>
      </c>
      <c r="Z30" s="65" t="e">
        <f t="shared" si="1"/>
        <v>#DIV/0!</v>
      </c>
    </row>
    <row r="31" spans="1:26" x14ac:dyDescent="0.25">
      <c r="A31" s="8">
        <f>'Water Reading'!A30</f>
        <v>44801</v>
      </c>
      <c r="B31" s="63">
        <f>TOTAL!I29</f>
        <v>0</v>
      </c>
      <c r="C31" s="64">
        <f>('Water Reading'!B31-'Water Reading'!B30)+('Water Reading'!C31-'Water Reading'!C30)</f>
        <v>285</v>
      </c>
      <c r="D31" s="65" t="e">
        <f t="shared" si="2"/>
        <v>#DIV/0!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126</v>
      </c>
      <c r="H31" s="84">
        <f t="shared" si="4"/>
        <v>0.44210526315789472</v>
      </c>
      <c r="I31" s="85">
        <f>'Water Reading'!P31-'Water Reading'!P30</f>
        <v>0</v>
      </c>
      <c r="J31" s="66">
        <f t="shared" si="5"/>
        <v>0</v>
      </c>
      <c r="K31" s="86">
        <f>('Water Reading'!I31-'Water Reading'!I30)-('Water Reading'!P31-'Water Reading'!P30)</f>
        <v>23</v>
      </c>
      <c r="L31" s="66">
        <f t="shared" si="6"/>
        <v>8.0701754385964913E-2</v>
      </c>
      <c r="M31" s="85">
        <f>'Water Reading'!R31-'Water Reading'!R30</f>
        <v>3</v>
      </c>
      <c r="N31" s="87">
        <f t="shared" si="7"/>
        <v>1.0526315789473684E-2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1</v>
      </c>
      <c r="R31" s="93">
        <f t="shared" si="9"/>
        <v>3.5087719298245615E-3</v>
      </c>
      <c r="S31" s="85">
        <f>'Water Reading'!E31-'Water Reading'!E30</f>
        <v>68</v>
      </c>
      <c r="T31" s="93">
        <f t="shared" si="10"/>
        <v>0.23859649122807017</v>
      </c>
      <c r="U31" s="85">
        <f>'Water Reading'!G31-'Water Reading'!G30</f>
        <v>22</v>
      </c>
      <c r="V31" s="93">
        <f t="shared" si="11"/>
        <v>7.7192982456140355E-2</v>
      </c>
      <c r="W31" s="86">
        <f>'Water Reading'!J31-'Water Reading'!J30</f>
        <v>6</v>
      </c>
      <c r="X31" s="93">
        <f t="shared" si="12"/>
        <v>2.1052631578947368E-2</v>
      </c>
      <c r="Y31" s="64">
        <f t="shared" si="0"/>
        <v>249</v>
      </c>
      <c r="Z31" s="65" t="e">
        <f t="shared" si="1"/>
        <v>#DIV/0!</v>
      </c>
    </row>
    <row r="32" spans="1:26" x14ac:dyDescent="0.25">
      <c r="A32" s="8">
        <f>'Water Reading'!A31</f>
        <v>44802</v>
      </c>
      <c r="B32" s="63">
        <f>TOTAL!I30</f>
        <v>0</v>
      </c>
      <c r="C32" s="64">
        <f>('Water Reading'!B32-'Water Reading'!B31)+('Water Reading'!C32-'Water Reading'!C31)</f>
        <v>356</v>
      </c>
      <c r="D32" s="65" t="e">
        <f t="shared" si="2"/>
        <v>#DIV/0!</v>
      </c>
      <c r="E32" s="83">
        <f>'Water Reading'!H32-'Water Reading'!H31</f>
        <v>-50</v>
      </c>
      <c r="F32" s="84">
        <f t="shared" si="3"/>
        <v>-0.1404494382022472</v>
      </c>
      <c r="G32" s="88">
        <f>('Water Reading'!D32-'Water Reading'!D31)-('Water Reading'!R32-'Water Reading'!R31)-('Water Reading'!Q32-'Water Reading'!Q31)</f>
        <v>206</v>
      </c>
      <c r="H32" s="84">
        <f t="shared" si="4"/>
        <v>0.5786516853932584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18</v>
      </c>
      <c r="L32" s="66">
        <f t="shared" si="6"/>
        <v>5.0561797752808987E-2</v>
      </c>
      <c r="M32" s="85">
        <f>'Water Reading'!R32-'Water Reading'!R31</f>
        <v>4</v>
      </c>
      <c r="N32" s="87">
        <f t="shared" si="7"/>
        <v>1.1235955056179775E-2</v>
      </c>
      <c r="O32" s="85">
        <f>'Water Reading'!Q32-'Water Reading'!Q31</f>
        <v>0</v>
      </c>
      <c r="P32" s="92">
        <f t="shared" si="8"/>
        <v>0</v>
      </c>
      <c r="Q32" s="86">
        <f>'Water Reading'!F32-'Water Reading'!F31</f>
        <v>1</v>
      </c>
      <c r="R32" s="93">
        <f t="shared" si="9"/>
        <v>2.8089887640449437E-3</v>
      </c>
      <c r="S32" s="85">
        <f>'Water Reading'!E32-'Water Reading'!E31</f>
        <v>66</v>
      </c>
      <c r="T32" s="93">
        <f t="shared" si="10"/>
        <v>0.1853932584269663</v>
      </c>
      <c r="U32" s="85">
        <f>'Water Reading'!G32-'Water Reading'!G31</f>
        <v>22</v>
      </c>
      <c r="V32" s="93">
        <f t="shared" si="11"/>
        <v>6.1797752808988762E-2</v>
      </c>
      <c r="W32" s="86">
        <f>'Water Reading'!J32-'Water Reading'!J31</f>
        <v>6</v>
      </c>
      <c r="X32" s="93">
        <f t="shared" si="12"/>
        <v>1.6853932584269662E-2</v>
      </c>
      <c r="Y32" s="64">
        <f t="shared" si="0"/>
        <v>273</v>
      </c>
      <c r="Z32" s="65" t="e">
        <f t="shared" si="1"/>
        <v>#DIV/0!</v>
      </c>
    </row>
    <row r="33" spans="1:26" x14ac:dyDescent="0.25">
      <c r="A33" s="8">
        <f>'Water Reading'!A32</f>
        <v>44803</v>
      </c>
      <c r="B33" s="63">
        <f>TOTAL!I31</f>
        <v>0</v>
      </c>
      <c r="C33" s="64">
        <f>('Water Reading'!B33-'Water Reading'!B32)+('Water Reading'!C33-'Water Reading'!C32)</f>
        <v>-26680</v>
      </c>
      <c r="D33" s="65" t="e">
        <f t="shared" si="2"/>
        <v>#DIV/0!</v>
      </c>
      <c r="E33" s="83">
        <f>'Water Reading'!H33-'Water Reading'!H32</f>
        <v>-62048</v>
      </c>
      <c r="F33" s="84">
        <f t="shared" si="3"/>
        <v>2.3256371814092955</v>
      </c>
      <c r="G33" s="88">
        <f>('Water Reading'!D33-'Water Reading'!D32)-('Water Reading'!R33-'Water Reading'!R32)-('Water Reading'!Q33-'Water Reading'!Q32)</f>
        <v>-278988</v>
      </c>
      <c r="H33" s="84">
        <f t="shared" si="4"/>
        <v>10.456821589205397</v>
      </c>
      <c r="I33" s="85">
        <f>'Water Reading'!P33-'Water Reading'!P32</f>
        <v>-31826</v>
      </c>
      <c r="J33" s="66">
        <f t="shared" si="5"/>
        <v>1.1928785607196402</v>
      </c>
      <c r="K33" s="86">
        <f>('Water Reading'!I33-'Water Reading'!I32)-('Water Reading'!P33-'Water Reading'!P32)</f>
        <v>-46072</v>
      </c>
      <c r="L33" s="66">
        <f t="shared" si="6"/>
        <v>1.7268365817091453</v>
      </c>
      <c r="M33" s="85">
        <f>'Water Reading'!R33-'Water Reading'!R32</f>
        <v>-536</v>
      </c>
      <c r="N33" s="87">
        <f t="shared" si="7"/>
        <v>2.0089955022488757E-2</v>
      </c>
      <c r="O33" s="85">
        <f>'Water Reading'!Q33-'Water Reading'!Q32</f>
        <v>-1973</v>
      </c>
      <c r="P33" s="92">
        <f t="shared" si="8"/>
        <v>7.3950524737631182E-2</v>
      </c>
      <c r="Q33" s="86">
        <f>'Water Reading'!F33-'Water Reading'!F32</f>
        <v>-67246</v>
      </c>
      <c r="R33" s="93">
        <f t="shared" si="9"/>
        <v>2.520464767616192</v>
      </c>
      <c r="S33" s="85">
        <f>'Water Reading'!E33-'Water Reading'!E32</f>
        <v>-276929</v>
      </c>
      <c r="T33" s="93">
        <f t="shared" si="10"/>
        <v>10.37964767616192</v>
      </c>
      <c r="U33" s="85">
        <f>'Water Reading'!G33-'Water Reading'!G32</f>
        <v>-121772</v>
      </c>
      <c r="V33" s="93">
        <f t="shared" si="11"/>
        <v>4.5641679160419786</v>
      </c>
      <c r="W33" s="86">
        <f>'Water Reading'!J33-'Water Reading'!J32</f>
        <v>-23332</v>
      </c>
      <c r="X33" s="93">
        <f t="shared" si="12"/>
        <v>0.87451274362818587</v>
      </c>
      <c r="Y33" s="64">
        <f t="shared" si="0"/>
        <v>-910722</v>
      </c>
      <c r="Z33" s="65" t="e">
        <f t="shared" si="1"/>
        <v>#DIV/0!</v>
      </c>
    </row>
    <row r="34" spans="1:26" x14ac:dyDescent="0.25">
      <c r="A34" s="8">
        <f>'Water Reading'!A33</f>
        <v>44804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-16803</v>
      </c>
      <c r="D35" s="90" t="e">
        <f>C35/B35</f>
        <v>#VALUE!</v>
      </c>
      <c r="E35" s="7">
        <f>SUM(E4:E34)</f>
        <v>-62098</v>
      </c>
      <c r="F35" s="89">
        <f>E35/C35</f>
        <v>3.695649586383384</v>
      </c>
      <c r="G35" s="72">
        <f>SUM(G4:G34)</f>
        <v>-274503</v>
      </c>
      <c r="H35" s="89">
        <f>G35/C35</f>
        <v>16.336547045170505</v>
      </c>
      <c r="I35" s="7">
        <f>SUM(I4:I34)</f>
        <v>-31606</v>
      </c>
      <c r="J35" s="89">
        <f>I35/C35</f>
        <v>1.8809736356602988</v>
      </c>
      <c r="K35" s="7">
        <f>SUM(K4:K34)</f>
        <v>-45468</v>
      </c>
      <c r="L35" s="89">
        <f>K35/C35</f>
        <v>2.7059453668987681</v>
      </c>
      <c r="M35" s="7">
        <f>SUM(M4:M34)</f>
        <v>-433</v>
      </c>
      <c r="N35" s="89">
        <f>M35/C35</f>
        <v>2.5769207879545321E-2</v>
      </c>
      <c r="O35" s="7">
        <f>SUM(O4:O34)</f>
        <v>-1908</v>
      </c>
      <c r="P35" s="89">
        <f>O35/C35</f>
        <v>0.11355115158007499</v>
      </c>
      <c r="Q35" s="7">
        <f>SUM(Q4:Q34)</f>
        <v>-67225</v>
      </c>
      <c r="R35" s="89">
        <f>Q35/C35</f>
        <v>4.0007736713682078</v>
      </c>
      <c r="S35" s="72">
        <f>SUM(S4:S34)</f>
        <v>-274770</v>
      </c>
      <c r="T35" s="89">
        <f>S35/C35</f>
        <v>16.352437064809855</v>
      </c>
      <c r="U35" s="7">
        <f>SUM(U4:U34)</f>
        <v>-121037</v>
      </c>
      <c r="V35" s="89">
        <f>U35/C35</f>
        <v>7.2032970302922097</v>
      </c>
      <c r="W35" s="7">
        <f>SUM(W4:W34)</f>
        <v>-23163</v>
      </c>
      <c r="X35" s="89">
        <f>W35/C35</f>
        <v>1.3785038386002499</v>
      </c>
      <c r="Y35" s="72">
        <f>SUM(Y4:Y34)</f>
        <v>-902211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2022-09-01T01:11:45Z</dcterms:modified>
  <cp:category/>
  <cp:contentStatus/>
</cp:coreProperties>
</file>