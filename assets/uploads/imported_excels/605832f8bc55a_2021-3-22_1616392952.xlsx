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ris.karavidas\Desktop\hep\"/>
    </mc:Choice>
  </mc:AlternateContent>
  <bookViews>
    <workbookView xWindow="-105" yWindow="-105" windowWidth="23250" windowHeight="12405"/>
  </bookViews>
  <sheets>
    <sheet name="Monthly Data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2" i="1" l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11" i="1"/>
  <c r="N3" i="1"/>
  <c r="N4" i="1"/>
  <c r="N5" i="1"/>
  <c r="N6" i="1"/>
  <c r="N7" i="1"/>
  <c r="N8" i="1"/>
  <c r="N9" i="1"/>
  <c r="N10" i="1"/>
  <c r="N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2" i="1"/>
  <c r="F24" i="1"/>
  <c r="F25" i="1"/>
  <c r="F26" i="1"/>
  <c r="F27" i="1"/>
  <c r="F28" i="1"/>
  <c r="F29" i="1"/>
  <c r="F30" i="1"/>
  <c r="F31" i="1"/>
  <c r="F32" i="1"/>
  <c r="F33" i="1"/>
  <c r="F34" i="1"/>
  <c r="F23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" i="1"/>
</calcChain>
</file>

<file path=xl/sharedStrings.xml><?xml version="1.0" encoding="utf-8"?>
<sst xmlns="http://schemas.openxmlformats.org/spreadsheetml/2006/main" count="52" uniqueCount="20">
  <si>
    <t>Month</t>
  </si>
  <si>
    <t>Year</t>
  </si>
  <si>
    <t>Purchased Electricity Kwh</t>
  </si>
  <si>
    <t>Water Utility Supply (m3) m3</t>
  </si>
  <si>
    <t>Room Nights</t>
  </si>
  <si>
    <t>Total Guests</t>
  </si>
  <si>
    <t>Site Name</t>
  </si>
  <si>
    <t>Athens</t>
  </si>
  <si>
    <t>Electricity Total Budgeted</t>
  </si>
  <si>
    <t>Electricity Total Budgeted Cost ($)</t>
  </si>
  <si>
    <t>Water Utility Supply (m3) $/m3</t>
  </si>
  <si>
    <t>Water Total Budgeted</t>
  </si>
  <si>
    <t>Water Total Budgeted Cost ($)</t>
  </si>
  <si>
    <t>LPG Total Budgeted</t>
  </si>
  <si>
    <t>LPG Total Budgeted Cost ($)</t>
  </si>
  <si>
    <t>Forex</t>
  </si>
  <si>
    <t>LPG Kitchen $/Kg</t>
  </si>
  <si>
    <t>LPG Kitchen  (Kg)</t>
  </si>
  <si>
    <t>Purchased Electricity Tariff ($/Kwh)</t>
  </si>
  <si>
    <t>Food Covers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</si>
</sst>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indexed="8"/>
      <name val="Calibri"/>
    </font>
    <font>
      <b/>
      <sz val="11"/>
      <color indexed="8"/>
      <name val="Calibri"/>
      <family val="2"/>
    </font>
    <font>
      <sz val="11"/>
      <color rgb="FFFF000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 applyFill="0" applyProtection="0"/>
    <xf numFmtId="0" fontId="3" fillId="0" borderId="0" applyFill="0" applyProtection="0"/>
    <xf numFmtId="0" fontId="3" fillId="0" borderId="0" applyFill="0" applyProtection="0"/>
  </cellStyleXfs>
  <cellXfs count="17">
    <xf numFmtId="0" fontId="0" fillId="0" borderId="0" xfId="0" applyFill="1" applyProtection="1"/>
    <xf numFmtId="0" fontId="1" fillId="0" borderId="0" xfId="0" applyFont="1" applyFill="1" applyAlignment="1" applyProtection="1">
      <alignment horizontal="center" vertical="center" wrapText="1"/>
    </xf>
    <xf numFmtId="0" fontId="2" fillId="0" borderId="0" xfId="0" applyFont="1" applyFill="1" applyProtection="1"/>
    <xf numFmtId="0" fontId="3" fillId="0" borderId="0" xfId="0" applyFont="1" applyFill="1" applyProtection="1"/>
    <xf numFmtId="0" fontId="0" fillId="0" borderId="0" xfId="0" applyFill="1" applyAlignment="1" applyProtection="1">
      <alignment horizontal="center"/>
    </xf>
    <xf numFmtId="0" fontId="5" fillId="0" borderId="0" xfId="0" applyFont="1" applyFill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0" fillId="0" borderId="0" xfId="0" applyFill="1" applyAlignment="1" applyProtection="1">
      <alignment horizontal="center" vertical="center"/>
    </xf>
    <xf numFmtId="1" fontId="4" fillId="0" borderId="0" xfId="0" applyNumberFormat="1" applyFont="1" applyFill="1" applyAlignment="1" applyProtection="1">
      <alignment horizontal="center" vertical="center"/>
    </xf>
    <xf numFmtId="1" fontId="0" fillId="0" borderId="0" xfId="0" applyNumberFormat="1" applyFill="1" applyAlignment="1" applyProtection="1">
      <alignment horizontal="center" vertical="center"/>
    </xf>
    <xf numFmtId="1" fontId="2" fillId="0" borderId="0" xfId="0" applyNumberFormat="1" applyFont="1" applyFill="1" applyAlignment="1" applyProtection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2" fontId="4" fillId="0" borderId="0" xfId="0" applyNumberFormat="1" applyFont="1" applyFill="1" applyAlignment="1" applyProtection="1">
      <alignment horizontal="center" vertical="center"/>
    </xf>
    <xf numFmtId="2" fontId="0" fillId="0" borderId="0" xfId="0" applyNumberFormat="1" applyFill="1" applyAlignment="1" applyProtection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Fill="1" applyAlignment="1" applyProtection="1">
      <alignment horizontal="right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4"/>
  <sheetViews>
    <sheetView tabSelected="1" showRuler="0" zoomScale="85" zoomScaleNormal="85" workbookViewId="0">
      <selection activeCell="D24" sqref="D24"/>
    </sheetView>
  </sheetViews>
  <sheetFormatPr defaultRowHeight="15" x14ac:dyDescent="0.25"/>
  <cols>
    <col min="1" max="1" width="15" customWidth="1"/>
    <col min="2" max="3" width="15" style="4" customWidth="1"/>
    <col min="4" max="5" width="15" customWidth="1"/>
    <col min="6" max="7" width="15" style="2" customWidth="1"/>
    <col min="8" max="9" width="15" customWidth="1"/>
    <col min="10" max="11" width="15" style="2" customWidth="1"/>
    <col min="12" max="13" width="15" customWidth="1"/>
    <col min="14" max="15" width="15" style="2" customWidth="1"/>
    <col min="16" max="18" width="15" customWidth="1"/>
  </cols>
  <sheetData>
    <row r="1" spans="1:19" s="1" customFormat="1" ht="69.95" customHeight="1" x14ac:dyDescent="0.25">
      <c r="A1" s="1" t="s">
        <v>6</v>
      </c>
      <c r="B1" s="1" t="s">
        <v>0</v>
      </c>
      <c r="C1" s="1" t="s">
        <v>1</v>
      </c>
      <c r="D1" s="11" t="s">
        <v>2</v>
      </c>
      <c r="E1" s="11" t="s">
        <v>18</v>
      </c>
      <c r="F1" s="12" t="s">
        <v>8</v>
      </c>
      <c r="G1" s="12" t="s">
        <v>9</v>
      </c>
      <c r="H1" s="11" t="s">
        <v>3</v>
      </c>
      <c r="I1" s="11" t="s">
        <v>10</v>
      </c>
      <c r="J1" s="12" t="s">
        <v>11</v>
      </c>
      <c r="K1" s="12" t="s">
        <v>12</v>
      </c>
      <c r="L1" s="11" t="s">
        <v>17</v>
      </c>
      <c r="M1" s="11" t="s">
        <v>16</v>
      </c>
      <c r="N1" s="12" t="s">
        <v>13</v>
      </c>
      <c r="O1" s="12" t="s">
        <v>14</v>
      </c>
      <c r="P1" s="11" t="s">
        <v>4</v>
      </c>
      <c r="Q1" s="11" t="s">
        <v>5</v>
      </c>
      <c r="R1" s="11" t="s">
        <v>19</v>
      </c>
      <c r="S1" s="11" t="s">
        <v>15</v>
      </c>
    </row>
    <row r="2" spans="1:19" x14ac:dyDescent="0.25">
      <c r="A2" s="3" t="s">
        <v>7</v>
      </c>
      <c r="B2" s="4">
        <v>4</v>
      </c>
      <c r="C2" s="4">
        <v>2019</v>
      </c>
      <c r="D2" s="8">
        <v>440000</v>
      </c>
      <c r="E2" s="6">
        <v>5.8799999999999998E-2</v>
      </c>
      <c r="F2" s="10">
        <f>G2/E2</f>
        <v>802704.08163265313</v>
      </c>
      <c r="G2" s="10">
        <v>47199</v>
      </c>
      <c r="H2" s="8">
        <v>0</v>
      </c>
      <c r="I2" s="6">
        <v>0.90500000000000003</v>
      </c>
      <c r="J2" s="10">
        <f>K2/0.905</f>
        <v>22484.111836598022</v>
      </c>
      <c r="K2" s="10">
        <v>20348.121212121212</v>
      </c>
      <c r="L2" s="8">
        <v>83438.55</v>
      </c>
      <c r="M2" s="13">
        <v>1.0529411764705883</v>
      </c>
      <c r="N2" s="10">
        <f>O2/M2</f>
        <v>85043.05083798882</v>
      </c>
      <c r="O2" s="10">
        <v>89545.33</v>
      </c>
      <c r="P2" s="5">
        <v>3152</v>
      </c>
      <c r="Q2" s="5">
        <v>6176</v>
      </c>
      <c r="R2" s="5"/>
      <c r="S2">
        <v>1.1200000000000001</v>
      </c>
    </row>
    <row r="3" spans="1:19" x14ac:dyDescent="0.25">
      <c r="A3" s="3" t="s">
        <v>7</v>
      </c>
      <c r="B3" s="4">
        <v>5</v>
      </c>
      <c r="C3" s="4">
        <v>2019</v>
      </c>
      <c r="D3" s="8">
        <v>503000</v>
      </c>
      <c r="E3" s="6">
        <v>5.8799999999999998E-2</v>
      </c>
      <c r="F3" s="10">
        <f t="shared" ref="F3:F22" si="0">G3/E3</f>
        <v>923095.23809523811</v>
      </c>
      <c r="G3" s="10">
        <v>54278</v>
      </c>
      <c r="H3" s="8">
        <v>0</v>
      </c>
      <c r="I3" s="6">
        <v>0.90500000000000003</v>
      </c>
      <c r="J3" s="10">
        <f t="shared" ref="J3:J34" si="1">K3/0.905</f>
        <v>20886.879848205816</v>
      </c>
      <c r="K3" s="10">
        <v>18902.626262626265</v>
      </c>
      <c r="L3" s="8">
        <v>59262</v>
      </c>
      <c r="M3" s="13">
        <v>1.0529411764705883</v>
      </c>
      <c r="N3" s="10">
        <f t="shared" ref="N3:N10" si="2">O3/M3</f>
        <v>59191.996089385473</v>
      </c>
      <c r="O3" s="10">
        <v>62325.69</v>
      </c>
      <c r="P3" s="5">
        <v>5639</v>
      </c>
      <c r="Q3" s="5">
        <v>10139</v>
      </c>
      <c r="R3" s="5"/>
      <c r="S3">
        <v>1.1200000000000001</v>
      </c>
    </row>
    <row r="4" spans="1:19" x14ac:dyDescent="0.25">
      <c r="A4" s="3" t="s">
        <v>7</v>
      </c>
      <c r="B4" s="4">
        <v>6</v>
      </c>
      <c r="C4" s="4">
        <v>2019</v>
      </c>
      <c r="D4" s="8">
        <v>669500</v>
      </c>
      <c r="E4" s="6">
        <v>5.8799999999999998E-2</v>
      </c>
      <c r="F4" s="10">
        <f t="shared" si="0"/>
        <v>1226785.7142857143</v>
      </c>
      <c r="G4" s="10">
        <v>72135</v>
      </c>
      <c r="H4" s="8">
        <v>0</v>
      </c>
      <c r="I4" s="6">
        <v>0.90500000000000003</v>
      </c>
      <c r="J4" s="10">
        <f t="shared" si="1"/>
        <v>24327.07182320442</v>
      </c>
      <c r="K4" s="10">
        <v>22016</v>
      </c>
      <c r="L4" s="8">
        <v>39832.020000000004</v>
      </c>
      <c r="M4" s="13">
        <v>1.0529411764705883</v>
      </c>
      <c r="N4" s="10">
        <f t="shared" si="2"/>
        <v>38383.720670391063</v>
      </c>
      <c r="O4" s="10">
        <v>40415.800000000003</v>
      </c>
      <c r="P4" s="5">
        <v>7151</v>
      </c>
      <c r="Q4" s="5">
        <v>14101</v>
      </c>
      <c r="R4" s="5"/>
      <c r="S4">
        <v>1.1200000000000001</v>
      </c>
    </row>
    <row r="5" spans="1:19" x14ac:dyDescent="0.25">
      <c r="A5" s="3" t="s">
        <v>7</v>
      </c>
      <c r="B5" s="4">
        <v>7</v>
      </c>
      <c r="C5" s="4">
        <v>2019</v>
      </c>
      <c r="D5" s="8">
        <v>754011</v>
      </c>
      <c r="E5" s="6">
        <v>5.8799999999999998E-2</v>
      </c>
      <c r="F5" s="10">
        <f t="shared" si="0"/>
        <v>1357653.0612244899</v>
      </c>
      <c r="G5" s="10">
        <v>79830</v>
      </c>
      <c r="H5" s="8">
        <v>0</v>
      </c>
      <c r="I5" s="6">
        <v>0.90500000000000003</v>
      </c>
      <c r="J5" s="10">
        <f t="shared" si="1"/>
        <v>27275.807801774652</v>
      </c>
      <c r="K5" s="10">
        <v>24684.60606060606</v>
      </c>
      <c r="L5" s="8">
        <v>50082</v>
      </c>
      <c r="M5" s="13">
        <v>1.0529411764705883</v>
      </c>
      <c r="N5" s="10">
        <f t="shared" si="2"/>
        <v>49075.039664804463</v>
      </c>
      <c r="O5" s="10">
        <v>51673.13</v>
      </c>
      <c r="P5" s="5">
        <v>7561</v>
      </c>
      <c r="Q5" s="5">
        <v>15786</v>
      </c>
      <c r="R5" s="5"/>
      <c r="S5">
        <v>1.1200000000000001</v>
      </c>
    </row>
    <row r="6" spans="1:19" x14ac:dyDescent="0.25">
      <c r="A6" s="3" t="s">
        <v>7</v>
      </c>
      <c r="B6" s="4">
        <v>8</v>
      </c>
      <c r="C6" s="4">
        <v>2019</v>
      </c>
      <c r="D6" s="8">
        <v>760681</v>
      </c>
      <c r="E6" s="6">
        <v>5.8799999999999998E-2</v>
      </c>
      <c r="F6" s="10">
        <f t="shared" si="0"/>
        <v>1346836.7346938776</v>
      </c>
      <c r="G6" s="10">
        <v>79194</v>
      </c>
      <c r="H6" s="8">
        <v>25828</v>
      </c>
      <c r="I6" s="6">
        <v>0.90500000000000003</v>
      </c>
      <c r="J6" s="10">
        <f t="shared" si="1"/>
        <v>48654.14364640884</v>
      </c>
      <c r="K6" s="10">
        <v>44032</v>
      </c>
      <c r="L6" s="8">
        <v>45186</v>
      </c>
      <c r="M6" s="13">
        <v>1.0529411764705883</v>
      </c>
      <c r="N6" s="10">
        <f t="shared" si="2"/>
        <v>42115.325139664805</v>
      </c>
      <c r="O6" s="10">
        <v>44344.959999999999</v>
      </c>
      <c r="P6" s="5">
        <v>7504</v>
      </c>
      <c r="Q6" s="5">
        <v>15638</v>
      </c>
      <c r="R6" s="5"/>
      <c r="S6">
        <v>1.1134999999999999</v>
      </c>
    </row>
    <row r="7" spans="1:19" x14ac:dyDescent="0.25">
      <c r="A7" s="3" t="s">
        <v>7</v>
      </c>
      <c r="B7" s="4">
        <v>9</v>
      </c>
      <c r="C7" s="4">
        <v>2019</v>
      </c>
      <c r="D7" s="8">
        <v>617979</v>
      </c>
      <c r="E7" s="6">
        <v>5.8799999999999998E-2</v>
      </c>
      <c r="F7" s="10">
        <f t="shared" si="0"/>
        <v>1089132.6530612246</v>
      </c>
      <c r="G7" s="10">
        <v>64041</v>
      </c>
      <c r="H7" s="8">
        <v>21540</v>
      </c>
      <c r="I7" s="6">
        <v>0.90500000000000003</v>
      </c>
      <c r="J7" s="10">
        <f t="shared" si="1"/>
        <v>40184.530386740327</v>
      </c>
      <c r="K7" s="10">
        <v>36367</v>
      </c>
      <c r="L7" s="8">
        <v>48680.01</v>
      </c>
      <c r="M7" s="13">
        <v>1.0529411764705883</v>
      </c>
      <c r="N7" s="10">
        <f t="shared" si="2"/>
        <v>45614.542458100557</v>
      </c>
      <c r="O7" s="10">
        <v>48029.43</v>
      </c>
      <c r="P7" s="5">
        <v>7076</v>
      </c>
      <c r="Q7" s="5">
        <v>12655</v>
      </c>
      <c r="R7" s="5"/>
      <c r="S7">
        <v>1.1019000000000001</v>
      </c>
    </row>
    <row r="8" spans="1:19" x14ac:dyDescent="0.25">
      <c r="A8" s="3" t="s">
        <v>7</v>
      </c>
      <c r="B8" s="4">
        <v>10</v>
      </c>
      <c r="C8" s="4">
        <v>2019</v>
      </c>
      <c r="D8" s="8">
        <v>535579</v>
      </c>
      <c r="E8" s="6">
        <v>5.8799999999999998E-2</v>
      </c>
      <c r="F8" s="10">
        <f t="shared" si="0"/>
        <v>945646.25850340142</v>
      </c>
      <c r="G8" s="10">
        <v>55604</v>
      </c>
      <c r="H8" s="8">
        <v>15230</v>
      </c>
      <c r="I8" s="6">
        <v>0.90500000000000003</v>
      </c>
      <c r="J8" s="10">
        <f t="shared" si="1"/>
        <v>28118.232044198896</v>
      </c>
      <c r="K8" s="10">
        <v>25447</v>
      </c>
      <c r="L8" s="8">
        <v>63597</v>
      </c>
      <c r="M8" s="13">
        <v>1.0529411764705883</v>
      </c>
      <c r="N8" s="10">
        <f t="shared" si="2"/>
        <v>64964.037430167591</v>
      </c>
      <c r="O8" s="10">
        <v>68403.31</v>
      </c>
      <c r="P8" s="5">
        <v>5668</v>
      </c>
      <c r="Q8" s="5">
        <v>10665</v>
      </c>
      <c r="R8" s="5"/>
      <c r="S8">
        <v>1.1052</v>
      </c>
    </row>
    <row r="9" spans="1:19" x14ac:dyDescent="0.25">
      <c r="A9" s="3" t="s">
        <v>7</v>
      </c>
      <c r="B9" s="4">
        <v>11</v>
      </c>
      <c r="C9" s="4">
        <v>2019</v>
      </c>
      <c r="D9" s="8">
        <v>297684</v>
      </c>
      <c r="E9" s="6">
        <v>5.8799999999999998E-2</v>
      </c>
      <c r="F9" s="10">
        <f t="shared" si="0"/>
        <v>695374.14965986402</v>
      </c>
      <c r="G9" s="10">
        <v>40888</v>
      </c>
      <c r="H9" s="8">
        <v>9209</v>
      </c>
      <c r="I9" s="6">
        <v>0.90500000000000003</v>
      </c>
      <c r="J9" s="10">
        <f t="shared" si="1"/>
        <v>16737.016574585636</v>
      </c>
      <c r="K9" s="10">
        <v>15147</v>
      </c>
      <c r="L9" s="8">
        <v>54698.01</v>
      </c>
      <c r="M9" s="13">
        <v>1.0529411764705883</v>
      </c>
      <c r="N9" s="10">
        <f t="shared" si="2"/>
        <v>57333.069832402231</v>
      </c>
      <c r="O9" s="10">
        <v>60368.35</v>
      </c>
      <c r="P9" s="5">
        <v>2226</v>
      </c>
      <c r="Q9" s="5">
        <v>3335</v>
      </c>
      <c r="R9" s="5"/>
      <c r="S9">
        <v>1.1057999999999999</v>
      </c>
    </row>
    <row r="10" spans="1:19" x14ac:dyDescent="0.25">
      <c r="A10" s="3" t="s">
        <v>7</v>
      </c>
      <c r="B10" s="4">
        <v>12</v>
      </c>
      <c r="C10" s="4">
        <v>2019</v>
      </c>
      <c r="D10" s="8">
        <v>368889</v>
      </c>
      <c r="E10" s="6">
        <v>5.8799999999999998E-2</v>
      </c>
      <c r="F10" s="10">
        <f t="shared" si="0"/>
        <v>637738.09523809527</v>
      </c>
      <c r="G10" s="10">
        <v>37499</v>
      </c>
      <c r="H10" s="8">
        <v>9119</v>
      </c>
      <c r="I10" s="6">
        <v>0.90500000000000003</v>
      </c>
      <c r="J10" s="10">
        <f t="shared" si="1"/>
        <v>16976.795580110498</v>
      </c>
      <c r="K10" s="10">
        <v>15364</v>
      </c>
      <c r="L10" s="8">
        <v>70097.460000000006</v>
      </c>
      <c r="M10" s="13">
        <v>1.0529411764705883</v>
      </c>
      <c r="N10" s="10">
        <f t="shared" si="2"/>
        <v>72960.001675977648</v>
      </c>
      <c r="O10" s="10">
        <v>76822.59</v>
      </c>
      <c r="P10" s="5">
        <v>1110</v>
      </c>
      <c r="Q10" s="5">
        <v>1922</v>
      </c>
      <c r="R10" s="5"/>
      <c r="S10">
        <v>1.1105</v>
      </c>
    </row>
    <row r="11" spans="1:19" x14ac:dyDescent="0.25">
      <c r="A11" s="3" t="s">
        <v>7</v>
      </c>
      <c r="B11" s="4">
        <v>1</v>
      </c>
      <c r="C11" s="4">
        <v>2020</v>
      </c>
      <c r="D11" s="8">
        <v>360372</v>
      </c>
      <c r="E11" s="6">
        <v>5.8799999999999998E-2</v>
      </c>
      <c r="F11" s="10">
        <f t="shared" si="0"/>
        <v>666479.59183673467</v>
      </c>
      <c r="G11" s="10">
        <v>39189</v>
      </c>
      <c r="H11" s="8">
        <v>7060</v>
      </c>
      <c r="I11" s="6">
        <v>0.90500000000000003</v>
      </c>
      <c r="J11" s="10">
        <f t="shared" si="1"/>
        <v>13007.734806629835</v>
      </c>
      <c r="K11" s="10">
        <v>11772</v>
      </c>
      <c r="L11" s="8">
        <v>72466.41</v>
      </c>
      <c r="M11" s="13">
        <v>1.0627450980392157</v>
      </c>
      <c r="N11" s="10">
        <f>O11/1.06</f>
        <v>75463.632075471687</v>
      </c>
      <c r="O11" s="10">
        <v>79991.45</v>
      </c>
      <c r="P11" s="5">
        <v>1289</v>
      </c>
      <c r="Q11" s="5">
        <v>1936</v>
      </c>
      <c r="R11" s="5"/>
      <c r="S11">
        <v>1.1108</v>
      </c>
    </row>
    <row r="12" spans="1:19" x14ac:dyDescent="0.25">
      <c r="A12" s="3" t="s">
        <v>7</v>
      </c>
      <c r="B12" s="4">
        <v>2</v>
      </c>
      <c r="C12" s="4">
        <v>2020</v>
      </c>
      <c r="D12" s="8">
        <v>330872</v>
      </c>
      <c r="E12" s="6">
        <v>6.3600000000000004E-2</v>
      </c>
      <c r="F12" s="10">
        <f t="shared" si="0"/>
        <v>590801.88679245277</v>
      </c>
      <c r="G12" s="10">
        <v>37575</v>
      </c>
      <c r="H12" s="8">
        <v>7580</v>
      </c>
      <c r="I12" s="6">
        <v>0.90500000000000003</v>
      </c>
      <c r="J12" s="10">
        <f t="shared" si="1"/>
        <v>14133.701657458563</v>
      </c>
      <c r="K12" s="10">
        <v>12791</v>
      </c>
      <c r="L12" s="8">
        <v>68618.460000000006</v>
      </c>
      <c r="M12" s="13">
        <v>1.0627450980392157</v>
      </c>
      <c r="N12" s="10">
        <f t="shared" ref="N12:N34" si="3">O12/1.06</f>
        <v>73499.556603773584</v>
      </c>
      <c r="O12" s="10">
        <v>77909.53</v>
      </c>
      <c r="P12" s="5">
        <v>1789</v>
      </c>
      <c r="Q12" s="5">
        <v>2644</v>
      </c>
      <c r="R12" s="5"/>
      <c r="S12">
        <v>1.0919000000000001</v>
      </c>
    </row>
    <row r="13" spans="1:19" x14ac:dyDescent="0.25">
      <c r="A13" s="3" t="s">
        <v>7</v>
      </c>
      <c r="B13" s="4">
        <v>3</v>
      </c>
      <c r="C13" s="4">
        <v>2020</v>
      </c>
      <c r="D13" s="8">
        <v>280753</v>
      </c>
      <c r="E13" s="6">
        <v>6.8500000000000005E-2</v>
      </c>
      <c r="F13" s="10">
        <f t="shared" si="0"/>
        <v>489605.83941605838</v>
      </c>
      <c r="G13" s="10">
        <v>33538</v>
      </c>
      <c r="H13" s="8">
        <v>8100</v>
      </c>
      <c r="I13" s="6">
        <v>0.90500000000000003</v>
      </c>
      <c r="J13" s="10">
        <f t="shared" si="1"/>
        <v>15330.386740331491</v>
      </c>
      <c r="K13" s="10">
        <v>13874</v>
      </c>
      <c r="L13" s="8">
        <v>35603.61</v>
      </c>
      <c r="M13" s="13">
        <v>1.0627450980392159</v>
      </c>
      <c r="N13" s="10">
        <f t="shared" si="3"/>
        <v>35379.792452830188</v>
      </c>
      <c r="O13" s="10">
        <v>37502.58</v>
      </c>
      <c r="P13" s="5">
        <v>746</v>
      </c>
      <c r="Q13" s="5">
        <v>1127</v>
      </c>
      <c r="R13" s="5"/>
      <c r="S13">
        <v>1.107</v>
      </c>
    </row>
    <row r="14" spans="1:19" x14ac:dyDescent="0.25">
      <c r="A14" s="3" t="s">
        <v>7</v>
      </c>
      <c r="B14" s="4">
        <v>4</v>
      </c>
      <c r="C14" s="4">
        <v>2020</v>
      </c>
      <c r="D14" s="8">
        <v>121463</v>
      </c>
      <c r="E14" s="6">
        <v>6.8500000000000005E-2</v>
      </c>
      <c r="F14" s="10">
        <f t="shared" si="0"/>
        <v>222715.32846715327</v>
      </c>
      <c r="G14" s="10">
        <v>15256</v>
      </c>
      <c r="H14" s="8">
        <v>5037</v>
      </c>
      <c r="I14" s="6">
        <v>0.90500000000000003</v>
      </c>
      <c r="J14" s="10">
        <f t="shared" si="1"/>
        <v>9492.8176795580112</v>
      </c>
      <c r="K14" s="10">
        <v>8591</v>
      </c>
      <c r="L14" s="8">
        <v>0</v>
      </c>
      <c r="M14" s="13">
        <v>1.06</v>
      </c>
      <c r="N14" s="10">
        <f t="shared" si="3"/>
        <v>35380.188679245279</v>
      </c>
      <c r="O14" s="10">
        <v>37503</v>
      </c>
      <c r="P14" s="5">
        <v>60</v>
      </c>
      <c r="Q14" s="5">
        <v>60</v>
      </c>
      <c r="R14" s="5"/>
      <c r="S14">
        <v>1.087</v>
      </c>
    </row>
    <row r="15" spans="1:19" x14ac:dyDescent="0.25">
      <c r="A15" s="3" t="s">
        <v>7</v>
      </c>
      <c r="B15" s="4">
        <v>5</v>
      </c>
      <c r="C15" s="4">
        <v>2020</v>
      </c>
      <c r="D15" s="8">
        <v>119267</v>
      </c>
      <c r="E15" s="6">
        <v>6.8500000000000005E-2</v>
      </c>
      <c r="F15" s="10">
        <f t="shared" si="0"/>
        <v>252934.30656934305</v>
      </c>
      <c r="G15" s="10">
        <v>17326</v>
      </c>
      <c r="H15" s="8">
        <v>9483</v>
      </c>
      <c r="I15" s="6">
        <v>0.90500000000000003</v>
      </c>
      <c r="J15" s="10">
        <f t="shared" si="1"/>
        <v>17205.524861878454</v>
      </c>
      <c r="K15" s="10">
        <v>15571</v>
      </c>
      <c r="L15" s="8">
        <v>7701</v>
      </c>
      <c r="M15" s="13">
        <v>1.0627450980392157</v>
      </c>
      <c r="N15" s="10">
        <f t="shared" si="3"/>
        <v>6818.0471698113206</v>
      </c>
      <c r="O15" s="10">
        <v>7227.13</v>
      </c>
      <c r="P15" s="5">
        <v>62</v>
      </c>
      <c r="Q15" s="5">
        <v>62</v>
      </c>
      <c r="R15" s="5"/>
      <c r="S15">
        <v>1.0920000000000001</v>
      </c>
    </row>
    <row r="16" spans="1:19" x14ac:dyDescent="0.25">
      <c r="A16" s="3" t="s">
        <v>7</v>
      </c>
      <c r="B16" s="4">
        <v>6</v>
      </c>
      <c r="C16" s="4">
        <v>2020</v>
      </c>
      <c r="D16" s="8">
        <v>356581</v>
      </c>
      <c r="E16" s="6">
        <v>6.8500000000000005E-2</v>
      </c>
      <c r="F16" s="10">
        <f t="shared" si="0"/>
        <v>695386.86131386855</v>
      </c>
      <c r="G16" s="10">
        <v>47634</v>
      </c>
      <c r="H16" s="8">
        <v>12913</v>
      </c>
      <c r="I16" s="6">
        <v>0.90500000000000003</v>
      </c>
      <c r="J16" s="10">
        <f t="shared" si="1"/>
        <v>24160.220994475138</v>
      </c>
      <c r="K16" s="10">
        <v>21865</v>
      </c>
      <c r="L16" s="8">
        <v>28971.06</v>
      </c>
      <c r="M16" s="13">
        <v>1.0627450980392157</v>
      </c>
      <c r="N16" s="10">
        <f t="shared" si="3"/>
        <v>27372.471698113204</v>
      </c>
      <c r="O16" s="10">
        <v>29014.82</v>
      </c>
      <c r="P16" s="5">
        <v>828</v>
      </c>
      <c r="Q16" s="5">
        <v>1607</v>
      </c>
      <c r="R16" s="5"/>
      <c r="S16">
        <v>1.125</v>
      </c>
    </row>
    <row r="17" spans="1:19" x14ac:dyDescent="0.25">
      <c r="A17" s="3" t="s">
        <v>7</v>
      </c>
      <c r="B17" s="4">
        <v>7</v>
      </c>
      <c r="C17" s="4">
        <v>2020</v>
      </c>
      <c r="D17" s="8">
        <v>591909</v>
      </c>
      <c r="E17" s="6">
        <v>6.8500000000000005E-2</v>
      </c>
      <c r="F17" s="10">
        <f t="shared" si="0"/>
        <v>1070408.7591240874</v>
      </c>
      <c r="G17" s="10">
        <v>73323</v>
      </c>
      <c r="H17" s="8">
        <v>16926</v>
      </c>
      <c r="I17" s="6">
        <v>0.90500000000000003</v>
      </c>
      <c r="J17" s="10">
        <f t="shared" si="1"/>
        <v>31774.585635359115</v>
      </c>
      <c r="K17" s="10">
        <v>28756</v>
      </c>
      <c r="L17" s="8">
        <v>49376.160000000003</v>
      </c>
      <c r="M17" s="13">
        <v>1.0627450980392157</v>
      </c>
      <c r="N17" s="10">
        <f t="shared" si="3"/>
        <v>47410.42452830189</v>
      </c>
      <c r="O17" s="10">
        <v>50255.05</v>
      </c>
      <c r="P17" s="5">
        <v>3291</v>
      </c>
      <c r="Q17" s="5">
        <v>7067</v>
      </c>
      <c r="R17" s="5"/>
      <c r="S17">
        <v>1.1438999999999999</v>
      </c>
    </row>
    <row r="18" spans="1:19" x14ac:dyDescent="0.25">
      <c r="A18" s="3" t="s">
        <v>7</v>
      </c>
      <c r="B18" s="4">
        <v>8</v>
      </c>
      <c r="C18" s="4">
        <v>2020</v>
      </c>
      <c r="D18" s="8">
        <v>639952</v>
      </c>
      <c r="E18" s="6">
        <v>6.8500000000000005E-2</v>
      </c>
      <c r="F18" s="10">
        <f t="shared" si="0"/>
        <v>1144291.9708029197</v>
      </c>
      <c r="G18" s="10">
        <v>78384</v>
      </c>
      <c r="H18" s="8">
        <v>17783</v>
      </c>
      <c r="I18" s="6">
        <v>0.90500000000000003</v>
      </c>
      <c r="J18" s="10">
        <f t="shared" si="1"/>
        <v>33398.895027624305</v>
      </c>
      <c r="K18" s="10">
        <v>30226</v>
      </c>
      <c r="L18" s="8">
        <v>33617.160000000003</v>
      </c>
      <c r="M18" s="13">
        <v>1.0627450980392157</v>
      </c>
      <c r="N18" s="10">
        <f t="shared" si="3"/>
        <v>30932.33018867924</v>
      </c>
      <c r="O18" s="10">
        <v>32788.269999999997</v>
      </c>
      <c r="P18" s="5">
        <v>5155</v>
      </c>
      <c r="Q18" s="5">
        <v>11483</v>
      </c>
      <c r="R18" s="5"/>
      <c r="S18">
        <v>1.1825000000000001</v>
      </c>
    </row>
    <row r="19" spans="1:19" x14ac:dyDescent="0.25">
      <c r="A19" s="3" t="s">
        <v>7</v>
      </c>
      <c r="B19" s="4">
        <v>9</v>
      </c>
      <c r="C19" s="4">
        <v>2020</v>
      </c>
      <c r="D19" s="8">
        <v>516965</v>
      </c>
      <c r="E19" s="6">
        <v>6.8500000000000005E-2</v>
      </c>
      <c r="F19" s="10">
        <f t="shared" si="0"/>
        <v>1018525.5474452554</v>
      </c>
      <c r="G19" s="10">
        <v>69769</v>
      </c>
      <c r="H19" s="8">
        <v>16327</v>
      </c>
      <c r="I19" s="6">
        <v>0.90500000000000003</v>
      </c>
      <c r="J19" s="10">
        <f t="shared" si="1"/>
        <v>30658.563535911602</v>
      </c>
      <c r="K19" s="10">
        <v>27746</v>
      </c>
      <c r="L19" s="8">
        <v>48233.760000000002</v>
      </c>
      <c r="M19" s="13">
        <v>1.0627450980392157</v>
      </c>
      <c r="N19" s="10">
        <f t="shared" si="3"/>
        <v>46839.688679245279</v>
      </c>
      <c r="O19" s="10">
        <v>49650.07</v>
      </c>
      <c r="P19" s="5">
        <v>4508</v>
      </c>
      <c r="Q19" s="5">
        <v>9279</v>
      </c>
      <c r="R19" s="5"/>
      <c r="S19">
        <v>1.1794</v>
      </c>
    </row>
    <row r="20" spans="1:19" x14ac:dyDescent="0.25">
      <c r="A20" s="3" t="s">
        <v>7</v>
      </c>
      <c r="B20" s="4">
        <v>10</v>
      </c>
      <c r="C20" s="4">
        <v>2020</v>
      </c>
      <c r="D20" s="8">
        <v>435940</v>
      </c>
      <c r="E20" s="6">
        <v>6.8500000000000005E-2</v>
      </c>
      <c r="F20" s="10">
        <f t="shared" si="0"/>
        <v>885605.83941605827</v>
      </c>
      <c r="G20" s="10">
        <v>60664</v>
      </c>
      <c r="H20" s="8">
        <v>13669</v>
      </c>
      <c r="I20" s="6">
        <v>0.90500000000000003</v>
      </c>
      <c r="J20" s="10">
        <f t="shared" si="1"/>
        <v>22993.922651933703</v>
      </c>
      <c r="K20" s="10">
        <v>20809.5</v>
      </c>
      <c r="L20" s="8">
        <v>65523</v>
      </c>
      <c r="M20" s="13">
        <v>1.0627450980392157</v>
      </c>
      <c r="N20" s="10">
        <f t="shared" si="3"/>
        <v>58410.405660377357</v>
      </c>
      <c r="O20" s="10">
        <v>61915.03</v>
      </c>
      <c r="P20" s="5">
        <v>4842</v>
      </c>
      <c r="Q20" s="5">
        <v>11227</v>
      </c>
      <c r="R20" s="5"/>
      <c r="S20">
        <v>1.19</v>
      </c>
    </row>
    <row r="21" spans="1:19" x14ac:dyDescent="0.25">
      <c r="A21" s="3" t="s">
        <v>7</v>
      </c>
      <c r="B21" s="4">
        <v>11</v>
      </c>
      <c r="C21" s="4">
        <v>2020</v>
      </c>
      <c r="D21" s="9">
        <v>302597</v>
      </c>
      <c r="E21" s="6">
        <v>6.8500000000000005E-2</v>
      </c>
      <c r="F21" s="10">
        <f t="shared" si="0"/>
        <v>763894.1605839415</v>
      </c>
      <c r="G21" s="10">
        <v>52326.75</v>
      </c>
      <c r="H21" s="9">
        <v>7651</v>
      </c>
      <c r="I21" s="7">
        <v>0.90500000000000003</v>
      </c>
      <c r="J21" s="10">
        <f t="shared" si="1"/>
        <v>15329.281767955801</v>
      </c>
      <c r="K21" s="10">
        <v>13873</v>
      </c>
      <c r="L21" s="9">
        <v>46942.950000000004</v>
      </c>
      <c r="M21" s="14">
        <v>1.0627450980392157</v>
      </c>
      <c r="N21" s="10">
        <f t="shared" si="3"/>
        <v>47180.358490566039</v>
      </c>
      <c r="O21" s="10">
        <v>50011.18</v>
      </c>
      <c r="P21" s="5">
        <v>534</v>
      </c>
      <c r="Q21" s="5">
        <v>930</v>
      </c>
      <c r="R21" s="5"/>
      <c r="S21">
        <v>1.22</v>
      </c>
    </row>
    <row r="22" spans="1:19" x14ac:dyDescent="0.25">
      <c r="A22" s="3" t="s">
        <v>7</v>
      </c>
      <c r="B22" s="4">
        <v>12</v>
      </c>
      <c r="C22" s="4">
        <v>2020</v>
      </c>
      <c r="D22" s="15">
        <v>341868</v>
      </c>
      <c r="E22" s="7">
        <v>6.8500000000000005E-2</v>
      </c>
      <c r="F22" s="10">
        <f t="shared" si="0"/>
        <v>681235.26108927559</v>
      </c>
      <c r="G22" s="10">
        <v>46664.615384615383</v>
      </c>
      <c r="H22" s="9">
        <v>4716</v>
      </c>
      <c r="I22" s="7">
        <v>0.90500000000000003</v>
      </c>
      <c r="J22" s="10">
        <f t="shared" si="1"/>
        <v>15329.281767955801</v>
      </c>
      <c r="K22" s="10">
        <v>13873</v>
      </c>
      <c r="L22" s="9">
        <v>57353</v>
      </c>
      <c r="M22" s="14">
        <v>1.0627450980392157</v>
      </c>
      <c r="N22" s="10">
        <f t="shared" si="3"/>
        <v>47180.358490566039</v>
      </c>
      <c r="O22" s="10">
        <v>50011.18</v>
      </c>
      <c r="P22" s="7">
        <v>355</v>
      </c>
      <c r="Q22" s="7">
        <v>568</v>
      </c>
      <c r="R22" s="7"/>
      <c r="S22">
        <v>1.22</v>
      </c>
    </row>
    <row r="23" spans="1:19" x14ac:dyDescent="0.25">
      <c r="A23" s="3" t="s">
        <v>7</v>
      </c>
      <c r="B23" s="4">
        <v>1</v>
      </c>
      <c r="C23" s="4">
        <v>2021</v>
      </c>
      <c r="D23" s="9">
        <v>349174</v>
      </c>
      <c r="E23" s="7">
        <v>6.8500000000000005E-2</v>
      </c>
      <c r="F23" s="10">
        <f>G23/0.0685</f>
        <v>0</v>
      </c>
      <c r="G23" s="10">
        <v>0</v>
      </c>
      <c r="H23" s="9">
        <v>5528</v>
      </c>
      <c r="I23" s="7">
        <v>0.90500000000000003</v>
      </c>
      <c r="J23" s="10">
        <f t="shared" si="1"/>
        <v>0</v>
      </c>
      <c r="K23" s="10">
        <v>0</v>
      </c>
      <c r="L23" s="9">
        <v>70618</v>
      </c>
      <c r="M23" s="14">
        <v>1.0627450980392157</v>
      </c>
      <c r="N23" s="10">
        <f t="shared" si="3"/>
        <v>0</v>
      </c>
      <c r="O23" s="10">
        <v>0</v>
      </c>
      <c r="P23" s="7">
        <v>333</v>
      </c>
      <c r="Q23" s="7">
        <v>588</v>
      </c>
      <c r="R23" s="7"/>
      <c r="S23">
        <v>1.21</v>
      </c>
    </row>
    <row r="24" spans="1:19" x14ac:dyDescent="0.25">
      <c r="A24" s="3" t="s">
        <v>7</v>
      </c>
      <c r="B24" s="4">
        <v>2</v>
      </c>
      <c r="C24" s="4">
        <v>2021</v>
      </c>
      <c r="D24" s="9">
        <v>327896</v>
      </c>
      <c r="E24" s="7">
        <v>6.8500000000000005E-2</v>
      </c>
      <c r="F24" s="10">
        <f t="shared" ref="F24:F34" si="4">G24/0.0685</f>
        <v>0</v>
      </c>
      <c r="G24" s="10">
        <v>0</v>
      </c>
      <c r="H24" s="9">
        <v>5720</v>
      </c>
      <c r="I24" s="7">
        <v>0.90500000000000003</v>
      </c>
      <c r="J24" s="10">
        <f t="shared" si="1"/>
        <v>0</v>
      </c>
      <c r="K24" s="10">
        <v>0</v>
      </c>
      <c r="L24" s="15">
        <v>62877</v>
      </c>
      <c r="M24" s="14">
        <v>1.0627450980392157</v>
      </c>
      <c r="N24" s="10">
        <f t="shared" si="3"/>
        <v>0</v>
      </c>
      <c r="O24" s="10">
        <v>0</v>
      </c>
      <c r="P24" s="7">
        <v>639</v>
      </c>
      <c r="Q24" s="7">
        <v>1079</v>
      </c>
      <c r="R24" s="7"/>
      <c r="S24" s="16">
        <v>1.19</v>
      </c>
    </row>
    <row r="25" spans="1:19" x14ac:dyDescent="0.25">
      <c r="A25" s="3" t="s">
        <v>7</v>
      </c>
      <c r="B25" s="4">
        <v>3</v>
      </c>
      <c r="C25" s="4">
        <v>2021</v>
      </c>
      <c r="D25" s="9">
        <v>0</v>
      </c>
      <c r="E25" s="7">
        <v>0</v>
      </c>
      <c r="F25" s="10">
        <f t="shared" si="4"/>
        <v>0</v>
      </c>
      <c r="G25" s="10">
        <v>0</v>
      </c>
      <c r="H25" s="9">
        <v>0</v>
      </c>
      <c r="I25" s="7">
        <v>0</v>
      </c>
      <c r="J25" s="10">
        <f t="shared" si="1"/>
        <v>0</v>
      </c>
      <c r="K25" s="10">
        <v>0</v>
      </c>
      <c r="L25" s="9">
        <v>0</v>
      </c>
      <c r="M25" s="7">
        <v>0</v>
      </c>
      <c r="N25" s="10">
        <f t="shared" si="3"/>
        <v>0</v>
      </c>
      <c r="O25" s="10">
        <v>0</v>
      </c>
      <c r="P25" s="7">
        <v>0</v>
      </c>
      <c r="Q25" s="7">
        <v>0</v>
      </c>
      <c r="R25" s="7"/>
    </row>
    <row r="26" spans="1:19" x14ac:dyDescent="0.25">
      <c r="A26" s="3" t="s">
        <v>7</v>
      </c>
      <c r="B26" s="4">
        <v>4</v>
      </c>
      <c r="C26" s="4">
        <v>2021</v>
      </c>
      <c r="D26" s="9">
        <v>0</v>
      </c>
      <c r="E26" s="7">
        <v>0</v>
      </c>
      <c r="F26" s="10">
        <f t="shared" si="4"/>
        <v>0</v>
      </c>
      <c r="G26" s="10">
        <v>0</v>
      </c>
      <c r="H26" s="9">
        <v>0</v>
      </c>
      <c r="I26" s="7">
        <v>0</v>
      </c>
      <c r="J26" s="10">
        <f t="shared" si="1"/>
        <v>0</v>
      </c>
      <c r="K26" s="10">
        <v>0</v>
      </c>
      <c r="L26" s="9">
        <v>0</v>
      </c>
      <c r="M26" s="7">
        <v>0</v>
      </c>
      <c r="N26" s="10">
        <f t="shared" si="3"/>
        <v>0</v>
      </c>
      <c r="O26" s="10">
        <v>0</v>
      </c>
      <c r="P26" s="7">
        <v>0</v>
      </c>
      <c r="Q26" s="7">
        <v>0</v>
      </c>
      <c r="R26" s="7"/>
    </row>
    <row r="27" spans="1:19" x14ac:dyDescent="0.25">
      <c r="A27" s="3" t="s">
        <v>7</v>
      </c>
      <c r="B27" s="4">
        <v>5</v>
      </c>
      <c r="C27" s="4">
        <v>2021</v>
      </c>
      <c r="D27" s="9">
        <v>0</v>
      </c>
      <c r="E27" s="7">
        <v>0</v>
      </c>
      <c r="F27" s="10">
        <f t="shared" si="4"/>
        <v>0</v>
      </c>
      <c r="G27" s="10">
        <v>0</v>
      </c>
      <c r="H27" s="9">
        <v>0</v>
      </c>
      <c r="I27" s="7">
        <v>0</v>
      </c>
      <c r="J27" s="10">
        <f t="shared" si="1"/>
        <v>0</v>
      </c>
      <c r="K27" s="10">
        <v>0</v>
      </c>
      <c r="L27" s="9">
        <v>0</v>
      </c>
      <c r="M27" s="7">
        <v>0</v>
      </c>
      <c r="N27" s="10">
        <f t="shared" si="3"/>
        <v>0</v>
      </c>
      <c r="O27" s="10">
        <v>0</v>
      </c>
      <c r="P27" s="7">
        <v>0</v>
      </c>
      <c r="Q27" s="7">
        <v>0</v>
      </c>
      <c r="R27" s="7"/>
    </row>
    <row r="28" spans="1:19" x14ac:dyDescent="0.25">
      <c r="A28" s="3" t="s">
        <v>7</v>
      </c>
      <c r="B28" s="4">
        <v>6</v>
      </c>
      <c r="C28" s="4">
        <v>2021</v>
      </c>
      <c r="D28" s="9">
        <v>0</v>
      </c>
      <c r="E28" s="7">
        <v>0</v>
      </c>
      <c r="F28" s="10">
        <f t="shared" si="4"/>
        <v>0</v>
      </c>
      <c r="G28" s="10">
        <v>0</v>
      </c>
      <c r="H28" s="9">
        <v>0</v>
      </c>
      <c r="I28" s="7">
        <v>0</v>
      </c>
      <c r="J28" s="10">
        <f t="shared" si="1"/>
        <v>0</v>
      </c>
      <c r="K28" s="10">
        <v>0</v>
      </c>
      <c r="L28" s="9">
        <v>0</v>
      </c>
      <c r="M28" s="7">
        <v>0</v>
      </c>
      <c r="N28" s="10">
        <f t="shared" si="3"/>
        <v>0</v>
      </c>
      <c r="O28" s="10">
        <v>0</v>
      </c>
      <c r="P28" s="7">
        <v>0</v>
      </c>
      <c r="Q28" s="7">
        <v>0</v>
      </c>
      <c r="R28" s="7"/>
    </row>
    <row r="29" spans="1:19" x14ac:dyDescent="0.25">
      <c r="A29" s="3" t="s">
        <v>7</v>
      </c>
      <c r="B29" s="4">
        <v>7</v>
      </c>
      <c r="C29" s="4">
        <v>2021</v>
      </c>
      <c r="D29" s="9">
        <v>0</v>
      </c>
      <c r="E29" s="7">
        <v>0</v>
      </c>
      <c r="F29" s="10">
        <f t="shared" si="4"/>
        <v>0</v>
      </c>
      <c r="G29" s="10">
        <v>0</v>
      </c>
      <c r="H29" s="9">
        <v>0</v>
      </c>
      <c r="I29" s="7">
        <v>0</v>
      </c>
      <c r="J29" s="10">
        <f t="shared" si="1"/>
        <v>0</v>
      </c>
      <c r="K29" s="10">
        <v>0</v>
      </c>
      <c r="L29" s="9">
        <v>0</v>
      </c>
      <c r="M29" s="7">
        <v>0</v>
      </c>
      <c r="N29" s="10">
        <f t="shared" si="3"/>
        <v>0</v>
      </c>
      <c r="O29" s="10">
        <v>0</v>
      </c>
      <c r="P29" s="7">
        <v>0</v>
      </c>
      <c r="Q29" s="7">
        <v>0</v>
      </c>
      <c r="R29" s="7"/>
    </row>
    <row r="30" spans="1:19" x14ac:dyDescent="0.25">
      <c r="A30" s="3" t="s">
        <v>7</v>
      </c>
      <c r="B30" s="4">
        <v>8</v>
      </c>
      <c r="C30" s="4">
        <v>2021</v>
      </c>
      <c r="D30" s="9">
        <v>0</v>
      </c>
      <c r="E30" s="7">
        <v>0</v>
      </c>
      <c r="F30" s="10">
        <f t="shared" si="4"/>
        <v>0</v>
      </c>
      <c r="G30" s="10">
        <v>0</v>
      </c>
      <c r="H30" s="9">
        <v>0</v>
      </c>
      <c r="I30" s="7">
        <v>0</v>
      </c>
      <c r="J30" s="10">
        <f t="shared" si="1"/>
        <v>0</v>
      </c>
      <c r="K30" s="10">
        <v>0</v>
      </c>
      <c r="L30" s="9">
        <v>0</v>
      </c>
      <c r="M30" s="7">
        <v>0</v>
      </c>
      <c r="N30" s="10">
        <f t="shared" si="3"/>
        <v>0</v>
      </c>
      <c r="O30" s="10">
        <v>0</v>
      </c>
      <c r="P30" s="7">
        <v>0</v>
      </c>
      <c r="Q30" s="7">
        <v>0</v>
      </c>
      <c r="R30" s="7"/>
    </row>
    <row r="31" spans="1:19" x14ac:dyDescent="0.25">
      <c r="A31" s="3" t="s">
        <v>7</v>
      </c>
      <c r="B31" s="4">
        <v>9</v>
      </c>
      <c r="C31" s="4">
        <v>2021</v>
      </c>
      <c r="D31" s="9">
        <v>0</v>
      </c>
      <c r="E31" s="7">
        <v>0</v>
      </c>
      <c r="F31" s="10">
        <f t="shared" si="4"/>
        <v>0</v>
      </c>
      <c r="G31" s="10">
        <v>0</v>
      </c>
      <c r="H31" s="9">
        <v>0</v>
      </c>
      <c r="I31" s="7">
        <v>0</v>
      </c>
      <c r="J31" s="10">
        <f t="shared" si="1"/>
        <v>0</v>
      </c>
      <c r="K31" s="10">
        <v>0</v>
      </c>
      <c r="L31" s="9">
        <v>0</v>
      </c>
      <c r="M31" s="7">
        <v>0</v>
      </c>
      <c r="N31" s="10">
        <f t="shared" si="3"/>
        <v>0</v>
      </c>
      <c r="O31" s="10">
        <v>0</v>
      </c>
      <c r="P31" s="7">
        <v>0</v>
      </c>
      <c r="Q31" s="7">
        <v>0</v>
      </c>
      <c r="R31" s="7"/>
    </row>
    <row r="32" spans="1:19" x14ac:dyDescent="0.25">
      <c r="A32" s="3" t="s">
        <v>7</v>
      </c>
      <c r="B32" s="4">
        <v>10</v>
      </c>
      <c r="C32" s="4">
        <v>2021</v>
      </c>
      <c r="D32" s="9">
        <v>0</v>
      </c>
      <c r="E32" s="7">
        <v>0</v>
      </c>
      <c r="F32" s="10">
        <f t="shared" si="4"/>
        <v>0</v>
      </c>
      <c r="G32" s="10">
        <v>0</v>
      </c>
      <c r="H32" s="9">
        <v>0</v>
      </c>
      <c r="I32" s="7">
        <v>0</v>
      </c>
      <c r="J32" s="10">
        <f t="shared" si="1"/>
        <v>0</v>
      </c>
      <c r="K32" s="10">
        <v>0</v>
      </c>
      <c r="L32" s="9">
        <v>0</v>
      </c>
      <c r="M32" s="7">
        <v>0</v>
      </c>
      <c r="N32" s="10">
        <f t="shared" si="3"/>
        <v>0</v>
      </c>
      <c r="O32" s="10">
        <v>0</v>
      </c>
      <c r="P32" s="7">
        <v>0</v>
      </c>
      <c r="Q32" s="7">
        <v>0</v>
      </c>
      <c r="R32" s="7"/>
    </row>
    <row r="33" spans="1:18" x14ac:dyDescent="0.25">
      <c r="A33" s="3" t="s">
        <v>7</v>
      </c>
      <c r="B33" s="4">
        <v>11</v>
      </c>
      <c r="C33" s="4">
        <v>2021</v>
      </c>
      <c r="D33" s="9">
        <v>0</v>
      </c>
      <c r="E33" s="7">
        <v>0</v>
      </c>
      <c r="F33" s="10">
        <f t="shared" si="4"/>
        <v>0</v>
      </c>
      <c r="G33" s="10">
        <v>0</v>
      </c>
      <c r="H33" s="9">
        <v>0</v>
      </c>
      <c r="I33" s="7">
        <v>0</v>
      </c>
      <c r="J33" s="10">
        <f t="shared" si="1"/>
        <v>0</v>
      </c>
      <c r="K33" s="10">
        <v>0</v>
      </c>
      <c r="L33" s="9">
        <v>0</v>
      </c>
      <c r="M33" s="7">
        <v>0</v>
      </c>
      <c r="N33" s="10">
        <f t="shared" si="3"/>
        <v>0</v>
      </c>
      <c r="O33" s="10">
        <v>0</v>
      </c>
      <c r="P33" s="7">
        <v>0</v>
      </c>
      <c r="Q33" s="7">
        <v>0</v>
      </c>
      <c r="R33" s="7"/>
    </row>
    <row r="34" spans="1:18" x14ac:dyDescent="0.25">
      <c r="A34" s="3" t="s">
        <v>7</v>
      </c>
      <c r="B34" s="4">
        <v>12</v>
      </c>
      <c r="C34" s="4">
        <v>2021</v>
      </c>
      <c r="D34" s="9">
        <v>0</v>
      </c>
      <c r="E34" s="7">
        <v>0</v>
      </c>
      <c r="F34" s="10">
        <f t="shared" si="4"/>
        <v>0</v>
      </c>
      <c r="G34" s="10">
        <v>0</v>
      </c>
      <c r="H34" s="9">
        <v>0</v>
      </c>
      <c r="I34" s="7">
        <v>0</v>
      </c>
      <c r="J34" s="10">
        <f t="shared" si="1"/>
        <v>0</v>
      </c>
      <c r="K34" s="10">
        <v>0</v>
      </c>
      <c r="L34" s="9">
        <v>0</v>
      </c>
      <c r="M34" s="7">
        <v>0</v>
      </c>
      <c r="N34" s="10">
        <f t="shared" si="3"/>
        <v>0</v>
      </c>
      <c r="O34" s="10">
        <v>0</v>
      </c>
      <c r="P34" s="7">
        <v>0</v>
      </c>
      <c r="Q34" s="7">
        <v>0</v>
      </c>
      <c r="R34" s="7"/>
    </row>
  </sheetData>
  <sheetProtection formatCells="0" formatColumns="0" formatRows="0" insertColumns="0" insertRows="0" insertHyperlinks="0" deleteColumns="0" deleteRows="0" sort="0" autoFilter="0" pivotTables="0"/>
  <pageMargins left="0.1" right="0.1" top="0.1" bottom="0.1" header="0.1" footer="0.1"/>
  <pageSetup scale="43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Report</dc:title>
  <dc:subject/>
  <dc:creator>HEP</dc:creator>
  <cp:keywords>Excel Report</cp:keywords>
  <dc:description/>
  <cp:lastModifiedBy>Paris Karavidas</cp:lastModifiedBy>
  <cp:revision/>
  <dcterms:created xsi:type="dcterms:W3CDTF">2020-11-09T05:02:29Z</dcterms:created>
  <dcterms:modified xsi:type="dcterms:W3CDTF">2021-03-22T06:02:21Z</dcterms:modified>
  <cp:category/>
  <cp:contentStatus/>
</cp:coreProperties>
</file>