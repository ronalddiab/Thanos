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45" windowHeight="1222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I18" i="76"/>
  <c r="T14" i="3"/>
  <c r="T1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H36" s="1"/>
  <c r="F36"/>
  <c r="G35"/>
  <c r="F35"/>
  <c r="G34"/>
  <c r="F34"/>
  <c r="G33"/>
  <c r="H33" s="1"/>
  <c r="F33"/>
  <c r="G32"/>
  <c r="H32" s="1"/>
  <c r="F32"/>
  <c r="G31"/>
  <c r="F31"/>
  <c r="H31" s="1"/>
  <c r="G30"/>
  <c r="F30"/>
  <c r="G29"/>
  <c r="H29" s="1"/>
  <c r="F29"/>
  <c r="G28"/>
  <c r="F28"/>
  <c r="G27"/>
  <c r="F27"/>
  <c r="H27" s="1"/>
  <c r="G26"/>
  <c r="F26"/>
  <c r="G25"/>
  <c r="H25" s="1"/>
  <c r="F25"/>
  <c r="G24"/>
  <c r="F24"/>
  <c r="G23"/>
  <c r="F23"/>
  <c r="G22"/>
  <c r="F22"/>
  <c r="G21"/>
  <c r="H21" s="1"/>
  <c r="F21"/>
  <c r="G20"/>
  <c r="H20" s="1"/>
  <c r="F20"/>
  <c r="G19"/>
  <c r="F19"/>
  <c r="G18"/>
  <c r="F18"/>
  <c r="G17"/>
  <c r="H17" s="1"/>
  <c r="F17"/>
  <c r="G16"/>
  <c r="F16"/>
  <c r="G15"/>
  <c r="F15"/>
  <c r="G14"/>
  <c r="F14"/>
  <c r="G13"/>
  <c r="H13" s="1"/>
  <c r="F13"/>
  <c r="G12"/>
  <c r="H12" s="1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H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H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F21"/>
  <c r="F22" s="1"/>
  <c r="S3"/>
  <c r="Q3"/>
  <c r="N3"/>
  <c r="M3"/>
  <c r="L3"/>
  <c r="K3"/>
  <c r="J21"/>
  <c r="J22" s="1"/>
  <c r="J23" s="1"/>
  <c r="J24" s="1"/>
  <c r="J25" s="1"/>
  <c r="J26" s="1"/>
  <c r="J27" s="1"/>
  <c r="J28" s="1"/>
  <c r="J29" s="1"/>
  <c r="J30" s="1"/>
  <c r="J31" s="1"/>
  <c r="W26" s="1"/>
  <c r="I3"/>
  <c r="H21"/>
  <c r="H22" s="1"/>
  <c r="G3"/>
  <c r="E3"/>
  <c r="D3"/>
  <c r="C3"/>
  <c r="B21"/>
  <c r="B22" s="1"/>
  <c r="D20" i="3"/>
  <c r="D21" s="1"/>
  <c r="D22" s="1"/>
  <c r="D23" s="1"/>
  <c r="D24" s="1"/>
  <c r="D25" s="1"/>
  <c r="D26" s="1"/>
  <c r="D27" s="1"/>
  <c r="D28" s="1"/>
  <c r="D29" s="1"/>
  <c r="D30" s="1"/>
  <c r="B20"/>
  <c r="B21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S2"/>
  <c r="R2"/>
  <c r="R3" s="1"/>
  <c r="R4" s="1"/>
  <c r="R5" s="1"/>
  <c r="R6" s="1"/>
  <c r="R8" s="1"/>
  <c r="R9" s="1"/>
  <c r="R10" s="1"/>
  <c r="R11" s="1"/>
  <c r="R12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23" i="5"/>
  <c r="AV24" s="1"/>
  <c r="AV25" s="1"/>
  <c r="AV26" s="1"/>
  <c r="AV27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X23"/>
  <c r="AX24" s="1"/>
  <c r="AT9"/>
  <c r="AT11" s="1"/>
  <c r="AT13" s="1"/>
  <c r="AT14" s="1"/>
  <c r="AT15" s="1"/>
  <c r="AT16" s="1"/>
  <c r="AT17" s="1"/>
  <c r="AT20" s="1"/>
  <c r="AT21" s="1"/>
  <c r="AT23" s="1"/>
  <c r="AT24" s="1"/>
  <c r="AT25" s="1"/>
  <c r="AT26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9" s="1"/>
  <c r="X20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20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H7"/>
  <c r="H10" s="1"/>
  <c r="H13" s="1"/>
  <c r="H16" s="1"/>
  <c r="H19" s="1"/>
  <c r="H20" s="1"/>
  <c r="H22" s="1"/>
  <c r="H23" s="1"/>
  <c r="B22"/>
  <c r="B23" s="1"/>
  <c r="B24" s="1"/>
  <c r="B25" s="1"/>
  <c r="B26" s="1"/>
  <c r="B27" s="1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8" s="1"/>
  <c r="Q22" s="1"/>
  <c r="Q23" s="1"/>
  <c r="Q24" s="1"/>
  <c r="Q25" s="1"/>
  <c r="Q26" s="1"/>
  <c r="Q27" s="1"/>
  <c r="Q28" s="1"/>
  <c r="Q29" s="1"/>
  <c r="Q30" s="1"/>
  <c r="Q31" s="1"/>
  <c r="Q32" s="1"/>
  <c r="P4"/>
  <c r="P6" s="1"/>
  <c r="P9" s="1"/>
  <c r="P12" s="1"/>
  <c r="P15" s="1"/>
  <c r="P18" s="1"/>
  <c r="P22" s="1"/>
  <c r="P23" s="1"/>
  <c r="P24" s="1"/>
  <c r="P25" s="1"/>
  <c r="P26" s="1"/>
  <c r="P27" s="1"/>
  <c r="P28" s="1"/>
  <c r="P29" s="1"/>
  <c r="P30" s="1"/>
  <c r="P31" s="1"/>
  <c r="P32" s="1"/>
  <c r="O4"/>
  <c r="N4"/>
  <c r="M4"/>
  <c r="M5" s="1"/>
  <c r="M8" s="1"/>
  <c r="M11" s="1"/>
  <c r="M14" s="1"/>
  <c r="M17" s="1"/>
  <c r="M20" s="1"/>
  <c r="M21" s="1"/>
  <c r="M22" s="1"/>
  <c r="M23" s="1"/>
  <c r="L4"/>
  <c r="K4"/>
  <c r="K5" s="1"/>
  <c r="K8" s="1"/>
  <c r="K11" s="1"/>
  <c r="K14" s="1"/>
  <c r="K17" s="1"/>
  <c r="K20" s="1"/>
  <c r="K21" s="1"/>
  <c r="K22" s="1"/>
  <c r="K23" s="1"/>
  <c r="J4"/>
  <c r="I4"/>
  <c r="H4"/>
  <c r="G4"/>
  <c r="F4"/>
  <c r="F7" s="1"/>
  <c r="F10" s="1"/>
  <c r="F13" s="1"/>
  <c r="F19" s="1"/>
  <c r="F20" s="1"/>
  <c r="F22" s="1"/>
  <c r="F23" s="1"/>
  <c r="E4"/>
  <c r="D4"/>
  <c r="C4"/>
  <c r="C22" s="1"/>
  <c r="B4"/>
  <c r="L20" i="2"/>
  <c r="L21" s="1"/>
  <c r="AG2"/>
  <c r="AF2"/>
  <c r="AE2"/>
  <c r="AD2"/>
  <c r="AC2"/>
  <c r="AC10" s="1"/>
  <c r="AC11" s="1"/>
  <c r="AC12" s="1"/>
  <c r="AC13" s="1"/>
  <c r="AC14" s="1"/>
  <c r="AC15" s="1"/>
  <c r="AC16" s="1"/>
  <c r="AC17" s="1"/>
  <c r="AC20" s="1"/>
  <c r="AC21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20" s="1"/>
  <c r="AA21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6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16" s="1"/>
  <c r="W17" s="1"/>
  <c r="W18" s="1"/>
  <c r="W20" s="1"/>
  <c r="W21" s="1"/>
  <c r="W22" s="1"/>
  <c r="W23" s="1"/>
  <c r="W24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8" s="1"/>
  <c r="S19" s="1"/>
  <c r="S20" s="1"/>
  <c r="S21" s="1"/>
  <c r="R2"/>
  <c r="Q2"/>
  <c r="P2"/>
  <c r="P20" s="1"/>
  <c r="P21" s="1"/>
  <c r="O2"/>
  <c r="N2"/>
  <c r="M2"/>
  <c r="L2"/>
  <c r="K2"/>
  <c r="J2"/>
  <c r="J20" s="1"/>
  <c r="J21" s="1"/>
  <c r="I2"/>
  <c r="H2"/>
  <c r="H20" s="1"/>
  <c r="H21" s="1"/>
  <c r="G2"/>
  <c r="F2"/>
  <c r="F20" s="1"/>
  <c r="F21" s="1"/>
  <c r="E2"/>
  <c r="D2"/>
  <c r="D20" s="1"/>
  <c r="D21" s="1"/>
  <c r="C2"/>
  <c r="D24" i="73"/>
  <c r="AP24" i="5"/>
  <c r="AN24"/>
  <c r="AM24"/>
  <c r="K24"/>
  <c r="AJ23" i="1"/>
  <c r="A23"/>
  <c r="H24" i="74" l="1"/>
  <c r="H15"/>
  <c r="H23"/>
  <c r="H37"/>
  <c r="H16"/>
  <c r="H10"/>
  <c r="H8" i="79"/>
  <c r="H9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3"/>
  <c r="H24" s="1"/>
  <c r="H25" s="1"/>
  <c r="H26" s="1"/>
  <c r="H27" s="1"/>
  <c r="H28" s="1"/>
  <c r="H29" s="1"/>
  <c r="H30" s="1"/>
  <c r="H31" s="1"/>
  <c r="W27" s="1"/>
  <c r="G22"/>
  <c r="F23"/>
  <c r="F24" s="1"/>
  <c r="F25" s="1"/>
  <c r="F26" s="1"/>
  <c r="F27" s="1"/>
  <c r="F28" s="1"/>
  <c r="F29" s="1"/>
  <c r="F30" s="1"/>
  <c r="F31" s="1"/>
  <c r="W28" s="1"/>
  <c r="C22"/>
  <c r="B23"/>
  <c r="B24" s="1"/>
  <c r="B25" s="1"/>
  <c r="B26" s="1"/>
  <c r="B27" s="1"/>
  <c r="B28" s="1"/>
  <c r="B29" s="1"/>
  <c r="B30" s="1"/>
  <c r="B31" s="1"/>
  <c r="C21" i="3"/>
  <c r="B22"/>
  <c r="B23" s="1"/>
  <c r="B24" s="1"/>
  <c r="B25" s="1"/>
  <c r="B26" s="1"/>
  <c r="B27" s="1"/>
  <c r="B28" s="1"/>
  <c r="B29" s="1"/>
  <c r="B30" s="1"/>
  <c r="BA24" i="5"/>
  <c r="AX25"/>
  <c r="AX26" s="1"/>
  <c r="AX27" s="1"/>
  <c r="AX28" s="1"/>
  <c r="AX29" s="1"/>
  <c r="AX30" s="1"/>
  <c r="AX31" s="1"/>
  <c r="AX32" s="1"/>
  <c r="AX33" s="1"/>
  <c r="AA24"/>
  <c r="Z25"/>
  <c r="Z26" s="1"/>
  <c r="Z27" s="1"/>
  <c r="Z28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7" s="1"/>
  <c r="G28" s="1"/>
  <c r="G29" s="1"/>
  <c r="G30" s="1"/>
  <c r="G31" s="1"/>
  <c r="G32" s="1"/>
  <c r="G33" s="1"/>
  <c r="H24"/>
  <c r="N23" i="1"/>
  <c r="M24"/>
  <c r="M25" s="1"/>
  <c r="M26" s="1"/>
  <c r="M27" s="1"/>
  <c r="M28" s="1"/>
  <c r="M29" s="1"/>
  <c r="M30" s="1"/>
  <c r="M31" s="1"/>
  <c r="M32" s="1"/>
  <c r="L23"/>
  <c r="K24"/>
  <c r="K25" s="1"/>
  <c r="K26" s="1"/>
  <c r="K27" s="1"/>
  <c r="K28" s="1"/>
  <c r="K29" s="1"/>
  <c r="K30" s="1"/>
  <c r="K31" s="1"/>
  <c r="K32" s="1"/>
  <c r="I23"/>
  <c r="H24"/>
  <c r="H25" s="1"/>
  <c r="H26" s="1"/>
  <c r="H27" s="1"/>
  <c r="H28" s="1"/>
  <c r="H29" s="1"/>
  <c r="H30" s="1"/>
  <c r="H31" s="1"/>
  <c r="H32" s="1"/>
  <c r="G23"/>
  <c r="J23" s="1"/>
  <c r="F24"/>
  <c r="F25" s="1"/>
  <c r="F26" s="1"/>
  <c r="F27" s="1"/>
  <c r="F28" s="1"/>
  <c r="F29" s="1"/>
  <c r="F30" s="1"/>
  <c r="F31" s="1"/>
  <c r="F32" s="1"/>
  <c r="C23"/>
  <c r="C24" s="1"/>
  <c r="C25" s="1"/>
  <c r="C26" s="1"/>
  <c r="C27" s="1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2"/>
  <c r="P23" s="1"/>
  <c r="P24" s="1"/>
  <c r="P25" s="1"/>
  <c r="P26" s="1"/>
  <c r="P27" s="1"/>
  <c r="P28" s="1"/>
  <c r="P29" s="1"/>
  <c r="P30" s="1"/>
  <c r="M21"/>
  <c r="L22"/>
  <c r="L23" s="1"/>
  <c r="L24" s="1"/>
  <c r="L25" s="1"/>
  <c r="L26" s="1"/>
  <c r="L27" s="1"/>
  <c r="L28" s="1"/>
  <c r="L29" s="1"/>
  <c r="L30" s="1"/>
  <c r="J22"/>
  <c r="J23" s="1"/>
  <c r="J24" s="1"/>
  <c r="J25" s="1"/>
  <c r="J26" s="1"/>
  <c r="J27" s="1"/>
  <c r="J28" s="1"/>
  <c r="J29" s="1"/>
  <c r="J30" s="1"/>
  <c r="K21"/>
  <c r="H22"/>
  <c r="H23" s="1"/>
  <c r="H24" s="1"/>
  <c r="H25" s="1"/>
  <c r="H26" s="1"/>
  <c r="H27" s="1"/>
  <c r="H28" s="1"/>
  <c r="H29" s="1"/>
  <c r="H30" s="1"/>
  <c r="I21"/>
  <c r="F22"/>
  <c r="F23" s="1"/>
  <c r="F24" s="1"/>
  <c r="F25" s="1"/>
  <c r="F26" s="1"/>
  <c r="F27" s="1"/>
  <c r="F28" s="1"/>
  <c r="F29" s="1"/>
  <c r="F30" s="1"/>
  <c r="G21"/>
  <c r="D22"/>
  <c r="D23" s="1"/>
  <c r="D24" s="1"/>
  <c r="D25" s="1"/>
  <c r="D26" s="1"/>
  <c r="D27" s="1"/>
  <c r="D28" s="1"/>
  <c r="D29" s="1"/>
  <c r="D30" s="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E22" i="3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AJ36"/>
  <c r="AM36" s="1"/>
  <c r="I35"/>
  <c r="G36"/>
  <c r="K36" l="1"/>
  <c r="F6" i="77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BB33" s="1"/>
  <c r="BE33" s="1"/>
  <c r="AY32"/>
  <c r="BB32" s="1"/>
  <c r="BE32" s="1"/>
  <c r="J28" i="81"/>
  <c r="AX32" i="1"/>
  <c r="J29" i="81" s="1"/>
  <c r="I29" i="63" l="1"/>
  <c r="BF33" i="5"/>
  <c r="BG33" s="1"/>
  <c r="G33" i="65" s="1"/>
  <c r="I28" i="63"/>
  <c r="BF32" i="5"/>
  <c r="BG32" s="1"/>
  <c r="G32" i="65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<sst xmlns="http://schemas.openxmlformats.org/spreadsheetml/2006/main" count="646" uniqueCount="418">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</sst>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18" fillId="0" borderId="1" xfId="4" applyNumberFormat="1" applyFont="1" applyBorder="1" applyAlignment="1">
      <alignment horizontal="left" wrapText="1"/>
    </xf>
    <xf numFmtId="173" fontId="0" fillId="2" borderId="7" xfId="0" applyNumberFormat="1" applyFill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7639424"/>
        <c:axId val="137640960"/>
      </c:lineChart>
      <c:catAx>
        <c:axId val="13763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40960"/>
        <c:crosses val="autoZero"/>
        <c:auto val="1"/>
        <c:lblAlgn val="ctr"/>
        <c:lblOffset val="100"/>
      </c:catAx>
      <c:valAx>
        <c:axId val="137640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3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8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7661440"/>
        <c:axId val="137667328"/>
      </c:lineChart>
      <c:catAx>
        <c:axId val="13766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67328"/>
        <c:crosses val="autoZero"/>
        <c:auto val="1"/>
        <c:lblAlgn val="ctr"/>
        <c:lblOffset val="100"/>
      </c:catAx>
      <c:valAx>
        <c:axId val="13766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6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61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839552"/>
        <c:axId val="136841088"/>
      </c:lineChart>
      <c:catAx>
        <c:axId val="13683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41088"/>
        <c:crosses val="autoZero"/>
        <c:auto val="1"/>
        <c:lblAlgn val="ctr"/>
        <c:lblOffset val="100"/>
      </c:catAx>
      <c:valAx>
        <c:axId val="1368410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3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179"/>
          <c:y val="0.62975887529635965"/>
          <c:w val="7.9124755870162669E-2"/>
          <c:h val="4.49826989619498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885760"/>
        <c:axId val="136887296"/>
      </c:lineChart>
      <c:catAx>
        <c:axId val="13688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87296"/>
        <c:crosses val="autoZero"/>
        <c:auto val="1"/>
        <c:lblAlgn val="ctr"/>
        <c:lblOffset val="100"/>
      </c:catAx>
      <c:valAx>
        <c:axId val="136887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8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5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899200"/>
        <c:axId val="137900416"/>
      </c:lineChart>
      <c:catAx>
        <c:axId val="13689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00416"/>
        <c:crosses val="autoZero"/>
        <c:auto val="1"/>
        <c:lblAlgn val="ctr"/>
        <c:lblOffset val="100"/>
      </c:catAx>
      <c:valAx>
        <c:axId val="137900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9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51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8195712"/>
        <c:axId val="138197248"/>
      </c:lineChart>
      <c:catAx>
        <c:axId val="13819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97248"/>
        <c:crosses val="autoZero"/>
        <c:auto val="1"/>
        <c:lblAlgn val="ctr"/>
        <c:lblOffset val="100"/>
      </c:catAx>
      <c:valAx>
        <c:axId val="13819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9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7844608"/>
        <c:axId val="137846144"/>
      </c:lineChart>
      <c:catAx>
        <c:axId val="13784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46144"/>
        <c:crosses val="autoZero"/>
        <c:auto val="1"/>
        <c:lblAlgn val="ctr"/>
        <c:lblOffset val="100"/>
      </c:catAx>
      <c:valAx>
        <c:axId val="13784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4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7869952"/>
        <c:axId val="139592064"/>
      </c:lineChart>
      <c:catAx>
        <c:axId val="13786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92064"/>
        <c:crosses val="autoZero"/>
        <c:auto val="1"/>
        <c:lblAlgn val="ctr"/>
        <c:lblOffset val="100"/>
      </c:catAx>
      <c:valAx>
        <c:axId val="13959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6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616256"/>
        <c:axId val="139617792"/>
      </c:lineChart>
      <c:catAx>
        <c:axId val="13961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17792"/>
        <c:crosses val="autoZero"/>
        <c:auto val="1"/>
        <c:lblAlgn val="ctr"/>
        <c:lblOffset val="100"/>
      </c:catAx>
      <c:valAx>
        <c:axId val="139617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1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939"/>
          <c:w val="0.1272403315177382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650176"/>
        <c:axId val="139651712"/>
      </c:lineChart>
      <c:catAx>
        <c:axId val="13965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51712"/>
        <c:crosses val="autoZero"/>
        <c:auto val="1"/>
        <c:lblAlgn val="ctr"/>
        <c:lblOffset val="100"/>
      </c:catAx>
      <c:valAx>
        <c:axId val="13965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281</c:v>
                </c:pt>
                <c:pt idx="14">
                  <c:v>267</c:v>
                </c:pt>
                <c:pt idx="15">
                  <c:v>217</c:v>
                </c:pt>
                <c:pt idx="16">
                  <c:v>228</c:v>
                </c:pt>
                <c:pt idx="17">
                  <c:v>288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9696384"/>
        <c:axId val="139698176"/>
      </c:lineChart>
      <c:catAx>
        <c:axId val="13969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98176"/>
        <c:crosses val="autoZero"/>
        <c:auto val="1"/>
        <c:lblAlgn val="ctr"/>
        <c:lblOffset val="100"/>
      </c:catAx>
      <c:valAx>
        <c:axId val="13969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9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939"/>
          <c:w val="0.1354168853893554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709824"/>
        <c:axId val="139736192"/>
      </c:lineChart>
      <c:catAx>
        <c:axId val="13970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36192"/>
        <c:crosses val="autoZero"/>
        <c:auto val="1"/>
        <c:lblAlgn val="ctr"/>
        <c:lblOffset val="100"/>
      </c:catAx>
      <c:valAx>
        <c:axId val="139736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0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93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9768960"/>
        <c:axId val="139770496"/>
      </c:lineChart>
      <c:catAx>
        <c:axId val="13976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70496"/>
        <c:crosses val="autoZero"/>
        <c:auto val="1"/>
        <c:lblAlgn val="ctr"/>
        <c:lblOffset val="100"/>
      </c:catAx>
      <c:valAx>
        <c:axId val="139770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6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8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9786496"/>
        <c:axId val="139796480"/>
      </c:lineChart>
      <c:catAx>
        <c:axId val="13978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96480"/>
        <c:crosses val="autoZero"/>
        <c:auto val="1"/>
        <c:lblAlgn val="ctr"/>
        <c:lblOffset val="100"/>
      </c:catAx>
      <c:valAx>
        <c:axId val="13979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8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939"/>
          <c:w val="0.1354168853893554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804032"/>
        <c:axId val="139830400"/>
      </c:lineChart>
      <c:catAx>
        <c:axId val="13980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30400"/>
        <c:crosses val="autoZero"/>
        <c:auto val="1"/>
        <c:lblAlgn val="ctr"/>
        <c:lblOffset val="100"/>
      </c:catAx>
      <c:valAx>
        <c:axId val="139830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0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135"/>
          <c:y val="0.54325368498487869"/>
          <c:w val="0.11458355205599259"/>
          <c:h val="4.49826989619494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-1533.3870967741823</c:v>
                </c:pt>
                <c:pt idx="13">
                  <c:v>-1700.0645161290449</c:v>
                </c:pt>
                <c:pt idx="14">
                  <c:v>-1296.7096774193487</c:v>
                </c:pt>
                <c:pt idx="15">
                  <c:v>470.35483870966709</c:v>
                </c:pt>
                <c:pt idx="16">
                  <c:v>-2076.7419354838494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862784"/>
        <c:axId val="139864320"/>
      </c:lineChart>
      <c:catAx>
        <c:axId val="13986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64320"/>
        <c:crosses val="autoZero"/>
        <c:auto val="1"/>
        <c:lblAlgn val="ctr"/>
        <c:lblOffset val="100"/>
      </c:catAx>
      <c:valAx>
        <c:axId val="139864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6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23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884800"/>
        <c:axId val="139915264"/>
      </c:lineChart>
      <c:catAx>
        <c:axId val="13988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15264"/>
        <c:crosses val="autoZero"/>
        <c:auto val="1"/>
        <c:lblAlgn val="ctr"/>
        <c:lblOffset val="100"/>
      </c:catAx>
      <c:valAx>
        <c:axId val="139915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8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76"/>
          <c:h val="4.49826989619498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931008"/>
        <c:axId val="139936896"/>
      </c:lineChart>
      <c:catAx>
        <c:axId val="13993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36896"/>
        <c:crosses val="autoZero"/>
        <c:auto val="1"/>
        <c:lblAlgn val="ctr"/>
        <c:lblOffset val="100"/>
      </c:catAx>
      <c:valAx>
        <c:axId val="1399368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3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8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40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977472"/>
        <c:axId val="139979008"/>
      </c:lineChart>
      <c:catAx>
        <c:axId val="13997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79008"/>
        <c:crosses val="autoZero"/>
        <c:auto val="1"/>
        <c:lblAlgn val="ctr"/>
        <c:lblOffset val="100"/>
      </c:catAx>
      <c:valAx>
        <c:axId val="139979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7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8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1121408"/>
        <c:axId val="141122944"/>
      </c:lineChart>
      <c:catAx>
        <c:axId val="14112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22944"/>
        <c:crosses val="autoZero"/>
        <c:auto val="1"/>
        <c:lblAlgn val="ctr"/>
        <c:lblOffset val="100"/>
      </c:catAx>
      <c:valAx>
        <c:axId val="14112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2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498"/>
          <c:y val="0.62975887529635965"/>
          <c:w val="0.13250539334757044"/>
          <c:h val="4.49826989619498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1159424"/>
        <c:axId val="141161216"/>
      </c:lineChart>
      <c:catAx>
        <c:axId val="14115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61216"/>
        <c:crosses val="autoZero"/>
        <c:auto val="1"/>
        <c:lblAlgn val="ctr"/>
        <c:lblOffset val="100"/>
      </c:catAx>
      <c:valAx>
        <c:axId val="14116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5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93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1250944"/>
        <c:axId val="141252480"/>
      </c:lineChart>
      <c:catAx>
        <c:axId val="14125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52480"/>
        <c:crosses val="autoZero"/>
        <c:auto val="1"/>
        <c:lblAlgn val="ctr"/>
        <c:lblOffset val="100"/>
      </c:catAx>
      <c:valAx>
        <c:axId val="14125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5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519"/>
          <c:w val="0.1234311819809306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1289728"/>
        <c:axId val="141295616"/>
      </c:lineChart>
      <c:catAx>
        <c:axId val="1412897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95616"/>
        <c:crosses val="autoZero"/>
        <c:auto val="1"/>
        <c:lblAlgn val="ctr"/>
        <c:lblOffset val="100"/>
      </c:catAx>
      <c:valAx>
        <c:axId val="1412956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8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677"/>
          <c:w val="0.1569039853282196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1302784"/>
        <c:axId val="141345536"/>
      </c:lineChart>
      <c:catAx>
        <c:axId val="14130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45536"/>
        <c:crosses val="autoZero"/>
        <c:auto val="1"/>
        <c:lblAlgn val="ctr"/>
        <c:lblOffset val="100"/>
      </c:catAx>
      <c:valAx>
        <c:axId val="141345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0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008"/>
          <c:h val="4.49826989619500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1566720"/>
        <c:axId val="141568256"/>
      </c:lineChart>
      <c:catAx>
        <c:axId val="14156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68256"/>
        <c:crosses val="autoZero"/>
        <c:auto val="1"/>
        <c:lblAlgn val="ctr"/>
        <c:lblOffset val="100"/>
      </c:catAx>
      <c:valAx>
        <c:axId val="141568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6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914"/>
          <c:y val="0.62975887529635965"/>
          <c:w val="0.12164948453608219"/>
          <c:h val="4.49826989619500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65562240"/>
        <c:axId val="165563776"/>
      </c:lineChart>
      <c:catAx>
        <c:axId val="16556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63776"/>
        <c:crosses val="autoZero"/>
        <c:auto val="1"/>
        <c:lblAlgn val="ctr"/>
        <c:lblOffset val="100"/>
      </c:catAx>
      <c:valAx>
        <c:axId val="1655637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6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65645696"/>
        <c:axId val="165479552"/>
      </c:lineChart>
      <c:catAx>
        <c:axId val="16564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79552"/>
        <c:crosses val="autoZero"/>
        <c:auto val="1"/>
        <c:lblAlgn val="ctr"/>
        <c:lblOffset val="100"/>
      </c:catAx>
      <c:valAx>
        <c:axId val="16547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82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65844864"/>
        <c:axId val="165846400"/>
      </c:lineChart>
      <c:catAx>
        <c:axId val="1658448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46400"/>
        <c:crosses val="autoZero"/>
        <c:auto val="1"/>
        <c:lblAlgn val="ctr"/>
        <c:lblOffset val="100"/>
      </c:catAx>
      <c:valAx>
        <c:axId val="1658464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4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67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0.11066164845087767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9.9384350200960314E-2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0.10777439292684636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0.11505251730500293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1.4795700541748695E-2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9.7783407073589568E-2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0.11847940576741486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9.587873312156428E-2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0.10619605210422588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0.14233933630883008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0.12074885308464162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5643</v>
      </c>
      <c r="F13" s="330">
        <f>SUM('EDl log'!T15)</f>
        <v>0.11181398216535965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6507</v>
      </c>
      <c r="F14" s="330">
        <f>SUM('EDl log'!T16)</f>
        <v>0.13358591822788443</v>
      </c>
      <c r="G14" s="203">
        <f>-tanks!AW18</f>
        <v>281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7439</v>
      </c>
      <c r="F15" s="330">
        <f>SUM('EDl log'!T17)</f>
        <v>0.13106230656610346</v>
      </c>
      <c r="G15" s="203">
        <f>-tanks!AW19</f>
        <v>267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279</v>
      </c>
      <c r="L15" s="331">
        <f>SUM(WATER!J19)</f>
        <v>0.96006144393241155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7469</v>
      </c>
      <c r="F16" s="330">
        <f>SUM('EDl log'!T18)</f>
        <v>0.10493802969072442</v>
      </c>
      <c r="G16" s="203">
        <f>-tanks!AW20</f>
        <v>217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5934</v>
      </c>
      <c r="F17" s="330">
        <f>SUM('EDl log'!T19)</f>
        <v>-6.3824102493806444E-3</v>
      </c>
      <c r="G17" s="203">
        <f>-tanks!AW21</f>
        <v>228</v>
      </c>
      <c r="H17" s="330">
        <f>SUM(tanks!AV21)</f>
        <v>0.68899999999999995</v>
      </c>
      <c r="I17" s="10">
        <f>('B5'!AU20)*0.51</f>
        <v>0</v>
      </c>
      <c r="J17" s="309">
        <f>'B5'!AX20/0.51</f>
        <v>1.5686274509803921</v>
      </c>
      <c r="K17" s="203">
        <f>WATER!I21</f>
        <v>167</v>
      </c>
      <c r="L17" s="331">
        <f>SUM(WATER!J21)</f>
        <v>1.60393498716852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7520</v>
      </c>
      <c r="F18" s="330">
        <f>SUM('EDl log'!T20)</f>
        <v>0.14310027557040017</v>
      </c>
      <c r="G18" s="203">
        <f>-tanks!AW22</f>
        <v>288</v>
      </c>
      <c r="H18" s="330">
        <f>SUM(tanks!AV22)</f>
        <v>0.68899999999999995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0.68899999999999995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0.68899999999999995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0.68899999999999995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0.68899999999999995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0.68899999999999995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0.68899999999999995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0.68899999999999995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0.68899999999999995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0.68899999999999995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0.68899999999999995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0.68899999999999995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A30" sqref="A30:XF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1720</v>
      </c>
      <c r="F14" s="203">
        <f>ELEC!K15</f>
        <v>1536</v>
      </c>
      <c r="G14" s="203">
        <f>ELEC!I15</f>
        <v>888</v>
      </c>
      <c r="H14" s="203">
        <f>ELEC!E15</f>
        <v>1764</v>
      </c>
      <c r="I14" s="203">
        <f>ELEC!G15</f>
        <v>599</v>
      </c>
      <c r="J14" s="203">
        <f>WATER!Y18</f>
        <v>64</v>
      </c>
      <c r="K14" s="203">
        <f>WATER!AJ18</f>
        <v>61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2612</v>
      </c>
      <c r="F15" s="203">
        <f>ELEC!K16</f>
        <v>1084</v>
      </c>
      <c r="G15" s="203">
        <f>ELEC!I16</f>
        <v>838</v>
      </c>
      <c r="H15" s="203">
        <f>ELEC!E16</f>
        <v>2326</v>
      </c>
      <c r="I15" s="203">
        <f>ELEC!G16</f>
        <v>579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2664</v>
      </c>
      <c r="F16" s="203">
        <f>ELEC!K17</f>
        <v>1092</v>
      </c>
      <c r="G16" s="203">
        <f>ELEC!I17</f>
        <v>910</v>
      </c>
      <c r="H16" s="203">
        <f>ELEC!E17</f>
        <v>2194</v>
      </c>
      <c r="I16" s="203">
        <f>ELEC!G17</f>
        <v>609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1572</v>
      </c>
      <c r="F17" s="203">
        <f>ELEC!K18</f>
        <v>822</v>
      </c>
      <c r="G17" s="203">
        <f>ELEC!I18</f>
        <v>794</v>
      </c>
      <c r="H17" s="203">
        <f>ELEC!E18</f>
        <v>2176</v>
      </c>
      <c r="I17" s="203">
        <f>ELEC!G18</f>
        <v>570</v>
      </c>
      <c r="J17" s="203">
        <f>WATER!Y21</f>
        <v>140</v>
      </c>
      <c r="K17" s="203">
        <f>WATER!AJ21</f>
        <v>35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2014</v>
      </c>
      <c r="F18" s="203">
        <f>ELEC!K19</f>
        <v>1160</v>
      </c>
      <c r="G18" s="203">
        <f>ELEC!I19</f>
        <v>950</v>
      </c>
      <c r="H18" s="203">
        <f>ELEC!E19</f>
        <v>2788</v>
      </c>
      <c r="I18" s="203">
        <f>ELEC!G19</f>
        <v>608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O1" zoomScale="85" zoomScaleNormal="85" zoomScaleSheetLayoutView="100" workbookViewId="0">
      <pane ySplit="1" topLeftCell="A5" activePane="bottomLeft" state="frozen"/>
      <selection activeCell="C1" sqref="C1"/>
      <selection pane="bottomLeft" activeCell="AF19" sqref="AF19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604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60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60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60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60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605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605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605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605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605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605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605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605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v>32608442</v>
      </c>
      <c r="E15" s="311">
        <f t="shared" si="10"/>
        <v>1764</v>
      </c>
      <c r="F15" s="445">
        <v>3962193</v>
      </c>
      <c r="G15" s="312">
        <f t="shared" si="0"/>
        <v>599</v>
      </c>
      <c r="H15" s="445">
        <v>17790434</v>
      </c>
      <c r="I15" s="312">
        <f t="shared" si="11"/>
        <v>888</v>
      </c>
      <c r="J15" s="445">
        <v>28895218</v>
      </c>
      <c r="K15" s="312">
        <f t="shared" si="12"/>
        <v>1536</v>
      </c>
      <c r="L15" s="445">
        <v>24020462</v>
      </c>
      <c r="M15" s="312">
        <f t="shared" si="13"/>
        <v>1720</v>
      </c>
      <c r="N15" s="310">
        <f t="shared" si="14"/>
        <v>6507</v>
      </c>
      <c r="O15" s="467">
        <f t="shared" si="21"/>
        <v>0</v>
      </c>
      <c r="P15" s="605">
        <v>16610.886999999999</v>
      </c>
      <c r="Q15" s="449">
        <f t="shared" si="24"/>
        <v>3238.999999997759</v>
      </c>
      <c r="R15" s="449">
        <f t="shared" si="25"/>
        <v>3268.000000002241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v>32194</v>
      </c>
      <c r="X15" s="449">
        <f t="shared" si="20"/>
        <v>3</v>
      </c>
      <c r="Y15" s="445">
        <v>700970</v>
      </c>
      <c r="Z15" s="449">
        <f t="shared" si="19"/>
        <v>427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3</v>
      </c>
      <c r="AF15" s="473">
        <f t="shared" si="9"/>
        <v>427</v>
      </c>
      <c r="AG15" s="465">
        <f t="shared" si="22"/>
        <v>142.33333333333334</v>
      </c>
      <c r="AI15" s="466">
        <f>R15-'EDl log'!B13</f>
        <v>-872027.99999999779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v>32610768</v>
      </c>
      <c r="E16" s="311">
        <f t="shared" si="10"/>
        <v>2326</v>
      </c>
      <c r="F16" s="445">
        <v>3962772</v>
      </c>
      <c r="G16" s="312">
        <f t="shared" si="0"/>
        <v>579</v>
      </c>
      <c r="H16" s="445">
        <v>17791272</v>
      </c>
      <c r="I16" s="312">
        <f t="shared" si="11"/>
        <v>838</v>
      </c>
      <c r="J16" s="445">
        <v>28896302</v>
      </c>
      <c r="K16" s="312">
        <f t="shared" si="12"/>
        <v>1084</v>
      </c>
      <c r="L16" s="445">
        <v>24023074</v>
      </c>
      <c r="M16" s="312">
        <f t="shared" si="13"/>
        <v>2612</v>
      </c>
      <c r="N16" s="310">
        <f t="shared" si="14"/>
        <v>7439</v>
      </c>
      <c r="O16" s="467">
        <f t="shared" si="21"/>
        <v>0</v>
      </c>
      <c r="P16" s="605">
        <v>16614.541000000001</v>
      </c>
      <c r="Q16" s="449">
        <f t="shared" si="24"/>
        <v>3654.0000000022701</v>
      </c>
      <c r="R16" s="449">
        <f t="shared" si="25"/>
        <v>3784.9999999977299</v>
      </c>
      <c r="S16" s="445">
        <v>10123</v>
      </c>
      <c r="T16" s="469">
        <f t="shared" si="3"/>
        <v>5</v>
      </c>
      <c r="U16" s="445">
        <v>421599</v>
      </c>
      <c r="V16" s="449">
        <f t="shared" si="15"/>
        <v>877</v>
      </c>
      <c r="W16" s="445">
        <f t="shared" si="7"/>
        <v>32194</v>
      </c>
      <c r="X16" s="449">
        <f>W16-W15</f>
        <v>0</v>
      </c>
      <c r="Y16" s="445">
        <f t="shared" si="7"/>
        <v>700970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5</v>
      </c>
      <c r="AF16" s="473">
        <f t="shared" si="9"/>
        <v>877</v>
      </c>
      <c r="AG16" s="465">
        <f t="shared" si="22"/>
        <v>175.4</v>
      </c>
      <c r="AI16" s="466">
        <f>R16-'EDl log'!B14</f>
        <v>-873291.00000000233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v>32612962</v>
      </c>
      <c r="E17" s="311">
        <f t="shared" si="10"/>
        <v>2194</v>
      </c>
      <c r="F17" s="445">
        <v>3963381</v>
      </c>
      <c r="G17" s="312">
        <f t="shared" si="0"/>
        <v>609</v>
      </c>
      <c r="H17" s="445">
        <v>17792182</v>
      </c>
      <c r="I17" s="312">
        <f t="shared" si="11"/>
        <v>910</v>
      </c>
      <c r="J17" s="445">
        <v>28897394</v>
      </c>
      <c r="K17" s="312">
        <f t="shared" si="12"/>
        <v>1092</v>
      </c>
      <c r="L17" s="445">
        <v>24025738</v>
      </c>
      <c r="M17" s="312">
        <f t="shared" si="13"/>
        <v>2664</v>
      </c>
      <c r="N17" s="310">
        <f t="shared" si="14"/>
        <v>7469</v>
      </c>
      <c r="O17" s="467">
        <f t="shared" si="21"/>
        <v>0</v>
      </c>
      <c r="P17" s="605">
        <v>16618.522000000001</v>
      </c>
      <c r="Q17" s="449">
        <f t="shared" si="24"/>
        <v>3980.9999999997672</v>
      </c>
      <c r="R17" s="449">
        <f t="shared" si="25"/>
        <v>3488.0000000002328</v>
      </c>
      <c r="S17" s="445">
        <v>10128</v>
      </c>
      <c r="T17" s="469">
        <f t="shared" si="3"/>
        <v>5</v>
      </c>
      <c r="U17" s="445">
        <v>422437</v>
      </c>
      <c r="V17" s="449">
        <f t="shared" si="15"/>
        <v>838</v>
      </c>
      <c r="W17" s="445">
        <f t="shared" si="7"/>
        <v>32194</v>
      </c>
      <c r="X17" s="449">
        <f t="shared" si="20"/>
        <v>0</v>
      </c>
      <c r="Y17" s="445">
        <f t="shared" si="7"/>
        <v>700970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6">AC17-AC16</f>
        <v>0</v>
      </c>
      <c r="AE17" s="472">
        <f t="shared" si="8"/>
        <v>5</v>
      </c>
      <c r="AF17" s="473">
        <f t="shared" si="9"/>
        <v>838</v>
      </c>
      <c r="AG17" s="465">
        <f t="shared" si="22"/>
        <v>167.6</v>
      </c>
      <c r="AI17" s="466">
        <f>R17-'EDl log'!B15</f>
        <v>-875254.99999999977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v>32615138</v>
      </c>
      <c r="E18" s="311">
        <f t="shared" si="10"/>
        <v>2176</v>
      </c>
      <c r="F18" s="445">
        <v>3963951</v>
      </c>
      <c r="G18" s="312">
        <f t="shared" si="0"/>
        <v>570</v>
      </c>
      <c r="H18" s="445">
        <v>17792976</v>
      </c>
      <c r="I18" s="312">
        <f t="shared" si="11"/>
        <v>794</v>
      </c>
      <c r="J18" s="445">
        <v>28898216</v>
      </c>
      <c r="K18" s="312">
        <f t="shared" si="12"/>
        <v>822</v>
      </c>
      <c r="L18" s="445">
        <v>24027310</v>
      </c>
      <c r="M18" s="312">
        <f t="shared" si="13"/>
        <v>1572</v>
      </c>
      <c r="N18" s="310">
        <f t="shared" si="14"/>
        <v>5934</v>
      </c>
      <c r="O18" s="467">
        <f t="shared" si="21"/>
        <v>0</v>
      </c>
      <c r="P18" s="605">
        <v>16620.830000000002</v>
      </c>
      <c r="Q18" s="449">
        <f t="shared" si="24"/>
        <v>2308.0000000009022</v>
      </c>
      <c r="R18" s="449">
        <f t="shared" si="25"/>
        <v>3625.9999999990978</v>
      </c>
      <c r="S18" s="445">
        <f t="shared" si="7"/>
        <v>10128</v>
      </c>
      <c r="T18" s="469">
        <f t="shared" si="3"/>
        <v>0</v>
      </c>
      <c r="U18" s="445">
        <f t="shared" si="7"/>
        <v>422437</v>
      </c>
      <c r="V18" s="449">
        <f t="shared" si="15"/>
        <v>0</v>
      </c>
      <c r="W18" s="445">
        <f t="shared" si="7"/>
        <v>32194</v>
      </c>
      <c r="X18" s="449">
        <f t="shared" si="20"/>
        <v>0</v>
      </c>
      <c r="Y18" s="445">
        <f t="shared" si="7"/>
        <v>700970</v>
      </c>
      <c r="Z18" s="449">
        <f t="shared" si="19"/>
        <v>0</v>
      </c>
      <c r="AA18" s="445">
        <v>35691</v>
      </c>
      <c r="AB18" s="449">
        <f t="shared" si="16"/>
        <v>2</v>
      </c>
      <c r="AC18" s="445">
        <v>915780</v>
      </c>
      <c r="AD18" s="449">
        <f t="shared" si="26"/>
        <v>467</v>
      </c>
      <c r="AE18" s="472">
        <f t="shared" si="8"/>
        <v>2</v>
      </c>
      <c r="AF18" s="473">
        <f t="shared" si="9"/>
        <v>467</v>
      </c>
      <c r="AG18" s="465">
        <f t="shared" si="22"/>
        <v>233.5</v>
      </c>
      <c r="AI18" s="466">
        <f>R18-'EDl log'!B16</f>
        <v>-876925.00000000093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v>32617926</v>
      </c>
      <c r="E19" s="311">
        <f t="shared" si="10"/>
        <v>2788</v>
      </c>
      <c r="F19" s="445">
        <v>3964559</v>
      </c>
      <c r="G19" s="312">
        <f t="shared" si="0"/>
        <v>608</v>
      </c>
      <c r="H19" s="445">
        <v>17793926</v>
      </c>
      <c r="I19" s="312">
        <f t="shared" si="11"/>
        <v>950</v>
      </c>
      <c r="J19" s="445">
        <v>28899376</v>
      </c>
      <c r="K19" s="312">
        <f t="shared" si="12"/>
        <v>1160</v>
      </c>
      <c r="L19" s="445">
        <v>24029324</v>
      </c>
      <c r="M19" s="312">
        <f t="shared" si="13"/>
        <v>2014</v>
      </c>
      <c r="N19" s="310">
        <f t="shared" si="14"/>
        <v>7520</v>
      </c>
      <c r="O19" s="467">
        <f t="shared" si="21"/>
        <v>0</v>
      </c>
      <c r="P19" s="605">
        <v>16625.476999999999</v>
      </c>
      <c r="Q19" s="449">
        <f t="shared" si="24"/>
        <v>4646.999999997206</v>
      </c>
      <c r="R19" s="449">
        <f t="shared" si="25"/>
        <v>2873.000000002794</v>
      </c>
      <c r="S19" s="445">
        <f t="shared" si="7"/>
        <v>10128</v>
      </c>
      <c r="T19" s="469">
        <f t="shared" si="3"/>
        <v>0</v>
      </c>
      <c r="U19" s="445">
        <f t="shared" si="7"/>
        <v>422437</v>
      </c>
      <c r="V19" s="449">
        <f t="shared" si="15"/>
        <v>0</v>
      </c>
      <c r="W19" s="445">
        <v>32195</v>
      </c>
      <c r="X19" s="449">
        <f t="shared" si="20"/>
        <v>1</v>
      </c>
      <c r="Y19" s="445">
        <v>701041</v>
      </c>
      <c r="Z19" s="449">
        <f t="shared" si="19"/>
        <v>71</v>
      </c>
      <c r="AA19" s="445">
        <v>35694</v>
      </c>
      <c r="AB19" s="449">
        <f t="shared" si="16"/>
        <v>3</v>
      </c>
      <c r="AC19" s="445">
        <v>916096</v>
      </c>
      <c r="AD19" s="449">
        <f t="shared" si="26"/>
        <v>316</v>
      </c>
      <c r="AE19" s="472">
        <f t="shared" si="8"/>
        <v>4</v>
      </c>
      <c r="AF19" s="473">
        <f t="shared" si="9"/>
        <v>387</v>
      </c>
      <c r="AG19" s="465">
        <f t="shared" si="22"/>
        <v>96.75</v>
      </c>
      <c r="AI19" s="466">
        <f>R19-'EDl log'!B17</f>
        <v>-879726.99999999721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f t="shared" ref="D19:L30" si="27">D19</f>
        <v>32617926</v>
      </c>
      <c r="E20" s="311">
        <f t="shared" si="10"/>
        <v>0</v>
      </c>
      <c r="F20" s="445">
        <f t="shared" si="27"/>
        <v>3964559</v>
      </c>
      <c r="G20" s="312">
        <f t="shared" si="0"/>
        <v>0</v>
      </c>
      <c r="H20" s="445">
        <f t="shared" si="27"/>
        <v>17793926</v>
      </c>
      <c r="I20" s="312">
        <f t="shared" si="11"/>
        <v>0</v>
      </c>
      <c r="J20" s="445">
        <f t="shared" si="27"/>
        <v>28899376</v>
      </c>
      <c r="K20" s="312">
        <f t="shared" si="12"/>
        <v>0</v>
      </c>
      <c r="L20" s="445">
        <f t="shared" si="27"/>
        <v>24029324</v>
      </c>
      <c r="M20" s="312">
        <f t="shared" si="13"/>
        <v>0</v>
      </c>
      <c r="N20" s="310">
        <f t="shared" si="14"/>
        <v>0</v>
      </c>
      <c r="O20" s="467">
        <f t="shared" si="21"/>
        <v>0</v>
      </c>
      <c r="P20" s="605">
        <f t="shared" ref="P19:P30" si="28">P19</f>
        <v>16625.476999999999</v>
      </c>
      <c r="Q20" s="449">
        <f t="shared" si="24"/>
        <v>0</v>
      </c>
      <c r="R20" s="449">
        <f t="shared" si="25"/>
        <v>0</v>
      </c>
      <c r="S20" s="445">
        <f t="shared" si="7"/>
        <v>10128</v>
      </c>
      <c r="T20" s="469">
        <f t="shared" si="3"/>
        <v>0</v>
      </c>
      <c r="U20" s="445">
        <f t="shared" si="7"/>
        <v>422437</v>
      </c>
      <c r="V20" s="449">
        <f t="shared" si="15"/>
        <v>0</v>
      </c>
      <c r="W20" s="445">
        <f t="shared" si="7"/>
        <v>32195</v>
      </c>
      <c r="X20" s="449">
        <f t="shared" si="20"/>
        <v>0</v>
      </c>
      <c r="Y20" s="445">
        <f t="shared" si="7"/>
        <v>701041</v>
      </c>
      <c r="Z20" s="449">
        <f t="shared" si="19"/>
        <v>0</v>
      </c>
      <c r="AA20" s="445">
        <f t="shared" si="7"/>
        <v>35694</v>
      </c>
      <c r="AB20" s="449">
        <f t="shared" si="16"/>
        <v>0</v>
      </c>
      <c r="AC20" s="445">
        <f t="shared" si="7"/>
        <v>916096</v>
      </c>
      <c r="AD20" s="449">
        <f t="shared" si="26"/>
        <v>0</v>
      </c>
      <c r="AE20" s="472">
        <f t="shared" si="8"/>
        <v>0</v>
      </c>
      <c r="AF20" s="473">
        <f t="shared" si="9"/>
        <v>0</v>
      </c>
      <c r="AG20" s="465">
        <f t="shared" si="22"/>
        <v>0</v>
      </c>
      <c r="AI20" s="466">
        <f>R20-'EDl log'!B18</f>
        <v>-884518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f t="shared" si="27"/>
        <v>32617926</v>
      </c>
      <c r="E21" s="311">
        <f t="shared" si="10"/>
        <v>0</v>
      </c>
      <c r="F21" s="445">
        <f t="shared" si="27"/>
        <v>3964559</v>
      </c>
      <c r="G21" s="312">
        <f t="shared" si="0"/>
        <v>0</v>
      </c>
      <c r="H21" s="445">
        <f t="shared" si="27"/>
        <v>17793926</v>
      </c>
      <c r="I21" s="312">
        <f t="shared" si="11"/>
        <v>0</v>
      </c>
      <c r="J21" s="445">
        <f t="shared" si="27"/>
        <v>28899376</v>
      </c>
      <c r="K21" s="312">
        <f t="shared" si="12"/>
        <v>0</v>
      </c>
      <c r="L21" s="445">
        <f t="shared" si="27"/>
        <v>24029324</v>
      </c>
      <c r="M21" s="312">
        <f t="shared" si="13"/>
        <v>0</v>
      </c>
      <c r="N21" s="310">
        <f t="shared" si="14"/>
        <v>0</v>
      </c>
      <c r="O21" s="467">
        <f t="shared" si="21"/>
        <v>0</v>
      </c>
      <c r="P21" s="605">
        <f t="shared" si="28"/>
        <v>16625.476999999999</v>
      </c>
      <c r="Q21" s="449">
        <f t="shared" si="24"/>
        <v>0</v>
      </c>
      <c r="R21" s="449">
        <f t="shared" si="25"/>
        <v>0</v>
      </c>
      <c r="S21" s="445">
        <f t="shared" si="7"/>
        <v>10128</v>
      </c>
      <c r="T21" s="469">
        <f t="shared" si="3"/>
        <v>0</v>
      </c>
      <c r="U21" s="445">
        <f t="shared" si="7"/>
        <v>422437</v>
      </c>
      <c r="V21" s="449">
        <f t="shared" si="15"/>
        <v>0</v>
      </c>
      <c r="W21" s="445">
        <f t="shared" si="7"/>
        <v>32195</v>
      </c>
      <c r="X21" s="449">
        <f t="shared" si="20"/>
        <v>0</v>
      </c>
      <c r="Y21" s="445">
        <f t="shared" si="7"/>
        <v>701041</v>
      </c>
      <c r="Z21" s="449">
        <f t="shared" si="19"/>
        <v>0</v>
      </c>
      <c r="AA21" s="445">
        <f t="shared" si="7"/>
        <v>35694</v>
      </c>
      <c r="AB21" s="449">
        <f t="shared" si="16"/>
        <v>0</v>
      </c>
      <c r="AC21" s="445">
        <f t="shared" si="7"/>
        <v>916096</v>
      </c>
      <c r="AD21" s="449">
        <f t="shared" si="26"/>
        <v>0</v>
      </c>
      <c r="AE21" s="472">
        <f t="shared" si="8"/>
        <v>0</v>
      </c>
      <c r="AF21" s="473">
        <f t="shared" si="9"/>
        <v>0</v>
      </c>
      <c r="AG21" s="465">
        <f t="shared" si="22"/>
        <v>0</v>
      </c>
      <c r="AI21" s="466">
        <f>R21-'EDl log'!B19</f>
        <v>-886485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f t="shared" si="27"/>
        <v>32617926</v>
      </c>
      <c r="E22" s="311">
        <f t="shared" si="10"/>
        <v>0</v>
      </c>
      <c r="F22" s="445">
        <f t="shared" si="27"/>
        <v>3964559</v>
      </c>
      <c r="G22" s="312">
        <f t="shared" si="0"/>
        <v>0</v>
      </c>
      <c r="H22" s="445">
        <f t="shared" si="27"/>
        <v>17793926</v>
      </c>
      <c r="I22" s="312">
        <f t="shared" si="11"/>
        <v>0</v>
      </c>
      <c r="J22" s="445">
        <f t="shared" si="27"/>
        <v>28899376</v>
      </c>
      <c r="K22" s="312">
        <f t="shared" si="12"/>
        <v>0</v>
      </c>
      <c r="L22" s="445">
        <f t="shared" si="27"/>
        <v>24029324</v>
      </c>
      <c r="M22" s="312">
        <f t="shared" si="13"/>
        <v>0</v>
      </c>
      <c r="N22" s="310">
        <f t="shared" si="14"/>
        <v>0</v>
      </c>
      <c r="O22" s="467">
        <f t="shared" si="21"/>
        <v>0</v>
      </c>
      <c r="P22" s="605">
        <f t="shared" si="28"/>
        <v>16625.476999999999</v>
      </c>
      <c r="Q22" s="449">
        <f t="shared" si="24"/>
        <v>0</v>
      </c>
      <c r="R22" s="449">
        <f t="shared" si="25"/>
        <v>0</v>
      </c>
      <c r="S22" s="445">
        <f t="shared" si="7"/>
        <v>10128</v>
      </c>
      <c r="T22" s="469">
        <f t="shared" si="3"/>
        <v>0</v>
      </c>
      <c r="U22" s="445">
        <f t="shared" si="7"/>
        <v>422437</v>
      </c>
      <c r="V22" s="449">
        <f t="shared" si="15"/>
        <v>0</v>
      </c>
      <c r="W22" s="445">
        <f t="shared" si="7"/>
        <v>32195</v>
      </c>
      <c r="X22" s="449">
        <f t="shared" si="20"/>
        <v>0</v>
      </c>
      <c r="Y22" s="445">
        <f t="shared" si="7"/>
        <v>701041</v>
      </c>
      <c r="Z22" s="449">
        <f t="shared" si="19"/>
        <v>0</v>
      </c>
      <c r="AA22" s="445">
        <f t="shared" si="7"/>
        <v>35694</v>
      </c>
      <c r="AB22" s="449">
        <f t="shared" si="16"/>
        <v>0</v>
      </c>
      <c r="AC22" s="445">
        <f t="shared" si="7"/>
        <v>916096</v>
      </c>
      <c r="AD22" s="449">
        <f t="shared" si="26"/>
        <v>0</v>
      </c>
      <c r="AE22" s="472">
        <f t="shared" si="8"/>
        <v>0</v>
      </c>
      <c r="AF22" s="473">
        <f t="shared" si="9"/>
        <v>0</v>
      </c>
      <c r="AG22" s="465">
        <f t="shared" si="22"/>
        <v>0</v>
      </c>
      <c r="AI22" s="466">
        <f>R22-'EDl log'!B20</f>
        <v>-888071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f t="shared" si="27"/>
        <v>32617926</v>
      </c>
      <c r="E23" s="311">
        <f t="shared" si="10"/>
        <v>0</v>
      </c>
      <c r="F23" s="445">
        <f t="shared" si="27"/>
        <v>3964559</v>
      </c>
      <c r="G23" s="312">
        <f t="shared" si="0"/>
        <v>0</v>
      </c>
      <c r="H23" s="445">
        <f t="shared" si="27"/>
        <v>17793926</v>
      </c>
      <c r="I23" s="438">
        <f t="shared" si="11"/>
        <v>0</v>
      </c>
      <c r="J23" s="445">
        <f t="shared" si="27"/>
        <v>28899376</v>
      </c>
      <c r="K23" s="312">
        <f t="shared" si="12"/>
        <v>0</v>
      </c>
      <c r="L23" s="445">
        <f t="shared" si="27"/>
        <v>24029324</v>
      </c>
      <c r="M23" s="312">
        <f t="shared" si="13"/>
        <v>0</v>
      </c>
      <c r="N23" s="310">
        <f t="shared" si="14"/>
        <v>0</v>
      </c>
      <c r="O23" s="467">
        <f t="shared" si="21"/>
        <v>0</v>
      </c>
      <c r="P23" s="605">
        <f t="shared" si="28"/>
        <v>16625.476999999999</v>
      </c>
      <c r="Q23" s="449">
        <f t="shared" si="24"/>
        <v>0</v>
      </c>
      <c r="R23" s="449">
        <f t="shared" si="25"/>
        <v>0</v>
      </c>
      <c r="S23" s="445">
        <f t="shared" si="7"/>
        <v>10128</v>
      </c>
      <c r="T23" s="469">
        <f t="shared" si="3"/>
        <v>0</v>
      </c>
      <c r="U23" s="445">
        <f t="shared" si="7"/>
        <v>422437</v>
      </c>
      <c r="V23" s="449">
        <f t="shared" si="15"/>
        <v>0</v>
      </c>
      <c r="W23" s="445">
        <f t="shared" si="7"/>
        <v>32195</v>
      </c>
      <c r="X23" s="449">
        <f t="shared" si="20"/>
        <v>0</v>
      </c>
      <c r="Y23" s="445">
        <f t="shared" si="7"/>
        <v>701041</v>
      </c>
      <c r="Z23" s="449">
        <f t="shared" si="19"/>
        <v>0</v>
      </c>
      <c r="AA23" s="445">
        <f t="shared" si="7"/>
        <v>35694</v>
      </c>
      <c r="AB23" s="449">
        <f t="shared" si="16"/>
        <v>0</v>
      </c>
      <c r="AC23" s="445">
        <f t="shared" si="7"/>
        <v>916096</v>
      </c>
      <c r="AD23" s="449">
        <f t="shared" si="26"/>
        <v>0</v>
      </c>
      <c r="AE23" s="472">
        <f t="shared" si="8"/>
        <v>0</v>
      </c>
      <c r="AF23" s="473">
        <f t="shared" si="9"/>
        <v>0</v>
      </c>
      <c r="AG23" s="465">
        <f t="shared" si="22"/>
        <v>0</v>
      </c>
      <c r="AI23" s="466">
        <f>R23-'EDl log'!B21</f>
        <v>-888071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f t="shared" si="27"/>
        <v>32617926</v>
      </c>
      <c r="E24" s="311">
        <f t="shared" si="10"/>
        <v>0</v>
      </c>
      <c r="F24" s="445">
        <f t="shared" si="27"/>
        <v>3964559</v>
      </c>
      <c r="G24" s="312">
        <f t="shared" si="0"/>
        <v>0</v>
      </c>
      <c r="H24" s="445">
        <f t="shared" si="27"/>
        <v>17793926</v>
      </c>
      <c r="I24" s="312">
        <f t="shared" si="11"/>
        <v>0</v>
      </c>
      <c r="J24" s="445">
        <f t="shared" si="27"/>
        <v>28899376</v>
      </c>
      <c r="K24" s="312">
        <f t="shared" si="12"/>
        <v>0</v>
      </c>
      <c r="L24" s="445">
        <f t="shared" si="27"/>
        <v>24029324</v>
      </c>
      <c r="M24" s="312">
        <f t="shared" si="13"/>
        <v>0</v>
      </c>
      <c r="N24" s="310">
        <f t="shared" si="14"/>
        <v>0</v>
      </c>
      <c r="O24" s="467">
        <f t="shared" si="21"/>
        <v>0</v>
      </c>
      <c r="P24" s="605">
        <f t="shared" si="28"/>
        <v>16625.476999999999</v>
      </c>
      <c r="Q24" s="449">
        <f t="shared" si="24"/>
        <v>0</v>
      </c>
      <c r="R24" s="449">
        <f t="shared" si="25"/>
        <v>0</v>
      </c>
      <c r="S24" s="445">
        <f t="shared" si="7"/>
        <v>10128</v>
      </c>
      <c r="T24" s="469">
        <f t="shared" si="3"/>
        <v>0</v>
      </c>
      <c r="U24" s="445">
        <f t="shared" si="7"/>
        <v>422437</v>
      </c>
      <c r="V24" s="449">
        <f t="shared" si="15"/>
        <v>0</v>
      </c>
      <c r="W24" s="445">
        <f t="shared" si="7"/>
        <v>32195</v>
      </c>
      <c r="X24" s="449">
        <f t="shared" si="20"/>
        <v>0</v>
      </c>
      <c r="Y24" s="445">
        <f t="shared" si="7"/>
        <v>701041</v>
      </c>
      <c r="Z24" s="449">
        <f t="shared" si="19"/>
        <v>0</v>
      </c>
      <c r="AA24" s="445">
        <f t="shared" si="7"/>
        <v>35694</v>
      </c>
      <c r="AB24" s="449">
        <f t="shared" si="16"/>
        <v>0</v>
      </c>
      <c r="AC24" s="445">
        <f t="shared" si="7"/>
        <v>916096</v>
      </c>
      <c r="AD24" s="449">
        <f t="shared" si="26"/>
        <v>0</v>
      </c>
      <c r="AE24" s="472">
        <f t="shared" si="8"/>
        <v>0</v>
      </c>
      <c r="AF24" s="473">
        <f t="shared" si="9"/>
        <v>0</v>
      </c>
      <c r="AG24" s="465">
        <f t="shared" si="22"/>
        <v>0</v>
      </c>
      <c r="AI24" s="466">
        <f>R24-'EDl log'!B22</f>
        <v>-888071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si="27"/>
        <v>32617926</v>
      </c>
      <c r="E25" s="311">
        <f t="shared" si="10"/>
        <v>0</v>
      </c>
      <c r="F25" s="445">
        <f t="shared" si="27"/>
        <v>3964559</v>
      </c>
      <c r="G25" s="312">
        <f t="shared" si="0"/>
        <v>0</v>
      </c>
      <c r="H25" s="445">
        <f t="shared" si="27"/>
        <v>17793926</v>
      </c>
      <c r="I25" s="312">
        <f t="shared" si="11"/>
        <v>0</v>
      </c>
      <c r="J25" s="445">
        <f t="shared" si="27"/>
        <v>28899376</v>
      </c>
      <c r="K25" s="312">
        <f t="shared" si="12"/>
        <v>0</v>
      </c>
      <c r="L25" s="445">
        <f t="shared" si="27"/>
        <v>24029324</v>
      </c>
      <c r="M25" s="312">
        <f t="shared" si="13"/>
        <v>0</v>
      </c>
      <c r="N25" s="310">
        <f t="shared" si="14"/>
        <v>0</v>
      </c>
      <c r="O25" s="467">
        <f t="shared" si="21"/>
        <v>0</v>
      </c>
      <c r="P25" s="605">
        <f t="shared" si="28"/>
        <v>16625.476999999999</v>
      </c>
      <c r="Q25" s="449">
        <f t="shared" si="24"/>
        <v>0</v>
      </c>
      <c r="R25" s="449">
        <f t="shared" si="25"/>
        <v>0</v>
      </c>
      <c r="S25" s="445">
        <f t="shared" si="7"/>
        <v>10128</v>
      </c>
      <c r="T25" s="469">
        <f t="shared" si="3"/>
        <v>0</v>
      </c>
      <c r="U25" s="445">
        <f t="shared" si="7"/>
        <v>422437</v>
      </c>
      <c r="V25" s="449">
        <f t="shared" si="15"/>
        <v>0</v>
      </c>
      <c r="W25" s="445">
        <f t="shared" si="7"/>
        <v>32195</v>
      </c>
      <c r="X25" s="449">
        <f t="shared" si="20"/>
        <v>0</v>
      </c>
      <c r="Y25" s="445">
        <f t="shared" si="7"/>
        <v>701041</v>
      </c>
      <c r="Z25" s="449">
        <f t="shared" si="19"/>
        <v>0</v>
      </c>
      <c r="AA25" s="445">
        <f t="shared" si="7"/>
        <v>35694</v>
      </c>
      <c r="AB25" s="449">
        <f t="shared" si="16"/>
        <v>0</v>
      </c>
      <c r="AC25" s="445">
        <f t="shared" si="7"/>
        <v>916096</v>
      </c>
      <c r="AD25" s="449">
        <f t="shared" si="26"/>
        <v>0</v>
      </c>
      <c r="AE25" s="472">
        <f t="shared" si="8"/>
        <v>0</v>
      </c>
      <c r="AF25" s="473">
        <f t="shared" si="9"/>
        <v>0</v>
      </c>
      <c r="AG25" s="465">
        <f t="shared" si="22"/>
        <v>0</v>
      </c>
      <c r="AI25" s="466">
        <f>R25-'EDl log'!B23</f>
        <v>-888071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27"/>
        <v>32617926</v>
      </c>
      <c r="E26" s="311">
        <f t="shared" si="10"/>
        <v>0</v>
      </c>
      <c r="F26" s="445">
        <f t="shared" si="27"/>
        <v>3964559</v>
      </c>
      <c r="G26" s="312">
        <f t="shared" si="0"/>
        <v>0</v>
      </c>
      <c r="H26" s="445">
        <f t="shared" si="27"/>
        <v>17793926</v>
      </c>
      <c r="I26" s="312">
        <f t="shared" si="11"/>
        <v>0</v>
      </c>
      <c r="J26" s="445">
        <f t="shared" si="27"/>
        <v>28899376</v>
      </c>
      <c r="K26" s="312">
        <f t="shared" si="12"/>
        <v>0</v>
      </c>
      <c r="L26" s="445">
        <f t="shared" si="27"/>
        <v>24029324</v>
      </c>
      <c r="M26" s="312">
        <f t="shared" si="13"/>
        <v>0</v>
      </c>
      <c r="N26" s="310">
        <f t="shared" si="14"/>
        <v>0</v>
      </c>
      <c r="O26" s="467">
        <f t="shared" si="21"/>
        <v>0</v>
      </c>
      <c r="P26" s="605">
        <f t="shared" si="28"/>
        <v>16625.476999999999</v>
      </c>
      <c r="Q26" s="449">
        <f t="shared" si="24"/>
        <v>0</v>
      </c>
      <c r="R26" s="449">
        <f t="shared" si="25"/>
        <v>0</v>
      </c>
      <c r="S26" s="445">
        <f t="shared" si="7"/>
        <v>10128</v>
      </c>
      <c r="T26" s="469">
        <f t="shared" si="3"/>
        <v>0</v>
      </c>
      <c r="U26" s="445">
        <f t="shared" si="7"/>
        <v>422437</v>
      </c>
      <c r="V26" s="449">
        <f t="shared" si="15"/>
        <v>0</v>
      </c>
      <c r="W26" s="445">
        <f t="shared" si="7"/>
        <v>32195</v>
      </c>
      <c r="X26" s="449">
        <f t="shared" si="20"/>
        <v>0</v>
      </c>
      <c r="Y26" s="445">
        <f t="shared" si="7"/>
        <v>701041</v>
      </c>
      <c r="Z26" s="449">
        <f t="shared" si="19"/>
        <v>0</v>
      </c>
      <c r="AA26" s="445">
        <f t="shared" si="7"/>
        <v>35694</v>
      </c>
      <c r="AB26" s="449">
        <f t="shared" si="16"/>
        <v>0</v>
      </c>
      <c r="AC26" s="445">
        <f t="shared" si="7"/>
        <v>916096</v>
      </c>
      <c r="AD26" s="449">
        <f t="shared" si="26"/>
        <v>0</v>
      </c>
      <c r="AE26" s="472">
        <f t="shared" si="8"/>
        <v>0</v>
      </c>
      <c r="AF26" s="473">
        <f t="shared" si="9"/>
        <v>0</v>
      </c>
      <c r="AG26" s="465">
        <f t="shared" si="22"/>
        <v>0</v>
      </c>
      <c r="AI26" s="466">
        <f>R26-'EDl log'!B24</f>
        <v>-888071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27"/>
        <v>32617926</v>
      </c>
      <c r="E27" s="311">
        <f t="shared" si="10"/>
        <v>0</v>
      </c>
      <c r="F27" s="445">
        <f t="shared" si="27"/>
        <v>3964559</v>
      </c>
      <c r="G27" s="312">
        <f>F27-F26</f>
        <v>0</v>
      </c>
      <c r="H27" s="445">
        <f t="shared" si="27"/>
        <v>17793926</v>
      </c>
      <c r="I27" s="312">
        <f t="shared" si="11"/>
        <v>0</v>
      </c>
      <c r="J27" s="445">
        <f t="shared" si="27"/>
        <v>28899376</v>
      </c>
      <c r="K27" s="312">
        <f t="shared" si="12"/>
        <v>0</v>
      </c>
      <c r="L27" s="445">
        <f t="shared" si="27"/>
        <v>24029324</v>
      </c>
      <c r="M27" s="312">
        <f t="shared" si="13"/>
        <v>0</v>
      </c>
      <c r="N27" s="310">
        <f t="shared" si="14"/>
        <v>0</v>
      </c>
      <c r="O27" s="467">
        <f t="shared" si="21"/>
        <v>0</v>
      </c>
      <c r="P27" s="605">
        <f t="shared" si="28"/>
        <v>16625.476999999999</v>
      </c>
      <c r="Q27" s="449">
        <f t="shared" si="24"/>
        <v>0</v>
      </c>
      <c r="R27" s="449">
        <f t="shared" si="25"/>
        <v>0</v>
      </c>
      <c r="S27" s="445">
        <f t="shared" si="7"/>
        <v>10128</v>
      </c>
      <c r="T27" s="469">
        <f t="shared" si="3"/>
        <v>0</v>
      </c>
      <c r="U27" s="445">
        <f t="shared" si="7"/>
        <v>422437</v>
      </c>
      <c r="V27" s="449">
        <f t="shared" si="15"/>
        <v>0</v>
      </c>
      <c r="W27" s="445">
        <f t="shared" si="7"/>
        <v>32195</v>
      </c>
      <c r="X27" s="449">
        <f t="shared" si="20"/>
        <v>0</v>
      </c>
      <c r="Y27" s="445">
        <f t="shared" si="7"/>
        <v>701041</v>
      </c>
      <c r="Z27" s="449">
        <f t="shared" si="19"/>
        <v>0</v>
      </c>
      <c r="AA27" s="445">
        <f t="shared" si="7"/>
        <v>35694</v>
      </c>
      <c r="AB27" s="449">
        <f t="shared" si="16"/>
        <v>0</v>
      </c>
      <c r="AC27" s="445">
        <f t="shared" si="7"/>
        <v>916096</v>
      </c>
      <c r="AD27" s="449">
        <f t="shared" si="26"/>
        <v>0</v>
      </c>
      <c r="AE27" s="472">
        <f t="shared" si="8"/>
        <v>0</v>
      </c>
      <c r="AF27" s="473">
        <f t="shared" si="9"/>
        <v>0</v>
      </c>
      <c r="AG27" s="465">
        <f t="shared" si="22"/>
        <v>0</v>
      </c>
      <c r="AI27" s="466">
        <f>R27-'EDl log'!B25</f>
        <v>-888071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7"/>
        <v>32617926</v>
      </c>
      <c r="E28" s="311">
        <f t="shared" si="10"/>
        <v>0</v>
      </c>
      <c r="F28" s="445">
        <f t="shared" si="27"/>
        <v>3964559</v>
      </c>
      <c r="G28" s="312">
        <f t="shared" si="0"/>
        <v>0</v>
      </c>
      <c r="H28" s="445">
        <f t="shared" si="27"/>
        <v>17793926</v>
      </c>
      <c r="I28" s="312">
        <f t="shared" si="11"/>
        <v>0</v>
      </c>
      <c r="J28" s="445">
        <f t="shared" si="27"/>
        <v>28899376</v>
      </c>
      <c r="K28" s="312">
        <f t="shared" si="12"/>
        <v>0</v>
      </c>
      <c r="L28" s="445">
        <f t="shared" si="27"/>
        <v>24029324</v>
      </c>
      <c r="M28" s="312">
        <f t="shared" si="13"/>
        <v>0</v>
      </c>
      <c r="N28" s="310">
        <f t="shared" si="14"/>
        <v>0</v>
      </c>
      <c r="O28" s="467">
        <f t="shared" si="21"/>
        <v>0</v>
      </c>
      <c r="P28" s="605">
        <f t="shared" si="28"/>
        <v>16625.476999999999</v>
      </c>
      <c r="Q28" s="449">
        <f t="shared" si="24"/>
        <v>0</v>
      </c>
      <c r="R28" s="449">
        <f t="shared" si="25"/>
        <v>0</v>
      </c>
      <c r="S28" s="445">
        <f t="shared" si="7"/>
        <v>10128</v>
      </c>
      <c r="T28" s="469">
        <f t="shared" si="3"/>
        <v>0</v>
      </c>
      <c r="U28" s="445">
        <f t="shared" si="7"/>
        <v>422437</v>
      </c>
      <c r="V28" s="449">
        <f t="shared" si="15"/>
        <v>0</v>
      </c>
      <c r="W28" s="445">
        <f t="shared" si="7"/>
        <v>32195</v>
      </c>
      <c r="X28" s="449">
        <f t="shared" si="20"/>
        <v>0</v>
      </c>
      <c r="Y28" s="445">
        <f t="shared" si="7"/>
        <v>701041</v>
      </c>
      <c r="Z28" s="449">
        <f t="shared" si="19"/>
        <v>0</v>
      </c>
      <c r="AA28" s="445">
        <f t="shared" si="7"/>
        <v>35694</v>
      </c>
      <c r="AB28" s="449">
        <f t="shared" si="16"/>
        <v>0</v>
      </c>
      <c r="AC28" s="445">
        <f t="shared" si="7"/>
        <v>916096</v>
      </c>
      <c r="AD28" s="449">
        <f t="shared" si="26"/>
        <v>0</v>
      </c>
      <c r="AE28" s="472">
        <f t="shared" si="8"/>
        <v>0</v>
      </c>
      <c r="AF28" s="473">
        <f t="shared" si="9"/>
        <v>0</v>
      </c>
      <c r="AG28" s="465">
        <f t="shared" si="22"/>
        <v>0</v>
      </c>
      <c r="AI28" s="466">
        <f>R28-'EDl log'!B26</f>
        <v>-888071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7"/>
        <v>32617926</v>
      </c>
      <c r="E29" s="311">
        <f t="shared" si="10"/>
        <v>0</v>
      </c>
      <c r="F29" s="445">
        <f t="shared" si="27"/>
        <v>3964559</v>
      </c>
      <c r="G29" s="312">
        <f t="shared" si="0"/>
        <v>0</v>
      </c>
      <c r="H29" s="445">
        <f t="shared" si="27"/>
        <v>17793926</v>
      </c>
      <c r="I29" s="312">
        <f t="shared" si="11"/>
        <v>0</v>
      </c>
      <c r="J29" s="445">
        <f t="shared" si="27"/>
        <v>28899376</v>
      </c>
      <c r="K29" s="312">
        <f t="shared" si="12"/>
        <v>0</v>
      </c>
      <c r="L29" s="445">
        <f t="shared" si="27"/>
        <v>24029324</v>
      </c>
      <c r="M29" s="312">
        <f t="shared" si="13"/>
        <v>0</v>
      </c>
      <c r="N29" s="310">
        <f t="shared" si="14"/>
        <v>0</v>
      </c>
      <c r="O29" s="467">
        <f t="shared" si="21"/>
        <v>0</v>
      </c>
      <c r="P29" s="605">
        <f t="shared" si="28"/>
        <v>16625.476999999999</v>
      </c>
      <c r="Q29" s="449">
        <f t="shared" si="24"/>
        <v>0</v>
      </c>
      <c r="R29" s="449">
        <f t="shared" si="25"/>
        <v>0</v>
      </c>
      <c r="S29" s="445">
        <f t="shared" si="7"/>
        <v>10128</v>
      </c>
      <c r="T29" s="469">
        <f t="shared" si="3"/>
        <v>0</v>
      </c>
      <c r="U29" s="445">
        <f t="shared" si="7"/>
        <v>422437</v>
      </c>
      <c r="V29" s="449">
        <f t="shared" si="15"/>
        <v>0</v>
      </c>
      <c r="W29" s="445">
        <f t="shared" si="7"/>
        <v>32195</v>
      </c>
      <c r="X29" s="449">
        <f t="shared" si="20"/>
        <v>0</v>
      </c>
      <c r="Y29" s="445">
        <f t="shared" si="7"/>
        <v>701041</v>
      </c>
      <c r="Z29" s="449">
        <f t="shared" si="19"/>
        <v>0</v>
      </c>
      <c r="AA29" s="445">
        <f t="shared" si="7"/>
        <v>35694</v>
      </c>
      <c r="AB29" s="449">
        <f t="shared" si="16"/>
        <v>0</v>
      </c>
      <c r="AC29" s="445">
        <f t="shared" si="7"/>
        <v>916096</v>
      </c>
      <c r="AD29" s="449">
        <f t="shared" si="26"/>
        <v>0</v>
      </c>
      <c r="AE29" s="472">
        <f t="shared" si="8"/>
        <v>0</v>
      </c>
      <c r="AF29" s="473">
        <f t="shared" si="9"/>
        <v>0</v>
      </c>
      <c r="AG29" s="465">
        <f t="shared" si="22"/>
        <v>0</v>
      </c>
      <c r="AI29" s="466">
        <f>R29-'EDl log'!B27</f>
        <v>-888071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7"/>
        <v>32617926</v>
      </c>
      <c r="E30" s="311">
        <f t="shared" si="10"/>
        <v>0</v>
      </c>
      <c r="F30" s="445">
        <f t="shared" si="27"/>
        <v>3964559</v>
      </c>
      <c r="G30" s="312">
        <f t="shared" si="0"/>
        <v>0</v>
      </c>
      <c r="H30" s="445">
        <f t="shared" si="27"/>
        <v>17793926</v>
      </c>
      <c r="I30" s="312">
        <f t="shared" si="11"/>
        <v>0</v>
      </c>
      <c r="J30" s="445">
        <f t="shared" si="27"/>
        <v>28899376</v>
      </c>
      <c r="K30" s="312">
        <f t="shared" si="12"/>
        <v>0</v>
      </c>
      <c r="L30" s="445">
        <f t="shared" si="27"/>
        <v>24029324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605">
        <f t="shared" si="28"/>
        <v>16625.476999999999</v>
      </c>
      <c r="Q30" s="449">
        <f t="shared" si="24"/>
        <v>0</v>
      </c>
      <c r="R30" s="449">
        <f t="shared" si="25"/>
        <v>0</v>
      </c>
      <c r="S30" s="445">
        <f t="shared" si="7"/>
        <v>10128</v>
      </c>
      <c r="T30" s="469">
        <f t="shared" si="3"/>
        <v>0</v>
      </c>
      <c r="U30" s="445">
        <f t="shared" si="7"/>
        <v>422437</v>
      </c>
      <c r="V30" s="449">
        <f t="shared" si="15"/>
        <v>0</v>
      </c>
      <c r="W30" s="445">
        <f t="shared" si="7"/>
        <v>32195</v>
      </c>
      <c r="X30" s="470">
        <f t="shared" si="20"/>
        <v>0</v>
      </c>
      <c r="Y30" s="445">
        <f t="shared" si="7"/>
        <v>701041</v>
      </c>
      <c r="Z30" s="449">
        <f t="shared" si="19"/>
        <v>0</v>
      </c>
      <c r="AA30" s="445">
        <f t="shared" si="7"/>
        <v>35694</v>
      </c>
      <c r="AB30" s="449">
        <f t="shared" si="16"/>
        <v>0</v>
      </c>
      <c r="AC30" s="445">
        <f t="shared" si="7"/>
        <v>916096</v>
      </c>
      <c r="AD30" s="449">
        <f t="shared" si="26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-888071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zoomScale="90" zoomScaleNormal="90" workbookViewId="0">
      <pane ySplit="1" topLeftCell="A8" activePane="bottomLeft" state="frozen"/>
      <selection activeCell="K1" sqref="K1"/>
      <selection pane="bottomLeft" activeCell="X21" sqref="X21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82">
        <f>J33</f>
        <v>68.454545454545453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97"/>
      <c r="V1" s="27" t="s">
        <v>104</v>
      </c>
      <c r="W1" s="39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v>233</v>
      </c>
      <c r="C13" s="589">
        <v>239</v>
      </c>
      <c r="D13" s="45">
        <f t="shared" si="28"/>
        <v>4</v>
      </c>
      <c r="E13" s="45">
        <f t="shared" si="8"/>
        <v>33.520000000000003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v>2227</v>
      </c>
      <c r="L13" s="52">
        <f t="shared" si="10"/>
        <v>2</v>
      </c>
      <c r="M13" s="589">
        <v>163735</v>
      </c>
      <c r="N13" s="396">
        <f t="shared" si="2"/>
        <v>150</v>
      </c>
      <c r="O13" s="64">
        <f t="shared" si="11"/>
        <v>1869</v>
      </c>
      <c r="P13" s="589">
        <v>1976</v>
      </c>
      <c r="Q13" s="589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59">AC12</f>
        <v>1934</v>
      </c>
      <c r="AD13" s="45">
        <f t="shared" si="6"/>
        <v>0</v>
      </c>
      <c r="AE13" s="589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9">
        <f t="shared" ref="AN13:AP13" si="60">AN12</f>
        <v>67</v>
      </c>
      <c r="AO13" s="320">
        <f t="shared" si="24"/>
        <v>2010.0000000000002</v>
      </c>
      <c r="AP13" s="589">
        <f t="shared" si="60"/>
        <v>55</v>
      </c>
      <c r="AQ13" s="320">
        <f t="shared" si="25"/>
        <v>1650.0000000000002</v>
      </c>
      <c r="AR13" s="589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v>227</v>
      </c>
      <c r="C14" s="589">
        <v>233</v>
      </c>
      <c r="D14" s="45">
        <f t="shared" si="28"/>
        <v>6</v>
      </c>
      <c r="E14" s="45">
        <f t="shared" si="8"/>
        <v>50.28</v>
      </c>
      <c r="F14" s="589">
        <v>1728</v>
      </c>
      <c r="G14" s="52">
        <f t="shared" si="0"/>
        <v>1</v>
      </c>
      <c r="H14" s="589">
        <v>4957</v>
      </c>
      <c r="I14" s="396">
        <f t="shared" si="1"/>
        <v>85</v>
      </c>
      <c r="J14" s="66">
        <f t="shared" si="9"/>
        <v>85</v>
      </c>
      <c r="K14" s="589">
        <f t="shared" si="40"/>
        <v>2227</v>
      </c>
      <c r="L14" s="52">
        <f t="shared" si="10"/>
        <v>0</v>
      </c>
      <c r="M14" s="589">
        <f t="shared" si="40"/>
        <v>163735</v>
      </c>
      <c r="N14" s="396">
        <f t="shared" si="2"/>
        <v>0</v>
      </c>
      <c r="O14" s="64">
        <f t="shared" si="11"/>
        <v>1869</v>
      </c>
      <c r="P14" s="589">
        <v>1978</v>
      </c>
      <c r="Q14" s="589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2">AC13</f>
        <v>1934</v>
      </c>
      <c r="AD14" s="45">
        <f t="shared" si="6"/>
        <v>0</v>
      </c>
      <c r="AE14" s="589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9">
        <f t="shared" ref="AN14:AP14" si="63">AN13</f>
        <v>67</v>
      </c>
      <c r="AO14" s="320">
        <f t="shared" si="24"/>
        <v>2010.0000000000002</v>
      </c>
      <c r="AP14" s="589">
        <f t="shared" si="63"/>
        <v>55</v>
      </c>
      <c r="AQ14" s="320">
        <f t="shared" si="25"/>
        <v>1650.0000000000002</v>
      </c>
      <c r="AR14" s="589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v>222</v>
      </c>
      <c r="C15" s="589">
        <v>228</v>
      </c>
      <c r="D15" s="45">
        <f t="shared" si="28"/>
        <v>5</v>
      </c>
      <c r="E15" s="45">
        <f t="shared" si="8"/>
        <v>41.900000000000006</v>
      </c>
      <c r="F15" s="589">
        <v>1731</v>
      </c>
      <c r="G15" s="52">
        <f t="shared" si="0"/>
        <v>3</v>
      </c>
      <c r="H15" s="589">
        <v>5125</v>
      </c>
      <c r="I15" s="396">
        <f t="shared" si="1"/>
        <v>168</v>
      </c>
      <c r="J15" s="66">
        <f t="shared" si="9"/>
        <v>56</v>
      </c>
      <c r="K15" s="589">
        <v>2228</v>
      </c>
      <c r="L15" s="52">
        <f t="shared" si="10"/>
        <v>1</v>
      </c>
      <c r="M15" s="589">
        <v>163820</v>
      </c>
      <c r="N15" s="396">
        <f t="shared" si="2"/>
        <v>85</v>
      </c>
      <c r="O15" s="64">
        <f t="shared" si="11"/>
        <v>1869</v>
      </c>
      <c r="P15" s="589">
        <f t="shared" si="11"/>
        <v>1978</v>
      </c>
      <c r="Q15" s="589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6">AC14</f>
        <v>1934</v>
      </c>
      <c r="AD15" s="45">
        <f t="shared" si="6"/>
        <v>0</v>
      </c>
      <c r="AE15" s="589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9">
        <f t="shared" ref="AN15:AP15" si="67">AN14</f>
        <v>67</v>
      </c>
      <c r="AO15" s="320">
        <f t="shared" si="24"/>
        <v>2010.0000000000002</v>
      </c>
      <c r="AP15" s="589">
        <f t="shared" si="67"/>
        <v>55</v>
      </c>
      <c r="AQ15" s="320">
        <f t="shared" si="25"/>
        <v>1650.0000000000002</v>
      </c>
      <c r="AR15" s="589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v>219</v>
      </c>
      <c r="C16" s="589">
        <v>224</v>
      </c>
      <c r="D16" s="45">
        <f t="shared" si="28"/>
        <v>4</v>
      </c>
      <c r="E16" s="45">
        <f t="shared" si="8"/>
        <v>33.520000000000003</v>
      </c>
      <c r="F16" s="589">
        <v>1731</v>
      </c>
      <c r="G16" s="52">
        <f t="shared" si="0"/>
        <v>0</v>
      </c>
      <c r="H16" s="589">
        <f t="shared" si="29"/>
        <v>5125</v>
      </c>
      <c r="I16" s="396">
        <f t="shared" si="1"/>
        <v>0</v>
      </c>
      <c r="J16" s="66">
        <f t="shared" si="9"/>
        <v>0</v>
      </c>
      <c r="K16" s="589">
        <v>2230</v>
      </c>
      <c r="L16" s="52">
        <f t="shared" si="10"/>
        <v>2</v>
      </c>
      <c r="M16" s="589">
        <v>163965</v>
      </c>
      <c r="N16" s="396">
        <f t="shared" si="2"/>
        <v>145</v>
      </c>
      <c r="O16" s="64">
        <f t="shared" si="11"/>
        <v>1869</v>
      </c>
      <c r="P16" s="589">
        <v>1979</v>
      </c>
      <c r="Q16" s="589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69">AC15</f>
        <v>1934</v>
      </c>
      <c r="AD16" s="45">
        <f t="shared" si="6"/>
        <v>0</v>
      </c>
      <c r="AE16" s="589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9">
        <f t="shared" ref="AN16:AP16" si="70">AN15</f>
        <v>67</v>
      </c>
      <c r="AO16" s="320">
        <f t="shared" si="24"/>
        <v>2010.0000000000002</v>
      </c>
      <c r="AP16" s="589">
        <f t="shared" si="70"/>
        <v>55</v>
      </c>
      <c r="AQ16" s="320">
        <f t="shared" si="25"/>
        <v>1650.0000000000002</v>
      </c>
      <c r="AR16" s="589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v>214</v>
      </c>
      <c r="C17" s="589">
        <v>219</v>
      </c>
      <c r="D17" s="45">
        <f t="shared" si="28"/>
        <v>5</v>
      </c>
      <c r="E17" s="45">
        <f t="shared" si="8"/>
        <v>41.900000000000006</v>
      </c>
      <c r="F17" s="589">
        <v>1732</v>
      </c>
      <c r="G17" s="52">
        <f t="shared" si="0"/>
        <v>1</v>
      </c>
      <c r="H17" s="589">
        <v>5194</v>
      </c>
      <c r="I17" s="396">
        <f t="shared" si="1"/>
        <v>69</v>
      </c>
      <c r="J17" s="66">
        <f t="shared" si="9"/>
        <v>69</v>
      </c>
      <c r="K17" s="589">
        <f t="shared" si="40"/>
        <v>2230</v>
      </c>
      <c r="L17" s="52">
        <f t="shared" si="10"/>
        <v>0</v>
      </c>
      <c r="M17" s="589">
        <f t="shared" si="40"/>
        <v>163965</v>
      </c>
      <c r="N17" s="396">
        <f t="shared" si="2"/>
        <v>0</v>
      </c>
      <c r="O17" s="64">
        <f t="shared" si="11"/>
        <v>1869</v>
      </c>
      <c r="P17" s="589">
        <v>1982</v>
      </c>
      <c r="Q17" s="589">
        <v>167562</v>
      </c>
      <c r="R17" s="395">
        <f t="shared" si="51"/>
        <v>212</v>
      </c>
      <c r="S17" s="52">
        <f t="shared" si="4"/>
        <v>3</v>
      </c>
      <c r="T17" s="67">
        <f t="shared" si="30"/>
        <v>0</v>
      </c>
      <c r="U17" s="402">
        <f t="shared" si="13"/>
        <v>4</v>
      </c>
      <c r="V17" s="62">
        <f t="shared" si="14"/>
        <v>281</v>
      </c>
      <c r="W17" s="400"/>
      <c r="X17" s="589"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2">AC16</f>
        <v>1934</v>
      </c>
      <c r="AD17" s="45">
        <f t="shared" si="6"/>
        <v>0</v>
      </c>
      <c r="AE17" s="589">
        <f t="shared" si="72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281</v>
      </c>
      <c r="AJ17" s="318">
        <f>-tanks!AW18</f>
        <v>281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89">
        <f t="shared" ref="AN17:AP17" si="73">AN16</f>
        <v>67</v>
      </c>
      <c r="AO17" s="320">
        <f t="shared" si="24"/>
        <v>2010.0000000000002</v>
      </c>
      <c r="AP17" s="589">
        <f t="shared" si="73"/>
        <v>55</v>
      </c>
      <c r="AQ17" s="320">
        <f t="shared" si="25"/>
        <v>1650.0000000000002</v>
      </c>
      <c r="AR17" s="589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v>208</v>
      </c>
      <c r="C18" s="589">
        <v>215</v>
      </c>
      <c r="D18" s="45">
        <f t="shared" si="28"/>
        <v>4</v>
      </c>
      <c r="E18" s="45">
        <f t="shared" si="8"/>
        <v>33.520000000000003</v>
      </c>
      <c r="F18" s="589">
        <v>1734</v>
      </c>
      <c r="G18" s="52">
        <f t="shared" si="0"/>
        <v>2</v>
      </c>
      <c r="H18" s="589">
        <v>5345</v>
      </c>
      <c r="I18" s="396">
        <f t="shared" si="1"/>
        <v>151</v>
      </c>
      <c r="J18" s="66">
        <f t="shared" si="9"/>
        <v>75.5</v>
      </c>
      <c r="K18" s="589">
        <v>2231</v>
      </c>
      <c r="L18" s="52">
        <f t="shared" si="10"/>
        <v>1</v>
      </c>
      <c r="M18" s="589">
        <v>164081</v>
      </c>
      <c r="N18" s="396">
        <f t="shared" si="2"/>
        <v>116</v>
      </c>
      <c r="O18" s="64">
        <v>1869</v>
      </c>
      <c r="P18" s="589">
        <f t="shared" si="11"/>
        <v>1982</v>
      </c>
      <c r="Q18" s="589">
        <f t="shared" ref="Q18" si="75">Q17</f>
        <v>167562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3</v>
      </c>
      <c r="V18" s="62">
        <f t="shared" si="14"/>
        <v>267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76">SUM(Y18*$AB$2)</f>
        <v>0</v>
      </c>
      <c r="AC18" s="589">
        <f t="shared" ref="AC18:AE18" si="77">AC17</f>
        <v>1934</v>
      </c>
      <c r="AD18" s="45">
        <f t="shared" si="6"/>
        <v>0</v>
      </c>
      <c r="AE18" s="589">
        <f t="shared" si="77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267</v>
      </c>
      <c r="AJ18" s="318">
        <f>-tanks!AW19</f>
        <v>267</v>
      </c>
      <c r="AK18" s="318">
        <f t="shared" si="21"/>
        <v>0</v>
      </c>
      <c r="AL18" s="318">
        <f t="shared" si="7"/>
        <v>3</v>
      </c>
      <c r="AM18" s="318">
        <f t="shared" si="22"/>
        <v>0</v>
      </c>
      <c r="AN18" s="589">
        <f t="shared" ref="AN18:AP18" si="78">AN17</f>
        <v>67</v>
      </c>
      <c r="AO18" s="320">
        <f t="shared" si="24"/>
        <v>2010.0000000000002</v>
      </c>
      <c r="AP18" s="589">
        <f t="shared" si="78"/>
        <v>55</v>
      </c>
      <c r="AQ18" s="320">
        <f t="shared" si="25"/>
        <v>1650.0000000000002</v>
      </c>
      <c r="AR18" s="589">
        <f t="shared" ref="AR18" si="79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v>204</v>
      </c>
      <c r="C19" s="589">
        <v>210</v>
      </c>
      <c r="D19" s="45">
        <f t="shared" si="28"/>
        <v>5</v>
      </c>
      <c r="E19" s="45">
        <f t="shared" si="8"/>
        <v>41.900000000000006</v>
      </c>
      <c r="F19" s="589">
        <f t="shared" si="29"/>
        <v>1734</v>
      </c>
      <c r="G19" s="52">
        <f t="shared" si="0"/>
        <v>0</v>
      </c>
      <c r="H19" s="589">
        <f t="shared" si="29"/>
        <v>5345</v>
      </c>
      <c r="I19" s="396">
        <f t="shared" si="1"/>
        <v>0</v>
      </c>
      <c r="J19" s="66">
        <f t="shared" si="9"/>
        <v>0</v>
      </c>
      <c r="K19" s="589">
        <v>2233</v>
      </c>
      <c r="L19" s="52">
        <f t="shared" si="10"/>
        <v>2</v>
      </c>
      <c r="M19" s="589">
        <v>164223</v>
      </c>
      <c r="N19" s="396">
        <f t="shared" si="2"/>
        <v>142</v>
      </c>
      <c r="O19" s="64">
        <f t="shared" si="11"/>
        <v>1869</v>
      </c>
      <c r="P19" s="589">
        <v>1983</v>
      </c>
      <c r="Q19" s="589">
        <v>167637</v>
      </c>
      <c r="R19" s="395">
        <f t="shared" si="51"/>
        <v>75</v>
      </c>
      <c r="S19" s="52">
        <f t="shared" si="4"/>
        <v>1</v>
      </c>
      <c r="T19" s="67">
        <f t="shared" si="30"/>
        <v>0</v>
      </c>
      <c r="U19" s="402">
        <f t="shared" si="13"/>
        <v>3</v>
      </c>
      <c r="V19" s="62">
        <f t="shared" si="14"/>
        <v>217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76"/>
        <v>0</v>
      </c>
      <c r="AC19" s="589">
        <f t="shared" ref="AC19:AE19" si="80">AC18</f>
        <v>1934</v>
      </c>
      <c r="AD19" s="45">
        <f t="shared" si="6"/>
        <v>0</v>
      </c>
      <c r="AE19" s="589">
        <f t="shared" si="80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217</v>
      </c>
      <c r="AJ19" s="318">
        <f>-tanks!AW20</f>
        <v>217</v>
      </c>
      <c r="AK19" s="318">
        <f t="shared" si="21"/>
        <v>0</v>
      </c>
      <c r="AL19" s="318">
        <f t="shared" si="7"/>
        <v>3</v>
      </c>
      <c r="AM19" s="318">
        <f t="shared" si="22"/>
        <v>0</v>
      </c>
      <c r="AN19" s="589">
        <f t="shared" ref="AN19:AP19" si="81">AN18</f>
        <v>67</v>
      </c>
      <c r="AO19" s="320">
        <f t="shared" si="24"/>
        <v>2010.0000000000002</v>
      </c>
      <c r="AP19" s="589">
        <f t="shared" si="81"/>
        <v>55</v>
      </c>
      <c r="AQ19" s="320">
        <f t="shared" si="25"/>
        <v>1650.0000000000002</v>
      </c>
      <c r="AR19" s="589">
        <f t="shared" ref="AR19" si="82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v>237</v>
      </c>
      <c r="C20" s="589">
        <v>243</v>
      </c>
      <c r="D20" s="45">
        <f>C19-C20</f>
        <v>-33</v>
      </c>
      <c r="E20" s="45">
        <f t="shared" si="8"/>
        <v>-276.54000000000002</v>
      </c>
      <c r="F20" s="589">
        <f t="shared" si="29"/>
        <v>1734</v>
      </c>
      <c r="G20" s="52">
        <f t="shared" si="0"/>
        <v>0</v>
      </c>
      <c r="H20" s="589">
        <f t="shared" si="29"/>
        <v>5345</v>
      </c>
      <c r="I20" s="396">
        <f t="shared" si="1"/>
        <v>0</v>
      </c>
      <c r="J20" s="66">
        <f t="shared" si="9"/>
        <v>0</v>
      </c>
      <c r="K20" s="589">
        <f t="shared" si="40"/>
        <v>2233</v>
      </c>
      <c r="L20" s="52">
        <f t="shared" si="10"/>
        <v>0</v>
      </c>
      <c r="M20" s="589">
        <f t="shared" si="40"/>
        <v>164223</v>
      </c>
      <c r="N20" s="396">
        <f t="shared" si="2"/>
        <v>0</v>
      </c>
      <c r="O20" s="64">
        <f t="shared" si="11"/>
        <v>1869</v>
      </c>
      <c r="P20" s="589">
        <v>1986</v>
      </c>
      <c r="Q20" s="589">
        <v>167865</v>
      </c>
      <c r="R20" s="395">
        <f t="shared" si="51"/>
        <v>228</v>
      </c>
      <c r="S20" s="52">
        <f t="shared" si="4"/>
        <v>3</v>
      </c>
      <c r="T20" s="67">
        <f t="shared" si="30"/>
        <v>0</v>
      </c>
      <c r="U20" s="402">
        <f t="shared" si="13"/>
        <v>3</v>
      </c>
      <c r="V20" s="62">
        <f t="shared" si="14"/>
        <v>228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76"/>
        <v>0</v>
      </c>
      <c r="AC20" s="589">
        <f t="shared" ref="AC20:AE20" si="83">AC19</f>
        <v>1934</v>
      </c>
      <c r="AD20" s="45">
        <f t="shared" si="6"/>
        <v>0</v>
      </c>
      <c r="AE20" s="589">
        <f t="shared" si="83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228</v>
      </c>
      <c r="AJ20" s="318">
        <f>-tanks!AW21</f>
        <v>228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89">
        <f t="shared" ref="AN20:AP20" si="84">AN19</f>
        <v>67</v>
      </c>
      <c r="AO20" s="320">
        <f t="shared" si="24"/>
        <v>2010.0000000000002</v>
      </c>
      <c r="AP20" s="589">
        <f t="shared" si="84"/>
        <v>55</v>
      </c>
      <c r="AQ20" s="320">
        <f t="shared" si="25"/>
        <v>1650.0000000000002</v>
      </c>
      <c r="AR20" s="589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v>230</v>
      </c>
      <c r="C21" s="589">
        <v>237</v>
      </c>
      <c r="D21" s="45">
        <f t="shared" ref="D21:D31" si="86">C20-C21</f>
        <v>6</v>
      </c>
      <c r="E21" s="45">
        <f t="shared" si="8"/>
        <v>50.28</v>
      </c>
      <c r="F21" s="589">
        <v>1736</v>
      </c>
      <c r="G21" s="52">
        <f t="shared" si="0"/>
        <v>2</v>
      </c>
      <c r="H21" s="589">
        <v>5528</v>
      </c>
      <c r="I21" s="396">
        <f t="shared" si="1"/>
        <v>183</v>
      </c>
      <c r="J21" s="66">
        <f t="shared" si="9"/>
        <v>91.5</v>
      </c>
      <c r="K21" s="589">
        <f t="shared" si="40"/>
        <v>2233</v>
      </c>
      <c r="L21" s="52">
        <f t="shared" si="10"/>
        <v>0</v>
      </c>
      <c r="M21" s="589">
        <f t="shared" si="40"/>
        <v>164223</v>
      </c>
      <c r="N21" s="396">
        <f t="shared" si="2"/>
        <v>0</v>
      </c>
      <c r="O21" s="64">
        <f t="shared" si="11"/>
        <v>1869</v>
      </c>
      <c r="P21" s="589">
        <v>1988</v>
      </c>
      <c r="Q21" s="589">
        <v>167970</v>
      </c>
      <c r="R21" s="395">
        <f t="shared" si="51"/>
        <v>105</v>
      </c>
      <c r="S21" s="52">
        <f t="shared" si="4"/>
        <v>2</v>
      </c>
      <c r="T21" s="67">
        <f t="shared" si="30"/>
        <v>0</v>
      </c>
      <c r="U21" s="402">
        <f t="shared" si="13"/>
        <v>4</v>
      </c>
      <c r="V21" s="62">
        <f t="shared" si="14"/>
        <v>288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76"/>
        <v>0</v>
      </c>
      <c r="AC21" s="589">
        <f t="shared" ref="AC21:AE21" si="87">AC20</f>
        <v>1934</v>
      </c>
      <c r="AD21" s="45">
        <f t="shared" si="6"/>
        <v>0</v>
      </c>
      <c r="AE21" s="589">
        <f t="shared" si="87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288</v>
      </c>
      <c r="AJ21" s="318">
        <f>-tanks!AW22</f>
        <v>288</v>
      </c>
      <c r="AK21" s="318">
        <f t="shared" si="21"/>
        <v>0</v>
      </c>
      <c r="AL21" s="318">
        <f t="shared" si="7"/>
        <v>4</v>
      </c>
      <c r="AM21" s="318">
        <f t="shared" si="22"/>
        <v>0</v>
      </c>
      <c r="AN21" s="589">
        <f t="shared" ref="AN21:AP21" si="88">AN20</f>
        <v>67</v>
      </c>
      <c r="AO21" s="320">
        <f t="shared" si="24"/>
        <v>2010.0000000000002</v>
      </c>
      <c r="AP21" s="589">
        <f t="shared" si="88"/>
        <v>55</v>
      </c>
      <c r="AQ21" s="320">
        <f t="shared" si="25"/>
        <v>1650.0000000000002</v>
      </c>
      <c r="AR21" s="589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f t="shared" ref="B21:C32" si="90">B21</f>
        <v>230</v>
      </c>
      <c r="C22" s="589">
        <f t="shared" si="90"/>
        <v>237</v>
      </c>
      <c r="D22" s="45">
        <f t="shared" si="86"/>
        <v>0</v>
      </c>
      <c r="E22" s="45">
        <f t="shared" si="8"/>
        <v>0</v>
      </c>
      <c r="F22" s="589">
        <f t="shared" si="29"/>
        <v>1736</v>
      </c>
      <c r="G22" s="52">
        <f t="shared" si="0"/>
        <v>0</v>
      </c>
      <c r="H22" s="589">
        <f t="shared" si="29"/>
        <v>5528</v>
      </c>
      <c r="I22" s="396">
        <f t="shared" si="1"/>
        <v>0</v>
      </c>
      <c r="J22" s="66">
        <f t="shared" si="9"/>
        <v>0</v>
      </c>
      <c r="K22" s="589">
        <f t="shared" si="40"/>
        <v>2233</v>
      </c>
      <c r="L22" s="52">
        <f t="shared" si="10"/>
        <v>0</v>
      </c>
      <c r="M22" s="589">
        <f t="shared" si="40"/>
        <v>164223</v>
      </c>
      <c r="N22" s="396">
        <f t="shared" si="2"/>
        <v>0</v>
      </c>
      <c r="O22" s="64">
        <f t="shared" si="11"/>
        <v>1869</v>
      </c>
      <c r="P22" s="589">
        <f t="shared" si="11"/>
        <v>1988</v>
      </c>
      <c r="Q22" s="589">
        <f t="shared" ref="Q22" si="91">Q21</f>
        <v>167970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89">
        <f t="shared" si="16"/>
        <v>2454</v>
      </c>
      <c r="Y22" s="52">
        <f t="shared" si="17"/>
        <v>0</v>
      </c>
      <c r="Z22" s="589">
        <f t="shared" si="16"/>
        <v>138028.1</v>
      </c>
      <c r="AA22" s="65">
        <f t="shared" si="5"/>
        <v>0</v>
      </c>
      <c r="AB22" s="284">
        <f t="shared" si="76"/>
        <v>0</v>
      </c>
      <c r="AC22" s="589">
        <f t="shared" ref="AC22:AE22" si="92">AC21</f>
        <v>1934</v>
      </c>
      <c r="AD22" s="45">
        <f t="shared" si="6"/>
        <v>0</v>
      </c>
      <c r="AE22" s="589">
        <f t="shared" si="92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89">
        <f t="shared" ref="AN22:AP22" si="93">AN21</f>
        <v>67</v>
      </c>
      <c r="AO22" s="320">
        <f t="shared" si="24"/>
        <v>2010.0000000000002</v>
      </c>
      <c r="AP22" s="589">
        <f t="shared" si="93"/>
        <v>55</v>
      </c>
      <c r="AQ22" s="320">
        <f t="shared" si="25"/>
        <v>1650.0000000000002</v>
      </c>
      <c r="AR22" s="589">
        <f t="shared" ref="AR22" si="94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f t="shared" si="90"/>
        <v>230</v>
      </c>
      <c r="C23" s="589">
        <f t="shared" si="90"/>
        <v>237</v>
      </c>
      <c r="D23" s="45">
        <f t="shared" si="86"/>
        <v>0</v>
      </c>
      <c r="E23" s="45">
        <f t="shared" si="8"/>
        <v>0</v>
      </c>
      <c r="F23" s="589">
        <f t="shared" si="29"/>
        <v>1736</v>
      </c>
      <c r="G23" s="52">
        <f t="shared" si="0"/>
        <v>0</v>
      </c>
      <c r="H23" s="589">
        <f t="shared" si="29"/>
        <v>5528</v>
      </c>
      <c r="I23" s="396">
        <f t="shared" si="1"/>
        <v>0</v>
      </c>
      <c r="J23" s="66">
        <f t="shared" si="9"/>
        <v>0</v>
      </c>
      <c r="K23" s="589">
        <f t="shared" si="40"/>
        <v>2233</v>
      </c>
      <c r="L23" s="52">
        <f t="shared" si="10"/>
        <v>0</v>
      </c>
      <c r="M23" s="589">
        <f t="shared" si="40"/>
        <v>164223</v>
      </c>
      <c r="N23" s="396">
        <f t="shared" si="2"/>
        <v>0</v>
      </c>
      <c r="O23" s="64">
        <f t="shared" si="11"/>
        <v>1869</v>
      </c>
      <c r="P23" s="589">
        <f t="shared" si="11"/>
        <v>1988</v>
      </c>
      <c r="Q23" s="589">
        <f t="shared" ref="Q23" si="95">Q22</f>
        <v>167970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89">
        <f t="shared" si="16"/>
        <v>2454</v>
      </c>
      <c r="Y23" s="52">
        <f t="shared" si="17"/>
        <v>0</v>
      </c>
      <c r="Z23" s="589">
        <f t="shared" si="16"/>
        <v>138028.1</v>
      </c>
      <c r="AA23" s="65">
        <f t="shared" si="5"/>
        <v>0</v>
      </c>
      <c r="AB23" s="284">
        <f t="shared" si="76"/>
        <v>0</v>
      </c>
      <c r="AC23" s="589">
        <f t="shared" ref="AC23:AE23" si="96">AC22</f>
        <v>1934</v>
      </c>
      <c r="AD23" s="45">
        <f t="shared" si="6"/>
        <v>0</v>
      </c>
      <c r="AE23" s="589">
        <f t="shared" si="96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0</v>
      </c>
      <c r="AJ23" s="318">
        <f>-[3]tanks!AW24</f>
        <v>231</v>
      </c>
      <c r="AK23" s="318">
        <f t="shared" si="21"/>
        <v>231</v>
      </c>
      <c r="AL23" s="318">
        <f t="shared" si="7"/>
        <v>0</v>
      </c>
      <c r="AM23" s="318">
        <f t="shared" si="22"/>
        <v>0</v>
      </c>
      <c r="AN23" s="589">
        <f t="shared" ref="AN23:AP23" si="97">AN22</f>
        <v>67</v>
      </c>
      <c r="AO23" s="320">
        <f t="shared" si="24"/>
        <v>2010.0000000000002</v>
      </c>
      <c r="AP23" s="589">
        <f t="shared" si="97"/>
        <v>55</v>
      </c>
      <c r="AQ23" s="320">
        <f t="shared" si="25"/>
        <v>1650.0000000000002</v>
      </c>
      <c r="AR23" s="589">
        <f t="shared" ref="AR23" si="98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f t="shared" si="90"/>
        <v>230</v>
      </c>
      <c r="C24" s="589">
        <f t="shared" si="90"/>
        <v>237</v>
      </c>
      <c r="D24" s="45">
        <f t="shared" si="86"/>
        <v>0</v>
      </c>
      <c r="E24" s="45">
        <f t="shared" si="8"/>
        <v>0</v>
      </c>
      <c r="F24" s="589">
        <f t="shared" si="29"/>
        <v>1736</v>
      </c>
      <c r="G24" s="52">
        <f t="shared" si="0"/>
        <v>0</v>
      </c>
      <c r="H24" s="589">
        <f t="shared" si="29"/>
        <v>5528</v>
      </c>
      <c r="I24" s="396">
        <f t="shared" si="1"/>
        <v>0</v>
      </c>
      <c r="J24" s="66">
        <f t="shared" si="9"/>
        <v>0</v>
      </c>
      <c r="K24" s="589">
        <f t="shared" si="40"/>
        <v>2233</v>
      </c>
      <c r="L24" s="52">
        <f t="shared" si="10"/>
        <v>0</v>
      </c>
      <c r="M24" s="589">
        <f t="shared" si="40"/>
        <v>164223</v>
      </c>
      <c r="N24" s="396">
        <f t="shared" si="2"/>
        <v>0</v>
      </c>
      <c r="O24" s="64">
        <f t="shared" si="11"/>
        <v>1869</v>
      </c>
      <c r="P24" s="589">
        <f t="shared" si="11"/>
        <v>1988</v>
      </c>
      <c r="Q24" s="589">
        <f t="shared" ref="Q24" si="99">Q23</f>
        <v>167970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89">
        <f t="shared" si="16"/>
        <v>2454</v>
      </c>
      <c r="Y24" s="52">
        <f t="shared" si="17"/>
        <v>0</v>
      </c>
      <c r="Z24" s="589">
        <f t="shared" si="16"/>
        <v>138028.1</v>
      </c>
      <c r="AA24" s="65">
        <f t="shared" si="5"/>
        <v>0</v>
      </c>
      <c r="AB24" s="284">
        <f t="shared" ref="AB24:AB32" si="100">SUM(Y24*$AB$2)</f>
        <v>0</v>
      </c>
      <c r="AC24" s="589">
        <f t="shared" ref="AC24:AE24" si="101">AC23</f>
        <v>1934</v>
      </c>
      <c r="AD24" s="45">
        <f t="shared" si="6"/>
        <v>0</v>
      </c>
      <c r="AE24" s="589">
        <f t="shared" si="101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89">
        <f t="shared" ref="AN24:AP24" si="102">AN23</f>
        <v>67</v>
      </c>
      <c r="AO24" s="320">
        <f t="shared" si="24"/>
        <v>2010.0000000000002</v>
      </c>
      <c r="AP24" s="589">
        <f t="shared" si="102"/>
        <v>55</v>
      </c>
      <c r="AQ24" s="320">
        <f t="shared" si="25"/>
        <v>1650.0000000000002</v>
      </c>
      <c r="AR24" s="589">
        <f t="shared" ref="AR24" si="103">AR23</f>
        <v>61</v>
      </c>
      <c r="AS24" s="320">
        <f t="shared" si="37"/>
        <v>1830</v>
      </c>
      <c r="AT24" s="320">
        <f t="shared" ref="AT24:AT32" si="104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f t="shared" si="90"/>
        <v>230</v>
      </c>
      <c r="C25" s="589">
        <f t="shared" si="90"/>
        <v>237</v>
      </c>
      <c r="D25" s="45">
        <f t="shared" si="86"/>
        <v>0</v>
      </c>
      <c r="E25" s="45">
        <f t="shared" si="8"/>
        <v>0</v>
      </c>
      <c r="F25" s="589">
        <f t="shared" si="29"/>
        <v>1736</v>
      </c>
      <c r="G25" s="52">
        <f t="shared" si="0"/>
        <v>0</v>
      </c>
      <c r="H25" s="589">
        <f t="shared" si="29"/>
        <v>5528</v>
      </c>
      <c r="I25" s="396">
        <f t="shared" si="1"/>
        <v>0</v>
      </c>
      <c r="J25" s="66">
        <f t="shared" si="9"/>
        <v>0</v>
      </c>
      <c r="K25" s="589">
        <f t="shared" si="40"/>
        <v>2233</v>
      </c>
      <c r="L25" s="52">
        <f t="shared" si="10"/>
        <v>0</v>
      </c>
      <c r="M25" s="589">
        <f t="shared" si="40"/>
        <v>164223</v>
      </c>
      <c r="N25" s="396">
        <f t="shared" si="2"/>
        <v>0</v>
      </c>
      <c r="O25" s="64">
        <f t="shared" si="11"/>
        <v>1869</v>
      </c>
      <c r="P25" s="589">
        <f t="shared" si="11"/>
        <v>1988</v>
      </c>
      <c r="Q25" s="589">
        <f t="shared" ref="Q25" si="105">Q24</f>
        <v>167970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89">
        <f t="shared" si="16"/>
        <v>2454</v>
      </c>
      <c r="Y25" s="52">
        <f t="shared" si="17"/>
        <v>0</v>
      </c>
      <c r="Z25" s="589">
        <f t="shared" si="16"/>
        <v>138028.1</v>
      </c>
      <c r="AA25" s="65">
        <f t="shared" si="5"/>
        <v>0</v>
      </c>
      <c r="AB25" s="284">
        <f t="shared" si="100"/>
        <v>0</v>
      </c>
      <c r="AC25" s="589">
        <f t="shared" ref="AC25:AE25" si="106">AC24</f>
        <v>1934</v>
      </c>
      <c r="AD25" s="45">
        <f t="shared" si="6"/>
        <v>0</v>
      </c>
      <c r="AE25" s="589">
        <f t="shared" si="106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89">
        <f t="shared" ref="AN25:AP25" si="107">AN24</f>
        <v>67</v>
      </c>
      <c r="AO25" s="320">
        <f t="shared" si="24"/>
        <v>2010.0000000000002</v>
      </c>
      <c r="AP25" s="589">
        <f t="shared" si="107"/>
        <v>55</v>
      </c>
      <c r="AQ25" s="320">
        <f t="shared" ref="AQ25:AQ32" si="108">(AP25/100)*3000</f>
        <v>1650.0000000000002</v>
      </c>
      <c r="AR25" s="589">
        <f t="shared" ref="AR25" si="109">AR24</f>
        <v>61</v>
      </c>
      <c r="AS25" s="320">
        <f t="shared" si="37"/>
        <v>1830</v>
      </c>
      <c r="AT25" s="320">
        <f t="shared" si="104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f t="shared" si="90"/>
        <v>230</v>
      </c>
      <c r="C26" s="589">
        <f t="shared" si="90"/>
        <v>237</v>
      </c>
      <c r="D26" s="45">
        <f t="shared" si="86"/>
        <v>0</v>
      </c>
      <c r="E26" s="45">
        <f t="shared" si="8"/>
        <v>0</v>
      </c>
      <c r="F26" s="589">
        <f t="shared" si="29"/>
        <v>1736</v>
      </c>
      <c r="G26" s="52">
        <f t="shared" si="0"/>
        <v>0</v>
      </c>
      <c r="H26" s="589">
        <f t="shared" si="29"/>
        <v>5528</v>
      </c>
      <c r="I26" s="396">
        <f t="shared" si="1"/>
        <v>0</v>
      </c>
      <c r="J26" s="66">
        <f t="shared" si="9"/>
        <v>0</v>
      </c>
      <c r="K26" s="589">
        <f t="shared" si="40"/>
        <v>2233</v>
      </c>
      <c r="L26" s="52">
        <f t="shared" si="10"/>
        <v>0</v>
      </c>
      <c r="M26" s="589">
        <f t="shared" si="40"/>
        <v>164223</v>
      </c>
      <c r="N26" s="396">
        <f t="shared" si="2"/>
        <v>0</v>
      </c>
      <c r="O26" s="64">
        <f t="shared" si="11"/>
        <v>1869</v>
      </c>
      <c r="P26" s="589">
        <f t="shared" si="11"/>
        <v>1988</v>
      </c>
      <c r="Q26" s="589">
        <f t="shared" ref="Q26" si="110">Q25</f>
        <v>167970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89">
        <f t="shared" si="16"/>
        <v>2454</v>
      </c>
      <c r="Y26" s="52">
        <f t="shared" si="17"/>
        <v>0</v>
      </c>
      <c r="Z26" s="589">
        <f t="shared" si="16"/>
        <v>138028.1</v>
      </c>
      <c r="AA26" s="65">
        <f t="shared" si="5"/>
        <v>0</v>
      </c>
      <c r="AB26" s="284">
        <f t="shared" si="100"/>
        <v>0</v>
      </c>
      <c r="AC26" s="589">
        <f t="shared" ref="AC26:AE26" si="111">AC25</f>
        <v>1934</v>
      </c>
      <c r="AD26" s="45">
        <f t="shared" si="6"/>
        <v>0</v>
      </c>
      <c r="AE26" s="589">
        <f t="shared" si="111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89">
        <f t="shared" ref="AN26:AP26" si="112">AN25</f>
        <v>67</v>
      </c>
      <c r="AO26" s="320">
        <f t="shared" si="24"/>
        <v>2010.0000000000002</v>
      </c>
      <c r="AP26" s="589">
        <f t="shared" si="112"/>
        <v>55</v>
      </c>
      <c r="AQ26" s="320">
        <f t="shared" si="108"/>
        <v>1650.0000000000002</v>
      </c>
      <c r="AR26" s="589">
        <f t="shared" ref="AR26" si="113">AR25</f>
        <v>61</v>
      </c>
      <c r="AS26" s="320">
        <f t="shared" si="37"/>
        <v>1830</v>
      </c>
      <c r="AT26" s="320">
        <f t="shared" si="104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si="90"/>
        <v>230</v>
      </c>
      <c r="C27" s="589">
        <f t="shared" si="90"/>
        <v>237</v>
      </c>
      <c r="D27" s="45">
        <f t="shared" si="86"/>
        <v>0</v>
      </c>
      <c r="E27" s="45">
        <f t="shared" si="8"/>
        <v>0</v>
      </c>
      <c r="F27" s="589">
        <f t="shared" si="29"/>
        <v>1736</v>
      </c>
      <c r="G27" s="52">
        <f t="shared" si="0"/>
        <v>0</v>
      </c>
      <c r="H27" s="589">
        <f t="shared" si="29"/>
        <v>5528</v>
      </c>
      <c r="I27" s="396">
        <f t="shared" si="1"/>
        <v>0</v>
      </c>
      <c r="J27" s="66">
        <f t="shared" si="9"/>
        <v>0</v>
      </c>
      <c r="K27" s="589">
        <f t="shared" si="40"/>
        <v>2233</v>
      </c>
      <c r="L27" s="52">
        <f t="shared" si="10"/>
        <v>0</v>
      </c>
      <c r="M27" s="589">
        <f t="shared" si="40"/>
        <v>164223</v>
      </c>
      <c r="N27" s="396">
        <f t="shared" si="2"/>
        <v>0</v>
      </c>
      <c r="O27" s="64">
        <f t="shared" si="11"/>
        <v>1869</v>
      </c>
      <c r="P27" s="589">
        <f t="shared" si="11"/>
        <v>1988</v>
      </c>
      <c r="Q27" s="589">
        <f t="shared" ref="Q27" si="114">Q26</f>
        <v>167970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2454</v>
      </c>
      <c r="Y27" s="52">
        <f t="shared" si="17"/>
        <v>0</v>
      </c>
      <c r="Z27" s="589">
        <f t="shared" si="16"/>
        <v>138028.1</v>
      </c>
      <c r="AA27" s="65">
        <f t="shared" si="5"/>
        <v>0</v>
      </c>
      <c r="AB27" s="284">
        <f t="shared" si="100"/>
        <v>0</v>
      </c>
      <c r="AC27" s="589">
        <f t="shared" ref="AC27:AE27" si="115">AC26</f>
        <v>1934</v>
      </c>
      <c r="AD27" s="45">
        <f t="shared" si="6"/>
        <v>0</v>
      </c>
      <c r="AE27" s="589">
        <f t="shared" si="115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16">AN26</f>
        <v>67</v>
      </c>
      <c r="AO27" s="320">
        <f>(AN27/100)*3000</f>
        <v>2010.0000000000002</v>
      </c>
      <c r="AP27" s="589">
        <f t="shared" si="116"/>
        <v>55</v>
      </c>
      <c r="AQ27" s="320">
        <f t="shared" si="108"/>
        <v>1650.0000000000002</v>
      </c>
      <c r="AR27" s="589">
        <f t="shared" ref="AR27" si="117">AR26</f>
        <v>61</v>
      </c>
      <c r="AS27" s="320">
        <f t="shared" si="37"/>
        <v>1830</v>
      </c>
      <c r="AT27" s="320">
        <f t="shared" si="104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90"/>
        <v>230</v>
      </c>
      <c r="C28" s="589">
        <f t="shared" si="90"/>
        <v>237</v>
      </c>
      <c r="D28" s="45">
        <f t="shared" si="86"/>
        <v>0</v>
      </c>
      <c r="E28" s="45">
        <f t="shared" si="8"/>
        <v>0</v>
      </c>
      <c r="F28" s="589">
        <f t="shared" si="29"/>
        <v>1736</v>
      </c>
      <c r="G28" s="52">
        <f t="shared" si="0"/>
        <v>0</v>
      </c>
      <c r="H28" s="589">
        <f t="shared" si="29"/>
        <v>5528</v>
      </c>
      <c r="I28" s="396">
        <f t="shared" si="1"/>
        <v>0</v>
      </c>
      <c r="J28" s="66">
        <f t="shared" si="9"/>
        <v>0</v>
      </c>
      <c r="K28" s="589">
        <f t="shared" si="40"/>
        <v>2233</v>
      </c>
      <c r="L28" s="52">
        <f t="shared" si="10"/>
        <v>0</v>
      </c>
      <c r="M28" s="589">
        <f t="shared" si="40"/>
        <v>164223</v>
      </c>
      <c r="N28" s="396">
        <f t="shared" si="2"/>
        <v>0</v>
      </c>
      <c r="O28" s="64">
        <f t="shared" si="11"/>
        <v>1869</v>
      </c>
      <c r="P28" s="589">
        <f t="shared" si="11"/>
        <v>1988</v>
      </c>
      <c r="Q28" s="589">
        <f t="shared" ref="Q28" si="118">Q27</f>
        <v>167970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2454</v>
      </c>
      <c r="Y28" s="52">
        <f t="shared" si="17"/>
        <v>0</v>
      </c>
      <c r="Z28" s="589">
        <f t="shared" si="16"/>
        <v>138028.1</v>
      </c>
      <c r="AA28" s="65">
        <f t="shared" si="5"/>
        <v>0</v>
      </c>
      <c r="AB28" s="284">
        <f t="shared" si="100"/>
        <v>0</v>
      </c>
      <c r="AC28" s="589">
        <f t="shared" ref="AC28:AE28" si="119">AC27</f>
        <v>1934</v>
      </c>
      <c r="AD28" s="45">
        <f t="shared" si="6"/>
        <v>0</v>
      </c>
      <c r="AE28" s="589">
        <f t="shared" si="119"/>
        <v>365352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20">AN27</f>
        <v>67</v>
      </c>
      <c r="AO28" s="320">
        <f t="shared" ref="AO28:AO32" si="121">(AN28/100)*3000</f>
        <v>2010.0000000000002</v>
      </c>
      <c r="AP28" s="589">
        <f t="shared" si="120"/>
        <v>55</v>
      </c>
      <c r="AQ28" s="320">
        <f t="shared" si="108"/>
        <v>1650.0000000000002</v>
      </c>
      <c r="AR28" s="589">
        <f t="shared" ref="AR28" si="122">AR27</f>
        <v>61</v>
      </c>
      <c r="AS28" s="320">
        <f t="shared" si="37"/>
        <v>1830</v>
      </c>
      <c r="AT28" s="320">
        <f t="shared" si="104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90"/>
        <v>230</v>
      </c>
      <c r="C29" s="589">
        <f t="shared" si="90"/>
        <v>237</v>
      </c>
      <c r="D29" s="45">
        <f t="shared" si="86"/>
        <v>0</v>
      </c>
      <c r="E29" s="45">
        <f t="shared" si="8"/>
        <v>0</v>
      </c>
      <c r="F29" s="589">
        <f t="shared" si="29"/>
        <v>1736</v>
      </c>
      <c r="G29" s="52">
        <f t="shared" si="0"/>
        <v>0</v>
      </c>
      <c r="H29" s="589">
        <f t="shared" si="29"/>
        <v>5528</v>
      </c>
      <c r="I29" s="396">
        <f t="shared" si="1"/>
        <v>0</v>
      </c>
      <c r="J29" s="66">
        <f t="shared" si="9"/>
        <v>0</v>
      </c>
      <c r="K29" s="589">
        <f t="shared" si="40"/>
        <v>2233</v>
      </c>
      <c r="L29" s="52">
        <f t="shared" si="10"/>
        <v>0</v>
      </c>
      <c r="M29" s="589">
        <f t="shared" si="40"/>
        <v>164223</v>
      </c>
      <c r="N29" s="396">
        <f t="shared" si="2"/>
        <v>0</v>
      </c>
      <c r="O29" s="64">
        <f t="shared" si="11"/>
        <v>1869</v>
      </c>
      <c r="P29" s="589">
        <f t="shared" si="11"/>
        <v>1988</v>
      </c>
      <c r="Q29" s="589">
        <f t="shared" ref="Q29" si="123">Q28</f>
        <v>167970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2454</v>
      </c>
      <c r="Y29" s="52">
        <f t="shared" si="17"/>
        <v>0</v>
      </c>
      <c r="Z29" s="589">
        <f t="shared" si="16"/>
        <v>138028.1</v>
      </c>
      <c r="AA29" s="65">
        <f t="shared" si="5"/>
        <v>0</v>
      </c>
      <c r="AB29" s="284">
        <f t="shared" si="100"/>
        <v>0</v>
      </c>
      <c r="AC29" s="589">
        <f t="shared" ref="AC29:AE29" si="124">AC28</f>
        <v>1934</v>
      </c>
      <c r="AD29" s="45">
        <f t="shared" si="6"/>
        <v>0</v>
      </c>
      <c r="AE29" s="589">
        <f t="shared" si="124"/>
        <v>365352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25">AN28</f>
        <v>67</v>
      </c>
      <c r="AO29" s="320">
        <f t="shared" si="121"/>
        <v>2010.0000000000002</v>
      </c>
      <c r="AP29" s="589">
        <f t="shared" si="125"/>
        <v>55</v>
      </c>
      <c r="AQ29" s="320">
        <f t="shared" si="108"/>
        <v>1650.0000000000002</v>
      </c>
      <c r="AR29" s="589">
        <f t="shared" ref="AR29" si="126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90"/>
        <v>230</v>
      </c>
      <c r="C30" s="589">
        <f t="shared" si="90"/>
        <v>237</v>
      </c>
      <c r="D30" s="45">
        <f t="shared" si="86"/>
        <v>0</v>
      </c>
      <c r="E30" s="45">
        <f t="shared" si="8"/>
        <v>0</v>
      </c>
      <c r="F30" s="589">
        <f t="shared" si="29"/>
        <v>1736</v>
      </c>
      <c r="G30" s="52">
        <f t="shared" si="0"/>
        <v>0</v>
      </c>
      <c r="H30" s="589">
        <f t="shared" si="29"/>
        <v>5528</v>
      </c>
      <c r="I30" s="396">
        <f t="shared" si="1"/>
        <v>0</v>
      </c>
      <c r="J30" s="66">
        <f t="shared" si="9"/>
        <v>0</v>
      </c>
      <c r="K30" s="589">
        <f t="shared" si="40"/>
        <v>2233</v>
      </c>
      <c r="L30" s="52">
        <f t="shared" si="10"/>
        <v>0</v>
      </c>
      <c r="M30" s="589">
        <f t="shared" si="40"/>
        <v>164223</v>
      </c>
      <c r="N30" s="396">
        <f t="shared" si="2"/>
        <v>0</v>
      </c>
      <c r="O30" s="64">
        <f t="shared" si="11"/>
        <v>1869</v>
      </c>
      <c r="P30" s="589">
        <f t="shared" si="11"/>
        <v>1988</v>
      </c>
      <c r="Q30" s="589">
        <f t="shared" ref="Q30" si="127">Q29</f>
        <v>167970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2454</v>
      </c>
      <c r="Y30" s="52">
        <f t="shared" si="17"/>
        <v>0</v>
      </c>
      <c r="Z30" s="589">
        <f t="shared" si="16"/>
        <v>138028.1</v>
      </c>
      <c r="AA30" s="65">
        <f t="shared" si="5"/>
        <v>0</v>
      </c>
      <c r="AB30" s="284">
        <f t="shared" si="100"/>
        <v>0</v>
      </c>
      <c r="AC30" s="589">
        <f t="shared" ref="AC30:AE30" si="128">AC29</f>
        <v>1934</v>
      </c>
      <c r="AD30" s="45">
        <f t="shared" si="6"/>
        <v>0</v>
      </c>
      <c r="AE30" s="589">
        <f t="shared" si="128"/>
        <v>365352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29">AN29</f>
        <v>67</v>
      </c>
      <c r="AO30" s="320">
        <f t="shared" si="121"/>
        <v>2010.0000000000002</v>
      </c>
      <c r="AP30" s="589">
        <f t="shared" si="129"/>
        <v>55</v>
      </c>
      <c r="AQ30" s="320">
        <f t="shared" si="108"/>
        <v>1650.0000000000002</v>
      </c>
      <c r="AR30" s="589">
        <f t="shared" ref="AR30" si="130">AR29</f>
        <v>61</v>
      </c>
      <c r="AS30" s="320">
        <f t="shared" si="37"/>
        <v>1830</v>
      </c>
      <c r="AT30" s="320">
        <f t="shared" si="104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90"/>
        <v>230</v>
      </c>
      <c r="C31" s="589">
        <f t="shared" si="90"/>
        <v>237</v>
      </c>
      <c r="D31" s="45">
        <f t="shared" si="86"/>
        <v>0</v>
      </c>
      <c r="E31" s="45">
        <f t="shared" si="8"/>
        <v>0</v>
      </c>
      <c r="F31" s="589">
        <f t="shared" si="29"/>
        <v>1736</v>
      </c>
      <c r="G31" s="52">
        <f t="shared" si="0"/>
        <v>0</v>
      </c>
      <c r="H31" s="589">
        <f t="shared" si="29"/>
        <v>5528</v>
      </c>
      <c r="I31" s="396">
        <f t="shared" si="1"/>
        <v>0</v>
      </c>
      <c r="J31" s="66">
        <f t="shared" si="9"/>
        <v>0</v>
      </c>
      <c r="K31" s="589">
        <f t="shared" si="40"/>
        <v>2233</v>
      </c>
      <c r="L31" s="52">
        <f t="shared" si="10"/>
        <v>0</v>
      </c>
      <c r="M31" s="589">
        <f t="shared" si="40"/>
        <v>164223</v>
      </c>
      <c r="N31" s="396">
        <f t="shared" si="2"/>
        <v>0</v>
      </c>
      <c r="O31" s="64">
        <f t="shared" si="11"/>
        <v>1869</v>
      </c>
      <c r="P31" s="589">
        <f t="shared" si="11"/>
        <v>1988</v>
      </c>
      <c r="Q31" s="589">
        <f t="shared" ref="Q31" si="131">Q30</f>
        <v>167970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2454</v>
      </c>
      <c r="Y31" s="52">
        <f t="shared" si="17"/>
        <v>0</v>
      </c>
      <c r="Z31" s="589">
        <f t="shared" si="16"/>
        <v>138028.1</v>
      </c>
      <c r="AA31" s="65">
        <f t="shared" si="5"/>
        <v>0</v>
      </c>
      <c r="AB31" s="284">
        <f t="shared" si="100"/>
        <v>0</v>
      </c>
      <c r="AC31" s="589">
        <f t="shared" ref="AC31:AE31" si="132">AC30</f>
        <v>1934</v>
      </c>
      <c r="AD31" s="269">
        <f t="shared" si="6"/>
        <v>0</v>
      </c>
      <c r="AE31" s="589">
        <f t="shared" si="132"/>
        <v>365352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33">AN30</f>
        <v>67</v>
      </c>
      <c r="AO31" s="320">
        <f t="shared" si="121"/>
        <v>2010.0000000000002</v>
      </c>
      <c r="AP31" s="589">
        <f t="shared" si="133"/>
        <v>55</v>
      </c>
      <c r="AQ31" s="320">
        <f t="shared" si="108"/>
        <v>1650.0000000000002</v>
      </c>
      <c r="AR31" s="589">
        <f t="shared" ref="AR31" si="134">AR30</f>
        <v>61</v>
      </c>
      <c r="AS31" s="320">
        <f t="shared" si="37"/>
        <v>1830</v>
      </c>
      <c r="AT31" s="320">
        <f t="shared" si="104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90"/>
        <v>230</v>
      </c>
      <c r="C32" s="589">
        <f t="shared" si="90"/>
        <v>237</v>
      </c>
      <c r="D32" s="45">
        <f t="shared" si="28"/>
        <v>0</v>
      </c>
      <c r="E32" s="45">
        <f t="shared" ref="E32" si="135">D32*8.38</f>
        <v>0</v>
      </c>
      <c r="F32" s="589">
        <f t="shared" si="29"/>
        <v>1736</v>
      </c>
      <c r="G32" s="52">
        <f t="shared" si="0"/>
        <v>0</v>
      </c>
      <c r="H32" s="589">
        <f t="shared" si="29"/>
        <v>5528</v>
      </c>
      <c r="I32" s="396">
        <f t="shared" si="1"/>
        <v>0</v>
      </c>
      <c r="J32" s="66">
        <f t="shared" si="9"/>
        <v>0</v>
      </c>
      <c r="K32" s="589">
        <f t="shared" si="40"/>
        <v>2233</v>
      </c>
      <c r="L32" s="52">
        <f t="shared" si="10"/>
        <v>0</v>
      </c>
      <c r="M32" s="589">
        <f t="shared" si="40"/>
        <v>164223</v>
      </c>
      <c r="N32" s="396">
        <f t="shared" si="2"/>
        <v>0</v>
      </c>
      <c r="O32" s="64">
        <f t="shared" si="11"/>
        <v>1869</v>
      </c>
      <c r="P32" s="589">
        <f t="shared" si="11"/>
        <v>1988</v>
      </c>
      <c r="Q32" s="589">
        <f t="shared" ref="Q32" si="136">Q31</f>
        <v>167970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2454</v>
      </c>
      <c r="Y32" s="52">
        <f t="shared" si="17"/>
        <v>0</v>
      </c>
      <c r="Z32" s="589">
        <f t="shared" si="16"/>
        <v>138028.1</v>
      </c>
      <c r="AA32" s="65">
        <f t="shared" si="5"/>
        <v>0</v>
      </c>
      <c r="AB32" s="284">
        <f t="shared" si="100"/>
        <v>0</v>
      </c>
      <c r="AC32" s="589">
        <f t="shared" ref="AC32:AE32" si="137">AC31</f>
        <v>1934</v>
      </c>
      <c r="AD32" s="269">
        <f t="shared" si="6"/>
        <v>0</v>
      </c>
      <c r="AE32" s="589">
        <f t="shared" si="137"/>
        <v>365352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38">AN31</f>
        <v>67</v>
      </c>
      <c r="AO32" s="320">
        <f t="shared" si="121"/>
        <v>2010.0000000000002</v>
      </c>
      <c r="AP32" s="589">
        <f t="shared" si="138"/>
        <v>55</v>
      </c>
      <c r="AQ32" s="320">
        <f t="shared" si="108"/>
        <v>1650.0000000000002</v>
      </c>
      <c r="AR32" s="589">
        <f t="shared" ref="AR32" si="139">AR31</f>
        <v>61</v>
      </c>
      <c r="AS32" s="320">
        <f t="shared" si="37"/>
        <v>1830</v>
      </c>
      <c r="AT32" s="320">
        <f t="shared" si="104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68.454545454545453</v>
      </c>
      <c r="V33" s="62">
        <f>SUM(V5:V32)</f>
        <v>4627</v>
      </c>
      <c r="AE33" s="71" t="s">
        <v>383</v>
      </c>
      <c r="AG33" s="344"/>
      <c r="AH33" s="62">
        <f>SUM(AH5:AH32)</f>
        <v>232</v>
      </c>
      <c r="AL33" s="62">
        <f>SUM(AL5:AL32)</f>
        <v>62</v>
      </c>
      <c r="AM33" s="62">
        <f>SUM(AM5:AM32)</f>
        <v>2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4859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G1" zoomScaleNormal="100" workbookViewId="0">
      <pane ySplit="3" topLeftCell="A18" activePane="bottomLeft" state="frozen"/>
      <selection pane="bottomLeft" activeCell="AZ22" sqref="AZ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8005660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0" t="s">
        <v>126</v>
      </c>
      <c r="AO3" s="621"/>
      <c r="AP3" s="62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.7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.7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.7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.7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.7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.7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.7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.7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.7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.7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.7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v>150141</v>
      </c>
      <c r="Y18" s="324">
        <f t="shared" si="34"/>
        <v>64</v>
      </c>
      <c r="Z18" s="5">
        <v>98323</v>
      </c>
      <c r="AA18" s="83">
        <f t="shared" si="19"/>
        <v>61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61</v>
      </c>
      <c r="AK18" s="327">
        <f>SUM(Y18-L18)</f>
        <v>64</v>
      </c>
      <c r="AL18" s="327">
        <f t="shared" si="24"/>
        <v>61</v>
      </c>
      <c r="AM18" s="327">
        <f>'General information '!D18</f>
        <v>16.5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v>0</v>
      </c>
      <c r="AU18" s="425">
        <f t="shared" si="35"/>
        <v>1.1000000000000001</v>
      </c>
      <c r="AV18" s="201">
        <v>152</v>
      </c>
      <c r="AW18" s="5">
        <v>2.9</v>
      </c>
      <c r="AX18" s="201">
        <v>144</v>
      </c>
      <c r="AY18" s="426">
        <f t="shared" si="7"/>
        <v>0</v>
      </c>
      <c r="AZ18" s="426">
        <f t="shared" si="26"/>
        <v>167.20000000000002</v>
      </c>
      <c r="BA18" s="426">
        <f t="shared" si="27"/>
        <v>417.59999999999997</v>
      </c>
      <c r="BB18" s="21">
        <f t="shared" si="28"/>
        <v>-131.4</v>
      </c>
      <c r="BC18" s="21">
        <f t="shared" si="29"/>
        <v>46.2</v>
      </c>
      <c r="BD18" s="21">
        <f t="shared" si="29"/>
        <v>40.599999999999966</v>
      </c>
      <c r="BE18" s="24">
        <f t="shared" si="30"/>
        <v>-44.600000000000037</v>
      </c>
      <c r="BF18" s="96">
        <f t="shared" si="8"/>
        <v>44.600000000000037</v>
      </c>
      <c r="BG18" s="82">
        <f t="shared" si="9"/>
        <v>-44.600000000000037</v>
      </c>
    </row>
    <row r="19" spans="1:61" ht="15.7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v>615653</v>
      </c>
      <c r="H19" s="5">
        <f t="shared" si="14"/>
        <v>279</v>
      </c>
      <c r="I19" s="5">
        <f t="shared" si="0"/>
        <v>279</v>
      </c>
      <c r="J19" s="334">
        <f t="shared" si="1"/>
        <v>0.96006144393241155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150141</v>
      </c>
      <c r="Y19" s="324">
        <f t="shared" si="34"/>
        <v>0</v>
      </c>
      <c r="Z19" s="5">
        <f t="shared" si="17"/>
        <v>98323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15.5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v>158</v>
      </c>
      <c r="AU19" s="425">
        <f t="shared" si="35"/>
        <v>1.1000000000000001</v>
      </c>
      <c r="AV19" s="201">
        <v>148</v>
      </c>
      <c r="AW19" s="5">
        <v>2.9</v>
      </c>
      <c r="AX19" s="201">
        <v>142</v>
      </c>
      <c r="AY19" s="426">
        <f t="shared" ref="AY19:AY21" si="39">AS19*AT19</f>
        <v>142.20000000000002</v>
      </c>
      <c r="AZ19" s="426">
        <f t="shared" ref="AZ19:AZ21" si="40">AU19*AV19</f>
        <v>162.80000000000001</v>
      </c>
      <c r="BA19" s="426">
        <f t="shared" ref="BA19:BA21" si="41">AW19*AX19</f>
        <v>411.8</v>
      </c>
      <c r="BB19" s="21">
        <f t="shared" ref="BB19:BB20" si="42">AY19-AY18</f>
        <v>142.20000000000002</v>
      </c>
      <c r="BC19" s="21">
        <f t="shared" ref="BC19:BC20" si="43">AZ19-AZ18</f>
        <v>-4.4000000000000057</v>
      </c>
      <c r="BD19" s="21">
        <f t="shared" ref="BD19:BD20" si="44">BA19-BA18</f>
        <v>-5.7999999999999545</v>
      </c>
      <c r="BE19" s="24">
        <f t="shared" ref="BE19:BE20" si="45">SUM(BB19:BD19)</f>
        <v>132.00000000000006</v>
      </c>
      <c r="BF19" s="96">
        <f t="shared" si="8"/>
        <v>146.99999999999994</v>
      </c>
      <c r="BG19" s="82">
        <f t="shared" si="9"/>
        <v>132.00000000000006</v>
      </c>
    </row>
    <row r="20" spans="1:61" ht="15.7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615653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6720</v>
      </c>
      <c r="L20" s="83">
        <f t="shared" si="33"/>
        <v>2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150141</v>
      </c>
      <c r="Y20" s="324">
        <f t="shared" si="34"/>
        <v>0</v>
      </c>
      <c r="Z20" s="5">
        <f t="shared" si="17"/>
        <v>98323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-2</v>
      </c>
      <c r="AL20" s="327">
        <f t="shared" si="24"/>
        <v>0</v>
      </c>
      <c r="AM20" s="327">
        <f>'General information '!D20</f>
        <v>15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158</v>
      </c>
      <c r="AU20" s="425">
        <f t="shared" si="35"/>
        <v>1.1000000000000001</v>
      </c>
      <c r="AV20" s="201">
        <v>146</v>
      </c>
      <c r="AW20" s="5">
        <v>2.9</v>
      </c>
      <c r="AX20" s="201">
        <v>138</v>
      </c>
      <c r="AY20" s="426">
        <f t="shared" si="39"/>
        <v>142.20000000000002</v>
      </c>
      <c r="AZ20" s="426">
        <f t="shared" si="40"/>
        <v>160.60000000000002</v>
      </c>
      <c r="BA20" s="426">
        <f t="shared" si="41"/>
        <v>400.2</v>
      </c>
      <c r="BB20" s="21">
        <f t="shared" si="42"/>
        <v>0</v>
      </c>
      <c r="BC20" s="21">
        <f t="shared" si="43"/>
        <v>-2.1999999999999886</v>
      </c>
      <c r="BD20" s="21">
        <f t="shared" si="44"/>
        <v>-11.600000000000023</v>
      </c>
      <c r="BE20" s="24">
        <f t="shared" si="45"/>
        <v>-13.800000000000011</v>
      </c>
      <c r="BF20" s="96">
        <f t="shared" si="8"/>
        <v>13.800000000000011</v>
      </c>
      <c r="BG20" s="82">
        <f t="shared" si="9"/>
        <v>-13.800000000000011</v>
      </c>
    </row>
    <row r="21" spans="1:61" ht="15.7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v>615820</v>
      </c>
      <c r="H21" s="5">
        <f t="shared" si="14"/>
        <v>167</v>
      </c>
      <c r="I21" s="5">
        <f t="shared" si="0"/>
        <v>167</v>
      </c>
      <c r="J21" s="334">
        <f t="shared" si="1"/>
        <v>1.60393498716852</v>
      </c>
      <c r="K21" s="5">
        <f>'Swimming Pool quality check '!H21</f>
        <v>6720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v>150281</v>
      </c>
      <c r="Y21" s="324">
        <f>SUM(X21-X20)</f>
        <v>140</v>
      </c>
      <c r="Z21" s="5">
        <v>98358</v>
      </c>
      <c r="AA21" s="83">
        <f t="shared" si="19"/>
        <v>35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35</v>
      </c>
      <c r="AK21" s="327">
        <f>SUM(Y21-L21)</f>
        <v>140</v>
      </c>
      <c r="AL21" s="327">
        <f t="shared" si="24"/>
        <v>35</v>
      </c>
      <c r="AM21" s="327">
        <f>'General information '!D21</f>
        <v>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158</v>
      </c>
      <c r="AU21" s="425">
        <f t="shared" si="35"/>
        <v>1.1000000000000001</v>
      </c>
      <c r="AV21" s="201">
        <v>169</v>
      </c>
      <c r="AW21" s="5">
        <v>2.9</v>
      </c>
      <c r="AX21" s="201">
        <v>171</v>
      </c>
      <c r="AY21" s="426">
        <f t="shared" si="39"/>
        <v>142.20000000000002</v>
      </c>
      <c r="AZ21" s="426">
        <f t="shared" si="40"/>
        <v>185.9</v>
      </c>
      <c r="BA21" s="426">
        <f t="shared" si="41"/>
        <v>495.9</v>
      </c>
      <c r="BB21" s="21">
        <f t="shared" si="28"/>
        <v>0</v>
      </c>
      <c r="BC21" s="21">
        <f t="shared" si="29"/>
        <v>25.299999999999983</v>
      </c>
      <c r="BD21" s="21">
        <f t="shared" si="29"/>
        <v>95.699999999999989</v>
      </c>
      <c r="BE21" s="24">
        <f t="shared" si="30"/>
        <v>120.99999999999997</v>
      </c>
      <c r="BF21" s="96">
        <f t="shared" si="8"/>
        <v>46.000000000000028</v>
      </c>
      <c r="BG21" s="82">
        <f t="shared" si="9"/>
        <v>120.99999999999997</v>
      </c>
    </row>
    <row r="22" spans="1:61" ht="15.7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615820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6720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150281</v>
      </c>
      <c r="Y22" s="324">
        <f t="shared" si="34"/>
        <v>0</v>
      </c>
      <c r="Z22" s="5">
        <f t="shared" si="17"/>
        <v>98358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10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46">AS21</f>
        <v>0.9</v>
      </c>
      <c r="AT22" s="201">
        <v>158</v>
      </c>
      <c r="AU22" s="425">
        <f t="shared" si="35"/>
        <v>1.1000000000000001</v>
      </c>
      <c r="AV22" s="201">
        <v>165</v>
      </c>
      <c r="AW22" s="5">
        <v>2.9</v>
      </c>
      <c r="AX22" s="201">
        <v>169</v>
      </c>
      <c r="AY22" s="426">
        <f t="shared" si="7"/>
        <v>142.20000000000002</v>
      </c>
      <c r="AZ22" s="426">
        <f t="shared" si="26"/>
        <v>181.50000000000003</v>
      </c>
      <c r="BA22" s="426">
        <f t="shared" si="27"/>
        <v>490.09999999999997</v>
      </c>
      <c r="BB22" s="21">
        <f>AY22-AY21</f>
        <v>0</v>
      </c>
      <c r="BC22" s="21">
        <f t="shared" si="28"/>
        <v>-4.3999999999999773</v>
      </c>
      <c r="BD22" s="21">
        <f t="shared" si="28"/>
        <v>-5.8000000000000114</v>
      </c>
      <c r="BE22" s="24">
        <f t="shared" si="30"/>
        <v>-10.199999999999989</v>
      </c>
      <c r="BF22" s="96">
        <f t="shared" si="8"/>
        <v>10.199999999999989</v>
      </c>
      <c r="BG22" s="82">
        <f t="shared" si="9"/>
        <v>-10.199999999999989</v>
      </c>
    </row>
    <row r="23" spans="1:61" ht="15.7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615820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6720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150281</v>
      </c>
      <c r="Y23" s="324">
        <f t="shared" si="34"/>
        <v>0</v>
      </c>
      <c r="Z23" s="5">
        <f t="shared" si="17"/>
        <v>98358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46"/>
        <v>0.9</v>
      </c>
      <c r="AT23" s="201">
        <f t="shared" si="46"/>
        <v>158</v>
      </c>
      <c r="AU23" s="425">
        <f t="shared" si="35"/>
        <v>1.1000000000000001</v>
      </c>
      <c r="AV23" s="201">
        <f t="shared" si="35"/>
        <v>165</v>
      </c>
      <c r="AW23" s="5">
        <v>2.9</v>
      </c>
      <c r="AX23" s="201">
        <f t="shared" ref="AX23" si="47">AX22</f>
        <v>169</v>
      </c>
      <c r="AY23" s="426">
        <f t="shared" si="7"/>
        <v>142.20000000000002</v>
      </c>
      <c r="AZ23" s="426">
        <f t="shared" si="26"/>
        <v>181.50000000000003</v>
      </c>
      <c r="BA23" s="426">
        <f t="shared" si="27"/>
        <v>490.09999999999997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615820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-7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f t="shared" si="17"/>
        <v>5165</v>
      </c>
      <c r="U24" s="5">
        <f t="shared" si="4"/>
        <v>0</v>
      </c>
      <c r="V24" s="5">
        <f t="shared" si="17"/>
        <v>461</v>
      </c>
      <c r="W24" s="324">
        <f t="shared" si="18"/>
        <v>0</v>
      </c>
      <c r="X24" s="5">
        <f t="shared" si="17"/>
        <v>150281</v>
      </c>
      <c r="Y24" s="324">
        <f t="shared" si="34"/>
        <v>0</v>
      </c>
      <c r="Z24" s="5">
        <f t="shared" si="17"/>
        <v>98358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7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46"/>
        <v>0.9</v>
      </c>
      <c r="AT24" s="201">
        <f t="shared" si="46"/>
        <v>158</v>
      </c>
      <c r="AU24" s="425">
        <f t="shared" si="35"/>
        <v>1.1000000000000001</v>
      </c>
      <c r="AV24" s="201">
        <f t="shared" si="35"/>
        <v>165</v>
      </c>
      <c r="AW24" s="5">
        <v>2.9</v>
      </c>
      <c r="AX24" s="201">
        <f t="shared" ref="AX24" si="48">AX23</f>
        <v>169</v>
      </c>
      <c r="AY24" s="426">
        <f t="shared" si="7"/>
        <v>142.20000000000002</v>
      </c>
      <c r="AZ24" s="426">
        <f t="shared" si="26"/>
        <v>181.50000000000003</v>
      </c>
      <c r="BA24" s="426">
        <f t="shared" si="27"/>
        <v>490.09999999999997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615820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6720</v>
      </c>
      <c r="L25" s="274">
        <f t="shared" si="33"/>
        <v>7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f t="shared" si="17"/>
        <v>5165</v>
      </c>
      <c r="U25" s="5">
        <f t="shared" si="4"/>
        <v>0</v>
      </c>
      <c r="V25" s="5">
        <f t="shared" si="17"/>
        <v>461</v>
      </c>
      <c r="W25" s="324">
        <f t="shared" si="18"/>
        <v>0</v>
      </c>
      <c r="X25" s="5">
        <f t="shared" si="17"/>
        <v>150281</v>
      </c>
      <c r="Y25" s="324">
        <f t="shared" si="34"/>
        <v>0</v>
      </c>
      <c r="Z25" s="5">
        <f t="shared" si="17"/>
        <v>98358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-7</v>
      </c>
      <c r="AL25" s="327">
        <f t="shared" si="24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46"/>
        <v>0.9</v>
      </c>
      <c r="AT25" s="201">
        <f t="shared" si="46"/>
        <v>158</v>
      </c>
      <c r="AU25" s="425">
        <f t="shared" si="35"/>
        <v>1.1000000000000001</v>
      </c>
      <c r="AV25" s="201">
        <f t="shared" si="35"/>
        <v>165</v>
      </c>
      <c r="AW25" s="5">
        <v>2.9</v>
      </c>
      <c r="AX25" s="201">
        <f t="shared" ref="AX25" si="49">AX24</f>
        <v>169</v>
      </c>
      <c r="AY25" s="426">
        <f t="shared" si="7"/>
        <v>142.20000000000002</v>
      </c>
      <c r="AZ25" s="426">
        <f t="shared" si="26"/>
        <v>181.50000000000003</v>
      </c>
      <c r="BA25" s="426">
        <f t="shared" si="27"/>
        <v>490.09999999999997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615820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6720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5165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150281</v>
      </c>
      <c r="Y26" s="324">
        <f t="shared" si="34"/>
        <v>0</v>
      </c>
      <c r="Z26" s="5">
        <f t="shared" si="17"/>
        <v>98358</v>
      </c>
      <c r="AA26" s="83">
        <f t="shared" si="19"/>
        <v>0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46"/>
        <v>0.9</v>
      </c>
      <c r="AT26" s="201">
        <f t="shared" si="46"/>
        <v>158</v>
      </c>
      <c r="AU26" s="425">
        <f t="shared" si="35"/>
        <v>1.1000000000000001</v>
      </c>
      <c r="AV26" s="201">
        <f t="shared" si="35"/>
        <v>165</v>
      </c>
      <c r="AW26" s="5">
        <v>2.9</v>
      </c>
      <c r="AX26" s="201">
        <f t="shared" ref="AX26" si="50">AX25</f>
        <v>169</v>
      </c>
      <c r="AY26" s="426">
        <f t="shared" si="7"/>
        <v>142.20000000000002</v>
      </c>
      <c r="AZ26" s="426">
        <f t="shared" si="26"/>
        <v>181.50000000000003</v>
      </c>
      <c r="BA26" s="426">
        <f t="shared" si="27"/>
        <v>490.09999999999997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f t="shared" si="13"/>
        <v>615820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6720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5165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150281</v>
      </c>
      <c r="Y27" s="324">
        <f>SUM(X27-X26)</f>
        <v>0</v>
      </c>
      <c r="Z27" s="5">
        <f t="shared" si="17"/>
        <v>98358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46"/>
        <v>0.9</v>
      </c>
      <c r="AT27" s="201">
        <f t="shared" si="46"/>
        <v>158</v>
      </c>
      <c r="AU27" s="425">
        <f t="shared" si="35"/>
        <v>1.1000000000000001</v>
      </c>
      <c r="AV27" s="201">
        <f t="shared" si="35"/>
        <v>165</v>
      </c>
      <c r="AW27" s="5">
        <v>2.9</v>
      </c>
      <c r="AX27" s="201">
        <f t="shared" ref="AX27" si="51">AX26</f>
        <v>169</v>
      </c>
      <c r="AY27" s="426">
        <f t="shared" si="7"/>
        <v>142.20000000000002</v>
      </c>
      <c r="AZ27" s="426">
        <f t="shared" si="26"/>
        <v>181.50000000000003</v>
      </c>
      <c r="BA27" s="426">
        <f t="shared" si="27"/>
        <v>490.09999999999997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615820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6720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5165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150281</v>
      </c>
      <c r="Y28" s="324">
        <f t="shared" si="34"/>
        <v>0</v>
      </c>
      <c r="Z28" s="5">
        <f t="shared" si="17"/>
        <v>98358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46"/>
        <v>0.9</v>
      </c>
      <c r="AT28" s="201">
        <f t="shared" si="46"/>
        <v>158</v>
      </c>
      <c r="AU28" s="425">
        <f t="shared" si="35"/>
        <v>1.1000000000000001</v>
      </c>
      <c r="AV28" s="201">
        <f t="shared" si="35"/>
        <v>165</v>
      </c>
      <c r="AW28" s="5">
        <v>2.9</v>
      </c>
      <c r="AX28" s="201">
        <f t="shared" ref="AX28" si="52">AX27</f>
        <v>169</v>
      </c>
      <c r="AY28" s="426">
        <f t="shared" si="7"/>
        <v>142.20000000000002</v>
      </c>
      <c r="AZ28" s="426">
        <f t="shared" si="26"/>
        <v>181.50000000000003</v>
      </c>
      <c r="BA28" s="426">
        <f t="shared" si="27"/>
        <v>490.09999999999997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615820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6720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5165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150281</v>
      </c>
      <c r="Y29" s="324">
        <f t="shared" si="34"/>
        <v>0</v>
      </c>
      <c r="Z29" s="5">
        <f t="shared" si="17"/>
        <v>98358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46"/>
        <v>0.9</v>
      </c>
      <c r="AT29" s="201">
        <f t="shared" si="46"/>
        <v>158</v>
      </c>
      <c r="AU29" s="425">
        <f t="shared" si="35"/>
        <v>1.1000000000000001</v>
      </c>
      <c r="AV29" s="201">
        <f t="shared" si="35"/>
        <v>165</v>
      </c>
      <c r="AW29" s="5">
        <v>2.9</v>
      </c>
      <c r="AX29" s="201">
        <f t="shared" ref="AX29" si="53">AX28</f>
        <v>169</v>
      </c>
      <c r="AY29" s="426">
        <f t="shared" si="7"/>
        <v>142.20000000000002</v>
      </c>
      <c r="AZ29" s="426">
        <f t="shared" si="26"/>
        <v>181.50000000000003</v>
      </c>
      <c r="BA29" s="426">
        <f t="shared" si="27"/>
        <v>490.09999999999997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615820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6720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5165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150281</v>
      </c>
      <c r="Y30" s="324">
        <f t="shared" si="34"/>
        <v>0</v>
      </c>
      <c r="Z30" s="5">
        <f t="shared" si="17"/>
        <v>98358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46"/>
        <v>0.9</v>
      </c>
      <c r="AT30" s="201">
        <f t="shared" si="46"/>
        <v>158</v>
      </c>
      <c r="AU30" s="425">
        <f t="shared" si="35"/>
        <v>1.1000000000000001</v>
      </c>
      <c r="AV30" s="201">
        <f t="shared" si="35"/>
        <v>165</v>
      </c>
      <c r="AW30" s="5">
        <v>2.9</v>
      </c>
      <c r="AX30" s="201">
        <f t="shared" ref="AX30" si="54">AX29</f>
        <v>169</v>
      </c>
      <c r="AY30" s="426">
        <f t="shared" si="7"/>
        <v>142.20000000000002</v>
      </c>
      <c r="AZ30" s="426">
        <f t="shared" si="26"/>
        <v>181.50000000000003</v>
      </c>
      <c r="BA30" s="426">
        <f t="shared" si="27"/>
        <v>490.09999999999997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615820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6720</v>
      </c>
      <c r="L31" s="274">
        <f t="shared" si="33"/>
        <v>0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5165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150281</v>
      </c>
      <c r="Y31" s="324">
        <f t="shared" si="34"/>
        <v>0</v>
      </c>
      <c r="Z31" s="5">
        <f t="shared" si="17"/>
        <v>98358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46"/>
        <v>0.9</v>
      </c>
      <c r="AT31" s="201">
        <f t="shared" si="46"/>
        <v>158</v>
      </c>
      <c r="AU31" s="425">
        <f t="shared" si="35"/>
        <v>1.1000000000000001</v>
      </c>
      <c r="AV31" s="201">
        <f t="shared" si="35"/>
        <v>165</v>
      </c>
      <c r="AW31" s="5">
        <v>2.9</v>
      </c>
      <c r="AX31" s="201">
        <f t="shared" ref="AX31" si="55">AX30</f>
        <v>169</v>
      </c>
      <c r="AY31" s="426">
        <f t="shared" si="7"/>
        <v>142.20000000000002</v>
      </c>
      <c r="AZ31" s="426">
        <f t="shared" si="26"/>
        <v>181.50000000000003</v>
      </c>
      <c r="BA31" s="426">
        <f t="shared" si="27"/>
        <v>490.09999999999997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615820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6720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5165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150281</v>
      </c>
      <c r="Y32" s="324">
        <f t="shared" si="34"/>
        <v>0</v>
      </c>
      <c r="Z32" s="5">
        <f t="shared" si="17"/>
        <v>98358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46"/>
        <v>0.9</v>
      </c>
      <c r="AT32" s="201">
        <f t="shared" si="46"/>
        <v>158</v>
      </c>
      <c r="AU32" s="425">
        <f t="shared" si="35"/>
        <v>1.1000000000000001</v>
      </c>
      <c r="AV32" s="201">
        <f t="shared" si="35"/>
        <v>165</v>
      </c>
      <c r="AW32" s="5">
        <v>2.9</v>
      </c>
      <c r="AX32" s="201">
        <f t="shared" ref="AX32" si="56">AX31</f>
        <v>169</v>
      </c>
      <c r="AY32" s="426">
        <f t="shared" si="7"/>
        <v>142.20000000000002</v>
      </c>
      <c r="AZ32" s="426">
        <f t="shared" si="26"/>
        <v>181.50000000000003</v>
      </c>
      <c r="BA32" s="426">
        <f t="shared" si="27"/>
        <v>490.09999999999997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615820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6720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5165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150281</v>
      </c>
      <c r="Y33" s="324">
        <f t="shared" si="34"/>
        <v>0</v>
      </c>
      <c r="Z33" s="5">
        <f t="shared" si="17"/>
        <v>98358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46"/>
        <v>0.9</v>
      </c>
      <c r="AT33" s="201">
        <f t="shared" si="46"/>
        <v>158</v>
      </c>
      <c r="AU33" s="425">
        <f t="shared" si="35"/>
        <v>1.1000000000000001</v>
      </c>
      <c r="AV33" s="201">
        <f t="shared" si="35"/>
        <v>165</v>
      </c>
      <c r="AW33" s="5">
        <v>2.9</v>
      </c>
      <c r="AX33" s="201">
        <f t="shared" ref="AX33" si="57">AX32</f>
        <v>169</v>
      </c>
      <c r="AY33" s="426">
        <f t="shared" si="7"/>
        <v>142.20000000000002</v>
      </c>
      <c r="AZ33" s="426">
        <f t="shared" si="26"/>
        <v>181.50000000000003</v>
      </c>
      <c r="BA33" s="426">
        <f t="shared" si="27"/>
        <v>490.09999999999997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446</v>
      </c>
      <c r="I34" s="412">
        <f>SUM(I6:I33)</f>
        <v>446</v>
      </c>
      <c r="L34" s="268">
        <f>SUM(L7:L33)</f>
        <v>4</v>
      </c>
      <c r="Q34" s="495">
        <f>SUM(Q5:Q33)</f>
        <v>0</v>
      </c>
      <c r="U34" s="409">
        <f>SUM(U6:U33)</f>
        <v>1</v>
      </c>
      <c r="X34" s="323"/>
      <c r="Y34" s="322" t="e">
        <f>SUM(#REF!,Y33,Y31,Y29,Y27,Y25,Y23,Y21,Y19,Y17,Y15,Y13,Y11,Y9,Y7,#REF!)</f>
        <v>#REF!</v>
      </c>
      <c r="AJ34" s="322">
        <f>SUM(AJ6:AJ33)</f>
        <v>96</v>
      </c>
      <c r="AK34" s="327" t="e">
        <f>SUM(Y34-L34)</f>
        <v>#REF!</v>
      </c>
      <c r="AL34" s="322">
        <f>SUM(AL6:AL33)</f>
        <v>95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446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446</v>
      </c>
      <c r="H36" s="1">
        <f>SUM(H35+C35)</f>
        <v>7500</v>
      </c>
      <c r="K36" s="1">
        <f>SUM(H36/G36)</f>
        <v>16.816143497757846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7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tabSelected="1" zoomScaleNormal="100" workbookViewId="0">
      <pane ySplit="4" topLeftCell="A5" activePane="bottomLeft" state="frozen"/>
      <selection pane="bottomLeft" activeCell="I22" sqref="I22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>
        <v>19</v>
      </c>
      <c r="C18" s="37">
        <v>14</v>
      </c>
      <c r="D18" s="26">
        <f t="shared" si="3"/>
        <v>16.5</v>
      </c>
      <c r="E18" s="427">
        <v>0.61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>
        <v>18</v>
      </c>
      <c r="C19" s="37">
        <v>13</v>
      </c>
      <c r="D19" s="26">
        <f t="shared" si="3"/>
        <v>15.5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>
        <v>18</v>
      </c>
      <c r="C20" s="37">
        <v>12</v>
      </c>
      <c r="D20" s="26">
        <f t="shared" si="3"/>
        <v>15</v>
      </c>
      <c r="E20" s="340">
        <v>0.73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>
        <v>11</v>
      </c>
      <c r="C21" s="37">
        <v>7</v>
      </c>
      <c r="D21" s="26">
        <f>(C21+B21)/2</f>
        <v>9</v>
      </c>
      <c r="E21" s="340">
        <v>0.82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>
        <v>13</v>
      </c>
      <c r="C22" s="37">
        <v>7</v>
      </c>
      <c r="D22" s="26">
        <f t="shared" si="3"/>
        <v>10</v>
      </c>
      <c r="E22" s="340">
        <v>0.56000000000000005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16.529411764705884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4" zoomScale="90" zoomScaleNormal="90" workbookViewId="0">
      <pane xSplit="1" topLeftCell="AO1" activePane="topRight" state="frozen"/>
      <selection pane="topRight" activeCell="BI21" sqref="BI2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833.6666666660899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219</v>
      </c>
      <c r="AA18" s="203">
        <f t="shared" si="30"/>
        <v>2190</v>
      </c>
      <c r="AB18" s="203">
        <f t="shared" si="31"/>
        <v>219</v>
      </c>
      <c r="AC18" s="203">
        <f t="shared" si="30"/>
        <v>2190</v>
      </c>
      <c r="AD18" s="203">
        <f t="shared" si="32"/>
        <v>219</v>
      </c>
      <c r="AE18" s="203">
        <f t="shared" si="11"/>
        <v>2190</v>
      </c>
      <c r="AF18" s="203">
        <f t="shared" si="33"/>
        <v>219</v>
      </c>
      <c r="AG18" s="203">
        <f t="shared" si="12"/>
        <v>2190</v>
      </c>
      <c r="AH18" s="203">
        <f t="shared" si="34"/>
        <v>219</v>
      </c>
      <c r="AI18" s="203">
        <f t="shared" si="13"/>
        <v>2190</v>
      </c>
      <c r="AJ18" s="203">
        <f t="shared" si="35"/>
        <v>219</v>
      </c>
      <c r="AK18" s="203">
        <f t="shared" si="14"/>
        <v>2190</v>
      </c>
      <c r="AL18" s="203">
        <f t="shared" si="36"/>
        <v>219</v>
      </c>
      <c r="AM18" s="203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3">
        <f t="shared" si="37"/>
        <v>0.70968019513752267</v>
      </c>
      <c r="AR18" s="38">
        <f t="shared" si="41"/>
        <v>65978.967741935485</v>
      </c>
      <c r="AS18" s="197">
        <f t="shared" si="38"/>
        <v>-1533.3870967741823</v>
      </c>
      <c r="AT18" s="271"/>
      <c r="AU18" s="436"/>
      <c r="AV18" s="518">
        <f>IF(AT18&gt;0,AU18,AV17)</f>
        <v>0.67400000000000004</v>
      </c>
      <c r="AW18" s="290">
        <f>-SUM('B5'!AI17)</f>
        <v>-281</v>
      </c>
      <c r="AX18" s="290">
        <f t="shared" si="39"/>
        <v>-1252.3870967741823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16.5</v>
      </c>
      <c r="BB18" s="394">
        <f>SUM('General information '!E18)</f>
        <v>0.61</v>
      </c>
      <c r="BC18" s="3">
        <f t="shared" si="43"/>
        <v>0</v>
      </c>
      <c r="BD18" s="102">
        <v>19222</v>
      </c>
      <c r="BE18" s="14">
        <f>(305/1185)*ELEC!Q16</f>
        <v>940.48101265881223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1"/>
        <v>64278.90322580644</v>
      </c>
      <c r="AS19" s="197">
        <f t="shared" si="38"/>
        <v>-1700.0645161290449</v>
      </c>
      <c r="AT19" s="271"/>
      <c r="AU19" s="436"/>
      <c r="AV19" s="518">
        <f t="shared" si="42"/>
        <v>0.67400000000000004</v>
      </c>
      <c r="AW19" s="290">
        <f>-SUM('B5'!AI18)</f>
        <v>-267</v>
      </c>
      <c r="AX19" s="290">
        <f t="shared" si="39"/>
        <v>-1433.0645161290449</v>
      </c>
      <c r="AY19" s="37">
        <f t="shared" si="40"/>
        <v>-1700.0645161290449</v>
      </c>
      <c r="AZ19" s="100">
        <f>ELEC!A16</f>
        <v>0</v>
      </c>
      <c r="BA19" s="118">
        <f>'General information '!D19</f>
        <v>15.5</v>
      </c>
      <c r="BB19" s="394">
        <f>SUM('General information '!E19)</f>
        <v>0.63</v>
      </c>
      <c r="BC19" s="3">
        <f t="shared" si="43"/>
        <v>0</v>
      </c>
      <c r="BD19" s="102">
        <v>19222</v>
      </c>
      <c r="BE19" s="14">
        <f>(305/1185)*ELEC!Q17</f>
        <v>1024.6455696201933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204</v>
      </c>
      <c r="C20" s="203">
        <f t="shared" si="18"/>
        <v>4389.2903225806449</v>
      </c>
      <c r="D20">
        <f t="shared" si="19"/>
        <v>204</v>
      </c>
      <c r="E20" s="203">
        <f t="shared" si="18"/>
        <v>4389.2903225806449</v>
      </c>
      <c r="F20">
        <f t="shared" si="20"/>
        <v>204</v>
      </c>
      <c r="G20" s="203">
        <f t="shared" si="1"/>
        <v>4389.2903225806449</v>
      </c>
      <c r="H20" s="203">
        <f t="shared" si="21"/>
        <v>204</v>
      </c>
      <c r="I20" s="203">
        <f t="shared" si="2"/>
        <v>4389.2903225806449</v>
      </c>
      <c r="J20" s="203">
        <f t="shared" si="22"/>
        <v>204</v>
      </c>
      <c r="K20" s="203">
        <f t="shared" si="3"/>
        <v>4389.2903225806449</v>
      </c>
      <c r="L20" s="203">
        <f t="shared" si="23"/>
        <v>204</v>
      </c>
      <c r="M20" s="203">
        <f t="shared" si="4"/>
        <v>4389.2903225806449</v>
      </c>
      <c r="N20" s="203">
        <f t="shared" si="24"/>
        <v>204</v>
      </c>
      <c r="O20" s="203">
        <f t="shared" si="5"/>
        <v>4389.2903225806449</v>
      </c>
      <c r="P20" s="203">
        <f t="shared" si="25"/>
        <v>204</v>
      </c>
      <c r="Q20" s="203">
        <f t="shared" si="6"/>
        <v>4389.2903225806449</v>
      </c>
      <c r="R20" s="203">
        <f t="shared" si="26"/>
        <v>204</v>
      </c>
      <c r="S20" s="203">
        <f t="shared" si="7"/>
        <v>4389.2903225806449</v>
      </c>
      <c r="T20" s="203">
        <f t="shared" si="27"/>
        <v>204</v>
      </c>
      <c r="U20" s="203">
        <f t="shared" si="8"/>
        <v>4389.2903225806449</v>
      </c>
      <c r="V20" s="203">
        <f t="shared" si="28"/>
        <v>204</v>
      </c>
      <c r="W20" s="203">
        <f t="shared" si="9"/>
        <v>4389.2903225806449</v>
      </c>
      <c r="X20" s="35">
        <f t="shared" si="10"/>
        <v>0.65806451612903216</v>
      </c>
      <c r="Y20" s="36">
        <f t="shared" si="29"/>
        <v>48282.193548387091</v>
      </c>
      <c r="Z20" s="203">
        <f>'B5'!C19</f>
        <v>210</v>
      </c>
      <c r="AA20" s="203">
        <f t="shared" si="30"/>
        <v>2100</v>
      </c>
      <c r="AB20" s="203">
        <f t="shared" si="31"/>
        <v>210</v>
      </c>
      <c r="AC20" s="203">
        <f t="shared" si="30"/>
        <v>2100</v>
      </c>
      <c r="AD20" s="203">
        <f t="shared" si="32"/>
        <v>210</v>
      </c>
      <c r="AE20" s="203">
        <f t="shared" si="11"/>
        <v>2100</v>
      </c>
      <c r="AF20" s="203">
        <f t="shared" si="33"/>
        <v>210</v>
      </c>
      <c r="AG20" s="203">
        <f t="shared" si="12"/>
        <v>2100</v>
      </c>
      <c r="AH20" s="203">
        <f t="shared" si="34"/>
        <v>210</v>
      </c>
      <c r="AI20" s="203">
        <f t="shared" si="13"/>
        <v>2100</v>
      </c>
      <c r="AJ20" s="203">
        <f t="shared" si="35"/>
        <v>210</v>
      </c>
      <c r="AK20" s="203">
        <f t="shared" si="14"/>
        <v>2100</v>
      </c>
      <c r="AL20" s="203">
        <f t="shared" si="36"/>
        <v>210</v>
      </c>
      <c r="AM20" s="203">
        <f t="shared" si="15"/>
        <v>2100</v>
      </c>
      <c r="AN20" s="35">
        <f t="shared" si="16"/>
        <v>0.75</v>
      </c>
      <c r="AO20" s="36">
        <f t="shared" si="17"/>
        <v>14700</v>
      </c>
      <c r="AQ20" s="223">
        <f t="shared" si="37"/>
        <v>0.67744641871987832</v>
      </c>
      <c r="AR20" s="38">
        <f t="shared" si="41"/>
        <v>62982.193548387091</v>
      </c>
      <c r="AS20" s="197">
        <f t="shared" si="38"/>
        <v>-1296.7096774193487</v>
      </c>
      <c r="AT20" s="271"/>
      <c r="AU20" s="436"/>
      <c r="AV20" s="518">
        <f t="shared" si="42"/>
        <v>0.67400000000000004</v>
      </c>
      <c r="AW20" s="290">
        <f>-SUM('B5'!AI19)</f>
        <v>-217</v>
      </c>
      <c r="AX20" s="290">
        <f t="shared" si="39"/>
        <v>-1079.7096774193487</v>
      </c>
      <c r="AY20" s="37">
        <f t="shared" si="40"/>
        <v>-1296.7096774193487</v>
      </c>
      <c r="AZ20" s="100">
        <f>ELEC!A17</f>
        <v>0</v>
      </c>
      <c r="BA20" s="118">
        <f>'General information '!D20</f>
        <v>15</v>
      </c>
      <c r="BB20" s="394">
        <f>SUM('General information '!E20)</f>
        <v>0.73</v>
      </c>
      <c r="BC20" s="3">
        <f t="shared" si="43"/>
        <v>0</v>
      </c>
      <c r="BD20" s="102">
        <v>19222</v>
      </c>
      <c r="BE20" s="14">
        <f>(305/1185)*ELEC!Q18</f>
        <v>594.04219409305927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470.35483870966709</v>
      </c>
      <c r="AT21" s="271">
        <v>9650</v>
      </c>
      <c r="AU21" s="436">
        <v>0.68899999999999995</v>
      </c>
      <c r="AV21" s="518">
        <f t="shared" si="42"/>
        <v>0.68899999999999995</v>
      </c>
      <c r="AW21" s="290">
        <f>-SUM('B5'!AI20)</f>
        <v>-228</v>
      </c>
      <c r="AX21" s="290">
        <f t="shared" si="39"/>
        <v>698.35483870966709</v>
      </c>
      <c r="AY21" s="37">
        <f t="shared" si="40"/>
        <v>470.35483870966709</v>
      </c>
      <c r="AZ21" s="100">
        <f>ELEC!A18</f>
        <v>0</v>
      </c>
      <c r="BA21" s="118">
        <f>'General information '!D21</f>
        <v>9</v>
      </c>
      <c r="BB21" s="394">
        <f>SUM('General information '!E21)</f>
        <v>0.82</v>
      </c>
      <c r="BC21" s="3">
        <f t="shared" si="43"/>
        <v>1</v>
      </c>
      <c r="BD21" s="102">
        <v>19222</v>
      </c>
      <c r="BE21" s="14">
        <f>(305/1185)*ELEC!Q19</f>
        <v>1196.0632911385214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3">
        <f t="shared" si="37"/>
        <v>0.76396478919665389</v>
      </c>
      <c r="AR22" s="38">
        <f t="shared" si="41"/>
        <v>71025.806451612909</v>
      </c>
      <c r="AS22" s="197">
        <f t="shared" si="38"/>
        <v>-2076.7419354838494</v>
      </c>
      <c r="AT22" s="271"/>
      <c r="AU22" s="436"/>
      <c r="AV22" s="518">
        <f t="shared" si="42"/>
        <v>0.68899999999999995</v>
      </c>
      <c r="AW22" s="290">
        <f>-SUM('B5'!AI21)</f>
        <v>-288</v>
      </c>
      <c r="AX22" s="290">
        <f t="shared" si="39"/>
        <v>-1788.7419354838494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10</v>
      </c>
      <c r="BB22" s="394">
        <f>SUM('General information '!E22)</f>
        <v>0.56000000000000005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230</v>
      </c>
      <c r="C23" s="203">
        <f t="shared" si="18"/>
        <v>4948.7096774193551</v>
      </c>
      <c r="D23">
        <f t="shared" si="19"/>
        <v>230</v>
      </c>
      <c r="E23" s="203">
        <f t="shared" si="18"/>
        <v>4948.7096774193551</v>
      </c>
      <c r="F23">
        <f t="shared" si="20"/>
        <v>230</v>
      </c>
      <c r="G23" s="203">
        <f t="shared" si="1"/>
        <v>4948.7096774193551</v>
      </c>
      <c r="H23" s="203">
        <f t="shared" si="21"/>
        <v>230</v>
      </c>
      <c r="I23" s="203">
        <f t="shared" si="2"/>
        <v>4948.7096774193551</v>
      </c>
      <c r="J23" s="203">
        <f t="shared" si="22"/>
        <v>230</v>
      </c>
      <c r="K23" s="203">
        <f t="shared" si="3"/>
        <v>4948.7096774193551</v>
      </c>
      <c r="L23" s="203">
        <f t="shared" si="23"/>
        <v>230</v>
      </c>
      <c r="M23" s="203">
        <f t="shared" si="4"/>
        <v>4948.7096774193551</v>
      </c>
      <c r="N23" s="203">
        <f t="shared" si="24"/>
        <v>230</v>
      </c>
      <c r="O23" s="203">
        <f t="shared" si="5"/>
        <v>4948.7096774193551</v>
      </c>
      <c r="P23" s="203">
        <f t="shared" si="25"/>
        <v>230</v>
      </c>
      <c r="Q23" s="203">
        <f t="shared" si="6"/>
        <v>4948.7096774193551</v>
      </c>
      <c r="R23" s="203">
        <f t="shared" si="26"/>
        <v>230</v>
      </c>
      <c r="S23" s="203">
        <f t="shared" si="7"/>
        <v>4948.7096774193551</v>
      </c>
      <c r="T23" s="203">
        <f t="shared" si="27"/>
        <v>230</v>
      </c>
      <c r="U23" s="203">
        <f t="shared" si="8"/>
        <v>4948.7096774193551</v>
      </c>
      <c r="V23" s="203">
        <f t="shared" si="28"/>
        <v>230</v>
      </c>
      <c r="W23" s="203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3">
        <f>'B5'!C22</f>
        <v>237</v>
      </c>
      <c r="AA23" s="203">
        <f t="shared" si="30"/>
        <v>2370</v>
      </c>
      <c r="AB23" s="203">
        <f t="shared" si="31"/>
        <v>237</v>
      </c>
      <c r="AC23" s="203">
        <f t="shared" si="30"/>
        <v>2370</v>
      </c>
      <c r="AD23" s="203">
        <f t="shared" si="32"/>
        <v>237</v>
      </c>
      <c r="AE23" s="203">
        <f t="shared" si="11"/>
        <v>2370</v>
      </c>
      <c r="AF23" s="203">
        <f t="shared" si="33"/>
        <v>237</v>
      </c>
      <c r="AG23" s="203">
        <f t="shared" si="12"/>
        <v>2370</v>
      </c>
      <c r="AH23" s="203">
        <f t="shared" si="34"/>
        <v>237</v>
      </c>
      <c r="AI23" s="203">
        <f t="shared" si="13"/>
        <v>2370</v>
      </c>
      <c r="AJ23" s="203">
        <f t="shared" si="35"/>
        <v>237</v>
      </c>
      <c r="AK23" s="203">
        <f t="shared" si="14"/>
        <v>2370</v>
      </c>
      <c r="AL23" s="203">
        <f t="shared" si="36"/>
        <v>237</v>
      </c>
      <c r="AM23" s="203">
        <f t="shared" si="15"/>
        <v>2370</v>
      </c>
      <c r="AN23" s="35">
        <f t="shared" si="16"/>
        <v>0.84642857142857142</v>
      </c>
      <c r="AO23" s="36">
        <f t="shared" si="17"/>
        <v>16590</v>
      </c>
      <c r="AQ23" s="223">
        <f t="shared" si="37"/>
        <v>0.76396478919665389</v>
      </c>
      <c r="AR23" s="38">
        <f t="shared" si="41"/>
        <v>71025.806451612909</v>
      </c>
      <c r="AS23" s="197">
        <f t="shared" si="38"/>
        <v>0</v>
      </c>
      <c r="AT23" s="271"/>
      <c r="AU23" s="436"/>
      <c r="AV23" s="518">
        <f t="shared" si="42"/>
        <v>0.68899999999999995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230</v>
      </c>
      <c r="C24" s="203">
        <f t="shared" si="18"/>
        <v>4948.7096774193551</v>
      </c>
      <c r="D24">
        <f t="shared" si="19"/>
        <v>230</v>
      </c>
      <c r="E24" s="203">
        <f t="shared" si="18"/>
        <v>4948.7096774193551</v>
      </c>
      <c r="F24">
        <f t="shared" si="20"/>
        <v>230</v>
      </c>
      <c r="G24" s="203">
        <f t="shared" si="1"/>
        <v>4948.7096774193551</v>
      </c>
      <c r="H24" s="203">
        <f t="shared" si="21"/>
        <v>230</v>
      </c>
      <c r="I24" s="203">
        <f t="shared" si="2"/>
        <v>4948.7096774193551</v>
      </c>
      <c r="J24" s="203">
        <f t="shared" si="22"/>
        <v>230</v>
      </c>
      <c r="K24" s="203">
        <f t="shared" si="3"/>
        <v>4948.7096774193551</v>
      </c>
      <c r="L24" s="203">
        <f t="shared" si="23"/>
        <v>230</v>
      </c>
      <c r="M24" s="203">
        <f t="shared" si="4"/>
        <v>4948.7096774193551</v>
      </c>
      <c r="N24" s="203">
        <f t="shared" si="24"/>
        <v>230</v>
      </c>
      <c r="O24" s="203">
        <f t="shared" si="5"/>
        <v>4948.7096774193551</v>
      </c>
      <c r="P24" s="203">
        <f t="shared" si="25"/>
        <v>230</v>
      </c>
      <c r="Q24" s="203">
        <f t="shared" si="6"/>
        <v>4948.7096774193551</v>
      </c>
      <c r="R24" s="203">
        <f t="shared" si="26"/>
        <v>230</v>
      </c>
      <c r="S24" s="203">
        <f t="shared" si="7"/>
        <v>4948.7096774193551</v>
      </c>
      <c r="T24" s="203">
        <f t="shared" si="27"/>
        <v>230</v>
      </c>
      <c r="U24" s="203">
        <f t="shared" si="8"/>
        <v>4948.7096774193551</v>
      </c>
      <c r="V24" s="203">
        <f t="shared" si="28"/>
        <v>230</v>
      </c>
      <c r="W24" s="203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17"/>
        <v>16590</v>
      </c>
      <c r="AQ24" s="223">
        <f t="shared" si="37"/>
        <v>0.76396478919665389</v>
      </c>
      <c r="AR24" s="38">
        <f t="shared" si="41"/>
        <v>71025.806451612909</v>
      </c>
      <c r="AS24" s="197">
        <f t="shared" si="38"/>
        <v>0</v>
      </c>
      <c r="AT24" s="271"/>
      <c r="AU24" s="436"/>
      <c r="AV24" s="518">
        <f t="shared" si="42"/>
        <v>0.68899999999999995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230</v>
      </c>
      <c r="C25" s="203">
        <f t="shared" si="18"/>
        <v>4948.7096774193551</v>
      </c>
      <c r="D25">
        <f t="shared" si="19"/>
        <v>230</v>
      </c>
      <c r="E25" s="203">
        <f t="shared" si="18"/>
        <v>4948.7096774193551</v>
      </c>
      <c r="F25">
        <f t="shared" si="20"/>
        <v>230</v>
      </c>
      <c r="G25" s="203">
        <f t="shared" si="1"/>
        <v>4948.7096774193551</v>
      </c>
      <c r="H25" s="203">
        <f t="shared" si="21"/>
        <v>230</v>
      </c>
      <c r="I25" s="203">
        <f t="shared" si="2"/>
        <v>4948.7096774193551</v>
      </c>
      <c r="J25" s="203">
        <f t="shared" si="22"/>
        <v>230</v>
      </c>
      <c r="K25" s="203">
        <f t="shared" si="3"/>
        <v>4948.7096774193551</v>
      </c>
      <c r="L25" s="203">
        <f t="shared" si="23"/>
        <v>230</v>
      </c>
      <c r="M25" s="203">
        <f t="shared" si="4"/>
        <v>4948.7096774193551</v>
      </c>
      <c r="N25" s="203">
        <f t="shared" si="24"/>
        <v>230</v>
      </c>
      <c r="O25" s="203">
        <f t="shared" si="5"/>
        <v>4948.7096774193551</v>
      </c>
      <c r="P25" s="203">
        <f t="shared" si="25"/>
        <v>230</v>
      </c>
      <c r="Q25" s="203">
        <f t="shared" si="6"/>
        <v>4948.7096774193551</v>
      </c>
      <c r="R25" s="203">
        <f t="shared" si="26"/>
        <v>230</v>
      </c>
      <c r="S25" s="203">
        <f t="shared" si="7"/>
        <v>4948.7096774193551</v>
      </c>
      <c r="T25" s="203">
        <f t="shared" si="27"/>
        <v>230</v>
      </c>
      <c r="U25" s="203">
        <f t="shared" si="8"/>
        <v>4948.7096774193551</v>
      </c>
      <c r="V25" s="203">
        <f t="shared" si="28"/>
        <v>230</v>
      </c>
      <c r="W25" s="203">
        <f t="shared" si="9"/>
        <v>4948.7096774193551</v>
      </c>
      <c r="X25" s="35">
        <f t="shared" si="10"/>
        <v>0.74193548387096786</v>
      </c>
      <c r="Y25" s="36">
        <f t="shared" si="29"/>
        <v>54435.806451612909</v>
      </c>
      <c r="Z25" s="203">
        <f>'B5'!C24</f>
        <v>237</v>
      </c>
      <c r="AA25" s="203">
        <f t="shared" si="30"/>
        <v>2370</v>
      </c>
      <c r="AB25" s="203">
        <f t="shared" si="31"/>
        <v>237</v>
      </c>
      <c r="AC25" s="203">
        <f t="shared" si="30"/>
        <v>2370</v>
      </c>
      <c r="AD25" s="203">
        <f t="shared" si="32"/>
        <v>237</v>
      </c>
      <c r="AE25" s="203">
        <f t="shared" si="11"/>
        <v>2370</v>
      </c>
      <c r="AF25" s="203">
        <f t="shared" si="33"/>
        <v>237</v>
      </c>
      <c r="AG25" s="203">
        <f t="shared" si="12"/>
        <v>2370</v>
      </c>
      <c r="AH25" s="203">
        <f t="shared" si="34"/>
        <v>237</v>
      </c>
      <c r="AI25" s="203">
        <f t="shared" si="13"/>
        <v>2370</v>
      </c>
      <c r="AJ25" s="203">
        <f t="shared" si="35"/>
        <v>237</v>
      </c>
      <c r="AK25" s="203">
        <f t="shared" si="14"/>
        <v>2370</v>
      </c>
      <c r="AL25" s="203">
        <f t="shared" si="36"/>
        <v>237</v>
      </c>
      <c r="AM25" s="203">
        <f t="shared" si="15"/>
        <v>2370</v>
      </c>
      <c r="AN25" s="35">
        <f t="shared" si="16"/>
        <v>0.84642857142857142</v>
      </c>
      <c r="AO25" s="36">
        <f t="shared" si="17"/>
        <v>16590</v>
      </c>
      <c r="AQ25" s="223">
        <f t="shared" si="37"/>
        <v>0.76396478919665389</v>
      </c>
      <c r="AR25" s="38">
        <f t="shared" si="41"/>
        <v>71025.806451612909</v>
      </c>
      <c r="AS25" s="197">
        <f t="shared" si="38"/>
        <v>0</v>
      </c>
      <c r="AT25" s="271"/>
      <c r="AU25" s="436"/>
      <c r="AV25" s="518">
        <f t="shared" si="42"/>
        <v>0.68899999999999995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230</v>
      </c>
      <c r="C26" s="203">
        <f t="shared" si="18"/>
        <v>4948.7096774193551</v>
      </c>
      <c r="D26">
        <f t="shared" si="19"/>
        <v>230</v>
      </c>
      <c r="E26" s="203">
        <f t="shared" si="18"/>
        <v>4948.7096774193551</v>
      </c>
      <c r="F26">
        <f t="shared" si="20"/>
        <v>230</v>
      </c>
      <c r="G26" s="203">
        <f t="shared" si="1"/>
        <v>4948.7096774193551</v>
      </c>
      <c r="H26" s="203">
        <f t="shared" si="21"/>
        <v>230</v>
      </c>
      <c r="I26" s="203">
        <f t="shared" si="2"/>
        <v>4948.7096774193551</v>
      </c>
      <c r="J26" s="203">
        <f t="shared" si="22"/>
        <v>230</v>
      </c>
      <c r="K26" s="203">
        <f t="shared" si="3"/>
        <v>4948.7096774193551</v>
      </c>
      <c r="L26" s="203">
        <f t="shared" si="23"/>
        <v>230</v>
      </c>
      <c r="M26" s="203">
        <f t="shared" si="4"/>
        <v>4948.7096774193551</v>
      </c>
      <c r="N26" s="203">
        <f t="shared" si="24"/>
        <v>230</v>
      </c>
      <c r="O26" s="203">
        <f t="shared" si="5"/>
        <v>4948.7096774193551</v>
      </c>
      <c r="P26" s="203">
        <f t="shared" si="25"/>
        <v>230</v>
      </c>
      <c r="Q26" s="203">
        <f t="shared" si="6"/>
        <v>4948.7096774193551</v>
      </c>
      <c r="R26" s="203">
        <f t="shared" si="26"/>
        <v>230</v>
      </c>
      <c r="S26" s="203">
        <f t="shared" si="7"/>
        <v>4948.7096774193551</v>
      </c>
      <c r="T26" s="203">
        <f t="shared" si="27"/>
        <v>230</v>
      </c>
      <c r="U26" s="203">
        <f t="shared" si="8"/>
        <v>4948.7096774193551</v>
      </c>
      <c r="V26" s="203">
        <f t="shared" si="28"/>
        <v>230</v>
      </c>
      <c r="W26" s="203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3">
        <f>'B5'!C25</f>
        <v>237</v>
      </c>
      <c r="AA26" s="203">
        <f t="shared" si="30"/>
        <v>2370</v>
      </c>
      <c r="AB26" s="203">
        <f t="shared" si="31"/>
        <v>237</v>
      </c>
      <c r="AC26" s="203">
        <f t="shared" si="30"/>
        <v>2370</v>
      </c>
      <c r="AD26" s="203">
        <f t="shared" si="32"/>
        <v>237</v>
      </c>
      <c r="AE26" s="203">
        <f t="shared" si="11"/>
        <v>2370</v>
      </c>
      <c r="AF26" s="203">
        <f t="shared" si="33"/>
        <v>237</v>
      </c>
      <c r="AG26" s="203">
        <f t="shared" si="12"/>
        <v>2370</v>
      </c>
      <c r="AH26" s="203">
        <f t="shared" si="34"/>
        <v>237</v>
      </c>
      <c r="AI26" s="203">
        <f t="shared" si="13"/>
        <v>2370</v>
      </c>
      <c r="AJ26" s="203">
        <f t="shared" si="35"/>
        <v>237</v>
      </c>
      <c r="AK26" s="203">
        <f t="shared" si="14"/>
        <v>2370</v>
      </c>
      <c r="AL26" s="203">
        <f t="shared" si="36"/>
        <v>237</v>
      </c>
      <c r="AM26" s="203">
        <f t="shared" si="15"/>
        <v>2370</v>
      </c>
      <c r="AN26" s="35">
        <f t="shared" si="16"/>
        <v>0.84642857142857142</v>
      </c>
      <c r="AO26" s="36">
        <f t="shared" si="17"/>
        <v>16590</v>
      </c>
      <c r="AQ26" s="223">
        <f t="shared" si="37"/>
        <v>0.76396478919665389</v>
      </c>
      <c r="AR26" s="38">
        <f t="shared" si="41"/>
        <v>71025.806451612909</v>
      </c>
      <c r="AS26" s="197">
        <f t="shared" si="38"/>
        <v>0</v>
      </c>
      <c r="AT26" s="271"/>
      <c r="AU26" s="491"/>
      <c r="AV26" s="518">
        <f t="shared" si="42"/>
        <v>0.68899999999999995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230</v>
      </c>
      <c r="C27" s="203">
        <f t="shared" si="18"/>
        <v>4948.7096774193551</v>
      </c>
      <c r="D27">
        <f t="shared" si="19"/>
        <v>230</v>
      </c>
      <c r="E27" s="203">
        <f t="shared" si="18"/>
        <v>4948.7096774193551</v>
      </c>
      <c r="F27">
        <f t="shared" si="20"/>
        <v>230</v>
      </c>
      <c r="G27" s="203">
        <f t="shared" si="1"/>
        <v>4948.7096774193551</v>
      </c>
      <c r="H27" s="203">
        <f t="shared" si="21"/>
        <v>230</v>
      </c>
      <c r="I27" s="203">
        <f t="shared" si="2"/>
        <v>4948.7096774193551</v>
      </c>
      <c r="J27" s="203">
        <f t="shared" si="22"/>
        <v>230</v>
      </c>
      <c r="K27" s="203">
        <f t="shared" si="3"/>
        <v>4948.7096774193551</v>
      </c>
      <c r="L27" s="203">
        <f t="shared" si="23"/>
        <v>230</v>
      </c>
      <c r="M27" s="203">
        <f t="shared" si="4"/>
        <v>4948.7096774193551</v>
      </c>
      <c r="N27" s="203">
        <f t="shared" si="24"/>
        <v>230</v>
      </c>
      <c r="O27" s="203">
        <f t="shared" si="5"/>
        <v>4948.7096774193551</v>
      </c>
      <c r="P27" s="203">
        <f t="shared" si="25"/>
        <v>230</v>
      </c>
      <c r="Q27" s="203">
        <f t="shared" si="6"/>
        <v>4948.7096774193551</v>
      </c>
      <c r="R27" s="203">
        <f t="shared" si="26"/>
        <v>230</v>
      </c>
      <c r="S27" s="203">
        <f t="shared" si="7"/>
        <v>4948.7096774193551</v>
      </c>
      <c r="T27" s="203">
        <f t="shared" si="27"/>
        <v>230</v>
      </c>
      <c r="U27" s="203">
        <f t="shared" si="8"/>
        <v>4948.7096774193551</v>
      </c>
      <c r="V27" s="203">
        <f t="shared" si="28"/>
        <v>230</v>
      </c>
      <c r="W27" s="203">
        <f t="shared" si="9"/>
        <v>4948.7096774193551</v>
      </c>
      <c r="X27" s="35">
        <f t="shared" si="10"/>
        <v>0.74193548387096786</v>
      </c>
      <c r="Y27" s="36">
        <f t="shared" si="29"/>
        <v>54435.806451612909</v>
      </c>
      <c r="Z27" s="203">
        <f>'B5'!C26</f>
        <v>237</v>
      </c>
      <c r="AA27" s="203">
        <f t="shared" si="30"/>
        <v>2370</v>
      </c>
      <c r="AB27" s="203">
        <f t="shared" si="31"/>
        <v>237</v>
      </c>
      <c r="AC27" s="203">
        <f t="shared" si="30"/>
        <v>2370</v>
      </c>
      <c r="AD27" s="203">
        <f t="shared" si="32"/>
        <v>237</v>
      </c>
      <c r="AE27" s="203">
        <f t="shared" si="11"/>
        <v>2370</v>
      </c>
      <c r="AF27" s="203">
        <f t="shared" si="33"/>
        <v>237</v>
      </c>
      <c r="AG27" s="203">
        <f t="shared" si="12"/>
        <v>2370</v>
      </c>
      <c r="AH27" s="203">
        <f t="shared" si="34"/>
        <v>237</v>
      </c>
      <c r="AI27" s="203">
        <f t="shared" si="13"/>
        <v>2370</v>
      </c>
      <c r="AJ27" s="203">
        <f t="shared" si="35"/>
        <v>237</v>
      </c>
      <c r="AK27" s="203">
        <f t="shared" si="14"/>
        <v>2370</v>
      </c>
      <c r="AL27" s="203">
        <f t="shared" si="36"/>
        <v>237</v>
      </c>
      <c r="AM27" s="203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3">
        <f t="shared" si="37"/>
        <v>0.76396478919665389</v>
      </c>
      <c r="AR27" s="38">
        <f t="shared" si="41"/>
        <v>71025.806451612909</v>
      </c>
      <c r="AS27" s="197">
        <f t="shared" si="38"/>
        <v>0</v>
      </c>
      <c r="AT27" s="271"/>
      <c r="AU27" s="436"/>
      <c r="AV27" s="518">
        <f t="shared" si="42"/>
        <v>0.68899999999999995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230</v>
      </c>
      <c r="C28" s="203">
        <f t="shared" si="18"/>
        <v>4948.7096774193551</v>
      </c>
      <c r="D28">
        <f t="shared" si="19"/>
        <v>230</v>
      </c>
      <c r="E28" s="203">
        <f t="shared" si="18"/>
        <v>4948.7096774193551</v>
      </c>
      <c r="F28">
        <f t="shared" si="20"/>
        <v>230</v>
      </c>
      <c r="G28" s="203">
        <f t="shared" si="1"/>
        <v>4948.7096774193551</v>
      </c>
      <c r="H28" s="203">
        <f t="shared" si="21"/>
        <v>230</v>
      </c>
      <c r="I28" s="203">
        <f t="shared" si="2"/>
        <v>4948.7096774193551</v>
      </c>
      <c r="J28" s="203">
        <f t="shared" si="22"/>
        <v>230</v>
      </c>
      <c r="K28" s="203">
        <f t="shared" si="3"/>
        <v>4948.7096774193551</v>
      </c>
      <c r="L28" s="203">
        <f t="shared" si="23"/>
        <v>230</v>
      </c>
      <c r="M28" s="203">
        <f t="shared" si="4"/>
        <v>4948.7096774193551</v>
      </c>
      <c r="N28" s="203">
        <f t="shared" si="24"/>
        <v>230</v>
      </c>
      <c r="O28" s="203">
        <f t="shared" si="5"/>
        <v>4948.7096774193551</v>
      </c>
      <c r="P28" s="203">
        <f t="shared" si="25"/>
        <v>230</v>
      </c>
      <c r="Q28" s="203">
        <f t="shared" si="6"/>
        <v>4948.7096774193551</v>
      </c>
      <c r="R28" s="203">
        <f t="shared" si="26"/>
        <v>230</v>
      </c>
      <c r="S28" s="203">
        <f t="shared" si="7"/>
        <v>4948.7096774193551</v>
      </c>
      <c r="T28" s="203">
        <f t="shared" si="27"/>
        <v>230</v>
      </c>
      <c r="U28" s="203">
        <f t="shared" si="8"/>
        <v>4948.7096774193551</v>
      </c>
      <c r="V28" s="203">
        <f t="shared" si="28"/>
        <v>230</v>
      </c>
      <c r="W28" s="203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3">
        <f>'B5'!C27</f>
        <v>237</v>
      </c>
      <c r="AA28" s="203">
        <f t="shared" si="30"/>
        <v>2370</v>
      </c>
      <c r="AB28" s="203">
        <f t="shared" si="31"/>
        <v>237</v>
      </c>
      <c r="AC28" s="203">
        <f t="shared" si="30"/>
        <v>2370</v>
      </c>
      <c r="AD28" s="203">
        <f t="shared" si="32"/>
        <v>237</v>
      </c>
      <c r="AE28" s="203">
        <f t="shared" si="11"/>
        <v>2370</v>
      </c>
      <c r="AF28" s="203">
        <f t="shared" si="33"/>
        <v>237</v>
      </c>
      <c r="AG28" s="203">
        <f t="shared" si="12"/>
        <v>2370</v>
      </c>
      <c r="AH28" s="203">
        <f t="shared" si="34"/>
        <v>237</v>
      </c>
      <c r="AI28" s="203">
        <f t="shared" si="13"/>
        <v>2370</v>
      </c>
      <c r="AJ28" s="203">
        <f t="shared" si="35"/>
        <v>237</v>
      </c>
      <c r="AK28" s="203">
        <f t="shared" si="14"/>
        <v>2370</v>
      </c>
      <c r="AL28" s="203">
        <f t="shared" si="36"/>
        <v>237</v>
      </c>
      <c r="AM28" s="203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3">
        <f t="shared" si="37"/>
        <v>0.76396478919665389</v>
      </c>
      <c r="AR28" s="38">
        <f t="shared" si="41"/>
        <v>71025.806451612909</v>
      </c>
      <c r="AS28" s="197">
        <f t="shared" si="38"/>
        <v>0</v>
      </c>
      <c r="AT28" s="355"/>
      <c r="AU28" s="436"/>
      <c r="AV28" s="518">
        <f t="shared" si="42"/>
        <v>0.68899999999999995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230</v>
      </c>
      <c r="C29" s="203">
        <f t="shared" si="18"/>
        <v>4948.7096774193551</v>
      </c>
      <c r="D29">
        <f t="shared" si="19"/>
        <v>230</v>
      </c>
      <c r="E29" s="203">
        <f t="shared" si="18"/>
        <v>4948.7096774193551</v>
      </c>
      <c r="F29">
        <f t="shared" si="20"/>
        <v>230</v>
      </c>
      <c r="G29" s="203">
        <f t="shared" si="1"/>
        <v>4948.7096774193551</v>
      </c>
      <c r="H29" s="203">
        <f t="shared" si="21"/>
        <v>230</v>
      </c>
      <c r="I29" s="203">
        <f t="shared" si="2"/>
        <v>4948.7096774193551</v>
      </c>
      <c r="J29" s="203">
        <f t="shared" si="22"/>
        <v>230</v>
      </c>
      <c r="K29" s="203">
        <f t="shared" si="3"/>
        <v>4948.7096774193551</v>
      </c>
      <c r="L29" s="203">
        <f t="shared" si="23"/>
        <v>230</v>
      </c>
      <c r="M29" s="203">
        <f t="shared" si="4"/>
        <v>4948.7096774193551</v>
      </c>
      <c r="N29" s="203">
        <f t="shared" si="24"/>
        <v>230</v>
      </c>
      <c r="O29" s="203">
        <f t="shared" si="5"/>
        <v>4948.7096774193551</v>
      </c>
      <c r="P29" s="203">
        <f t="shared" si="25"/>
        <v>230</v>
      </c>
      <c r="Q29" s="203">
        <f t="shared" si="6"/>
        <v>4948.7096774193551</v>
      </c>
      <c r="R29" s="203">
        <f t="shared" si="26"/>
        <v>230</v>
      </c>
      <c r="S29" s="203">
        <f t="shared" si="7"/>
        <v>4948.7096774193551</v>
      </c>
      <c r="T29" s="203">
        <f t="shared" si="27"/>
        <v>230</v>
      </c>
      <c r="U29" s="203">
        <f t="shared" si="8"/>
        <v>4948.7096774193551</v>
      </c>
      <c r="V29" s="203">
        <f t="shared" si="28"/>
        <v>230</v>
      </c>
      <c r="W29" s="203">
        <f t="shared" si="9"/>
        <v>4948.7096774193551</v>
      </c>
      <c r="X29" s="35">
        <f t="shared" si="10"/>
        <v>0.74193548387096786</v>
      </c>
      <c r="Y29" s="36">
        <f t="shared" si="29"/>
        <v>54435.806451612909</v>
      </c>
      <c r="Z29" s="203">
        <f>'B5'!C28</f>
        <v>237</v>
      </c>
      <c r="AA29" s="203">
        <f t="shared" si="30"/>
        <v>2370</v>
      </c>
      <c r="AB29" s="203">
        <f t="shared" si="31"/>
        <v>237</v>
      </c>
      <c r="AC29" s="203">
        <f t="shared" si="30"/>
        <v>2370</v>
      </c>
      <c r="AD29" s="203">
        <f t="shared" si="32"/>
        <v>237</v>
      </c>
      <c r="AE29" s="203">
        <f t="shared" si="11"/>
        <v>2370</v>
      </c>
      <c r="AF29" s="203">
        <f t="shared" si="33"/>
        <v>237</v>
      </c>
      <c r="AG29" s="203">
        <f t="shared" si="12"/>
        <v>2370</v>
      </c>
      <c r="AH29" s="203">
        <f t="shared" si="34"/>
        <v>237</v>
      </c>
      <c r="AI29" s="203">
        <f t="shared" si="13"/>
        <v>2370</v>
      </c>
      <c r="AJ29" s="203">
        <f t="shared" si="35"/>
        <v>237</v>
      </c>
      <c r="AK29" s="203">
        <f t="shared" si="14"/>
        <v>2370</v>
      </c>
      <c r="AL29" s="203">
        <f t="shared" si="36"/>
        <v>237</v>
      </c>
      <c r="AM29" s="203">
        <f t="shared" si="15"/>
        <v>2370</v>
      </c>
      <c r="AN29" s="35">
        <f t="shared" si="16"/>
        <v>0.84642857142857142</v>
      </c>
      <c r="AO29" s="36">
        <f t="shared" si="17"/>
        <v>16590</v>
      </c>
      <c r="AQ29" s="223">
        <f t="shared" si="37"/>
        <v>0.76396478919665389</v>
      </c>
      <c r="AR29" s="38">
        <f t="shared" si="41"/>
        <v>71025.806451612909</v>
      </c>
      <c r="AS29" s="197">
        <f t="shared" si="38"/>
        <v>0</v>
      </c>
      <c r="AT29" s="355"/>
      <c r="AU29" s="436"/>
      <c r="AV29" s="518">
        <f t="shared" si="42"/>
        <v>0.68899999999999995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230</v>
      </c>
      <c r="C30" s="203">
        <f t="shared" si="18"/>
        <v>4948.7096774193551</v>
      </c>
      <c r="D30">
        <f t="shared" ref="D30:D33" si="44">SUM(B30)</f>
        <v>230</v>
      </c>
      <c r="E30" s="203">
        <f t="shared" si="18"/>
        <v>4948.7096774193551</v>
      </c>
      <c r="F30">
        <f t="shared" ref="F30:F33" si="45">SUM(D30)</f>
        <v>230</v>
      </c>
      <c r="G30" s="203">
        <f t="shared" si="1"/>
        <v>4948.7096774193551</v>
      </c>
      <c r="H30" s="203">
        <f t="shared" ref="H30:H33" si="46">SUM(F30)</f>
        <v>230</v>
      </c>
      <c r="I30" s="203">
        <f t="shared" si="2"/>
        <v>4948.7096774193551</v>
      </c>
      <c r="J30" s="203">
        <f t="shared" ref="J30:J33" si="47">SUM(H30)</f>
        <v>230</v>
      </c>
      <c r="K30" s="203">
        <f t="shared" si="3"/>
        <v>4948.7096774193551</v>
      </c>
      <c r="L30" s="203">
        <f t="shared" ref="L30:L33" si="48">SUM(J30)</f>
        <v>230</v>
      </c>
      <c r="M30" s="203">
        <f t="shared" si="4"/>
        <v>4948.7096774193551</v>
      </c>
      <c r="N30" s="203">
        <f t="shared" ref="N30:N33" si="49">SUM(L30)</f>
        <v>230</v>
      </c>
      <c r="O30" s="203">
        <f t="shared" si="5"/>
        <v>4948.7096774193551</v>
      </c>
      <c r="P30" s="203">
        <f t="shared" ref="P30:P33" si="50">SUM(N30)</f>
        <v>230</v>
      </c>
      <c r="Q30" s="203">
        <f t="shared" si="6"/>
        <v>4948.7096774193551</v>
      </c>
      <c r="R30" s="203">
        <f t="shared" ref="R30:R33" si="51">SUM(P30)</f>
        <v>230</v>
      </c>
      <c r="S30" s="203">
        <f t="shared" si="7"/>
        <v>4948.7096774193551</v>
      </c>
      <c r="T30" s="203">
        <f t="shared" ref="T30:T33" si="52">SUM(R30)</f>
        <v>230</v>
      </c>
      <c r="U30" s="203">
        <f t="shared" si="8"/>
        <v>4948.7096774193551</v>
      </c>
      <c r="V30" s="203">
        <f t="shared" ref="V30:V33" si="53">SUM(T30)</f>
        <v>230</v>
      </c>
      <c r="W30" s="203">
        <f t="shared" si="9"/>
        <v>4948.7096774193551</v>
      </c>
      <c r="X30" s="35">
        <f t="shared" ref="X30:X33" si="54">SUM(Y30/73370)</f>
        <v>0.74193548387096786</v>
      </c>
      <c r="Y30" s="36">
        <f t="shared" ref="Y30:Y33" si="55">SUM(C30+E30+G30+I30+K30+M30+O30+Q30+S30+U30+W30)</f>
        <v>54435.806451612909</v>
      </c>
      <c r="Z30" s="203">
        <f>'B5'!C29</f>
        <v>237</v>
      </c>
      <c r="AA30" s="203">
        <f t="shared" si="30"/>
        <v>2370</v>
      </c>
      <c r="AB30" s="203">
        <f t="shared" ref="AB30:AB33" si="56">SUM(Z30)</f>
        <v>237</v>
      </c>
      <c r="AC30" s="203">
        <f t="shared" si="30"/>
        <v>2370</v>
      </c>
      <c r="AD30" s="203">
        <f t="shared" ref="AD30:AD33" si="57">SUM(AB30)</f>
        <v>237</v>
      </c>
      <c r="AE30" s="203">
        <f t="shared" si="11"/>
        <v>2370</v>
      </c>
      <c r="AF30" s="203">
        <f t="shared" ref="AF30:AF33" si="58">SUM(AD30)</f>
        <v>237</v>
      </c>
      <c r="AG30" s="203">
        <f t="shared" si="12"/>
        <v>2370</v>
      </c>
      <c r="AH30" s="203">
        <f t="shared" ref="AH30:AH33" si="59">SUM(AF30)</f>
        <v>237</v>
      </c>
      <c r="AI30" s="203">
        <f t="shared" si="13"/>
        <v>2370</v>
      </c>
      <c r="AJ30" s="203">
        <f t="shared" ref="AJ30:AJ33" si="60">SUM(AH30)</f>
        <v>237</v>
      </c>
      <c r="AK30" s="203">
        <f t="shared" si="14"/>
        <v>2370</v>
      </c>
      <c r="AL30" s="203">
        <f t="shared" ref="AL30:AL33" si="61">SUM(AJ30)</f>
        <v>237</v>
      </c>
      <c r="AM30" s="203">
        <f t="shared" si="15"/>
        <v>2370</v>
      </c>
      <c r="AN30" s="35">
        <f t="shared" ref="AN30:AN33" si="62">SUM(AO30/19600)</f>
        <v>0.84642857142857142</v>
      </c>
      <c r="AO30" s="36">
        <f t="shared" ref="AO30:AO33" si="63">SUM(AA30+AC30+AE30+AG30+AI30+AK30+AM30)</f>
        <v>16590</v>
      </c>
      <c r="AQ30" s="223">
        <f t="shared" si="37"/>
        <v>0.76396478919665389</v>
      </c>
      <c r="AR30" s="38">
        <f t="shared" si="41"/>
        <v>71025.806451612909</v>
      </c>
      <c r="AS30" s="197">
        <f t="shared" si="38"/>
        <v>0</v>
      </c>
      <c r="AT30" s="355"/>
      <c r="AU30" s="436"/>
      <c r="AV30" s="518">
        <f t="shared" si="42"/>
        <v>0.68899999999999995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230</v>
      </c>
      <c r="C31" s="203">
        <f t="shared" si="18"/>
        <v>4948.7096774193551</v>
      </c>
      <c r="D31">
        <f t="shared" si="44"/>
        <v>230</v>
      </c>
      <c r="E31" s="203">
        <f t="shared" si="18"/>
        <v>4948.7096774193551</v>
      </c>
      <c r="F31">
        <f t="shared" si="45"/>
        <v>230</v>
      </c>
      <c r="G31" s="203">
        <f t="shared" si="1"/>
        <v>4948.7096774193551</v>
      </c>
      <c r="H31" s="203">
        <f t="shared" si="46"/>
        <v>230</v>
      </c>
      <c r="I31" s="203">
        <f t="shared" si="2"/>
        <v>4948.7096774193551</v>
      </c>
      <c r="J31" s="203">
        <f t="shared" si="47"/>
        <v>230</v>
      </c>
      <c r="K31" s="203">
        <f t="shared" si="3"/>
        <v>4948.7096774193551</v>
      </c>
      <c r="L31" s="203">
        <f t="shared" si="48"/>
        <v>230</v>
      </c>
      <c r="M31" s="203">
        <f t="shared" si="4"/>
        <v>4948.7096774193551</v>
      </c>
      <c r="N31" s="203">
        <f t="shared" si="49"/>
        <v>230</v>
      </c>
      <c r="O31" s="203">
        <f t="shared" si="5"/>
        <v>4948.7096774193551</v>
      </c>
      <c r="P31" s="203">
        <f t="shared" si="50"/>
        <v>230</v>
      </c>
      <c r="Q31" s="203">
        <f t="shared" si="6"/>
        <v>4948.7096774193551</v>
      </c>
      <c r="R31" s="203">
        <f t="shared" si="51"/>
        <v>230</v>
      </c>
      <c r="S31" s="203">
        <f t="shared" si="7"/>
        <v>4948.7096774193551</v>
      </c>
      <c r="T31" s="203">
        <f t="shared" si="52"/>
        <v>230</v>
      </c>
      <c r="U31" s="203">
        <f t="shared" si="8"/>
        <v>4948.7096774193551</v>
      </c>
      <c r="V31" s="203">
        <f t="shared" si="53"/>
        <v>230</v>
      </c>
      <c r="W31" s="203">
        <f t="shared" si="9"/>
        <v>4948.7096774193551</v>
      </c>
      <c r="X31" s="35">
        <f t="shared" si="54"/>
        <v>0.74193548387096786</v>
      </c>
      <c r="Y31" s="36">
        <f t="shared" si="55"/>
        <v>54435.806451612909</v>
      </c>
      <c r="Z31" s="203">
        <f>'B5'!C30</f>
        <v>237</v>
      </c>
      <c r="AA31" s="203">
        <f t="shared" si="30"/>
        <v>2370</v>
      </c>
      <c r="AB31" s="203">
        <f t="shared" si="56"/>
        <v>237</v>
      </c>
      <c r="AC31" s="203">
        <f t="shared" si="30"/>
        <v>2370</v>
      </c>
      <c r="AD31" s="203">
        <f t="shared" si="57"/>
        <v>237</v>
      </c>
      <c r="AE31" s="203">
        <f t="shared" si="11"/>
        <v>2370</v>
      </c>
      <c r="AF31" s="203">
        <f t="shared" si="58"/>
        <v>237</v>
      </c>
      <c r="AG31" s="203">
        <f t="shared" si="12"/>
        <v>2370</v>
      </c>
      <c r="AH31" s="203">
        <f t="shared" si="59"/>
        <v>237</v>
      </c>
      <c r="AI31" s="203">
        <f t="shared" si="13"/>
        <v>2370</v>
      </c>
      <c r="AJ31" s="203">
        <f t="shared" si="60"/>
        <v>237</v>
      </c>
      <c r="AK31" s="203">
        <f t="shared" si="14"/>
        <v>2370</v>
      </c>
      <c r="AL31" s="203">
        <f t="shared" si="61"/>
        <v>237</v>
      </c>
      <c r="AM31" s="203">
        <f t="shared" si="15"/>
        <v>2370</v>
      </c>
      <c r="AN31" s="35">
        <f t="shared" si="62"/>
        <v>0.84642857142857142</v>
      </c>
      <c r="AO31" s="36">
        <f t="shared" si="63"/>
        <v>16590</v>
      </c>
      <c r="AQ31" s="223">
        <f t="shared" si="37"/>
        <v>0.76396478919665389</v>
      </c>
      <c r="AR31" s="38">
        <f t="shared" si="41"/>
        <v>71025.806451612909</v>
      </c>
      <c r="AS31" s="197">
        <f>SUM(AR31-AR30-AT31)</f>
        <v>0</v>
      </c>
      <c r="AT31" s="355"/>
      <c r="AU31" s="436"/>
      <c r="AV31" s="518">
        <f t="shared" si="42"/>
        <v>0.68899999999999995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230</v>
      </c>
      <c r="C32" s="203">
        <f t="shared" si="18"/>
        <v>4948.7096774193551</v>
      </c>
      <c r="D32">
        <f t="shared" si="44"/>
        <v>230</v>
      </c>
      <c r="E32" s="203">
        <f t="shared" si="18"/>
        <v>4948.7096774193551</v>
      </c>
      <c r="F32">
        <f t="shared" si="45"/>
        <v>230</v>
      </c>
      <c r="G32" s="203">
        <f t="shared" si="1"/>
        <v>4948.7096774193551</v>
      </c>
      <c r="H32" s="203">
        <f t="shared" si="46"/>
        <v>230</v>
      </c>
      <c r="I32" s="203">
        <f t="shared" si="2"/>
        <v>4948.7096774193551</v>
      </c>
      <c r="J32" s="203">
        <f t="shared" si="47"/>
        <v>230</v>
      </c>
      <c r="K32" s="203">
        <f t="shared" si="3"/>
        <v>4948.7096774193551</v>
      </c>
      <c r="L32" s="203">
        <f t="shared" si="48"/>
        <v>230</v>
      </c>
      <c r="M32" s="203">
        <f t="shared" si="4"/>
        <v>4948.7096774193551</v>
      </c>
      <c r="N32" s="203">
        <f t="shared" si="49"/>
        <v>230</v>
      </c>
      <c r="O32" s="203">
        <f t="shared" si="5"/>
        <v>4948.7096774193551</v>
      </c>
      <c r="P32" s="203">
        <f t="shared" si="50"/>
        <v>230</v>
      </c>
      <c r="Q32" s="203">
        <f t="shared" si="6"/>
        <v>4948.7096774193551</v>
      </c>
      <c r="R32" s="203">
        <f t="shared" si="51"/>
        <v>230</v>
      </c>
      <c r="S32" s="203">
        <f t="shared" si="7"/>
        <v>4948.7096774193551</v>
      </c>
      <c r="T32" s="203">
        <f t="shared" si="52"/>
        <v>230</v>
      </c>
      <c r="U32" s="203">
        <f t="shared" si="8"/>
        <v>4948.7096774193551</v>
      </c>
      <c r="V32" s="203">
        <f t="shared" si="53"/>
        <v>230</v>
      </c>
      <c r="W32" s="203">
        <f t="shared" si="9"/>
        <v>4948.7096774193551</v>
      </c>
      <c r="X32" s="35">
        <f t="shared" si="54"/>
        <v>0.74193548387096786</v>
      </c>
      <c r="Y32" s="36">
        <f t="shared" si="55"/>
        <v>54435.806451612909</v>
      </c>
      <c r="Z32" s="203">
        <f>'B5'!C31</f>
        <v>237</v>
      </c>
      <c r="AA32" s="203">
        <f t="shared" si="30"/>
        <v>2370</v>
      </c>
      <c r="AB32" s="203">
        <f t="shared" si="56"/>
        <v>237</v>
      </c>
      <c r="AC32" s="203">
        <f t="shared" si="30"/>
        <v>2370</v>
      </c>
      <c r="AD32" s="203">
        <f t="shared" si="57"/>
        <v>237</v>
      </c>
      <c r="AE32" s="203">
        <f t="shared" si="11"/>
        <v>2370</v>
      </c>
      <c r="AF32" s="203">
        <f t="shared" si="58"/>
        <v>237</v>
      </c>
      <c r="AG32" s="203">
        <f t="shared" si="12"/>
        <v>2370</v>
      </c>
      <c r="AH32" s="203">
        <f t="shared" si="59"/>
        <v>237</v>
      </c>
      <c r="AI32" s="203">
        <f t="shared" si="13"/>
        <v>2370</v>
      </c>
      <c r="AJ32" s="203">
        <f t="shared" si="60"/>
        <v>237</v>
      </c>
      <c r="AK32" s="203">
        <f t="shared" si="14"/>
        <v>2370</v>
      </c>
      <c r="AL32" s="203">
        <f t="shared" si="61"/>
        <v>237</v>
      </c>
      <c r="AM32" s="203">
        <f t="shared" si="15"/>
        <v>2370</v>
      </c>
      <c r="AN32" s="35">
        <f t="shared" si="62"/>
        <v>0.84642857142857142</v>
      </c>
      <c r="AO32" s="36">
        <f t="shared" si="63"/>
        <v>16590</v>
      </c>
      <c r="AQ32" s="223">
        <f t="shared" si="37"/>
        <v>0.76396478919665389</v>
      </c>
      <c r="AR32" s="38">
        <f t="shared" si="41"/>
        <v>71025.806451612909</v>
      </c>
      <c r="AS32" s="197">
        <f t="shared" si="38"/>
        <v>0</v>
      </c>
      <c r="AT32" s="355"/>
      <c r="AU32" s="436"/>
      <c r="AV32" s="518">
        <f>IF(AT32&gt;0,AU32,AV31)</f>
        <v>0.68899999999999995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230</v>
      </c>
      <c r="C33" s="203">
        <f t="shared" si="18"/>
        <v>4948.7096774193551</v>
      </c>
      <c r="D33">
        <f t="shared" si="44"/>
        <v>230</v>
      </c>
      <c r="E33" s="203">
        <f t="shared" si="18"/>
        <v>4948.7096774193551</v>
      </c>
      <c r="F33">
        <f t="shared" si="45"/>
        <v>230</v>
      </c>
      <c r="G33" s="203">
        <f t="shared" si="1"/>
        <v>4948.7096774193551</v>
      </c>
      <c r="H33" s="203">
        <f t="shared" si="46"/>
        <v>230</v>
      </c>
      <c r="I33" s="203">
        <f t="shared" si="2"/>
        <v>4948.7096774193551</v>
      </c>
      <c r="J33" s="203">
        <f t="shared" si="47"/>
        <v>230</v>
      </c>
      <c r="K33" s="203">
        <f t="shared" si="3"/>
        <v>4948.7096774193551</v>
      </c>
      <c r="L33" s="203">
        <f t="shared" si="48"/>
        <v>230</v>
      </c>
      <c r="M33" s="203">
        <f t="shared" si="4"/>
        <v>4948.7096774193551</v>
      </c>
      <c r="N33" s="203">
        <f t="shared" si="49"/>
        <v>230</v>
      </c>
      <c r="O33" s="203">
        <f t="shared" si="5"/>
        <v>4948.7096774193551</v>
      </c>
      <c r="P33" s="203">
        <f t="shared" si="50"/>
        <v>230</v>
      </c>
      <c r="Q33" s="203">
        <f t="shared" si="6"/>
        <v>4948.7096774193551</v>
      </c>
      <c r="R33" s="203">
        <f t="shared" si="51"/>
        <v>230</v>
      </c>
      <c r="S33" s="203">
        <f t="shared" si="7"/>
        <v>4948.7096774193551</v>
      </c>
      <c r="T33" s="203">
        <f t="shared" si="52"/>
        <v>230</v>
      </c>
      <c r="U33" s="203">
        <f t="shared" si="8"/>
        <v>4948.7096774193551</v>
      </c>
      <c r="V33" s="203">
        <f t="shared" si="53"/>
        <v>230</v>
      </c>
      <c r="W33" s="203">
        <f t="shared" si="9"/>
        <v>4948.7096774193551</v>
      </c>
      <c r="X33" s="35">
        <f t="shared" si="54"/>
        <v>0.74193548387096786</v>
      </c>
      <c r="Y33" s="36">
        <f t="shared" si="55"/>
        <v>54435.806451612909</v>
      </c>
      <c r="Z33" s="203">
        <f>'B5'!C32</f>
        <v>237</v>
      </c>
      <c r="AA33" s="203">
        <f t="shared" si="30"/>
        <v>2370</v>
      </c>
      <c r="AB33" s="203">
        <f t="shared" si="56"/>
        <v>237</v>
      </c>
      <c r="AC33" s="203">
        <f t="shared" si="30"/>
        <v>2370</v>
      </c>
      <c r="AD33" s="203">
        <f t="shared" si="57"/>
        <v>237</v>
      </c>
      <c r="AE33" s="203">
        <f t="shared" si="11"/>
        <v>2370</v>
      </c>
      <c r="AF33" s="203">
        <f t="shared" si="58"/>
        <v>237</v>
      </c>
      <c r="AG33" s="203">
        <f t="shared" si="12"/>
        <v>2370</v>
      </c>
      <c r="AH33" s="203">
        <f t="shared" si="59"/>
        <v>237</v>
      </c>
      <c r="AI33" s="203">
        <f t="shared" si="13"/>
        <v>2370</v>
      </c>
      <c r="AJ33" s="203">
        <f t="shared" si="60"/>
        <v>237</v>
      </c>
      <c r="AK33" s="203">
        <f t="shared" si="14"/>
        <v>2370</v>
      </c>
      <c r="AL33" s="203">
        <f t="shared" si="61"/>
        <v>237</v>
      </c>
      <c r="AM33" s="203">
        <f t="shared" si="15"/>
        <v>2370</v>
      </c>
      <c r="AN33" s="35">
        <f t="shared" si="62"/>
        <v>0.84642857142857142</v>
      </c>
      <c r="AO33" s="36">
        <f t="shared" si="63"/>
        <v>16590</v>
      </c>
      <c r="AQ33" s="223">
        <f t="shared" si="37"/>
        <v>0.76396478919665389</v>
      </c>
      <c r="AR33" s="38">
        <f t="shared" si="41"/>
        <v>71025.806451612909</v>
      </c>
      <c r="AS33" s="197">
        <f t="shared" si="38"/>
        <v>0</v>
      </c>
      <c r="AT33" s="355"/>
      <c r="AU33" s="436"/>
      <c r="AV33" s="518">
        <f>IF(AT33&gt;0,AU33,AV32)</f>
        <v>0.68899999999999995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3</v>
      </c>
      <c r="AT34" s="203">
        <f>SUM(AT6:AT33)</f>
        <v>17500.099999999999</v>
      </c>
      <c r="AU34">
        <f>SUM(AU6:AU33)/AS34</f>
        <v>0.48766666666666669</v>
      </c>
      <c r="AX34" s="203">
        <f>SUM(AX6:AX33)</f>
        <v>-14411.164516129016</v>
      </c>
      <c r="AY34" s="203">
        <f>SUM(AY6:AY33)</f>
        <v>-19270.164516129014</v>
      </c>
    </row>
    <row r="35" spans="1:60">
      <c r="AS35" s="206"/>
      <c r="AT35">
        <f>+AT34*AU34</f>
        <v>8534.2154333333328</v>
      </c>
    </row>
    <row r="37" spans="1:60">
      <c r="AS37" s="165">
        <f>SUM(AS6:AS33)/'EDl log'!A32</f>
        <v>-1133.5390891840598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5932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3</v>
      </c>
      <c r="B14" s="3">
        <f>ELEC!AF15</f>
        <v>427</v>
      </c>
      <c r="C14" s="3">
        <f>ELEC!N15</f>
        <v>6507</v>
      </c>
      <c r="D14" s="3">
        <f t="shared" si="0"/>
        <v>3268.000000002241</v>
      </c>
      <c r="E14" s="3">
        <f>ELEC!Q15</f>
        <v>3238.999999997759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-57.700000000000017</v>
      </c>
      <c r="J14" s="9">
        <f>'B5'!A16</f>
        <v>44239</v>
      </c>
    </row>
    <row r="15" spans="1:10">
      <c r="A15" s="3">
        <f>ELEC!T16+ELEC!X16+ELEC!AB16</f>
        <v>5</v>
      </c>
      <c r="B15" s="3">
        <f>ELEC!AF16</f>
        <v>877</v>
      </c>
      <c r="C15" s="3">
        <f>ELEC!N16</f>
        <v>7439</v>
      </c>
      <c r="D15" s="3">
        <f t="shared" si="0"/>
        <v>3784.9999999977299</v>
      </c>
      <c r="E15" s="3">
        <f>ELEC!Q16</f>
        <v>3654.0000000022701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218.8</v>
      </c>
      <c r="J15" s="9">
        <f>'B5'!A17</f>
        <v>44240</v>
      </c>
    </row>
    <row r="16" spans="1:10">
      <c r="A16" s="3">
        <f>ELEC!T17+ELEC!X17+ELEC!AB17</f>
        <v>5</v>
      </c>
      <c r="B16" s="3">
        <f>ELEC!AF17</f>
        <v>838</v>
      </c>
      <c r="C16" s="3">
        <f>ELEC!N17</f>
        <v>7469</v>
      </c>
      <c r="D16" s="3">
        <f t="shared" si="0"/>
        <v>3488.0000000002328</v>
      </c>
      <c r="E16" s="3">
        <f>ELEC!Q17</f>
        <v>3980.9999999997672</v>
      </c>
      <c r="F16" s="3">
        <f>GEN!Z16</f>
        <v>6</v>
      </c>
      <c r="G16" s="3">
        <f>WATER!C19+WATER!H19</f>
        <v>279</v>
      </c>
      <c r="H16" s="3">
        <f>WATER!L19</f>
        <v>0</v>
      </c>
      <c r="I16" s="15">
        <f>WATER!BC19+WATER!BD19+WATER!BE20-Sheet1!G16</f>
        <v>-303</v>
      </c>
      <c r="J16" s="9">
        <f>'B5'!A18</f>
        <v>44241</v>
      </c>
    </row>
    <row r="17" spans="1:10">
      <c r="A17" s="3">
        <f>ELEC!T18+ELEC!X18+ELEC!AB18</f>
        <v>2</v>
      </c>
      <c r="B17" s="3">
        <f>ELEC!AF18</f>
        <v>467</v>
      </c>
      <c r="C17" s="3">
        <f>ELEC!N18</f>
        <v>5934</v>
      </c>
      <c r="D17" s="3">
        <f t="shared" si="0"/>
        <v>3625.9999999990978</v>
      </c>
      <c r="E17" s="3">
        <f>ELEC!Q18</f>
        <v>2308.0000000009022</v>
      </c>
      <c r="F17" s="3">
        <f>GEN!Z17</f>
        <v>6</v>
      </c>
      <c r="G17" s="3">
        <f>WATER!C20+WATER!H20</f>
        <v>0</v>
      </c>
      <c r="H17" s="3">
        <f>WATER!L20</f>
        <v>2</v>
      </c>
      <c r="I17" s="15">
        <f>WATER!BC20+WATER!BD20+WATER!BE21-Sheet1!G17</f>
        <v>107.19999999999996</v>
      </c>
      <c r="J17" s="9">
        <f>'B5'!A19</f>
        <v>44242</v>
      </c>
    </row>
    <row r="18" spans="1:10">
      <c r="A18" s="3">
        <f>ELEC!T19+ELEC!X19+ELEC!AB19</f>
        <v>4</v>
      </c>
      <c r="B18" s="3">
        <f>ELEC!AF19</f>
        <v>387</v>
      </c>
      <c r="C18" s="3">
        <f>ELEC!N19</f>
        <v>7520</v>
      </c>
      <c r="D18" s="3">
        <f t="shared" si="0"/>
        <v>2873.000000002794</v>
      </c>
      <c r="E18" s="3">
        <f>ELEC!Q19</f>
        <v>4646.999999997206</v>
      </c>
      <c r="F18" s="3">
        <f>GEN!Z18</f>
        <v>4</v>
      </c>
      <c r="G18" s="3">
        <f>WATER!C21+WATER!H21</f>
        <v>167</v>
      </c>
      <c r="H18" s="3">
        <f>WATER!L21</f>
        <v>0</v>
      </c>
      <c r="I18" s="15">
        <f>WATER!BC21+WATER!BD21+WATER!BE22-Sheet1!G18</f>
        <v>-56.200000000000017</v>
      </c>
      <c r="J18" s="9">
        <f>'B5'!A20</f>
        <v>44243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-10.199999999999989</v>
      </c>
      <c r="J19" s="9">
        <f>'B5'!A21</f>
        <v>44244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44245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-7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7</v>
      </c>
      <c r="I22" s="15">
        <f>WATER!BC25+WATER!BD25+WATER!BE26-Sheet1!G22</f>
        <v>0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281</v>
      </c>
      <c r="C17" s="76">
        <f>'B5'!AH17</f>
        <v>0</v>
      </c>
      <c r="D17" s="76">
        <f>GEN!AI15</f>
        <v>833.6666666660899</v>
      </c>
      <c r="E17" s="242">
        <f t="shared" si="0"/>
        <v>1114.6666666660899</v>
      </c>
      <c r="F17" s="75">
        <f>WATER!L17</f>
        <v>0</v>
      </c>
      <c r="G17" s="78">
        <f>WATER!BG17</f>
        <v>-13.09999999999998</v>
      </c>
      <c r="H17" s="79">
        <f>ELEC!AF15</f>
        <v>427</v>
      </c>
      <c r="I17" s="79">
        <f>ELEC!Q15</f>
        <v>3238.999999997759</v>
      </c>
      <c r="J17" s="79">
        <f>ELEC!R15</f>
        <v>3268.000000002241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267</v>
      </c>
      <c r="C18" s="76">
        <f>'B5'!AH18</f>
        <v>0</v>
      </c>
      <c r="D18" s="76">
        <f>GEN!AI16</f>
        <v>940.48101265881223</v>
      </c>
      <c r="E18" s="242">
        <f t="shared" si="0"/>
        <v>1207.4810126588122</v>
      </c>
      <c r="F18" s="75">
        <f>WATER!L18</f>
        <v>0</v>
      </c>
      <c r="G18" s="78">
        <f>WATER!BG18</f>
        <v>-44.600000000000037</v>
      </c>
      <c r="H18" s="79">
        <f>ELEC!AF16</f>
        <v>877</v>
      </c>
      <c r="I18" s="79">
        <f>ELEC!Q16</f>
        <v>3654.0000000022701</v>
      </c>
      <c r="J18" s="79">
        <f>ELEC!R16</f>
        <v>3784.9999999977299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217</v>
      </c>
      <c r="C19" s="76">
        <f>'B5'!AH19</f>
        <v>0</v>
      </c>
      <c r="D19" s="76">
        <f>GEN!AI17</f>
        <v>1024.6455696201933</v>
      </c>
      <c r="E19" s="242">
        <f t="shared" si="0"/>
        <v>1241.6455696201933</v>
      </c>
      <c r="F19" s="75">
        <f>WATER!L19</f>
        <v>0</v>
      </c>
      <c r="G19" s="78">
        <f>WATER!BG19</f>
        <v>132.00000000000006</v>
      </c>
      <c r="H19" s="79">
        <f>ELEC!AF17</f>
        <v>838</v>
      </c>
      <c r="I19" s="79">
        <f>ELEC!Q17</f>
        <v>3980.9999999997672</v>
      </c>
      <c r="J19" s="79">
        <f>ELEC!R17</f>
        <v>3488.0000000002328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228</v>
      </c>
      <c r="C20" s="76">
        <f>'B5'!AH20</f>
        <v>0</v>
      </c>
      <c r="D20" s="76">
        <f>GEN!AI18</f>
        <v>594.04219409305927</v>
      </c>
      <c r="E20" s="242">
        <f t="shared" si="0"/>
        <v>822.04219409305927</v>
      </c>
      <c r="F20" s="75">
        <f>WATER!L20</f>
        <v>2</v>
      </c>
      <c r="G20" s="78">
        <f>WATER!BG20</f>
        <v>-13.800000000000011</v>
      </c>
      <c r="H20" s="79">
        <f>ELEC!AF18</f>
        <v>467</v>
      </c>
      <c r="I20" s="79">
        <f>ELEC!Q18</f>
        <v>2308.0000000009022</v>
      </c>
      <c r="J20" s="79">
        <f>ELEC!R18</f>
        <v>3625.9999999990978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288</v>
      </c>
      <c r="C21" s="76">
        <f>'B5'!AH21</f>
        <v>0</v>
      </c>
      <c r="D21" s="76">
        <f>GEN!AI19</f>
        <v>1196.0632911385214</v>
      </c>
      <c r="E21" s="242">
        <f t="shared" si="0"/>
        <v>1484.0632911385214</v>
      </c>
      <c r="F21" s="75">
        <f>WATER!L21</f>
        <v>0</v>
      </c>
      <c r="G21" s="78">
        <f>WATER!BG21</f>
        <v>120.99999999999997</v>
      </c>
      <c r="H21" s="79">
        <f>ELEC!AF19</f>
        <v>387</v>
      </c>
      <c r="I21" s="79">
        <f>ELEC!Q19</f>
        <v>4646.999999997206</v>
      </c>
      <c r="J21" s="79">
        <f>ELEC!R19</f>
        <v>2873.000000002794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-10.199999999999989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-7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7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zoomScale="112" zoomScaleNormal="112" workbookViewId="0">
      <pane ySplit="1" topLeftCell="A8" activePane="bottomLeft" state="frozen"/>
      <selection pane="bottomLeft" activeCell="E19" sqref="E1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.7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.7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.7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.7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.7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.7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.7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.7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.75" thickBot="1">
      <c r="A11" s="4">
        <f>ELEC!C11</f>
        <v>44236</v>
      </c>
      <c r="B11" s="541">
        <v>9570</v>
      </c>
      <c r="C11" s="287">
        <f t="shared" si="11"/>
        <v>5</v>
      </c>
      <c r="D11" s="542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.75" thickBot="1">
      <c r="A12" s="4">
        <f>ELEC!C12</f>
        <v>44237</v>
      </c>
      <c r="B12" s="541">
        <v>9577</v>
      </c>
      <c r="C12" s="287">
        <f t="shared" si="11"/>
        <v>7</v>
      </c>
      <c r="D12" s="542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.75" thickBot="1">
      <c r="A13" s="4">
        <f>ELEC!C13</f>
        <v>44238</v>
      </c>
      <c r="B13" s="541">
        <v>9580</v>
      </c>
      <c r="C13" s="287">
        <f t="shared" si="11"/>
        <v>3</v>
      </c>
      <c r="D13" s="542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v>11801</v>
      </c>
      <c r="S13" s="287">
        <f t="shared" si="5"/>
        <v>3</v>
      </c>
      <c r="T13" s="542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.75" thickBot="1">
      <c r="A14" s="4">
        <f>ELEC!C14</f>
        <v>44239</v>
      </c>
      <c r="B14" s="541">
        <v>9584</v>
      </c>
      <c r="C14" s="287">
        <f t="shared" si="11"/>
        <v>4</v>
      </c>
      <c r="D14" s="542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v>11802</v>
      </c>
      <c r="S14" s="287">
        <f t="shared" si="5"/>
        <v>1</v>
      </c>
      <c r="T14" s="542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.75" thickBot="1">
      <c r="A15" s="4">
        <f>ELEC!C15</f>
        <v>44240</v>
      </c>
      <c r="B15" s="541">
        <v>9590</v>
      </c>
      <c r="C15" s="287">
        <f t="shared" si="11"/>
        <v>6</v>
      </c>
      <c r="D15" s="542">
        <v>319881</v>
      </c>
      <c r="E15" s="287">
        <f t="shared" si="12"/>
        <v>1485</v>
      </c>
      <c r="F15" s="287">
        <f t="shared" si="0"/>
        <v>247.5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11802</v>
      </c>
      <c r="S15" s="287">
        <f t="shared" si="5"/>
        <v>0</v>
      </c>
      <c r="T15" s="542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6</v>
      </c>
      <c r="AA15" s="287">
        <f t="shared" si="21"/>
        <v>1485</v>
      </c>
      <c r="AB15" s="287">
        <f t="shared" si="22"/>
        <v>247.5</v>
      </c>
      <c r="AC15" s="287">
        <f t="shared" si="23"/>
        <v>247.5</v>
      </c>
      <c r="AD15" s="73">
        <f>ELEC!Q15</f>
        <v>3238.999999997759</v>
      </c>
      <c r="AE15" s="73">
        <f t="shared" si="25"/>
        <v>539.8333333329598</v>
      </c>
      <c r="AF15" s="403">
        <f t="shared" si="26"/>
        <v>0.33739583333309986</v>
      </c>
      <c r="AG15" s="404">
        <f t="shared" si="27"/>
        <v>107.96666666659195</v>
      </c>
      <c r="AH15" s="404">
        <f t="shared" si="24"/>
        <v>139.53333333340805</v>
      </c>
      <c r="AI15" s="73">
        <f t="shared" si="28"/>
        <v>833.6666666660899</v>
      </c>
      <c r="AJ15" s="289">
        <f t="shared" si="9"/>
        <v>0.25738396624472576</v>
      </c>
      <c r="AK15" s="289">
        <f t="shared" si="29"/>
        <v>138.94444444434831</v>
      </c>
    </row>
    <row r="16" spans="1:37" ht="15.75" thickBot="1">
      <c r="A16" s="4">
        <f>ELEC!C16</f>
        <v>44241</v>
      </c>
      <c r="B16" s="541">
        <v>9596</v>
      </c>
      <c r="C16" s="287">
        <f t="shared" si="11"/>
        <v>6</v>
      </c>
      <c r="D16" s="542">
        <v>320871</v>
      </c>
      <c r="E16" s="287">
        <f t="shared" si="12"/>
        <v>990</v>
      </c>
      <c r="F16" s="287">
        <f t="shared" si="0"/>
        <v>165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11802</v>
      </c>
      <c r="S16" s="287">
        <f t="shared" si="5"/>
        <v>0</v>
      </c>
      <c r="T16" s="542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6</v>
      </c>
      <c r="AA16" s="287">
        <f t="shared" si="21"/>
        <v>990</v>
      </c>
      <c r="AB16" s="287">
        <f t="shared" si="22"/>
        <v>165</v>
      </c>
      <c r="AC16" s="287">
        <f t="shared" si="23"/>
        <v>165</v>
      </c>
      <c r="AD16" s="73">
        <f>ELEC!Q16</f>
        <v>3654.0000000022701</v>
      </c>
      <c r="AE16" s="73">
        <f t="shared" si="25"/>
        <v>609.00000000037835</v>
      </c>
      <c r="AF16" s="403">
        <f t="shared" si="26"/>
        <v>0.38062500000023647</v>
      </c>
      <c r="AG16" s="404">
        <f t="shared" si="27"/>
        <v>121.80000000007567</v>
      </c>
      <c r="AH16" s="404">
        <f t="shared" si="24"/>
        <v>43.19999999992433</v>
      </c>
      <c r="AI16" s="73">
        <f t="shared" si="28"/>
        <v>940.48101265881223</v>
      </c>
      <c r="AJ16" s="289">
        <f t="shared" si="9"/>
        <v>0.25738396624472576</v>
      </c>
      <c r="AK16" s="289">
        <f t="shared" si="29"/>
        <v>156.74683544313538</v>
      </c>
    </row>
    <row r="17" spans="1:37" ht="15.75" thickBot="1">
      <c r="A17" s="4">
        <f>ELEC!C17</f>
        <v>44242</v>
      </c>
      <c r="B17" s="541">
        <v>9602</v>
      </c>
      <c r="C17" s="287">
        <f t="shared" si="11"/>
        <v>6</v>
      </c>
      <c r="D17" s="542">
        <v>321924</v>
      </c>
      <c r="E17" s="287">
        <f t="shared" si="12"/>
        <v>1053</v>
      </c>
      <c r="F17" s="287">
        <f t="shared" si="0"/>
        <v>175.5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11802</v>
      </c>
      <c r="S17" s="287">
        <f t="shared" si="5"/>
        <v>0</v>
      </c>
      <c r="T17" s="542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6</v>
      </c>
      <c r="AA17" s="287">
        <f t="shared" si="21"/>
        <v>1053</v>
      </c>
      <c r="AB17" s="287">
        <f t="shared" si="22"/>
        <v>175.5</v>
      </c>
      <c r="AC17" s="287">
        <f t="shared" si="23"/>
        <v>175.5</v>
      </c>
      <c r="AD17" s="73">
        <f>ELEC!Q17</f>
        <v>3980.9999999997672</v>
      </c>
      <c r="AE17" s="73">
        <f t="shared" si="25"/>
        <v>663.49999999996123</v>
      </c>
      <c r="AF17" s="403">
        <f t="shared" si="26"/>
        <v>0.41468749999997578</v>
      </c>
      <c r="AG17" s="404">
        <f t="shared" si="27"/>
        <v>132.69999999999226</v>
      </c>
      <c r="AH17" s="404">
        <f t="shared" si="24"/>
        <v>42.800000000007742</v>
      </c>
      <c r="AI17" s="73">
        <f t="shared" si="28"/>
        <v>1024.6455696201933</v>
      </c>
      <c r="AJ17" s="289">
        <f t="shared" si="9"/>
        <v>0.25738396624472576</v>
      </c>
      <c r="AK17" s="289">
        <f t="shared" ref="AK17:AK30" si="33">IF(Z17&gt;0,AI17/Z17,0)</f>
        <v>170.77426160336555</v>
      </c>
    </row>
    <row r="18" spans="1:37" ht="15.75" thickBot="1">
      <c r="A18" s="4">
        <f>ELEC!C18</f>
        <v>44243</v>
      </c>
      <c r="B18" s="541">
        <v>9606</v>
      </c>
      <c r="C18" s="287">
        <f t="shared" si="11"/>
        <v>4</v>
      </c>
      <c r="D18" s="542">
        <v>322554</v>
      </c>
      <c r="E18" s="287">
        <f t="shared" si="12"/>
        <v>630</v>
      </c>
      <c r="F18" s="287">
        <f t="shared" si="0"/>
        <v>157.5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11802</v>
      </c>
      <c r="S18" s="287">
        <f t="shared" si="5"/>
        <v>0</v>
      </c>
      <c r="T18" s="542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4</v>
      </c>
      <c r="AA18" s="287">
        <f t="shared" si="21"/>
        <v>630</v>
      </c>
      <c r="AB18" s="287">
        <f t="shared" si="22"/>
        <v>157.5</v>
      </c>
      <c r="AC18" s="287">
        <f t="shared" si="23"/>
        <v>157.5</v>
      </c>
      <c r="AD18" s="73">
        <f>ELEC!Q18</f>
        <v>2308.0000000009022</v>
      </c>
      <c r="AE18" s="73">
        <f t="shared" si="25"/>
        <v>577.00000000022555</v>
      </c>
      <c r="AF18" s="403">
        <f t="shared" si="26"/>
        <v>0.36062500000014097</v>
      </c>
      <c r="AG18" s="404">
        <f t="shared" si="27"/>
        <v>115.40000000004511</v>
      </c>
      <c r="AH18" s="404">
        <f t="shared" si="24"/>
        <v>42.099999999954889</v>
      </c>
      <c r="AI18" s="73">
        <f t="shared" si="28"/>
        <v>594.04219409305927</v>
      </c>
      <c r="AJ18" s="289">
        <f t="shared" si="9"/>
        <v>0.25738396624472576</v>
      </c>
      <c r="AK18" s="289">
        <f t="shared" si="33"/>
        <v>148.51054852326482</v>
      </c>
    </row>
    <row r="19" spans="1:37" ht="15.75" thickBot="1">
      <c r="A19" s="4">
        <f>ELEC!C19</f>
        <v>44244</v>
      </c>
      <c r="B19" s="541">
        <v>9615</v>
      </c>
      <c r="C19" s="287">
        <f t="shared" si="11"/>
        <v>9</v>
      </c>
      <c r="D19" s="542">
        <v>325233</v>
      </c>
      <c r="E19" s="287">
        <f t="shared" si="12"/>
        <v>2679</v>
      </c>
      <c r="F19" s="287">
        <f t="shared" si="0"/>
        <v>297.66666666666669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4">IF(J19-P19&lt;=0,"ok","oil change")</f>
        <v>ok</v>
      </c>
      <c r="R19" s="542">
        <f t="shared" si="17"/>
        <v>11802</v>
      </c>
      <c r="S19" s="287">
        <f t="shared" si="5"/>
        <v>0</v>
      </c>
      <c r="T19" s="542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9</v>
      </c>
      <c r="AA19" s="287">
        <f t="shared" si="21"/>
        <v>2679</v>
      </c>
      <c r="AB19" s="287">
        <f t="shared" si="22"/>
        <v>297.66666666666669</v>
      </c>
      <c r="AC19" s="287">
        <f t="shared" si="23"/>
        <v>297.66666666666669</v>
      </c>
      <c r="AD19" s="73">
        <f>ELEC!Q19</f>
        <v>4646.999999997206</v>
      </c>
      <c r="AE19" s="73">
        <f t="shared" si="25"/>
        <v>516.33333333302289</v>
      </c>
      <c r="AF19" s="403">
        <f t="shared" si="26"/>
        <v>0.32270833333313931</v>
      </c>
      <c r="AG19" s="404">
        <f t="shared" si="27"/>
        <v>103.26666666660458</v>
      </c>
      <c r="AH19" s="404">
        <f t="shared" si="24"/>
        <v>194.40000000006211</v>
      </c>
      <c r="AI19" s="73">
        <f t="shared" si="28"/>
        <v>1196.0632911385214</v>
      </c>
      <c r="AJ19" s="289">
        <f t="shared" si="9"/>
        <v>0.25738396624472576</v>
      </c>
      <c r="AK19" s="289">
        <f t="shared" si="33"/>
        <v>132.89592123761349</v>
      </c>
    </row>
    <row r="20" spans="1:37" ht="15.75" thickBot="1">
      <c r="A20" s="4">
        <f>ELEC!C20</f>
        <v>44245</v>
      </c>
      <c r="B20" s="541">
        <f t="shared" ref="B19:B30" si="35">B19</f>
        <v>9615</v>
      </c>
      <c r="C20" s="287">
        <f>B20-B19</f>
        <v>0</v>
      </c>
      <c r="D20" s="542">
        <f t="shared" ref="D19:D30" si="36">D19</f>
        <v>325233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4"/>
        <v>ok</v>
      </c>
      <c r="R20" s="542">
        <f t="shared" si="17"/>
        <v>11802</v>
      </c>
      <c r="S20" s="287">
        <f t="shared" si="5"/>
        <v>0</v>
      </c>
      <c r="T20" s="542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9"/>
        <v>0.25738396624472576</v>
      </c>
      <c r="AK20" s="289">
        <f t="shared" si="33"/>
        <v>0</v>
      </c>
    </row>
    <row r="21" spans="1:37" ht="15.75" thickBot="1">
      <c r="A21" s="4">
        <f>ELEC!C21</f>
        <v>44246</v>
      </c>
      <c r="B21" s="541">
        <f t="shared" si="35"/>
        <v>9615</v>
      </c>
      <c r="C21" s="287">
        <f t="shared" ref="C21" si="37">B21-B20</f>
        <v>0</v>
      </c>
      <c r="D21" s="542">
        <f t="shared" si="36"/>
        <v>325233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4"/>
        <v>ok</v>
      </c>
      <c r="R21" s="542">
        <f t="shared" si="17"/>
        <v>11802</v>
      </c>
      <c r="S21" s="287">
        <f t="shared" si="5"/>
        <v>0</v>
      </c>
      <c r="T21" s="542">
        <f t="shared" si="18"/>
        <v>379778</v>
      </c>
      <c r="U21" s="287">
        <f t="shared" ref="U21:U30" si="38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9"/>
        <v>0.25738396624472576</v>
      </c>
      <c r="AK21" s="289">
        <f t="shared" si="33"/>
        <v>0</v>
      </c>
    </row>
    <row r="22" spans="1:37" ht="15.75" thickBot="1">
      <c r="A22" s="4">
        <f>ELEC!C22</f>
        <v>44247</v>
      </c>
      <c r="B22" s="541">
        <f t="shared" si="35"/>
        <v>9615</v>
      </c>
      <c r="C22" s="287">
        <f t="shared" si="11"/>
        <v>0</v>
      </c>
      <c r="D22" s="542">
        <f t="shared" si="36"/>
        <v>325233</v>
      </c>
      <c r="E22" s="287">
        <f t="shared" si="12"/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4"/>
        <v>ok</v>
      </c>
      <c r="R22" s="542">
        <f t="shared" si="17"/>
        <v>11802</v>
      </c>
      <c r="S22" s="287">
        <f t="shared" si="5"/>
        <v>0</v>
      </c>
      <c r="T22" s="542">
        <f t="shared" si="18"/>
        <v>379778</v>
      </c>
      <c r="U22" s="287">
        <f t="shared" si="38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9">IF(R22-X22&lt;=0,"ok","oil change")</f>
        <v>ok</v>
      </c>
      <c r="Z22" s="287">
        <f t="shared" si="8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9"/>
        <v>0.25738396624472576</v>
      </c>
      <c r="AK22" s="289">
        <f t="shared" si="33"/>
        <v>0</v>
      </c>
    </row>
    <row r="23" spans="1:37" ht="15.75" thickBot="1">
      <c r="A23" s="4">
        <f>ELEC!C23</f>
        <v>44248</v>
      </c>
      <c r="B23" s="541">
        <f t="shared" si="35"/>
        <v>9615</v>
      </c>
      <c r="C23" s="287">
        <f t="shared" si="11"/>
        <v>0</v>
      </c>
      <c r="D23" s="542">
        <f t="shared" si="36"/>
        <v>325233</v>
      </c>
      <c r="E23" s="287">
        <f t="shared" si="12"/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4"/>
        <v>ok</v>
      </c>
      <c r="R23" s="542">
        <f t="shared" si="17"/>
        <v>11802</v>
      </c>
      <c r="S23" s="287">
        <f t="shared" si="5"/>
        <v>0</v>
      </c>
      <c r="T23" s="542">
        <f t="shared" si="18"/>
        <v>379778</v>
      </c>
      <c r="U23" s="287">
        <f t="shared" si="38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9"/>
        <v>ok</v>
      </c>
      <c r="Z23" s="287">
        <f t="shared" si="8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9"/>
        <v>0.25738396624472576</v>
      </c>
      <c r="AK23" s="289">
        <f t="shared" si="33"/>
        <v>0</v>
      </c>
    </row>
    <row r="24" spans="1:37" ht="15.75" thickBot="1">
      <c r="A24" s="4">
        <f>ELEC!C24</f>
        <v>44249</v>
      </c>
      <c r="B24" s="541">
        <f t="shared" si="35"/>
        <v>9615</v>
      </c>
      <c r="C24" s="287">
        <f t="shared" si="11"/>
        <v>0</v>
      </c>
      <c r="D24" s="542">
        <f t="shared" si="36"/>
        <v>325233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4"/>
        <v>ok</v>
      </c>
      <c r="R24" s="542">
        <f t="shared" si="17"/>
        <v>11802</v>
      </c>
      <c r="S24" s="287">
        <f t="shared" si="5"/>
        <v>0</v>
      </c>
      <c r="T24" s="542">
        <f t="shared" si="18"/>
        <v>379778</v>
      </c>
      <c r="U24" s="287">
        <f t="shared" si="38"/>
        <v>0</v>
      </c>
      <c r="V24" s="287">
        <f t="shared" si="19"/>
        <v>0</v>
      </c>
      <c r="W24" s="196"/>
      <c r="X24" s="288">
        <f t="shared" si="20"/>
        <v>11898</v>
      </c>
      <c r="Y24" s="287" t="str">
        <f t="shared" si="39"/>
        <v>ok</v>
      </c>
      <c r="Z24" s="287">
        <f t="shared" si="8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9"/>
        <v>0.25738396624472576</v>
      </c>
      <c r="AK24" s="289">
        <f t="shared" si="33"/>
        <v>0</v>
      </c>
    </row>
    <row r="25" spans="1:37" ht="15.75" thickBot="1">
      <c r="A25" s="4">
        <f>ELEC!C25</f>
        <v>44250</v>
      </c>
      <c r="B25" s="541">
        <f t="shared" si="35"/>
        <v>9615</v>
      </c>
      <c r="C25" s="287">
        <f t="shared" si="11"/>
        <v>0</v>
      </c>
      <c r="D25" s="542">
        <f t="shared" si="36"/>
        <v>325233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4"/>
        <v>ok</v>
      </c>
      <c r="R25" s="542">
        <f t="shared" si="17"/>
        <v>11802</v>
      </c>
      <c r="S25" s="287">
        <f t="shared" si="5"/>
        <v>0</v>
      </c>
      <c r="T25" s="542">
        <f t="shared" si="18"/>
        <v>379778</v>
      </c>
      <c r="U25" s="287">
        <f t="shared" si="38"/>
        <v>0</v>
      </c>
      <c r="V25" s="287">
        <f t="shared" si="19"/>
        <v>0</v>
      </c>
      <c r="W25" s="196"/>
      <c r="X25" s="288">
        <f t="shared" si="20"/>
        <v>11898</v>
      </c>
      <c r="Y25" s="287" t="str">
        <f t="shared" si="39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9"/>
        <v>0.25738396624472576</v>
      </c>
      <c r="AK25" s="289">
        <f t="shared" si="33"/>
        <v>0</v>
      </c>
    </row>
    <row r="26" spans="1:37" ht="15.75" thickBot="1">
      <c r="A26" s="4">
        <f>ELEC!C26</f>
        <v>44251</v>
      </c>
      <c r="B26" s="541">
        <f t="shared" si="35"/>
        <v>9615</v>
      </c>
      <c r="C26" s="287">
        <f t="shared" si="11"/>
        <v>0</v>
      </c>
      <c r="D26" s="542">
        <f t="shared" si="36"/>
        <v>325233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4"/>
        <v>ok</v>
      </c>
      <c r="R26" s="542">
        <f t="shared" si="17"/>
        <v>11802</v>
      </c>
      <c r="S26" s="287">
        <f t="shared" si="5"/>
        <v>0</v>
      </c>
      <c r="T26" s="542">
        <f t="shared" si="18"/>
        <v>379778</v>
      </c>
      <c r="U26" s="287">
        <f t="shared" si="38"/>
        <v>0</v>
      </c>
      <c r="V26" s="287">
        <f t="shared" si="19"/>
        <v>0</v>
      </c>
      <c r="W26" s="196"/>
      <c r="X26" s="288">
        <f t="shared" si="20"/>
        <v>11898</v>
      </c>
      <c r="Y26" s="287" t="str">
        <f t="shared" si="39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9"/>
        <v>0.25738396624472576</v>
      </c>
      <c r="AK26" s="289">
        <f t="shared" si="33"/>
        <v>0</v>
      </c>
    </row>
    <row r="27" spans="1:37" ht="15.75" thickBot="1">
      <c r="A27" s="4">
        <f>ELEC!C27</f>
        <v>44252</v>
      </c>
      <c r="B27" s="541">
        <f t="shared" si="35"/>
        <v>9615</v>
      </c>
      <c r="C27" s="287">
        <f t="shared" si="11"/>
        <v>0</v>
      </c>
      <c r="D27" s="542">
        <f t="shared" si="36"/>
        <v>325233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4"/>
        <v>ok</v>
      </c>
      <c r="R27" s="542">
        <f t="shared" si="17"/>
        <v>11802</v>
      </c>
      <c r="S27" s="287">
        <f t="shared" si="5"/>
        <v>0</v>
      </c>
      <c r="T27" s="542">
        <f t="shared" si="18"/>
        <v>379778</v>
      </c>
      <c r="U27" s="287">
        <f t="shared" si="38"/>
        <v>0</v>
      </c>
      <c r="V27" s="287">
        <f t="shared" si="19"/>
        <v>0</v>
      </c>
      <c r="W27" s="196"/>
      <c r="X27" s="288">
        <f t="shared" si="20"/>
        <v>11898</v>
      </c>
      <c r="Y27" s="287" t="str">
        <f t="shared" si="39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3"/>
        <v>0</v>
      </c>
    </row>
    <row r="28" spans="1:37" ht="15.75" thickBot="1">
      <c r="A28" s="4">
        <f>ELEC!C28</f>
        <v>44253</v>
      </c>
      <c r="B28" s="541">
        <f t="shared" si="35"/>
        <v>9615</v>
      </c>
      <c r="C28" s="287">
        <f t="shared" si="11"/>
        <v>0</v>
      </c>
      <c r="D28" s="542">
        <f t="shared" si="36"/>
        <v>325233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4"/>
        <v>ok</v>
      </c>
      <c r="R28" s="542">
        <f t="shared" si="17"/>
        <v>11802</v>
      </c>
      <c r="S28" s="287">
        <f t="shared" si="5"/>
        <v>0</v>
      </c>
      <c r="T28" s="542">
        <f t="shared" si="18"/>
        <v>379778</v>
      </c>
      <c r="U28" s="287">
        <f t="shared" si="38"/>
        <v>0</v>
      </c>
      <c r="V28" s="287">
        <f t="shared" si="19"/>
        <v>0</v>
      </c>
      <c r="W28" s="196"/>
      <c r="X28" s="288">
        <f t="shared" si="20"/>
        <v>11898</v>
      </c>
      <c r="Y28" s="287" t="str">
        <f t="shared" si="39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3"/>
        <v>0</v>
      </c>
    </row>
    <row r="29" spans="1:37" ht="15.75" thickBot="1">
      <c r="A29" s="4">
        <f>ELEC!C29</f>
        <v>44254</v>
      </c>
      <c r="B29" s="541">
        <f t="shared" si="35"/>
        <v>9615</v>
      </c>
      <c r="C29" s="287">
        <f t="shared" si="11"/>
        <v>0</v>
      </c>
      <c r="D29" s="542">
        <f t="shared" si="36"/>
        <v>325233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4"/>
        <v>ok</v>
      </c>
      <c r="R29" s="542">
        <f t="shared" si="17"/>
        <v>11802</v>
      </c>
      <c r="S29" s="287">
        <f t="shared" si="5"/>
        <v>0</v>
      </c>
      <c r="T29" s="542">
        <f t="shared" si="18"/>
        <v>379778</v>
      </c>
      <c r="U29" s="287">
        <f t="shared" si="38"/>
        <v>0</v>
      </c>
      <c r="V29" s="287">
        <f t="shared" si="19"/>
        <v>0</v>
      </c>
      <c r="W29" s="196"/>
      <c r="X29" s="288">
        <f t="shared" si="20"/>
        <v>11898</v>
      </c>
      <c r="Y29" s="287" t="str">
        <f t="shared" si="39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3"/>
        <v>0</v>
      </c>
    </row>
    <row r="30" spans="1:37">
      <c r="A30" s="4">
        <f>ELEC!C30</f>
        <v>44255</v>
      </c>
      <c r="B30" s="541">
        <f t="shared" si="35"/>
        <v>9615</v>
      </c>
      <c r="C30" s="287">
        <f t="shared" si="11"/>
        <v>0</v>
      </c>
      <c r="D30" s="542">
        <f t="shared" si="36"/>
        <v>325233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4"/>
        <v>ok</v>
      </c>
      <c r="R30" s="542">
        <f t="shared" si="17"/>
        <v>11802</v>
      </c>
      <c r="S30" s="287">
        <f t="shared" si="5"/>
        <v>0</v>
      </c>
      <c r="T30" s="542">
        <f t="shared" si="18"/>
        <v>379778</v>
      </c>
      <c r="U30" s="287">
        <f t="shared" si="38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9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3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81</v>
      </c>
      <c r="V31" s="40"/>
      <c r="X31">
        <v>341</v>
      </c>
      <c r="Z31" s="421">
        <f>SUM(Z3:Z30)</f>
        <v>81</v>
      </c>
    </row>
    <row r="32" spans="1:37">
      <c r="C32" s="40">
        <f>SUM(C3:C30)</f>
        <v>77</v>
      </c>
      <c r="K32" s="40">
        <f>SUM(K3:K30)</f>
        <v>0</v>
      </c>
      <c r="S32" s="40">
        <f>SUM(S3:S30)</f>
        <v>4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zoomScale="80" zoomScaleNormal="80" workbookViewId="0">
      <selection activeCell="K20" sqref="K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.7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104.05765475344367</v>
      </c>
      <c r="P4" s="297">
        <f>SUM(L4:O4)</f>
        <v>338.48020865062443</v>
      </c>
      <c r="Q4" s="297">
        <f>SUM(-tanks!AX6*tanks!$AU$34)</f>
        <v>370.24125268816618</v>
      </c>
      <c r="R4" s="297">
        <f>SUM(P4:Q4)</f>
        <v>708.72146133879062</v>
      </c>
      <c r="S4" s="299">
        <f>SUM(ELEC!N3)</f>
        <v>6404.3999999999069</v>
      </c>
      <c r="T4" s="336">
        <f>IF(S4&gt;0,R4/S4,0)</f>
        <v>0.11066164845087767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8"/>
      <c r="AC4" s="659"/>
    </row>
    <row r="5" spans="1:32" ht="15.7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104.05765475344367</v>
      </c>
      <c r="P5" s="297">
        <f t="shared" ref="P5:P31" si="9">SUM(L5:O5)</f>
        <v>323.5681025146377</v>
      </c>
      <c r="Q5" s="297">
        <f>SUM(-tanks!AX7*tanks!$AU$34)</f>
        <v>334.55506451612149</v>
      </c>
      <c r="R5" s="297">
        <f t="shared" ref="R5:R31" si="10">SUM(P5:Q5)</f>
        <v>658.12316703075919</v>
      </c>
      <c r="S5" s="299">
        <f>SUM(ELEC!N4)</f>
        <v>6622</v>
      </c>
      <c r="T5" s="336">
        <f>IF(S5&gt;0,R5/S5,0)</f>
        <v>9.9384350200960314E-2</v>
      </c>
      <c r="U5" s="250"/>
      <c r="V5" s="652"/>
      <c r="W5" s="653"/>
      <c r="X5" s="653"/>
      <c r="Y5" s="654"/>
      <c r="Z5" s="26" t="s">
        <v>203</v>
      </c>
      <c r="AA5" s="264">
        <f>'[7]EDl log'!AA22</f>
        <v>5000</v>
      </c>
      <c r="AB5" s="660"/>
      <c r="AC5" s="661"/>
    </row>
    <row r="6" spans="1:32" ht="15.7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104.05765475344367</v>
      </c>
      <c r="P6" s="297">
        <f t="shared" si="9"/>
        <v>270.51072274681019</v>
      </c>
      <c r="Q6" s="297">
        <f>SUM(-tanks!AX8*tanks!$AU$34)</f>
        <v>457.28975268818328</v>
      </c>
      <c r="R6" s="297">
        <f t="shared" si="10"/>
        <v>727.80047543499347</v>
      </c>
      <c r="S6" s="299">
        <f>SUM(ELEC!N5)</f>
        <v>6753</v>
      </c>
      <c r="T6" s="336">
        <f t="shared" ref="T6:T31" si="12">IF(S6&gt;0,R6/S6,0)</f>
        <v>0.10777439292684636</v>
      </c>
      <c r="V6" s="655"/>
      <c r="W6" s="656"/>
      <c r="X6" s="656"/>
      <c r="Y6" s="657"/>
      <c r="Z6" s="3"/>
      <c r="AA6" s="3"/>
      <c r="AB6" s="660"/>
      <c r="AC6" s="661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104.05765475344367</v>
      </c>
      <c r="P7" s="297">
        <f t="shared" si="9"/>
        <v>312.75284546654484</v>
      </c>
      <c r="Q7" s="297">
        <f>SUM(-tanks!AX9*tanks!$AU$34)</f>
        <v>445.09808602150952</v>
      </c>
      <c r="R7" s="297">
        <f t="shared" si="10"/>
        <v>757.85093148805436</v>
      </c>
      <c r="S7" s="299">
        <f>SUM(ELEC!N6)</f>
        <v>6587</v>
      </c>
      <c r="T7" s="336">
        <f t="shared" si="12"/>
        <v>0.11505251730500293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104.05765475344367</v>
      </c>
      <c r="P8" s="297">
        <f t="shared" si="9"/>
        <v>304.59098808677703</v>
      </c>
      <c r="Q8" s="297">
        <f>SUM(-tanks!AX10*tanks!$AU$34)</f>
        <v>-216.82289247312377</v>
      </c>
      <c r="R8" s="297">
        <f t="shared" si="10"/>
        <v>87.768095613653259</v>
      </c>
      <c r="S8" s="299">
        <f>SUM(ELEC!N7)</f>
        <v>5932</v>
      </c>
      <c r="T8" s="336">
        <f>IF(S8&gt;0,R8/S8,0)</f>
        <v>1.4795700541748695E-2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104.05765475344367</v>
      </c>
      <c r="P9" s="297">
        <f t="shared" si="9"/>
        <v>321.58335956273055</v>
      </c>
      <c r="Q9" s="297">
        <f>SUM(-tanks!AX11*tanks!$AU$34)</f>
        <v>262.86806451611437</v>
      </c>
      <c r="R9" s="297">
        <f>SUM(P9:Q9)</f>
        <v>584.45142407884487</v>
      </c>
      <c r="S9" s="299">
        <f>SUM(ELEC!N8)</f>
        <v>5977</v>
      </c>
      <c r="T9" s="336">
        <f t="shared" si="12"/>
        <v>9.7783407073589568E-2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.7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104.05765475344367</v>
      </c>
      <c r="P10" s="297">
        <f t="shared" si="9"/>
        <v>314.01586370866755</v>
      </c>
      <c r="Q10" s="297">
        <f>SUM(-tanks!AX12*tanks!$AU$34)</f>
        <v>462.16641935484284</v>
      </c>
      <c r="R10" s="297">
        <f t="shared" si="10"/>
        <v>776.18228306351034</v>
      </c>
      <c r="S10" s="299">
        <f>SUM(ELEC!N9)</f>
        <v>6551.2000000001863</v>
      </c>
      <c r="T10" s="336">
        <f t="shared" si="12"/>
        <v>0.11847940576741486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.7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104.05765475344367</v>
      </c>
      <c r="P11" s="297">
        <f t="shared" si="9"/>
        <v>316.97705773851828</v>
      </c>
      <c r="Q11" s="297">
        <f>SUM(-tanks!AX13*tanks!$AU$34)</f>
        <v>286.08099784947893</v>
      </c>
      <c r="R11" s="297">
        <f t="shared" si="10"/>
        <v>603.05805558799716</v>
      </c>
      <c r="S11" s="299">
        <f>SUM(ELEC!N10)</f>
        <v>6289.7999999998137</v>
      </c>
      <c r="T11" s="336">
        <f t="shared" si="12"/>
        <v>9.587873312156428E-2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.75" thickBot="1">
      <c r="A12" s="163">
        <f>ELEC!C11</f>
        <v>44236</v>
      </c>
      <c r="B12" s="540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40">
        <v>132337</v>
      </c>
      <c r="G12" s="160">
        <f t="shared" si="1"/>
        <v>219</v>
      </c>
      <c r="H12" s="540">
        <v>434813</v>
      </c>
      <c r="I12" s="161">
        <f t="shared" si="2"/>
        <v>880</v>
      </c>
      <c r="J12" s="540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104.05765475344367</v>
      </c>
      <c r="P12" s="297">
        <f t="shared" si="9"/>
        <v>261.08584712491961</v>
      </c>
      <c r="Q12" s="297">
        <f>SUM(-tanks!AX14*tanks!$AU$34)</f>
        <v>483.13608602149532</v>
      </c>
      <c r="R12" s="297">
        <f t="shared" si="10"/>
        <v>744.22193314641493</v>
      </c>
      <c r="S12" s="299">
        <f>SUM(ELEC!N11)</f>
        <v>7008</v>
      </c>
      <c r="T12" s="336">
        <f t="shared" si="12"/>
        <v>0.10619605210422588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.75" thickBot="1">
      <c r="A13" s="163">
        <f>ELEC!C12</f>
        <v>44237</v>
      </c>
      <c r="B13" s="540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40">
        <v>132662</v>
      </c>
      <c r="G13" s="160">
        <f t="shared" si="1"/>
        <v>325</v>
      </c>
      <c r="H13" s="540">
        <v>435479</v>
      </c>
      <c r="I13" s="161">
        <f t="shared" si="2"/>
        <v>666</v>
      </c>
      <c r="J13" s="540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104.05765475344367</v>
      </c>
      <c r="P13" s="297">
        <f t="shared" si="9"/>
        <v>253.41221528412362</v>
      </c>
      <c r="Q13" s="297">
        <f>SUM(-tanks!AX15*tanks!$AU$34)</f>
        <v>782.24879569892391</v>
      </c>
      <c r="R13" s="297">
        <f t="shared" si="10"/>
        <v>1035.6610109830476</v>
      </c>
      <c r="S13" s="299">
        <f>SUM(ELEC!N12)</f>
        <v>7276</v>
      </c>
      <c r="T13" s="336">
        <f>IF(S13&gt;0,R13/S13,0)</f>
        <v>0.14233933630883008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.75" thickBot="1">
      <c r="A14" s="163">
        <f>ELEC!C13</f>
        <v>44238</v>
      </c>
      <c r="B14" s="540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40">
        <v>132888</v>
      </c>
      <c r="G14" s="160">
        <f t="shared" si="1"/>
        <v>226</v>
      </c>
      <c r="H14" s="540">
        <v>436178</v>
      </c>
      <c r="I14" s="161">
        <f t="shared" si="2"/>
        <v>699</v>
      </c>
      <c r="J14" s="540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104.05765475344367</v>
      </c>
      <c r="P14" s="297">
        <f t="shared" ref="P14:P17" si="17">SUM(L14:O14)</f>
        <v>249.33659339357635</v>
      </c>
      <c r="Q14" s="297">
        <f>SUM(-tanks!AX16*tanks!$AU$34)</f>
        <v>624.4021075268904</v>
      </c>
      <c r="R14" s="297">
        <f t="shared" ref="R14:R17" si="18">SUM(P14:Q14)</f>
        <v>873.73870092046673</v>
      </c>
      <c r="S14" s="299">
        <f>SUM(ELEC!N13)</f>
        <v>7236</v>
      </c>
      <c r="T14" s="336">
        <f t="shared" ref="T14:T17" si="19">IF(S14&gt;0,R14/S14,0)</f>
        <v>0.12074885308464162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.75" thickBot="1">
      <c r="A15" s="163">
        <f>ELEC!C14</f>
        <v>44239</v>
      </c>
      <c r="B15" s="540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40">
        <v>133233</v>
      </c>
      <c r="G15" s="160">
        <f t="shared" si="1"/>
        <v>345</v>
      </c>
      <c r="H15" s="540">
        <v>436879</v>
      </c>
      <c r="I15" s="161">
        <f t="shared" si="2"/>
        <v>701</v>
      </c>
      <c r="J15" s="540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104.05765475344367</v>
      </c>
      <c r="P15" s="297">
        <f t="shared" si="17"/>
        <v>262.27457017632923</v>
      </c>
      <c r="Q15" s="297">
        <f>SUM(-tanks!AX17*tanks!$AU$34)</f>
        <v>368.69173118279525</v>
      </c>
      <c r="R15" s="297">
        <f t="shared" si="18"/>
        <v>630.96630135912449</v>
      </c>
      <c r="S15" s="299">
        <f>SUM(ELEC!N14)</f>
        <v>5643</v>
      </c>
      <c r="T15" s="336">
        <f t="shared" si="19"/>
        <v>0.11181398216535965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.75" thickBot="1">
      <c r="A16" s="163">
        <f>ELEC!C15</f>
        <v>44240</v>
      </c>
      <c r="B16" s="540">
        <v>880551</v>
      </c>
      <c r="C16" s="264">
        <f t="shared" si="0"/>
        <v>1808</v>
      </c>
      <c r="D16" s="308">
        <f t="shared" si="8"/>
        <v>1809</v>
      </c>
      <c r="E16" s="308">
        <f t="shared" si="11"/>
        <v>880552</v>
      </c>
      <c r="F16" s="540">
        <v>133505</v>
      </c>
      <c r="G16" s="160">
        <f t="shared" si="1"/>
        <v>272</v>
      </c>
      <c r="H16" s="540">
        <v>437592</v>
      </c>
      <c r="I16" s="161">
        <f t="shared" si="2"/>
        <v>713</v>
      </c>
      <c r="J16" s="540">
        <v>309453</v>
      </c>
      <c r="K16" s="162">
        <f t="shared" si="13"/>
        <v>824</v>
      </c>
      <c r="L16" s="296">
        <f t="shared" si="14"/>
        <v>57.737976782752902</v>
      </c>
      <c r="M16" s="296">
        <f t="shared" si="15"/>
        <v>52.97247097844113</v>
      </c>
      <c r="N16" s="296">
        <f t="shared" si="16"/>
        <v>43.728026533996683</v>
      </c>
      <c r="O16" s="296">
        <f t="shared" si="7"/>
        <v>104.05765475344367</v>
      </c>
      <c r="P16" s="297">
        <f t="shared" si="17"/>
        <v>258.49612904863437</v>
      </c>
      <c r="Q16" s="297">
        <f>SUM(-tanks!AX18*tanks!$AU$34)</f>
        <v>610.74744086020962</v>
      </c>
      <c r="R16" s="297">
        <f t="shared" si="18"/>
        <v>869.24356990884394</v>
      </c>
      <c r="S16" s="299">
        <f>SUM(ELEC!N15)</f>
        <v>6507</v>
      </c>
      <c r="T16" s="336">
        <f t="shared" si="19"/>
        <v>0.13358591822788443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.75" thickBot="1">
      <c r="A17" s="163">
        <f>ELEC!C16</f>
        <v>44241</v>
      </c>
      <c r="B17" s="540">
        <v>882600</v>
      </c>
      <c r="C17" s="264">
        <f t="shared" si="0"/>
        <v>2049</v>
      </c>
      <c r="D17" s="308">
        <f t="shared" si="8"/>
        <v>2049</v>
      </c>
      <c r="E17" s="308">
        <f t="shared" si="11"/>
        <v>882600</v>
      </c>
      <c r="F17" s="540">
        <v>133795</v>
      </c>
      <c r="G17" s="160">
        <f t="shared" si="1"/>
        <v>290</v>
      </c>
      <c r="H17" s="540">
        <v>438400</v>
      </c>
      <c r="I17" s="161">
        <f t="shared" si="2"/>
        <v>808</v>
      </c>
      <c r="J17" s="540">
        <v>310404</v>
      </c>
      <c r="K17" s="162">
        <f t="shared" si="13"/>
        <v>951</v>
      </c>
      <c r="L17" s="296">
        <f t="shared" si="14"/>
        <v>61.558872305140959</v>
      </c>
      <c r="M17" s="296">
        <f t="shared" si="15"/>
        <v>60.03051409618574</v>
      </c>
      <c r="N17" s="296">
        <f t="shared" si="16"/>
        <v>50.46766169154229</v>
      </c>
      <c r="O17" s="296">
        <f t="shared" si="7"/>
        <v>104.05765475344367</v>
      </c>
      <c r="P17" s="297">
        <f t="shared" si="17"/>
        <v>276.11470284631264</v>
      </c>
      <c r="Q17" s="297">
        <f>SUM(-tanks!AX19*tanks!$AU$34)</f>
        <v>698.857795698931</v>
      </c>
      <c r="R17" s="297">
        <f t="shared" si="18"/>
        <v>974.97249854524364</v>
      </c>
      <c r="S17" s="299">
        <f>SUM(ELEC!N16)</f>
        <v>7439</v>
      </c>
      <c r="T17" s="336">
        <f t="shared" si="19"/>
        <v>0.13106230656610346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.75" thickBot="1">
      <c r="A18" s="163">
        <f>ELEC!C17</f>
        <v>44242</v>
      </c>
      <c r="B18" s="540">
        <v>884518</v>
      </c>
      <c r="C18" s="264">
        <f t="shared" si="0"/>
        <v>1918</v>
      </c>
      <c r="D18" s="308">
        <f t="shared" si="8"/>
        <v>1918</v>
      </c>
      <c r="E18" s="308">
        <f t="shared" si="11"/>
        <v>884518</v>
      </c>
      <c r="F18" s="540">
        <v>134020</v>
      </c>
      <c r="G18" s="160">
        <f t="shared" si="1"/>
        <v>225</v>
      </c>
      <c r="H18" s="540">
        <v>439134</v>
      </c>
      <c r="I18" s="161">
        <f t="shared" si="2"/>
        <v>734</v>
      </c>
      <c r="J18" s="540">
        <v>311363</v>
      </c>
      <c r="K18" s="162">
        <f t="shared" si="3"/>
        <v>959</v>
      </c>
      <c r="L18" s="296">
        <f t="shared" ref="L18:L31" si="20">SUM(G18*$Y$28)/1507.5</f>
        <v>47.761194029850749</v>
      </c>
      <c r="M18" s="296">
        <f t="shared" ref="M18:M31" si="21">SUM(I18*$Y$27)/1507.5</f>
        <v>54.532669983416255</v>
      </c>
      <c r="N18" s="296">
        <f t="shared" ref="N18:N31" si="22">SUM(K18*$Y$26)/1507.5</f>
        <v>50.892205638474294</v>
      </c>
      <c r="O18" s="296">
        <f t="shared" si="7"/>
        <v>104.05765475344367</v>
      </c>
      <c r="P18" s="297">
        <f t="shared" si="9"/>
        <v>257.24372440518499</v>
      </c>
      <c r="Q18" s="297">
        <f>SUM(-tanks!AX20*tanks!$AU$34)</f>
        <v>526.53841935483581</v>
      </c>
      <c r="R18" s="297">
        <f t="shared" si="10"/>
        <v>783.78214376002074</v>
      </c>
      <c r="S18" s="299">
        <f>SUM(ELEC!N17)</f>
        <v>7469</v>
      </c>
      <c r="T18" s="336">
        <f t="shared" si="12"/>
        <v>0.10493802969072442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.75" thickBot="1">
      <c r="A19" s="163">
        <f>ELEC!C18</f>
        <v>44243</v>
      </c>
      <c r="B19" s="540">
        <v>886485</v>
      </c>
      <c r="C19" s="264">
        <f t="shared" si="0"/>
        <v>1967</v>
      </c>
      <c r="D19" s="308">
        <f t="shared" si="8"/>
        <v>1968</v>
      </c>
      <c r="E19" s="308">
        <f t="shared" si="11"/>
        <v>886486</v>
      </c>
      <c r="F19" s="540">
        <v>134501</v>
      </c>
      <c r="G19" s="160">
        <f t="shared" si="1"/>
        <v>481</v>
      </c>
      <c r="H19" s="540">
        <v>439964</v>
      </c>
      <c r="I19" s="161">
        <f t="shared" si="2"/>
        <v>830</v>
      </c>
      <c r="J19" s="540">
        <v>312020</v>
      </c>
      <c r="K19" s="162">
        <f t="shared" si="3"/>
        <v>657</v>
      </c>
      <c r="L19" s="296">
        <f t="shared" si="20"/>
        <v>102.1028192371476</v>
      </c>
      <c r="M19" s="296">
        <f t="shared" si="21"/>
        <v>61.665008291873967</v>
      </c>
      <c r="N19" s="296">
        <f t="shared" si="22"/>
        <v>34.865671641791046</v>
      </c>
      <c r="O19" s="296">
        <f t="shared" si="7"/>
        <v>104.05765475344367</v>
      </c>
      <c r="P19" s="297">
        <f t="shared" si="9"/>
        <v>302.69115392425624</v>
      </c>
      <c r="Q19" s="297">
        <f>SUM(-tanks!AX21*tanks!$AU$34)</f>
        <v>-340.56437634408098</v>
      </c>
      <c r="R19" s="297">
        <f t="shared" si="10"/>
        <v>-37.873222419824742</v>
      </c>
      <c r="S19" s="299">
        <f>SUM(ELEC!N18)</f>
        <v>5934</v>
      </c>
      <c r="T19" s="336">
        <f t="shared" si="12"/>
        <v>-6.3824102493806444E-3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.75" thickBot="1">
      <c r="A20" s="163">
        <f>ELEC!C19</f>
        <v>44244</v>
      </c>
      <c r="B20" s="540">
        <v>888071</v>
      </c>
      <c r="C20" s="264">
        <f t="shared" si="0"/>
        <v>1586</v>
      </c>
      <c r="D20" s="308">
        <f t="shared" si="8"/>
        <v>1584</v>
      </c>
      <c r="E20" s="308">
        <f t="shared" si="11"/>
        <v>888069</v>
      </c>
      <c r="F20" s="540">
        <v>134501</v>
      </c>
      <c r="G20" s="160">
        <f t="shared" si="1"/>
        <v>0</v>
      </c>
      <c r="H20" s="540">
        <v>440703</v>
      </c>
      <c r="I20" s="161">
        <f t="shared" si="2"/>
        <v>739</v>
      </c>
      <c r="J20" s="540">
        <v>312865</v>
      </c>
      <c r="K20" s="162">
        <f t="shared" si="3"/>
        <v>845</v>
      </c>
      <c r="L20" s="296">
        <f t="shared" si="20"/>
        <v>0</v>
      </c>
      <c r="M20" s="296">
        <f t="shared" si="21"/>
        <v>54.904145936981756</v>
      </c>
      <c r="N20" s="296">
        <f t="shared" si="22"/>
        <v>44.842454394693199</v>
      </c>
      <c r="O20" s="296">
        <f t="shared" si="7"/>
        <v>104.05765475344367</v>
      </c>
      <c r="P20" s="297">
        <f t="shared" si="9"/>
        <v>203.80425508511863</v>
      </c>
      <c r="Q20" s="297">
        <f>SUM(-tanks!AX22*tanks!$AU$34)</f>
        <v>872.30981720429054</v>
      </c>
      <c r="R20" s="297">
        <f t="shared" si="10"/>
        <v>1076.1140722894093</v>
      </c>
      <c r="S20" s="299">
        <f>SUM(ELEC!N19)</f>
        <v>7520</v>
      </c>
      <c r="T20" s="336">
        <f t="shared" si="12"/>
        <v>0.14310027557040017</v>
      </c>
      <c r="V20" t="s">
        <v>412</v>
      </c>
      <c r="AB20" s="571"/>
    </row>
    <row r="21" spans="1:32" ht="15.75" thickBot="1">
      <c r="A21" s="163">
        <f>ELEC!C20</f>
        <v>44245</v>
      </c>
      <c r="B21" s="540">
        <f t="shared" ref="B20:B31" si="23">B20</f>
        <v>888071</v>
      </c>
      <c r="C21" s="264">
        <f t="shared" si="0"/>
        <v>0</v>
      </c>
      <c r="D21" s="308">
        <f t="shared" si="8"/>
        <v>0</v>
      </c>
      <c r="E21" s="308">
        <f t="shared" si="11"/>
        <v>888071</v>
      </c>
      <c r="F21" s="540">
        <f t="shared" ref="F20:J31" si="24">F20</f>
        <v>134501</v>
      </c>
      <c r="G21" s="160">
        <f t="shared" si="1"/>
        <v>0</v>
      </c>
      <c r="H21" s="540">
        <f t="shared" si="24"/>
        <v>440703</v>
      </c>
      <c r="I21" s="161">
        <f t="shared" si="2"/>
        <v>0</v>
      </c>
      <c r="J21" s="540">
        <f t="shared" si="24"/>
        <v>312865</v>
      </c>
      <c r="K21" s="162">
        <f t="shared" si="3"/>
        <v>0</v>
      </c>
      <c r="L21" s="296">
        <f t="shared" si="20"/>
        <v>0</v>
      </c>
      <c r="M21" s="296">
        <f t="shared" si="21"/>
        <v>0</v>
      </c>
      <c r="N21" s="296">
        <f t="shared" si="22"/>
        <v>0</v>
      </c>
      <c r="O21" s="296">
        <f t="shared" si="7"/>
        <v>104.05765475344367</v>
      </c>
      <c r="P21" s="297">
        <f t="shared" si="9"/>
        <v>104.05765475344367</v>
      </c>
      <c r="Q21" s="297">
        <f>SUM(-tanks!AX23*tanks!$AU$34)</f>
        <v>0</v>
      </c>
      <c r="R21" s="297">
        <f t="shared" si="10"/>
        <v>104.05765475344367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8"/>
      <c r="AC21" s="659"/>
    </row>
    <row r="22" spans="1:32" ht="15.75" thickBot="1">
      <c r="A22" s="163">
        <f>ELEC!C21</f>
        <v>44246</v>
      </c>
      <c r="B22" s="540">
        <f t="shared" si="23"/>
        <v>888071</v>
      </c>
      <c r="C22" s="264">
        <f t="shared" si="0"/>
        <v>0</v>
      </c>
      <c r="D22" s="308">
        <f t="shared" si="8"/>
        <v>0</v>
      </c>
      <c r="E22" s="308">
        <f t="shared" si="11"/>
        <v>888071</v>
      </c>
      <c r="F22" s="540">
        <f t="shared" si="24"/>
        <v>134501</v>
      </c>
      <c r="G22" s="160">
        <f t="shared" si="1"/>
        <v>0</v>
      </c>
      <c r="H22" s="540">
        <f t="shared" si="24"/>
        <v>440703</v>
      </c>
      <c r="I22" s="161">
        <f t="shared" si="2"/>
        <v>0</v>
      </c>
      <c r="J22" s="540">
        <f t="shared" si="24"/>
        <v>312865</v>
      </c>
      <c r="K22" s="162">
        <f t="shared" si="3"/>
        <v>0</v>
      </c>
      <c r="L22" s="296">
        <f t="shared" si="20"/>
        <v>0</v>
      </c>
      <c r="M22" s="296">
        <f t="shared" si="21"/>
        <v>0</v>
      </c>
      <c r="N22" s="296">
        <f t="shared" si="22"/>
        <v>0</v>
      </c>
      <c r="O22" s="296">
        <f t="shared" si="7"/>
        <v>104.05765475344367</v>
      </c>
      <c r="P22" s="297">
        <f t="shared" si="9"/>
        <v>104.05765475344367</v>
      </c>
      <c r="Q22" s="297">
        <f>SUM(-tanks!AX24*tanks!$AU$34)</f>
        <v>0</v>
      </c>
      <c r="R22" s="297">
        <f t="shared" si="10"/>
        <v>104.05765475344367</v>
      </c>
      <c r="S22" s="299">
        <f>SUM(ELEC!N21)</f>
        <v>0</v>
      </c>
      <c r="T22" s="336">
        <f t="shared" si="12"/>
        <v>0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.75" thickBot="1">
      <c r="A23" s="163">
        <f>ELEC!C22</f>
        <v>44247</v>
      </c>
      <c r="B23" s="540">
        <f t="shared" si="23"/>
        <v>888071</v>
      </c>
      <c r="C23" s="264">
        <f t="shared" si="0"/>
        <v>0</v>
      </c>
      <c r="D23" s="308">
        <f t="shared" si="8"/>
        <v>0</v>
      </c>
      <c r="E23" s="308">
        <f t="shared" si="11"/>
        <v>888071</v>
      </c>
      <c r="F23" s="540">
        <f t="shared" si="24"/>
        <v>134501</v>
      </c>
      <c r="G23" s="160">
        <f t="shared" si="1"/>
        <v>0</v>
      </c>
      <c r="H23" s="540">
        <f t="shared" si="24"/>
        <v>440703</v>
      </c>
      <c r="I23" s="161">
        <f t="shared" si="2"/>
        <v>0</v>
      </c>
      <c r="J23" s="540">
        <f t="shared" si="24"/>
        <v>312865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7"/>
        <v>104.05765475344367</v>
      </c>
      <c r="P23" s="297">
        <f t="shared" si="9"/>
        <v>104.05765475344367</v>
      </c>
      <c r="Q23" s="297">
        <f>SUM(-tanks!AX25*tanks!$AU$34)</f>
        <v>0</v>
      </c>
      <c r="R23" s="297">
        <f t="shared" si="10"/>
        <v>104.05765475344367</v>
      </c>
      <c r="S23" s="299">
        <f>SUM(ELEC!N22)</f>
        <v>0</v>
      </c>
      <c r="T23" s="336">
        <f t="shared" si="12"/>
        <v>0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44248</v>
      </c>
      <c r="B24" s="540">
        <f t="shared" si="23"/>
        <v>888071</v>
      </c>
      <c r="C24" s="264">
        <f t="shared" si="0"/>
        <v>0</v>
      </c>
      <c r="D24" s="308">
        <f t="shared" si="8"/>
        <v>0</v>
      </c>
      <c r="E24" s="308">
        <f t="shared" si="11"/>
        <v>888071</v>
      </c>
      <c r="F24" s="540">
        <f t="shared" si="24"/>
        <v>134501</v>
      </c>
      <c r="G24" s="160">
        <f t="shared" si="1"/>
        <v>0</v>
      </c>
      <c r="H24" s="540">
        <f t="shared" si="24"/>
        <v>440703</v>
      </c>
      <c r="I24" s="161">
        <f t="shared" si="2"/>
        <v>0</v>
      </c>
      <c r="J24" s="540">
        <f t="shared" si="24"/>
        <v>312865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7"/>
        <v>104.05765475344367</v>
      </c>
      <c r="P24" s="297">
        <f t="shared" si="9"/>
        <v>104.05765475344367</v>
      </c>
      <c r="Q24" s="297">
        <f>SUM(-tanks!AX26*tanks!$AU$34)</f>
        <v>0</v>
      </c>
      <c r="R24" s="297">
        <f t="shared" si="10"/>
        <v>104.05765475344367</v>
      </c>
      <c r="S24" s="299">
        <f>SUM(ELEC!N23)</f>
        <v>0</v>
      </c>
      <c r="T24" s="336">
        <f t="shared" si="12"/>
        <v>0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44249</v>
      </c>
      <c r="B25" s="540">
        <f t="shared" si="23"/>
        <v>888071</v>
      </c>
      <c r="C25" s="264">
        <f t="shared" si="0"/>
        <v>0</v>
      </c>
      <c r="D25" s="308">
        <f t="shared" si="8"/>
        <v>0</v>
      </c>
      <c r="E25" s="308">
        <f t="shared" si="11"/>
        <v>888071</v>
      </c>
      <c r="F25" s="540">
        <f t="shared" si="24"/>
        <v>134501</v>
      </c>
      <c r="G25" s="160">
        <f t="shared" si="1"/>
        <v>0</v>
      </c>
      <c r="H25" s="540">
        <f t="shared" si="24"/>
        <v>440703</v>
      </c>
      <c r="I25" s="161">
        <f t="shared" si="2"/>
        <v>0</v>
      </c>
      <c r="J25" s="540">
        <f t="shared" si="24"/>
        <v>312865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7"/>
        <v>104.05765475344367</v>
      </c>
      <c r="P25" s="297">
        <f t="shared" si="9"/>
        <v>104.05765475344367</v>
      </c>
      <c r="Q25" s="297">
        <f>SUM(-tanks!AX27*tanks!$AU$34)</f>
        <v>0</v>
      </c>
      <c r="R25" s="297">
        <f t="shared" si="10"/>
        <v>104.05765475344367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44250</v>
      </c>
      <c r="B26" s="540">
        <f t="shared" si="23"/>
        <v>888071</v>
      </c>
      <c r="C26" s="264">
        <f t="shared" si="0"/>
        <v>0</v>
      </c>
      <c r="D26" s="308">
        <f t="shared" si="8"/>
        <v>0</v>
      </c>
      <c r="E26" s="308">
        <f t="shared" si="11"/>
        <v>888071</v>
      </c>
      <c r="F26" s="540">
        <f t="shared" si="24"/>
        <v>134501</v>
      </c>
      <c r="G26" s="160">
        <f t="shared" si="1"/>
        <v>0</v>
      </c>
      <c r="H26" s="540">
        <f t="shared" si="24"/>
        <v>440703</v>
      </c>
      <c r="I26" s="161">
        <f t="shared" si="2"/>
        <v>0</v>
      </c>
      <c r="J26" s="540">
        <f t="shared" si="24"/>
        <v>312865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7"/>
        <v>104.05765475344367</v>
      </c>
      <c r="P26" s="297">
        <f t="shared" si="9"/>
        <v>104.05765475344367</v>
      </c>
      <c r="Q26" s="297">
        <f>SUM(-tanks!AX28*tanks!$AU$34)</f>
        <v>0</v>
      </c>
      <c r="R26" s="297">
        <f t="shared" si="10"/>
        <v>104.05765475344367</v>
      </c>
      <c r="S26" s="299">
        <f>SUM(ELEC!N25)</f>
        <v>0</v>
      </c>
      <c r="T26" s="336">
        <f t="shared" si="12"/>
        <v>0</v>
      </c>
      <c r="V26" s="254">
        <f>W9</f>
        <v>297890</v>
      </c>
      <c r="W26" s="170">
        <f>J31</f>
        <v>312865</v>
      </c>
      <c r="X26" s="172" t="s">
        <v>199</v>
      </c>
      <c r="Y26" s="172">
        <v>80</v>
      </c>
      <c r="Z26" s="172">
        <v>1</v>
      </c>
      <c r="AA26" s="338">
        <f>(W26-V26)*Z26</f>
        <v>14975</v>
      </c>
      <c r="AB26" s="338">
        <f>AA26*Y26</f>
        <v>1198000</v>
      </c>
      <c r="AC26" s="249">
        <f>AC9</f>
        <v>1033333</v>
      </c>
      <c r="AD26" s="212">
        <f>SUM(K33)</f>
        <v>0.40673537523588327</v>
      </c>
    </row>
    <row r="27" spans="1:32" ht="15.75" thickBot="1">
      <c r="A27" s="163">
        <f>ELEC!C26</f>
        <v>44251</v>
      </c>
      <c r="B27" s="540">
        <f t="shared" si="23"/>
        <v>888071</v>
      </c>
      <c r="C27" s="264">
        <f t="shared" si="0"/>
        <v>0</v>
      </c>
      <c r="D27" s="308">
        <f t="shared" si="8"/>
        <v>0</v>
      </c>
      <c r="E27" s="308">
        <f t="shared" si="11"/>
        <v>888071</v>
      </c>
      <c r="F27" s="540">
        <f t="shared" si="24"/>
        <v>134501</v>
      </c>
      <c r="G27" s="160">
        <f t="shared" si="1"/>
        <v>0</v>
      </c>
      <c r="H27" s="540">
        <f t="shared" si="24"/>
        <v>440703</v>
      </c>
      <c r="I27" s="161">
        <f t="shared" si="2"/>
        <v>0</v>
      </c>
      <c r="J27" s="540">
        <f t="shared" si="24"/>
        <v>312865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7"/>
        <v>104.05765475344367</v>
      </c>
      <c r="P27" s="297">
        <f t="shared" si="9"/>
        <v>104.05765475344367</v>
      </c>
      <c r="Q27" s="297">
        <f>SUM(-tanks!AX29*tanks!$AU$34)</f>
        <v>0</v>
      </c>
      <c r="R27" s="297">
        <f t="shared" si="10"/>
        <v>104.05765475344367</v>
      </c>
      <c r="S27" s="299">
        <f>SUM(ELEC!N26)</f>
        <v>0</v>
      </c>
      <c r="T27" s="336">
        <f t="shared" si="12"/>
        <v>0</v>
      </c>
      <c r="V27" s="254">
        <f t="shared" ref="V27:V28" si="25">W10</f>
        <v>425107</v>
      </c>
      <c r="W27" s="170">
        <f>H31</f>
        <v>440703</v>
      </c>
      <c r="X27" s="172" t="s">
        <v>213</v>
      </c>
      <c r="Y27" s="172">
        <v>112</v>
      </c>
      <c r="Z27" s="172">
        <v>1</v>
      </c>
      <c r="AA27" s="338">
        <f>(W27-V27)*Z27</f>
        <v>15596</v>
      </c>
      <c r="AB27" s="338">
        <f>SUM(AA27*Y27)</f>
        <v>1746752</v>
      </c>
      <c r="AC27" s="249">
        <f>AC10</f>
        <v>6200000</v>
      </c>
      <c r="AD27" s="212">
        <f>SUM(I33)</f>
        <v>0.42563507040209025</v>
      </c>
    </row>
    <row r="28" spans="1:32" ht="15.75" thickBot="1">
      <c r="A28" s="163">
        <f>ELEC!C27</f>
        <v>44252</v>
      </c>
      <c r="B28" s="540">
        <f t="shared" si="23"/>
        <v>888071</v>
      </c>
      <c r="C28" s="264">
        <f t="shared" si="0"/>
        <v>0</v>
      </c>
      <c r="D28" s="308">
        <f t="shared" si="8"/>
        <v>0</v>
      </c>
      <c r="E28" s="308">
        <f t="shared" si="11"/>
        <v>888071</v>
      </c>
      <c r="F28" s="540">
        <f t="shared" si="24"/>
        <v>134501</v>
      </c>
      <c r="G28" s="160">
        <f t="shared" si="1"/>
        <v>0</v>
      </c>
      <c r="H28" s="540">
        <f t="shared" si="24"/>
        <v>440703</v>
      </c>
      <c r="I28" s="161">
        <f t="shared" si="2"/>
        <v>0</v>
      </c>
      <c r="J28" s="540">
        <f t="shared" si="24"/>
        <v>312865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104.05765475344367</v>
      </c>
      <c r="P28" s="297">
        <f t="shared" si="9"/>
        <v>104.05765475344367</v>
      </c>
      <c r="Q28" s="297">
        <f>SUM(-tanks!AX30*tanks!$AU$34)</f>
        <v>0</v>
      </c>
      <c r="R28" s="297">
        <f t="shared" si="10"/>
        <v>104.05765475344367</v>
      </c>
      <c r="S28" s="299">
        <f>SUM(ELEC!N27)</f>
        <v>0</v>
      </c>
      <c r="T28" s="336">
        <f t="shared" si="12"/>
        <v>0</v>
      </c>
      <c r="V28" s="254">
        <f t="shared" si="25"/>
        <v>128283</v>
      </c>
      <c r="W28" s="170">
        <f>F31</f>
        <v>134501</v>
      </c>
      <c r="X28" s="172" t="s">
        <v>197</v>
      </c>
      <c r="Y28" s="172">
        <v>320</v>
      </c>
      <c r="Z28" s="172">
        <v>1</v>
      </c>
      <c r="AA28" s="338">
        <f>(W28-V28)*Z28</f>
        <v>6218</v>
      </c>
      <c r="AB28" s="338">
        <f>SUM(AA28*Y28)</f>
        <v>1989760</v>
      </c>
      <c r="AC28" s="249">
        <f>AC11</f>
        <v>1000</v>
      </c>
      <c r="AD28" s="212">
        <f>SUM(G33)</f>
        <v>0.16757149078240671</v>
      </c>
      <c r="AE28" s="40">
        <f>SUM(AB28*5%)</f>
        <v>99488</v>
      </c>
      <c r="AF28" s="82">
        <f>SUM(AE28/7)*31</f>
        <v>440589.71428571432</v>
      </c>
    </row>
    <row r="29" spans="1:32" ht="15.75" thickBot="1">
      <c r="A29" s="163">
        <f>ELEC!C28</f>
        <v>44253</v>
      </c>
      <c r="B29" s="540">
        <f t="shared" si="23"/>
        <v>888071</v>
      </c>
      <c r="C29" s="264">
        <f t="shared" si="0"/>
        <v>0</v>
      </c>
      <c r="D29" s="308">
        <f t="shared" si="8"/>
        <v>0</v>
      </c>
      <c r="E29" s="308">
        <f t="shared" si="11"/>
        <v>888071</v>
      </c>
      <c r="F29" s="540">
        <f t="shared" si="24"/>
        <v>134501</v>
      </c>
      <c r="G29" s="160">
        <f t="shared" si="1"/>
        <v>0</v>
      </c>
      <c r="H29" s="540">
        <f t="shared" si="24"/>
        <v>440703</v>
      </c>
      <c r="I29" s="161">
        <f t="shared" si="2"/>
        <v>0</v>
      </c>
      <c r="J29" s="540">
        <f t="shared" si="24"/>
        <v>312865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104.05765475344367</v>
      </c>
      <c r="P29" s="297">
        <f t="shared" si="9"/>
        <v>104.05765475344367</v>
      </c>
      <c r="Q29" s="297">
        <f>SUM(-tanks!AX31*tanks!$AU$34)</f>
        <v>0</v>
      </c>
      <c r="R29" s="297">
        <f t="shared" si="10"/>
        <v>104.05765475344367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36789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23"/>
        <v>888071</v>
      </c>
      <c r="C30" s="264">
        <f t="shared" si="0"/>
        <v>0</v>
      </c>
      <c r="D30" s="308">
        <f t="shared" si="8"/>
        <v>0</v>
      </c>
      <c r="E30" s="308">
        <f t="shared" si="11"/>
        <v>888071</v>
      </c>
      <c r="F30" s="540">
        <f t="shared" si="24"/>
        <v>134501</v>
      </c>
      <c r="G30" s="160">
        <f t="shared" si="1"/>
        <v>0</v>
      </c>
      <c r="H30" s="540">
        <f t="shared" si="24"/>
        <v>440703</v>
      </c>
      <c r="I30" s="161">
        <f t="shared" si="2"/>
        <v>0</v>
      </c>
      <c r="J30" s="540">
        <f t="shared" si="24"/>
        <v>312865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104.05765475344367</v>
      </c>
      <c r="P30" s="297">
        <f t="shared" si="9"/>
        <v>104.05765475344367</v>
      </c>
      <c r="Q30" s="297">
        <f>SUM(-tanks!AX32*tanks!$AU$34)</f>
        <v>0</v>
      </c>
      <c r="R30" s="297">
        <f t="shared" si="10"/>
        <v>104.05765475344367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4934512</v>
      </c>
      <c r="AC30" s="249">
        <f>SUM(AC26:AC29)/A34*A32</f>
        <v>4392273.6071428573</v>
      </c>
    </row>
    <row r="31" spans="1:32">
      <c r="A31" s="163">
        <f>ELEC!C30</f>
        <v>44255</v>
      </c>
      <c r="B31" s="540">
        <f t="shared" si="23"/>
        <v>888071</v>
      </c>
      <c r="C31" s="264">
        <f t="shared" si="0"/>
        <v>0</v>
      </c>
      <c r="D31" s="308">
        <f t="shared" si="8"/>
        <v>0</v>
      </c>
      <c r="E31" s="308">
        <f t="shared" si="11"/>
        <v>888071</v>
      </c>
      <c r="F31" s="540">
        <f t="shared" si="24"/>
        <v>134501</v>
      </c>
      <c r="G31" s="160">
        <f t="shared" si="1"/>
        <v>0</v>
      </c>
      <c r="H31" s="540">
        <f t="shared" si="24"/>
        <v>440703</v>
      </c>
      <c r="I31" s="161">
        <f t="shared" si="2"/>
        <v>0</v>
      </c>
      <c r="J31" s="540">
        <f t="shared" si="24"/>
        <v>312865</v>
      </c>
      <c r="K31" s="162">
        <f t="shared" si="3"/>
        <v>0</v>
      </c>
      <c r="L31" s="296">
        <f t="shared" si="20"/>
        <v>0</v>
      </c>
      <c r="M31" s="296">
        <f t="shared" si="21"/>
        <v>0</v>
      </c>
      <c r="N31" s="296">
        <f t="shared" si="22"/>
        <v>0</v>
      </c>
      <c r="O31" s="296">
        <f t="shared" si="7"/>
        <v>104.05765475344367</v>
      </c>
      <c r="P31" s="297">
        <f t="shared" si="9"/>
        <v>104.05765475344367</v>
      </c>
      <c r="Q31" s="297">
        <f>SUM(-tanks!AX33*tanks!$AU$34)</f>
        <v>0</v>
      </c>
      <c r="R31" s="297">
        <f t="shared" si="10"/>
        <v>104.05765475344367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81</v>
      </c>
      <c r="X31" s="222">
        <f>SUM(W31/A32)</f>
        <v>4.7647058823529411</v>
      </c>
      <c r="Y31" s="260">
        <f>SUM(X31/2)</f>
        <v>2.3823529411764706</v>
      </c>
      <c r="Z31" s="3"/>
      <c r="AA31" s="3"/>
      <c r="AB31" s="543">
        <f>SUM(AB30+AC31)</f>
        <v>9326785.6071428582</v>
      </c>
      <c r="AC31" s="249">
        <f>SUM(AC30)</f>
        <v>4392273.6071428573</v>
      </c>
    </row>
    <row r="32" spans="1:32" ht="15.75" thickBot="1">
      <c r="A32" s="539">
        <f>A34-COUNTIF(C4:C31,0)</f>
        <v>17</v>
      </c>
      <c r="C32" s="173">
        <f>SUM(C4:C31)/A32</f>
        <v>2026.1764705882354</v>
      </c>
      <c r="D32" s="173"/>
      <c r="E32" s="173"/>
      <c r="G32" s="173">
        <f>SUM(G4:G31)/A32</f>
        <v>339.52941176470586</v>
      </c>
      <c r="I32" s="173">
        <f>SUM(I4:I31)/A32</f>
        <v>862.41176470588232</v>
      </c>
      <c r="K32" s="173">
        <f>SUM(K4:K31)/A32</f>
        <v>824.11764705882354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156866.91454081633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.75" thickBot="1">
      <c r="A33" s="210"/>
      <c r="C33" s="212">
        <f>SUM(G33:K33)</f>
        <v>0.99994193642038032</v>
      </c>
      <c r="G33" s="225">
        <f>IF(C32&gt;0,G32/C32,0)</f>
        <v>0.16757149078240671</v>
      </c>
      <c r="H33" s="212"/>
      <c r="I33" s="225">
        <f>SUM(I32/C32)</f>
        <v>0.42563507040209025</v>
      </c>
      <c r="J33" s="212"/>
      <c r="K33" s="225">
        <f>SUM(K32/C32)</f>
        <v>0.40673537523588327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6186.9224591329075</v>
      </c>
      <c r="AC33" s="579"/>
    </row>
    <row r="34" spans="1:32" ht="15.7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2913.6143330964228</v>
      </c>
      <c r="Z35" s="40"/>
      <c r="AA35" s="292" t="s">
        <v>215</v>
      </c>
      <c r="AB35" s="293">
        <f>SUM(AB33)</f>
        <v>6186.9224591329075</v>
      </c>
    </row>
    <row r="36" spans="1:32">
      <c r="V36" s="217"/>
      <c r="W36" s="82">
        <f>(AB30+AB51)/1507.5</f>
        <v>3273.3081260364843</v>
      </c>
      <c r="X36" s="544"/>
      <c r="Z36" s="294">
        <f>SUM(AB35)</f>
        <v>6186.9224591329075</v>
      </c>
      <c r="AA36" s="293"/>
      <c r="AB36" s="293"/>
    </row>
    <row r="37" spans="1:32">
      <c r="V37" s="17"/>
      <c r="W37" s="82">
        <f>SUM(W35:W36)</f>
        <v>6186.9224591329075</v>
      </c>
      <c r="X37" s="544"/>
      <c r="Y37" s="82"/>
      <c r="Z37" s="294">
        <f>SUM(-tanks!AX34)*tanks!AU34</f>
        <v>7027.8445623655844</v>
      </c>
      <c r="AA37" s="101">
        <f>SUM(AB31/A32)</f>
        <v>548634.4474789917</v>
      </c>
      <c r="AB37" s="348">
        <f>SUM(AA37*A34)</f>
        <v>15361764.529411767</v>
      </c>
    </row>
    <row r="38" spans="1:32" ht="18.75">
      <c r="W38" s="82">
        <f>(AB30+AB51)/1507.5</f>
        <v>3273.3081260364843</v>
      </c>
      <c r="Z38" s="276">
        <f>SUM(Z36:Z37)</f>
        <v>13214.767021498492</v>
      </c>
      <c r="AA38" s="293">
        <f>SUM(AA37/1507.5)</f>
        <v>363.93661524311221</v>
      </c>
      <c r="AB38" s="347">
        <f>SUM(AB37/1507.5)</f>
        <v>10190.225226807142</v>
      </c>
    </row>
    <row r="39" spans="1:32">
      <c r="D39" s="519"/>
      <c r="E39" s="519"/>
      <c r="F39" s="519"/>
      <c r="W39" s="82">
        <f>SUM(W37:W38)</f>
        <v>9460.2305851693927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77"/>
      <c r="AC42" s="677"/>
      <c r="AD42" s="17"/>
      <c r="AE42" s="17"/>
      <c r="AF42" s="17"/>
    </row>
    <row r="43" spans="1:32">
      <c r="V43" s="677"/>
      <c r="W43" s="677"/>
      <c r="X43" s="677"/>
      <c r="Y43" s="677"/>
      <c r="Z43" s="548"/>
      <c r="AA43" s="548"/>
      <c r="AB43" s="677"/>
      <c r="AC43" s="677"/>
      <c r="AD43" s="17"/>
      <c r="AE43" s="17"/>
      <c r="AF43" s="17"/>
    </row>
    <row r="44" spans="1:32">
      <c r="V44" s="677"/>
      <c r="W44" s="677"/>
      <c r="X44" s="677"/>
      <c r="Y44" s="677"/>
      <c r="Z44" s="677"/>
      <c r="AA44" s="677"/>
      <c r="AB44" s="677"/>
      <c r="AC44" s="677"/>
      <c r="AD44" s="17"/>
      <c r="AE44" s="17"/>
      <c r="AF44" s="17"/>
    </row>
    <row r="45" spans="1:32">
      <c r="V45" s="678"/>
      <c r="W45" s="678"/>
      <c r="X45" s="679"/>
      <c r="Y45" s="679"/>
      <c r="Z45" s="679"/>
      <c r="AA45" s="549"/>
      <c r="AB45" s="677"/>
      <c r="AC45" s="677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7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AB42:AC45"/>
    <mergeCell ref="V43:Y44"/>
    <mergeCell ref="Z44:AA44"/>
    <mergeCell ref="V45:W45"/>
    <mergeCell ref="X45:Z45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17" activePane="bottomLeft" state="frozen"/>
      <selection pane="bottomLeft" activeCell="H22" sqref="H22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318</v>
      </c>
      <c r="C1" s="693"/>
      <c r="D1" s="695"/>
      <c r="E1" s="692" t="s">
        <v>319</v>
      </c>
      <c r="F1" s="693"/>
      <c r="G1" s="694"/>
      <c r="H1" s="689" t="s">
        <v>324</v>
      </c>
      <c r="I1" s="686" t="s">
        <v>325</v>
      </c>
      <c r="J1" s="683" t="s">
        <v>43</v>
      </c>
    </row>
    <row r="2" spans="1:18" ht="38.25" thickBot="1">
      <c r="A2" s="68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0"/>
      <c r="I2" s="687"/>
      <c r="J2" s="684"/>
    </row>
    <row r="3" spans="1:18" ht="24" customHeight="1" thickBot="1">
      <c r="A3" s="68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1"/>
      <c r="I3" s="688"/>
      <c r="J3" s="685"/>
    </row>
    <row r="4" spans="1:18" ht="19.5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44236</v>
      </c>
      <c r="B14" s="537">
        <v>1.3</v>
      </c>
      <c r="C14" s="590">
        <v>7.8</v>
      </c>
      <c r="D14" s="170"/>
      <c r="E14" s="170">
        <v>1.2</v>
      </c>
      <c r="F14" s="170">
        <v>7.4</v>
      </c>
      <c r="G14" s="170"/>
      <c r="H14" s="597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44237</v>
      </c>
      <c r="B15" s="537">
        <v>1.2</v>
      </c>
      <c r="C15" s="591">
        <v>7.8</v>
      </c>
      <c r="D15" s="591"/>
      <c r="E15" s="591">
        <v>1.4</v>
      </c>
      <c r="F15" s="591">
        <v>7.8</v>
      </c>
      <c r="G15" s="591"/>
      <c r="H15" s="597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44238</v>
      </c>
      <c r="B16" s="537">
        <v>2.2000000000000002</v>
      </c>
      <c r="C16" s="591">
        <v>7.8</v>
      </c>
      <c r="D16" s="591"/>
      <c r="E16" s="591">
        <v>1.5</v>
      </c>
      <c r="F16" s="591">
        <v>7.8</v>
      </c>
      <c r="G16" s="591"/>
      <c r="H16" s="597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7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44240</v>
      </c>
      <c r="B18" s="537">
        <v>1</v>
      </c>
      <c r="C18" s="592">
        <v>7.8</v>
      </c>
      <c r="D18" s="170"/>
      <c r="E18" s="170">
        <v>1.3</v>
      </c>
      <c r="F18" s="170">
        <v>7.8</v>
      </c>
      <c r="G18" s="537"/>
      <c r="H18" s="597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44241</v>
      </c>
      <c r="B19" s="537">
        <v>2.2000000000000002</v>
      </c>
      <c r="C19" s="593">
        <v>7.8</v>
      </c>
      <c r="D19" s="170"/>
      <c r="E19" s="170">
        <v>1.5</v>
      </c>
      <c r="F19" s="170">
        <v>8</v>
      </c>
      <c r="G19" s="537"/>
      <c r="H19" s="597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44242</v>
      </c>
      <c r="B20" s="537">
        <v>2.5</v>
      </c>
      <c r="C20" s="537">
        <v>7.8</v>
      </c>
      <c r="D20" s="537"/>
      <c r="E20" s="537">
        <v>1.5</v>
      </c>
      <c r="F20" s="537">
        <v>8</v>
      </c>
      <c r="G20" s="537"/>
      <c r="H20" s="597">
        <v>6720</v>
      </c>
      <c r="I20" s="509">
        <f t="shared" si="3"/>
        <v>2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44243</v>
      </c>
      <c r="B21" s="537">
        <v>2</v>
      </c>
      <c r="C21" s="594">
        <v>7.8</v>
      </c>
      <c r="D21" s="170"/>
      <c r="E21" s="170">
        <v>1.4</v>
      </c>
      <c r="F21" s="170">
        <v>8</v>
      </c>
      <c r="G21" s="537"/>
      <c r="H21" s="597">
        <f t="shared" si="2"/>
        <v>6720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44244</v>
      </c>
      <c r="B22" s="537">
        <v>2</v>
      </c>
      <c r="C22" s="537">
        <v>7.8</v>
      </c>
      <c r="D22" s="537"/>
      <c r="E22" s="537">
        <v>1.3</v>
      </c>
      <c r="F22" s="537">
        <v>8</v>
      </c>
      <c r="G22" s="537"/>
      <c r="H22" s="597">
        <f t="shared" si="2"/>
        <v>6720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44245</v>
      </c>
      <c r="B23" s="537"/>
      <c r="C23" s="537"/>
      <c r="D23" s="537"/>
      <c r="E23" s="537"/>
      <c r="F23" s="537"/>
      <c r="G23" s="537"/>
      <c r="H23" s="597">
        <f t="shared" si="2"/>
        <v>6720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44246</v>
      </c>
      <c r="B24" s="537"/>
      <c r="C24" s="600"/>
      <c r="D24" s="170"/>
      <c r="E24" s="170"/>
      <c r="F24" s="170"/>
      <c r="G24" s="170"/>
      <c r="H24" s="597">
        <f t="shared" si="2"/>
        <v>6720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44247</v>
      </c>
      <c r="B25" s="583"/>
      <c r="C25" s="582"/>
      <c r="D25" s="170"/>
      <c r="E25" s="170"/>
      <c r="F25" s="170"/>
      <c r="G25" s="170"/>
      <c r="H25" s="597">
        <f t="shared" si="2"/>
        <v>6720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44248</v>
      </c>
      <c r="B26" s="583"/>
      <c r="C26" s="584"/>
      <c r="D26" s="170"/>
      <c r="E26" s="170"/>
      <c r="F26" s="170"/>
      <c r="G26" s="170"/>
      <c r="H26" s="597">
        <f t="shared" si="2"/>
        <v>6720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6720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6720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6720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6720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6720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6720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6720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409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19</v>
      </c>
      <c r="G22" s="272">
        <f>'General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18</v>
      </c>
      <c r="G23" s="272">
        <f>'General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18</v>
      </c>
      <c r="G24" s="272">
        <f>'General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11</v>
      </c>
      <c r="G25" s="272">
        <f>'General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13</v>
      </c>
      <c r="G26" s="272">
        <f>'General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0</v>
      </c>
      <c r="G27" s="272">
        <f>'General information '!C23</f>
        <v>0</v>
      </c>
      <c r="H27" s="272">
        <f t="shared" si="0"/>
        <v>-18.3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0</v>
      </c>
      <c r="G28" s="272">
        <f>'General information '!C24</f>
        <v>0</v>
      </c>
      <c r="H28" s="272">
        <f t="shared" si="0"/>
        <v>-18.3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0</v>
      </c>
      <c r="G29" s="272">
        <f>'General information '!C25</f>
        <v>0</v>
      </c>
      <c r="H29" s="272">
        <f t="shared" si="0"/>
        <v>-18.3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0</v>
      </c>
      <c r="G30" s="272">
        <f>'General information '!C26</f>
        <v>0</v>
      </c>
      <c r="H30" s="272">
        <f t="shared" si="0"/>
        <v>-18.3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-237.90000000000006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-5747.3000000000011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17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446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4978.5714285714284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17500.099999999999</v>
      </c>
      <c r="C8" s="493">
        <f>SUM(tanks!AU34)</f>
        <v>0.48766666666666669</v>
      </c>
      <c r="D8" s="191">
        <f>SUM(B8*C8)*D4</f>
        <v>12865329.765749998</v>
      </c>
      <c r="E8" s="192">
        <f>SUM(D8/D4/F4)</f>
        <v>502.01267254901956</v>
      </c>
      <c r="F8" s="192">
        <f>SUM(E8*F4)</f>
        <v>8534.2154333333328</v>
      </c>
      <c r="G8" s="510">
        <f>E8*$F$4</f>
        <v>8534.2154333333328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9326785.6071428582</v>
      </c>
      <c r="E10" s="182">
        <f>SUM(D10/D4/F4)</f>
        <v>363.93661524311221</v>
      </c>
      <c r="F10" s="182">
        <f>SUM(E10*F4)</f>
        <v>6186.9224591329075</v>
      </c>
      <c r="G10" s="510">
        <f>E10*$G$4</f>
        <v>10190.225226807142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1158.8064306492747</v>
      </c>
      <c r="F12" s="180">
        <f>SUM(F6:F10)</f>
        <v>19699.70932103767</v>
      </c>
      <c r="G12" s="179">
        <f>SUM(G6:G10)</f>
        <v>26924.440660140473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-28370.997726956284</v>
      </c>
      <c r="I14" s="423">
        <f>SUM(G12-I12)</f>
        <v>-28370.997726956284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16.529411764705884</v>
      </c>
      <c r="C16" s="433">
        <f>'[13]Utility Cost '!B16</f>
        <v>14.293103448275861</v>
      </c>
      <c r="D16" s="432"/>
      <c r="E16" s="433">
        <f t="shared" si="0"/>
        <v>2.2363083164300228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81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-34.420000000000073</v>
      </c>
      <c r="F18" s="528">
        <f>B18-D18</f>
        <v>-91.73885330486587</v>
      </c>
    </row>
    <row r="19" spans="1:10">
      <c r="A19" s="522" t="s">
        <v>411</v>
      </c>
      <c r="B19" s="520">
        <f>SUM(B18/$F$4)</f>
        <v>4.7647058823529411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2021-02-18T08:00:42Z</dcterms:modified>
</cp:coreProperties>
</file>