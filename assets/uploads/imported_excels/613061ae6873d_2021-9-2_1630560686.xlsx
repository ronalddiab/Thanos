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 activeTab="2"/>
  </bookViews>
  <sheets>
    <sheet name="Total Daily " sheetId="3" r:id="rId1"/>
    <sheet name="Submetering Daily " sheetId="2" r:id="rId2"/>
    <sheet name="9 - 2021" sheetId="5" r:id="rId3"/>
  </sheets>
  <definedNames>
    <definedName name="_xlnm.Print_Area" localSheetId="2">'9 - 2021'!$A$1:$J$35</definedName>
  </definedNames>
  <calcPr calcId="162913"/>
</workbook>
</file>

<file path=xl/calcChain.xml><?xml version="1.0" encoding="utf-8"?>
<calcChain xmlns="http://schemas.openxmlformats.org/spreadsheetml/2006/main"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L30" i="3"/>
  <c r="K30" i="3"/>
  <c r="I30" i="3"/>
  <c r="G30" i="3"/>
  <c r="E30" i="3"/>
  <c r="J31" i="2"/>
  <c r="I31" i="2"/>
  <c r="H31" i="2"/>
  <c r="F31" i="2"/>
  <c r="E31" i="2"/>
  <c r="J30" i="2"/>
  <c r="I30" i="2"/>
  <c r="H30" i="2"/>
  <c r="F30" i="2"/>
  <c r="E30" i="2"/>
  <c r="I40" i="5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29" i="3" l="1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J16" i="2" l="1"/>
  <c r="I16" i="2"/>
  <c r="H16" i="2"/>
  <c r="F16" i="2"/>
  <c r="E16" i="2"/>
  <c r="L16" i="3"/>
  <c r="K16" i="3"/>
  <c r="I16" i="3"/>
  <c r="G16" i="3"/>
  <c r="E16" i="3"/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J29" i="2" l="1"/>
  <c r="I29" i="2"/>
  <c r="H29" i="2"/>
  <c r="F29" i="2"/>
  <c r="E29" i="2"/>
  <c r="L22" i="3" l="1"/>
  <c r="K22" i="3"/>
  <c r="I22" i="3"/>
  <c r="G22" i="3"/>
  <c r="E22" i="3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8" i="2" l="1"/>
  <c r="I8" i="2"/>
  <c r="H8" i="2"/>
  <c r="F8" i="2"/>
  <c r="E8" i="2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<sst xmlns="http://schemas.openxmlformats.org/spreadsheetml/2006/main" count="105" uniqueCount="38">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</sst>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8" xfId="2" applyFont="1" applyBorder="1" applyAlignment="1">
      <alignment horizontal="center"/>
    </xf>
    <xf numFmtId="43" fontId="4" fillId="0" borderId="4" xfId="2" applyFont="1" applyBorder="1" applyAlignment="1">
      <alignment horizontal="center" wrapText="1"/>
    </xf>
    <xf numFmtId="43" fontId="5" fillId="0" borderId="4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4" fillId="0" borderId="17" xfId="2" applyFont="1" applyBorder="1" applyAlignment="1">
      <alignment horizontal="center"/>
    </xf>
    <xf numFmtId="1" fontId="0" fillId="0" borderId="0" xfId="0" applyNumberFormat="1" applyFill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workbookViewId="0">
      <selection activeCell="R5" sqref="R5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'9 - 2021'!B8-'9 - 2021'!B7+'9 - 2021'!C8-'9 - 2021'!C7</f>
        <v>9379.2000000000698</v>
      </c>
      <c r="F2" s="16">
        <v>0.11799999999999999</v>
      </c>
      <c r="G2" s="18">
        <f>'9 - 2021'!D8-'9 - 2021'!D7+'9 - 2021'!E8-'9 - 2021'!E7</f>
        <v>24.149999999999636</v>
      </c>
      <c r="H2" s="16">
        <v>0.99</v>
      </c>
      <c r="I2" s="18">
        <f>'9 - 2021'!J8-'9 - 2021'!J7</f>
        <v>32188</v>
      </c>
      <c r="J2" s="16">
        <v>8.1000000000000003E-2</v>
      </c>
      <c r="K2" s="34">
        <f>'9 - 2021'!H8-'9 - 2021'!H7</f>
        <v>0</v>
      </c>
      <c r="L2" s="18">
        <f>'9 - 2021'!I8-'9 - 2021'!I7</f>
        <v>95</v>
      </c>
      <c r="M2" s="17">
        <v>4.393629424766913</v>
      </c>
      <c r="N2" s="18">
        <v>37</v>
      </c>
    </row>
    <row r="3" spans="1:21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'9 - 2021'!B9-'9 - 2021'!B8+'9 - 2021'!C9-'9 - 2021'!C8</f>
        <v>9199.5999999998603</v>
      </c>
      <c r="F3" s="16">
        <v>0.11799999999999999</v>
      </c>
      <c r="G3" s="18">
        <f>'9 - 2021'!D9-'9 - 2021'!D8+'9 - 2021'!E9-'9 - 2021'!E8</f>
        <v>21.460000000000036</v>
      </c>
      <c r="H3" s="16">
        <v>0.99</v>
      </c>
      <c r="I3" s="18">
        <f>'9 - 2021'!J9-'9 - 2021'!J8</f>
        <v>31992</v>
      </c>
      <c r="J3" s="16">
        <v>8.1000000000000003E-2</v>
      </c>
      <c r="K3" s="34">
        <f>'9 - 2021'!H9-'9 - 2021'!H8</f>
        <v>0</v>
      </c>
      <c r="L3" s="18">
        <f>'9 - 2021'!I9-'9 - 2021'!I8</f>
        <v>96</v>
      </c>
      <c r="M3" s="17">
        <v>4.393629424766913</v>
      </c>
      <c r="N3" s="28">
        <v>35</v>
      </c>
    </row>
    <row r="4" spans="1:21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v>0</v>
      </c>
      <c r="F4" s="16">
        <v>0.11799999999999999</v>
      </c>
      <c r="G4" s="18">
        <v>0</v>
      </c>
      <c r="H4" s="16">
        <v>0.99</v>
      </c>
      <c r="I4" s="18">
        <v>0</v>
      </c>
      <c r="J4" s="16">
        <v>8.1000000000000003E-2</v>
      </c>
      <c r="K4" s="34">
        <v>0</v>
      </c>
      <c r="L4" s="18">
        <v>0</v>
      </c>
      <c r="M4" s="17">
        <v>4.393629424766913</v>
      </c>
      <c r="N4" s="28"/>
    </row>
    <row r="5" spans="1:21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'9 - 2021'!B11-'9 - 2021'!B10+'9 - 2021'!C11-'9 - 2021'!C10</f>
        <v>0</v>
      </c>
      <c r="F5" s="16">
        <v>0.11799999999999999</v>
      </c>
      <c r="G5" s="18">
        <f>'9 - 2021'!D11-'9 - 2021'!D10+'9 - 2021'!E11-'9 - 2021'!E10</f>
        <v>0</v>
      </c>
      <c r="H5" s="16">
        <v>0.99</v>
      </c>
      <c r="I5" s="18">
        <f>'9 - 2021'!J11-'9 - 2021'!J10</f>
        <v>0</v>
      </c>
      <c r="J5" s="16">
        <v>8.1000000000000003E-2</v>
      </c>
      <c r="K5" s="34">
        <f>'9 - 2021'!H11-'9 - 2021'!H10</f>
        <v>0</v>
      </c>
      <c r="L5" s="18">
        <f>'9 - 2021'!I11-'9 - 2021'!I10</f>
        <v>0</v>
      </c>
      <c r="M5" s="17">
        <v>4.393629424766913</v>
      </c>
      <c r="N5" s="28"/>
      <c r="R5" s="16"/>
    </row>
    <row r="6" spans="1:21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'9 - 2021'!B12-'9 - 2021'!B11+'9 - 2021'!C12-'9 - 2021'!C11</f>
        <v>0</v>
      </c>
      <c r="F6" s="16">
        <v>0.11799999999999999</v>
      </c>
      <c r="G6" s="18">
        <f>'9 - 2021'!D12-'9 - 2021'!D11+'9 - 2021'!E12-'9 - 2021'!E11</f>
        <v>0</v>
      </c>
      <c r="H6" s="16">
        <v>0.99</v>
      </c>
      <c r="I6" s="18">
        <f>'9 - 2021'!J12-'9 - 2021'!J11</f>
        <v>0</v>
      </c>
      <c r="J6" s="16">
        <v>8.1000000000000003E-2</v>
      </c>
      <c r="K6" s="34">
        <f>'9 - 2021'!H12-'9 - 2021'!H11</f>
        <v>0</v>
      </c>
      <c r="L6" s="18">
        <f>'9 - 2021'!I12-'9 - 2021'!I11</f>
        <v>0</v>
      </c>
      <c r="M6" s="17">
        <v>4.393629424766913</v>
      </c>
      <c r="N6" s="28"/>
    </row>
    <row r="7" spans="1:21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'9 - 2021'!B13-'9 - 2021'!B12+'9 - 2021'!C13-'9 - 2021'!C12</f>
        <v>0</v>
      </c>
      <c r="F7" s="16">
        <v>0.11799999999999999</v>
      </c>
      <c r="G7" s="18">
        <f>'9 - 2021'!D13-'9 - 2021'!D12+'9 - 2021'!E13-'9 - 2021'!E12</f>
        <v>0</v>
      </c>
      <c r="H7" s="16">
        <v>0.99</v>
      </c>
      <c r="I7" s="18">
        <f>'9 - 2021'!J13-'9 - 2021'!J12</f>
        <v>0</v>
      </c>
      <c r="J7" s="16">
        <v>8.1000000000000003E-2</v>
      </c>
      <c r="K7" s="34">
        <f>'9 - 2021'!H13-'9 - 2021'!H12</f>
        <v>0</v>
      </c>
      <c r="L7" s="18">
        <f>'9 - 2021'!I13-'9 - 2021'!I12</f>
        <v>0</v>
      </c>
      <c r="M7" s="17">
        <v>4.393629424766913</v>
      </c>
      <c r="N7" s="28"/>
    </row>
    <row r="8" spans="1:21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'9 - 2021'!B14-'9 - 2021'!B13+'9 - 2021'!C14-'9 - 2021'!C13</f>
        <v>0</v>
      </c>
      <c r="F8" s="16">
        <v>0.11799999999999999</v>
      </c>
      <c r="G8" s="18">
        <f>'9 - 2021'!D14-'9 - 2021'!D13+'9 - 2021'!E14-'9 - 2021'!E13</f>
        <v>0</v>
      </c>
      <c r="H8" s="16">
        <v>0.99</v>
      </c>
      <c r="I8" s="18">
        <f>'9 - 2021'!J14-'9 - 2021'!J13</f>
        <v>0</v>
      </c>
      <c r="J8" s="16">
        <v>8.1000000000000003E-2</v>
      </c>
      <c r="K8" s="34">
        <f>'9 - 2021'!H14-'9 - 2021'!H13</f>
        <v>0</v>
      </c>
      <c r="L8" s="18">
        <f>'9 - 2021'!I14-'9 - 2021'!I13</f>
        <v>0</v>
      </c>
      <c r="M8" s="17">
        <v>4.393629424766913</v>
      </c>
      <c r="O8" s="18"/>
    </row>
    <row r="9" spans="1:21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'9 - 2021'!B15-'9 - 2021'!B14+'9 - 2021'!C15-'9 - 2021'!C14</f>
        <v>0</v>
      </c>
      <c r="F9" s="16">
        <v>0.11799999999999999</v>
      </c>
      <c r="G9" s="18">
        <f>'9 - 2021'!D15-'9 - 2021'!D14+'9 - 2021'!E15-'9 - 2021'!E14</f>
        <v>0</v>
      </c>
      <c r="H9" s="16">
        <v>0.99</v>
      </c>
      <c r="I9" s="18">
        <f>'9 - 2021'!J15-'9 - 2021'!J14</f>
        <v>0</v>
      </c>
      <c r="J9" s="16">
        <v>8.1000000000000003E-2</v>
      </c>
      <c r="K9" s="34">
        <f>'9 - 2021'!H15-'9 - 2021'!H14</f>
        <v>0</v>
      </c>
      <c r="L9" s="18">
        <f>'9 - 2021'!I15-'9 - 2021'!I14</f>
        <v>0</v>
      </c>
      <c r="M9" s="17">
        <v>4.393629424766913</v>
      </c>
      <c r="N9" s="28"/>
    </row>
    <row r="10" spans="1:21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'9 - 2021'!B16-'9 - 2021'!B15+'9 - 2021'!C16-'9 - 2021'!C15</f>
        <v>0</v>
      </c>
      <c r="F10" s="16">
        <v>0.11799999999999999</v>
      </c>
      <c r="G10" s="18">
        <f>'9 - 2021'!D16-'9 - 2021'!D15+'9 - 2021'!E16-'9 - 2021'!E15</f>
        <v>0</v>
      </c>
      <c r="H10" s="16">
        <v>0.99</v>
      </c>
      <c r="I10" s="18">
        <f>'9 - 2021'!J16-'9 - 2021'!J15</f>
        <v>0</v>
      </c>
      <c r="J10" s="16">
        <v>8.1000000000000003E-2</v>
      </c>
      <c r="K10" s="34">
        <f>'9 - 2021'!H16-'9 - 2021'!H15</f>
        <v>0</v>
      </c>
      <c r="L10" s="18">
        <f>'9 - 2021'!I16-'9 - 2021'!I15</f>
        <v>0</v>
      </c>
      <c r="M10" s="17">
        <v>4.393629424766913</v>
      </c>
      <c r="N10" s="28"/>
    </row>
    <row r="11" spans="1:21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'9 - 2021'!B17-'9 - 2021'!B16+'9 - 2021'!C17-'9 - 2021'!C16</f>
        <v>0</v>
      </c>
      <c r="F11" s="16">
        <v>0.11799999999999999</v>
      </c>
      <c r="G11" s="18">
        <f>'9 - 2021'!D17-'9 - 2021'!D16+'9 - 2021'!E17-'9 - 2021'!E16</f>
        <v>0</v>
      </c>
      <c r="H11" s="16">
        <v>0.99</v>
      </c>
      <c r="I11" s="18">
        <f>'9 - 2021'!J17-'9 - 2021'!J16</f>
        <v>0</v>
      </c>
      <c r="J11" s="16">
        <v>8.1000000000000003E-2</v>
      </c>
      <c r="K11" s="34">
        <f>'9 - 2021'!H17-'9 - 2021'!H16</f>
        <v>0</v>
      </c>
      <c r="L11" s="18">
        <f>'9 - 2021'!I17-'9 - 2021'!I16</f>
        <v>0</v>
      </c>
      <c r="M11" s="17">
        <v>4.393629424766913</v>
      </c>
      <c r="N11" s="28"/>
    </row>
    <row r="12" spans="1:21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'9 - 2021'!B18-'9 - 2021'!B17+'9 - 2021'!C18-'9 - 2021'!C17</f>
        <v>0</v>
      </c>
      <c r="F12" s="16">
        <v>0.11799999999999999</v>
      </c>
      <c r="G12" s="18">
        <f>'9 - 2021'!D18-'9 - 2021'!D17+'9 - 2021'!E18-'9 - 2021'!E17</f>
        <v>0</v>
      </c>
      <c r="H12" s="16">
        <v>0.99</v>
      </c>
      <c r="I12" s="18">
        <f>'9 - 2021'!J18-'9 - 2021'!J17</f>
        <v>0</v>
      </c>
      <c r="J12" s="16">
        <v>8.1000000000000003E-2</v>
      </c>
      <c r="K12" s="34">
        <f>'9 - 2021'!H18-'9 - 2021'!H17</f>
        <v>0</v>
      </c>
      <c r="L12" s="18">
        <f>'9 - 2021'!I18-'9 - 2021'!I17</f>
        <v>0</v>
      </c>
      <c r="M12" s="17">
        <v>4.393629424766913</v>
      </c>
      <c r="N12" s="18"/>
    </row>
    <row r="13" spans="1:21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'9 - 2021'!B19-'9 - 2021'!B18+'9 - 2021'!C19-'9 - 2021'!C18</f>
        <v>0</v>
      </c>
      <c r="F13" s="16">
        <v>0.11799999999999999</v>
      </c>
      <c r="G13" s="18">
        <f>'9 - 2021'!D19-'9 - 2021'!D18+'9 - 2021'!E19-'9 - 2021'!E18</f>
        <v>0</v>
      </c>
      <c r="H13" s="16">
        <v>0.99</v>
      </c>
      <c r="I13" s="18">
        <f>'9 - 2021'!J19-'9 - 2021'!J18</f>
        <v>0</v>
      </c>
      <c r="J13" s="16">
        <v>8.1000000000000003E-2</v>
      </c>
      <c r="K13" s="34">
        <f>'9 - 2021'!H19-'9 - 2021'!H18</f>
        <v>0</v>
      </c>
      <c r="L13" s="18">
        <f>'9 - 2021'!I19-'9 - 2021'!I18</f>
        <v>0</v>
      </c>
      <c r="M13" s="17">
        <v>4.393629424766913</v>
      </c>
      <c r="N13" s="18"/>
    </row>
    <row r="14" spans="1:21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'9 - 2021'!B20-'9 - 2021'!B19+'9 - 2021'!C20-'9 - 2021'!C19</f>
        <v>0</v>
      </c>
      <c r="F14" s="16">
        <v>0.11799999999999999</v>
      </c>
      <c r="G14" s="18">
        <f>'9 - 2021'!D20-'9 - 2021'!D19+'9 - 2021'!E20-'9 - 2021'!E19</f>
        <v>0</v>
      </c>
      <c r="H14" s="16">
        <v>0.99</v>
      </c>
      <c r="I14" s="18">
        <f>'9 - 2021'!J20-'9 - 2021'!J19</f>
        <v>0</v>
      </c>
      <c r="J14" s="16">
        <v>8.1000000000000003E-2</v>
      </c>
      <c r="K14" s="34">
        <f>'9 - 2021'!H20-'9 - 2021'!H19</f>
        <v>0</v>
      </c>
      <c r="L14" s="18">
        <f>'9 - 2021'!I20-'9 - 2021'!I19</f>
        <v>0</v>
      </c>
      <c r="M14" s="17">
        <v>4.393629424766913</v>
      </c>
      <c r="N14" s="18"/>
      <c r="O14" s="18"/>
    </row>
    <row r="15" spans="1:21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'9 - 2021'!B21-'9 - 2021'!B20+'9 - 2021'!C21-'9 - 2021'!C20</f>
        <v>0</v>
      </c>
      <c r="F15" s="16">
        <v>0.11799999999999999</v>
      </c>
      <c r="G15" s="18">
        <f>'9 - 2021'!D21-'9 - 2021'!D20+'9 - 2021'!E21-'9 - 2021'!E20</f>
        <v>0</v>
      </c>
      <c r="H15" s="16">
        <v>0.99</v>
      </c>
      <c r="I15" s="18">
        <f>'9 - 2021'!J21-'9 - 2021'!J20</f>
        <v>0</v>
      </c>
      <c r="J15" s="16">
        <v>8.1000000000000003E-2</v>
      </c>
      <c r="K15" s="34">
        <f>'9 - 2021'!H21-'9 - 2021'!H20</f>
        <v>0</v>
      </c>
      <c r="L15" s="18">
        <f>'9 - 2021'!I21-'9 - 2021'!I20</f>
        <v>0</v>
      </c>
      <c r="M15" s="17">
        <v>4.393629424766913</v>
      </c>
      <c r="N15" s="18"/>
    </row>
    <row r="16" spans="1:21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'9 - 2021'!B22-'9 - 2021'!B21+'9 - 2021'!C22-'9 - 2021'!C21</f>
        <v>0</v>
      </c>
      <c r="F16" s="16">
        <v>0.11799999999999999</v>
      </c>
      <c r="G16" s="18">
        <f>'9 - 2021'!D22-'9 - 2021'!D21+'9 - 2021'!E22-'9 - 2021'!E21</f>
        <v>0</v>
      </c>
      <c r="H16" s="16">
        <v>0.99</v>
      </c>
      <c r="I16" s="18">
        <f>'9 - 2021'!J22-'9 - 2021'!J21</f>
        <v>0</v>
      </c>
      <c r="J16" s="16">
        <v>8.1000000000000003E-2</v>
      </c>
      <c r="K16" s="34">
        <f>'9 - 2021'!H22-'9 - 2021'!H21</f>
        <v>0</v>
      </c>
      <c r="L16" s="18">
        <f>'9 - 2021'!I22-'9 - 2021'!I21</f>
        <v>0</v>
      </c>
      <c r="M16" s="17">
        <v>4.393629424766913</v>
      </c>
      <c r="N16" s="18"/>
      <c r="U16" s="16"/>
    </row>
    <row r="17" spans="1:17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'9 - 2021'!B23-'9 - 2021'!B22+'9 - 2021'!C23-'9 - 2021'!C22</f>
        <v>0</v>
      </c>
      <c r="F17" s="16">
        <v>0.11799999999999999</v>
      </c>
      <c r="G17" s="18">
        <f>'9 - 2021'!D23-'9 - 2021'!D22+'9 - 2021'!E23-'9 - 2021'!E22</f>
        <v>0</v>
      </c>
      <c r="H17" s="16">
        <v>0.99</v>
      </c>
      <c r="I17" s="18">
        <f>'9 - 2021'!J23-'9 - 2021'!J22</f>
        <v>0</v>
      </c>
      <c r="J17" s="16">
        <v>8.1000000000000003E-2</v>
      </c>
      <c r="K17" s="34">
        <f>'9 - 2021'!H23-'9 - 2021'!H22</f>
        <v>0</v>
      </c>
      <c r="L17" s="18">
        <f>'9 - 2021'!I23-'9 - 2021'!I22</f>
        <v>0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'9 - 2021'!B24-'9 - 2021'!B23+'9 - 2021'!C24-'9 - 2021'!C23</f>
        <v>0</v>
      </c>
      <c r="F18" s="16">
        <v>0.11799999999999999</v>
      </c>
      <c r="G18" s="18">
        <f>'9 - 2021'!D24-'9 - 2021'!D23+'9 - 2021'!E24-'9 - 2021'!E23</f>
        <v>0</v>
      </c>
      <c r="H18" s="16">
        <v>0.99</v>
      </c>
      <c r="I18" s="18">
        <f>'9 - 2021'!J24-'9 - 2021'!J23</f>
        <v>0</v>
      </c>
      <c r="J18" s="16">
        <v>8.1000000000000003E-2</v>
      </c>
      <c r="K18" s="34">
        <f>'9 - 2021'!H24-'9 - 2021'!H23</f>
        <v>0</v>
      </c>
      <c r="L18" s="18">
        <f>'9 - 2021'!I24-'9 - 2021'!I23</f>
        <v>0</v>
      </c>
      <c r="M18" s="17">
        <v>4.393629424766913</v>
      </c>
      <c r="N18" s="18"/>
      <c r="Q18" s="16"/>
    </row>
    <row r="19" spans="1:17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'9 - 2021'!B25-'9 - 2021'!B24+'9 - 2021'!C25-'9 - 2021'!C24</f>
        <v>0</v>
      </c>
      <c r="F19" s="16">
        <v>0.11799999999999999</v>
      </c>
      <c r="G19" s="18">
        <f>'9 - 2021'!D25-'9 - 2021'!D24+'9 - 2021'!E25-'9 - 2021'!E24</f>
        <v>0</v>
      </c>
      <c r="H19" s="16">
        <v>0.99</v>
      </c>
      <c r="I19" s="18">
        <f>'9 - 2021'!J25-'9 - 2021'!J24</f>
        <v>0</v>
      </c>
      <c r="J19" s="16">
        <v>8.1000000000000003E-2</v>
      </c>
      <c r="K19" s="34">
        <f>'9 - 2021'!H25-'9 - 2021'!H24</f>
        <v>0</v>
      </c>
      <c r="L19" s="18">
        <f>'9 - 2021'!I25-'9 - 2021'!I24</f>
        <v>0</v>
      </c>
      <c r="M19" s="17">
        <v>4.393629424766913</v>
      </c>
      <c r="N19" s="29"/>
    </row>
    <row r="20" spans="1:17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'9 - 2021'!B26-'9 - 2021'!B25+'9 - 2021'!C26-'9 - 2021'!C25</f>
        <v>0</v>
      </c>
      <c r="F20" s="16">
        <v>0.11799999999999999</v>
      </c>
      <c r="G20" s="18">
        <f>'9 - 2021'!D26-'9 - 2021'!D25+'9 - 2021'!E26-'9 - 2021'!E25</f>
        <v>0</v>
      </c>
      <c r="H20" s="16">
        <v>0.99</v>
      </c>
      <c r="I20" s="18">
        <f>'9 - 2021'!J26-'9 - 2021'!J25</f>
        <v>0</v>
      </c>
      <c r="J20" s="16">
        <v>8.1000000000000003E-2</v>
      </c>
      <c r="K20" s="34">
        <f>'9 - 2021'!H26-'9 - 2021'!H25</f>
        <v>0</v>
      </c>
      <c r="L20" s="18">
        <f>'9 - 2021'!I26-'9 - 2021'!I25</f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'9 - 2021'!B27-'9 - 2021'!B26+'9 - 2021'!C27-'9 - 2021'!C26</f>
        <v>0</v>
      </c>
      <c r="F21" s="16">
        <v>0.11799999999999999</v>
      </c>
      <c r="G21" s="18">
        <f>'9 - 2021'!D27-'9 - 2021'!D26+'9 - 2021'!E27-'9 - 2021'!E26</f>
        <v>0</v>
      </c>
      <c r="H21" s="16">
        <v>0.99</v>
      </c>
      <c r="I21" s="18">
        <f>'9 - 2021'!J27-'9 - 2021'!J26</f>
        <v>0</v>
      </c>
      <c r="J21" s="16">
        <v>8.1000000000000003E-2</v>
      </c>
      <c r="K21" s="34">
        <f>'9 - 2021'!H27-'9 - 2021'!H26</f>
        <v>0</v>
      </c>
      <c r="L21" s="18">
        <f>'9 - 2021'!I27-'9 - 2021'!I26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'9 - 2021'!B28-'9 - 2021'!B27+'9 - 2021'!C28-'9 - 2021'!C27</f>
        <v>0</v>
      </c>
      <c r="F22" s="16">
        <v>0.11799999999999999</v>
      </c>
      <c r="G22" s="18">
        <f>'9 - 2021'!D28-'9 - 2021'!D27+'9 - 2021'!E28-'9 - 2021'!E27</f>
        <v>0</v>
      </c>
      <c r="H22" s="16">
        <v>0.99</v>
      </c>
      <c r="I22" s="18">
        <f>'9 - 2021'!J28-'9 - 2021'!J27</f>
        <v>0</v>
      </c>
      <c r="J22" s="16">
        <v>8.1000000000000003E-2</v>
      </c>
      <c r="K22" s="34">
        <f>'9 - 2021'!H28-'9 - 2021'!H27</f>
        <v>0</v>
      </c>
      <c r="L22" s="18">
        <f>'9 - 2021'!I28-'9 - 2021'!I27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'9 - 2021'!B29-'9 - 2021'!B28+'9 - 2021'!C29-'9 - 2021'!C28</f>
        <v>0</v>
      </c>
      <c r="F23" s="16">
        <v>0.11799999999999999</v>
      </c>
      <c r="G23" s="18">
        <f>'9 - 2021'!D29-'9 - 2021'!D28+'9 - 2021'!E29-'9 - 2021'!E28</f>
        <v>0</v>
      </c>
      <c r="H23" s="16">
        <v>0.99</v>
      </c>
      <c r="I23" s="18">
        <f>'9 - 2021'!J29-'9 - 2021'!J28</f>
        <v>0</v>
      </c>
      <c r="J23" s="16">
        <v>8.1000000000000003E-2</v>
      </c>
      <c r="K23" s="34">
        <f>'9 - 2021'!H29-'9 - 2021'!H28</f>
        <v>0</v>
      </c>
      <c r="L23" s="18">
        <f>'9 - 2021'!I29-'9 - 2021'!I28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'9 - 2021'!B30-'9 - 2021'!B29+'9 - 2021'!C30-'9 - 2021'!C29</f>
        <v>0</v>
      </c>
      <c r="F24" s="16">
        <v>0.11799999999999999</v>
      </c>
      <c r="G24" s="18">
        <f>'9 - 2021'!D30-'9 - 2021'!D29+'9 - 2021'!E30-'9 - 2021'!E29</f>
        <v>0</v>
      </c>
      <c r="H24" s="16">
        <v>0.99</v>
      </c>
      <c r="I24" s="18">
        <f>'9 - 2021'!J30-'9 - 2021'!J29</f>
        <v>0</v>
      </c>
      <c r="J24" s="16">
        <v>8.1000000000000003E-2</v>
      </c>
      <c r="K24" s="34">
        <f>'9 - 2021'!H30-'9 - 2021'!H29</f>
        <v>0</v>
      </c>
      <c r="L24" s="18">
        <f>'9 - 2021'!I30-'9 - 2021'!I29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18">
        <f>'9 - 2021'!B31-'9 - 2021'!B30+'9 - 2021'!C31-'9 - 2021'!C30</f>
        <v>0</v>
      </c>
      <c r="F25" s="16">
        <v>0.11799999999999999</v>
      </c>
      <c r="G25" s="18">
        <f>'9 - 2021'!D31-'9 - 2021'!D30+'9 - 2021'!E31-'9 - 2021'!E30</f>
        <v>0</v>
      </c>
      <c r="H25" s="16">
        <v>0.99</v>
      </c>
      <c r="I25" s="18">
        <f>'9 - 2021'!J31-'9 - 2021'!J30</f>
        <v>0</v>
      </c>
      <c r="J25" s="16">
        <v>8.1000000000000003E-2</v>
      </c>
      <c r="K25" s="34">
        <f>'9 - 2021'!H31-'9 - 2021'!H30</f>
        <v>0</v>
      </c>
      <c r="L25" s="18">
        <f>'9 - 2021'!I31-'9 - 2021'!I30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9</v>
      </c>
      <c r="D26" s="16">
        <v>2021</v>
      </c>
      <c r="E26" s="18">
        <f>'9 - 2021'!B32-'9 - 2021'!B31+'9 - 2021'!C32-'9 - 2021'!C31</f>
        <v>0</v>
      </c>
      <c r="F26" s="16">
        <v>0.11799999999999999</v>
      </c>
      <c r="G26" s="18">
        <f>'9 - 2021'!D32-'9 - 2021'!D31+'9 - 2021'!E32-'9 - 2021'!E31</f>
        <v>0</v>
      </c>
      <c r="H26" s="16">
        <v>0.99</v>
      </c>
      <c r="I26" s="18">
        <f>'9 - 2021'!J32-'9 - 2021'!J31</f>
        <v>0</v>
      </c>
      <c r="J26" s="16">
        <v>8.1000000000000003E-2</v>
      </c>
      <c r="K26" s="34">
        <f>'9 - 2021'!H32-'9 - 2021'!H31</f>
        <v>0</v>
      </c>
      <c r="L26" s="18">
        <f>'9 - 2021'!I32-'9 - 2021'!I31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18">
        <f>'9 - 2021'!B33-'9 - 2021'!B32+'9 - 2021'!C33-'9 - 2021'!C32</f>
        <v>0</v>
      </c>
      <c r="F27" s="16">
        <v>0.11799999999999999</v>
      </c>
      <c r="G27" s="18">
        <f>'9 - 2021'!D33-'9 - 2021'!D32+'9 - 2021'!E33-'9 - 2021'!E32</f>
        <v>0</v>
      </c>
      <c r="H27" s="16">
        <v>0.99</v>
      </c>
      <c r="I27" s="18">
        <f>'9 - 2021'!J33-'9 - 2021'!J32</f>
        <v>0</v>
      </c>
      <c r="J27" s="16">
        <v>8.1000000000000003E-2</v>
      </c>
      <c r="K27" s="34">
        <f>'9 - 2021'!H33-'9 - 2021'!H32</f>
        <v>0</v>
      </c>
      <c r="L27" s="18">
        <f>'9 - 2021'!I33-'9 - 2021'!I32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18">
        <f>'9 - 2021'!B34-'9 - 2021'!B33+'9 - 2021'!C34-'9 - 2021'!C33</f>
        <v>0</v>
      </c>
      <c r="F28" s="16">
        <v>0.11799999999999999</v>
      </c>
      <c r="G28" s="18">
        <f>'9 - 2021'!D34-'9 - 2021'!D33+'9 - 2021'!E34-'9 - 2021'!E33</f>
        <v>0</v>
      </c>
      <c r="H28" s="16">
        <v>0.99</v>
      </c>
      <c r="I28" s="18">
        <f>'9 - 2021'!J34-'9 - 2021'!J33</f>
        <v>0</v>
      </c>
      <c r="J28" s="16">
        <v>8.1000000000000003E-2</v>
      </c>
      <c r="K28" s="34">
        <f>'9 - 2021'!H34-'9 - 2021'!H33</f>
        <v>0</v>
      </c>
      <c r="L28" s="18">
        <f>'9 - 2021'!I34-'9 - 2021'!I33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'9 - 2021'!B35-'9 - 2021'!B34+'9 - 2021'!C35-'9 - 2021'!C34</f>
        <v>0</v>
      </c>
      <c r="F29" s="16">
        <v>0.11799999999999999</v>
      </c>
      <c r="G29" s="18">
        <f>'9 - 2021'!D35-'9 - 2021'!D34+'9 - 2021'!E35-'9 - 2021'!E34</f>
        <v>0</v>
      </c>
      <c r="H29" s="16">
        <v>0.99</v>
      </c>
      <c r="I29" s="18">
        <f>'9 - 2021'!J35-'9 - 2021'!J34</f>
        <v>0</v>
      </c>
      <c r="J29" s="16">
        <v>8.1000000000000003E-2</v>
      </c>
      <c r="K29" s="34">
        <f>'9 - 2021'!H35-'9 - 2021'!H34</f>
        <v>0</v>
      </c>
      <c r="L29" s="18">
        <f>'9 - 2021'!I35-'9 - 2021'!I34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'9 - 2021'!B36-'9 - 2021'!B35+'9 - 2021'!C36-'9 - 2021'!C35</f>
        <v>0</v>
      </c>
      <c r="F30" s="16">
        <v>0.11799999999999999</v>
      </c>
      <c r="G30" s="18">
        <f>'9 - 2021'!D36-'9 - 2021'!D35+'9 - 2021'!E36-'9 - 2021'!E35</f>
        <v>0</v>
      </c>
      <c r="H30" s="16">
        <v>0.99</v>
      </c>
      <c r="I30" s="18">
        <f>'9 - 2021'!J36-'9 - 2021'!J35</f>
        <v>0</v>
      </c>
      <c r="J30" s="16">
        <v>8.1000000000000003E-2</v>
      </c>
      <c r="K30" s="34">
        <f>'9 - 2021'!H36-'9 - 2021'!H35</f>
        <v>0</v>
      </c>
      <c r="L30" s="18">
        <f>'9 - 2021'!I36-'9 - 2021'!I35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'9 - 2021'!B37-'9 - 2021'!B36+'9 - 2021'!C37-'9 - 2021'!C36</f>
        <v>0</v>
      </c>
      <c r="F31" s="16">
        <v>0.11799999999999999</v>
      </c>
      <c r="G31" s="18">
        <f>'9 - 2021'!D37-'9 - 2021'!D36+'9 - 2021'!E37-'9 - 2021'!E36</f>
        <v>0</v>
      </c>
      <c r="H31" s="16">
        <v>0.99</v>
      </c>
      <c r="I31" s="18">
        <f>'9 - 2021'!J37-'9 - 2021'!J36</f>
        <v>0</v>
      </c>
      <c r="J31" s="16">
        <v>8.1000000000000003E-2</v>
      </c>
      <c r="K31" s="34">
        <f>'9 - 2021'!H37-'9 - 2021'!H36</f>
        <v>0</v>
      </c>
      <c r="L31" s="18">
        <f>'9 - 2021'!I37-'9 - 2021'!I36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F19" sqref="F19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</f>
        <v>3737.2000000000698</v>
      </c>
      <c r="F2" s="18">
        <f>'9 - 2021'!C8-'9 - 2021'!C7</f>
        <v>5642</v>
      </c>
      <c r="G2" s="16">
        <v>0.11799999999999999</v>
      </c>
      <c r="H2" s="18">
        <f>'9 - 2021'!E8-'9 - 2021'!E7</f>
        <v>24.199999999999818</v>
      </c>
      <c r="I2" s="18">
        <f>'9 - 2021'!F8-'9 - 2021'!F7</f>
        <v>6.0799999999999841</v>
      </c>
      <c r="J2" s="18">
        <f>'9 - 2021'!G8-'9 - 2021'!G7</f>
        <v>29.229999999999563</v>
      </c>
      <c r="K2" s="16">
        <v>0.74</v>
      </c>
      <c r="L2" s="18">
        <v>37</v>
      </c>
      <c r="M2" s="12"/>
    </row>
    <row r="3" spans="1:13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</f>
        <v>3699.5999999998603</v>
      </c>
      <c r="F3" s="18">
        <f>'9 - 2021'!C9-'9 - 2021'!C8</f>
        <v>5500</v>
      </c>
      <c r="G3" s="16">
        <v>0.11799999999999999</v>
      </c>
      <c r="H3" s="18">
        <f>'9 - 2021'!E9-'9 - 2021'!E8</f>
        <v>21.539999999999964</v>
      </c>
      <c r="I3" s="18">
        <f>'9 - 2021'!F9-'9 - 2021'!F8</f>
        <v>7.8199999999999932</v>
      </c>
      <c r="J3" s="18">
        <f>'9 - 2021'!G9-'9 - 2021'!G8</f>
        <v>30.490000000001601</v>
      </c>
      <c r="K3" s="16">
        <v>0.74</v>
      </c>
      <c r="L3" s="28">
        <v>35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v>0</v>
      </c>
      <c r="F4" s="18">
        <v>0</v>
      </c>
      <c r="G4" s="16">
        <v>0.11799999999999999</v>
      </c>
      <c r="H4" s="18">
        <v>0</v>
      </c>
      <c r="I4" s="18">
        <v>0</v>
      </c>
      <c r="J4" s="18">
        <v>0</v>
      </c>
      <c r="K4" s="16">
        <v>0.74</v>
      </c>
      <c r="L4" s="28"/>
      <c r="M4" s="12"/>
    </row>
    <row r="5" spans="1:13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</f>
        <v>0</v>
      </c>
      <c r="F5" s="18">
        <f>'9 - 2021'!C11-'9 - 2021'!C10</f>
        <v>0</v>
      </c>
      <c r="G5" s="16">
        <v>0.11799999999999999</v>
      </c>
      <c r="H5" s="18">
        <f>'9 - 2021'!E11-'9 - 2021'!E10</f>
        <v>0</v>
      </c>
      <c r="I5" s="18">
        <f>'9 - 2021'!F11-'9 - 2021'!F10</f>
        <v>0</v>
      </c>
      <c r="J5" s="18">
        <f>'9 - 2021'!G11-'9 - 2021'!G10</f>
        <v>0</v>
      </c>
      <c r="K5" s="16">
        <v>0.74</v>
      </c>
      <c r="L5" s="28"/>
      <c r="M5" s="12"/>
    </row>
    <row r="6" spans="1:13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</f>
        <v>0</v>
      </c>
      <c r="F6" s="18">
        <f>'9 - 2021'!C12-'9 - 2021'!C11</f>
        <v>0</v>
      </c>
      <c r="G6" s="16">
        <v>0.11799999999999999</v>
      </c>
      <c r="H6" s="18">
        <f>'9 - 2021'!E12-'9 - 2021'!E11</f>
        <v>0</v>
      </c>
      <c r="I6" s="18">
        <f>'9 - 2021'!F12-'9 - 2021'!F11</f>
        <v>0</v>
      </c>
      <c r="J6" s="18">
        <f>'9 - 2021'!G12-'9 - 2021'!G11</f>
        <v>0</v>
      </c>
      <c r="K6" s="16">
        <v>0.74</v>
      </c>
      <c r="L6" s="28"/>
      <c r="M6" s="13"/>
    </row>
    <row r="7" spans="1:13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</f>
        <v>0</v>
      </c>
      <c r="F7" s="18">
        <f>'9 - 2021'!C13-'9 - 2021'!C12</f>
        <v>0</v>
      </c>
      <c r="G7" s="16">
        <v>0.11799999999999999</v>
      </c>
      <c r="H7" s="18">
        <f>'9 - 2021'!E13-'9 - 2021'!E12</f>
        <v>0</v>
      </c>
      <c r="I7" s="18">
        <f>'9 - 2021'!F13-'9 - 2021'!F12</f>
        <v>0</v>
      </c>
      <c r="J7" s="18">
        <f>'9 - 2021'!G13-'9 - 2021'!G12</f>
        <v>0</v>
      </c>
      <c r="K7" s="16">
        <v>0.74</v>
      </c>
      <c r="L7" s="28"/>
      <c r="M7" s="13"/>
    </row>
    <row r="8" spans="1:13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</f>
        <v>0</v>
      </c>
      <c r="F8" s="18">
        <f>'9 - 2021'!C14-'9 - 2021'!C13</f>
        <v>0</v>
      </c>
      <c r="G8" s="16">
        <v>0.11799999999999999</v>
      </c>
      <c r="H8" s="18">
        <f>'9 - 2021'!E14-'9 - 2021'!E13</f>
        <v>0</v>
      </c>
      <c r="I8" s="18">
        <f>'9 - 2021'!F14-'9 - 2021'!F13</f>
        <v>0</v>
      </c>
      <c r="J8" s="18">
        <f>'9 - 2021'!G14-'9 - 2021'!G13</f>
        <v>0</v>
      </c>
      <c r="K8" s="16">
        <v>0.74</v>
      </c>
      <c r="L8" s="28"/>
      <c r="M8" s="13"/>
    </row>
    <row r="9" spans="1:13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</f>
        <v>0</v>
      </c>
      <c r="F9" s="18">
        <f>'9 - 2021'!C15-'9 - 2021'!C14</f>
        <v>0</v>
      </c>
      <c r="G9" s="16">
        <v>0.11799999999999999</v>
      </c>
      <c r="H9" s="18">
        <f>'9 - 2021'!E15-'9 - 2021'!E14</f>
        <v>0</v>
      </c>
      <c r="I9" s="18">
        <f>'9 - 2021'!F15-'9 - 2021'!F14</f>
        <v>0</v>
      </c>
      <c r="J9" s="18">
        <f>'9 - 2021'!G15-'9 - 2021'!G14</f>
        <v>0</v>
      </c>
      <c r="K9" s="16">
        <v>0.74</v>
      </c>
      <c r="L9" s="28"/>
      <c r="M9" s="13"/>
    </row>
    <row r="10" spans="1:13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</f>
        <v>0</v>
      </c>
      <c r="F10" s="18">
        <f>'9 - 2021'!C16-'9 - 2021'!C15</f>
        <v>0</v>
      </c>
      <c r="G10" s="16">
        <v>0.11799999999999999</v>
      </c>
      <c r="H10" s="18">
        <f>'9 - 2021'!E16-'9 - 2021'!E15</f>
        <v>0</v>
      </c>
      <c r="I10" s="18">
        <f>'9 - 2021'!F16-'9 - 2021'!F15</f>
        <v>0</v>
      </c>
      <c r="J10" s="18">
        <f>'9 - 2021'!G16-'9 - 2021'!G15</f>
        <v>0</v>
      </c>
      <c r="K10" s="16">
        <v>0.74</v>
      </c>
      <c r="L10" s="28"/>
      <c r="M10" s="13"/>
    </row>
    <row r="11" spans="1:13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</f>
        <v>0</v>
      </c>
      <c r="F11" s="18">
        <f>'9 - 2021'!C17-'9 - 2021'!C16</f>
        <v>0</v>
      </c>
      <c r="G11" s="16">
        <v>0.11799999999999999</v>
      </c>
      <c r="H11" s="18">
        <f>'9 - 2021'!E17-'9 - 2021'!E16</f>
        <v>0</v>
      </c>
      <c r="I11" s="18">
        <f>'9 - 2021'!F17-'9 - 2021'!F16</f>
        <v>0</v>
      </c>
      <c r="J11" s="18">
        <f>'9 - 2021'!G17-'9 - 2021'!G16</f>
        <v>0</v>
      </c>
      <c r="K11" s="16">
        <v>0.74</v>
      </c>
      <c r="L11" s="28"/>
      <c r="M11" s="13"/>
    </row>
    <row r="12" spans="1:13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</f>
        <v>0</v>
      </c>
      <c r="F12" s="18">
        <f>'9 - 2021'!C18-'9 - 2021'!C17</f>
        <v>0</v>
      </c>
      <c r="G12" s="16">
        <v>0.11799999999999999</v>
      </c>
      <c r="H12" s="18">
        <f>'9 - 2021'!E18-'9 - 2021'!E17</f>
        <v>0</v>
      </c>
      <c r="I12" s="18">
        <f>'9 - 2021'!F18-'9 - 2021'!F17</f>
        <v>0</v>
      </c>
      <c r="J12" s="18">
        <f>'9 - 2021'!G18-'9 - 2021'!G17</f>
        <v>0</v>
      </c>
      <c r="K12" s="16">
        <v>0.74</v>
      </c>
      <c r="L12" s="18"/>
      <c r="M12" s="13"/>
    </row>
    <row r="13" spans="1:13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</f>
        <v>0</v>
      </c>
      <c r="F13" s="18">
        <f>'9 - 2021'!C19-'9 - 2021'!C18</f>
        <v>0</v>
      </c>
      <c r="G13" s="16">
        <v>0.11799999999999999</v>
      </c>
      <c r="H13" s="18">
        <f>'9 - 2021'!E19-'9 - 2021'!E18</f>
        <v>0</v>
      </c>
      <c r="I13" s="18">
        <f>'9 - 2021'!F19-'9 - 2021'!F18</f>
        <v>0</v>
      </c>
      <c r="J13" s="18">
        <f>'9 - 2021'!G19-'9 - 2021'!G18</f>
        <v>0</v>
      </c>
      <c r="K13" s="16">
        <v>0.74</v>
      </c>
      <c r="L13" s="18"/>
      <c r="M13" s="13"/>
    </row>
    <row r="14" spans="1:13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</f>
        <v>0</v>
      </c>
      <c r="F14" s="18">
        <f>'9 - 2021'!C20-'9 - 2021'!C19</f>
        <v>0</v>
      </c>
      <c r="G14" s="16">
        <v>0.11799999999999999</v>
      </c>
      <c r="H14" s="18">
        <f>'9 - 2021'!E20-'9 - 2021'!E19</f>
        <v>0</v>
      </c>
      <c r="I14" s="18">
        <f>'9 - 2021'!F20-'9 - 2021'!F19</f>
        <v>0</v>
      </c>
      <c r="J14" s="18">
        <f>'9 - 2021'!G20-'9 - 2021'!G19</f>
        <v>0</v>
      </c>
      <c r="K14" s="16">
        <v>0.74</v>
      </c>
      <c r="L14" s="18"/>
      <c r="M14" s="13"/>
    </row>
    <row r="15" spans="1:13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</f>
        <v>0</v>
      </c>
      <c r="F15" s="18">
        <f>'9 - 2021'!C21-'9 - 2021'!C20</f>
        <v>0</v>
      </c>
      <c r="G15" s="16">
        <v>0.11799999999999999</v>
      </c>
      <c r="H15" s="18">
        <f>'9 - 2021'!E21-'9 - 2021'!E20</f>
        <v>0</v>
      </c>
      <c r="I15" s="18">
        <f>'9 - 2021'!F21-'9 - 2021'!F20</f>
        <v>0</v>
      </c>
      <c r="J15" s="18">
        <f>'9 - 2021'!G21-'9 - 2021'!G20</f>
        <v>0</v>
      </c>
      <c r="K15" s="16">
        <v>0.74</v>
      </c>
      <c r="L15" s="18"/>
      <c r="M15" s="13"/>
    </row>
    <row r="16" spans="1:13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</f>
        <v>0</v>
      </c>
      <c r="F16" s="18">
        <f>'9 - 2021'!C22-'9 - 2021'!C21</f>
        <v>0</v>
      </c>
      <c r="G16" s="16">
        <v>0.11799999999999999</v>
      </c>
      <c r="H16" s="18">
        <f>'9 - 2021'!E22-'9 - 2021'!E21</f>
        <v>0</v>
      </c>
      <c r="I16" s="18">
        <f>'9 - 2021'!F22-'9 - 2021'!F21</f>
        <v>0</v>
      </c>
      <c r="J16" s="18">
        <f>'9 - 2021'!G22-'9 - 2021'!G21</f>
        <v>0</v>
      </c>
      <c r="K16" s="16">
        <v>0.74</v>
      </c>
      <c r="L16" s="18"/>
      <c r="M16" s="13"/>
    </row>
    <row r="17" spans="1:13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</f>
        <v>0</v>
      </c>
      <c r="F17" s="18">
        <f>'9 - 2021'!C23-'9 - 2021'!C22</f>
        <v>0</v>
      </c>
      <c r="G17" s="16">
        <v>0.11799999999999999</v>
      </c>
      <c r="H17" s="18">
        <f>'9 - 2021'!E23-'9 - 2021'!E22</f>
        <v>0</v>
      </c>
      <c r="I17" s="18">
        <f>'9 - 2021'!F23-'9 - 2021'!F22</f>
        <v>0</v>
      </c>
      <c r="J17" s="18">
        <f>'9 - 2021'!G23-'9 - 2021'!G22</f>
        <v>0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</f>
        <v>0</v>
      </c>
      <c r="F18" s="18">
        <f>'9 - 2021'!C24-'9 - 2021'!C23</f>
        <v>0</v>
      </c>
      <c r="G18" s="16">
        <v>0.11799999999999999</v>
      </c>
      <c r="H18" s="18">
        <f>'9 - 2021'!E24-'9 - 2021'!E23</f>
        <v>0</v>
      </c>
      <c r="I18" s="18">
        <f>'9 - 2021'!F24-'9 - 2021'!F23</f>
        <v>0</v>
      </c>
      <c r="J18" s="18">
        <f>'9 - 2021'!G24-'9 - 2021'!G23</f>
        <v>0</v>
      </c>
      <c r="K18" s="16">
        <v>0.74</v>
      </c>
      <c r="L18" s="18"/>
      <c r="M18" s="13"/>
    </row>
    <row r="19" spans="1:13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</f>
        <v>0</v>
      </c>
      <c r="F19" s="18">
        <f>'9 - 2021'!C25-'9 - 2021'!C24</f>
        <v>0</v>
      </c>
      <c r="G19" s="16">
        <v>0.11799999999999999</v>
      </c>
      <c r="H19" s="18">
        <f>'9 - 2021'!E25-'9 - 2021'!E24</f>
        <v>0</v>
      </c>
      <c r="I19" s="18">
        <f>'9 - 2021'!F25-'9 - 2021'!F24</f>
        <v>0</v>
      </c>
      <c r="J19" s="18">
        <f>'9 - 2021'!G25-'9 - 2021'!G24</f>
        <v>0</v>
      </c>
      <c r="K19" s="16">
        <v>0.74</v>
      </c>
      <c r="L19" s="18"/>
      <c r="M19" s="13"/>
    </row>
    <row r="20" spans="1:13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f>'9 - 2021'!B26-'9 - 2021'!B25</f>
        <v>0</v>
      </c>
      <c r="F20" s="18">
        <f>'9 - 2021'!C26-'9 - 2021'!C25</f>
        <v>0</v>
      </c>
      <c r="G20" s="16">
        <v>0.11799999999999999</v>
      </c>
      <c r="H20" s="18">
        <f>'9 - 2021'!E26-'9 - 2021'!E25</f>
        <v>0</v>
      </c>
      <c r="I20" s="18">
        <f>'9 - 2021'!F26-'9 - 2021'!F25</f>
        <v>0</v>
      </c>
      <c r="J20" s="18">
        <f>'9 - 2021'!G26-'9 - 2021'!G25</f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45">
        <f>'9 - 2021'!B27-'9 - 2021'!B26</f>
        <v>0</v>
      </c>
      <c r="F21" s="18">
        <f>'9 - 2021'!C27-'9 - 2021'!C26</f>
        <v>0</v>
      </c>
      <c r="G21" s="16">
        <v>0.11799999999999999</v>
      </c>
      <c r="H21" s="18">
        <f>'9 - 2021'!E27-'9 - 2021'!E26</f>
        <v>0</v>
      </c>
      <c r="I21" s="18">
        <f>'9 - 2021'!F27-'9 - 2021'!F26</f>
        <v>0</v>
      </c>
      <c r="J21" s="18">
        <f>'9 - 2021'!G27-'9 - 2021'!G26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45">
        <f>'9 - 2021'!B28-'9 - 2021'!B27</f>
        <v>0</v>
      </c>
      <c r="F22" s="18">
        <f>'9 - 2021'!C28-'9 - 2021'!C27</f>
        <v>0</v>
      </c>
      <c r="G22" s="16">
        <v>0.11799999999999999</v>
      </c>
      <c r="H22" s="18">
        <f>'9 - 2021'!E28-'9 - 2021'!E27</f>
        <v>0</v>
      </c>
      <c r="I22" s="18">
        <f>'9 - 2021'!F28-'9 - 2021'!F27</f>
        <v>0</v>
      </c>
      <c r="J22" s="18">
        <f>'9 - 2021'!G28-'9 - 2021'!G27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45">
        <f>'9 - 2021'!B29-'9 - 2021'!B28</f>
        <v>0</v>
      </c>
      <c r="F23" s="18">
        <f>'9 - 2021'!C29-'9 - 2021'!C28</f>
        <v>0</v>
      </c>
      <c r="G23" s="16">
        <v>0.11799999999999999</v>
      </c>
      <c r="H23" s="18">
        <f>'9 - 2021'!E29-'9 - 2021'!E28</f>
        <v>0</v>
      </c>
      <c r="I23" s="18">
        <f>'9 - 2021'!F29-'9 - 2021'!F28</f>
        <v>0</v>
      </c>
      <c r="J23" s="18">
        <f>'9 - 2021'!G29-'9 - 2021'!G28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45">
        <f>'9 - 2021'!B30-'9 - 2021'!B29</f>
        <v>0</v>
      </c>
      <c r="F24" s="18">
        <f>'9 - 2021'!C30-'9 - 2021'!C29</f>
        <v>0</v>
      </c>
      <c r="G24" s="16">
        <v>0.11799999999999999</v>
      </c>
      <c r="H24" s="18">
        <f>'9 - 2021'!E30-'9 - 2021'!E29</f>
        <v>0</v>
      </c>
      <c r="I24" s="18">
        <f>'9 - 2021'!F30-'9 - 2021'!F29</f>
        <v>0</v>
      </c>
      <c r="J24" s="18">
        <f>'9 - 2021'!G30-'9 - 2021'!G29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45">
        <f>'9 - 2021'!B31-'9 - 2021'!B30</f>
        <v>0</v>
      </c>
      <c r="F25" s="18">
        <f>'9 - 2021'!C31-'9 - 2021'!C30</f>
        <v>0</v>
      </c>
      <c r="G25" s="16">
        <v>0.11799999999999999</v>
      </c>
      <c r="H25" s="18">
        <f>'9 - 2021'!E31-'9 - 2021'!E30</f>
        <v>0</v>
      </c>
      <c r="I25" s="18">
        <f>'9 - 2021'!F31-'9 - 2021'!F30</f>
        <v>0</v>
      </c>
      <c r="J25" s="18">
        <f>'9 - 2021'!G31-'9 - 2021'!G30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9</v>
      </c>
      <c r="D26" s="16">
        <v>2021</v>
      </c>
      <c r="E26" s="45">
        <f>'9 - 2021'!B32-'9 - 2021'!B31</f>
        <v>0</v>
      </c>
      <c r="F26" s="18">
        <f>'9 - 2021'!C32-'9 - 2021'!C31</f>
        <v>0</v>
      </c>
      <c r="G26" s="16">
        <v>0.11799999999999999</v>
      </c>
      <c r="H26" s="18">
        <f>'9 - 2021'!E32-'9 - 2021'!E31</f>
        <v>0</v>
      </c>
      <c r="I26" s="18">
        <f>'9 - 2021'!F32-'9 - 2021'!F31</f>
        <v>0</v>
      </c>
      <c r="J26" s="18">
        <f>'9 - 2021'!G32-'9 - 2021'!G31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45">
        <f>'9 - 2021'!B33-'9 - 2021'!B32</f>
        <v>0</v>
      </c>
      <c r="F27" s="18">
        <f>'9 - 2021'!C33-'9 - 2021'!C32</f>
        <v>0</v>
      </c>
      <c r="G27" s="16">
        <v>0.11799999999999999</v>
      </c>
      <c r="H27" s="18">
        <f>'9 - 2021'!E33-'9 - 2021'!E32</f>
        <v>0</v>
      </c>
      <c r="I27" s="18">
        <f>'9 - 2021'!F33-'9 - 2021'!F32</f>
        <v>0</v>
      </c>
      <c r="J27" s="18">
        <f>'9 - 2021'!G33-'9 - 2021'!G32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45">
        <f>'9 - 2021'!B34-'9 - 2021'!B33</f>
        <v>0</v>
      </c>
      <c r="F28" s="18">
        <f>'9 - 2021'!C34-'9 - 2021'!C33</f>
        <v>0</v>
      </c>
      <c r="G28" s="16">
        <v>0.11799999999999999</v>
      </c>
      <c r="H28" s="18">
        <f>'9 - 2021'!E34-'9 - 2021'!E33</f>
        <v>0</v>
      </c>
      <c r="I28" s="18">
        <f>'9 - 2021'!F34-'9 - 2021'!F33</f>
        <v>0</v>
      </c>
      <c r="J28" s="18">
        <f>'9 - 2021'!G34-'9 - 2021'!G33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</f>
        <v>0</v>
      </c>
      <c r="F29" s="18">
        <f>'9 - 2021'!C35-'9 - 2021'!C34</f>
        <v>0</v>
      </c>
      <c r="G29" s="16">
        <v>0.11799999999999999</v>
      </c>
      <c r="H29" s="18">
        <f>'9 - 2021'!E35-'9 - 2021'!E34</f>
        <v>0</v>
      </c>
      <c r="I29" s="18">
        <f>'9 - 2021'!F35-'9 - 2021'!F34</f>
        <v>0</v>
      </c>
      <c r="J29" s="18">
        <f>'9 - 2021'!G35-'9 - 2021'!G34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</f>
        <v>0</v>
      </c>
      <c r="F30" s="18">
        <f>'9 - 2021'!C36-'9 - 2021'!C35</f>
        <v>0</v>
      </c>
      <c r="G30" s="16">
        <v>0.11799999999999999</v>
      </c>
      <c r="H30" s="18">
        <f>'9 - 2021'!E36-'9 - 2021'!E35</f>
        <v>0</v>
      </c>
      <c r="I30" s="18">
        <f>'9 - 2021'!F36-'9 - 2021'!F35</f>
        <v>0</v>
      </c>
      <c r="J30" s="18">
        <f>'9 - 2021'!G36-'9 - 2021'!G35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</f>
        <v>0</v>
      </c>
      <c r="F31" s="18">
        <f>'9 - 2021'!C37-'9 - 2021'!C36</f>
        <v>0</v>
      </c>
      <c r="G31" s="16">
        <v>0.11799999999999999</v>
      </c>
      <c r="H31" s="18">
        <f>'9 - 2021'!E37-'9 - 2021'!E36</f>
        <v>0</v>
      </c>
      <c r="I31" s="18">
        <f>'9 - 2021'!F37-'9 - 2021'!F36</f>
        <v>0</v>
      </c>
      <c r="J31" s="18">
        <f>'9 - 2021'!G37-'9 - 2021'!G36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tabSelected="1" zoomScaleNormal="100" workbookViewId="0">
      <selection activeCell="G25" sqref="G25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44439</v>
      </c>
      <c r="B7" s="52">
        <v>1048520.9</v>
      </c>
      <c r="C7" s="53">
        <v>343357</v>
      </c>
      <c r="D7" s="54">
        <v>0.78</v>
      </c>
      <c r="E7" s="44">
        <v>5121.1000000000004</v>
      </c>
      <c r="F7" s="40">
        <v>219.36</v>
      </c>
      <c r="G7" s="40">
        <v>32462.77</v>
      </c>
      <c r="H7" s="52">
        <v>14528</v>
      </c>
      <c r="I7" s="52">
        <v>129480</v>
      </c>
      <c r="J7" s="52">
        <v>49877280</v>
      </c>
      <c r="K7" s="81"/>
      <c r="L7" s="32"/>
      <c r="M7" s="26"/>
    </row>
    <row r="8" spans="1:17" s="60" customFormat="1" ht="12.95" customHeight="1" x14ac:dyDescent="0.25">
      <c r="A8" s="25">
        <f>A7+1</f>
        <v>44440</v>
      </c>
      <c r="B8" s="55">
        <v>1052258.1000000001</v>
      </c>
      <c r="C8" s="55">
        <v>348999</v>
      </c>
      <c r="D8" s="56">
        <v>0.73</v>
      </c>
      <c r="E8" s="57">
        <v>5145.3</v>
      </c>
      <c r="F8" s="57">
        <v>225.44</v>
      </c>
      <c r="G8" s="55">
        <v>32492</v>
      </c>
      <c r="H8" s="55">
        <v>14528</v>
      </c>
      <c r="I8" s="55">
        <v>129575</v>
      </c>
      <c r="J8" s="55">
        <v>49909468</v>
      </c>
      <c r="K8" s="58"/>
      <c r="L8" s="82"/>
      <c r="M8" s="59"/>
    </row>
    <row r="9" spans="1:17" s="60" customFormat="1" ht="12.95" customHeight="1" x14ac:dyDescent="0.25">
      <c r="A9" s="25">
        <f t="shared" ref="A9:A38" si="0">A8+1</f>
        <v>44441</v>
      </c>
      <c r="B9" s="61">
        <v>1055957.7</v>
      </c>
      <c r="C9" s="38">
        <v>354499</v>
      </c>
      <c r="D9" s="62">
        <v>0.65</v>
      </c>
      <c r="E9" s="38">
        <v>5166.84</v>
      </c>
      <c r="F9" s="38">
        <v>233.26</v>
      </c>
      <c r="G9" s="38">
        <v>32522.49</v>
      </c>
      <c r="H9" s="61">
        <v>14528</v>
      </c>
      <c r="I9" s="63">
        <v>129671</v>
      </c>
      <c r="J9" s="63">
        <v>49941460</v>
      </c>
      <c r="K9" s="64"/>
      <c r="L9" s="83"/>
      <c r="M9" s="59"/>
    </row>
    <row r="10" spans="1:17" s="60" customFormat="1" ht="12.95" customHeight="1" x14ac:dyDescent="0.25">
      <c r="A10" s="25">
        <f t="shared" si="0"/>
        <v>44442</v>
      </c>
      <c r="B10" s="63"/>
      <c r="C10" s="63"/>
      <c r="D10" s="62"/>
      <c r="E10" s="38"/>
      <c r="F10" s="38"/>
      <c r="G10" s="38"/>
      <c r="H10" s="61"/>
      <c r="I10" s="63"/>
      <c r="J10" s="43"/>
      <c r="K10" s="64"/>
      <c r="L10" s="84"/>
      <c r="M10" s="59"/>
    </row>
    <row r="11" spans="1:17" s="60" customFormat="1" ht="12.95" customHeight="1" x14ac:dyDescent="0.25">
      <c r="A11" s="25">
        <f t="shared" si="0"/>
        <v>44443</v>
      </c>
      <c r="B11" s="63"/>
      <c r="C11" s="63"/>
      <c r="D11" s="62"/>
      <c r="E11" s="38"/>
      <c r="F11" s="38"/>
      <c r="G11" s="38"/>
      <c r="H11" s="61"/>
      <c r="I11" s="63"/>
      <c r="J11" s="63"/>
      <c r="K11" s="64"/>
      <c r="L11" s="84"/>
      <c r="M11" s="59"/>
    </row>
    <row r="12" spans="1:17" s="60" customFormat="1" ht="12.95" customHeight="1" x14ac:dyDescent="0.25">
      <c r="A12" s="25">
        <f t="shared" si="0"/>
        <v>44444</v>
      </c>
      <c r="B12" s="61"/>
      <c r="C12" s="61"/>
      <c r="D12" s="62"/>
      <c r="E12" s="61"/>
      <c r="F12" s="61"/>
      <c r="G12" s="61"/>
      <c r="H12" s="61"/>
      <c r="I12" s="61"/>
      <c r="J12" s="61"/>
      <c r="K12" s="64"/>
      <c r="L12" s="84"/>
      <c r="M12" s="59"/>
      <c r="N12" s="59"/>
    </row>
    <row r="13" spans="1:17" s="60" customFormat="1" ht="12.95" customHeight="1" x14ac:dyDescent="0.25">
      <c r="A13" s="25">
        <f t="shared" si="0"/>
        <v>44445</v>
      </c>
      <c r="B13" s="85"/>
      <c r="C13" s="38"/>
      <c r="D13" s="62"/>
      <c r="E13" s="38"/>
      <c r="F13" s="38"/>
      <c r="G13" s="38"/>
      <c r="H13" s="63"/>
      <c r="I13" s="38"/>
      <c r="J13" s="38"/>
      <c r="K13" s="64"/>
      <c r="L13" s="48"/>
      <c r="M13" s="59"/>
      <c r="N13" s="65"/>
      <c r="O13" s="65"/>
      <c r="P13" s="65"/>
      <c r="Q13" s="65"/>
    </row>
    <row r="14" spans="1:17" s="60" customFormat="1" ht="12.95" customHeight="1" x14ac:dyDescent="0.25">
      <c r="A14" s="25">
        <f t="shared" si="0"/>
        <v>44446</v>
      </c>
      <c r="B14" s="63"/>
      <c r="C14" s="63"/>
      <c r="D14" s="62"/>
      <c r="E14" s="38"/>
      <c r="F14" s="38"/>
      <c r="G14" s="38"/>
      <c r="H14" s="63"/>
      <c r="I14" s="63"/>
      <c r="J14" s="63"/>
      <c r="K14" s="64"/>
      <c r="L14" s="84"/>
      <c r="M14" s="59"/>
      <c r="N14" s="65"/>
      <c r="O14" s="65"/>
      <c r="P14" s="65"/>
      <c r="Q14" s="65"/>
    </row>
    <row r="15" spans="1:17" s="60" customFormat="1" ht="12.95" customHeight="1" x14ac:dyDescent="0.25">
      <c r="A15" s="25">
        <f t="shared" si="0"/>
        <v>44447</v>
      </c>
      <c r="B15" s="63"/>
      <c r="C15" s="63"/>
      <c r="D15" s="62"/>
      <c r="E15" s="38"/>
      <c r="F15" s="66"/>
      <c r="G15" s="38"/>
      <c r="H15" s="63"/>
      <c r="I15" s="63"/>
      <c r="J15" s="63"/>
      <c r="K15" s="64"/>
      <c r="L15" s="84"/>
      <c r="M15" s="59"/>
      <c r="N15" s="65"/>
      <c r="O15" s="65"/>
      <c r="P15" s="65"/>
      <c r="Q15" s="65"/>
    </row>
    <row r="16" spans="1:17" s="60" customFormat="1" ht="12.95" customHeight="1" x14ac:dyDescent="0.25">
      <c r="A16" s="25">
        <f t="shared" si="0"/>
        <v>44448</v>
      </c>
      <c r="B16" s="67"/>
      <c r="C16" s="63"/>
      <c r="D16" s="62"/>
      <c r="E16" s="38"/>
      <c r="F16" s="66"/>
      <c r="G16" s="38"/>
      <c r="H16" s="63"/>
      <c r="I16" s="63"/>
      <c r="J16" s="63"/>
      <c r="K16" s="64"/>
      <c r="L16" s="84"/>
      <c r="M16" s="59"/>
      <c r="N16" s="65"/>
      <c r="O16" s="65"/>
      <c r="P16" s="65"/>
      <c r="Q16" s="65"/>
    </row>
    <row r="17" spans="1:19" s="60" customFormat="1" ht="12.95" customHeight="1" x14ac:dyDescent="0.25">
      <c r="A17" s="25">
        <f t="shared" si="0"/>
        <v>44449</v>
      </c>
      <c r="B17" s="38"/>
      <c r="C17" s="38"/>
      <c r="D17" s="68"/>
      <c r="E17" s="38"/>
      <c r="F17" s="66"/>
      <c r="G17" s="38"/>
      <c r="H17" s="63"/>
      <c r="I17" s="38"/>
      <c r="J17" s="38"/>
      <c r="K17" s="64"/>
      <c r="L17" s="84"/>
      <c r="M17" s="59"/>
      <c r="N17" s="65"/>
      <c r="O17" s="65"/>
      <c r="P17" s="65"/>
      <c r="Q17" s="65"/>
    </row>
    <row r="18" spans="1:19" s="60" customFormat="1" ht="12.95" customHeight="1" x14ac:dyDescent="0.25">
      <c r="A18" s="25">
        <f t="shared" si="0"/>
        <v>44450</v>
      </c>
      <c r="B18" s="63"/>
      <c r="C18" s="63"/>
      <c r="D18" s="62"/>
      <c r="E18" s="38"/>
      <c r="F18" s="38"/>
      <c r="G18" s="38"/>
      <c r="H18" s="63"/>
      <c r="I18" s="63"/>
      <c r="J18" s="63"/>
      <c r="K18" s="64"/>
      <c r="L18" s="84"/>
      <c r="M18" s="59"/>
      <c r="N18" s="65"/>
      <c r="O18" s="69"/>
      <c r="P18" s="65"/>
      <c r="Q18" s="65"/>
    </row>
    <row r="19" spans="1:19" s="60" customFormat="1" ht="12.95" customHeight="1" x14ac:dyDescent="0.25">
      <c r="A19" s="25">
        <f t="shared" si="0"/>
        <v>44451</v>
      </c>
      <c r="B19" s="42"/>
      <c r="C19" s="42"/>
      <c r="D19" s="62"/>
      <c r="E19" s="38"/>
      <c r="F19" s="38"/>
      <c r="G19" s="39"/>
      <c r="H19" s="63"/>
      <c r="I19" s="42"/>
      <c r="J19" s="42"/>
      <c r="K19" s="64"/>
      <c r="L19" s="48"/>
      <c r="M19" s="59"/>
      <c r="N19" s="65"/>
      <c r="O19" s="69"/>
      <c r="P19" s="65"/>
      <c r="Q19" s="65"/>
    </row>
    <row r="20" spans="1:19" s="60" customFormat="1" ht="12.95" customHeight="1" x14ac:dyDescent="0.25">
      <c r="A20" s="25">
        <f t="shared" si="0"/>
        <v>44452</v>
      </c>
      <c r="B20" s="42"/>
      <c r="C20" s="42"/>
      <c r="D20" s="62"/>
      <c r="E20" s="61"/>
      <c r="F20" s="61"/>
      <c r="G20" s="39"/>
      <c r="H20" s="63"/>
      <c r="I20" s="42"/>
      <c r="J20" s="42"/>
      <c r="K20" s="64"/>
      <c r="L20" s="86"/>
      <c r="M20" s="59"/>
      <c r="N20" s="70"/>
      <c r="O20" s="65"/>
      <c r="P20" s="65"/>
      <c r="Q20" s="65"/>
    </row>
    <row r="21" spans="1:19" s="60" customFormat="1" ht="12.95" customHeight="1" x14ac:dyDescent="0.25">
      <c r="A21" s="25">
        <f t="shared" si="0"/>
        <v>44453</v>
      </c>
      <c r="B21" s="42"/>
      <c r="C21" s="42"/>
      <c r="D21" s="62"/>
      <c r="E21" s="39"/>
      <c r="F21" s="38"/>
      <c r="G21" s="39"/>
      <c r="H21" s="63"/>
      <c r="I21" s="42"/>
      <c r="J21" s="42"/>
      <c r="K21" s="64"/>
      <c r="L21" s="86"/>
      <c r="M21" s="59"/>
      <c r="N21" s="70"/>
      <c r="O21" s="70"/>
      <c r="P21" s="71"/>
      <c r="Q21" s="71"/>
      <c r="S21" s="59"/>
    </row>
    <row r="22" spans="1:19" s="60" customFormat="1" ht="12.95" customHeight="1" x14ac:dyDescent="0.25">
      <c r="A22" s="25">
        <f t="shared" si="0"/>
        <v>44454</v>
      </c>
      <c r="B22" s="61"/>
      <c r="C22" s="67"/>
      <c r="D22" s="62"/>
      <c r="E22" s="38"/>
      <c r="F22" s="38"/>
      <c r="G22" s="39"/>
      <c r="H22" s="63"/>
      <c r="I22" s="39"/>
      <c r="J22" s="42"/>
      <c r="K22" s="64"/>
      <c r="L22" s="86"/>
      <c r="M22" s="59"/>
      <c r="N22" s="70"/>
      <c r="O22" s="70"/>
      <c r="P22" s="65"/>
      <c r="Q22" s="65"/>
    </row>
    <row r="23" spans="1:19" s="60" customFormat="1" ht="12.95" customHeight="1" x14ac:dyDescent="0.25">
      <c r="A23" s="25">
        <f t="shared" si="0"/>
        <v>44455</v>
      </c>
      <c r="B23" s="42"/>
      <c r="C23" s="42"/>
      <c r="D23" s="62"/>
      <c r="E23" s="39"/>
      <c r="F23" s="38"/>
      <c r="G23" s="39"/>
      <c r="H23" s="63"/>
      <c r="I23" s="42"/>
      <c r="J23" s="42"/>
      <c r="K23" s="64"/>
      <c r="L23" s="86"/>
      <c r="M23" s="59"/>
      <c r="N23" s="70"/>
      <c r="O23" s="65"/>
      <c r="P23" s="65"/>
      <c r="Q23" s="65"/>
    </row>
    <row r="24" spans="1:19" s="60" customFormat="1" ht="12.95" customHeight="1" x14ac:dyDescent="0.25">
      <c r="A24" s="25">
        <f t="shared" si="0"/>
        <v>44456</v>
      </c>
      <c r="B24" s="42"/>
      <c r="C24" s="42"/>
      <c r="D24" s="62"/>
      <c r="E24" s="39"/>
      <c r="F24" s="38"/>
      <c r="G24" s="39"/>
      <c r="H24" s="63"/>
      <c r="I24" s="42"/>
      <c r="J24" s="42"/>
      <c r="K24" s="64"/>
      <c r="L24" s="87"/>
      <c r="M24" s="59"/>
      <c r="N24" s="70"/>
      <c r="O24" s="70"/>
      <c r="P24" s="65"/>
      <c r="Q24" s="65"/>
    </row>
    <row r="25" spans="1:19" s="60" customFormat="1" ht="12.95" customHeight="1" x14ac:dyDescent="0.25">
      <c r="A25" s="25">
        <f t="shared" si="0"/>
        <v>44457</v>
      </c>
      <c r="B25" s="39"/>
      <c r="C25" s="39"/>
      <c r="D25" s="62"/>
      <c r="E25" s="39"/>
      <c r="F25" s="38"/>
      <c r="G25" s="39"/>
      <c r="H25" s="63"/>
      <c r="I25" s="42"/>
      <c r="J25" s="42"/>
      <c r="K25" s="72"/>
      <c r="L25" s="87"/>
      <c r="M25" s="59"/>
      <c r="N25" s="70"/>
      <c r="O25" s="70"/>
      <c r="P25" s="65"/>
      <c r="Q25" s="65"/>
    </row>
    <row r="26" spans="1:19" s="60" customFormat="1" ht="12.95" customHeight="1" x14ac:dyDescent="0.25">
      <c r="A26" s="25">
        <f t="shared" si="0"/>
        <v>44458</v>
      </c>
      <c r="B26" s="39"/>
      <c r="C26" s="39"/>
      <c r="D26" s="68"/>
      <c r="E26" s="39"/>
      <c r="F26" s="38"/>
      <c r="G26" s="39"/>
      <c r="H26" s="63"/>
      <c r="I26" s="42"/>
      <c r="J26" s="42"/>
      <c r="K26" s="64"/>
      <c r="L26" s="87"/>
      <c r="M26" s="59"/>
      <c r="N26" s="70"/>
      <c r="O26" s="70"/>
      <c r="P26" s="65"/>
      <c r="Q26" s="65"/>
    </row>
    <row r="27" spans="1:19" s="60" customFormat="1" ht="12.95" customHeight="1" x14ac:dyDescent="0.25">
      <c r="A27" s="25">
        <f t="shared" si="0"/>
        <v>44459</v>
      </c>
      <c r="B27" s="42"/>
      <c r="C27" s="42"/>
      <c r="D27" s="62"/>
      <c r="E27" s="39"/>
      <c r="F27" s="38"/>
      <c r="G27" s="39"/>
      <c r="H27" s="63"/>
      <c r="I27" s="42"/>
      <c r="J27" s="42"/>
      <c r="K27" s="88"/>
      <c r="L27" s="89"/>
      <c r="M27" s="59"/>
    </row>
    <row r="28" spans="1:19" s="60" customFormat="1" ht="12.95" customHeight="1" x14ac:dyDescent="0.25">
      <c r="A28" s="25">
        <f t="shared" si="0"/>
        <v>44460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89"/>
      <c r="M28" s="59"/>
    </row>
    <row r="29" spans="1:19" s="60" customFormat="1" ht="12.95" customHeight="1" x14ac:dyDescent="0.25">
      <c r="A29" s="25">
        <f t="shared" si="0"/>
        <v>44461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89"/>
      <c r="M29" s="59"/>
      <c r="N29" s="59"/>
    </row>
    <row r="30" spans="1:19" s="60" customFormat="1" ht="12.95" customHeight="1" x14ac:dyDescent="0.25">
      <c r="A30" s="25">
        <f t="shared" si="0"/>
        <v>44462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89"/>
      <c r="M30" s="59"/>
    </row>
    <row r="31" spans="1:19" s="60" customFormat="1" ht="12.95" customHeight="1" x14ac:dyDescent="0.25">
      <c r="A31" s="25">
        <f t="shared" si="0"/>
        <v>44463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89"/>
      <c r="M31" s="59"/>
      <c r="N31" s="59"/>
      <c r="O31" s="59"/>
    </row>
    <row r="32" spans="1:19" s="60" customFormat="1" ht="12.95" customHeight="1" x14ac:dyDescent="0.25">
      <c r="A32" s="25">
        <f t="shared" si="0"/>
        <v>44464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89"/>
      <c r="M32" s="59"/>
      <c r="N32" s="59"/>
      <c r="O32" s="59"/>
    </row>
    <row r="33" spans="1:16" s="60" customFormat="1" ht="12.95" customHeight="1" x14ac:dyDescent="0.25">
      <c r="A33" s="25">
        <f t="shared" si="0"/>
        <v>44465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89"/>
      <c r="N33" s="59"/>
      <c r="O33" s="59"/>
    </row>
    <row r="34" spans="1:16" s="60" customFormat="1" ht="12.95" customHeight="1" x14ac:dyDescent="0.25">
      <c r="A34" s="25">
        <f t="shared" si="0"/>
        <v>44466</v>
      </c>
      <c r="B34" s="42"/>
      <c r="C34" s="42"/>
      <c r="D34" s="68"/>
      <c r="E34" s="39"/>
      <c r="F34" s="38"/>
      <c r="G34" s="39"/>
      <c r="H34" s="63"/>
      <c r="I34" s="39"/>
      <c r="J34" s="39"/>
      <c r="K34" s="64"/>
      <c r="L34" s="90"/>
      <c r="N34" s="59"/>
      <c r="P34" s="59"/>
    </row>
    <row r="35" spans="1:16" s="60" customFormat="1" ht="12.95" customHeight="1" x14ac:dyDescent="0.25">
      <c r="A35" s="25">
        <f>A34+1</f>
        <v>44467</v>
      </c>
      <c r="B35" s="63"/>
      <c r="C35" s="73"/>
      <c r="D35" s="62"/>
      <c r="E35" s="39"/>
      <c r="F35" s="38"/>
      <c r="G35" s="38"/>
      <c r="H35" s="63"/>
      <c r="I35" s="63"/>
      <c r="J35" s="63"/>
      <c r="K35" s="64"/>
      <c r="L35" s="89"/>
      <c r="M35" s="59"/>
      <c r="N35" s="59"/>
      <c r="O35" s="59"/>
    </row>
    <row r="36" spans="1:16" s="74" customFormat="1" x14ac:dyDescent="0.25">
      <c r="A36" s="46">
        <f t="shared" si="0"/>
        <v>44468</v>
      </c>
      <c r="B36" s="63"/>
      <c r="C36" s="73"/>
      <c r="D36" s="62"/>
      <c r="E36" s="39"/>
      <c r="F36" s="38"/>
      <c r="G36" s="38"/>
      <c r="H36" s="63"/>
      <c r="I36" s="63"/>
      <c r="J36" s="63"/>
      <c r="K36" s="64"/>
      <c r="L36" s="89"/>
    </row>
    <row r="37" spans="1:16" s="74" customFormat="1" x14ac:dyDescent="0.25">
      <c r="A37" s="46">
        <f t="shared" si="0"/>
        <v>44469</v>
      </c>
      <c r="B37" s="63"/>
      <c r="C37" s="73"/>
      <c r="D37" s="62"/>
      <c r="E37" s="39"/>
      <c r="F37" s="38"/>
      <c r="G37" s="38"/>
      <c r="H37" s="63"/>
      <c r="I37" s="63"/>
      <c r="J37" s="63"/>
      <c r="K37" s="64"/>
      <c r="L37" s="89"/>
    </row>
    <row r="38" spans="1:16" ht="15.75" thickBot="1" x14ac:dyDescent="0.3">
      <c r="A38" s="47">
        <f t="shared" si="0"/>
        <v>44470</v>
      </c>
      <c r="B38" s="75"/>
      <c r="C38" s="76"/>
      <c r="D38" s="77"/>
      <c r="E38" s="78"/>
      <c r="F38" s="79"/>
      <c r="G38" s="79"/>
      <c r="H38" s="75"/>
      <c r="I38" s="75"/>
      <c r="J38" s="75"/>
      <c r="K38" s="80"/>
      <c r="L38" s="91"/>
    </row>
    <row r="39" spans="1:16" x14ac:dyDescent="0.25">
      <c r="A39" s="27" t="s">
        <v>35</v>
      </c>
      <c r="B39" s="20">
        <f>B37-B7</f>
        <v>-1048520.9</v>
      </c>
      <c r="C39" s="20">
        <f>C37-C7</f>
        <v>-343357</v>
      </c>
      <c r="D39" s="20"/>
      <c r="E39" s="20">
        <f t="shared" ref="E39:J39" si="1">E37-E7</f>
        <v>-5121.1000000000004</v>
      </c>
      <c r="F39" s="20">
        <f t="shared" si="1"/>
        <v>-219.36</v>
      </c>
      <c r="G39" s="20">
        <f t="shared" si="1"/>
        <v>-32462.77</v>
      </c>
      <c r="H39" s="20">
        <f t="shared" si="1"/>
        <v>-14528</v>
      </c>
      <c r="I39" s="20">
        <f t="shared" si="1"/>
        <v>-129480</v>
      </c>
      <c r="J39" s="20">
        <f t="shared" si="1"/>
        <v>-49877280</v>
      </c>
      <c r="K39" s="20">
        <f>SUM(K7:K38)</f>
        <v>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-28481586.120000001</v>
      </c>
      <c r="J40" s="18"/>
    </row>
    <row r="41" spans="1:16" x14ac:dyDescent="0.25">
      <c r="H41" s="14"/>
    </row>
    <row r="42" spans="1:16" x14ac:dyDescent="0.25">
      <c r="A42" s="35"/>
      <c r="B42" s="92"/>
      <c r="C42" s="92"/>
      <c r="D42" s="35"/>
      <c r="E42" s="92"/>
      <c r="F42" s="92"/>
      <c r="G42" s="92"/>
      <c r="H42" s="92"/>
      <c r="I42" s="92"/>
      <c r="J42" s="92"/>
      <c r="K42" s="35"/>
      <c r="L42" s="35"/>
    </row>
    <row r="43" spans="1:16" x14ac:dyDescent="0.25">
      <c r="I43" s="15"/>
    </row>
    <row r="44" spans="1:16" x14ac:dyDescent="0.25">
      <c r="C44" s="18"/>
    </row>
    <row r="45" spans="1:16" x14ac:dyDescent="0.25">
      <c r="J45" s="36"/>
    </row>
    <row r="46" spans="1:16" x14ac:dyDescent="0.25">
      <c r="C46" s="37"/>
      <c r="I46" s="36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9 - 2021</vt:lpstr>
      <vt:lpstr>'9 - 2021'!Print_Area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2021-09-02T05:29:45Z</dcterms:modified>
</cp:coreProperties>
</file>