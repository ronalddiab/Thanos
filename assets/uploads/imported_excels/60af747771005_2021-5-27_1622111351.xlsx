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23"/>
  <workbookPr/>
  <mc:AlternateContent xmlns:mc="http://schemas.openxmlformats.org/markup-compatibility/2006">
    <mc:Choice Requires="x15">
      <x15ac:absPath xmlns:x15ac="http://schemas.microsoft.com/office/spreadsheetml/2010/11/ac" url="https://d.docs.live.net/28a67037406f182d/المستندات/"/>
    </mc:Choice>
  </mc:AlternateContent>
  <xr:revisionPtr revIDLastSave="68" documentId="8_{876F83B8-7751-4376-99D8-E57B00D3653F}" xr6:coauthVersionLast="47" xr6:coauthVersionMax="47" xr10:uidLastSave="{24355579-02EB-4136-9B98-3D54FFD1528D}"/>
  <bookViews>
    <workbookView xWindow="-120" yWindow="-120" windowWidth="20730" windowHeight="11160" tabRatio="434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8" i="3" l="1"/>
  <c r="T28" i="3"/>
  <c r="R28" i="3"/>
  <c r="P28" i="3"/>
  <c r="N28" i="3"/>
  <c r="J28" i="3"/>
  <c r="E28" i="3"/>
  <c r="C28" i="3"/>
  <c r="V27" i="3"/>
  <c r="T27" i="3"/>
  <c r="R27" i="3"/>
  <c r="P27" i="3"/>
  <c r="N27" i="3"/>
  <c r="J27" i="3"/>
  <c r="E27" i="3"/>
  <c r="C27" i="3"/>
  <c r="V26" i="3"/>
  <c r="T26" i="3"/>
  <c r="R26" i="3"/>
  <c r="P26" i="3"/>
  <c r="N26" i="3"/>
  <c r="L26" i="3"/>
  <c r="J26" i="3"/>
  <c r="E26" i="3"/>
  <c r="C26" i="3"/>
  <c r="V25" i="3"/>
  <c r="T25" i="3"/>
  <c r="R25" i="3"/>
  <c r="P25" i="3"/>
  <c r="N25" i="3"/>
  <c r="L25" i="3"/>
  <c r="J25" i="3"/>
  <c r="E25" i="3"/>
  <c r="C25" i="3"/>
  <c r="V24" i="3"/>
  <c r="T24" i="3"/>
  <c r="R24" i="3"/>
  <c r="P24" i="3"/>
  <c r="N24" i="3"/>
  <c r="L24" i="3"/>
  <c r="J24" i="3"/>
  <c r="E24" i="3"/>
  <c r="C24" i="3"/>
  <c r="V23" i="3"/>
  <c r="T23" i="3"/>
  <c r="R23" i="3"/>
  <c r="P23" i="3"/>
  <c r="N23" i="3"/>
  <c r="L23" i="3"/>
  <c r="J23" i="3"/>
  <c r="E23" i="3"/>
  <c r="C23" i="3"/>
  <c r="V22" i="3"/>
  <c r="T22" i="3"/>
  <c r="R22" i="3"/>
  <c r="P22" i="3"/>
  <c r="N22" i="3"/>
  <c r="L22" i="3"/>
  <c r="J22" i="3"/>
  <c r="E22" i="3"/>
  <c r="C22" i="3"/>
  <c r="V21" i="3"/>
  <c r="T21" i="3"/>
  <c r="R21" i="3"/>
  <c r="P21" i="3"/>
  <c r="N21" i="3"/>
  <c r="L21" i="3"/>
  <c r="J21" i="3"/>
  <c r="E21" i="3"/>
  <c r="C21" i="3"/>
  <c r="V20" i="3"/>
  <c r="T20" i="3"/>
  <c r="R20" i="3"/>
  <c r="P20" i="3"/>
  <c r="N20" i="3"/>
  <c r="L20" i="3"/>
  <c r="J20" i="3"/>
  <c r="E20" i="3"/>
  <c r="C20" i="3"/>
  <c r="V19" i="3"/>
  <c r="T19" i="3"/>
  <c r="R19" i="3"/>
  <c r="P19" i="3"/>
  <c r="N19" i="3"/>
  <c r="L19" i="3"/>
  <c r="J19" i="3"/>
  <c r="E19" i="3"/>
  <c r="C19" i="3"/>
  <c r="V18" i="3"/>
  <c r="T18" i="3"/>
  <c r="R18" i="3"/>
  <c r="P18" i="3"/>
  <c r="N18" i="3"/>
  <c r="L18" i="3"/>
  <c r="J18" i="3"/>
  <c r="E18" i="3"/>
  <c r="C18" i="3"/>
  <c r="V17" i="3"/>
  <c r="T17" i="3"/>
  <c r="R17" i="3"/>
  <c r="P17" i="3"/>
  <c r="N17" i="3"/>
  <c r="L17" i="3"/>
  <c r="J17" i="3"/>
  <c r="E17" i="3"/>
  <c r="C17" i="3"/>
  <c r="V16" i="3"/>
  <c r="T16" i="3"/>
  <c r="R16" i="3"/>
  <c r="P16" i="3"/>
  <c r="N16" i="3"/>
  <c r="L16" i="3"/>
  <c r="J16" i="3"/>
  <c r="E16" i="3"/>
  <c r="C16" i="3"/>
  <c r="V15" i="3"/>
  <c r="T15" i="3"/>
  <c r="R15" i="3"/>
  <c r="P15" i="3"/>
  <c r="N15" i="3"/>
  <c r="L15" i="3"/>
  <c r="J15" i="3"/>
  <c r="E15" i="3"/>
  <c r="C15" i="3"/>
  <c r="V14" i="3"/>
  <c r="T14" i="3"/>
  <c r="R14" i="3"/>
  <c r="P14" i="3"/>
  <c r="N14" i="3"/>
  <c r="J14" i="3"/>
  <c r="E14" i="3"/>
  <c r="C14" i="3"/>
  <c r="V13" i="3"/>
  <c r="T13" i="3"/>
  <c r="R13" i="3"/>
  <c r="P13" i="3"/>
  <c r="N13" i="3"/>
  <c r="J13" i="3"/>
  <c r="E13" i="3"/>
  <c r="C13" i="3"/>
  <c r="V12" i="3"/>
  <c r="T12" i="3"/>
  <c r="R12" i="3"/>
  <c r="P12" i="3"/>
  <c r="N12" i="3"/>
  <c r="J12" i="3"/>
  <c r="E12" i="3"/>
  <c r="C12" i="3"/>
  <c r="V11" i="3"/>
  <c r="T11" i="3"/>
  <c r="R11" i="3"/>
  <c r="P11" i="3"/>
  <c r="N11" i="3"/>
  <c r="J11" i="3"/>
  <c r="E11" i="3"/>
  <c r="C11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V3" i="3"/>
  <c r="DX34" i="3"/>
  <c r="DU34" i="3"/>
  <c r="DV34" i="3" s="1"/>
  <c r="CZ34" i="3"/>
  <c r="DA34" i="3" s="1"/>
  <c r="CW34" i="3"/>
  <c r="CX34" i="3" s="1"/>
  <c r="CT34" i="3"/>
  <c r="CU34" i="3" s="1"/>
  <c r="CN34" i="3"/>
  <c r="CO34" i="3" s="1"/>
  <c r="CI34" i="3"/>
  <c r="CG34" i="3"/>
  <c r="CE34" i="3"/>
  <c r="CJ34" i="3" s="1"/>
  <c r="CC34" i="3"/>
  <c r="CK34" i="3"/>
  <c r="AC33" i="3"/>
  <c r="AC32" i="3"/>
  <c r="AC31" i="3"/>
  <c r="AC30" i="3"/>
  <c r="V33" i="3"/>
  <c r="T33" i="3"/>
  <c r="R33" i="3"/>
  <c r="P33" i="3"/>
  <c r="J33" i="3"/>
  <c r="E33" i="3"/>
  <c r="C33" i="3"/>
  <c r="V32" i="3"/>
  <c r="T32" i="3"/>
  <c r="R32" i="3"/>
  <c r="P32" i="3"/>
  <c r="J32" i="3"/>
  <c r="E32" i="3"/>
  <c r="C32" i="3"/>
  <c r="V31" i="3"/>
  <c r="T31" i="3"/>
  <c r="R31" i="3"/>
  <c r="P31" i="3"/>
  <c r="J31" i="3"/>
  <c r="E31" i="3"/>
  <c r="C31" i="3"/>
  <c r="V30" i="3"/>
  <c r="T30" i="3"/>
  <c r="R30" i="3"/>
  <c r="P30" i="3"/>
  <c r="J30" i="3"/>
  <c r="E30" i="3"/>
  <c r="C30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BM35" i="3"/>
  <c r="AM35" i="3"/>
  <c r="AO35" i="3"/>
  <c r="AQ35" i="3"/>
  <c r="AS35" i="3"/>
  <c r="AU35" i="3"/>
  <c r="AW35" i="3"/>
  <c r="AY35" i="3"/>
  <c r="BA35" i="3"/>
  <c r="T35" i="3"/>
  <c r="E35" i="3"/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BV35" i="3"/>
  <c r="BT35" i="3"/>
  <c r="F30" i="3"/>
  <c r="F31" i="3"/>
  <c r="F32" i="3"/>
  <c r="F33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<sst xmlns="http://schemas.openxmlformats.org/spreadsheetml/2006/main" count="268" uniqueCount="128">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</sst>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9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3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7" borderId="9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9" borderId="7" xfId="0" applyFont="1" applyFill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7" xfId="0" applyFont="1" applyBorder="1" applyAlignment="1">
      <alignment horizontal="center"/>
    </xf>
    <xf numFmtId="0" fontId="5" fillId="7" borderId="22" xfId="0" applyFont="1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10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10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10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10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11" xfId="1" xr:uid="{00000000-0005-0000-0000-000001000000}"/>
    <cellStyle name="Normal 2" xfId="2" xr:uid="{00000000-0005-0000-0000-000002000000}"/>
  </cellStyles>
  <dxfs count="54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5590</v>
      </c>
      <c r="F2" s="16">
        <v>6.21</v>
      </c>
      <c r="G2" s="8">
        <f>HOTEL!CK4</f>
        <v>0</v>
      </c>
      <c r="H2" s="16">
        <v>57.45</v>
      </c>
      <c r="I2" s="8">
        <f>HOTEL!V4+HOTEL!Y4</f>
        <v>37</v>
      </c>
      <c r="J2" s="16">
        <f>P2</f>
        <v>99.9993589351498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99.9993589351498</v>
      </c>
      <c r="Q2" s="7">
        <v>6.21</v>
      </c>
      <c r="R2" s="16">
        <f>H2</f>
        <v>57.45</v>
      </c>
      <c r="S2" s="7">
        <v>33.880000000000003</v>
      </c>
      <c r="T2" s="8">
        <f>G2*H2</f>
        <v>0</v>
      </c>
      <c r="U2" s="8">
        <f>I2*P2</f>
        <v>3699.9762806005424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5555</v>
      </c>
      <c r="F3" s="16">
        <v>6.21</v>
      </c>
      <c r="G3" s="8">
        <f>HOTEL!CK5</f>
        <v>0</v>
      </c>
      <c r="H3" s="16">
        <v>57.45</v>
      </c>
      <c r="I3" s="8">
        <f>HOTEL!V5+HOTEL!Y5</f>
        <v>34</v>
      </c>
      <c r="J3" s="16">
        <f t="shared" ref="J3:J31" si="1">P3</f>
        <v>99.999410912916971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99.999410912916971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3399.9799710391771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6589</v>
      </c>
      <c r="F4" s="16">
        <v>6.21</v>
      </c>
      <c r="G4" s="8">
        <f>HOTEL!CK6</f>
        <v>107.75</v>
      </c>
      <c r="H4" s="16">
        <v>57.45</v>
      </c>
      <c r="I4" s="8">
        <f>HOTEL!V6+HOTEL!Y6</f>
        <v>56</v>
      </c>
      <c r="J4" s="16">
        <f t="shared" si="1"/>
        <v>99.999029744525643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99.999029744525643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6190.2375000000002</v>
      </c>
      <c r="U4" s="8">
        <f t="shared" si="4"/>
        <v>5599.9456656934362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6605</v>
      </c>
      <c r="F5" s="16">
        <v>6.21</v>
      </c>
      <c r="G5" s="8">
        <f>HOTEL!CK7</f>
        <v>107.75</v>
      </c>
      <c r="H5" s="16">
        <v>57.45</v>
      </c>
      <c r="I5" s="8">
        <f>HOTEL!V7+HOTEL!Y7</f>
        <v>55</v>
      </c>
      <c r="J5" s="16">
        <f t="shared" si="1"/>
        <v>99.999047070266101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99.999047070266101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6190.2375000000002</v>
      </c>
      <c r="U5" s="8">
        <f t="shared" si="4"/>
        <v>5499.9475888646357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6961</v>
      </c>
      <c r="F6" s="16">
        <v>6.21</v>
      </c>
      <c r="G6" s="8">
        <f>HOTEL!CK8</f>
        <v>215.5</v>
      </c>
      <c r="H6" s="16">
        <v>57.45</v>
      </c>
      <c r="I6" s="8">
        <f>HOTEL!V8+HOTEL!Y8</f>
        <v>78</v>
      </c>
      <c r="J6" s="16">
        <f t="shared" si="1"/>
        <v>99.998648580537036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99.998648580537036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12380.475</v>
      </c>
      <c r="U6" s="8">
        <f t="shared" si="4"/>
        <v>7799.8945892818892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5864</v>
      </c>
      <c r="F7" s="16">
        <v>6.21</v>
      </c>
      <c r="G7" s="8">
        <f>HOTEL!CK9</f>
        <v>107.75</v>
      </c>
      <c r="H7" s="16">
        <v>57.45</v>
      </c>
      <c r="I7" s="8">
        <f>HOTEL!V9+HOTEL!Y9</f>
        <v>77</v>
      </c>
      <c r="J7" s="16">
        <f t="shared" si="1"/>
        <v>99.998665906077377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99.998665906077377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6190.2375000000002</v>
      </c>
      <c r="U7" s="8">
        <f t="shared" si="4"/>
        <v>7699.8972747679582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5917</v>
      </c>
      <c r="F8" s="16">
        <v>6.21</v>
      </c>
      <c r="G8" s="8">
        <f>HOTEL!CK10</f>
        <v>323.25</v>
      </c>
      <c r="H8" s="16">
        <v>57.45</v>
      </c>
      <c r="I8" s="8">
        <f>HOTEL!V10+HOTEL!Y10</f>
        <v>92</v>
      </c>
      <c r="J8" s="16">
        <f t="shared" si="1"/>
        <v>99.998406023927487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99.998406023927487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18570.712500000001</v>
      </c>
      <c r="U8" s="8">
        <f t="shared" si="4"/>
        <v>9199.8533542013283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5425</v>
      </c>
      <c r="F9" s="16">
        <v>6.21</v>
      </c>
      <c r="G9" s="8">
        <f>HOTEL!CK11</f>
        <v>0</v>
      </c>
      <c r="H9" s="16">
        <v>57.45</v>
      </c>
      <c r="I9" s="8">
        <f>HOTEL!V11+HOTEL!Y11</f>
        <v>52</v>
      </c>
      <c r="J9" s="16">
        <f t="shared" si="1"/>
        <v>99.999099047542046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99.999099047542046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5199.9531504721863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5831</v>
      </c>
      <c r="F10" s="16">
        <v>6.21</v>
      </c>
      <c r="G10" s="8">
        <f>HOTEL!CK12</f>
        <v>107.75</v>
      </c>
      <c r="H10" s="16">
        <v>57.45</v>
      </c>
      <c r="I10" s="8">
        <f>HOTEL!V12+HOTEL!Y12</f>
        <v>81</v>
      </c>
      <c r="J10" s="16">
        <f t="shared" si="1"/>
        <v>99.998596603970626</v>
      </c>
      <c r="K10" s="7">
        <f>HOTEL!EE12</f>
        <v>2</v>
      </c>
      <c r="L10" s="18"/>
      <c r="N10" s="7">
        <f>HOTEL!X20</f>
        <v>152370</v>
      </c>
      <c r="O10" s="7">
        <f t="shared" si="0"/>
        <v>380925000</v>
      </c>
      <c r="P10" s="8">
        <f>IFERROR(((((HOTEL!V12*34))+(N10*2500))/(I10+N10*25)),0)</f>
        <v>99.998596603970626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6190.2375000000002</v>
      </c>
      <c r="U10" s="8">
        <f t="shared" si="4"/>
        <v>8099.8863249216211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6107</v>
      </c>
      <c r="F11" s="16">
        <v>6.21</v>
      </c>
      <c r="G11" s="8">
        <f>HOTEL!CK13</f>
        <v>215.5</v>
      </c>
      <c r="H11" s="16">
        <v>57.45</v>
      </c>
      <c r="I11" s="8">
        <f>HOTEL!V13+HOTEL!Y13</f>
        <v>49</v>
      </c>
      <c r="J11" s="16">
        <f t="shared" si="1"/>
        <v>99.999151024899859</v>
      </c>
      <c r="K11" s="7">
        <f>HOTEL!EE13</f>
        <v>2</v>
      </c>
      <c r="L11" s="18"/>
      <c r="N11" s="7">
        <f>HOTEL!X21</f>
        <v>152370</v>
      </c>
      <c r="O11" s="7">
        <f>N11*2500</f>
        <v>380925000</v>
      </c>
      <c r="P11" s="8">
        <f>IFERROR(((((HOTEL!V13*34))+(N11*2500))/(I11+N11*25)),0)</f>
        <v>99.999151024899859</v>
      </c>
      <c r="Q11" s="7">
        <v>6.21</v>
      </c>
      <c r="R11" s="16">
        <f t="shared" si="2"/>
        <v>57.45</v>
      </c>
      <c r="S11" s="7">
        <v>33.93</v>
      </c>
      <c r="T11" s="8">
        <f>G11*H11</f>
        <v>12380.475</v>
      </c>
      <c r="U11" s="8">
        <f t="shared" si="4"/>
        <v>4899.9584002200927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6165</v>
      </c>
      <c r="F12" s="16">
        <v>6.21</v>
      </c>
      <c r="G12" s="8">
        <f>HOTEL!CK14</f>
        <v>0</v>
      </c>
      <c r="H12" s="16">
        <v>57.45</v>
      </c>
      <c r="I12" s="8">
        <f>HOTEL!V14+HOTEL!Y14</f>
        <v>55</v>
      </c>
      <c r="J12" s="16">
        <f t="shared" si="1"/>
        <v>99.999047070266101</v>
      </c>
      <c r="K12" s="7">
        <f>HOTEL!EE14</f>
        <v>2</v>
      </c>
      <c r="L12" s="18"/>
      <c r="N12" s="7">
        <f>HOTEL!X22</f>
        <v>152370</v>
      </c>
      <c r="O12" s="7">
        <f>N12*2500</f>
        <v>380925000</v>
      </c>
      <c r="P12" s="8">
        <f>IFERROR(((((HOTEL!V14*34))+(N12*2500))/(I12+N12*25)),0)</f>
        <v>99.999047070266101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5499.9475888646357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6850</v>
      </c>
      <c r="F13" s="16">
        <v>6.21</v>
      </c>
      <c r="G13" s="8">
        <f>HOTEL!CK15</f>
        <v>107.75</v>
      </c>
      <c r="H13" s="16">
        <v>57.45</v>
      </c>
      <c r="I13" s="8">
        <f>HOTEL!V15+HOTEL!Y15</f>
        <v>31</v>
      </c>
      <c r="J13" s="16">
        <f t="shared" si="1"/>
        <v>99.999462890765997</v>
      </c>
      <c r="K13" s="7">
        <f>HOTEL!EE15</f>
        <v>2</v>
      </c>
      <c r="L13" s="18"/>
      <c r="N13" s="7">
        <f>HOTEL!X23</f>
        <v>152370</v>
      </c>
      <c r="O13" s="7">
        <f t="shared" si="0"/>
        <v>380925000</v>
      </c>
      <c r="P13" s="8">
        <f>IFERROR(((((HOTEL!V15*34))+(N13*2500))/(I13+N13*25)),0)</f>
        <v>99.999462890765997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6190.2375000000002</v>
      </c>
      <c r="U13" s="8">
        <f t="shared" si="4"/>
        <v>3099.9833496137458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5939</v>
      </c>
      <c r="F14" s="16">
        <v>6.21</v>
      </c>
      <c r="G14" s="8">
        <f>HOTEL!CK16</f>
        <v>0</v>
      </c>
      <c r="H14" s="16">
        <v>57.45</v>
      </c>
      <c r="I14" s="8">
        <f>HOTEL!V16+HOTEL!Y16</f>
        <v>67</v>
      </c>
      <c r="J14" s="16">
        <f t="shared" si="1"/>
        <v>99.99883916198101</v>
      </c>
      <c r="K14" s="7">
        <f>HOTEL!EE16</f>
        <v>2</v>
      </c>
      <c r="L14" s="18"/>
      <c r="N14" s="7">
        <f>HOTEL!X24</f>
        <v>152370</v>
      </c>
      <c r="O14" s="7">
        <f t="shared" si="0"/>
        <v>380925000</v>
      </c>
      <c r="P14" s="8">
        <f>IFERROR(((((HOTEL!V16*34))+(N14*2500))/(I14+N14*25)),0)</f>
        <v>99.99883916198101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0</v>
      </c>
      <c r="U14" s="8">
        <f t="shared" si="4"/>
        <v>6699.9222238527273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6214</v>
      </c>
      <c r="F15" s="16">
        <v>6.21</v>
      </c>
      <c r="G15" s="8">
        <f>HOTEL!CK17</f>
        <v>0</v>
      </c>
      <c r="H15" s="16">
        <v>57.45</v>
      </c>
      <c r="I15" s="8">
        <f>HOTEL!V17+HOTEL!Y17</f>
        <v>33</v>
      </c>
      <c r="J15" s="16">
        <f t="shared" si="1"/>
        <v>99.999428238857547</v>
      </c>
      <c r="K15" s="7">
        <f>HOTEL!EE17</f>
        <v>2</v>
      </c>
      <c r="L15" s="18"/>
      <c r="N15" s="7">
        <f>HOTEL!X25</f>
        <v>152370</v>
      </c>
      <c r="O15" s="7">
        <f t="shared" si="0"/>
        <v>380925000</v>
      </c>
      <c r="P15" s="8">
        <f>IFERROR(((((HOTEL!V17*34))+(N15*2500))/(I15+N15*25)),0)</f>
        <v>99.999428238857547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3299.981131882299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6085</v>
      </c>
      <c r="F16" s="16">
        <v>6.21</v>
      </c>
      <c r="G16" s="8">
        <f>HOTEL!CK18</f>
        <v>0</v>
      </c>
      <c r="H16" s="16">
        <v>57.45</v>
      </c>
      <c r="I16" s="8">
        <f>HOTEL!V18+HOTEL!Y18</f>
        <v>55</v>
      </c>
      <c r="J16" s="16">
        <f t="shared" si="1"/>
        <v>99.999047070266101</v>
      </c>
      <c r="K16" s="7">
        <f>HOTEL!EE18</f>
        <v>2</v>
      </c>
      <c r="L16" s="18"/>
      <c r="N16" s="7">
        <f>HOTEL!X26</f>
        <v>152370</v>
      </c>
      <c r="O16" s="7">
        <f t="shared" si="0"/>
        <v>380925000</v>
      </c>
      <c r="P16" s="8">
        <f>IFERROR(((((HOTEL!V18*34))+(N16*2500))/(I16+N16*25)),0)</f>
        <v>99.999047070266101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5499.9475888646357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5723</v>
      </c>
      <c r="F17" s="16">
        <v>6.21</v>
      </c>
      <c r="G17" s="8">
        <f>HOTEL!CK19</f>
        <v>0</v>
      </c>
      <c r="H17" s="16">
        <v>57.45</v>
      </c>
      <c r="I17" s="8">
        <f>HOTEL!V19+HOTEL!Y19</f>
        <v>85</v>
      </c>
      <c r="J17" s="16">
        <f t="shared" si="1"/>
        <v>99.998527302009407</v>
      </c>
      <c r="K17" s="7">
        <f>HOTEL!EE19</f>
        <v>2</v>
      </c>
      <c r="L17" s="18"/>
      <c r="N17" s="7">
        <f>HOTEL!X27</f>
        <v>152370</v>
      </c>
      <c r="O17" s="7">
        <f t="shared" si="0"/>
        <v>380925000</v>
      </c>
      <c r="P17" s="8">
        <f>IFERROR(((((HOTEL!V19*34))+(N17*2500))/(I17+N17*25)),0)</f>
        <v>99.998527302009407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8499.8748206707987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6196</v>
      </c>
      <c r="F18" s="16">
        <v>6.21</v>
      </c>
      <c r="G18" s="8">
        <f>HOTEL!CK20</f>
        <v>107.75</v>
      </c>
      <c r="H18" s="16">
        <v>57.45</v>
      </c>
      <c r="I18" s="8">
        <f>HOTEL!V20+HOTEL!Y20</f>
        <v>127</v>
      </c>
      <c r="J18" s="16">
        <f t="shared" si="1"/>
        <v>99.997799640203638</v>
      </c>
      <c r="K18" s="7">
        <f>HOTEL!EE20</f>
        <v>2</v>
      </c>
      <c r="L18" s="18"/>
      <c r="N18" s="7">
        <f>HOTEL!X28</f>
        <v>152370</v>
      </c>
      <c r="O18" s="7">
        <f t="shared" si="0"/>
        <v>380925000</v>
      </c>
      <c r="P18" s="8">
        <f>IFERROR(((((HOTEL!V20*34))+(N18*2500))/(I18+N18*25)),0)</f>
        <v>99.997799640203638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6190.2375000000002</v>
      </c>
      <c r="U18" s="8">
        <f t="shared" si="4"/>
        <v>12699.720554305863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6737</v>
      </c>
      <c r="F19" s="16">
        <v>6.21</v>
      </c>
      <c r="G19" s="8">
        <f>HOTEL!CK21</f>
        <v>107.75</v>
      </c>
      <c r="H19" s="16">
        <v>57.45</v>
      </c>
      <c r="I19" s="8">
        <f>HOTEL!V21+HOTEL!Y21</f>
        <v>67</v>
      </c>
      <c r="J19" s="16">
        <f t="shared" si="1"/>
        <v>99.99883916198101</v>
      </c>
      <c r="K19" s="7">
        <f>HOTEL!EE21</f>
        <v>2</v>
      </c>
      <c r="L19" s="18"/>
      <c r="N19" s="7">
        <f>HOTEL!X29</f>
        <v>152370</v>
      </c>
      <c r="O19" s="7">
        <f t="shared" si="0"/>
        <v>380925000</v>
      </c>
      <c r="P19" s="8">
        <f>IFERROR(((((HOTEL!V21*34))+(N19*2500))/(I19+N19*25)),0)</f>
        <v>99.99883916198101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6190.2375000000002</v>
      </c>
      <c r="U19" s="8">
        <f t="shared" si="4"/>
        <v>6699.9222238527273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5904</v>
      </c>
      <c r="F20" s="16">
        <v>6.21</v>
      </c>
      <c r="G20" s="8">
        <f>HOTEL!CK22</f>
        <v>0</v>
      </c>
      <c r="H20" s="16">
        <v>57.45</v>
      </c>
      <c r="I20" s="8">
        <f>HOTEL!V22+HOTEL!Y22</f>
        <v>73</v>
      </c>
      <c r="J20" s="16">
        <f t="shared" si="1"/>
        <v>34</v>
      </c>
      <c r="K20" s="7">
        <f>HOTEL!EE22</f>
        <v>2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34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2482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5496</v>
      </c>
      <c r="F21" s="16">
        <v>6.21</v>
      </c>
      <c r="G21" s="8">
        <f>HOTEL!CK23</f>
        <v>107.75</v>
      </c>
      <c r="H21" s="16">
        <v>57.45</v>
      </c>
      <c r="I21" s="8">
        <f>HOTEL!V23+HOTEL!Y23</f>
        <v>77</v>
      </c>
      <c r="J21" s="16">
        <f t="shared" si="1"/>
        <v>34</v>
      </c>
      <c r="K21" s="7">
        <f>HOTEL!EE23</f>
        <v>2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34</v>
      </c>
      <c r="Q21" s="7">
        <v>6.21</v>
      </c>
      <c r="R21" s="16">
        <f t="shared" si="2"/>
        <v>57.45</v>
      </c>
      <c r="S21" s="7">
        <v>33.93</v>
      </c>
      <c r="T21" s="8">
        <f>G21*H21</f>
        <v>6190.2375000000002</v>
      </c>
      <c r="U21" s="8">
        <f t="shared" si="4"/>
        <v>2618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5791</v>
      </c>
      <c r="F22" s="16">
        <v>6.21</v>
      </c>
      <c r="G22" s="8">
        <f>HOTEL!CK24</f>
        <v>0</v>
      </c>
      <c r="H22" s="16">
        <v>57.45</v>
      </c>
      <c r="I22" s="8">
        <f>HOTEL!V24+HOTEL!Y24</f>
        <v>83</v>
      </c>
      <c r="J22" s="16">
        <f t="shared" si="1"/>
        <v>34</v>
      </c>
      <c r="K22" s="7">
        <f>HOTEL!EE24</f>
        <v>2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34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2822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5284</v>
      </c>
      <c r="F23" s="16">
        <v>6.21</v>
      </c>
      <c r="G23" s="8">
        <f>HOTEL!CK25</f>
        <v>0</v>
      </c>
      <c r="H23" s="16">
        <v>57.45</v>
      </c>
      <c r="I23" s="8">
        <f>HOTEL!V25+HOTEL!Y25</f>
        <v>78</v>
      </c>
      <c r="J23" s="16">
        <f t="shared" si="1"/>
        <v>34</v>
      </c>
      <c r="K23" s="7">
        <f>HOTEL!EE25</f>
        <v>2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34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2652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5055</v>
      </c>
      <c r="F24" s="16">
        <v>6.21</v>
      </c>
      <c r="G24" s="8">
        <f>HOTEL!CK26</f>
        <v>0</v>
      </c>
      <c r="H24" s="16">
        <v>57.45</v>
      </c>
      <c r="I24" s="8">
        <f>HOTEL!V26+HOTEL!Y26</f>
        <v>66</v>
      </c>
      <c r="J24" s="16">
        <f t="shared" si="1"/>
        <v>34</v>
      </c>
      <c r="K24" s="7">
        <f>HOTEL!EE26</f>
        <v>2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34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2244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5531</v>
      </c>
      <c r="F25" s="16">
        <v>6.21</v>
      </c>
      <c r="G25" s="8">
        <f>HOTEL!CK27</f>
        <v>0</v>
      </c>
      <c r="H25" s="16">
        <v>57.45</v>
      </c>
      <c r="I25" s="8">
        <f>HOTEL!V27+HOTEL!Y27</f>
        <v>93</v>
      </c>
      <c r="J25" s="16">
        <f t="shared" si="1"/>
        <v>34</v>
      </c>
      <c r="K25" s="7">
        <f>HOTEL!EE27</f>
        <v>2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3162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5061</v>
      </c>
      <c r="F26" s="16">
        <v>6.21</v>
      </c>
      <c r="G26" s="8">
        <f>HOTEL!CK28</f>
        <v>0</v>
      </c>
      <c r="H26" s="16">
        <v>57.45</v>
      </c>
      <c r="I26" s="8">
        <f>HOTEL!V28+HOTEL!Y28</f>
        <v>121</v>
      </c>
      <c r="J26" s="16">
        <f t="shared" si="1"/>
        <v>34</v>
      </c>
      <c r="K26" s="7">
        <f>HOTEL!EE28</f>
        <v>2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4114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5523</v>
      </c>
      <c r="F27" s="16">
        <v>6.21</v>
      </c>
      <c r="G27" s="8">
        <f>HOTEL!CK29</f>
        <v>107.75</v>
      </c>
      <c r="H27" s="16">
        <v>57.45</v>
      </c>
      <c r="I27" s="8">
        <f>HOTEL!V29+HOTEL!Y29</f>
        <v>113</v>
      </c>
      <c r="J27" s="16">
        <f t="shared" si="1"/>
        <v>34</v>
      </c>
      <c r="K27" s="7">
        <f>HOTEL!EE29</f>
        <v>2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6190.2375000000002</v>
      </c>
      <c r="U27" s="8">
        <f t="shared" si="4"/>
        <v>3842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 t="str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 t="str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5" workbookViewId="0">
      <selection activeCell="F39" sqref="F39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>
      <c r="A2" s="2" t="s">
        <v>19</v>
      </c>
      <c r="B2" s="7">
        <v>1</v>
      </c>
      <c r="C2" s="7">
        <v>5</v>
      </c>
      <c r="D2" s="7">
        <v>2021</v>
      </c>
      <c r="E2" s="7">
        <f>TOTAL!E2</f>
        <v>5590</v>
      </c>
      <c r="F2" s="7">
        <f>HOTEL!R4</f>
        <v>16</v>
      </c>
      <c r="G2" s="7">
        <f>HOTEL!T4</f>
        <v>0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30</v>
      </c>
      <c r="M2" s="7">
        <f>HOTEL!AE4</f>
        <v>0</v>
      </c>
      <c r="N2" s="7" t="str">
        <f>HOTEL!AI4</f>
        <v>0</v>
      </c>
      <c r="O2" s="7">
        <f>HOTEL!AM4</f>
        <v>0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20</v>
      </c>
      <c r="X2" s="7">
        <f>HOTEL!BT4</f>
        <v>10</v>
      </c>
      <c r="Y2" s="7">
        <f>HOTEL!CO4</f>
        <v>3.1719999999893478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1.9120000000004349</v>
      </c>
      <c r="AD2" s="8">
        <f>HOTEL!DD4</f>
        <v>0</v>
      </c>
      <c r="AE2" s="7">
        <f>HOTEL!DG4</f>
        <v>0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10.277000000000434</v>
      </c>
      <c r="AK2" s="7">
        <f>TOTAL!K2</f>
        <v>2</v>
      </c>
    </row>
    <row r="3" spans="1:38">
      <c r="A3" s="2" t="s">
        <v>19</v>
      </c>
      <c r="B3" s="7">
        <f>B2+1</f>
        <v>2</v>
      </c>
      <c r="C3" s="7">
        <v>5</v>
      </c>
      <c r="D3" s="7">
        <v>2021</v>
      </c>
      <c r="E3" s="7">
        <f>TOTAL!E3</f>
        <v>5555</v>
      </c>
      <c r="F3" s="7">
        <f>HOTEL!R5</f>
        <v>35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30</v>
      </c>
      <c r="M3" s="7">
        <f>HOTEL!AE5</f>
        <v>0</v>
      </c>
      <c r="N3" s="7">
        <f>HOTEL!AI5</f>
        <v>10</v>
      </c>
      <c r="O3" s="7">
        <f>HOTEL!AM5</f>
        <v>0</v>
      </c>
      <c r="P3" s="7">
        <f>HOTEL!AO5</f>
        <v>0</v>
      </c>
      <c r="Q3" s="7">
        <f>HOTEL!AQ5</f>
        <v>0</v>
      </c>
      <c r="R3" s="7">
        <f>HOTEL!AS5</f>
        <v>0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0</v>
      </c>
      <c r="Y3" s="7">
        <f>HOTEL!CO5</f>
        <v>0.24400000001420266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2.8679999999995656</v>
      </c>
      <c r="AD3" s="8">
        <f>HOTEL!DD5</f>
        <v>0</v>
      </c>
      <c r="AE3" s="7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15.77400000000087</v>
      </c>
      <c r="AK3" s="7">
        <f>TOTAL!K3</f>
        <v>2</v>
      </c>
    </row>
    <row r="4" spans="1:38">
      <c r="A4" s="2" t="s">
        <v>19</v>
      </c>
      <c r="B4" s="7">
        <f t="shared" ref="B4:B32" si="1">B3+1</f>
        <v>3</v>
      </c>
      <c r="C4" s="7">
        <v>5</v>
      </c>
      <c r="D4" s="7">
        <v>2021</v>
      </c>
      <c r="E4" s="7">
        <f>TOTAL!E4</f>
        <v>6589</v>
      </c>
      <c r="F4" s="7">
        <f>HOTEL!R6</f>
        <v>8</v>
      </c>
      <c r="G4" s="7">
        <f>HOTEL!T6</f>
        <v>43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50</v>
      </c>
      <c r="M4" s="7">
        <f>HOTEL!AE6</f>
        <v>0</v>
      </c>
      <c r="N4" s="7">
        <f>HOTEL!AI6</f>
        <v>110</v>
      </c>
      <c r="O4" s="7">
        <f>HOTEL!AM6</f>
        <v>4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1</v>
      </c>
      <c r="W4" s="7">
        <f>HOTEL!BM6</f>
        <v>20</v>
      </c>
      <c r="X4" s="7">
        <f>HOTEL!BT6</f>
        <v>-80</v>
      </c>
      <c r="Y4" s="7">
        <f>HOTEL!CO6</f>
        <v>1.951999999989348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3.8240000000008698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4.78</v>
      </c>
      <c r="AK4" s="7">
        <f>TOTAL!K4</f>
        <v>2</v>
      </c>
    </row>
    <row r="5" spans="1:38">
      <c r="A5" s="2" t="s">
        <v>19</v>
      </c>
      <c r="B5" s="7">
        <f t="shared" si="1"/>
        <v>4</v>
      </c>
      <c r="C5" s="7">
        <v>5</v>
      </c>
      <c r="D5" s="7">
        <v>2021</v>
      </c>
      <c r="E5" s="7">
        <f>TOTAL!E5</f>
        <v>6605</v>
      </c>
      <c r="F5" s="7">
        <f>HOTEL!R7</f>
        <v>37</v>
      </c>
      <c r="G5" s="7">
        <f>HOTEL!T7</f>
        <v>1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40</v>
      </c>
      <c r="M5" s="7">
        <f>HOTEL!AE7</f>
        <v>0</v>
      </c>
      <c r="N5" s="7">
        <f>HOTEL!AI7</f>
        <v>20</v>
      </c>
      <c r="O5" s="7">
        <f>HOTEL!AM7</f>
        <v>1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20</v>
      </c>
      <c r="X5" s="7">
        <f>HOTEL!BT7</f>
        <v>0</v>
      </c>
      <c r="Y5" s="7">
        <f>HOTEL!CO7</f>
        <v>1.22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2.6289999999986957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10.277000000000434</v>
      </c>
      <c r="AK5" s="7">
        <f>TOTAL!K5</f>
        <v>2</v>
      </c>
    </row>
    <row r="6" spans="1:38">
      <c r="A6" s="2" t="s">
        <v>19</v>
      </c>
      <c r="B6" s="7">
        <f t="shared" si="1"/>
        <v>5</v>
      </c>
      <c r="C6" s="7">
        <v>5</v>
      </c>
      <c r="D6" s="7">
        <v>2021</v>
      </c>
      <c r="E6" s="7">
        <f>TOTAL!E6</f>
        <v>6961</v>
      </c>
      <c r="F6" s="7">
        <f>HOTEL!R8</f>
        <v>69</v>
      </c>
      <c r="G6" s="7">
        <f>HOTEL!T8</f>
        <v>83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60</v>
      </c>
      <c r="M6" s="7">
        <f>HOTEL!AE8</f>
        <v>0</v>
      </c>
      <c r="N6" s="7">
        <f>HOTEL!AI8</f>
        <v>20</v>
      </c>
      <c r="O6" s="7">
        <f>HOTEL!AM8</f>
        <v>8</v>
      </c>
      <c r="P6" s="7">
        <f>HOTEL!AO8</f>
        <v>0</v>
      </c>
      <c r="Q6" s="7">
        <f>HOTEL!AQ8</f>
        <v>0</v>
      </c>
      <c r="R6" s="7">
        <f>HOTEL!AS8</f>
        <v>1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30</v>
      </c>
      <c r="X6" s="7">
        <f>HOTEL!BT8</f>
        <v>10</v>
      </c>
      <c r="Y6" s="7">
        <f>HOTEL!CO8</f>
        <v>2.1960000000035507</v>
      </c>
      <c r="Z6" s="7">
        <f>HOTEL!CR7</f>
        <v>0</v>
      </c>
      <c r="AA6" s="7">
        <f>HOTEL!CU8</f>
        <v>0</v>
      </c>
      <c r="AB6" s="8">
        <f>HOTEL!CX8</f>
        <v>35.867999999886379</v>
      </c>
      <c r="AC6" s="7">
        <f>HOTEL!DA8</f>
        <v>5.9750000000000005</v>
      </c>
      <c r="AD6" s="8">
        <f>HOTEL!DD8</f>
        <v>0</v>
      </c>
      <c r="AE6" s="7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10.755000000000001</v>
      </c>
      <c r="AK6" s="7">
        <f>TOTAL!K6</f>
        <v>2</v>
      </c>
    </row>
    <row r="7" spans="1:38">
      <c r="A7" s="2" t="s">
        <v>19</v>
      </c>
      <c r="B7" s="7">
        <f t="shared" si="1"/>
        <v>6</v>
      </c>
      <c r="C7" s="7">
        <v>5</v>
      </c>
      <c r="D7" s="7">
        <v>2021</v>
      </c>
      <c r="E7" s="7">
        <f>TOTAL!E7</f>
        <v>5864</v>
      </c>
      <c r="F7" s="7">
        <f>HOTEL!R9</f>
        <v>109</v>
      </c>
      <c r="G7" s="7">
        <f>HOTEL!T9</f>
        <v>3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120</v>
      </c>
      <c r="M7" s="7">
        <f>HOTEL!AE9</f>
        <v>0</v>
      </c>
      <c r="N7" s="7">
        <f>HOTEL!AI9</f>
        <v>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1</v>
      </c>
      <c r="W7" s="7">
        <f>HOTEL!BM9</f>
        <v>20</v>
      </c>
      <c r="X7" s="7">
        <f>HOTEL!BT9</f>
        <v>100</v>
      </c>
      <c r="Y7" s="7">
        <f>HOTEL!CO9</f>
        <v>6.1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2.8680000000017389</v>
      </c>
      <c r="AD7" s="8">
        <f>HOTEL!DD9</f>
        <v>0</v>
      </c>
      <c r="AE7" s="7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9.7989999999986956</v>
      </c>
      <c r="AK7" s="7">
        <f>TOTAL!K7</f>
        <v>2</v>
      </c>
    </row>
    <row r="8" spans="1:38">
      <c r="A8" s="2" t="s">
        <v>19</v>
      </c>
      <c r="B8" s="7">
        <f t="shared" si="1"/>
        <v>7</v>
      </c>
      <c r="C8" s="7">
        <v>5</v>
      </c>
      <c r="D8" s="7">
        <v>2021</v>
      </c>
      <c r="E8" s="7">
        <f>TOTAL!E8</f>
        <v>5917</v>
      </c>
      <c r="F8" s="7">
        <f>HOTEL!R10</f>
        <v>202</v>
      </c>
      <c r="G8" s="7">
        <f>HOTEL!T10</f>
        <v>3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20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20</v>
      </c>
      <c r="X8" s="7">
        <f>HOTEL!BT10</f>
        <v>60</v>
      </c>
      <c r="Y8" s="7">
        <f>HOTEL!CO10</f>
        <v>2.44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3.3459999999991306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3.3460000000013044</v>
      </c>
      <c r="AK8" s="7">
        <f>TOTAL!K8</f>
        <v>2</v>
      </c>
    </row>
    <row r="9" spans="1:38">
      <c r="A9" s="2" t="s">
        <v>19</v>
      </c>
      <c r="B9" s="7">
        <f t="shared" si="1"/>
        <v>8</v>
      </c>
      <c r="C9" s="7">
        <v>5</v>
      </c>
      <c r="D9" s="7">
        <v>2021</v>
      </c>
      <c r="E9" s="7">
        <f>TOTAL!E9</f>
        <v>5425</v>
      </c>
      <c r="F9" s="7">
        <f>HOTEL!R11</f>
        <v>46</v>
      </c>
      <c r="G9" s="7">
        <f>HOTEL!T11</f>
        <v>4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90</v>
      </c>
      <c r="M9" s="7">
        <f>HOTEL!AE11</f>
        <v>0</v>
      </c>
      <c r="N9" s="7">
        <f>HOTEL!AI11</f>
        <v>10</v>
      </c>
      <c r="O9" s="7">
        <f>HOTEL!AM11</f>
        <v>1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10</v>
      </c>
      <c r="X9" s="7">
        <f>HOTEL!BT11</f>
        <v>70</v>
      </c>
      <c r="Y9" s="7">
        <f>HOTEL!CO11</f>
        <v>2.1960000000035507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2.8679999999995656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22.705000000000002</v>
      </c>
      <c r="AK9" s="7">
        <f>TOTAL!K9</f>
        <v>2</v>
      </c>
    </row>
    <row r="10" spans="1:38">
      <c r="A10" s="2" t="s">
        <v>19</v>
      </c>
      <c r="B10" s="7">
        <f t="shared" si="1"/>
        <v>9</v>
      </c>
      <c r="C10" s="7">
        <v>5</v>
      </c>
      <c r="D10" s="7">
        <v>2021</v>
      </c>
      <c r="E10" s="7">
        <f>TOTAL!E10</f>
        <v>5831</v>
      </c>
      <c r="F10" s="7">
        <f>HOTEL!R12</f>
        <v>38</v>
      </c>
      <c r="G10" s="7">
        <f>HOTEL!T12</f>
        <v>3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30</v>
      </c>
      <c r="M10" s="7">
        <f>HOTEL!AE12</f>
        <v>0</v>
      </c>
      <c r="N10" s="7">
        <f>HOTEL!AI12</f>
        <v>0</v>
      </c>
      <c r="O10" s="7">
        <f>HOTEL!AM12</f>
        <v>0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10</v>
      </c>
      <c r="X10" s="7">
        <f>HOTEL!BT12</f>
        <v>20</v>
      </c>
      <c r="Y10" s="7">
        <f>HOTEL!CO12</f>
        <v>1.951999999989348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1.1950000000000001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4.5409999999991308</v>
      </c>
      <c r="AK10" s="7">
        <f>TOTAL!K10</f>
        <v>2</v>
      </c>
    </row>
    <row r="11" spans="1:38">
      <c r="A11" s="2" t="s">
        <v>19</v>
      </c>
      <c r="B11" s="7">
        <f t="shared" si="1"/>
        <v>10</v>
      </c>
      <c r="C11" s="7">
        <v>5</v>
      </c>
      <c r="D11" s="7">
        <v>2021</v>
      </c>
      <c r="E11" s="7">
        <f>TOTAL!E11</f>
        <v>6107</v>
      </c>
      <c r="F11" s="7">
        <f>HOTEL!R13</f>
        <v>156</v>
      </c>
      <c r="G11" s="7">
        <f>HOTEL!T13</f>
        <v>0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100</v>
      </c>
      <c r="M11" s="7">
        <f>HOTEL!AE13</f>
        <v>0</v>
      </c>
      <c r="N11" s="7">
        <f>HOTEL!AI13</f>
        <v>30</v>
      </c>
      <c r="O11" s="7">
        <f>HOTEL!AM13</f>
        <v>2</v>
      </c>
      <c r="P11" s="7">
        <f>HOTEL!AO13</f>
        <v>1</v>
      </c>
      <c r="Q11" s="7">
        <f>HOTEL!AQ13</f>
        <v>0</v>
      </c>
      <c r="R11" s="7">
        <f>HOTEL!AS13</f>
        <v>1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40</v>
      </c>
      <c r="X11" s="7">
        <f>HOTEL!BT13</f>
        <v>30</v>
      </c>
      <c r="Y11" s="7">
        <f>HOTEL!CO13</f>
        <v>4.3920000000071013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5.4970000000004351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9.7990000000008699</v>
      </c>
      <c r="AK11" s="7">
        <f>TOTAL!K11</f>
        <v>2</v>
      </c>
    </row>
    <row r="12" spans="1:38">
      <c r="A12" s="2" t="s">
        <v>19</v>
      </c>
      <c r="B12" s="7">
        <f t="shared" si="1"/>
        <v>11</v>
      </c>
      <c r="C12" s="7">
        <v>5</v>
      </c>
      <c r="D12" s="7">
        <v>2021</v>
      </c>
      <c r="E12" s="7">
        <f>TOTAL!E12</f>
        <v>6165</v>
      </c>
      <c r="F12" s="7">
        <f>HOTEL!R14</f>
        <v>183</v>
      </c>
      <c r="G12" s="7">
        <f>HOTEL!T14</f>
        <v>3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70</v>
      </c>
      <c r="M12" s="7">
        <f>HOTEL!AE14</f>
        <v>0</v>
      </c>
      <c r="N12" s="7">
        <f>HOTEL!AI14</f>
        <v>30</v>
      </c>
      <c r="O12" s="7">
        <f>HOTEL!AM14</f>
        <v>2</v>
      </c>
      <c r="P12" s="7">
        <f>HOTEL!AO14</f>
        <v>0</v>
      </c>
      <c r="Q12" s="7">
        <f>HOTEL!AQ14</f>
        <v>0</v>
      </c>
      <c r="R12" s="7">
        <f>HOTEL!AS14</f>
        <v>1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30</v>
      </c>
      <c r="X12" s="7">
        <f>HOTEL!BT14</f>
        <v>10</v>
      </c>
      <c r="Y12" s="7">
        <f>HOTEL!CO14</f>
        <v>7.0760000000035506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4.5409999999991308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9.56</v>
      </c>
      <c r="AK12" s="7">
        <f>TOTAL!K12</f>
        <v>2</v>
      </c>
    </row>
    <row r="13" spans="1:38">
      <c r="A13" s="2" t="s">
        <v>19</v>
      </c>
      <c r="B13" s="7">
        <f t="shared" si="1"/>
        <v>12</v>
      </c>
      <c r="C13" s="7">
        <v>5</v>
      </c>
      <c r="D13" s="7">
        <v>2021</v>
      </c>
      <c r="E13" s="7">
        <f>TOTAL!E13</f>
        <v>6850</v>
      </c>
      <c r="F13" s="7">
        <f>HOTEL!R15</f>
        <v>222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60</v>
      </c>
      <c r="M13" s="7">
        <f>HOTEL!AE15</f>
        <v>0</v>
      </c>
      <c r="N13" s="7">
        <f>HOTEL!AI15</f>
        <v>40</v>
      </c>
      <c r="O13" s="7">
        <f>HOTEL!AM15</f>
        <v>2</v>
      </c>
      <c r="P13" s="7">
        <f>HOTEL!AO15</f>
        <v>1</v>
      </c>
      <c r="Q13" s="7">
        <f>HOTEL!AQ15</f>
        <v>1</v>
      </c>
      <c r="R13" s="7">
        <f>HOTEL!AS15</f>
        <v>1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20</v>
      </c>
      <c r="X13" s="7">
        <f>HOTEL!BT15</f>
        <v>0</v>
      </c>
      <c r="Y13" s="7">
        <f>HOTEL!CO15</f>
        <v>2.44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4.78</v>
      </c>
      <c r="AD13" s="8">
        <f>HOTEL!DD15</f>
        <v>0</v>
      </c>
      <c r="AE13" s="7">
        <f>HOTEL!DG15</f>
        <v>2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>
      <c r="A14" s="2" t="s">
        <v>19</v>
      </c>
      <c r="B14" s="7">
        <f t="shared" si="1"/>
        <v>13</v>
      </c>
      <c r="C14" s="7">
        <v>5</v>
      </c>
      <c r="D14" s="7">
        <v>2021</v>
      </c>
      <c r="E14" s="7">
        <f>TOTAL!E14</f>
        <v>5939</v>
      </c>
      <c r="F14" s="7">
        <f>HOTEL!R16</f>
        <v>214</v>
      </c>
      <c r="G14" s="7">
        <f>HOTEL!T16</f>
        <v>3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70</v>
      </c>
      <c r="M14" s="7">
        <f>HOTEL!AE16</f>
        <v>0</v>
      </c>
      <c r="N14" s="7">
        <f>HOTEL!AI16</f>
        <v>40</v>
      </c>
      <c r="O14" s="7">
        <f>HOTEL!AM16</f>
        <v>1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10</v>
      </c>
      <c r="Y14" s="7">
        <f>HOTEL!CO16</f>
        <v>2.6839999999964492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4.5410000000013042</v>
      </c>
      <c r="AD14" s="8">
        <f>HOTEL!DD16</f>
        <v>0</v>
      </c>
      <c r="AE14" s="7">
        <f>HOTEL!DG16</f>
        <v>1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>
      <c r="A15" s="2" t="s">
        <v>19</v>
      </c>
      <c r="B15" s="7">
        <f t="shared" si="1"/>
        <v>14</v>
      </c>
      <c r="C15" s="7">
        <v>5</v>
      </c>
      <c r="D15" s="7">
        <v>2021</v>
      </c>
      <c r="E15" s="8">
        <f>TOTAL!E15</f>
        <v>6214</v>
      </c>
      <c r="F15" s="7">
        <f>HOTEL!R17</f>
        <v>117</v>
      </c>
      <c r="G15" s="7">
        <f>HOTEL!T17</f>
        <v>2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10</v>
      </c>
      <c r="M15" s="7">
        <f>HOTEL!AE17</f>
        <v>0</v>
      </c>
      <c r="N15" s="7">
        <f>HOTEL!AI17</f>
        <v>5</v>
      </c>
      <c r="O15" s="7">
        <f>HOTEL!AM17</f>
        <v>0</v>
      </c>
      <c r="P15" s="7">
        <f>HOTEL!AO17</f>
        <v>1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0</v>
      </c>
      <c r="X15" s="7">
        <f>HOTEL!BT17</f>
        <v>5</v>
      </c>
      <c r="Y15" s="7">
        <f>HOTEL!CO17</f>
        <v>1.4639999999964493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1.6729999999995653</v>
      </c>
      <c r="AD15" s="8">
        <f>HOTEL!DD17</f>
        <v>0</v>
      </c>
      <c r="AE15" s="7">
        <f>HOTEL!DG17</f>
        <v>0.6999999999998181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>
      <c r="A16" s="2" t="s">
        <v>19</v>
      </c>
      <c r="B16" s="7">
        <f t="shared" si="1"/>
        <v>15</v>
      </c>
      <c r="C16" s="7">
        <v>5</v>
      </c>
      <c r="D16" s="7">
        <v>2021</v>
      </c>
      <c r="E16" s="7">
        <f>TOTAL!E16</f>
        <v>6085</v>
      </c>
      <c r="F16" s="7">
        <f>HOTEL!R18</f>
        <v>145</v>
      </c>
      <c r="G16" s="7">
        <f>HOTEL!T18</f>
        <v>3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70</v>
      </c>
      <c r="M16" s="7">
        <f>HOTEL!AE18</f>
        <v>0</v>
      </c>
      <c r="N16" s="7">
        <f>HOTEL!AI18</f>
        <v>35</v>
      </c>
      <c r="O16" s="7">
        <f>HOTEL!AM18</f>
        <v>1</v>
      </c>
      <c r="P16" s="7">
        <f>HOTEL!AO18</f>
        <v>0</v>
      </c>
      <c r="Q16" s="7">
        <f>HOTEL!AQ18</f>
        <v>0</v>
      </c>
      <c r="R16" s="7">
        <f>HOTEL!AS18</f>
        <v>1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20</v>
      </c>
      <c r="X16" s="7">
        <f>HOTEL!BT18</f>
        <v>15</v>
      </c>
      <c r="Y16" s="7">
        <f>HOTEL!CO18</f>
        <v>4.3920000000071013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2.39</v>
      </c>
      <c r="AD16" s="8">
        <f>HOTEL!DD18</f>
        <v>0</v>
      </c>
      <c r="AE16" s="7" t="str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>
      <c r="A17" s="2" t="s">
        <v>19</v>
      </c>
      <c r="B17" s="7">
        <f t="shared" si="1"/>
        <v>16</v>
      </c>
      <c r="C17" s="7">
        <v>5</v>
      </c>
      <c r="D17" s="7">
        <v>2021</v>
      </c>
      <c r="E17" s="7">
        <f>TOTAL!E17</f>
        <v>5723</v>
      </c>
      <c r="F17" s="7">
        <f>HOTEL!R19</f>
        <v>64</v>
      </c>
      <c r="G17" s="7">
        <f>HOTEL!T19</f>
        <v>3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50</v>
      </c>
      <c r="M17" s="7">
        <f>HOTEL!AE19</f>
        <v>0</v>
      </c>
      <c r="N17" s="7">
        <f>HOTEL!AI19</f>
        <v>40</v>
      </c>
      <c r="O17" s="7">
        <f>HOTEL!AM19</f>
        <v>1</v>
      </c>
      <c r="P17" s="7">
        <f>HOTEL!AO19</f>
        <v>0</v>
      </c>
      <c r="Q17" s="7">
        <f>HOTEL!AQ19</f>
        <v>0</v>
      </c>
      <c r="R17" s="7">
        <f>HOTEL!AS19</f>
        <v>8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10</v>
      </c>
      <c r="Y17" s="7">
        <f>HOTEL!CO19</f>
        <v>1.951999999989348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2.8679999999995656</v>
      </c>
      <c r="AD17" s="8">
        <f>HOTEL!DD19</f>
        <v>0</v>
      </c>
      <c r="AE17" s="7">
        <f>HOTEL!DG19</f>
        <v>3.2000000000002728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>
      <c r="A18" s="2" t="s">
        <v>19</v>
      </c>
      <c r="B18" s="7">
        <f t="shared" si="1"/>
        <v>17</v>
      </c>
      <c r="C18" s="7">
        <v>5</v>
      </c>
      <c r="D18" s="7">
        <v>2021</v>
      </c>
      <c r="E18" s="7">
        <f>TOTAL!E18</f>
        <v>6196</v>
      </c>
      <c r="F18" s="7">
        <f>HOTEL!R20</f>
        <v>152</v>
      </c>
      <c r="G18" s="7">
        <f>HOTEL!T20</f>
        <v>4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70</v>
      </c>
      <c r="M18" s="7">
        <f>HOTEL!AE20</f>
        <v>0</v>
      </c>
      <c r="N18" s="7">
        <f>HOTEL!AI20</f>
        <v>50</v>
      </c>
      <c r="O18" s="7">
        <f>HOTEL!AM20</f>
        <v>1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20</v>
      </c>
      <c r="X18" s="7">
        <f>HOTEL!BT20</f>
        <v>0</v>
      </c>
      <c r="Y18" s="7">
        <f>HOTEL!CO20</f>
        <v>2.9280000000106519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3.585</v>
      </c>
      <c r="AD18" s="8">
        <f>HOTEL!DD20</f>
        <v>0</v>
      </c>
      <c r="AE18" s="7">
        <f>HOTEL!DG20</f>
        <v>0.29999999999972715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2</v>
      </c>
    </row>
    <row r="19" spans="1:37">
      <c r="A19" s="2" t="s">
        <v>19</v>
      </c>
      <c r="B19" s="7">
        <f t="shared" si="1"/>
        <v>18</v>
      </c>
      <c r="C19" s="7">
        <v>5</v>
      </c>
      <c r="D19" s="7">
        <v>2021</v>
      </c>
      <c r="E19" s="7">
        <f>TOTAL!E19</f>
        <v>6737</v>
      </c>
      <c r="F19" s="7">
        <f>HOTEL!R21</f>
        <v>153</v>
      </c>
      <c r="G19" s="7">
        <f>HOTEL!T21</f>
        <v>2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80</v>
      </c>
      <c r="M19" s="7">
        <f>HOTEL!AE21</f>
        <v>0</v>
      </c>
      <c r="N19" s="7">
        <f>HOTEL!AI21</f>
        <v>40</v>
      </c>
      <c r="O19" s="7">
        <f>HOTEL!AM21</f>
        <v>1</v>
      </c>
      <c r="P19" s="7">
        <f>HOTEL!AO21</f>
        <v>1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10</v>
      </c>
      <c r="X19" s="7">
        <f>HOTEL!BT21</f>
        <v>30</v>
      </c>
      <c r="Y19" s="7">
        <f>HOTEL!CO21</f>
        <v>5.1239999999964496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3.3460000000013044</v>
      </c>
      <c r="AD19" s="8">
        <f>HOTEL!DD21</f>
        <v>0</v>
      </c>
      <c r="AE19" s="7" t="str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>
      <c r="A20" s="2" t="s">
        <v>19</v>
      </c>
      <c r="B20" s="7">
        <f t="shared" si="1"/>
        <v>19</v>
      </c>
      <c r="C20" s="7">
        <v>5</v>
      </c>
      <c r="D20" s="7">
        <v>2021</v>
      </c>
      <c r="E20" s="7">
        <f>TOTAL!E20</f>
        <v>5904</v>
      </c>
      <c r="F20" s="7">
        <f>HOTEL!R22</f>
        <v>158</v>
      </c>
      <c r="G20" s="7">
        <f>HOTEL!T22</f>
        <v>3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80</v>
      </c>
      <c r="M20" s="7">
        <f>HOTEL!AE22</f>
        <v>0</v>
      </c>
      <c r="N20" s="7">
        <f>HOTEL!AI22</f>
        <v>60</v>
      </c>
      <c r="O20" s="7">
        <f>HOTEL!AM22</f>
        <v>1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10</v>
      </c>
      <c r="X20" s="7">
        <f>HOTEL!BT22</f>
        <v>10</v>
      </c>
      <c r="Y20" s="7">
        <f>HOTEL!CO22</f>
        <v>2.44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3.823999999998696</v>
      </c>
      <c r="AD20" s="8">
        <f>HOTEL!DD22</f>
        <v>0</v>
      </c>
      <c r="AE20" s="7" t="str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2</v>
      </c>
    </row>
    <row r="21" spans="1:37">
      <c r="A21" s="2" t="s">
        <v>19</v>
      </c>
      <c r="B21" s="7">
        <f t="shared" si="1"/>
        <v>20</v>
      </c>
      <c r="C21" s="7">
        <v>5</v>
      </c>
      <c r="D21" s="7">
        <v>2021</v>
      </c>
      <c r="E21" s="7">
        <f>TOTAL!E21</f>
        <v>5496</v>
      </c>
      <c r="F21" s="7">
        <f>HOTEL!R23</f>
        <v>117</v>
      </c>
      <c r="G21" s="7">
        <f>HOTEL!T23</f>
        <v>3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80</v>
      </c>
      <c r="M21" s="7">
        <f>HOTEL!AE23</f>
        <v>0</v>
      </c>
      <c r="N21" s="7">
        <f>HOTEL!AI23</f>
        <v>50</v>
      </c>
      <c r="O21" s="7">
        <f>HOTEL!AM23</f>
        <v>1</v>
      </c>
      <c r="P21" s="7">
        <f>HOTEL!AO23</f>
        <v>1</v>
      </c>
      <c r="Q21" s="7">
        <f>HOTEL!AQ23</f>
        <v>1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10</v>
      </c>
      <c r="X21" s="7">
        <f>HOTEL!BT23</f>
        <v>20</v>
      </c>
      <c r="Y21" s="7">
        <f>HOTEL!CO23</f>
        <v>2.44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3.585</v>
      </c>
      <c r="AD21" s="8">
        <f>HOTEL!DD23</f>
        <v>0</v>
      </c>
      <c r="AE21" s="7">
        <f>HOTEL!DG23</f>
        <v>1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2</v>
      </c>
    </row>
    <row r="22" spans="1:37">
      <c r="A22" s="2" t="s">
        <v>19</v>
      </c>
      <c r="B22" s="7">
        <f t="shared" si="1"/>
        <v>21</v>
      </c>
      <c r="C22" s="7">
        <v>5</v>
      </c>
      <c r="D22" s="7">
        <v>2021</v>
      </c>
      <c r="E22" s="7">
        <f>TOTAL!E22</f>
        <v>5791</v>
      </c>
      <c r="F22" s="7">
        <f>HOTEL!R24</f>
        <v>52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70</v>
      </c>
      <c r="M22" s="7">
        <f>HOTEL!AE24</f>
        <v>0</v>
      </c>
      <c r="N22" s="7">
        <f>HOTEL!AI24</f>
        <v>60</v>
      </c>
      <c r="O22" s="7">
        <f>HOTEL!AM24</f>
        <v>1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10</v>
      </c>
      <c r="X22" s="7">
        <f>HOTEL!BT24</f>
        <v>0</v>
      </c>
      <c r="Y22" s="7">
        <f>HOTEL!CO24</f>
        <v>2.44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3.3460000000013044</v>
      </c>
      <c r="AD22" s="8">
        <f>HOTEL!DD24</f>
        <v>0</v>
      </c>
      <c r="AE22" s="7" t="str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2</v>
      </c>
    </row>
    <row r="23" spans="1:37">
      <c r="A23" s="2" t="s">
        <v>19</v>
      </c>
      <c r="B23" s="7">
        <f t="shared" si="1"/>
        <v>22</v>
      </c>
      <c r="C23" s="7">
        <v>5</v>
      </c>
      <c r="D23" s="7">
        <v>2021</v>
      </c>
      <c r="E23" s="7">
        <f>TOTAL!E23</f>
        <v>5284</v>
      </c>
      <c r="F23" s="7">
        <f>HOTEL!R25</f>
        <v>116</v>
      </c>
      <c r="G23" s="7">
        <f>HOTEL!T25</f>
        <v>5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80</v>
      </c>
      <c r="M23" s="7">
        <f>HOTEL!AE25</f>
        <v>0</v>
      </c>
      <c r="N23" s="7">
        <f>HOTEL!AI25</f>
        <v>40</v>
      </c>
      <c r="O23" s="7">
        <f>HOTEL!AM25</f>
        <v>1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1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20</v>
      </c>
      <c r="X23" s="7">
        <f>HOTEL!BT25</f>
        <v>20</v>
      </c>
      <c r="Y23" s="7">
        <f>HOTEL!CO25</f>
        <v>2.44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3.3459999999991306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2</v>
      </c>
    </row>
    <row r="24" spans="1:37">
      <c r="A24" s="2" t="s">
        <v>19</v>
      </c>
      <c r="B24" s="7">
        <f t="shared" si="1"/>
        <v>23</v>
      </c>
      <c r="C24" s="7">
        <v>5</v>
      </c>
      <c r="D24" s="7">
        <v>2021</v>
      </c>
      <c r="E24" s="7">
        <f>TOTAL!E24</f>
        <v>5055</v>
      </c>
      <c r="F24" s="7">
        <f>HOTEL!R26</f>
        <v>79</v>
      </c>
      <c r="G24" s="7">
        <f>HOTEL!T26</f>
        <v>3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60</v>
      </c>
      <c r="M24" s="7">
        <f>HOTEL!AE26</f>
        <v>0</v>
      </c>
      <c r="N24" s="7">
        <f>HOTEL!AI26</f>
        <v>30</v>
      </c>
      <c r="O24" s="7">
        <f>HOTEL!AM26</f>
        <v>1</v>
      </c>
      <c r="P24" s="7">
        <f>HOTEL!AO26</f>
        <v>0</v>
      </c>
      <c r="Q24" s="7">
        <f>HOTEL!AQ26</f>
        <v>0</v>
      </c>
      <c r="R24" s="7">
        <f>HOTEL!AS26</f>
        <v>1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20</v>
      </c>
      <c r="X24" s="7">
        <f>HOTEL!BT26</f>
        <v>10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2.39</v>
      </c>
      <c r="AD24" s="8">
        <f>HOTEL!DD26</f>
        <v>0</v>
      </c>
      <c r="AE24" s="7">
        <f>HOTEL!DG26</f>
        <v>1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2</v>
      </c>
    </row>
    <row r="25" spans="1:37">
      <c r="A25" s="2" t="s">
        <v>19</v>
      </c>
      <c r="B25" s="7">
        <f t="shared" si="1"/>
        <v>24</v>
      </c>
      <c r="C25" s="7">
        <v>5</v>
      </c>
      <c r="D25" s="7">
        <v>2021</v>
      </c>
      <c r="E25" s="7">
        <f>TOTAL!E25</f>
        <v>5531</v>
      </c>
      <c r="F25" s="7">
        <f>HOTEL!R27</f>
        <v>165</v>
      </c>
      <c r="G25" s="7">
        <f>HOTEL!T27</f>
        <v>2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100</v>
      </c>
      <c r="M25" s="7">
        <f>HOTEL!AE27</f>
        <v>0</v>
      </c>
      <c r="N25" s="7">
        <f>HOTEL!AI27</f>
        <v>60</v>
      </c>
      <c r="O25" s="7">
        <f>HOTEL!AM27</f>
        <v>1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30</v>
      </c>
      <c r="X25" s="7">
        <f>HOTEL!BT27</f>
        <v>10</v>
      </c>
      <c r="Y25" s="7">
        <f>HOTEL!CO27</f>
        <v>2.44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3.8240000000008698</v>
      </c>
      <c r="AD25" s="8">
        <f>HOTEL!DD27</f>
        <v>0</v>
      </c>
      <c r="AE25" s="7">
        <f>HOTEL!DG27</f>
        <v>40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2</v>
      </c>
    </row>
    <row r="26" spans="1:37">
      <c r="A26" s="2" t="s">
        <v>19</v>
      </c>
      <c r="B26" s="7">
        <f>B25+1</f>
        <v>25</v>
      </c>
      <c r="C26" s="7">
        <v>5</v>
      </c>
      <c r="D26" s="7">
        <v>2021</v>
      </c>
      <c r="E26" s="7">
        <f>TOTAL!E26</f>
        <v>5061</v>
      </c>
      <c r="F26" s="7">
        <f>HOTEL!R28</f>
        <v>137</v>
      </c>
      <c r="G26" s="7">
        <f>HOTEL!T28</f>
        <v>1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130</v>
      </c>
      <c r="M26" s="7">
        <f>HOTEL!AE28</f>
        <v>0</v>
      </c>
      <c r="N26" s="7">
        <f>HOTEL!AI28</f>
        <v>60</v>
      </c>
      <c r="O26" s="7">
        <f>HOTEL!AM28</f>
        <v>2</v>
      </c>
      <c r="P26" s="7">
        <f>HOTEL!AO28</f>
        <v>0</v>
      </c>
      <c r="Q26" s="7">
        <f>HOTEL!AQ28</f>
        <v>0</v>
      </c>
      <c r="R26" s="7">
        <f>HOTEL!AS28</f>
        <v>2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50</v>
      </c>
      <c r="X26" s="7">
        <f>HOTEL!BT28</f>
        <v>20</v>
      </c>
      <c r="Y26" s="7">
        <f>HOTEL!CO28</f>
        <v>7.32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4.78</v>
      </c>
      <c r="AD26" s="8">
        <f>HOTEL!DD28</f>
        <v>0</v>
      </c>
      <c r="AE26" s="7">
        <f>HOTEL!DG28</f>
        <v>2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2</v>
      </c>
    </row>
    <row r="27" spans="1:37">
      <c r="A27" s="2" t="s">
        <v>19</v>
      </c>
      <c r="B27" s="7">
        <f t="shared" si="1"/>
        <v>26</v>
      </c>
      <c r="C27" s="7">
        <v>5</v>
      </c>
      <c r="D27" s="7">
        <v>2021</v>
      </c>
      <c r="E27" s="7">
        <f>TOTAL!E27</f>
        <v>5523</v>
      </c>
      <c r="F27" s="7">
        <f>HOTEL!R29</f>
        <v>184</v>
      </c>
      <c r="G27" s="7">
        <f>HOTEL!T29</f>
        <v>1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 t="shared" si="2"/>
        <v>110</v>
      </c>
      <c r="M27" s="7">
        <f>HOTEL!AE29</f>
        <v>0</v>
      </c>
      <c r="N27" s="7">
        <f>HOTEL!AI29</f>
        <v>60</v>
      </c>
      <c r="O27" s="7">
        <f>HOTEL!AM29</f>
        <v>1</v>
      </c>
      <c r="P27" s="7">
        <f>HOTEL!AO29</f>
        <v>0</v>
      </c>
      <c r="Q27" s="7">
        <f>HOTEL!AQ29</f>
        <v>0</v>
      </c>
      <c r="R27" s="7">
        <f>HOTEL!AS29</f>
        <v>1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50</v>
      </c>
      <c r="X27" s="7">
        <f>HOTEL!BT29</f>
        <v>0</v>
      </c>
      <c r="Y27" s="7">
        <f>HOTEL!CO29</f>
        <v>4.88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6.452999999999566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2</v>
      </c>
    </row>
    <row r="28" spans="1:37">
      <c r="A28" s="2" t="s">
        <v>19</v>
      </c>
      <c r="B28" s="7">
        <f t="shared" si="1"/>
        <v>27</v>
      </c>
      <c r="C28" s="7">
        <v>5</v>
      </c>
      <c r="D28" s="7">
        <v>2021</v>
      </c>
      <c r="E28" s="7" t="str">
        <f>TOTAL!E28</f>
        <v>0</v>
      </c>
      <c r="F28" s="7">
        <f>HOTEL!R30</f>
        <v>-2551604</v>
      </c>
      <c r="G28" s="7">
        <f>HOTEL!T30</f>
        <v>-2192016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>
      <c r="A29" s="2" t="s">
        <v>19</v>
      </c>
      <c r="B29" s="7">
        <f t="shared" si="1"/>
        <v>28</v>
      </c>
      <c r="C29" s="7">
        <v>5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>
      <c r="A30" s="2" t="s">
        <v>19</v>
      </c>
      <c r="B30" s="7">
        <f t="shared" si="1"/>
        <v>29</v>
      </c>
      <c r="C30" s="7">
        <v>5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 t="shared" si="2"/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>
      <c r="A31" s="2" t="s">
        <v>19</v>
      </c>
      <c r="B31" s="7">
        <f t="shared" si="1"/>
        <v>30</v>
      </c>
      <c r="C31" s="7">
        <v>5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>
      <c r="A32" s="2" t="s">
        <v>19</v>
      </c>
      <c r="B32" s="7">
        <f t="shared" si="1"/>
        <v>31</v>
      </c>
      <c r="C32" s="7">
        <v>5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N55"/>
  <sheetViews>
    <sheetView tabSelected="1" zoomScale="85" zoomScaleNormal="85" workbookViewId="0">
      <pane xSplit="1" ySplit="2" topLeftCell="B25" activePane="bottomRight" state="frozen"/>
      <selection pane="bottomRight" activeCell="W30" sqref="W30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25" customFormat="1" ht="39.75" customHeight="1">
      <c r="B1" s="128" t="s">
        <v>52</v>
      </c>
      <c r="C1" s="129"/>
      <c r="D1" s="129"/>
      <c r="E1" s="129"/>
      <c r="F1" s="129"/>
      <c r="G1" s="129"/>
      <c r="H1" s="129"/>
      <c r="I1" s="130" t="s">
        <v>53</v>
      </c>
      <c r="J1" s="130"/>
      <c r="K1" s="130"/>
      <c r="L1" s="130"/>
      <c r="M1" s="130" t="s">
        <v>54</v>
      </c>
      <c r="N1" s="130"/>
      <c r="O1" s="130"/>
      <c r="P1" s="130"/>
      <c r="Q1" s="26" t="s">
        <v>55</v>
      </c>
      <c r="R1" s="76" t="s">
        <v>56</v>
      </c>
      <c r="S1" s="27" t="s">
        <v>22</v>
      </c>
      <c r="T1" s="28" t="s">
        <v>56</v>
      </c>
      <c r="U1" s="128" t="s">
        <v>57</v>
      </c>
      <c r="V1" s="131"/>
      <c r="W1" s="29" t="s">
        <v>58</v>
      </c>
      <c r="X1" s="29"/>
      <c r="Y1" s="29"/>
      <c r="Z1" s="30"/>
      <c r="AA1" s="30"/>
      <c r="AB1" s="132" t="s">
        <v>59</v>
      </c>
      <c r="AC1" s="132"/>
      <c r="AD1" s="77" t="s">
        <v>60</v>
      </c>
      <c r="AE1" s="77"/>
      <c r="AF1" s="29" t="s">
        <v>61</v>
      </c>
      <c r="AG1" s="77" t="s">
        <v>56</v>
      </c>
      <c r="AH1" s="133" t="s">
        <v>62</v>
      </c>
      <c r="AI1" s="134"/>
      <c r="AJ1" s="133" t="s">
        <v>63</v>
      </c>
      <c r="AK1" s="134"/>
      <c r="AL1" s="128" t="s">
        <v>64</v>
      </c>
      <c r="AM1" s="131"/>
      <c r="AN1" s="128" t="s">
        <v>65</v>
      </c>
      <c r="AO1" s="131"/>
      <c r="AP1" s="128" t="s">
        <v>66</v>
      </c>
      <c r="AQ1" s="131"/>
      <c r="AR1" s="128" t="s">
        <v>67</v>
      </c>
      <c r="AS1" s="131"/>
      <c r="AT1" s="128" t="s">
        <v>68</v>
      </c>
      <c r="AU1" s="131"/>
      <c r="AV1" s="128" t="s">
        <v>69</v>
      </c>
      <c r="AW1" s="131"/>
      <c r="AX1" s="128" t="s">
        <v>70</v>
      </c>
      <c r="AY1" s="131"/>
      <c r="AZ1" s="128" t="s">
        <v>71</v>
      </c>
      <c r="BA1" s="131"/>
      <c r="BB1" s="31"/>
      <c r="BC1" s="31"/>
      <c r="BD1" s="31"/>
      <c r="BE1" s="31"/>
      <c r="BF1" s="31"/>
      <c r="BG1" s="31"/>
      <c r="BH1" s="77"/>
      <c r="BI1" s="77"/>
      <c r="BJ1" s="77"/>
      <c r="BK1" s="77"/>
      <c r="BL1" s="133" t="s">
        <v>72</v>
      </c>
      <c r="BM1" s="134"/>
      <c r="BN1" s="133" t="s">
        <v>73</v>
      </c>
      <c r="BO1" s="134"/>
      <c r="BP1" s="128" t="s">
        <v>74</v>
      </c>
      <c r="BQ1" s="131"/>
      <c r="BR1" s="133" t="s">
        <v>75</v>
      </c>
      <c r="BS1" s="134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4" t="s">
        <v>78</v>
      </c>
      <c r="CW1" s="125"/>
      <c r="CX1" s="126"/>
      <c r="CY1" s="128" t="s">
        <v>64</v>
      </c>
      <c r="CZ1" s="129"/>
      <c r="DA1" s="131"/>
      <c r="DB1" s="124" t="s">
        <v>65</v>
      </c>
      <c r="DC1" s="125"/>
      <c r="DD1" s="126"/>
      <c r="DE1" s="124" t="s">
        <v>66</v>
      </c>
      <c r="DF1" s="125"/>
      <c r="DG1" s="126"/>
      <c r="DH1" s="124" t="s">
        <v>67</v>
      </c>
      <c r="DI1" s="125"/>
      <c r="DJ1" s="126"/>
      <c r="DK1" s="124" t="s">
        <v>68</v>
      </c>
      <c r="DL1" s="125"/>
      <c r="DM1" s="126"/>
      <c r="DN1" s="124" t="s">
        <v>69</v>
      </c>
      <c r="DO1" s="125"/>
      <c r="DP1" s="126"/>
      <c r="DQ1" s="124" t="s">
        <v>70</v>
      </c>
      <c r="DR1" s="125"/>
      <c r="DS1" s="126"/>
      <c r="DT1" s="124" t="s">
        <v>71</v>
      </c>
      <c r="DU1" s="125"/>
      <c r="DV1" s="126"/>
      <c r="DW1" s="36"/>
      <c r="DX1" s="36"/>
      <c r="DY1" s="36"/>
      <c r="DZ1" s="36"/>
      <c r="EH1" s="127" t="s">
        <v>79</v>
      </c>
      <c r="EI1" s="127"/>
      <c r="EJ1" s="127"/>
    </row>
    <row r="2" spans="1:143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3" s="20" customFormat="1" ht="15">
      <c r="A3" s="84">
        <v>44316</v>
      </c>
      <c r="B3" s="85">
        <v>6855976</v>
      </c>
      <c r="C3" s="86">
        <v>5839</v>
      </c>
      <c r="D3" s="85">
        <v>6087904</v>
      </c>
      <c r="E3" s="86">
        <v>5597</v>
      </c>
      <c r="F3" s="22">
        <v>0.95855454701147458</v>
      </c>
      <c r="G3" s="87">
        <v>432</v>
      </c>
      <c r="H3" s="87">
        <v>528</v>
      </c>
      <c r="I3" s="88">
        <v>288041</v>
      </c>
      <c r="J3" s="89">
        <v>0</v>
      </c>
      <c r="K3" s="90">
        <v>775</v>
      </c>
      <c r="L3" s="89">
        <v>0</v>
      </c>
      <c r="M3" s="91">
        <v>633937</v>
      </c>
      <c r="N3" s="86">
        <v>0</v>
      </c>
      <c r="O3" s="91">
        <v>992</v>
      </c>
      <c r="P3" s="89">
        <v>0</v>
      </c>
      <c r="Q3" s="85">
        <v>2548630</v>
      </c>
      <c r="R3" s="89">
        <v>47</v>
      </c>
      <c r="S3" s="85">
        <v>2191835</v>
      </c>
      <c r="T3" s="89">
        <v>0</v>
      </c>
      <c r="U3" s="85">
        <v>110633</v>
      </c>
      <c r="V3" s="89" t="e">
        <f t="shared" ref="R3:V18" si="0">(U3-U2)</f>
        <v>#VALUE!</v>
      </c>
      <c r="W3" s="91">
        <v>100</v>
      </c>
      <c r="X3" s="91">
        <v>152370</v>
      </c>
      <c r="Y3" s="89">
        <v>0</v>
      </c>
      <c r="Z3" s="91">
        <v>39711</v>
      </c>
      <c r="AA3" s="94">
        <v>2</v>
      </c>
      <c r="AB3" s="91">
        <v>1116</v>
      </c>
      <c r="AC3" s="95">
        <v>1</v>
      </c>
      <c r="AD3" s="91">
        <v>4605</v>
      </c>
      <c r="AE3" s="96">
        <v>0</v>
      </c>
      <c r="AF3" s="19"/>
      <c r="AG3" s="19"/>
      <c r="AH3" s="91">
        <v>580240</v>
      </c>
      <c r="AI3" s="89">
        <v>0</v>
      </c>
      <c r="AJ3" s="103">
        <v>467</v>
      </c>
      <c r="AK3" s="86">
        <v>0</v>
      </c>
      <c r="AL3" s="91">
        <v>52255</v>
      </c>
      <c r="AM3" s="100">
        <v>1</v>
      </c>
      <c r="AN3" s="91">
        <v>8916</v>
      </c>
      <c r="AO3" s="86">
        <v>1</v>
      </c>
      <c r="AP3" s="91">
        <v>10571</v>
      </c>
      <c r="AQ3" s="89">
        <v>0</v>
      </c>
      <c r="AR3" s="91">
        <v>14555</v>
      </c>
      <c r="AS3" s="89">
        <v>0</v>
      </c>
      <c r="AT3" s="91">
        <v>19368</v>
      </c>
      <c r="AU3" s="89">
        <v>0</v>
      </c>
      <c r="AV3" s="91">
        <v>20677</v>
      </c>
      <c r="AW3" s="94">
        <v>0</v>
      </c>
      <c r="AX3" s="91">
        <v>13871</v>
      </c>
      <c r="AY3" s="94">
        <v>0</v>
      </c>
      <c r="AZ3" s="91">
        <v>6222</v>
      </c>
      <c r="BA3" s="86">
        <v>0</v>
      </c>
      <c r="BB3" s="91">
        <v>26485</v>
      </c>
      <c r="BC3" s="86">
        <v>0</v>
      </c>
      <c r="BD3" s="91">
        <v>1115</v>
      </c>
      <c r="BE3" s="86">
        <v>0</v>
      </c>
      <c r="BF3" s="91">
        <v>4377</v>
      </c>
      <c r="BG3" s="86">
        <v>0</v>
      </c>
      <c r="BH3" s="91">
        <v>3636</v>
      </c>
      <c r="BI3" s="86">
        <v>0</v>
      </c>
      <c r="BJ3" s="94">
        <v>0</v>
      </c>
      <c r="BK3" s="94">
        <v>0</v>
      </c>
      <c r="BL3" s="91">
        <v>601400</v>
      </c>
      <c r="BM3" s="94">
        <v>10</v>
      </c>
      <c r="BN3" s="105">
        <v>716</v>
      </c>
      <c r="BO3" s="104">
        <v>0</v>
      </c>
      <c r="BP3" s="91">
        <v>779130</v>
      </c>
      <c r="BQ3" s="94">
        <v>0</v>
      </c>
      <c r="BR3" s="105">
        <v>7124</v>
      </c>
      <c r="BS3" s="94">
        <v>2</v>
      </c>
      <c r="BT3" s="104">
        <v>0</v>
      </c>
      <c r="BU3" s="94">
        <v>10</v>
      </c>
      <c r="BV3" s="106">
        <v>2</v>
      </c>
      <c r="BW3" s="91">
        <v>124</v>
      </c>
      <c r="BX3" s="107">
        <v>15594.962224985846</v>
      </c>
      <c r="BY3" s="112"/>
      <c r="BZ3" s="109">
        <v>0</v>
      </c>
      <c r="CA3" s="87">
        <v>206532.6</v>
      </c>
      <c r="CB3" s="94">
        <v>0.70000000001164153</v>
      </c>
      <c r="CC3" s="104">
        <v>3.9970000000664729</v>
      </c>
      <c r="CD3" s="87">
        <v>34</v>
      </c>
      <c r="CE3" s="113">
        <v>3663.5</v>
      </c>
      <c r="CF3" s="87">
        <v>33</v>
      </c>
      <c r="CG3" s="114">
        <v>3555.75</v>
      </c>
      <c r="CH3" s="87">
        <v>35</v>
      </c>
      <c r="CI3" s="115">
        <v>3771.25</v>
      </c>
      <c r="CJ3" s="116">
        <v>10990.5</v>
      </c>
      <c r="CK3" s="117">
        <v>0</v>
      </c>
      <c r="CL3" s="91"/>
      <c r="CM3" s="91">
        <v>34541.9</v>
      </c>
      <c r="CN3" s="94">
        <v>1.2000000000043656</v>
      </c>
      <c r="CO3" s="104">
        <v>2.9280000000106519</v>
      </c>
      <c r="CP3" s="91">
        <v>34300</v>
      </c>
      <c r="CQ3" s="94">
        <v>0</v>
      </c>
      <c r="CR3" s="104">
        <v>0</v>
      </c>
      <c r="CS3" s="91">
        <v>10235.6</v>
      </c>
      <c r="CT3" s="94">
        <v>0</v>
      </c>
      <c r="CU3" s="104">
        <v>0</v>
      </c>
      <c r="CV3" s="91">
        <v>832157.8</v>
      </c>
      <c r="CW3" s="94">
        <v>0</v>
      </c>
      <c r="CX3" s="104">
        <v>0</v>
      </c>
      <c r="CY3" s="91">
        <v>5996.7</v>
      </c>
      <c r="CZ3" s="94">
        <v>0.5999999999994543</v>
      </c>
      <c r="DA3" s="104">
        <v>1.4339999999986959</v>
      </c>
      <c r="DB3" s="91">
        <v>7420</v>
      </c>
      <c r="DC3" s="94">
        <v>0</v>
      </c>
      <c r="DD3" s="94">
        <v>0</v>
      </c>
      <c r="DE3" s="91">
        <v>3840</v>
      </c>
      <c r="DF3" s="94">
        <v>0</v>
      </c>
      <c r="DG3" s="94">
        <v>0</v>
      </c>
      <c r="DH3" s="91">
        <v>1855.9</v>
      </c>
      <c r="DI3" s="94">
        <v>0</v>
      </c>
      <c r="DJ3" s="94">
        <v>0</v>
      </c>
      <c r="DK3" s="91">
        <v>5081.7</v>
      </c>
      <c r="DL3" s="94">
        <v>0</v>
      </c>
      <c r="DM3" s="94">
        <v>0</v>
      </c>
      <c r="DN3" s="91">
        <v>4454.7</v>
      </c>
      <c r="DO3" s="94">
        <v>0</v>
      </c>
      <c r="DP3" s="94">
        <v>0</v>
      </c>
      <c r="DQ3" s="91">
        <v>5089.6000000000004</v>
      </c>
      <c r="DR3" s="94">
        <v>0</v>
      </c>
      <c r="DS3" s="94">
        <v>0</v>
      </c>
      <c r="DT3" s="91">
        <v>5062.3999999999996</v>
      </c>
      <c r="DU3" s="94">
        <v>2.1999999999998181</v>
      </c>
      <c r="DV3" s="104">
        <v>5.2579999999995657</v>
      </c>
      <c r="DW3" s="111">
        <v>12871</v>
      </c>
      <c r="DX3" s="104">
        <v>0</v>
      </c>
      <c r="DY3" s="111">
        <v>62789</v>
      </c>
      <c r="DZ3" s="104">
        <v>0</v>
      </c>
      <c r="EA3" s="122">
        <v>15588</v>
      </c>
      <c r="EB3" s="104">
        <v>0</v>
      </c>
      <c r="EC3" s="122">
        <v>24679</v>
      </c>
      <c r="ED3" s="104">
        <v>0</v>
      </c>
      <c r="EE3" s="122">
        <v>2</v>
      </c>
      <c r="EF3" s="123">
        <v>6</v>
      </c>
      <c r="EG3" s="121">
        <v>1.4999999999999999E-2</v>
      </c>
      <c r="EH3" s="58"/>
      <c r="EI3" s="58"/>
      <c r="EJ3" s="58"/>
      <c r="EK3"/>
      <c r="EL3"/>
      <c r="EM3"/>
    </row>
    <row r="4" spans="1:143" ht="15">
      <c r="A4" s="84">
        <v>44317</v>
      </c>
      <c r="B4" s="92">
        <v>6861878</v>
      </c>
      <c r="C4" s="86">
        <f t="shared" ref="C4:C28" si="1">IF((B4-B3)&lt;0,"0",(B4-B3))</f>
        <v>5902</v>
      </c>
      <c r="D4" s="91">
        <v>6093494</v>
      </c>
      <c r="E4" s="86">
        <f t="shared" ref="E4:E28" si="2">IF((D4-D3)&lt;0,"0",(D4-D3))</f>
        <v>5590</v>
      </c>
      <c r="F4" s="22">
        <f t="shared" ref="F4:F28" si="3">E4/C4</f>
        <v>0.94713656387665202</v>
      </c>
      <c r="G4" s="87">
        <v>296</v>
      </c>
      <c r="H4" s="87">
        <v>432</v>
      </c>
      <c r="I4" s="88">
        <v>288041</v>
      </c>
      <c r="J4" s="89">
        <f t="shared" ref="J4:N28" si="4">IF((I4-I3)&lt;0,"0",(I4-I3))</f>
        <v>0</v>
      </c>
      <c r="K4" s="90">
        <v>775</v>
      </c>
      <c r="L4" s="89">
        <f t="shared" ref="L4:L6" si="5">IF((K4-K3)&lt;0,"0",(K4-K3))</f>
        <v>0</v>
      </c>
      <c r="M4" s="91">
        <v>633937</v>
      </c>
      <c r="N4" s="89">
        <f t="shared" ref="N4:N23" si="6">IF((M4-M3)&lt;0,"0",(M4-M3))</f>
        <v>0</v>
      </c>
      <c r="O4" s="91">
        <v>992</v>
      </c>
      <c r="P4" s="89">
        <f t="shared" ref="P4:P28" si="7">IF((O4-O3)&lt;0,"0",(O4-O3))</f>
        <v>0</v>
      </c>
      <c r="Q4" s="91">
        <v>2548646</v>
      </c>
      <c r="R4" s="89">
        <f t="shared" si="0"/>
        <v>16</v>
      </c>
      <c r="S4" s="91">
        <v>2191835</v>
      </c>
      <c r="T4" s="89">
        <f t="shared" si="0"/>
        <v>0</v>
      </c>
      <c r="U4" s="87">
        <v>110670</v>
      </c>
      <c r="V4" s="89">
        <f t="shared" si="0"/>
        <v>37</v>
      </c>
      <c r="W4" s="91">
        <v>100</v>
      </c>
      <c r="X4" s="91">
        <v>152370</v>
      </c>
      <c r="Y4" s="86">
        <v>0</v>
      </c>
      <c r="Z4" s="91">
        <v>39714</v>
      </c>
      <c r="AA4" s="94">
        <v>3</v>
      </c>
      <c r="AB4" s="97">
        <v>1116</v>
      </c>
      <c r="AC4" s="95">
        <v>0</v>
      </c>
      <c r="AD4" s="90">
        <v>4605</v>
      </c>
      <c r="AE4" s="96">
        <v>0</v>
      </c>
      <c r="AF4" s="22"/>
      <c r="AG4" s="22"/>
      <c r="AH4" s="91">
        <v>580140</v>
      </c>
      <c r="AI4" s="89" t="s">
        <v>127</v>
      </c>
      <c r="AJ4" s="101">
        <v>467</v>
      </c>
      <c r="AK4" s="86">
        <v>0</v>
      </c>
      <c r="AL4" s="99">
        <v>52255</v>
      </c>
      <c r="AM4" s="100">
        <v>0</v>
      </c>
      <c r="AN4" s="90">
        <v>8916</v>
      </c>
      <c r="AO4" s="86">
        <v>0</v>
      </c>
      <c r="AP4" s="91">
        <v>10571</v>
      </c>
      <c r="AQ4" s="86">
        <v>0</v>
      </c>
      <c r="AR4" s="91">
        <v>14555</v>
      </c>
      <c r="AS4" s="86">
        <v>0</v>
      </c>
      <c r="AT4" s="91">
        <v>19368</v>
      </c>
      <c r="AU4" s="86">
        <v>0</v>
      </c>
      <c r="AV4" s="91">
        <v>20677</v>
      </c>
      <c r="AW4" s="94">
        <v>0</v>
      </c>
      <c r="AX4" s="85">
        <v>13871</v>
      </c>
      <c r="AY4" s="94">
        <v>0</v>
      </c>
      <c r="AZ4" s="91">
        <v>6222</v>
      </c>
      <c r="BA4" s="86">
        <v>0</v>
      </c>
      <c r="BB4" s="91">
        <v>26485</v>
      </c>
      <c r="BC4" s="86">
        <v>0</v>
      </c>
      <c r="BD4" s="91">
        <v>1115</v>
      </c>
      <c r="BE4" s="86">
        <v>0</v>
      </c>
      <c r="BF4" s="91">
        <v>4377</v>
      </c>
      <c r="BG4" s="86">
        <v>0</v>
      </c>
      <c r="BH4" s="91">
        <v>3636</v>
      </c>
      <c r="BI4" s="86">
        <v>0</v>
      </c>
      <c r="BJ4" s="94">
        <v>0</v>
      </c>
      <c r="BK4" s="94">
        <v>0</v>
      </c>
      <c r="BL4" s="91">
        <v>601420</v>
      </c>
      <c r="BM4" s="94">
        <v>20</v>
      </c>
      <c r="BN4" s="105">
        <v>716</v>
      </c>
      <c r="BO4" s="86">
        <v>0</v>
      </c>
      <c r="BP4" s="91">
        <v>779140</v>
      </c>
      <c r="BQ4" s="94">
        <v>10</v>
      </c>
      <c r="BR4" s="105">
        <v>7128</v>
      </c>
      <c r="BS4" s="94">
        <v>4</v>
      </c>
      <c r="BT4" s="104">
        <v>10</v>
      </c>
      <c r="BU4" s="94">
        <v>30</v>
      </c>
      <c r="BV4" s="106">
        <v>0</v>
      </c>
      <c r="BW4" s="91">
        <v>124</v>
      </c>
      <c r="BX4" s="107">
        <v>15439.411265508745</v>
      </c>
      <c r="BY4" s="111"/>
      <c r="BZ4" s="109">
        <v>0</v>
      </c>
      <c r="CA4" s="88">
        <v>206533.2</v>
      </c>
      <c r="CB4" s="94">
        <v>0.60000000000582077</v>
      </c>
      <c r="CC4" s="104">
        <v>3.4260000000332367</v>
      </c>
      <c r="CD4" s="97">
        <v>34</v>
      </c>
      <c r="CE4" s="113">
        <v>3663.5</v>
      </c>
      <c r="CF4" s="88">
        <v>33</v>
      </c>
      <c r="CG4" s="114">
        <v>3555.75</v>
      </c>
      <c r="CH4" s="97">
        <v>35</v>
      </c>
      <c r="CI4" s="115">
        <v>3771.25</v>
      </c>
      <c r="CJ4" s="116">
        <v>10990.5</v>
      </c>
      <c r="CK4" s="117">
        <v>0</v>
      </c>
      <c r="CL4" s="91"/>
      <c r="CM4" s="91">
        <v>34543.199999999997</v>
      </c>
      <c r="CN4" s="94">
        <v>1.2999999999956344</v>
      </c>
      <c r="CO4" s="104">
        <v>3.1719999999893478</v>
      </c>
      <c r="CP4" s="85">
        <v>34300</v>
      </c>
      <c r="CQ4" s="94">
        <v>0</v>
      </c>
      <c r="CR4" s="104">
        <v>0</v>
      </c>
      <c r="CS4" s="91">
        <v>10235.6</v>
      </c>
      <c r="CT4" s="94">
        <v>0</v>
      </c>
      <c r="CU4" s="104">
        <v>0</v>
      </c>
      <c r="CV4" s="91">
        <v>832157.8</v>
      </c>
      <c r="CW4" s="94">
        <v>0</v>
      </c>
      <c r="CX4" s="104">
        <v>0</v>
      </c>
      <c r="CY4" s="90">
        <v>5997.5</v>
      </c>
      <c r="CZ4" s="94">
        <v>0.8000000000001819</v>
      </c>
      <c r="DA4" s="104">
        <v>1.9120000000004349</v>
      </c>
      <c r="DB4" s="91">
        <v>7420</v>
      </c>
      <c r="DC4" s="94">
        <v>0</v>
      </c>
      <c r="DD4" s="94">
        <v>0</v>
      </c>
      <c r="DE4" s="91">
        <v>3840</v>
      </c>
      <c r="DF4" s="94">
        <v>0</v>
      </c>
      <c r="DG4" s="94">
        <v>0</v>
      </c>
      <c r="DH4" s="91">
        <v>1855.9</v>
      </c>
      <c r="DI4" s="94">
        <v>0</v>
      </c>
      <c r="DJ4" s="94">
        <v>0</v>
      </c>
      <c r="DK4" s="91">
        <v>5081.7</v>
      </c>
      <c r="DL4" s="94">
        <v>0</v>
      </c>
      <c r="DM4" s="94">
        <v>0</v>
      </c>
      <c r="DN4" s="91">
        <v>4454.7</v>
      </c>
      <c r="DO4" s="94">
        <v>0</v>
      </c>
      <c r="DP4" s="94">
        <v>0</v>
      </c>
      <c r="DQ4" s="91">
        <v>5089.6000000000004</v>
      </c>
      <c r="DR4" s="94">
        <v>0</v>
      </c>
      <c r="DS4" s="94">
        <v>0</v>
      </c>
      <c r="DT4" s="91">
        <v>5066.7</v>
      </c>
      <c r="DU4" s="94">
        <v>4.3000000000001819</v>
      </c>
      <c r="DV4" s="104">
        <v>10.277000000000434</v>
      </c>
      <c r="DW4" s="111">
        <v>12871</v>
      </c>
      <c r="DX4" s="104">
        <v>0</v>
      </c>
      <c r="DY4" s="111">
        <v>62789</v>
      </c>
      <c r="DZ4" s="104">
        <v>0</v>
      </c>
      <c r="EA4" s="122">
        <v>15588</v>
      </c>
      <c r="EB4" s="104">
        <v>0</v>
      </c>
      <c r="EC4" s="85">
        <v>24679</v>
      </c>
      <c r="ED4" s="104">
        <v>0</v>
      </c>
      <c r="EE4" s="122">
        <v>2</v>
      </c>
      <c r="EF4" s="123">
        <v>6</v>
      </c>
      <c r="EG4" s="121">
        <v>1.4999999999999999E-2</v>
      </c>
      <c r="EH4" s="81"/>
      <c r="EI4" s="58"/>
      <c r="EJ4" s="58"/>
      <c r="EK4"/>
      <c r="EL4"/>
      <c r="EM4"/>
    </row>
    <row r="5" spans="1:143" ht="15">
      <c r="A5" s="84">
        <v>44318</v>
      </c>
      <c r="B5" s="87">
        <v>6867681</v>
      </c>
      <c r="C5" s="86">
        <f t="shared" si="1"/>
        <v>5803</v>
      </c>
      <c r="D5" s="87">
        <v>6099049</v>
      </c>
      <c r="E5" s="86">
        <f t="shared" si="2"/>
        <v>5555</v>
      </c>
      <c r="F5" s="22">
        <f t="shared" si="3"/>
        <v>0.95726348440461828</v>
      </c>
      <c r="G5" s="87">
        <v>302</v>
      </c>
      <c r="H5" s="87">
        <v>432</v>
      </c>
      <c r="I5" s="88">
        <v>288041</v>
      </c>
      <c r="J5" s="89">
        <f t="shared" si="4"/>
        <v>0</v>
      </c>
      <c r="K5" s="90">
        <v>775</v>
      </c>
      <c r="L5" s="89">
        <f t="shared" si="5"/>
        <v>0</v>
      </c>
      <c r="M5" s="91">
        <v>633937</v>
      </c>
      <c r="N5" s="89">
        <f t="shared" si="6"/>
        <v>0</v>
      </c>
      <c r="O5" s="91">
        <v>992</v>
      </c>
      <c r="P5" s="89">
        <f t="shared" si="7"/>
        <v>0</v>
      </c>
      <c r="Q5" s="91">
        <v>2548681</v>
      </c>
      <c r="R5" s="89">
        <f t="shared" si="0"/>
        <v>35</v>
      </c>
      <c r="S5" s="91">
        <v>2191836</v>
      </c>
      <c r="T5" s="89">
        <f t="shared" si="0"/>
        <v>1</v>
      </c>
      <c r="U5" s="91">
        <v>110704</v>
      </c>
      <c r="V5" s="89">
        <f t="shared" si="0"/>
        <v>34</v>
      </c>
      <c r="W5" s="91">
        <v>100</v>
      </c>
      <c r="X5" s="91">
        <v>152370</v>
      </c>
      <c r="Y5" s="86">
        <v>0</v>
      </c>
      <c r="Z5" s="98">
        <v>39719</v>
      </c>
      <c r="AA5" s="94">
        <v>5</v>
      </c>
      <c r="AB5" s="99">
        <v>1116</v>
      </c>
      <c r="AC5" s="95">
        <v>0</v>
      </c>
      <c r="AD5" s="88">
        <v>4605</v>
      </c>
      <c r="AE5" s="96">
        <v>0</v>
      </c>
      <c r="AF5" s="22"/>
      <c r="AG5" s="22"/>
      <c r="AH5" s="87">
        <v>580150</v>
      </c>
      <c r="AI5" s="89">
        <v>10</v>
      </c>
      <c r="AJ5" s="101">
        <v>467</v>
      </c>
      <c r="AK5" s="86">
        <v>0</v>
      </c>
      <c r="AL5" s="97">
        <v>52255</v>
      </c>
      <c r="AM5" s="100">
        <v>0</v>
      </c>
      <c r="AN5" s="88">
        <v>8916</v>
      </c>
      <c r="AO5" s="86">
        <v>0</v>
      </c>
      <c r="AP5" s="87">
        <v>10571</v>
      </c>
      <c r="AQ5" s="86">
        <v>0</v>
      </c>
      <c r="AR5" s="87">
        <v>14555</v>
      </c>
      <c r="AS5" s="86">
        <v>0</v>
      </c>
      <c r="AT5" s="91">
        <v>19368</v>
      </c>
      <c r="AU5" s="86">
        <v>0</v>
      </c>
      <c r="AV5" s="91">
        <v>20677</v>
      </c>
      <c r="AW5" s="94">
        <v>0</v>
      </c>
      <c r="AX5" s="91">
        <v>13871</v>
      </c>
      <c r="AY5" s="94">
        <v>0</v>
      </c>
      <c r="AZ5" s="91">
        <v>6222</v>
      </c>
      <c r="BA5" s="86">
        <v>0</v>
      </c>
      <c r="BB5" s="87">
        <v>26486</v>
      </c>
      <c r="BC5" s="86">
        <v>1</v>
      </c>
      <c r="BD5" s="87">
        <v>1115</v>
      </c>
      <c r="BE5" s="86">
        <v>0</v>
      </c>
      <c r="BF5" s="87">
        <v>4377</v>
      </c>
      <c r="BG5" s="86">
        <v>0</v>
      </c>
      <c r="BH5" s="91">
        <v>3636</v>
      </c>
      <c r="BI5" s="86">
        <v>0</v>
      </c>
      <c r="BJ5" s="94">
        <v>0</v>
      </c>
      <c r="BK5" s="94">
        <v>10</v>
      </c>
      <c r="BL5" s="87">
        <v>601440</v>
      </c>
      <c r="BM5" s="94">
        <v>20</v>
      </c>
      <c r="BN5" s="101">
        <v>716</v>
      </c>
      <c r="BO5" s="86">
        <v>0</v>
      </c>
      <c r="BP5" s="91">
        <v>779150</v>
      </c>
      <c r="BQ5" s="94">
        <v>10</v>
      </c>
      <c r="BR5" s="101">
        <v>7133</v>
      </c>
      <c r="BS5" s="94">
        <v>5</v>
      </c>
      <c r="BT5" s="104">
        <v>0</v>
      </c>
      <c r="BU5" s="94">
        <v>30</v>
      </c>
      <c r="BV5" s="106">
        <v>0</v>
      </c>
      <c r="BW5" s="91">
        <v>124</v>
      </c>
      <c r="BX5" s="107">
        <v>15439.411265508745</v>
      </c>
      <c r="BY5" s="112"/>
      <c r="BZ5" s="109">
        <v>0</v>
      </c>
      <c r="CA5" s="87">
        <v>206533.7</v>
      </c>
      <c r="CB5" s="94">
        <v>0.5</v>
      </c>
      <c r="CC5" s="104">
        <v>2.855</v>
      </c>
      <c r="CD5" s="97">
        <v>34</v>
      </c>
      <c r="CE5" s="113">
        <v>3663.5</v>
      </c>
      <c r="CF5" s="88">
        <v>33</v>
      </c>
      <c r="CG5" s="114">
        <v>3555.75</v>
      </c>
      <c r="CH5" s="97">
        <v>35</v>
      </c>
      <c r="CI5" s="115">
        <v>3771.25</v>
      </c>
      <c r="CJ5" s="116">
        <v>10990.5</v>
      </c>
      <c r="CK5" s="117">
        <v>0</v>
      </c>
      <c r="CL5" s="91"/>
      <c r="CM5" s="87">
        <v>34543.300000000003</v>
      </c>
      <c r="CN5" s="94">
        <v>0.10000000000582077</v>
      </c>
      <c r="CO5" s="104">
        <v>0.24400000001420266</v>
      </c>
      <c r="CP5" s="91">
        <v>34300</v>
      </c>
      <c r="CQ5" s="94">
        <v>0</v>
      </c>
      <c r="CR5" s="104">
        <v>0</v>
      </c>
      <c r="CS5" s="91">
        <v>10235.6</v>
      </c>
      <c r="CT5" s="94">
        <v>0</v>
      </c>
      <c r="CU5" s="104">
        <v>0</v>
      </c>
      <c r="CV5" s="91">
        <v>832157.8</v>
      </c>
      <c r="CW5" s="94">
        <v>0</v>
      </c>
      <c r="CX5" s="104">
        <v>0</v>
      </c>
      <c r="CY5" s="91">
        <v>5998.7</v>
      </c>
      <c r="CZ5" s="94">
        <v>1.1999999999998181</v>
      </c>
      <c r="DA5" s="104">
        <v>2.8679999999995656</v>
      </c>
      <c r="DB5" s="87">
        <v>7420</v>
      </c>
      <c r="DC5" s="94">
        <v>0</v>
      </c>
      <c r="DD5" s="94">
        <v>0</v>
      </c>
      <c r="DE5" s="87">
        <v>3840</v>
      </c>
      <c r="DF5" s="94">
        <v>0</v>
      </c>
      <c r="DG5" s="94">
        <v>0</v>
      </c>
      <c r="DH5" s="91">
        <v>1855.9</v>
      </c>
      <c r="DI5" s="94">
        <v>0</v>
      </c>
      <c r="DJ5" s="94">
        <v>0</v>
      </c>
      <c r="DK5" s="91">
        <v>5081.7</v>
      </c>
      <c r="DL5" s="94">
        <v>0</v>
      </c>
      <c r="DM5" s="94">
        <v>0</v>
      </c>
      <c r="DN5" s="91">
        <v>4454.7</v>
      </c>
      <c r="DO5" s="94">
        <v>0</v>
      </c>
      <c r="DP5" s="94">
        <v>0</v>
      </c>
      <c r="DQ5" s="91">
        <v>5089.6000000000004</v>
      </c>
      <c r="DR5" s="94">
        <v>0</v>
      </c>
      <c r="DS5" s="94">
        <v>0</v>
      </c>
      <c r="DT5" s="91">
        <v>5073.3</v>
      </c>
      <c r="DU5" s="94">
        <v>6.6000000000003638</v>
      </c>
      <c r="DV5" s="104">
        <v>15.77400000000087</v>
      </c>
      <c r="DW5" s="111">
        <v>12871</v>
      </c>
      <c r="DX5" s="104">
        <v>0</v>
      </c>
      <c r="DY5" s="111">
        <v>62789</v>
      </c>
      <c r="DZ5" s="104">
        <v>0</v>
      </c>
      <c r="EA5" s="122">
        <v>15588</v>
      </c>
      <c r="EB5" s="104">
        <v>0</v>
      </c>
      <c r="EC5" s="85">
        <v>24679</v>
      </c>
      <c r="ED5" s="104">
        <v>0</v>
      </c>
      <c r="EE5" s="122">
        <v>2</v>
      </c>
      <c r="EF5" s="123">
        <v>6</v>
      </c>
      <c r="EG5" s="121">
        <v>1.4999999999999999E-2</v>
      </c>
      <c r="EH5" s="81"/>
      <c r="EI5" s="58"/>
      <c r="EJ5" s="58"/>
      <c r="EK5"/>
      <c r="EL5"/>
      <c r="EM5"/>
    </row>
    <row r="6" spans="1:143" s="20" customFormat="1" ht="15">
      <c r="A6" s="84">
        <v>44319</v>
      </c>
      <c r="B6" s="87">
        <v>6874601</v>
      </c>
      <c r="C6" s="86">
        <f t="shared" si="1"/>
        <v>6920</v>
      </c>
      <c r="D6" s="87">
        <v>6105638</v>
      </c>
      <c r="E6" s="86">
        <f t="shared" si="2"/>
        <v>6589</v>
      </c>
      <c r="F6" s="22">
        <f t="shared" si="3"/>
        <v>0.95216763005780347</v>
      </c>
      <c r="G6" s="87">
        <v>400</v>
      </c>
      <c r="H6" s="90">
        <v>432</v>
      </c>
      <c r="I6" s="90">
        <v>288041</v>
      </c>
      <c r="J6" s="89">
        <f t="shared" si="4"/>
        <v>0</v>
      </c>
      <c r="K6" s="90">
        <v>775</v>
      </c>
      <c r="L6" s="89">
        <f t="shared" si="5"/>
        <v>0</v>
      </c>
      <c r="M6" s="91">
        <v>633937</v>
      </c>
      <c r="N6" s="89">
        <f t="shared" si="6"/>
        <v>0</v>
      </c>
      <c r="O6" s="91">
        <v>992</v>
      </c>
      <c r="P6" s="89">
        <f t="shared" si="7"/>
        <v>0</v>
      </c>
      <c r="Q6" s="91">
        <v>2548689</v>
      </c>
      <c r="R6" s="89">
        <f t="shared" si="0"/>
        <v>8</v>
      </c>
      <c r="S6" s="91">
        <v>2191879</v>
      </c>
      <c r="T6" s="89">
        <f t="shared" si="0"/>
        <v>43</v>
      </c>
      <c r="U6" s="91">
        <v>110760</v>
      </c>
      <c r="V6" s="89">
        <f t="shared" si="0"/>
        <v>56</v>
      </c>
      <c r="W6" s="91">
        <v>100</v>
      </c>
      <c r="X6" s="91">
        <v>152370</v>
      </c>
      <c r="Y6" s="86">
        <v>0</v>
      </c>
      <c r="Z6" s="98">
        <v>39724</v>
      </c>
      <c r="AA6" s="94">
        <v>5</v>
      </c>
      <c r="AB6" s="99">
        <v>1116</v>
      </c>
      <c r="AC6" s="95">
        <v>0</v>
      </c>
      <c r="AD6" s="88">
        <v>4605</v>
      </c>
      <c r="AE6" s="96">
        <v>0</v>
      </c>
      <c r="AF6" s="22"/>
      <c r="AG6" s="22"/>
      <c r="AH6" s="87">
        <v>580260</v>
      </c>
      <c r="AI6" s="89">
        <v>110</v>
      </c>
      <c r="AJ6" s="101">
        <v>471</v>
      </c>
      <c r="AK6" s="86">
        <v>4</v>
      </c>
      <c r="AL6" s="87">
        <v>52259</v>
      </c>
      <c r="AM6" s="100">
        <v>4</v>
      </c>
      <c r="AN6" s="87">
        <v>8916</v>
      </c>
      <c r="AO6" s="86">
        <v>0</v>
      </c>
      <c r="AP6" s="87">
        <v>10571</v>
      </c>
      <c r="AQ6" s="86">
        <v>0</v>
      </c>
      <c r="AR6" s="87">
        <v>14555</v>
      </c>
      <c r="AS6" s="86">
        <v>0</v>
      </c>
      <c r="AT6" s="91">
        <v>19368</v>
      </c>
      <c r="AU6" s="86">
        <v>0</v>
      </c>
      <c r="AV6" s="91">
        <v>20677</v>
      </c>
      <c r="AW6" s="94">
        <v>0</v>
      </c>
      <c r="AX6" s="91">
        <v>13871</v>
      </c>
      <c r="AY6" s="94">
        <v>0</v>
      </c>
      <c r="AZ6" s="91">
        <v>6223</v>
      </c>
      <c r="BA6" s="86">
        <v>1</v>
      </c>
      <c r="BB6" s="87">
        <v>26487</v>
      </c>
      <c r="BC6" s="86">
        <v>1</v>
      </c>
      <c r="BD6" s="87">
        <v>1115</v>
      </c>
      <c r="BE6" s="86">
        <v>0</v>
      </c>
      <c r="BF6" s="87">
        <v>4377</v>
      </c>
      <c r="BG6" s="86">
        <v>0</v>
      </c>
      <c r="BH6" s="91">
        <v>3636</v>
      </c>
      <c r="BI6" s="86">
        <v>0</v>
      </c>
      <c r="BJ6" s="94">
        <v>0</v>
      </c>
      <c r="BK6" s="94">
        <v>110</v>
      </c>
      <c r="BL6" s="87">
        <v>601460</v>
      </c>
      <c r="BM6" s="94">
        <v>20</v>
      </c>
      <c r="BN6" s="101">
        <v>716</v>
      </c>
      <c r="BO6" s="86">
        <v>0</v>
      </c>
      <c r="BP6" s="91">
        <v>779180</v>
      </c>
      <c r="BQ6" s="94">
        <v>30</v>
      </c>
      <c r="BR6" s="101">
        <v>7137</v>
      </c>
      <c r="BS6" s="94">
        <v>4</v>
      </c>
      <c r="BT6" s="104">
        <v>-80</v>
      </c>
      <c r="BU6" s="94">
        <v>50</v>
      </c>
      <c r="BV6" s="106">
        <v>5</v>
      </c>
      <c r="BW6" s="91">
        <v>124</v>
      </c>
      <c r="BX6" s="107">
        <v>15439.411265508745</v>
      </c>
      <c r="BY6" s="112"/>
      <c r="BZ6" s="109">
        <v>0</v>
      </c>
      <c r="CA6" s="87">
        <v>206541.1</v>
      </c>
      <c r="CB6" s="94">
        <v>7.3999999999941792</v>
      </c>
      <c r="CC6" s="104">
        <v>42.253999999966766</v>
      </c>
      <c r="CD6" s="97">
        <v>34</v>
      </c>
      <c r="CE6" s="113">
        <v>3663.5</v>
      </c>
      <c r="CF6" s="88">
        <v>32</v>
      </c>
      <c r="CG6" s="114">
        <v>3448</v>
      </c>
      <c r="CH6" s="97">
        <v>35</v>
      </c>
      <c r="CI6" s="115">
        <v>3771.25</v>
      </c>
      <c r="CJ6" s="116">
        <v>10882.75</v>
      </c>
      <c r="CK6" s="117">
        <v>107.75</v>
      </c>
      <c r="CL6" s="91"/>
      <c r="CM6" s="87">
        <v>34544.1</v>
      </c>
      <c r="CN6" s="94">
        <v>0.79999999999563443</v>
      </c>
      <c r="CO6" s="104">
        <v>1.951999999989348</v>
      </c>
      <c r="CP6" s="91">
        <v>34300</v>
      </c>
      <c r="CQ6" s="94">
        <v>0</v>
      </c>
      <c r="CR6" s="104">
        <v>0</v>
      </c>
      <c r="CS6" s="91">
        <v>10235.6</v>
      </c>
      <c r="CT6" s="94">
        <v>0</v>
      </c>
      <c r="CU6" s="104">
        <v>0</v>
      </c>
      <c r="CV6" s="91">
        <v>832157.8</v>
      </c>
      <c r="CW6" s="94">
        <v>0</v>
      </c>
      <c r="CX6" s="104">
        <v>0</v>
      </c>
      <c r="CY6" s="91">
        <v>6000.3</v>
      </c>
      <c r="CZ6" s="94">
        <v>1.6000000000003638</v>
      </c>
      <c r="DA6" s="104">
        <v>3.8240000000008698</v>
      </c>
      <c r="DB6" s="87">
        <v>7420</v>
      </c>
      <c r="DC6" s="94">
        <v>0</v>
      </c>
      <c r="DD6" s="94">
        <v>0</v>
      </c>
      <c r="DE6" s="87">
        <v>3840</v>
      </c>
      <c r="DF6" s="94">
        <v>0</v>
      </c>
      <c r="DG6" s="94">
        <v>0</v>
      </c>
      <c r="DH6" s="91">
        <v>1855.9</v>
      </c>
      <c r="DI6" s="94">
        <v>0</v>
      </c>
      <c r="DJ6" s="94">
        <v>0</v>
      </c>
      <c r="DK6" s="91">
        <v>5081.7</v>
      </c>
      <c r="DL6" s="94">
        <v>0</v>
      </c>
      <c r="DM6" s="94">
        <v>0</v>
      </c>
      <c r="DN6" s="91">
        <v>4454.7</v>
      </c>
      <c r="DO6" s="94">
        <v>0</v>
      </c>
      <c r="DP6" s="94">
        <v>0</v>
      </c>
      <c r="DQ6" s="91">
        <v>5089.6000000000004</v>
      </c>
      <c r="DR6" s="94">
        <v>0</v>
      </c>
      <c r="DS6" s="94">
        <v>0</v>
      </c>
      <c r="DT6" s="91">
        <v>5075.3</v>
      </c>
      <c r="DU6" s="94">
        <v>2</v>
      </c>
      <c r="DV6" s="104">
        <v>4.78</v>
      </c>
      <c r="DW6" s="111">
        <v>12871</v>
      </c>
      <c r="DX6" s="104">
        <v>0</v>
      </c>
      <c r="DY6" s="111">
        <v>62789</v>
      </c>
      <c r="DZ6" s="104">
        <v>0</v>
      </c>
      <c r="EA6" s="122">
        <v>15588</v>
      </c>
      <c r="EB6" s="104">
        <v>0</v>
      </c>
      <c r="EC6" s="122">
        <v>24679</v>
      </c>
      <c r="ED6" s="104">
        <v>0</v>
      </c>
      <c r="EE6" s="122">
        <v>2</v>
      </c>
      <c r="EF6" s="123">
        <v>6</v>
      </c>
      <c r="EG6" s="121">
        <v>1.4999999999999999E-2</v>
      </c>
      <c r="EH6" s="82"/>
      <c r="EI6" s="58"/>
      <c r="EJ6" s="58"/>
      <c r="EK6"/>
      <c r="EL6"/>
      <c r="EM6"/>
    </row>
    <row r="7" spans="1:143" s="20" customFormat="1" ht="15">
      <c r="A7" s="84">
        <v>44320</v>
      </c>
      <c r="B7" s="91">
        <v>6881491</v>
      </c>
      <c r="C7" s="86">
        <f t="shared" si="1"/>
        <v>6890</v>
      </c>
      <c r="D7" s="91">
        <v>6112243</v>
      </c>
      <c r="E7" s="86">
        <f t="shared" si="2"/>
        <v>6605</v>
      </c>
      <c r="F7" s="22">
        <f t="shared" si="3"/>
        <v>0.95863570391872277</v>
      </c>
      <c r="G7" s="87">
        <v>400</v>
      </c>
      <c r="H7" s="87">
        <v>432</v>
      </c>
      <c r="I7" s="90">
        <v>288041</v>
      </c>
      <c r="J7" s="89">
        <f t="shared" si="4"/>
        <v>0</v>
      </c>
      <c r="K7" s="90">
        <v>775</v>
      </c>
      <c r="L7" s="86">
        <v>0</v>
      </c>
      <c r="M7" s="91">
        <v>633937</v>
      </c>
      <c r="N7" s="89">
        <f t="shared" si="6"/>
        <v>0</v>
      </c>
      <c r="O7" s="91">
        <v>992</v>
      </c>
      <c r="P7" s="89">
        <f t="shared" si="7"/>
        <v>0</v>
      </c>
      <c r="Q7" s="91">
        <v>2548726</v>
      </c>
      <c r="R7" s="89">
        <f t="shared" si="0"/>
        <v>37</v>
      </c>
      <c r="S7" s="91">
        <v>2191880</v>
      </c>
      <c r="T7" s="89">
        <f t="shared" si="0"/>
        <v>1</v>
      </c>
      <c r="U7" s="91">
        <v>110815</v>
      </c>
      <c r="V7" s="89">
        <f t="shared" si="0"/>
        <v>55</v>
      </c>
      <c r="W7" s="91">
        <v>100</v>
      </c>
      <c r="X7" s="91">
        <v>152370</v>
      </c>
      <c r="Y7" s="86">
        <v>0</v>
      </c>
      <c r="Z7" s="98">
        <v>39729</v>
      </c>
      <c r="AA7" s="94">
        <v>5</v>
      </c>
      <c r="AB7" s="91">
        <v>1116</v>
      </c>
      <c r="AC7" s="95">
        <v>0</v>
      </c>
      <c r="AD7" s="87">
        <v>4605</v>
      </c>
      <c r="AE7" s="96">
        <v>0</v>
      </c>
      <c r="AF7" s="19"/>
      <c r="AG7" s="19"/>
      <c r="AH7" s="87">
        <v>580280</v>
      </c>
      <c r="AI7" s="89">
        <v>20</v>
      </c>
      <c r="AJ7" s="101">
        <v>472</v>
      </c>
      <c r="AK7" s="86">
        <v>1</v>
      </c>
      <c r="AL7" s="87">
        <v>52260</v>
      </c>
      <c r="AM7" s="100">
        <v>1</v>
      </c>
      <c r="AN7" s="91">
        <v>8916</v>
      </c>
      <c r="AO7" s="86">
        <v>0</v>
      </c>
      <c r="AP7" s="91">
        <v>10571</v>
      </c>
      <c r="AQ7" s="86">
        <v>0</v>
      </c>
      <c r="AR7" s="87">
        <v>14555</v>
      </c>
      <c r="AS7" s="86">
        <v>0</v>
      </c>
      <c r="AT7" s="91">
        <v>19368</v>
      </c>
      <c r="AU7" s="86">
        <v>0</v>
      </c>
      <c r="AV7" s="91">
        <v>20677</v>
      </c>
      <c r="AW7" s="94">
        <v>0</v>
      </c>
      <c r="AX7" s="91">
        <v>13871</v>
      </c>
      <c r="AY7" s="94">
        <v>0</v>
      </c>
      <c r="AZ7" s="91">
        <v>6223</v>
      </c>
      <c r="BA7" s="86">
        <v>0</v>
      </c>
      <c r="BB7" s="87">
        <v>26487</v>
      </c>
      <c r="BC7" s="86">
        <v>0</v>
      </c>
      <c r="BD7" s="87">
        <v>1115</v>
      </c>
      <c r="BE7" s="86">
        <v>0</v>
      </c>
      <c r="BF7" s="87">
        <v>4377</v>
      </c>
      <c r="BG7" s="86">
        <v>0</v>
      </c>
      <c r="BH7" s="91">
        <v>3636</v>
      </c>
      <c r="BI7" s="86">
        <v>0</v>
      </c>
      <c r="BJ7" s="94">
        <v>0</v>
      </c>
      <c r="BK7" s="94">
        <v>20</v>
      </c>
      <c r="BL7" s="87">
        <v>601480</v>
      </c>
      <c r="BM7" s="94">
        <v>20</v>
      </c>
      <c r="BN7" s="101">
        <v>717</v>
      </c>
      <c r="BO7" s="86">
        <v>1</v>
      </c>
      <c r="BP7" s="91">
        <v>779200</v>
      </c>
      <c r="BQ7" s="94">
        <v>20</v>
      </c>
      <c r="BR7" s="101">
        <v>7141</v>
      </c>
      <c r="BS7" s="94">
        <v>4</v>
      </c>
      <c r="BT7" s="104">
        <v>0</v>
      </c>
      <c r="BU7" s="94">
        <v>40</v>
      </c>
      <c r="BV7" s="106">
        <v>1</v>
      </c>
      <c r="BW7" s="91">
        <v>124</v>
      </c>
      <c r="BX7" s="107">
        <v>15439.411265508745</v>
      </c>
      <c r="BY7" s="91"/>
      <c r="BZ7" s="109">
        <v>0</v>
      </c>
      <c r="CA7" s="87">
        <v>206544.8</v>
      </c>
      <c r="CB7" s="94">
        <v>3.6999999999825377</v>
      </c>
      <c r="CC7" s="104">
        <v>21.126999999900288</v>
      </c>
      <c r="CD7" s="87">
        <v>33</v>
      </c>
      <c r="CE7" s="113">
        <v>3555.75</v>
      </c>
      <c r="CF7" s="87">
        <v>32</v>
      </c>
      <c r="CG7" s="114">
        <v>3448</v>
      </c>
      <c r="CH7" s="91">
        <v>35</v>
      </c>
      <c r="CI7" s="115">
        <v>3771.25</v>
      </c>
      <c r="CJ7" s="116">
        <v>10775</v>
      </c>
      <c r="CK7" s="117">
        <v>107.75</v>
      </c>
      <c r="CL7" s="91"/>
      <c r="CM7" s="91">
        <v>34544.6</v>
      </c>
      <c r="CN7" s="94">
        <v>0.5</v>
      </c>
      <c r="CO7" s="104">
        <v>1.22</v>
      </c>
      <c r="CP7" s="91">
        <v>34300</v>
      </c>
      <c r="CQ7" s="94">
        <v>0</v>
      </c>
      <c r="CR7" s="104">
        <v>0</v>
      </c>
      <c r="CS7" s="91">
        <v>10235.6</v>
      </c>
      <c r="CT7" s="94">
        <v>0</v>
      </c>
      <c r="CU7" s="104">
        <v>0</v>
      </c>
      <c r="CV7" s="91">
        <v>832157.8</v>
      </c>
      <c r="CW7" s="94">
        <v>0</v>
      </c>
      <c r="CX7" s="104">
        <v>0</v>
      </c>
      <c r="CY7" s="91">
        <v>6001.4</v>
      </c>
      <c r="CZ7" s="94">
        <v>1.0999999999994543</v>
      </c>
      <c r="DA7" s="104">
        <v>2.6289999999986957</v>
      </c>
      <c r="DB7" s="91">
        <v>7420</v>
      </c>
      <c r="DC7" s="94">
        <v>0</v>
      </c>
      <c r="DD7" s="94">
        <v>0</v>
      </c>
      <c r="DE7" s="87">
        <v>3840</v>
      </c>
      <c r="DF7" s="94">
        <v>0</v>
      </c>
      <c r="DG7" s="94">
        <v>0</v>
      </c>
      <c r="DH7" s="91">
        <v>1855.9</v>
      </c>
      <c r="DI7" s="94">
        <v>0</v>
      </c>
      <c r="DJ7" s="94">
        <v>0</v>
      </c>
      <c r="DK7" s="91">
        <v>5081.7</v>
      </c>
      <c r="DL7" s="94">
        <v>0</v>
      </c>
      <c r="DM7" s="94">
        <v>0</v>
      </c>
      <c r="DN7" s="91">
        <v>4454.7</v>
      </c>
      <c r="DO7" s="94">
        <v>0</v>
      </c>
      <c r="DP7" s="94">
        <v>0</v>
      </c>
      <c r="DQ7" s="91">
        <v>5089.6000000000004</v>
      </c>
      <c r="DR7" s="94">
        <v>0</v>
      </c>
      <c r="DS7" s="94">
        <v>0</v>
      </c>
      <c r="DT7" s="91">
        <v>5079.6000000000004</v>
      </c>
      <c r="DU7" s="94">
        <v>4.3000000000001819</v>
      </c>
      <c r="DV7" s="104">
        <v>10.277000000000434</v>
      </c>
      <c r="DW7" s="111">
        <v>12871</v>
      </c>
      <c r="DX7" s="104">
        <v>0</v>
      </c>
      <c r="DY7" s="111">
        <v>62789</v>
      </c>
      <c r="DZ7" s="104">
        <v>0</v>
      </c>
      <c r="EA7" s="122">
        <v>15588</v>
      </c>
      <c r="EB7" s="104">
        <v>0</v>
      </c>
      <c r="EC7" s="122">
        <v>24679</v>
      </c>
      <c r="ED7" s="104">
        <v>0</v>
      </c>
      <c r="EE7" s="122">
        <v>2</v>
      </c>
      <c r="EF7" s="123">
        <v>6</v>
      </c>
      <c r="EG7" s="121">
        <v>1.4999999999999999E-2</v>
      </c>
      <c r="EH7" s="82"/>
      <c r="EI7" s="58"/>
      <c r="EJ7" s="58"/>
      <c r="EK7"/>
      <c r="EL7"/>
      <c r="EM7"/>
    </row>
    <row r="8" spans="1:143" s="20" customFormat="1" ht="15">
      <c r="A8" s="84">
        <v>44321</v>
      </c>
      <c r="B8" s="91">
        <v>6888755</v>
      </c>
      <c r="C8" s="86">
        <f t="shared" si="1"/>
        <v>7264</v>
      </c>
      <c r="D8" s="91">
        <v>6119204</v>
      </c>
      <c r="E8" s="86">
        <f t="shared" si="2"/>
        <v>6961</v>
      </c>
      <c r="F8" s="22">
        <f t="shared" si="3"/>
        <v>0.95828744493392071</v>
      </c>
      <c r="G8" s="87">
        <v>400</v>
      </c>
      <c r="H8" s="87">
        <v>432</v>
      </c>
      <c r="I8" s="88">
        <v>288057</v>
      </c>
      <c r="J8" s="89">
        <f t="shared" si="4"/>
        <v>16</v>
      </c>
      <c r="K8" s="90">
        <v>775</v>
      </c>
      <c r="L8" s="86">
        <v>0</v>
      </c>
      <c r="M8" s="91">
        <v>633950</v>
      </c>
      <c r="N8" s="89">
        <f t="shared" si="6"/>
        <v>13</v>
      </c>
      <c r="O8" s="91">
        <v>992</v>
      </c>
      <c r="P8" s="89">
        <f t="shared" si="7"/>
        <v>0</v>
      </c>
      <c r="Q8" s="91">
        <v>2548795</v>
      </c>
      <c r="R8" s="89">
        <f t="shared" si="0"/>
        <v>69</v>
      </c>
      <c r="S8" s="91">
        <v>2191963</v>
      </c>
      <c r="T8" s="89">
        <f t="shared" si="0"/>
        <v>83</v>
      </c>
      <c r="U8" s="91">
        <v>110893</v>
      </c>
      <c r="V8" s="89">
        <f t="shared" si="0"/>
        <v>78</v>
      </c>
      <c r="W8" s="91">
        <v>100</v>
      </c>
      <c r="X8" s="91">
        <v>152370</v>
      </c>
      <c r="Y8" s="86">
        <v>0</v>
      </c>
      <c r="Z8" s="98">
        <v>39736</v>
      </c>
      <c r="AA8" s="94">
        <v>7</v>
      </c>
      <c r="AB8" s="91">
        <v>1117</v>
      </c>
      <c r="AC8" s="95">
        <v>1</v>
      </c>
      <c r="AD8" s="87">
        <v>4605</v>
      </c>
      <c r="AE8" s="96">
        <v>0</v>
      </c>
      <c r="AF8" s="19"/>
      <c r="AG8" s="19"/>
      <c r="AH8" s="87">
        <v>580300</v>
      </c>
      <c r="AI8" s="89">
        <v>20</v>
      </c>
      <c r="AJ8" s="101">
        <v>472</v>
      </c>
      <c r="AK8" s="86">
        <v>0</v>
      </c>
      <c r="AL8" s="91">
        <v>52268</v>
      </c>
      <c r="AM8" s="100">
        <v>8</v>
      </c>
      <c r="AN8" s="91">
        <v>8916</v>
      </c>
      <c r="AO8" s="86">
        <v>0</v>
      </c>
      <c r="AP8" s="91">
        <v>10571</v>
      </c>
      <c r="AQ8" s="86">
        <v>0</v>
      </c>
      <c r="AR8" s="87">
        <v>14556</v>
      </c>
      <c r="AS8" s="86">
        <v>1</v>
      </c>
      <c r="AT8" s="91">
        <v>19368</v>
      </c>
      <c r="AU8" s="86">
        <v>0</v>
      </c>
      <c r="AV8" s="91">
        <v>20677</v>
      </c>
      <c r="AW8" s="94">
        <v>0</v>
      </c>
      <c r="AX8" s="91">
        <v>13871</v>
      </c>
      <c r="AY8" s="94">
        <v>0</v>
      </c>
      <c r="AZ8" s="91">
        <v>6223</v>
      </c>
      <c r="BA8" s="86">
        <v>0</v>
      </c>
      <c r="BB8" s="91">
        <v>26488</v>
      </c>
      <c r="BC8" s="86">
        <v>1</v>
      </c>
      <c r="BD8" s="87">
        <v>1115</v>
      </c>
      <c r="BE8" s="86">
        <v>0</v>
      </c>
      <c r="BF8" s="87">
        <v>4378</v>
      </c>
      <c r="BG8" s="86">
        <v>1</v>
      </c>
      <c r="BH8" s="91">
        <v>3636</v>
      </c>
      <c r="BI8" s="86">
        <v>0</v>
      </c>
      <c r="BJ8" s="94">
        <v>1</v>
      </c>
      <c r="BK8" s="94">
        <v>19</v>
      </c>
      <c r="BL8" s="87">
        <v>601510</v>
      </c>
      <c r="BM8" s="94">
        <v>30</v>
      </c>
      <c r="BN8" s="101">
        <v>717</v>
      </c>
      <c r="BO8" s="86">
        <v>0</v>
      </c>
      <c r="BP8" s="91">
        <v>779230</v>
      </c>
      <c r="BQ8" s="94">
        <v>30</v>
      </c>
      <c r="BR8" s="101">
        <v>7141</v>
      </c>
      <c r="BS8" s="94">
        <v>0</v>
      </c>
      <c r="BT8" s="104">
        <v>10</v>
      </c>
      <c r="BU8" s="94">
        <v>60</v>
      </c>
      <c r="BV8" s="106">
        <v>9</v>
      </c>
      <c r="BW8" s="91">
        <v>124</v>
      </c>
      <c r="BX8" s="107">
        <v>15439.411265508745</v>
      </c>
      <c r="BY8" s="91"/>
      <c r="BZ8" s="109">
        <v>0</v>
      </c>
      <c r="CA8" s="91">
        <v>206574.7</v>
      </c>
      <c r="CB8" s="94">
        <v>29.900000000023283</v>
      </c>
      <c r="CC8" s="104">
        <v>170.72900000013294</v>
      </c>
      <c r="CD8" s="87">
        <v>33</v>
      </c>
      <c r="CE8" s="113">
        <v>3555.75</v>
      </c>
      <c r="CF8" s="91">
        <v>31</v>
      </c>
      <c r="CG8" s="114">
        <v>3340.25</v>
      </c>
      <c r="CH8" s="91">
        <v>34</v>
      </c>
      <c r="CI8" s="115">
        <v>3663.5</v>
      </c>
      <c r="CJ8" s="116">
        <v>10559.5</v>
      </c>
      <c r="CK8" s="117">
        <v>215.5</v>
      </c>
      <c r="CL8" s="91"/>
      <c r="CM8" s="91">
        <v>34545.5</v>
      </c>
      <c r="CN8" s="94">
        <v>0.90000000000145519</v>
      </c>
      <c r="CO8" s="104">
        <v>2.1960000000035507</v>
      </c>
      <c r="CP8" s="91">
        <v>34300</v>
      </c>
      <c r="CQ8" s="94">
        <v>0</v>
      </c>
      <c r="CR8" s="104">
        <v>0</v>
      </c>
      <c r="CS8" s="91">
        <v>10235.6</v>
      </c>
      <c r="CT8" s="94">
        <v>0</v>
      </c>
      <c r="CU8" s="104">
        <v>0</v>
      </c>
      <c r="CV8" s="91">
        <v>832172.5</v>
      </c>
      <c r="CW8" s="94">
        <v>14.699999999953434</v>
      </c>
      <c r="CX8" s="104">
        <v>35.867999999886379</v>
      </c>
      <c r="CY8" s="91">
        <v>6003.9</v>
      </c>
      <c r="CZ8" s="94">
        <v>2.5</v>
      </c>
      <c r="DA8" s="104">
        <v>5.9750000000000005</v>
      </c>
      <c r="DB8" s="91">
        <v>7420</v>
      </c>
      <c r="DC8" s="94">
        <v>0</v>
      </c>
      <c r="DD8" s="94">
        <v>0</v>
      </c>
      <c r="DE8" s="91">
        <v>3840</v>
      </c>
      <c r="DF8" s="94">
        <v>0</v>
      </c>
      <c r="DG8" s="94">
        <v>0</v>
      </c>
      <c r="DH8" s="91">
        <v>1855.9</v>
      </c>
      <c r="DI8" s="94">
        <v>0</v>
      </c>
      <c r="DJ8" s="94">
        <v>0</v>
      </c>
      <c r="DK8" s="91">
        <v>5081.7</v>
      </c>
      <c r="DL8" s="94">
        <v>0</v>
      </c>
      <c r="DM8" s="94">
        <v>0</v>
      </c>
      <c r="DN8" s="91">
        <v>4454.7</v>
      </c>
      <c r="DO8" s="94">
        <v>0</v>
      </c>
      <c r="DP8" s="94">
        <v>0</v>
      </c>
      <c r="DQ8" s="91">
        <v>5089.6000000000004</v>
      </c>
      <c r="DR8" s="94">
        <v>0</v>
      </c>
      <c r="DS8" s="94">
        <v>0</v>
      </c>
      <c r="DT8" s="91">
        <v>5084.1000000000004</v>
      </c>
      <c r="DU8" s="94">
        <v>4.5</v>
      </c>
      <c r="DV8" s="104">
        <v>10.755000000000001</v>
      </c>
      <c r="DW8" s="111">
        <v>12871</v>
      </c>
      <c r="DX8" s="104">
        <v>0</v>
      </c>
      <c r="DY8" s="111">
        <v>62789</v>
      </c>
      <c r="DZ8" s="104">
        <v>0</v>
      </c>
      <c r="EA8" s="122">
        <v>15588</v>
      </c>
      <c r="EB8" s="104">
        <v>0</v>
      </c>
      <c r="EC8" s="122">
        <v>24679</v>
      </c>
      <c r="ED8" s="104">
        <v>0</v>
      </c>
      <c r="EE8" s="122">
        <v>2</v>
      </c>
      <c r="EF8" s="123">
        <v>6</v>
      </c>
      <c r="EG8" s="121">
        <v>1.4999999999999999E-2</v>
      </c>
      <c r="EH8" s="82"/>
      <c r="EI8" s="58"/>
      <c r="EJ8" s="58"/>
      <c r="EK8"/>
      <c r="EL8"/>
      <c r="EM8"/>
    </row>
    <row r="9" spans="1:143" s="20" customFormat="1" ht="15">
      <c r="A9" s="84">
        <v>44322</v>
      </c>
      <c r="B9" s="91">
        <v>6894886</v>
      </c>
      <c r="C9" s="86">
        <f t="shared" si="1"/>
        <v>6131</v>
      </c>
      <c r="D9" s="91">
        <v>6125068</v>
      </c>
      <c r="E9" s="86">
        <f t="shared" si="2"/>
        <v>5864</v>
      </c>
      <c r="F9" s="22">
        <f t="shared" si="3"/>
        <v>0.95645082368292289</v>
      </c>
      <c r="G9" s="87">
        <v>400</v>
      </c>
      <c r="H9" s="87">
        <v>432</v>
      </c>
      <c r="I9" s="88">
        <v>288057</v>
      </c>
      <c r="J9" s="89">
        <f t="shared" si="4"/>
        <v>0</v>
      </c>
      <c r="K9" s="90">
        <v>775</v>
      </c>
      <c r="L9" s="86">
        <v>0</v>
      </c>
      <c r="M9" s="91">
        <v>633950</v>
      </c>
      <c r="N9" s="89">
        <f t="shared" si="6"/>
        <v>0</v>
      </c>
      <c r="O9" s="91">
        <v>992</v>
      </c>
      <c r="P9" s="89">
        <f t="shared" si="7"/>
        <v>0</v>
      </c>
      <c r="Q9" s="91">
        <v>2548904</v>
      </c>
      <c r="R9" s="89">
        <f t="shared" si="0"/>
        <v>109</v>
      </c>
      <c r="S9" s="91">
        <v>2191966</v>
      </c>
      <c r="T9" s="89">
        <f t="shared" si="0"/>
        <v>3</v>
      </c>
      <c r="U9" s="91">
        <v>110970</v>
      </c>
      <c r="V9" s="89">
        <f t="shared" si="0"/>
        <v>77</v>
      </c>
      <c r="W9" s="91">
        <v>100</v>
      </c>
      <c r="X9" s="91">
        <v>152370</v>
      </c>
      <c r="Y9" s="86">
        <v>0</v>
      </c>
      <c r="Z9" s="98">
        <v>39745</v>
      </c>
      <c r="AA9" s="94">
        <v>9</v>
      </c>
      <c r="AB9" s="91">
        <v>1117</v>
      </c>
      <c r="AC9" s="95">
        <v>0</v>
      </c>
      <c r="AD9" s="87">
        <v>4605</v>
      </c>
      <c r="AE9" s="96">
        <v>0</v>
      </c>
      <c r="AF9" s="19"/>
      <c r="AG9" s="19"/>
      <c r="AH9" s="87">
        <v>580300</v>
      </c>
      <c r="AI9" s="89">
        <v>0</v>
      </c>
      <c r="AJ9" s="101">
        <v>472</v>
      </c>
      <c r="AK9" s="86">
        <v>0</v>
      </c>
      <c r="AL9" s="87">
        <v>52268</v>
      </c>
      <c r="AM9" s="100"/>
      <c r="AN9" s="91">
        <v>8916</v>
      </c>
      <c r="AO9" s="86">
        <v>0</v>
      </c>
      <c r="AP9" s="91">
        <v>10571</v>
      </c>
      <c r="AQ9" s="86">
        <v>0</v>
      </c>
      <c r="AR9" s="87">
        <v>14556</v>
      </c>
      <c r="AS9" s="86">
        <v>0</v>
      </c>
      <c r="AT9" s="91">
        <v>19368</v>
      </c>
      <c r="AU9" s="86">
        <v>0</v>
      </c>
      <c r="AV9" s="91">
        <v>20677</v>
      </c>
      <c r="AW9" s="94">
        <v>0</v>
      </c>
      <c r="AX9" s="91">
        <v>13871</v>
      </c>
      <c r="AY9" s="94">
        <v>0</v>
      </c>
      <c r="AZ9" s="91">
        <v>6224</v>
      </c>
      <c r="BA9" s="86">
        <v>1</v>
      </c>
      <c r="BB9" s="87">
        <v>26489</v>
      </c>
      <c r="BC9" s="86">
        <v>1</v>
      </c>
      <c r="BD9" s="87">
        <v>1115</v>
      </c>
      <c r="BE9" s="86">
        <v>0</v>
      </c>
      <c r="BF9" s="87">
        <v>4378</v>
      </c>
      <c r="BG9" s="86">
        <v>0</v>
      </c>
      <c r="BH9" s="91">
        <v>3636</v>
      </c>
      <c r="BI9" s="86">
        <v>0</v>
      </c>
      <c r="BJ9" s="94">
        <v>0</v>
      </c>
      <c r="BK9" s="94">
        <v>0</v>
      </c>
      <c r="BL9" s="87">
        <v>601530</v>
      </c>
      <c r="BM9" s="94">
        <v>20</v>
      </c>
      <c r="BN9" s="101">
        <v>717</v>
      </c>
      <c r="BO9" s="86">
        <v>0</v>
      </c>
      <c r="BP9" s="91">
        <v>779330</v>
      </c>
      <c r="BQ9" s="94">
        <v>100</v>
      </c>
      <c r="BR9" s="101">
        <v>7148</v>
      </c>
      <c r="BS9" s="94">
        <v>7</v>
      </c>
      <c r="BT9" s="104">
        <v>100</v>
      </c>
      <c r="BU9" s="94">
        <v>120</v>
      </c>
      <c r="BV9" s="106">
        <v>1</v>
      </c>
      <c r="BW9" s="91">
        <v>124</v>
      </c>
      <c r="BX9" s="107">
        <v>15439.411265508745</v>
      </c>
      <c r="BY9" s="91"/>
      <c r="BZ9" s="109">
        <v>0</v>
      </c>
      <c r="CA9" s="91">
        <v>206576.7</v>
      </c>
      <c r="CB9" s="94">
        <v>2</v>
      </c>
      <c r="CC9" s="104">
        <v>11.42</v>
      </c>
      <c r="CD9" s="91">
        <v>33</v>
      </c>
      <c r="CE9" s="113">
        <v>3555.75</v>
      </c>
      <c r="CF9" s="91">
        <v>30</v>
      </c>
      <c r="CG9" s="114">
        <v>3232.5</v>
      </c>
      <c r="CH9" s="91">
        <v>34</v>
      </c>
      <c r="CI9" s="115">
        <v>3663.5</v>
      </c>
      <c r="CJ9" s="116">
        <v>10451.75</v>
      </c>
      <c r="CK9" s="117">
        <v>107.75</v>
      </c>
      <c r="CL9" s="91"/>
      <c r="CM9" s="91">
        <v>34548</v>
      </c>
      <c r="CN9" s="94">
        <v>2.5</v>
      </c>
      <c r="CO9" s="104">
        <v>6.1</v>
      </c>
      <c r="CP9" s="91">
        <v>34300</v>
      </c>
      <c r="CQ9" s="94">
        <v>0</v>
      </c>
      <c r="CR9" s="104">
        <v>0</v>
      </c>
      <c r="CS9" s="87">
        <v>10235.6</v>
      </c>
      <c r="CT9" s="94">
        <v>0</v>
      </c>
      <c r="CU9" s="104">
        <v>0</v>
      </c>
      <c r="CV9" s="91">
        <v>832172.5</v>
      </c>
      <c r="CW9" s="94">
        <v>0</v>
      </c>
      <c r="CX9" s="104">
        <v>0</v>
      </c>
      <c r="CY9" s="91">
        <v>6005.1</v>
      </c>
      <c r="CZ9" s="94">
        <v>1.2000000000007276</v>
      </c>
      <c r="DA9" s="104">
        <v>2.8680000000017389</v>
      </c>
      <c r="DB9" s="91">
        <v>7420</v>
      </c>
      <c r="DC9" s="94">
        <v>0</v>
      </c>
      <c r="DD9" s="94">
        <v>0</v>
      </c>
      <c r="DE9" s="91">
        <v>3840</v>
      </c>
      <c r="DF9" s="94">
        <v>0</v>
      </c>
      <c r="DG9" s="94">
        <v>0</v>
      </c>
      <c r="DH9" s="91">
        <v>1855.9</v>
      </c>
      <c r="DI9" s="94">
        <v>0</v>
      </c>
      <c r="DJ9" s="94">
        <v>0</v>
      </c>
      <c r="DK9" s="91">
        <v>5081.7</v>
      </c>
      <c r="DL9" s="94">
        <v>0</v>
      </c>
      <c r="DM9" s="94">
        <v>0</v>
      </c>
      <c r="DN9" s="91">
        <v>4454.7</v>
      </c>
      <c r="DO9" s="94">
        <v>0</v>
      </c>
      <c r="DP9" s="94">
        <v>0</v>
      </c>
      <c r="DQ9" s="91">
        <v>5089.6000000000004</v>
      </c>
      <c r="DR9" s="94">
        <v>0</v>
      </c>
      <c r="DS9" s="94">
        <v>0</v>
      </c>
      <c r="DT9" s="91">
        <v>5088.2</v>
      </c>
      <c r="DU9" s="94">
        <v>4.0999999999994543</v>
      </c>
      <c r="DV9" s="104">
        <v>9.7989999999986956</v>
      </c>
      <c r="DW9" s="111">
        <v>12871</v>
      </c>
      <c r="DX9" s="104">
        <v>0</v>
      </c>
      <c r="DY9" s="111">
        <v>62789</v>
      </c>
      <c r="DZ9" s="104">
        <v>0</v>
      </c>
      <c r="EA9" s="122">
        <v>15588</v>
      </c>
      <c r="EB9" s="104">
        <v>0</v>
      </c>
      <c r="EC9" s="122">
        <v>24679</v>
      </c>
      <c r="ED9" s="104">
        <v>0</v>
      </c>
      <c r="EE9" s="122">
        <v>2</v>
      </c>
      <c r="EF9" s="123">
        <v>6</v>
      </c>
      <c r="EG9" s="121">
        <v>1.4999999999999999E-2</v>
      </c>
      <c r="EH9" s="82"/>
      <c r="EI9" s="58"/>
      <c r="EJ9" s="58"/>
      <c r="EK9"/>
      <c r="EL9"/>
      <c r="EM9"/>
    </row>
    <row r="10" spans="1:143" s="20" customFormat="1" ht="15">
      <c r="A10" s="84">
        <v>44323</v>
      </c>
      <c r="B10" s="91">
        <v>6901048</v>
      </c>
      <c r="C10" s="86">
        <f t="shared" si="1"/>
        <v>6162</v>
      </c>
      <c r="D10" s="91">
        <v>6130985</v>
      </c>
      <c r="E10" s="86">
        <f t="shared" si="2"/>
        <v>5917</v>
      </c>
      <c r="F10" s="22">
        <f t="shared" si="3"/>
        <v>0.96024018175916914</v>
      </c>
      <c r="G10" s="87">
        <v>400</v>
      </c>
      <c r="H10" s="87">
        <v>432</v>
      </c>
      <c r="I10" s="88">
        <v>288057</v>
      </c>
      <c r="J10" s="89">
        <f t="shared" si="4"/>
        <v>0</v>
      </c>
      <c r="K10" s="90">
        <v>775</v>
      </c>
      <c r="L10" s="86">
        <v>0</v>
      </c>
      <c r="M10" s="91">
        <v>633950</v>
      </c>
      <c r="N10" s="89">
        <f t="shared" si="6"/>
        <v>0</v>
      </c>
      <c r="O10" s="91">
        <v>992</v>
      </c>
      <c r="P10" s="89">
        <f t="shared" si="7"/>
        <v>0</v>
      </c>
      <c r="Q10" s="91">
        <v>2549106</v>
      </c>
      <c r="R10" s="89">
        <f t="shared" si="0"/>
        <v>202</v>
      </c>
      <c r="S10" s="91">
        <v>2191969</v>
      </c>
      <c r="T10" s="89">
        <f t="shared" si="0"/>
        <v>3</v>
      </c>
      <c r="U10" s="91">
        <v>111062</v>
      </c>
      <c r="V10" s="89">
        <f t="shared" si="0"/>
        <v>92</v>
      </c>
      <c r="W10" s="91">
        <v>90</v>
      </c>
      <c r="X10" s="91">
        <v>152370</v>
      </c>
      <c r="Y10" s="86">
        <v>0</v>
      </c>
      <c r="Z10" s="98">
        <v>39759</v>
      </c>
      <c r="AA10" s="94">
        <v>14</v>
      </c>
      <c r="AB10" s="91">
        <v>1117</v>
      </c>
      <c r="AC10" s="95">
        <v>0</v>
      </c>
      <c r="AD10" s="87">
        <v>4605</v>
      </c>
      <c r="AE10" s="96">
        <v>0</v>
      </c>
      <c r="AF10" s="19"/>
      <c r="AG10" s="19"/>
      <c r="AH10" s="87">
        <v>580320</v>
      </c>
      <c r="AI10" s="89">
        <v>20</v>
      </c>
      <c r="AJ10" s="101">
        <v>472</v>
      </c>
      <c r="AK10" s="86">
        <v>0</v>
      </c>
      <c r="AL10" s="87">
        <v>52269</v>
      </c>
      <c r="AM10" s="100">
        <v>1</v>
      </c>
      <c r="AN10" s="91">
        <v>8916</v>
      </c>
      <c r="AO10" s="86">
        <v>0</v>
      </c>
      <c r="AP10" s="91">
        <v>10571</v>
      </c>
      <c r="AQ10" s="86">
        <v>0</v>
      </c>
      <c r="AR10" s="87">
        <v>14557</v>
      </c>
      <c r="AS10" s="86">
        <v>1</v>
      </c>
      <c r="AT10" s="91">
        <v>19368</v>
      </c>
      <c r="AU10" s="86">
        <v>0</v>
      </c>
      <c r="AV10" s="91">
        <v>20677</v>
      </c>
      <c r="AW10" s="94">
        <v>0</v>
      </c>
      <c r="AX10" s="91">
        <v>13871</v>
      </c>
      <c r="AY10" s="94">
        <v>0</v>
      </c>
      <c r="AZ10" s="91">
        <v>6224</v>
      </c>
      <c r="BA10" s="86">
        <v>0</v>
      </c>
      <c r="BB10" s="87">
        <v>26490</v>
      </c>
      <c r="BC10" s="86">
        <v>1</v>
      </c>
      <c r="BD10" s="87">
        <v>1115</v>
      </c>
      <c r="BE10" s="86">
        <v>0</v>
      </c>
      <c r="BF10" s="87">
        <v>4378</v>
      </c>
      <c r="BG10" s="86">
        <v>0</v>
      </c>
      <c r="BH10" s="91">
        <v>3636</v>
      </c>
      <c r="BI10" s="86">
        <v>0</v>
      </c>
      <c r="BJ10" s="94">
        <v>1</v>
      </c>
      <c r="BK10" s="94">
        <v>19</v>
      </c>
      <c r="BL10" s="87">
        <v>601550</v>
      </c>
      <c r="BM10" s="94">
        <v>20</v>
      </c>
      <c r="BN10" s="101">
        <v>717</v>
      </c>
      <c r="BO10" s="86">
        <v>0</v>
      </c>
      <c r="BP10" s="87">
        <v>779410</v>
      </c>
      <c r="BQ10" s="94">
        <v>80</v>
      </c>
      <c r="BR10" s="101">
        <v>7201</v>
      </c>
      <c r="BS10" s="94">
        <v>53</v>
      </c>
      <c r="BT10" s="104">
        <v>60</v>
      </c>
      <c r="BU10" s="94">
        <v>100</v>
      </c>
      <c r="BV10" s="106">
        <v>2</v>
      </c>
      <c r="BW10" s="91">
        <v>124</v>
      </c>
      <c r="BX10" s="107">
        <v>15439.411265508745</v>
      </c>
      <c r="BY10" s="91"/>
      <c r="BZ10" s="109">
        <v>0</v>
      </c>
      <c r="CA10" s="91">
        <v>206578.1</v>
      </c>
      <c r="CB10" s="94">
        <v>1.3999999999941792</v>
      </c>
      <c r="CC10" s="104">
        <v>7.9939999999667632</v>
      </c>
      <c r="CD10" s="91">
        <v>31</v>
      </c>
      <c r="CE10" s="113">
        <v>3340.25</v>
      </c>
      <c r="CF10" s="91">
        <v>30</v>
      </c>
      <c r="CG10" s="114">
        <v>3232.5</v>
      </c>
      <c r="CH10" s="91">
        <v>33</v>
      </c>
      <c r="CI10" s="115">
        <v>3555.75</v>
      </c>
      <c r="CJ10" s="116">
        <v>10128.5</v>
      </c>
      <c r="CK10" s="117">
        <v>323.25</v>
      </c>
      <c r="CL10" s="91"/>
      <c r="CM10" s="91">
        <v>34549</v>
      </c>
      <c r="CN10" s="94">
        <v>1</v>
      </c>
      <c r="CO10" s="104">
        <v>2.44</v>
      </c>
      <c r="CP10" s="91">
        <v>34300</v>
      </c>
      <c r="CQ10" s="94">
        <v>0</v>
      </c>
      <c r="CR10" s="104">
        <v>0</v>
      </c>
      <c r="CS10" s="91">
        <v>10235.6</v>
      </c>
      <c r="CT10" s="94">
        <v>0</v>
      </c>
      <c r="CU10" s="104">
        <v>0</v>
      </c>
      <c r="CV10" s="91">
        <v>832172.5</v>
      </c>
      <c r="CW10" s="94">
        <v>0</v>
      </c>
      <c r="CX10" s="104">
        <v>0</v>
      </c>
      <c r="CY10" s="91">
        <v>6006.5</v>
      </c>
      <c r="CZ10" s="94">
        <v>1.3999999999996362</v>
      </c>
      <c r="DA10" s="104">
        <v>3.3459999999991306</v>
      </c>
      <c r="DB10" s="91">
        <v>7420</v>
      </c>
      <c r="DC10" s="94">
        <v>0</v>
      </c>
      <c r="DD10" s="94">
        <v>0</v>
      </c>
      <c r="DE10" s="91">
        <v>3840</v>
      </c>
      <c r="DF10" s="94">
        <v>0</v>
      </c>
      <c r="DG10" s="94">
        <v>0</v>
      </c>
      <c r="DH10" s="91">
        <v>1855.9</v>
      </c>
      <c r="DI10" s="94">
        <v>0</v>
      </c>
      <c r="DJ10" s="94">
        <v>0</v>
      </c>
      <c r="DK10" s="91">
        <v>5081.7</v>
      </c>
      <c r="DL10" s="94">
        <v>0</v>
      </c>
      <c r="DM10" s="94">
        <v>0</v>
      </c>
      <c r="DN10" s="91">
        <v>4454.7</v>
      </c>
      <c r="DO10" s="94">
        <v>0</v>
      </c>
      <c r="DP10" s="94">
        <v>0</v>
      </c>
      <c r="DQ10" s="91">
        <v>5089.6000000000004</v>
      </c>
      <c r="DR10" s="94">
        <v>0</v>
      </c>
      <c r="DS10" s="94">
        <v>0</v>
      </c>
      <c r="DT10" s="91">
        <v>5089.6000000000004</v>
      </c>
      <c r="DU10" s="94">
        <v>1.4000000000005457</v>
      </c>
      <c r="DV10" s="104">
        <v>3.3460000000013044</v>
      </c>
      <c r="DW10" s="111">
        <v>12871</v>
      </c>
      <c r="DX10" s="104">
        <v>0</v>
      </c>
      <c r="DY10" s="111">
        <v>62789</v>
      </c>
      <c r="DZ10" s="104">
        <v>0</v>
      </c>
      <c r="EA10" s="122">
        <v>15588</v>
      </c>
      <c r="EB10" s="104">
        <v>0</v>
      </c>
      <c r="EC10" s="122">
        <v>24679</v>
      </c>
      <c r="ED10" s="104">
        <v>0</v>
      </c>
      <c r="EE10" s="122">
        <v>2</v>
      </c>
      <c r="EF10" s="123">
        <v>6</v>
      </c>
      <c r="EG10" s="121">
        <v>1.4999999999999999E-2</v>
      </c>
      <c r="EH10" s="82"/>
      <c r="EI10" s="58"/>
      <c r="EJ10" s="58"/>
      <c r="EK10"/>
      <c r="EL10"/>
      <c r="EM10"/>
    </row>
    <row r="11" spans="1:143" s="20" customFormat="1" ht="15">
      <c r="A11" s="84">
        <v>44324</v>
      </c>
      <c r="B11" s="91">
        <v>6906838</v>
      </c>
      <c r="C11" s="86">
        <f t="shared" si="1"/>
        <v>5790</v>
      </c>
      <c r="D11" s="91">
        <v>6136410</v>
      </c>
      <c r="E11" s="86">
        <f t="shared" si="2"/>
        <v>5425</v>
      </c>
      <c r="F11" s="22">
        <f t="shared" si="3"/>
        <v>0.93696027633851464</v>
      </c>
      <c r="G11" s="87">
        <v>400</v>
      </c>
      <c r="H11" s="87">
        <v>432</v>
      </c>
      <c r="I11" s="88">
        <v>288057</v>
      </c>
      <c r="J11" s="89">
        <f t="shared" si="4"/>
        <v>0</v>
      </c>
      <c r="K11" s="90">
        <v>775</v>
      </c>
      <c r="L11" s="86">
        <v>0</v>
      </c>
      <c r="M11" s="91">
        <v>633950</v>
      </c>
      <c r="N11" s="89">
        <f t="shared" si="6"/>
        <v>0</v>
      </c>
      <c r="O11" s="91">
        <v>992</v>
      </c>
      <c r="P11" s="89">
        <f t="shared" si="7"/>
        <v>0</v>
      </c>
      <c r="Q11" s="91">
        <v>2549152</v>
      </c>
      <c r="R11" s="89">
        <f t="shared" si="0"/>
        <v>46</v>
      </c>
      <c r="S11" s="91">
        <v>2191973</v>
      </c>
      <c r="T11" s="89">
        <f t="shared" si="0"/>
        <v>4</v>
      </c>
      <c r="U11" s="91">
        <v>111114</v>
      </c>
      <c r="V11" s="89">
        <f t="shared" si="0"/>
        <v>52</v>
      </c>
      <c r="W11" s="91">
        <v>100</v>
      </c>
      <c r="X11" s="91">
        <v>152370</v>
      </c>
      <c r="Y11" s="86">
        <v>0</v>
      </c>
      <c r="Z11" s="98">
        <v>39768</v>
      </c>
      <c r="AA11" s="94">
        <v>9</v>
      </c>
      <c r="AB11" s="91">
        <v>1117</v>
      </c>
      <c r="AC11" s="95">
        <v>0</v>
      </c>
      <c r="AD11" s="87">
        <v>4605</v>
      </c>
      <c r="AE11" s="96">
        <v>0</v>
      </c>
      <c r="AF11" s="19"/>
      <c r="AG11" s="19"/>
      <c r="AH11" s="87">
        <v>580330</v>
      </c>
      <c r="AI11" s="89">
        <v>10</v>
      </c>
      <c r="AJ11" s="101">
        <v>472</v>
      </c>
      <c r="AK11" s="86">
        <v>0</v>
      </c>
      <c r="AL11" s="87">
        <v>52270</v>
      </c>
      <c r="AM11" s="100">
        <v>1</v>
      </c>
      <c r="AN11" s="91">
        <v>8916</v>
      </c>
      <c r="AO11" s="86">
        <v>0</v>
      </c>
      <c r="AP11" s="91">
        <v>10571</v>
      </c>
      <c r="AQ11" s="86">
        <v>0</v>
      </c>
      <c r="AR11" s="87">
        <v>14557</v>
      </c>
      <c r="AS11" s="86">
        <v>0</v>
      </c>
      <c r="AT11" s="91">
        <v>19368</v>
      </c>
      <c r="AU11" s="86">
        <v>0</v>
      </c>
      <c r="AV11" s="91">
        <v>20677</v>
      </c>
      <c r="AW11" s="94">
        <v>0</v>
      </c>
      <c r="AX11" s="91">
        <v>13871</v>
      </c>
      <c r="AY11" s="94">
        <v>0</v>
      </c>
      <c r="AZ11" s="91">
        <v>6224</v>
      </c>
      <c r="BA11" s="86">
        <v>0</v>
      </c>
      <c r="BB11" s="87">
        <v>26491</v>
      </c>
      <c r="BC11" s="86">
        <v>1</v>
      </c>
      <c r="BD11" s="87">
        <v>1115</v>
      </c>
      <c r="BE11" s="86">
        <v>0</v>
      </c>
      <c r="BF11" s="87">
        <v>4378</v>
      </c>
      <c r="BG11" s="86">
        <v>0</v>
      </c>
      <c r="BH11" s="91">
        <v>3636</v>
      </c>
      <c r="BI11" s="86">
        <v>0</v>
      </c>
      <c r="BJ11" s="94">
        <v>0</v>
      </c>
      <c r="BK11" s="94">
        <v>10</v>
      </c>
      <c r="BL11" s="87">
        <v>601560</v>
      </c>
      <c r="BM11" s="94">
        <v>10</v>
      </c>
      <c r="BN11" s="101">
        <v>719</v>
      </c>
      <c r="BO11" s="86">
        <v>2</v>
      </c>
      <c r="BP11" s="87">
        <v>779490</v>
      </c>
      <c r="BQ11" s="94">
        <v>80</v>
      </c>
      <c r="BR11" s="101">
        <v>7279</v>
      </c>
      <c r="BS11" s="94">
        <v>78</v>
      </c>
      <c r="BT11" s="104">
        <v>70</v>
      </c>
      <c r="BU11" s="94">
        <v>90</v>
      </c>
      <c r="BV11" s="106">
        <v>1</v>
      </c>
      <c r="BW11" s="91">
        <v>124</v>
      </c>
      <c r="BX11" s="107">
        <v>15439.411265508745</v>
      </c>
      <c r="BY11" s="91"/>
      <c r="BZ11" s="109">
        <v>0</v>
      </c>
      <c r="CA11" s="91">
        <v>206578.5</v>
      </c>
      <c r="CB11" s="94">
        <v>0.39999999999417923</v>
      </c>
      <c r="CC11" s="104">
        <v>2.2839999999667633</v>
      </c>
      <c r="CD11" s="91">
        <v>31</v>
      </c>
      <c r="CE11" s="113">
        <v>3340.25</v>
      </c>
      <c r="CF11" s="91">
        <v>30</v>
      </c>
      <c r="CG11" s="114">
        <v>3232.5</v>
      </c>
      <c r="CH11" s="91">
        <v>33</v>
      </c>
      <c r="CI11" s="115">
        <v>3555.75</v>
      </c>
      <c r="CJ11" s="116">
        <v>10128.5</v>
      </c>
      <c r="CK11" s="117">
        <v>0</v>
      </c>
      <c r="CL11" s="91"/>
      <c r="CM11" s="91">
        <v>34549.9</v>
      </c>
      <c r="CN11" s="94">
        <v>0.90000000000145519</v>
      </c>
      <c r="CO11" s="104">
        <v>2.1960000000035507</v>
      </c>
      <c r="CP11" s="91">
        <v>34300</v>
      </c>
      <c r="CQ11" s="94">
        <v>0</v>
      </c>
      <c r="CR11" s="104">
        <v>0</v>
      </c>
      <c r="CS11" s="91">
        <v>10235.6</v>
      </c>
      <c r="CT11" s="94">
        <v>0</v>
      </c>
      <c r="CU11" s="104">
        <v>0</v>
      </c>
      <c r="CV11" s="91">
        <v>832172.5</v>
      </c>
      <c r="CW11" s="94">
        <v>0</v>
      </c>
      <c r="CX11" s="104">
        <v>0</v>
      </c>
      <c r="CY11" s="91">
        <v>6007.7</v>
      </c>
      <c r="CZ11" s="94">
        <v>1.1999999999998181</v>
      </c>
      <c r="DA11" s="104">
        <v>2.8679999999995656</v>
      </c>
      <c r="DB11" s="91">
        <v>7420</v>
      </c>
      <c r="DC11" s="94">
        <v>0</v>
      </c>
      <c r="DD11" s="94">
        <v>0</v>
      </c>
      <c r="DE11" s="91">
        <v>3840</v>
      </c>
      <c r="DF11" s="94">
        <v>0</v>
      </c>
      <c r="DG11" s="94">
        <v>0</v>
      </c>
      <c r="DH11" s="91">
        <v>1855.9</v>
      </c>
      <c r="DI11" s="94">
        <v>0</v>
      </c>
      <c r="DJ11" s="94">
        <v>0</v>
      </c>
      <c r="DK11" s="91">
        <v>5081.7</v>
      </c>
      <c r="DL11" s="94">
        <v>0</v>
      </c>
      <c r="DM11" s="94">
        <v>0</v>
      </c>
      <c r="DN11" s="91">
        <v>4454.7</v>
      </c>
      <c r="DO11" s="94">
        <v>0</v>
      </c>
      <c r="DP11" s="94">
        <v>0</v>
      </c>
      <c r="DQ11" s="91">
        <v>5089.6000000000004</v>
      </c>
      <c r="DR11" s="94">
        <v>0</v>
      </c>
      <c r="DS11" s="94">
        <v>0</v>
      </c>
      <c r="DT11" s="91">
        <v>5099.1000000000004</v>
      </c>
      <c r="DU11" s="94">
        <v>9.5</v>
      </c>
      <c r="DV11" s="104">
        <v>22.705000000000002</v>
      </c>
      <c r="DW11" s="111">
        <v>12871</v>
      </c>
      <c r="DX11" s="104">
        <v>0</v>
      </c>
      <c r="DY11" s="111">
        <v>62789</v>
      </c>
      <c r="DZ11" s="104">
        <v>0</v>
      </c>
      <c r="EA11" s="122">
        <v>15588</v>
      </c>
      <c r="EB11" s="104">
        <v>0</v>
      </c>
      <c r="EC11" s="122">
        <v>24679</v>
      </c>
      <c r="ED11" s="104">
        <v>0</v>
      </c>
      <c r="EE11" s="122">
        <v>2</v>
      </c>
      <c r="EF11" s="123">
        <v>6</v>
      </c>
      <c r="EG11" s="121">
        <v>1.4999999999999999E-2</v>
      </c>
      <c r="EH11" s="82"/>
      <c r="EI11" s="58"/>
      <c r="EJ11" s="58"/>
      <c r="EK11"/>
      <c r="EL11"/>
      <c r="EM11"/>
    </row>
    <row r="12" spans="1:143" s="20" customFormat="1" ht="15">
      <c r="A12" s="84">
        <v>44325</v>
      </c>
      <c r="B12" s="91">
        <v>6912822</v>
      </c>
      <c r="C12" s="86">
        <f t="shared" si="1"/>
        <v>5984</v>
      </c>
      <c r="D12" s="91">
        <v>6142241</v>
      </c>
      <c r="E12" s="86">
        <f t="shared" si="2"/>
        <v>5831</v>
      </c>
      <c r="F12" s="22">
        <f t="shared" si="3"/>
        <v>0.97443181818181823</v>
      </c>
      <c r="G12" s="87">
        <v>400</v>
      </c>
      <c r="H12" s="87">
        <v>432</v>
      </c>
      <c r="I12" s="88">
        <v>288057</v>
      </c>
      <c r="J12" s="89">
        <f t="shared" si="4"/>
        <v>0</v>
      </c>
      <c r="K12" s="90">
        <v>775</v>
      </c>
      <c r="L12" s="86">
        <v>0</v>
      </c>
      <c r="M12" s="91">
        <v>633950</v>
      </c>
      <c r="N12" s="89">
        <f t="shared" si="6"/>
        <v>0</v>
      </c>
      <c r="O12" s="91">
        <v>992</v>
      </c>
      <c r="P12" s="89">
        <f t="shared" si="7"/>
        <v>0</v>
      </c>
      <c r="Q12" s="91">
        <v>2549190</v>
      </c>
      <c r="R12" s="89">
        <f t="shared" si="0"/>
        <v>38</v>
      </c>
      <c r="S12" s="91">
        <v>2191976</v>
      </c>
      <c r="T12" s="89">
        <f t="shared" si="0"/>
        <v>3</v>
      </c>
      <c r="U12" s="91">
        <v>111195</v>
      </c>
      <c r="V12" s="89">
        <f t="shared" si="0"/>
        <v>81</v>
      </c>
      <c r="W12" s="91">
        <v>100</v>
      </c>
      <c r="X12" s="91">
        <v>152370</v>
      </c>
      <c r="Y12" s="86">
        <v>0</v>
      </c>
      <c r="Z12" s="98">
        <v>39768</v>
      </c>
      <c r="AA12" s="94">
        <v>0</v>
      </c>
      <c r="AB12" s="91">
        <v>1117</v>
      </c>
      <c r="AC12" s="95">
        <v>0</v>
      </c>
      <c r="AD12" s="87">
        <v>4605</v>
      </c>
      <c r="AE12" s="96">
        <v>0</v>
      </c>
      <c r="AF12" s="19"/>
      <c r="AG12" s="19"/>
      <c r="AH12" s="87">
        <v>580330</v>
      </c>
      <c r="AI12" s="89">
        <v>0</v>
      </c>
      <c r="AJ12" s="101">
        <v>472</v>
      </c>
      <c r="AK12" s="86">
        <v>0</v>
      </c>
      <c r="AL12" s="87">
        <v>52270</v>
      </c>
      <c r="AM12" s="100">
        <v>0</v>
      </c>
      <c r="AN12" s="91">
        <v>8916</v>
      </c>
      <c r="AO12" s="86">
        <v>0</v>
      </c>
      <c r="AP12" s="91">
        <v>10571</v>
      </c>
      <c r="AQ12" s="86">
        <v>0</v>
      </c>
      <c r="AR12" s="87">
        <v>14557</v>
      </c>
      <c r="AS12" s="86">
        <v>0</v>
      </c>
      <c r="AT12" s="91">
        <v>19368</v>
      </c>
      <c r="AU12" s="86">
        <v>0</v>
      </c>
      <c r="AV12" s="91">
        <v>20677</v>
      </c>
      <c r="AW12" s="94">
        <v>0</v>
      </c>
      <c r="AX12" s="91">
        <v>13871</v>
      </c>
      <c r="AY12" s="94">
        <v>0</v>
      </c>
      <c r="AZ12" s="91">
        <v>6224</v>
      </c>
      <c r="BA12" s="86">
        <v>0</v>
      </c>
      <c r="BB12" s="87">
        <v>26491</v>
      </c>
      <c r="BC12" s="86">
        <v>0</v>
      </c>
      <c r="BD12" s="87">
        <v>1115</v>
      </c>
      <c r="BE12" s="86">
        <v>0</v>
      </c>
      <c r="BF12" s="87">
        <v>4378</v>
      </c>
      <c r="BG12" s="86">
        <v>0</v>
      </c>
      <c r="BH12" s="91">
        <v>3636</v>
      </c>
      <c r="BI12" s="86">
        <v>0</v>
      </c>
      <c r="BJ12" s="94">
        <v>0</v>
      </c>
      <c r="BK12" s="94">
        <v>0</v>
      </c>
      <c r="BL12" s="91">
        <v>601570</v>
      </c>
      <c r="BM12" s="94">
        <v>10</v>
      </c>
      <c r="BN12" s="101">
        <v>719</v>
      </c>
      <c r="BO12" s="86">
        <v>0</v>
      </c>
      <c r="BP12" s="87">
        <v>779510</v>
      </c>
      <c r="BQ12" s="94">
        <v>20</v>
      </c>
      <c r="BR12" s="101">
        <v>7304</v>
      </c>
      <c r="BS12" s="94">
        <v>25</v>
      </c>
      <c r="BT12" s="104">
        <v>20</v>
      </c>
      <c r="BU12" s="94">
        <v>30</v>
      </c>
      <c r="BV12" s="106">
        <v>0</v>
      </c>
      <c r="BW12" s="91">
        <v>124</v>
      </c>
      <c r="BX12" s="107">
        <v>15439.411265508745</v>
      </c>
      <c r="BY12" s="91"/>
      <c r="BZ12" s="109">
        <v>0</v>
      </c>
      <c r="CA12" s="91">
        <v>206579.7</v>
      </c>
      <c r="CB12" s="94">
        <v>1.2000000000116415</v>
      </c>
      <c r="CC12" s="104">
        <v>6.8520000000664734</v>
      </c>
      <c r="CD12" s="91">
        <v>31</v>
      </c>
      <c r="CE12" s="113">
        <v>3340.25</v>
      </c>
      <c r="CF12" s="91">
        <v>30</v>
      </c>
      <c r="CG12" s="114">
        <v>3232.5</v>
      </c>
      <c r="CH12" s="91">
        <v>32</v>
      </c>
      <c r="CI12" s="115">
        <v>3448</v>
      </c>
      <c r="CJ12" s="116">
        <v>10020.75</v>
      </c>
      <c r="CK12" s="117">
        <v>107.75</v>
      </c>
      <c r="CL12" s="91"/>
      <c r="CM12" s="91">
        <v>34550.699999999997</v>
      </c>
      <c r="CN12" s="94">
        <v>0.79999999999563443</v>
      </c>
      <c r="CO12" s="104">
        <v>1.951999999989348</v>
      </c>
      <c r="CP12" s="91">
        <v>34300</v>
      </c>
      <c r="CQ12" s="94">
        <v>0</v>
      </c>
      <c r="CR12" s="104">
        <v>0</v>
      </c>
      <c r="CS12" s="91">
        <v>10235.6</v>
      </c>
      <c r="CT12" s="94">
        <v>0</v>
      </c>
      <c r="CU12" s="104">
        <v>0</v>
      </c>
      <c r="CV12" s="91">
        <v>832172.5</v>
      </c>
      <c r="CW12" s="94">
        <v>0</v>
      </c>
      <c r="CX12" s="104">
        <v>0</v>
      </c>
      <c r="CY12" s="91">
        <v>6008.2</v>
      </c>
      <c r="CZ12" s="94">
        <v>0.5</v>
      </c>
      <c r="DA12" s="104">
        <v>1.1950000000000001</v>
      </c>
      <c r="DB12" s="91">
        <v>7420</v>
      </c>
      <c r="DC12" s="94">
        <v>0</v>
      </c>
      <c r="DD12" s="94">
        <v>0</v>
      </c>
      <c r="DE12" s="91">
        <v>3840</v>
      </c>
      <c r="DF12" s="94">
        <v>0</v>
      </c>
      <c r="DG12" s="94">
        <v>0</v>
      </c>
      <c r="DH12" s="91">
        <v>1855.9</v>
      </c>
      <c r="DI12" s="94">
        <v>0</v>
      </c>
      <c r="DJ12" s="94">
        <v>0</v>
      </c>
      <c r="DK12" s="91">
        <v>5081.7</v>
      </c>
      <c r="DL12" s="94">
        <v>0</v>
      </c>
      <c r="DM12" s="94">
        <v>0</v>
      </c>
      <c r="DN12" s="91">
        <v>4454.7</v>
      </c>
      <c r="DO12" s="94">
        <v>0</v>
      </c>
      <c r="DP12" s="94">
        <v>0</v>
      </c>
      <c r="DQ12" s="91">
        <v>5089.6000000000004</v>
      </c>
      <c r="DR12" s="94">
        <v>0</v>
      </c>
      <c r="DS12" s="94">
        <v>0</v>
      </c>
      <c r="DT12" s="91">
        <v>5101</v>
      </c>
      <c r="DU12" s="94">
        <v>1.8999999999996362</v>
      </c>
      <c r="DV12" s="104">
        <v>4.5409999999991308</v>
      </c>
      <c r="DW12" s="111">
        <v>12871</v>
      </c>
      <c r="DX12" s="104">
        <v>0</v>
      </c>
      <c r="DY12" s="111">
        <v>62789</v>
      </c>
      <c r="DZ12" s="104">
        <v>0</v>
      </c>
      <c r="EA12" s="122">
        <v>15588</v>
      </c>
      <c r="EB12" s="104">
        <v>0</v>
      </c>
      <c r="EC12" s="122">
        <v>24679</v>
      </c>
      <c r="ED12" s="104">
        <v>0</v>
      </c>
      <c r="EE12" s="122">
        <v>2</v>
      </c>
      <c r="EF12" s="123">
        <v>6</v>
      </c>
      <c r="EG12" s="121">
        <v>1.4999999999999999E-2</v>
      </c>
      <c r="EH12" s="82"/>
      <c r="EI12" s="58"/>
      <c r="EJ12" s="58"/>
      <c r="EK12"/>
      <c r="EL12"/>
      <c r="EM12"/>
    </row>
    <row r="13" spans="1:143" s="20" customFormat="1" ht="15">
      <c r="A13" s="84">
        <v>44326</v>
      </c>
      <c r="B13" s="91">
        <v>6919144</v>
      </c>
      <c r="C13" s="86">
        <f t="shared" si="1"/>
        <v>6322</v>
      </c>
      <c r="D13" s="91">
        <v>6148348</v>
      </c>
      <c r="E13" s="86">
        <f t="shared" si="2"/>
        <v>6107</v>
      </c>
      <c r="F13" s="22">
        <f t="shared" si="3"/>
        <v>0.96599177475482445</v>
      </c>
      <c r="G13" s="87">
        <v>400</v>
      </c>
      <c r="H13" s="87">
        <v>432</v>
      </c>
      <c r="I13" s="88">
        <v>288057</v>
      </c>
      <c r="J13" s="89">
        <f t="shared" si="4"/>
        <v>0</v>
      </c>
      <c r="K13" s="90">
        <v>775</v>
      </c>
      <c r="L13" s="86">
        <v>0</v>
      </c>
      <c r="M13" s="91">
        <v>633950</v>
      </c>
      <c r="N13" s="89">
        <f t="shared" si="6"/>
        <v>0</v>
      </c>
      <c r="O13" s="91">
        <v>992</v>
      </c>
      <c r="P13" s="89">
        <f t="shared" si="7"/>
        <v>0</v>
      </c>
      <c r="Q13" s="91">
        <v>2549346</v>
      </c>
      <c r="R13" s="89">
        <f t="shared" si="0"/>
        <v>156</v>
      </c>
      <c r="S13" s="91">
        <v>2191976</v>
      </c>
      <c r="T13" s="89">
        <f t="shared" si="0"/>
        <v>0</v>
      </c>
      <c r="U13" s="91">
        <v>111244</v>
      </c>
      <c r="V13" s="89">
        <f t="shared" si="0"/>
        <v>49</v>
      </c>
      <c r="W13" s="91">
        <v>100</v>
      </c>
      <c r="X13" s="91">
        <v>152370</v>
      </c>
      <c r="Y13" s="86">
        <v>0</v>
      </c>
      <c r="Z13" s="87">
        <v>39781</v>
      </c>
      <c r="AA13" s="94">
        <v>13</v>
      </c>
      <c r="AB13" s="91">
        <v>1117</v>
      </c>
      <c r="AC13" s="95">
        <v>0</v>
      </c>
      <c r="AD13" s="87">
        <v>4605</v>
      </c>
      <c r="AE13" s="96">
        <v>0</v>
      </c>
      <c r="AF13" s="19"/>
      <c r="AG13" s="19"/>
      <c r="AH13" s="87">
        <v>580360</v>
      </c>
      <c r="AI13" s="89">
        <v>30</v>
      </c>
      <c r="AJ13" s="101">
        <v>476</v>
      </c>
      <c r="AK13" s="86">
        <v>4</v>
      </c>
      <c r="AL13" s="87">
        <v>52272</v>
      </c>
      <c r="AM13" s="100">
        <v>2</v>
      </c>
      <c r="AN13" s="91">
        <v>8917</v>
      </c>
      <c r="AO13" s="86">
        <v>1</v>
      </c>
      <c r="AP13" s="91">
        <v>10571</v>
      </c>
      <c r="AQ13" s="86">
        <v>0</v>
      </c>
      <c r="AR13" s="87">
        <v>14558</v>
      </c>
      <c r="AS13" s="86">
        <v>1</v>
      </c>
      <c r="AT13" s="91">
        <v>19368</v>
      </c>
      <c r="AU13" s="86">
        <v>0</v>
      </c>
      <c r="AV13" s="91">
        <v>20677</v>
      </c>
      <c r="AW13" s="94">
        <v>0</v>
      </c>
      <c r="AX13" s="91">
        <v>13871</v>
      </c>
      <c r="AY13" s="94">
        <v>0</v>
      </c>
      <c r="AZ13" s="91">
        <v>6224</v>
      </c>
      <c r="BA13" s="86">
        <v>0</v>
      </c>
      <c r="BB13" s="91">
        <v>26492</v>
      </c>
      <c r="BC13" s="86">
        <v>1</v>
      </c>
      <c r="BD13" s="87">
        <v>1115</v>
      </c>
      <c r="BE13" s="86">
        <v>0</v>
      </c>
      <c r="BF13" s="87">
        <v>4378</v>
      </c>
      <c r="BG13" s="86">
        <v>0</v>
      </c>
      <c r="BH13" s="91">
        <v>3636</v>
      </c>
      <c r="BI13" s="86">
        <v>0</v>
      </c>
      <c r="BJ13" s="94">
        <v>1</v>
      </c>
      <c r="BK13" s="94">
        <v>29</v>
      </c>
      <c r="BL13" s="91">
        <v>601610</v>
      </c>
      <c r="BM13" s="94">
        <v>40</v>
      </c>
      <c r="BN13" s="101">
        <v>727</v>
      </c>
      <c r="BO13" s="86">
        <v>8</v>
      </c>
      <c r="BP13" s="87">
        <v>779570</v>
      </c>
      <c r="BQ13" s="94">
        <v>60</v>
      </c>
      <c r="BR13" s="101">
        <v>7312</v>
      </c>
      <c r="BS13" s="94">
        <v>8</v>
      </c>
      <c r="BT13" s="104">
        <v>30</v>
      </c>
      <c r="BU13" s="94">
        <v>100</v>
      </c>
      <c r="BV13" s="106">
        <v>4</v>
      </c>
      <c r="BW13" s="91">
        <v>124</v>
      </c>
      <c r="BX13" s="107">
        <v>15439.411265508745</v>
      </c>
      <c r="BY13" s="112"/>
      <c r="BZ13" s="109">
        <v>0</v>
      </c>
      <c r="CA13" s="91">
        <v>206585.3</v>
      </c>
      <c r="CB13" s="94">
        <v>5.5999999999767169</v>
      </c>
      <c r="CC13" s="104">
        <v>31.975999999867053</v>
      </c>
      <c r="CD13" s="91">
        <v>30</v>
      </c>
      <c r="CE13" s="113">
        <v>3232.5</v>
      </c>
      <c r="CF13" s="91">
        <v>30</v>
      </c>
      <c r="CG13" s="114">
        <v>3232.5</v>
      </c>
      <c r="CH13" s="91">
        <v>31</v>
      </c>
      <c r="CI13" s="115">
        <v>3340.25</v>
      </c>
      <c r="CJ13" s="116">
        <v>9805.25</v>
      </c>
      <c r="CK13" s="117">
        <v>215.5</v>
      </c>
      <c r="CL13" s="91"/>
      <c r="CM13" s="91">
        <v>34552.5</v>
      </c>
      <c r="CN13" s="94">
        <v>1.8000000000029104</v>
      </c>
      <c r="CO13" s="104">
        <v>4.3920000000071013</v>
      </c>
      <c r="CP13" s="91">
        <v>34300</v>
      </c>
      <c r="CQ13" s="94">
        <v>0</v>
      </c>
      <c r="CR13" s="104">
        <v>0</v>
      </c>
      <c r="CS13" s="91">
        <v>10235.6</v>
      </c>
      <c r="CT13" s="94">
        <v>0</v>
      </c>
      <c r="CU13" s="104">
        <v>0</v>
      </c>
      <c r="CV13" s="91">
        <v>832172.5</v>
      </c>
      <c r="CW13" s="94">
        <v>0</v>
      </c>
      <c r="CX13" s="104">
        <v>0</v>
      </c>
      <c r="CY13" s="91">
        <v>6010.5</v>
      </c>
      <c r="CZ13" s="94">
        <v>2.3000000000001819</v>
      </c>
      <c r="DA13" s="104">
        <v>5.4970000000004351</v>
      </c>
      <c r="DB13" s="91">
        <v>7420</v>
      </c>
      <c r="DC13" s="94">
        <v>0</v>
      </c>
      <c r="DD13" s="94">
        <v>0</v>
      </c>
      <c r="DE13" s="91">
        <v>3840</v>
      </c>
      <c r="DF13" s="94">
        <v>0</v>
      </c>
      <c r="DG13" s="94">
        <v>0</v>
      </c>
      <c r="DH13" s="91">
        <v>1855.9</v>
      </c>
      <c r="DI13" s="94">
        <v>0</v>
      </c>
      <c r="DJ13" s="94">
        <v>0</v>
      </c>
      <c r="DK13" s="91">
        <v>5081.7</v>
      </c>
      <c r="DL13" s="94">
        <v>0</v>
      </c>
      <c r="DM13" s="94">
        <v>0</v>
      </c>
      <c r="DN13" s="91">
        <v>4454.7</v>
      </c>
      <c r="DO13" s="94">
        <v>0</v>
      </c>
      <c r="DP13" s="94">
        <v>0</v>
      </c>
      <c r="DQ13" s="91">
        <v>5089.6000000000004</v>
      </c>
      <c r="DR13" s="94">
        <v>0</v>
      </c>
      <c r="DS13" s="94">
        <v>0</v>
      </c>
      <c r="DT13" s="91">
        <v>5105.1000000000004</v>
      </c>
      <c r="DU13" s="94">
        <v>4.1000000000003638</v>
      </c>
      <c r="DV13" s="104">
        <v>9.7990000000008699</v>
      </c>
      <c r="DW13" s="111">
        <v>12871</v>
      </c>
      <c r="DX13" s="104">
        <v>0</v>
      </c>
      <c r="DY13" s="111">
        <v>62789</v>
      </c>
      <c r="DZ13" s="104">
        <v>0</v>
      </c>
      <c r="EA13" s="122">
        <v>15588</v>
      </c>
      <c r="EB13" s="104">
        <v>0</v>
      </c>
      <c r="EC13" s="122">
        <v>24679</v>
      </c>
      <c r="ED13" s="104">
        <v>0</v>
      </c>
      <c r="EE13" s="122">
        <v>2</v>
      </c>
      <c r="EF13" s="123">
        <v>6</v>
      </c>
      <c r="EG13" s="121">
        <v>1.4999999999999999E-2</v>
      </c>
      <c r="EH13" s="82"/>
      <c r="EI13" s="58"/>
      <c r="EJ13" s="58"/>
      <c r="EK13"/>
      <c r="EL13"/>
      <c r="EM13"/>
    </row>
    <row r="14" spans="1:143" s="20" customFormat="1" ht="15">
      <c r="A14" s="84">
        <v>44327</v>
      </c>
      <c r="B14" s="91">
        <v>6925630</v>
      </c>
      <c r="C14" s="86">
        <f t="shared" si="1"/>
        <v>6486</v>
      </c>
      <c r="D14" s="91">
        <v>6154513</v>
      </c>
      <c r="E14" s="86">
        <f t="shared" si="2"/>
        <v>6165</v>
      </c>
      <c r="F14" s="22">
        <f t="shared" si="3"/>
        <v>0.95050878815911188</v>
      </c>
      <c r="G14" s="87">
        <v>400</v>
      </c>
      <c r="H14" s="87">
        <v>432</v>
      </c>
      <c r="I14" s="88">
        <v>288057</v>
      </c>
      <c r="J14" s="89">
        <f t="shared" si="4"/>
        <v>0</v>
      </c>
      <c r="K14" s="90">
        <v>775</v>
      </c>
      <c r="L14" s="86">
        <v>0</v>
      </c>
      <c r="M14" s="91">
        <v>633950</v>
      </c>
      <c r="N14" s="89">
        <f t="shared" si="6"/>
        <v>0</v>
      </c>
      <c r="O14" s="91">
        <v>992</v>
      </c>
      <c r="P14" s="89">
        <f t="shared" si="7"/>
        <v>0</v>
      </c>
      <c r="Q14" s="91">
        <v>2549529</v>
      </c>
      <c r="R14" s="89">
        <f t="shared" si="0"/>
        <v>183</v>
      </c>
      <c r="S14" s="91">
        <v>2191979</v>
      </c>
      <c r="T14" s="89">
        <f t="shared" si="0"/>
        <v>3</v>
      </c>
      <c r="U14" s="91">
        <v>111299</v>
      </c>
      <c r="V14" s="89">
        <f t="shared" si="0"/>
        <v>55</v>
      </c>
      <c r="W14" s="91">
        <v>100</v>
      </c>
      <c r="X14" s="91">
        <v>152370</v>
      </c>
      <c r="Y14" s="86">
        <v>0</v>
      </c>
      <c r="Z14" s="87">
        <v>39788</v>
      </c>
      <c r="AA14" s="94">
        <v>7</v>
      </c>
      <c r="AB14" s="91">
        <v>1117</v>
      </c>
      <c r="AC14" s="95">
        <v>0</v>
      </c>
      <c r="AD14" s="87">
        <v>4605</v>
      </c>
      <c r="AE14" s="96">
        <v>0</v>
      </c>
      <c r="AF14" s="19"/>
      <c r="AG14" s="19"/>
      <c r="AH14" s="87">
        <v>580390</v>
      </c>
      <c r="AI14" s="89">
        <v>30</v>
      </c>
      <c r="AJ14" s="101">
        <v>480</v>
      </c>
      <c r="AK14" s="86">
        <v>4</v>
      </c>
      <c r="AL14" s="87">
        <v>52274</v>
      </c>
      <c r="AM14" s="100">
        <v>2</v>
      </c>
      <c r="AN14" s="91">
        <v>8917</v>
      </c>
      <c r="AO14" s="86">
        <v>0</v>
      </c>
      <c r="AP14" s="91">
        <v>10571</v>
      </c>
      <c r="AQ14" s="86">
        <v>0</v>
      </c>
      <c r="AR14" s="87">
        <v>14559</v>
      </c>
      <c r="AS14" s="86">
        <v>1</v>
      </c>
      <c r="AT14" s="91">
        <v>19368</v>
      </c>
      <c r="AU14" s="86">
        <v>0</v>
      </c>
      <c r="AV14" s="91">
        <v>20677</v>
      </c>
      <c r="AW14" s="94">
        <v>0</v>
      </c>
      <c r="AX14" s="91">
        <v>13871</v>
      </c>
      <c r="AY14" s="94">
        <v>0</v>
      </c>
      <c r="AZ14" s="91">
        <v>6224</v>
      </c>
      <c r="BA14" s="86">
        <v>0</v>
      </c>
      <c r="BB14" s="91">
        <v>26493</v>
      </c>
      <c r="BC14" s="86">
        <v>1</v>
      </c>
      <c r="BD14" s="87">
        <v>1115</v>
      </c>
      <c r="BE14" s="86">
        <v>0</v>
      </c>
      <c r="BF14" s="87">
        <v>4378</v>
      </c>
      <c r="BG14" s="86">
        <v>0</v>
      </c>
      <c r="BH14" s="91">
        <v>3636</v>
      </c>
      <c r="BI14" s="86">
        <v>0</v>
      </c>
      <c r="BJ14" s="94">
        <v>1</v>
      </c>
      <c r="BK14" s="94">
        <v>29</v>
      </c>
      <c r="BL14" s="91">
        <v>601640</v>
      </c>
      <c r="BM14" s="94">
        <v>30</v>
      </c>
      <c r="BN14" s="101">
        <v>733</v>
      </c>
      <c r="BO14" s="86">
        <v>6</v>
      </c>
      <c r="BP14" s="87">
        <v>779610</v>
      </c>
      <c r="BQ14" s="94">
        <v>40</v>
      </c>
      <c r="BR14" s="101">
        <v>7320</v>
      </c>
      <c r="BS14" s="94">
        <v>8</v>
      </c>
      <c r="BT14" s="104">
        <v>10</v>
      </c>
      <c r="BU14" s="94">
        <v>70</v>
      </c>
      <c r="BV14" s="106">
        <v>3</v>
      </c>
      <c r="BW14" s="91">
        <v>124</v>
      </c>
      <c r="BX14" s="107">
        <v>15439.411265508745</v>
      </c>
      <c r="BY14" s="91"/>
      <c r="BZ14" s="109">
        <v>0</v>
      </c>
      <c r="CA14" s="91">
        <v>206593.4</v>
      </c>
      <c r="CB14" s="94">
        <v>8.1000000000058208</v>
      </c>
      <c r="CC14" s="104">
        <v>46.251000000033237</v>
      </c>
      <c r="CD14" s="91">
        <v>30</v>
      </c>
      <c r="CE14" s="113">
        <v>3232.5</v>
      </c>
      <c r="CF14" s="91">
        <v>30</v>
      </c>
      <c r="CG14" s="114">
        <v>3232.5</v>
      </c>
      <c r="CH14" s="91">
        <v>31</v>
      </c>
      <c r="CI14" s="115">
        <v>3340.25</v>
      </c>
      <c r="CJ14" s="116">
        <v>9805.25</v>
      </c>
      <c r="CK14" s="117">
        <v>0</v>
      </c>
      <c r="CL14" s="91"/>
      <c r="CM14" s="91">
        <v>34555.4</v>
      </c>
      <c r="CN14" s="94">
        <v>2.9000000000014552</v>
      </c>
      <c r="CO14" s="104">
        <v>7.0760000000035506</v>
      </c>
      <c r="CP14" s="91">
        <v>34300</v>
      </c>
      <c r="CQ14" s="94">
        <v>0</v>
      </c>
      <c r="CR14" s="104">
        <v>0</v>
      </c>
      <c r="CS14" s="91">
        <v>10235.6</v>
      </c>
      <c r="CT14" s="94">
        <v>0</v>
      </c>
      <c r="CU14" s="104">
        <v>0</v>
      </c>
      <c r="CV14" s="91">
        <v>832172.5</v>
      </c>
      <c r="CW14" s="94">
        <v>0</v>
      </c>
      <c r="CX14" s="104">
        <v>0</v>
      </c>
      <c r="CY14" s="91">
        <v>6012.4</v>
      </c>
      <c r="CZ14" s="94">
        <v>1.8999999999996362</v>
      </c>
      <c r="DA14" s="104">
        <v>4.5409999999991308</v>
      </c>
      <c r="DB14" s="91">
        <v>7420</v>
      </c>
      <c r="DC14" s="94">
        <v>0</v>
      </c>
      <c r="DD14" s="94">
        <v>0</v>
      </c>
      <c r="DE14" s="91">
        <v>3840</v>
      </c>
      <c r="DF14" s="94">
        <v>0</v>
      </c>
      <c r="DG14" s="94">
        <v>0</v>
      </c>
      <c r="DH14" s="91">
        <v>1855.9</v>
      </c>
      <c r="DI14" s="94">
        <v>0</v>
      </c>
      <c r="DJ14" s="94">
        <v>0</v>
      </c>
      <c r="DK14" s="91">
        <v>5081.7</v>
      </c>
      <c r="DL14" s="94">
        <v>0</v>
      </c>
      <c r="DM14" s="94">
        <v>0</v>
      </c>
      <c r="DN14" s="91">
        <v>4454.7</v>
      </c>
      <c r="DO14" s="94">
        <v>0</v>
      </c>
      <c r="DP14" s="94">
        <v>0</v>
      </c>
      <c r="DQ14" s="91">
        <v>5089.6000000000004</v>
      </c>
      <c r="DR14" s="94">
        <v>0</v>
      </c>
      <c r="DS14" s="94">
        <v>0</v>
      </c>
      <c r="DT14" s="91">
        <v>5109.1000000000004</v>
      </c>
      <c r="DU14" s="94">
        <v>4</v>
      </c>
      <c r="DV14" s="104">
        <v>9.56</v>
      </c>
      <c r="DW14" s="111">
        <v>12871</v>
      </c>
      <c r="DX14" s="104">
        <v>0</v>
      </c>
      <c r="DY14" s="111">
        <v>62789</v>
      </c>
      <c r="DZ14" s="104">
        <v>0</v>
      </c>
      <c r="EA14" s="122">
        <v>15588</v>
      </c>
      <c r="EB14" s="104">
        <v>0</v>
      </c>
      <c r="EC14" s="122">
        <v>24679</v>
      </c>
      <c r="ED14" s="104">
        <v>0</v>
      </c>
      <c r="EE14" s="122">
        <v>2</v>
      </c>
      <c r="EF14" s="123">
        <v>6</v>
      </c>
      <c r="EG14" s="121">
        <v>1.4999999999999999E-2</v>
      </c>
      <c r="EH14" s="82"/>
      <c r="EI14" s="58"/>
      <c r="EJ14" s="58"/>
      <c r="EK14"/>
      <c r="EL14"/>
      <c r="EM14"/>
    </row>
    <row r="15" spans="1:143" s="20" customFormat="1" ht="15">
      <c r="A15" s="84">
        <v>44328</v>
      </c>
      <c r="B15" s="91">
        <v>6932704</v>
      </c>
      <c r="C15" s="86">
        <f t="shared" si="1"/>
        <v>7074</v>
      </c>
      <c r="D15" s="91">
        <v>6161363</v>
      </c>
      <c r="E15" s="86">
        <f t="shared" si="2"/>
        <v>6850</v>
      </c>
      <c r="F15" s="22">
        <f t="shared" si="3"/>
        <v>0.96833474696070121</v>
      </c>
      <c r="G15" s="87">
        <v>400</v>
      </c>
      <c r="H15" s="87">
        <v>432</v>
      </c>
      <c r="I15" s="88">
        <v>288057</v>
      </c>
      <c r="J15" s="89">
        <f t="shared" si="4"/>
        <v>0</v>
      </c>
      <c r="K15" s="90">
        <v>775</v>
      </c>
      <c r="L15" s="86">
        <f t="shared" ref="L15:L26" si="8">IF((K15-K14)&lt;0,"0",(K15-K14))</f>
        <v>0</v>
      </c>
      <c r="M15" s="91">
        <v>633950</v>
      </c>
      <c r="N15" s="89">
        <f t="shared" si="6"/>
        <v>0</v>
      </c>
      <c r="O15" s="91">
        <v>992</v>
      </c>
      <c r="P15" s="89">
        <f t="shared" si="7"/>
        <v>0</v>
      </c>
      <c r="Q15" s="91">
        <v>2549751</v>
      </c>
      <c r="R15" s="89">
        <f t="shared" si="0"/>
        <v>222</v>
      </c>
      <c r="S15" s="91">
        <v>2191981</v>
      </c>
      <c r="T15" s="89">
        <f t="shared" si="0"/>
        <v>2</v>
      </c>
      <c r="U15" s="91">
        <v>111330</v>
      </c>
      <c r="V15" s="89">
        <f t="shared" si="0"/>
        <v>31</v>
      </c>
      <c r="W15" s="91">
        <v>100</v>
      </c>
      <c r="X15" s="91">
        <v>152370</v>
      </c>
      <c r="Y15" s="86">
        <v>0</v>
      </c>
      <c r="Z15" s="87">
        <v>39795</v>
      </c>
      <c r="AA15" s="94">
        <v>7</v>
      </c>
      <c r="AB15" s="91">
        <v>1121</v>
      </c>
      <c r="AC15" s="95">
        <v>4</v>
      </c>
      <c r="AD15" s="91">
        <v>4605</v>
      </c>
      <c r="AE15" s="96">
        <v>0</v>
      </c>
      <c r="AF15" s="19"/>
      <c r="AG15" s="19"/>
      <c r="AH15" s="91">
        <v>580430</v>
      </c>
      <c r="AI15" s="89">
        <v>40</v>
      </c>
      <c r="AJ15" s="101">
        <v>485</v>
      </c>
      <c r="AK15" s="86">
        <v>5</v>
      </c>
      <c r="AL15" s="87">
        <v>52276</v>
      </c>
      <c r="AM15" s="100">
        <v>2</v>
      </c>
      <c r="AN15" s="91">
        <v>8918</v>
      </c>
      <c r="AO15" s="86">
        <v>1</v>
      </c>
      <c r="AP15" s="91">
        <v>10572</v>
      </c>
      <c r="AQ15" s="86">
        <v>1</v>
      </c>
      <c r="AR15" s="87">
        <v>14560</v>
      </c>
      <c r="AS15" s="86">
        <v>1</v>
      </c>
      <c r="AT15" s="91">
        <v>19368</v>
      </c>
      <c r="AU15" s="86">
        <v>0</v>
      </c>
      <c r="AV15" s="91">
        <v>20677</v>
      </c>
      <c r="AW15" s="94">
        <v>0</v>
      </c>
      <c r="AX15" s="91">
        <v>13871</v>
      </c>
      <c r="AY15" s="94">
        <v>0</v>
      </c>
      <c r="AZ15" s="91">
        <v>6224</v>
      </c>
      <c r="BA15" s="86">
        <v>0</v>
      </c>
      <c r="BB15" s="91">
        <v>26494</v>
      </c>
      <c r="BC15" s="86">
        <v>1</v>
      </c>
      <c r="BD15" s="87">
        <v>1115</v>
      </c>
      <c r="BE15" s="86">
        <v>0</v>
      </c>
      <c r="BF15" s="87">
        <v>4378</v>
      </c>
      <c r="BG15" s="86">
        <v>0</v>
      </c>
      <c r="BH15" s="91">
        <v>3636</v>
      </c>
      <c r="BI15" s="86">
        <v>0</v>
      </c>
      <c r="BJ15" s="94">
        <v>1</v>
      </c>
      <c r="BK15" s="94">
        <v>39</v>
      </c>
      <c r="BL15" s="91">
        <v>601660</v>
      </c>
      <c r="BM15" s="94">
        <v>20</v>
      </c>
      <c r="BN15" s="101">
        <v>734</v>
      </c>
      <c r="BO15" s="86">
        <v>1</v>
      </c>
      <c r="BP15" s="87">
        <v>779650</v>
      </c>
      <c r="BQ15" s="94">
        <v>40</v>
      </c>
      <c r="BR15" s="101">
        <v>7320</v>
      </c>
      <c r="BS15" s="94">
        <v>0</v>
      </c>
      <c r="BT15" s="104">
        <v>0</v>
      </c>
      <c r="BU15" s="94">
        <v>60</v>
      </c>
      <c r="BV15" s="106">
        <v>5</v>
      </c>
      <c r="BW15" s="91">
        <v>124</v>
      </c>
      <c r="BX15" s="107">
        <v>15439.411265508745</v>
      </c>
      <c r="BY15" s="91"/>
      <c r="BZ15" s="109">
        <v>0</v>
      </c>
      <c r="CA15" s="91">
        <v>206598.39999999999</v>
      </c>
      <c r="CB15" s="94">
        <v>5</v>
      </c>
      <c r="CC15" s="104">
        <v>28.55</v>
      </c>
      <c r="CD15" s="91">
        <v>30</v>
      </c>
      <c r="CE15" s="113">
        <v>3232.5</v>
      </c>
      <c r="CF15" s="91">
        <v>29</v>
      </c>
      <c r="CG15" s="114">
        <v>3124.75</v>
      </c>
      <c r="CH15" s="91">
        <v>31</v>
      </c>
      <c r="CI15" s="115">
        <v>3340.25</v>
      </c>
      <c r="CJ15" s="116">
        <v>9697.5</v>
      </c>
      <c r="CK15" s="117">
        <v>107.75</v>
      </c>
      <c r="CL15" s="119"/>
      <c r="CM15" s="91">
        <v>34556.400000000001</v>
      </c>
      <c r="CN15" s="94">
        <v>1</v>
      </c>
      <c r="CO15" s="104">
        <v>2.44</v>
      </c>
      <c r="CP15" s="91">
        <v>34300</v>
      </c>
      <c r="CQ15" s="94">
        <v>0</v>
      </c>
      <c r="CR15" s="104">
        <v>0</v>
      </c>
      <c r="CS15" s="91">
        <v>10235.6</v>
      </c>
      <c r="CT15" s="94">
        <v>0</v>
      </c>
      <c r="CU15" s="104">
        <v>0</v>
      </c>
      <c r="CV15" s="91">
        <v>832172.5</v>
      </c>
      <c r="CW15" s="94">
        <v>0</v>
      </c>
      <c r="CX15" s="104">
        <v>0</v>
      </c>
      <c r="CY15" s="91">
        <v>6014.4</v>
      </c>
      <c r="CZ15" s="94">
        <v>2</v>
      </c>
      <c r="DA15" s="104">
        <v>4.78</v>
      </c>
      <c r="DB15" s="91">
        <v>7420</v>
      </c>
      <c r="DC15" s="94">
        <v>0</v>
      </c>
      <c r="DD15" s="94">
        <v>0</v>
      </c>
      <c r="DE15" s="91">
        <v>3842</v>
      </c>
      <c r="DF15" s="94">
        <v>2</v>
      </c>
      <c r="DG15" s="94">
        <v>2</v>
      </c>
      <c r="DH15" s="91">
        <v>1855.9</v>
      </c>
      <c r="DI15" s="94">
        <v>0</v>
      </c>
      <c r="DJ15" s="94">
        <v>0</v>
      </c>
      <c r="DK15" s="91">
        <v>5081.7</v>
      </c>
      <c r="DL15" s="94">
        <v>0</v>
      </c>
      <c r="DM15" s="94">
        <v>0</v>
      </c>
      <c r="DN15" s="91">
        <v>4454.7</v>
      </c>
      <c r="DO15" s="94">
        <v>0</v>
      </c>
      <c r="DP15" s="94">
        <v>0</v>
      </c>
      <c r="DQ15" s="91">
        <v>5089.6000000000004</v>
      </c>
      <c r="DR15" s="94">
        <v>0</v>
      </c>
      <c r="DS15" s="94">
        <v>0</v>
      </c>
      <c r="DT15" s="91">
        <v>5109.1000000000004</v>
      </c>
      <c r="DU15" s="94">
        <v>0</v>
      </c>
      <c r="DV15" s="104">
        <v>0</v>
      </c>
      <c r="DW15" s="111">
        <v>12871</v>
      </c>
      <c r="DX15" s="104">
        <v>0</v>
      </c>
      <c r="DY15" s="111">
        <v>62789</v>
      </c>
      <c r="DZ15" s="104">
        <v>0</v>
      </c>
      <c r="EA15" s="122">
        <v>15588</v>
      </c>
      <c r="EB15" s="104">
        <v>0</v>
      </c>
      <c r="EC15" s="122">
        <v>24679</v>
      </c>
      <c r="ED15" s="104">
        <v>0</v>
      </c>
      <c r="EE15" s="122">
        <v>2</v>
      </c>
      <c r="EF15" s="123">
        <v>6</v>
      </c>
      <c r="EG15" s="121">
        <v>1.4999999999999999E-2</v>
      </c>
      <c r="EH15" s="82"/>
      <c r="EI15" s="58"/>
      <c r="EJ15" s="58"/>
      <c r="EK15"/>
      <c r="EL15"/>
      <c r="EM15"/>
    </row>
    <row r="16" spans="1:143" s="20" customFormat="1" ht="15">
      <c r="A16" s="84">
        <v>44329</v>
      </c>
      <c r="B16" s="91">
        <v>6938904</v>
      </c>
      <c r="C16" s="86">
        <f t="shared" si="1"/>
        <v>6200</v>
      </c>
      <c r="D16" s="91">
        <v>6167302</v>
      </c>
      <c r="E16" s="86">
        <f t="shared" si="2"/>
        <v>5939</v>
      </c>
      <c r="F16" s="22">
        <f t="shared" si="3"/>
        <v>0.9579032258064516</v>
      </c>
      <c r="G16" s="87">
        <v>400</v>
      </c>
      <c r="H16" s="87">
        <v>432</v>
      </c>
      <c r="I16" s="88">
        <v>288057</v>
      </c>
      <c r="J16" s="89">
        <f t="shared" si="4"/>
        <v>0</v>
      </c>
      <c r="K16" s="90">
        <v>775</v>
      </c>
      <c r="L16" s="86">
        <f t="shared" si="8"/>
        <v>0</v>
      </c>
      <c r="M16" s="91">
        <v>633950</v>
      </c>
      <c r="N16" s="89">
        <f t="shared" si="6"/>
        <v>0</v>
      </c>
      <c r="O16" s="91">
        <v>992</v>
      </c>
      <c r="P16" s="89">
        <f t="shared" si="7"/>
        <v>0</v>
      </c>
      <c r="Q16" s="91">
        <v>2549965</v>
      </c>
      <c r="R16" s="89">
        <f t="shared" si="0"/>
        <v>214</v>
      </c>
      <c r="S16" s="91">
        <v>2191984</v>
      </c>
      <c r="T16" s="89">
        <f t="shared" si="0"/>
        <v>3</v>
      </c>
      <c r="U16" s="91">
        <v>111397</v>
      </c>
      <c r="V16" s="89">
        <f t="shared" si="0"/>
        <v>67</v>
      </c>
      <c r="W16" s="91">
        <v>100</v>
      </c>
      <c r="X16" s="91">
        <v>152370</v>
      </c>
      <c r="Y16" s="86">
        <v>0</v>
      </c>
      <c r="Z16" s="87">
        <v>39802</v>
      </c>
      <c r="AA16" s="94">
        <v>7</v>
      </c>
      <c r="AB16" s="91">
        <v>1123</v>
      </c>
      <c r="AC16" s="95">
        <v>2</v>
      </c>
      <c r="AD16" s="91">
        <v>4605</v>
      </c>
      <c r="AE16" s="96">
        <v>0</v>
      </c>
      <c r="AF16" s="19"/>
      <c r="AG16" s="19"/>
      <c r="AH16" s="91">
        <v>580470</v>
      </c>
      <c r="AI16" s="89">
        <v>40</v>
      </c>
      <c r="AJ16" s="102">
        <v>491</v>
      </c>
      <c r="AK16" s="86">
        <v>6</v>
      </c>
      <c r="AL16" s="87">
        <v>52277</v>
      </c>
      <c r="AM16" s="100">
        <v>1</v>
      </c>
      <c r="AN16" s="91">
        <v>8918</v>
      </c>
      <c r="AO16" s="86">
        <v>0</v>
      </c>
      <c r="AP16" s="91">
        <v>10572</v>
      </c>
      <c r="AQ16" s="86">
        <v>0</v>
      </c>
      <c r="AR16" s="87">
        <v>14560</v>
      </c>
      <c r="AS16" s="86">
        <v>0</v>
      </c>
      <c r="AT16" s="91">
        <v>19368</v>
      </c>
      <c r="AU16" s="86">
        <v>0</v>
      </c>
      <c r="AV16" s="91">
        <v>20677</v>
      </c>
      <c r="AW16" s="94">
        <v>0</v>
      </c>
      <c r="AX16" s="91">
        <v>13871</v>
      </c>
      <c r="AY16" s="94">
        <v>0</v>
      </c>
      <c r="AZ16" s="91">
        <v>6224</v>
      </c>
      <c r="BA16" s="86">
        <v>0</v>
      </c>
      <c r="BB16" s="91">
        <v>26495</v>
      </c>
      <c r="BC16" s="86">
        <v>1</v>
      </c>
      <c r="BD16" s="87">
        <v>1115</v>
      </c>
      <c r="BE16" s="86">
        <v>0</v>
      </c>
      <c r="BF16" s="87">
        <v>4378</v>
      </c>
      <c r="BG16" s="86">
        <v>0</v>
      </c>
      <c r="BH16" s="91">
        <v>3636</v>
      </c>
      <c r="BI16" s="86">
        <v>0</v>
      </c>
      <c r="BJ16" s="94">
        <v>0</v>
      </c>
      <c r="BK16" s="94">
        <v>40</v>
      </c>
      <c r="BL16" s="91">
        <v>601680</v>
      </c>
      <c r="BM16" s="94">
        <v>20</v>
      </c>
      <c r="BN16" s="101">
        <v>735</v>
      </c>
      <c r="BO16" s="86">
        <v>1</v>
      </c>
      <c r="BP16" s="91">
        <v>779700</v>
      </c>
      <c r="BQ16" s="94">
        <v>50</v>
      </c>
      <c r="BR16" s="101">
        <v>7325</v>
      </c>
      <c r="BS16" s="94">
        <v>5</v>
      </c>
      <c r="BT16" s="104">
        <v>10</v>
      </c>
      <c r="BU16" s="94">
        <v>70</v>
      </c>
      <c r="BV16" s="106">
        <v>1</v>
      </c>
      <c r="BW16" s="91">
        <v>124</v>
      </c>
      <c r="BX16" s="107">
        <v>15439.411265508745</v>
      </c>
      <c r="BY16" s="91"/>
      <c r="BZ16" s="109">
        <v>0</v>
      </c>
      <c r="CA16" s="91">
        <v>206599.9</v>
      </c>
      <c r="CB16" s="94">
        <v>1.5</v>
      </c>
      <c r="CC16" s="104">
        <v>8.5649999999999995</v>
      </c>
      <c r="CD16" s="91">
        <v>30</v>
      </c>
      <c r="CE16" s="113">
        <v>3232.5</v>
      </c>
      <c r="CF16" s="91">
        <v>29</v>
      </c>
      <c r="CG16" s="114">
        <v>3124.75</v>
      </c>
      <c r="CH16" s="91">
        <v>31</v>
      </c>
      <c r="CI16" s="115">
        <v>3340.25</v>
      </c>
      <c r="CJ16" s="116">
        <v>9697.5</v>
      </c>
      <c r="CK16" s="117">
        <v>0</v>
      </c>
      <c r="CL16" s="91"/>
      <c r="CM16" s="91">
        <v>34557.5</v>
      </c>
      <c r="CN16" s="94">
        <v>1.0999999999985448</v>
      </c>
      <c r="CO16" s="104">
        <v>2.6839999999964492</v>
      </c>
      <c r="CP16" s="91">
        <v>34300</v>
      </c>
      <c r="CQ16" s="94">
        <v>0</v>
      </c>
      <c r="CR16" s="104">
        <v>0</v>
      </c>
      <c r="CS16" s="91">
        <v>10235.6</v>
      </c>
      <c r="CT16" s="94">
        <v>0</v>
      </c>
      <c r="CU16" s="104">
        <v>0</v>
      </c>
      <c r="CV16" s="91">
        <v>832172.5</v>
      </c>
      <c r="CW16" s="94">
        <v>0</v>
      </c>
      <c r="CX16" s="104">
        <v>0</v>
      </c>
      <c r="CY16" s="91">
        <v>6016.3</v>
      </c>
      <c r="CZ16" s="94">
        <v>1.9000000000005457</v>
      </c>
      <c r="DA16" s="104">
        <v>4.5410000000013042</v>
      </c>
      <c r="DB16" s="91">
        <v>7420</v>
      </c>
      <c r="DC16" s="94">
        <v>0</v>
      </c>
      <c r="DD16" s="94">
        <v>0</v>
      </c>
      <c r="DE16" s="91">
        <v>3845</v>
      </c>
      <c r="DF16" s="94">
        <v>3</v>
      </c>
      <c r="DG16" s="94">
        <v>1</v>
      </c>
      <c r="DH16" s="91">
        <v>1855.9</v>
      </c>
      <c r="DI16" s="94">
        <v>0</v>
      </c>
      <c r="DJ16" s="94">
        <v>0</v>
      </c>
      <c r="DK16" s="91">
        <v>5081.7</v>
      </c>
      <c r="DL16" s="94">
        <v>0</v>
      </c>
      <c r="DM16" s="94">
        <v>0</v>
      </c>
      <c r="DN16" s="91">
        <v>4454.7</v>
      </c>
      <c r="DO16" s="94">
        <v>0</v>
      </c>
      <c r="DP16" s="94">
        <v>0</v>
      </c>
      <c r="DQ16" s="91">
        <v>5089.6000000000004</v>
      </c>
      <c r="DR16" s="94">
        <v>0</v>
      </c>
      <c r="DS16" s="94">
        <v>0</v>
      </c>
      <c r="DT16" s="91">
        <v>5109.1000000000004</v>
      </c>
      <c r="DU16" s="94">
        <v>0</v>
      </c>
      <c r="DV16" s="104">
        <v>0</v>
      </c>
      <c r="DW16" s="111">
        <v>12871</v>
      </c>
      <c r="DX16" s="104">
        <v>0</v>
      </c>
      <c r="DY16" s="111">
        <v>62789</v>
      </c>
      <c r="DZ16" s="104">
        <v>0</v>
      </c>
      <c r="EA16" s="122">
        <v>15588</v>
      </c>
      <c r="EB16" s="104">
        <v>0</v>
      </c>
      <c r="EC16" s="122">
        <v>24679</v>
      </c>
      <c r="ED16" s="104">
        <v>0</v>
      </c>
      <c r="EE16" s="122">
        <v>2</v>
      </c>
      <c r="EF16" s="123">
        <v>6</v>
      </c>
      <c r="EG16" s="121">
        <v>1.4999999999999999E-2</v>
      </c>
      <c r="EH16" s="82"/>
      <c r="EI16" s="58"/>
      <c r="EJ16" s="58"/>
      <c r="EK16"/>
      <c r="EL16"/>
      <c r="EM16"/>
    </row>
    <row r="17" spans="1:144" s="24" customFormat="1" ht="15">
      <c r="A17" s="84">
        <v>44330</v>
      </c>
      <c r="B17" s="91">
        <v>6945361</v>
      </c>
      <c r="C17" s="86">
        <f t="shared" si="1"/>
        <v>6457</v>
      </c>
      <c r="D17" s="91">
        <v>6173516</v>
      </c>
      <c r="E17" s="86">
        <f t="shared" si="2"/>
        <v>6214</v>
      </c>
      <c r="F17" s="22">
        <f t="shared" si="3"/>
        <v>0.96236642403592998</v>
      </c>
      <c r="G17" s="87">
        <v>400</v>
      </c>
      <c r="H17" s="87">
        <v>432</v>
      </c>
      <c r="I17" s="88">
        <v>288057</v>
      </c>
      <c r="J17" s="89">
        <f t="shared" si="4"/>
        <v>0</v>
      </c>
      <c r="K17" s="90">
        <v>775</v>
      </c>
      <c r="L17" s="86">
        <f t="shared" si="8"/>
        <v>0</v>
      </c>
      <c r="M17" s="91">
        <v>633950</v>
      </c>
      <c r="N17" s="89">
        <f t="shared" si="6"/>
        <v>0</v>
      </c>
      <c r="O17" s="91">
        <v>992</v>
      </c>
      <c r="P17" s="89">
        <f t="shared" si="7"/>
        <v>0</v>
      </c>
      <c r="Q17" s="91">
        <v>2550082</v>
      </c>
      <c r="R17" s="89">
        <f t="shared" si="0"/>
        <v>117</v>
      </c>
      <c r="S17" s="91">
        <v>2191986</v>
      </c>
      <c r="T17" s="89">
        <f t="shared" si="0"/>
        <v>2</v>
      </c>
      <c r="U17" s="91">
        <v>111430</v>
      </c>
      <c r="V17" s="89">
        <f t="shared" si="0"/>
        <v>33</v>
      </c>
      <c r="W17" s="91">
        <v>100</v>
      </c>
      <c r="X17" s="91">
        <v>152370</v>
      </c>
      <c r="Y17" s="86">
        <v>0</v>
      </c>
      <c r="Z17" s="87">
        <v>39804</v>
      </c>
      <c r="AA17" s="94">
        <v>2</v>
      </c>
      <c r="AB17" s="91">
        <v>1123</v>
      </c>
      <c r="AC17" s="95">
        <v>0</v>
      </c>
      <c r="AD17" s="91">
        <v>4605</v>
      </c>
      <c r="AE17" s="96">
        <v>0</v>
      </c>
      <c r="AF17" s="19"/>
      <c r="AG17" s="19"/>
      <c r="AH17" s="91">
        <v>580475</v>
      </c>
      <c r="AI17" s="89">
        <v>5</v>
      </c>
      <c r="AJ17" s="102">
        <v>491</v>
      </c>
      <c r="AK17" s="86">
        <v>0</v>
      </c>
      <c r="AL17" s="87">
        <v>52277</v>
      </c>
      <c r="AM17" s="100">
        <v>0</v>
      </c>
      <c r="AN17" s="91">
        <v>8919</v>
      </c>
      <c r="AO17" s="86">
        <v>1</v>
      </c>
      <c r="AP17" s="91">
        <v>10572</v>
      </c>
      <c r="AQ17" s="86">
        <v>0</v>
      </c>
      <c r="AR17" s="87">
        <v>14561</v>
      </c>
      <c r="AS17" s="86">
        <v>1</v>
      </c>
      <c r="AT17" s="91">
        <v>19368</v>
      </c>
      <c r="AU17" s="86">
        <v>0</v>
      </c>
      <c r="AV17" s="91">
        <v>20677</v>
      </c>
      <c r="AW17" s="94">
        <v>0</v>
      </c>
      <c r="AX17" s="91">
        <v>13871</v>
      </c>
      <c r="AY17" s="94">
        <v>0</v>
      </c>
      <c r="AZ17" s="91">
        <v>6224</v>
      </c>
      <c r="BA17" s="86">
        <v>0</v>
      </c>
      <c r="BB17" s="91">
        <v>26495</v>
      </c>
      <c r="BC17" s="86">
        <v>0</v>
      </c>
      <c r="BD17" s="87">
        <v>1115</v>
      </c>
      <c r="BE17" s="86">
        <v>0</v>
      </c>
      <c r="BF17" s="87">
        <v>4378</v>
      </c>
      <c r="BG17" s="86">
        <v>0</v>
      </c>
      <c r="BH17" s="91">
        <v>3636</v>
      </c>
      <c r="BI17" s="86">
        <v>0</v>
      </c>
      <c r="BJ17" s="94">
        <v>1</v>
      </c>
      <c r="BK17" s="94">
        <v>4</v>
      </c>
      <c r="BL17" s="91">
        <v>601680</v>
      </c>
      <c r="BM17" s="94">
        <v>0</v>
      </c>
      <c r="BN17" s="101">
        <v>735</v>
      </c>
      <c r="BO17" s="86">
        <v>0</v>
      </c>
      <c r="BP17" s="91">
        <v>779710</v>
      </c>
      <c r="BQ17" s="94">
        <v>10</v>
      </c>
      <c r="BR17" s="101">
        <v>7332</v>
      </c>
      <c r="BS17" s="94">
        <v>7</v>
      </c>
      <c r="BT17" s="104">
        <v>5</v>
      </c>
      <c r="BU17" s="94">
        <v>10</v>
      </c>
      <c r="BV17" s="106">
        <v>2</v>
      </c>
      <c r="BW17" s="91">
        <v>124</v>
      </c>
      <c r="BX17" s="107">
        <v>15439.411265508745</v>
      </c>
      <c r="BY17" s="91"/>
      <c r="BZ17" s="109">
        <v>0</v>
      </c>
      <c r="CA17" s="91">
        <v>206600.1</v>
      </c>
      <c r="CB17" s="94">
        <v>0.20000000001164153</v>
      </c>
      <c r="CC17" s="104">
        <v>1.1420000000664732</v>
      </c>
      <c r="CD17" s="91">
        <v>30</v>
      </c>
      <c r="CE17" s="113">
        <v>3232.5</v>
      </c>
      <c r="CF17" s="91">
        <v>29</v>
      </c>
      <c r="CG17" s="114">
        <v>3124.75</v>
      </c>
      <c r="CH17" s="91">
        <v>31</v>
      </c>
      <c r="CI17" s="115">
        <v>3340.25</v>
      </c>
      <c r="CJ17" s="116">
        <v>9697.5</v>
      </c>
      <c r="CK17" s="117">
        <v>0</v>
      </c>
      <c r="CL17" s="91"/>
      <c r="CM17" s="91">
        <v>34558.1</v>
      </c>
      <c r="CN17" s="94">
        <v>0.59999999999854481</v>
      </c>
      <c r="CO17" s="104">
        <v>1.4639999999964493</v>
      </c>
      <c r="CP17" s="91">
        <v>34300</v>
      </c>
      <c r="CQ17" s="94">
        <v>0</v>
      </c>
      <c r="CR17" s="104">
        <v>0</v>
      </c>
      <c r="CS17" s="91">
        <v>10235.6</v>
      </c>
      <c r="CT17" s="94">
        <v>0</v>
      </c>
      <c r="CU17" s="104">
        <v>0</v>
      </c>
      <c r="CV17" s="91">
        <v>832172.5</v>
      </c>
      <c r="CW17" s="94">
        <v>0</v>
      </c>
      <c r="CX17" s="104">
        <v>0</v>
      </c>
      <c r="CY17" s="91">
        <v>6017</v>
      </c>
      <c r="CZ17" s="94">
        <v>0.6999999999998181</v>
      </c>
      <c r="DA17" s="104">
        <v>1.6729999999995653</v>
      </c>
      <c r="DB17" s="91">
        <v>7420</v>
      </c>
      <c r="DC17" s="94">
        <v>0</v>
      </c>
      <c r="DD17" s="94">
        <v>0</v>
      </c>
      <c r="DE17" s="91">
        <v>3848.7</v>
      </c>
      <c r="DF17" s="94">
        <v>3.6999999999998181</v>
      </c>
      <c r="DG17" s="94">
        <v>0.6999999999998181</v>
      </c>
      <c r="DH17" s="91">
        <v>1855.9</v>
      </c>
      <c r="DI17" s="94">
        <v>0</v>
      </c>
      <c r="DJ17" s="94">
        <v>0</v>
      </c>
      <c r="DK17" s="91">
        <v>5081.7</v>
      </c>
      <c r="DL17" s="94">
        <v>0</v>
      </c>
      <c r="DM17" s="94">
        <v>0</v>
      </c>
      <c r="DN17" s="91">
        <v>4454.7</v>
      </c>
      <c r="DO17" s="94">
        <v>0</v>
      </c>
      <c r="DP17" s="94">
        <v>0</v>
      </c>
      <c r="DQ17" s="91">
        <v>5089.6000000000004</v>
      </c>
      <c r="DR17" s="94">
        <v>0</v>
      </c>
      <c r="DS17" s="94">
        <v>0</v>
      </c>
      <c r="DT17" s="91">
        <v>5109.1000000000004</v>
      </c>
      <c r="DU17" s="94">
        <v>0</v>
      </c>
      <c r="DV17" s="104">
        <v>0</v>
      </c>
      <c r="DW17" s="111">
        <v>12871</v>
      </c>
      <c r="DX17" s="104">
        <v>0</v>
      </c>
      <c r="DY17" s="111">
        <v>62789</v>
      </c>
      <c r="DZ17" s="104">
        <v>0</v>
      </c>
      <c r="EA17" s="122">
        <v>15588</v>
      </c>
      <c r="EB17" s="104">
        <v>0</v>
      </c>
      <c r="EC17" s="122">
        <v>24679</v>
      </c>
      <c r="ED17" s="104">
        <v>0</v>
      </c>
      <c r="EE17" s="122">
        <v>2</v>
      </c>
      <c r="EF17" s="123">
        <v>6</v>
      </c>
      <c r="EG17" s="121">
        <v>1.4999999999999999E-2</v>
      </c>
      <c r="EH17" s="83"/>
      <c r="EI17" s="58"/>
      <c r="EJ17" s="58"/>
      <c r="EK17"/>
      <c r="EL17"/>
      <c r="EM17"/>
    </row>
    <row r="18" spans="1:144" s="20" customFormat="1" ht="15">
      <c r="A18" s="84">
        <v>44331</v>
      </c>
      <c r="B18" s="91">
        <v>6951665</v>
      </c>
      <c r="C18" s="86">
        <f t="shared" si="1"/>
        <v>6304</v>
      </c>
      <c r="D18" s="91">
        <v>6179601</v>
      </c>
      <c r="E18" s="86">
        <f t="shared" si="2"/>
        <v>6085</v>
      </c>
      <c r="F18" s="22">
        <f t="shared" si="3"/>
        <v>0.96526015228426398</v>
      </c>
      <c r="G18" s="87">
        <v>400</v>
      </c>
      <c r="H18" s="87">
        <v>432</v>
      </c>
      <c r="I18" s="88">
        <v>288057</v>
      </c>
      <c r="J18" s="89">
        <f t="shared" si="4"/>
        <v>0</v>
      </c>
      <c r="K18" s="90">
        <v>775</v>
      </c>
      <c r="L18" s="86">
        <f t="shared" si="8"/>
        <v>0</v>
      </c>
      <c r="M18" s="91">
        <v>633950</v>
      </c>
      <c r="N18" s="89">
        <f t="shared" si="6"/>
        <v>0</v>
      </c>
      <c r="O18" s="91">
        <v>992</v>
      </c>
      <c r="P18" s="89">
        <f t="shared" si="7"/>
        <v>0</v>
      </c>
      <c r="Q18" s="91">
        <v>2550227</v>
      </c>
      <c r="R18" s="89">
        <f t="shared" si="0"/>
        <v>145</v>
      </c>
      <c r="S18" s="91">
        <v>2191989</v>
      </c>
      <c r="T18" s="89">
        <f t="shared" si="0"/>
        <v>3</v>
      </c>
      <c r="U18" s="91">
        <v>111485</v>
      </c>
      <c r="V18" s="89">
        <f t="shared" si="0"/>
        <v>55</v>
      </c>
      <c r="W18" s="91">
        <v>100</v>
      </c>
      <c r="X18" s="91">
        <v>152370</v>
      </c>
      <c r="Y18" s="86">
        <v>0</v>
      </c>
      <c r="Z18" s="87">
        <v>39810</v>
      </c>
      <c r="AA18" s="94">
        <v>6</v>
      </c>
      <c r="AB18" s="91">
        <v>1124</v>
      </c>
      <c r="AC18" s="95">
        <v>0</v>
      </c>
      <c r="AD18" s="91">
        <v>4605</v>
      </c>
      <c r="AE18" s="96">
        <v>0</v>
      </c>
      <c r="AF18" s="19"/>
      <c r="AG18" s="19"/>
      <c r="AH18" s="91">
        <v>580510</v>
      </c>
      <c r="AI18" s="89">
        <v>35</v>
      </c>
      <c r="AJ18" s="102">
        <v>495</v>
      </c>
      <c r="AK18" s="86">
        <v>4</v>
      </c>
      <c r="AL18" s="87">
        <v>52278</v>
      </c>
      <c r="AM18" s="100">
        <v>1</v>
      </c>
      <c r="AN18" s="91">
        <v>8919</v>
      </c>
      <c r="AO18" s="86">
        <v>0</v>
      </c>
      <c r="AP18" s="91">
        <v>10572</v>
      </c>
      <c r="AQ18" s="86">
        <v>0</v>
      </c>
      <c r="AR18" s="87">
        <v>14562</v>
      </c>
      <c r="AS18" s="86">
        <v>1</v>
      </c>
      <c r="AT18" s="91">
        <v>19368</v>
      </c>
      <c r="AU18" s="86">
        <v>0</v>
      </c>
      <c r="AV18" s="91">
        <v>20677</v>
      </c>
      <c r="AW18" s="94">
        <v>0</v>
      </c>
      <c r="AX18" s="91">
        <v>13871</v>
      </c>
      <c r="AY18" s="94">
        <v>0</v>
      </c>
      <c r="AZ18" s="91">
        <v>6224</v>
      </c>
      <c r="BA18" s="86">
        <v>0</v>
      </c>
      <c r="BB18" s="91">
        <v>26495</v>
      </c>
      <c r="BC18" s="86"/>
      <c r="BD18" s="87">
        <v>1115</v>
      </c>
      <c r="BE18" s="86">
        <v>0</v>
      </c>
      <c r="BF18" s="87">
        <v>4378</v>
      </c>
      <c r="BG18" s="86">
        <v>0</v>
      </c>
      <c r="BH18" s="91">
        <v>3636</v>
      </c>
      <c r="BI18" s="86">
        <v>0</v>
      </c>
      <c r="BJ18" s="94">
        <v>1</v>
      </c>
      <c r="BK18" s="94">
        <v>34</v>
      </c>
      <c r="BL18" s="91">
        <v>601700</v>
      </c>
      <c r="BM18" s="94">
        <v>20</v>
      </c>
      <c r="BN18" s="101">
        <v>737</v>
      </c>
      <c r="BO18" s="86">
        <v>2</v>
      </c>
      <c r="BP18" s="91">
        <v>779760</v>
      </c>
      <c r="BQ18" s="94">
        <v>50</v>
      </c>
      <c r="BR18" s="101">
        <v>7337</v>
      </c>
      <c r="BS18" s="94">
        <v>5</v>
      </c>
      <c r="BT18" s="104">
        <v>15</v>
      </c>
      <c r="BU18" s="94">
        <v>70</v>
      </c>
      <c r="BV18" s="106">
        <v>2</v>
      </c>
      <c r="BW18" s="91">
        <v>124</v>
      </c>
      <c r="BX18" s="107">
        <v>15439.411265508745</v>
      </c>
      <c r="BY18" s="91"/>
      <c r="BZ18" s="109">
        <v>0</v>
      </c>
      <c r="CA18" s="91">
        <v>206601.7</v>
      </c>
      <c r="CB18" s="94">
        <v>1.6000000000058208</v>
      </c>
      <c r="CC18" s="104">
        <v>9.1360000000332366</v>
      </c>
      <c r="CD18" s="91">
        <v>30</v>
      </c>
      <c r="CE18" s="113">
        <v>3232.5</v>
      </c>
      <c r="CF18" s="91">
        <v>29</v>
      </c>
      <c r="CG18" s="114">
        <v>3124.75</v>
      </c>
      <c r="CH18" s="91">
        <v>31</v>
      </c>
      <c r="CI18" s="115">
        <v>3340.25</v>
      </c>
      <c r="CJ18" s="116">
        <v>9697.5</v>
      </c>
      <c r="CK18" s="117">
        <v>0</v>
      </c>
      <c r="CL18" s="91"/>
      <c r="CM18" s="91">
        <v>34559.9</v>
      </c>
      <c r="CN18" s="94">
        <v>1.8000000000029104</v>
      </c>
      <c r="CO18" s="104">
        <v>4.3920000000071013</v>
      </c>
      <c r="CP18" s="91">
        <v>34300</v>
      </c>
      <c r="CQ18" s="94">
        <v>0</v>
      </c>
      <c r="CR18" s="104">
        <v>0</v>
      </c>
      <c r="CS18" s="91">
        <v>10235.6</v>
      </c>
      <c r="CT18" s="94">
        <v>0</v>
      </c>
      <c r="CU18" s="104">
        <v>0</v>
      </c>
      <c r="CV18" s="91">
        <v>832172.5</v>
      </c>
      <c r="CW18" s="94">
        <v>0</v>
      </c>
      <c r="CX18" s="104">
        <v>0</v>
      </c>
      <c r="CY18" s="91">
        <v>6018</v>
      </c>
      <c r="CZ18" s="94">
        <v>1</v>
      </c>
      <c r="DA18" s="104">
        <v>2.39</v>
      </c>
      <c r="DB18" s="91">
        <v>7420</v>
      </c>
      <c r="DC18" s="94">
        <v>0</v>
      </c>
      <c r="DD18" s="94">
        <v>0</v>
      </c>
      <c r="DE18" s="91">
        <v>3850.2</v>
      </c>
      <c r="DF18" s="94">
        <v>1.5</v>
      </c>
      <c r="DG18" s="94" t="s">
        <v>127</v>
      </c>
      <c r="DH18" s="91">
        <v>1855.9</v>
      </c>
      <c r="DI18" s="94">
        <v>0</v>
      </c>
      <c r="DJ18" s="94">
        <v>0</v>
      </c>
      <c r="DK18" s="91">
        <v>5081.7</v>
      </c>
      <c r="DL18" s="94">
        <v>0</v>
      </c>
      <c r="DM18" s="94">
        <v>0</v>
      </c>
      <c r="DN18" s="91">
        <v>4454.7</v>
      </c>
      <c r="DO18" s="94">
        <v>0</v>
      </c>
      <c r="DP18" s="94">
        <v>0</v>
      </c>
      <c r="DQ18" s="91">
        <v>5089.6000000000004</v>
      </c>
      <c r="DR18" s="94">
        <v>0</v>
      </c>
      <c r="DS18" s="94">
        <v>0</v>
      </c>
      <c r="DT18" s="91">
        <v>5109.1000000000004</v>
      </c>
      <c r="DU18" s="94">
        <v>0</v>
      </c>
      <c r="DV18" s="104">
        <v>0</v>
      </c>
      <c r="DW18" s="111">
        <v>12871</v>
      </c>
      <c r="DX18" s="104">
        <v>0</v>
      </c>
      <c r="DY18" s="111">
        <v>62789</v>
      </c>
      <c r="DZ18" s="104">
        <v>0</v>
      </c>
      <c r="EA18" s="122">
        <v>15588</v>
      </c>
      <c r="EB18" s="104">
        <v>0</v>
      </c>
      <c r="EC18" s="122">
        <v>24679</v>
      </c>
      <c r="ED18" s="104">
        <v>0</v>
      </c>
      <c r="EE18" s="122">
        <v>2</v>
      </c>
      <c r="EF18" s="123">
        <v>6</v>
      </c>
      <c r="EG18" s="121">
        <v>1.4999999999999999E-2</v>
      </c>
      <c r="EH18" s="82"/>
      <c r="EI18" s="58"/>
      <c r="EJ18" s="58"/>
      <c r="EK18"/>
      <c r="EL18"/>
      <c r="EM18"/>
      <c r="EN18"/>
    </row>
    <row r="19" spans="1:144" s="20" customFormat="1" ht="15">
      <c r="A19" s="84">
        <v>570</v>
      </c>
      <c r="B19" s="91">
        <v>6957603</v>
      </c>
      <c r="C19" s="86">
        <f t="shared" si="1"/>
        <v>5938</v>
      </c>
      <c r="D19" s="91">
        <v>6185324</v>
      </c>
      <c r="E19" s="86">
        <f t="shared" si="2"/>
        <v>5723</v>
      </c>
      <c r="F19" s="22">
        <f t="shared" si="3"/>
        <v>0.96379252273492755</v>
      </c>
      <c r="G19" s="87">
        <v>400</v>
      </c>
      <c r="H19" s="87">
        <v>432</v>
      </c>
      <c r="I19" s="88">
        <v>288057</v>
      </c>
      <c r="J19" s="89">
        <f t="shared" si="4"/>
        <v>0</v>
      </c>
      <c r="K19" s="90">
        <v>775</v>
      </c>
      <c r="L19" s="86">
        <f t="shared" si="8"/>
        <v>0</v>
      </c>
      <c r="M19" s="91">
        <v>633950</v>
      </c>
      <c r="N19" s="89">
        <f t="shared" si="6"/>
        <v>0</v>
      </c>
      <c r="O19" s="91">
        <v>992</v>
      </c>
      <c r="P19" s="89">
        <f t="shared" si="7"/>
        <v>0</v>
      </c>
      <c r="Q19" s="91">
        <v>2550291</v>
      </c>
      <c r="R19" s="89">
        <f t="shared" ref="R19:R28" si="9">(Q19-Q18)</f>
        <v>64</v>
      </c>
      <c r="S19" s="91">
        <v>2191992</v>
      </c>
      <c r="T19" s="89">
        <f t="shared" ref="T19:T28" si="10">(S19-S18)</f>
        <v>3</v>
      </c>
      <c r="U19" s="91">
        <v>111570</v>
      </c>
      <c r="V19" s="89">
        <f t="shared" ref="V19:V28" si="11">(U19-U18)</f>
        <v>85</v>
      </c>
      <c r="W19" s="91">
        <v>88</v>
      </c>
      <c r="X19" s="91">
        <v>152370</v>
      </c>
      <c r="Y19" s="86">
        <v>0</v>
      </c>
      <c r="Z19" s="87">
        <v>39816</v>
      </c>
      <c r="AA19" s="94">
        <v>6</v>
      </c>
      <c r="AB19" s="91">
        <v>1125</v>
      </c>
      <c r="AC19" s="95">
        <v>1</v>
      </c>
      <c r="AD19" s="91">
        <v>4605</v>
      </c>
      <c r="AE19" s="96">
        <v>0</v>
      </c>
      <c r="AF19" s="19"/>
      <c r="AG19" s="19"/>
      <c r="AH19" s="91">
        <v>580550</v>
      </c>
      <c r="AI19" s="89">
        <v>40</v>
      </c>
      <c r="AJ19" s="103">
        <v>501</v>
      </c>
      <c r="AK19" s="86">
        <v>6</v>
      </c>
      <c r="AL19" s="91">
        <v>52279</v>
      </c>
      <c r="AM19" s="100">
        <v>1</v>
      </c>
      <c r="AN19" s="91">
        <v>8919</v>
      </c>
      <c r="AO19" s="86">
        <v>0</v>
      </c>
      <c r="AP19" s="91">
        <v>10572</v>
      </c>
      <c r="AQ19" s="86">
        <v>0</v>
      </c>
      <c r="AR19" s="87">
        <v>14570</v>
      </c>
      <c r="AS19" s="86">
        <v>8</v>
      </c>
      <c r="AT19" s="91">
        <v>19368</v>
      </c>
      <c r="AU19" s="86">
        <v>0</v>
      </c>
      <c r="AV19" s="91">
        <v>20677</v>
      </c>
      <c r="AW19" s="94">
        <v>0</v>
      </c>
      <c r="AX19" s="91">
        <v>13871</v>
      </c>
      <c r="AY19" s="94">
        <v>0</v>
      </c>
      <c r="AZ19" s="91">
        <v>6224</v>
      </c>
      <c r="BA19" s="86">
        <v>0</v>
      </c>
      <c r="BB19" s="91">
        <v>26496</v>
      </c>
      <c r="BC19" s="86">
        <v>1</v>
      </c>
      <c r="BD19" s="91">
        <v>1115</v>
      </c>
      <c r="BE19" s="86">
        <v>0</v>
      </c>
      <c r="BF19" s="91">
        <v>4378</v>
      </c>
      <c r="BG19" s="86">
        <v>0</v>
      </c>
      <c r="BH19" s="91">
        <v>3636</v>
      </c>
      <c r="BI19" s="86">
        <v>0</v>
      </c>
      <c r="BJ19" s="94">
        <v>8</v>
      </c>
      <c r="BK19" s="94">
        <v>32</v>
      </c>
      <c r="BL19" s="91">
        <v>601700</v>
      </c>
      <c r="BM19" s="94">
        <v>0</v>
      </c>
      <c r="BN19" s="101">
        <v>737</v>
      </c>
      <c r="BO19" s="86">
        <v>0</v>
      </c>
      <c r="BP19" s="91">
        <v>779810</v>
      </c>
      <c r="BQ19" s="94">
        <v>50</v>
      </c>
      <c r="BR19" s="101">
        <v>7341</v>
      </c>
      <c r="BS19" s="94">
        <v>4</v>
      </c>
      <c r="BT19" s="104">
        <v>10</v>
      </c>
      <c r="BU19" s="94">
        <v>50</v>
      </c>
      <c r="BV19" s="106">
        <v>9</v>
      </c>
      <c r="BW19" s="91">
        <v>124</v>
      </c>
      <c r="BX19" s="107">
        <v>15439.411265508745</v>
      </c>
      <c r="BY19" s="91"/>
      <c r="BZ19" s="109">
        <v>0</v>
      </c>
      <c r="CA19" s="91">
        <v>206605.3</v>
      </c>
      <c r="CB19" s="94">
        <v>3.5999999999767169</v>
      </c>
      <c r="CC19" s="104">
        <v>20.555999999867055</v>
      </c>
      <c r="CD19" s="91">
        <v>30</v>
      </c>
      <c r="CE19" s="113">
        <v>3232.5</v>
      </c>
      <c r="CF19" s="91">
        <v>29</v>
      </c>
      <c r="CG19" s="114">
        <v>3124.75</v>
      </c>
      <c r="CH19" s="91">
        <v>31</v>
      </c>
      <c r="CI19" s="115">
        <v>3340.25</v>
      </c>
      <c r="CJ19" s="116">
        <v>9697.5</v>
      </c>
      <c r="CK19" s="117">
        <v>0</v>
      </c>
      <c r="CL19" s="91"/>
      <c r="CM19" s="91">
        <v>34560.699999999997</v>
      </c>
      <c r="CN19" s="94">
        <v>0.79999999999563443</v>
      </c>
      <c r="CO19" s="104">
        <v>1.951999999989348</v>
      </c>
      <c r="CP19" s="91">
        <v>34300</v>
      </c>
      <c r="CQ19" s="94">
        <v>0</v>
      </c>
      <c r="CR19" s="104">
        <v>0</v>
      </c>
      <c r="CS19" s="91">
        <v>10235.6</v>
      </c>
      <c r="CT19" s="94">
        <v>0</v>
      </c>
      <c r="CU19" s="104">
        <v>0</v>
      </c>
      <c r="CV19" s="91">
        <v>832172.5</v>
      </c>
      <c r="CW19" s="94">
        <v>0</v>
      </c>
      <c r="CX19" s="104">
        <v>0</v>
      </c>
      <c r="CY19" s="91">
        <v>6019.2</v>
      </c>
      <c r="CZ19" s="94">
        <v>1.1999999999998181</v>
      </c>
      <c r="DA19" s="104">
        <v>2.8679999999995656</v>
      </c>
      <c r="DB19" s="91">
        <v>7420</v>
      </c>
      <c r="DC19" s="94">
        <v>0</v>
      </c>
      <c r="DD19" s="94">
        <v>0</v>
      </c>
      <c r="DE19" s="91">
        <v>3854.9</v>
      </c>
      <c r="DF19" s="94">
        <v>4.7000000000002728</v>
      </c>
      <c r="DG19" s="94">
        <v>3.2000000000002728</v>
      </c>
      <c r="DH19" s="91">
        <v>1855.9</v>
      </c>
      <c r="DI19" s="94">
        <v>0</v>
      </c>
      <c r="DJ19" s="94">
        <v>0</v>
      </c>
      <c r="DK19" s="91">
        <v>5081.7</v>
      </c>
      <c r="DL19" s="94">
        <v>0</v>
      </c>
      <c r="DM19" s="94">
        <v>0</v>
      </c>
      <c r="DN19" s="91">
        <v>4454.7</v>
      </c>
      <c r="DO19" s="94">
        <v>0</v>
      </c>
      <c r="DP19" s="94">
        <v>0</v>
      </c>
      <c r="DQ19" s="91">
        <v>5089.6000000000004</v>
      </c>
      <c r="DR19" s="94">
        <v>0</v>
      </c>
      <c r="DS19" s="94">
        <v>0</v>
      </c>
      <c r="DT19" s="91">
        <v>5109.1000000000004</v>
      </c>
      <c r="DU19" s="94">
        <v>0</v>
      </c>
      <c r="DV19" s="104">
        <v>0</v>
      </c>
      <c r="DW19" s="111">
        <v>12871</v>
      </c>
      <c r="DX19" s="104">
        <v>0</v>
      </c>
      <c r="DY19" s="111">
        <v>62789</v>
      </c>
      <c r="DZ19" s="104">
        <v>0</v>
      </c>
      <c r="EA19" s="122">
        <v>15588</v>
      </c>
      <c r="EB19" s="104">
        <v>0</v>
      </c>
      <c r="EC19" s="122">
        <v>24679</v>
      </c>
      <c r="ED19" s="104">
        <v>0</v>
      </c>
      <c r="EE19" s="122">
        <v>2</v>
      </c>
      <c r="EF19" s="123">
        <v>6</v>
      </c>
      <c r="EG19" s="121">
        <v>1.4999999999999999E-2</v>
      </c>
      <c r="EH19" s="82"/>
      <c r="EI19" s="58"/>
      <c r="EJ19" s="58"/>
      <c r="EK19"/>
      <c r="EL19"/>
      <c r="EM19"/>
    </row>
    <row r="20" spans="1:144" s="20" customFormat="1" ht="15">
      <c r="A20" s="84">
        <v>44333</v>
      </c>
      <c r="B20" s="91">
        <v>6964028</v>
      </c>
      <c r="C20" s="86">
        <f t="shared" si="1"/>
        <v>6425</v>
      </c>
      <c r="D20" s="91">
        <v>6191520</v>
      </c>
      <c r="E20" s="86">
        <f t="shared" si="2"/>
        <v>6196</v>
      </c>
      <c r="F20" s="22">
        <f t="shared" si="3"/>
        <v>0.96435797665369649</v>
      </c>
      <c r="G20" s="87">
        <v>400</v>
      </c>
      <c r="H20" s="87">
        <v>432</v>
      </c>
      <c r="I20" s="88">
        <v>288057</v>
      </c>
      <c r="J20" s="89">
        <f t="shared" si="4"/>
        <v>0</v>
      </c>
      <c r="K20" s="90">
        <v>775</v>
      </c>
      <c r="L20" s="86">
        <f t="shared" si="8"/>
        <v>0</v>
      </c>
      <c r="M20" s="91">
        <v>633950</v>
      </c>
      <c r="N20" s="89">
        <f t="shared" si="6"/>
        <v>0</v>
      </c>
      <c r="O20" s="91">
        <v>992</v>
      </c>
      <c r="P20" s="89">
        <f t="shared" si="7"/>
        <v>0</v>
      </c>
      <c r="Q20" s="91">
        <v>2550443</v>
      </c>
      <c r="R20" s="89">
        <f t="shared" si="9"/>
        <v>152</v>
      </c>
      <c r="S20" s="91">
        <v>2191996</v>
      </c>
      <c r="T20" s="89">
        <f t="shared" si="10"/>
        <v>4</v>
      </c>
      <c r="U20" s="91">
        <v>111697</v>
      </c>
      <c r="V20" s="89">
        <f t="shared" si="11"/>
        <v>127</v>
      </c>
      <c r="W20" s="91">
        <v>100</v>
      </c>
      <c r="X20" s="91">
        <v>152370</v>
      </c>
      <c r="Y20" s="86">
        <v>0</v>
      </c>
      <c r="Z20" s="87">
        <v>39823</v>
      </c>
      <c r="AA20" s="94">
        <v>7</v>
      </c>
      <c r="AB20" s="91">
        <v>1125</v>
      </c>
      <c r="AC20" s="95">
        <v>0</v>
      </c>
      <c r="AD20" s="91">
        <v>4605</v>
      </c>
      <c r="AE20" s="96">
        <v>0</v>
      </c>
      <c r="AF20" s="19"/>
      <c r="AG20" s="19"/>
      <c r="AH20" s="91">
        <v>580600</v>
      </c>
      <c r="AI20" s="89">
        <v>50</v>
      </c>
      <c r="AJ20" s="103">
        <v>508</v>
      </c>
      <c r="AK20" s="86">
        <v>7</v>
      </c>
      <c r="AL20" s="91">
        <v>52280</v>
      </c>
      <c r="AM20" s="100">
        <v>1</v>
      </c>
      <c r="AN20" s="91">
        <v>8919</v>
      </c>
      <c r="AO20" s="86">
        <v>0</v>
      </c>
      <c r="AP20" s="91">
        <v>10572</v>
      </c>
      <c r="AQ20" s="86">
        <v>0</v>
      </c>
      <c r="AR20" s="91">
        <v>14570</v>
      </c>
      <c r="AS20" s="86">
        <v>0</v>
      </c>
      <c r="AT20" s="91">
        <v>19368</v>
      </c>
      <c r="AU20" s="86">
        <v>0</v>
      </c>
      <c r="AV20" s="91">
        <v>20677</v>
      </c>
      <c r="AW20" s="94">
        <v>0</v>
      </c>
      <c r="AX20" s="91">
        <v>13871</v>
      </c>
      <c r="AY20" s="94">
        <v>0</v>
      </c>
      <c r="AZ20" s="91">
        <v>6224</v>
      </c>
      <c r="BA20" s="86">
        <v>0</v>
      </c>
      <c r="BB20" s="91">
        <v>26496</v>
      </c>
      <c r="BC20" s="86">
        <v>0</v>
      </c>
      <c r="BD20" s="91">
        <v>1115</v>
      </c>
      <c r="BE20" s="86">
        <v>0</v>
      </c>
      <c r="BF20" s="91">
        <v>4378</v>
      </c>
      <c r="BG20" s="86">
        <v>0</v>
      </c>
      <c r="BH20" s="91">
        <v>3636</v>
      </c>
      <c r="BI20" s="86">
        <v>0</v>
      </c>
      <c r="BJ20" s="94">
        <v>0</v>
      </c>
      <c r="BK20" s="94">
        <v>50</v>
      </c>
      <c r="BL20" s="91">
        <v>601720</v>
      </c>
      <c r="BM20" s="94">
        <v>20</v>
      </c>
      <c r="BN20" s="101">
        <v>738</v>
      </c>
      <c r="BO20" s="86">
        <v>1</v>
      </c>
      <c r="BP20" s="91">
        <v>779860</v>
      </c>
      <c r="BQ20" s="94">
        <v>50</v>
      </c>
      <c r="BR20" s="105">
        <v>7346</v>
      </c>
      <c r="BS20" s="94">
        <v>5</v>
      </c>
      <c r="BT20" s="104">
        <v>0</v>
      </c>
      <c r="BU20" s="94">
        <v>70</v>
      </c>
      <c r="BV20" s="106">
        <v>1</v>
      </c>
      <c r="BW20" s="91">
        <v>124</v>
      </c>
      <c r="BX20" s="107">
        <v>15439.411265508745</v>
      </c>
      <c r="BY20" s="112"/>
      <c r="BZ20" s="109">
        <v>0</v>
      </c>
      <c r="CA20" s="91">
        <v>206608</v>
      </c>
      <c r="CB20" s="94">
        <v>2.7000000000116415</v>
      </c>
      <c r="CC20" s="104">
        <v>15.417000000066473</v>
      </c>
      <c r="CD20" s="91">
        <v>30</v>
      </c>
      <c r="CE20" s="113">
        <v>3232.5</v>
      </c>
      <c r="CF20" s="91">
        <v>28</v>
      </c>
      <c r="CG20" s="114">
        <v>3017</v>
      </c>
      <c r="CH20" s="91">
        <v>31</v>
      </c>
      <c r="CI20" s="115">
        <v>3340.25</v>
      </c>
      <c r="CJ20" s="116">
        <v>9589.75</v>
      </c>
      <c r="CK20" s="117">
        <v>107.75</v>
      </c>
      <c r="CL20" s="91"/>
      <c r="CM20" s="91">
        <v>34561.9</v>
      </c>
      <c r="CN20" s="94">
        <v>1.2000000000043656</v>
      </c>
      <c r="CO20" s="104">
        <v>2.9280000000106519</v>
      </c>
      <c r="CP20" s="91">
        <v>34300</v>
      </c>
      <c r="CQ20" s="94">
        <v>0</v>
      </c>
      <c r="CR20" s="104">
        <v>0</v>
      </c>
      <c r="CS20" s="91">
        <v>10235.6</v>
      </c>
      <c r="CT20" s="94">
        <v>0</v>
      </c>
      <c r="CU20" s="104">
        <v>0</v>
      </c>
      <c r="CV20" s="91">
        <v>832172.5</v>
      </c>
      <c r="CW20" s="94">
        <v>0</v>
      </c>
      <c r="CX20" s="104">
        <v>0</v>
      </c>
      <c r="CY20" s="91">
        <v>6020.7</v>
      </c>
      <c r="CZ20" s="94">
        <v>1.5</v>
      </c>
      <c r="DA20" s="104">
        <v>3.585</v>
      </c>
      <c r="DB20" s="91">
        <v>7420</v>
      </c>
      <c r="DC20" s="94">
        <v>0</v>
      </c>
      <c r="DD20" s="94">
        <v>0</v>
      </c>
      <c r="DE20" s="91">
        <v>3859.9</v>
      </c>
      <c r="DF20" s="94">
        <v>5</v>
      </c>
      <c r="DG20" s="94">
        <v>0.29999999999972715</v>
      </c>
      <c r="DH20" s="91">
        <v>1855.9</v>
      </c>
      <c r="DI20" s="94">
        <v>0</v>
      </c>
      <c r="DJ20" s="94">
        <v>0</v>
      </c>
      <c r="DK20" s="91">
        <v>5081.7</v>
      </c>
      <c r="DL20" s="94">
        <v>0</v>
      </c>
      <c r="DM20" s="94">
        <v>0</v>
      </c>
      <c r="DN20" s="91">
        <v>4454.7</v>
      </c>
      <c r="DO20" s="94">
        <v>0</v>
      </c>
      <c r="DP20" s="94">
        <v>0</v>
      </c>
      <c r="DQ20" s="91">
        <v>5089.6000000000004</v>
      </c>
      <c r="DR20" s="94">
        <v>0</v>
      </c>
      <c r="DS20" s="94">
        <v>0</v>
      </c>
      <c r="DT20" s="91">
        <v>5109.1000000000004</v>
      </c>
      <c r="DU20" s="94">
        <v>0</v>
      </c>
      <c r="DV20" s="104">
        <v>0</v>
      </c>
      <c r="DW20" s="111">
        <v>12871</v>
      </c>
      <c r="DX20" s="104">
        <v>0</v>
      </c>
      <c r="DY20" s="111">
        <v>62789</v>
      </c>
      <c r="DZ20" s="104">
        <v>0</v>
      </c>
      <c r="EA20" s="122">
        <v>15588</v>
      </c>
      <c r="EB20" s="104">
        <v>0</v>
      </c>
      <c r="EC20" s="122">
        <v>24679</v>
      </c>
      <c r="ED20" s="104">
        <v>0</v>
      </c>
      <c r="EE20" s="122">
        <v>2</v>
      </c>
      <c r="EF20" s="123">
        <v>6</v>
      </c>
      <c r="EG20" s="121">
        <v>1.4999999999999999E-2</v>
      </c>
      <c r="EH20" s="82"/>
      <c r="EI20" s="58"/>
      <c r="EJ20" s="58"/>
      <c r="EK20"/>
      <c r="EL20"/>
      <c r="EM20"/>
    </row>
    <row r="21" spans="1:144" s="20" customFormat="1" ht="15">
      <c r="A21" s="84">
        <v>44334</v>
      </c>
      <c r="B21" s="91">
        <v>6971038</v>
      </c>
      <c r="C21" s="86">
        <f t="shared" si="1"/>
        <v>7010</v>
      </c>
      <c r="D21" s="91">
        <v>6198257</v>
      </c>
      <c r="E21" s="86">
        <f t="shared" si="2"/>
        <v>6737</v>
      </c>
      <c r="F21" s="22">
        <f t="shared" si="3"/>
        <v>0.96105563480741796</v>
      </c>
      <c r="G21" s="87">
        <v>400</v>
      </c>
      <c r="H21" s="87">
        <v>432</v>
      </c>
      <c r="I21" s="88">
        <v>288057</v>
      </c>
      <c r="J21" s="89">
        <f t="shared" si="4"/>
        <v>0</v>
      </c>
      <c r="K21" s="90">
        <v>775</v>
      </c>
      <c r="L21" s="86">
        <f t="shared" si="8"/>
        <v>0</v>
      </c>
      <c r="M21" s="91">
        <v>633950</v>
      </c>
      <c r="N21" s="89">
        <f t="shared" si="6"/>
        <v>0</v>
      </c>
      <c r="O21" s="91">
        <v>992</v>
      </c>
      <c r="P21" s="89">
        <f t="shared" si="7"/>
        <v>0</v>
      </c>
      <c r="Q21" s="91">
        <v>2550596</v>
      </c>
      <c r="R21" s="89">
        <f t="shared" si="9"/>
        <v>153</v>
      </c>
      <c r="S21" s="91">
        <v>2191998</v>
      </c>
      <c r="T21" s="89">
        <f t="shared" si="10"/>
        <v>2</v>
      </c>
      <c r="U21" s="91">
        <v>111764</v>
      </c>
      <c r="V21" s="89">
        <f t="shared" si="11"/>
        <v>67</v>
      </c>
      <c r="W21" s="91">
        <v>100</v>
      </c>
      <c r="X21" s="91">
        <v>152370</v>
      </c>
      <c r="Y21" s="86">
        <v>0</v>
      </c>
      <c r="Z21" s="87">
        <v>39832</v>
      </c>
      <c r="AA21" s="94">
        <v>9</v>
      </c>
      <c r="AB21" s="91">
        <v>1125</v>
      </c>
      <c r="AC21" s="95">
        <v>0</v>
      </c>
      <c r="AD21" s="91">
        <v>4605</v>
      </c>
      <c r="AE21" s="96">
        <v>0</v>
      </c>
      <c r="AF21" s="19"/>
      <c r="AG21" s="19"/>
      <c r="AH21" s="91">
        <v>580640</v>
      </c>
      <c r="AI21" s="89">
        <v>40</v>
      </c>
      <c r="AJ21" s="103">
        <v>514</v>
      </c>
      <c r="AK21" s="86">
        <v>6</v>
      </c>
      <c r="AL21" s="91">
        <v>52281</v>
      </c>
      <c r="AM21" s="100">
        <v>1</v>
      </c>
      <c r="AN21" s="91">
        <v>8920</v>
      </c>
      <c r="AO21" s="86">
        <v>1</v>
      </c>
      <c r="AP21" s="91">
        <v>10572</v>
      </c>
      <c r="AQ21" s="86">
        <v>0</v>
      </c>
      <c r="AR21" s="91">
        <v>14570</v>
      </c>
      <c r="AS21" s="86">
        <v>0</v>
      </c>
      <c r="AT21" s="91">
        <v>19368</v>
      </c>
      <c r="AU21" s="86">
        <v>0</v>
      </c>
      <c r="AV21" s="91">
        <v>20677</v>
      </c>
      <c r="AW21" s="94">
        <v>0</v>
      </c>
      <c r="AX21" s="91">
        <v>13871</v>
      </c>
      <c r="AY21" s="94">
        <v>0</v>
      </c>
      <c r="AZ21" s="91">
        <v>6224</v>
      </c>
      <c r="BA21" s="86">
        <v>0</v>
      </c>
      <c r="BB21" s="91">
        <v>26498</v>
      </c>
      <c r="BC21" s="86">
        <v>2</v>
      </c>
      <c r="BD21" s="91">
        <v>1115</v>
      </c>
      <c r="BE21" s="86">
        <v>0</v>
      </c>
      <c r="BF21" s="91">
        <v>4378</v>
      </c>
      <c r="BG21" s="86">
        <v>0</v>
      </c>
      <c r="BH21" s="91">
        <v>3636</v>
      </c>
      <c r="BI21" s="86">
        <v>0</v>
      </c>
      <c r="BJ21" s="94">
        <v>0</v>
      </c>
      <c r="BK21" s="94">
        <v>40</v>
      </c>
      <c r="BL21" s="91">
        <v>601730</v>
      </c>
      <c r="BM21" s="94">
        <v>10</v>
      </c>
      <c r="BN21" s="101">
        <v>738</v>
      </c>
      <c r="BO21" s="86">
        <v>0</v>
      </c>
      <c r="BP21" s="91">
        <v>779930</v>
      </c>
      <c r="BQ21" s="94">
        <v>70</v>
      </c>
      <c r="BR21" s="105">
        <v>7352</v>
      </c>
      <c r="BS21" s="94">
        <v>6</v>
      </c>
      <c r="BT21" s="104">
        <v>30</v>
      </c>
      <c r="BU21" s="94">
        <v>80</v>
      </c>
      <c r="BV21" s="106">
        <v>2</v>
      </c>
      <c r="BW21" s="91">
        <v>124</v>
      </c>
      <c r="BX21" s="107">
        <v>15439.411265508745</v>
      </c>
      <c r="BY21" s="112"/>
      <c r="BZ21" s="109">
        <v>0</v>
      </c>
      <c r="CA21" s="91">
        <v>206610.7</v>
      </c>
      <c r="CB21" s="94">
        <v>2.7000000000116415</v>
      </c>
      <c r="CC21" s="104">
        <v>15.417000000066473</v>
      </c>
      <c r="CD21" s="91">
        <v>29</v>
      </c>
      <c r="CE21" s="113">
        <v>3124.75</v>
      </c>
      <c r="CF21" s="91">
        <v>28</v>
      </c>
      <c r="CG21" s="114">
        <v>3017</v>
      </c>
      <c r="CH21" s="91">
        <v>31</v>
      </c>
      <c r="CI21" s="115">
        <v>3340.25</v>
      </c>
      <c r="CJ21" s="116">
        <v>9482</v>
      </c>
      <c r="CK21" s="117">
        <v>107.75</v>
      </c>
      <c r="CL21" s="91"/>
      <c r="CM21" s="91">
        <v>34564</v>
      </c>
      <c r="CN21" s="94">
        <v>2.0999999999985448</v>
      </c>
      <c r="CO21" s="104">
        <v>5.1239999999964496</v>
      </c>
      <c r="CP21" s="91">
        <v>34300</v>
      </c>
      <c r="CQ21" s="94">
        <v>0</v>
      </c>
      <c r="CR21" s="104">
        <v>0</v>
      </c>
      <c r="CS21" s="91">
        <v>10235.6</v>
      </c>
      <c r="CT21" s="94">
        <v>0</v>
      </c>
      <c r="CU21" s="104">
        <v>0</v>
      </c>
      <c r="CV21" s="91">
        <v>832172.5</v>
      </c>
      <c r="CW21" s="94">
        <v>0</v>
      </c>
      <c r="CX21" s="104">
        <v>0</v>
      </c>
      <c r="CY21" s="91">
        <v>6022.1</v>
      </c>
      <c r="CZ21" s="94">
        <v>1.4000000000005457</v>
      </c>
      <c r="DA21" s="104">
        <v>3.3460000000013044</v>
      </c>
      <c r="DB21" s="91">
        <v>7420</v>
      </c>
      <c r="DC21" s="94">
        <v>0</v>
      </c>
      <c r="DD21" s="94">
        <v>0</v>
      </c>
      <c r="DE21" s="91">
        <v>3864</v>
      </c>
      <c r="DF21" s="94">
        <v>4.0999999999999091</v>
      </c>
      <c r="DG21" s="94" t="s">
        <v>127</v>
      </c>
      <c r="DH21" s="91">
        <v>1855.9</v>
      </c>
      <c r="DI21" s="94">
        <v>0</v>
      </c>
      <c r="DJ21" s="94">
        <v>0</v>
      </c>
      <c r="DK21" s="91">
        <v>5081.7</v>
      </c>
      <c r="DL21" s="94">
        <v>0</v>
      </c>
      <c r="DM21" s="94">
        <v>0</v>
      </c>
      <c r="DN21" s="91">
        <v>4454.7</v>
      </c>
      <c r="DO21" s="94">
        <v>0</v>
      </c>
      <c r="DP21" s="94">
        <v>0</v>
      </c>
      <c r="DQ21" s="91">
        <v>5089.6000000000004</v>
      </c>
      <c r="DR21" s="94">
        <v>0</v>
      </c>
      <c r="DS21" s="94">
        <v>0</v>
      </c>
      <c r="DT21" s="91">
        <v>5109.1000000000004</v>
      </c>
      <c r="DU21" s="94">
        <v>0</v>
      </c>
      <c r="DV21" s="104">
        <v>0</v>
      </c>
      <c r="DW21" s="111">
        <v>12871</v>
      </c>
      <c r="DX21" s="104">
        <v>0</v>
      </c>
      <c r="DY21" s="111">
        <v>62789</v>
      </c>
      <c r="DZ21" s="104">
        <v>0</v>
      </c>
      <c r="EA21" s="122">
        <v>15588</v>
      </c>
      <c r="EB21" s="104">
        <v>0</v>
      </c>
      <c r="EC21" s="122">
        <v>24679</v>
      </c>
      <c r="ED21" s="104">
        <v>0</v>
      </c>
      <c r="EE21" s="122">
        <v>2</v>
      </c>
      <c r="EF21" s="123">
        <v>6</v>
      </c>
      <c r="EG21" s="121">
        <v>1.4999999999999999E-2</v>
      </c>
      <c r="EH21" s="82"/>
      <c r="EI21" s="58"/>
      <c r="EJ21" s="58"/>
      <c r="EK21"/>
      <c r="EL21"/>
      <c r="EM21"/>
    </row>
    <row r="22" spans="1:144" s="20" customFormat="1" ht="15">
      <c r="A22" s="84">
        <v>44335</v>
      </c>
      <c r="B22" s="91">
        <v>6977139</v>
      </c>
      <c r="C22" s="86">
        <f t="shared" si="1"/>
        <v>6101</v>
      </c>
      <c r="D22" s="91">
        <v>6204161</v>
      </c>
      <c r="E22" s="86">
        <f t="shared" si="2"/>
        <v>5904</v>
      </c>
      <c r="F22" s="22">
        <f t="shared" si="3"/>
        <v>0.96771021144074743</v>
      </c>
      <c r="G22" s="87">
        <v>400</v>
      </c>
      <c r="H22" s="87">
        <v>432</v>
      </c>
      <c r="I22" s="88">
        <v>288057</v>
      </c>
      <c r="J22" s="89">
        <f t="shared" si="4"/>
        <v>0</v>
      </c>
      <c r="K22" s="90">
        <v>775</v>
      </c>
      <c r="L22" s="86">
        <f t="shared" si="8"/>
        <v>0</v>
      </c>
      <c r="M22" s="91">
        <v>633950</v>
      </c>
      <c r="N22" s="89">
        <f t="shared" si="6"/>
        <v>0</v>
      </c>
      <c r="O22" s="91">
        <v>992</v>
      </c>
      <c r="P22" s="89">
        <f t="shared" si="7"/>
        <v>0</v>
      </c>
      <c r="Q22" s="91">
        <v>2550754</v>
      </c>
      <c r="R22" s="89">
        <f t="shared" si="9"/>
        <v>158</v>
      </c>
      <c r="S22" s="91">
        <v>2192001</v>
      </c>
      <c r="T22" s="89">
        <f t="shared" si="10"/>
        <v>3</v>
      </c>
      <c r="U22" s="91">
        <v>111837</v>
      </c>
      <c r="V22" s="89">
        <f t="shared" si="11"/>
        <v>73</v>
      </c>
      <c r="W22" s="91">
        <v>100</v>
      </c>
      <c r="X22" s="91">
        <v>152370</v>
      </c>
      <c r="Y22" s="89">
        <v>0</v>
      </c>
      <c r="Z22" s="87">
        <v>39840</v>
      </c>
      <c r="AA22" s="94">
        <v>8</v>
      </c>
      <c r="AB22" s="91">
        <v>1125</v>
      </c>
      <c r="AC22" s="95">
        <v>0</v>
      </c>
      <c r="AD22" s="91">
        <v>4605</v>
      </c>
      <c r="AE22" s="96">
        <v>0</v>
      </c>
      <c r="AF22" s="19"/>
      <c r="AG22" s="19"/>
      <c r="AH22" s="91">
        <v>580700</v>
      </c>
      <c r="AI22" s="89">
        <v>60</v>
      </c>
      <c r="AJ22" s="103">
        <v>518</v>
      </c>
      <c r="AK22" s="86">
        <v>4</v>
      </c>
      <c r="AL22" s="91">
        <v>52282</v>
      </c>
      <c r="AM22" s="100">
        <v>1</v>
      </c>
      <c r="AN22" s="91">
        <v>8920</v>
      </c>
      <c r="AO22" s="86">
        <v>0</v>
      </c>
      <c r="AP22" s="91">
        <v>10572</v>
      </c>
      <c r="AQ22" s="86">
        <v>0</v>
      </c>
      <c r="AR22" s="91">
        <v>14570</v>
      </c>
      <c r="AS22" s="86">
        <v>0</v>
      </c>
      <c r="AT22" s="91">
        <v>19368</v>
      </c>
      <c r="AU22" s="86">
        <v>0</v>
      </c>
      <c r="AV22" s="91">
        <v>20677</v>
      </c>
      <c r="AW22" s="94">
        <v>0</v>
      </c>
      <c r="AX22" s="91">
        <v>13871</v>
      </c>
      <c r="AY22" s="94">
        <v>0</v>
      </c>
      <c r="AZ22" s="91">
        <v>6224</v>
      </c>
      <c r="BA22" s="86">
        <v>0</v>
      </c>
      <c r="BB22" s="91">
        <v>26499</v>
      </c>
      <c r="BC22" s="86">
        <v>1</v>
      </c>
      <c r="BD22" s="91">
        <v>1115</v>
      </c>
      <c r="BE22" s="86">
        <v>0</v>
      </c>
      <c r="BF22" s="91">
        <v>4378</v>
      </c>
      <c r="BG22" s="86">
        <v>0</v>
      </c>
      <c r="BH22" s="91">
        <v>3636</v>
      </c>
      <c r="BI22" s="86">
        <v>0</v>
      </c>
      <c r="BJ22" s="94">
        <v>0</v>
      </c>
      <c r="BK22" s="94">
        <v>60</v>
      </c>
      <c r="BL22" s="91">
        <v>601740</v>
      </c>
      <c r="BM22" s="94">
        <v>10</v>
      </c>
      <c r="BN22" s="101">
        <v>739</v>
      </c>
      <c r="BO22" s="86">
        <v>1</v>
      </c>
      <c r="BP22" s="91">
        <v>780000</v>
      </c>
      <c r="BQ22" s="94">
        <v>70</v>
      </c>
      <c r="BR22" s="105">
        <v>7356</v>
      </c>
      <c r="BS22" s="94">
        <v>4</v>
      </c>
      <c r="BT22" s="104">
        <v>10</v>
      </c>
      <c r="BU22" s="94">
        <v>80</v>
      </c>
      <c r="BV22" s="106">
        <v>1</v>
      </c>
      <c r="BW22" s="91">
        <v>124</v>
      </c>
      <c r="BX22" s="107">
        <v>15439.411265508745</v>
      </c>
      <c r="BY22" s="112"/>
      <c r="BZ22" s="109">
        <v>0</v>
      </c>
      <c r="CA22" s="91">
        <v>206612.7</v>
      </c>
      <c r="CB22" s="94">
        <v>2</v>
      </c>
      <c r="CC22" s="104">
        <v>11.42</v>
      </c>
      <c r="CD22" s="91">
        <v>29</v>
      </c>
      <c r="CE22" s="113">
        <v>3124.75</v>
      </c>
      <c r="CF22" s="91">
        <v>28</v>
      </c>
      <c r="CG22" s="114">
        <v>3017</v>
      </c>
      <c r="CH22" s="91">
        <v>31</v>
      </c>
      <c r="CI22" s="115">
        <v>3340.25</v>
      </c>
      <c r="CJ22" s="116">
        <v>9482</v>
      </c>
      <c r="CK22" s="117">
        <v>0</v>
      </c>
      <c r="CL22" s="91"/>
      <c r="CM22" s="91">
        <v>34565</v>
      </c>
      <c r="CN22" s="94">
        <v>1</v>
      </c>
      <c r="CO22" s="104">
        <v>2.44</v>
      </c>
      <c r="CP22" s="91">
        <v>34300</v>
      </c>
      <c r="CQ22" s="94">
        <v>0</v>
      </c>
      <c r="CR22" s="104">
        <v>0</v>
      </c>
      <c r="CS22" s="91">
        <v>10235.6</v>
      </c>
      <c r="CT22" s="94">
        <v>0</v>
      </c>
      <c r="CU22" s="104">
        <v>0</v>
      </c>
      <c r="CV22" s="91">
        <v>832172.5</v>
      </c>
      <c r="CW22" s="94">
        <v>0</v>
      </c>
      <c r="CX22" s="104">
        <v>0</v>
      </c>
      <c r="CY22" s="91">
        <v>6023.7</v>
      </c>
      <c r="CZ22" s="94">
        <v>1.5999999999994543</v>
      </c>
      <c r="DA22" s="104">
        <v>3.823999999998696</v>
      </c>
      <c r="DB22" s="91">
        <v>7420</v>
      </c>
      <c r="DC22" s="94">
        <v>0</v>
      </c>
      <c r="DD22" s="94">
        <v>0</v>
      </c>
      <c r="DE22" s="91">
        <v>3868</v>
      </c>
      <c r="DF22" s="94">
        <v>4</v>
      </c>
      <c r="DG22" s="94" t="s">
        <v>127</v>
      </c>
      <c r="DH22" s="91">
        <v>1855.9</v>
      </c>
      <c r="DI22" s="94">
        <v>0</v>
      </c>
      <c r="DJ22" s="94">
        <v>0</v>
      </c>
      <c r="DK22" s="91">
        <v>5081.7</v>
      </c>
      <c r="DL22" s="94">
        <v>0</v>
      </c>
      <c r="DM22" s="94">
        <v>0</v>
      </c>
      <c r="DN22" s="91">
        <v>4454.7</v>
      </c>
      <c r="DO22" s="94">
        <v>0</v>
      </c>
      <c r="DP22" s="94">
        <v>0</v>
      </c>
      <c r="DQ22" s="91">
        <v>5089.6000000000004</v>
      </c>
      <c r="DR22" s="94">
        <v>0</v>
      </c>
      <c r="DS22" s="94">
        <v>0</v>
      </c>
      <c r="DT22" s="91">
        <v>5109.1000000000004</v>
      </c>
      <c r="DU22" s="94">
        <v>0</v>
      </c>
      <c r="DV22" s="104">
        <v>0</v>
      </c>
      <c r="DW22" s="111">
        <v>12871</v>
      </c>
      <c r="DX22" s="104">
        <v>0</v>
      </c>
      <c r="DY22" s="111">
        <v>62789</v>
      </c>
      <c r="DZ22" s="104">
        <v>0</v>
      </c>
      <c r="EA22" s="122">
        <v>15588</v>
      </c>
      <c r="EB22" s="104">
        <v>0</v>
      </c>
      <c r="EC22" s="122">
        <v>24679</v>
      </c>
      <c r="ED22" s="104">
        <v>0</v>
      </c>
      <c r="EE22" s="122">
        <v>2</v>
      </c>
      <c r="EF22" s="123">
        <v>6</v>
      </c>
      <c r="EG22" s="121">
        <v>1.4999999999999999E-2</v>
      </c>
      <c r="EH22" s="82"/>
      <c r="EI22" s="58"/>
      <c r="EJ22" s="58"/>
      <c r="EK22"/>
      <c r="EL22"/>
      <c r="EM22"/>
    </row>
    <row r="23" spans="1:144" s="20" customFormat="1" ht="15">
      <c r="A23" s="84">
        <v>44336</v>
      </c>
      <c r="B23" s="91">
        <v>6982833</v>
      </c>
      <c r="C23" s="86">
        <f t="shared" si="1"/>
        <v>5694</v>
      </c>
      <c r="D23" s="91">
        <v>6209657</v>
      </c>
      <c r="E23" s="86">
        <f t="shared" si="2"/>
        <v>5496</v>
      </c>
      <c r="F23" s="22">
        <f t="shared" si="3"/>
        <v>0.96522655426765014</v>
      </c>
      <c r="G23" s="87">
        <v>400</v>
      </c>
      <c r="H23" s="87">
        <v>432</v>
      </c>
      <c r="I23" s="88">
        <v>288057</v>
      </c>
      <c r="J23" s="89">
        <f t="shared" si="4"/>
        <v>0</v>
      </c>
      <c r="K23" s="90">
        <v>775</v>
      </c>
      <c r="L23" s="86">
        <f t="shared" si="8"/>
        <v>0</v>
      </c>
      <c r="M23" s="91">
        <v>633950</v>
      </c>
      <c r="N23" s="89">
        <f t="shared" si="6"/>
        <v>0</v>
      </c>
      <c r="O23" s="91">
        <v>992</v>
      </c>
      <c r="P23" s="89">
        <f t="shared" si="7"/>
        <v>0</v>
      </c>
      <c r="Q23" s="91">
        <v>2550871</v>
      </c>
      <c r="R23" s="89">
        <f t="shared" si="9"/>
        <v>117</v>
      </c>
      <c r="S23" s="91">
        <v>2192004</v>
      </c>
      <c r="T23" s="89">
        <f t="shared" si="10"/>
        <v>3</v>
      </c>
      <c r="U23" s="91">
        <v>111914</v>
      </c>
      <c r="V23" s="89">
        <f t="shared" si="11"/>
        <v>77</v>
      </c>
      <c r="W23" s="91">
        <v>100</v>
      </c>
      <c r="X23" s="91">
        <v>152370</v>
      </c>
      <c r="Y23" s="89">
        <v>0</v>
      </c>
      <c r="Z23" s="87">
        <v>39848</v>
      </c>
      <c r="AA23" s="94">
        <v>8</v>
      </c>
      <c r="AB23" s="91">
        <v>1125</v>
      </c>
      <c r="AC23" s="95">
        <v>0</v>
      </c>
      <c r="AD23" s="91">
        <v>4605</v>
      </c>
      <c r="AE23" s="96">
        <v>0</v>
      </c>
      <c r="AF23" s="19"/>
      <c r="AG23" s="19"/>
      <c r="AH23" s="91">
        <v>580750</v>
      </c>
      <c r="AI23" s="89">
        <v>50</v>
      </c>
      <c r="AJ23" s="103">
        <v>527</v>
      </c>
      <c r="AK23" s="86">
        <v>9</v>
      </c>
      <c r="AL23" s="91">
        <v>52283</v>
      </c>
      <c r="AM23" s="100">
        <v>1</v>
      </c>
      <c r="AN23" s="91">
        <v>8921</v>
      </c>
      <c r="AO23" s="86">
        <v>1</v>
      </c>
      <c r="AP23" s="91">
        <v>10573</v>
      </c>
      <c r="AQ23" s="86">
        <v>1</v>
      </c>
      <c r="AR23" s="91">
        <v>14570</v>
      </c>
      <c r="AS23" s="86">
        <v>0</v>
      </c>
      <c r="AT23" s="91">
        <v>19368</v>
      </c>
      <c r="AU23" s="86">
        <v>0</v>
      </c>
      <c r="AV23" s="91">
        <v>20677</v>
      </c>
      <c r="AW23" s="94">
        <v>0</v>
      </c>
      <c r="AX23" s="91">
        <v>13871</v>
      </c>
      <c r="AY23" s="94">
        <v>0</v>
      </c>
      <c r="AZ23" s="91">
        <v>6224</v>
      </c>
      <c r="BA23" s="86">
        <v>0</v>
      </c>
      <c r="BB23" s="91">
        <v>26500</v>
      </c>
      <c r="BC23" s="86">
        <v>1</v>
      </c>
      <c r="BD23" s="91">
        <v>1115</v>
      </c>
      <c r="BE23" s="86">
        <v>0</v>
      </c>
      <c r="BF23" s="91">
        <v>4378</v>
      </c>
      <c r="BG23" s="86">
        <v>0</v>
      </c>
      <c r="BH23" s="91">
        <v>3636</v>
      </c>
      <c r="BI23" s="86">
        <v>0</v>
      </c>
      <c r="BJ23" s="94">
        <v>0</v>
      </c>
      <c r="BK23" s="94">
        <v>50</v>
      </c>
      <c r="BL23" s="91">
        <v>601750</v>
      </c>
      <c r="BM23" s="94">
        <v>10</v>
      </c>
      <c r="BN23" s="101">
        <v>740</v>
      </c>
      <c r="BO23" s="86">
        <v>1</v>
      </c>
      <c r="BP23" s="91">
        <v>780070</v>
      </c>
      <c r="BQ23" s="94">
        <v>70</v>
      </c>
      <c r="BR23" s="105">
        <v>7361</v>
      </c>
      <c r="BS23" s="94">
        <v>5</v>
      </c>
      <c r="BT23" s="104">
        <v>20</v>
      </c>
      <c r="BU23" s="94">
        <v>80</v>
      </c>
      <c r="BV23" s="106">
        <v>3</v>
      </c>
      <c r="BW23" s="91">
        <v>124</v>
      </c>
      <c r="BX23" s="107">
        <v>15439.411265508745</v>
      </c>
      <c r="BY23" s="112"/>
      <c r="BZ23" s="109">
        <v>0</v>
      </c>
      <c r="CA23" s="91">
        <v>206616.9</v>
      </c>
      <c r="CB23" s="94">
        <v>4.1999999999825377</v>
      </c>
      <c r="CC23" s="104">
        <v>23.981999999900289</v>
      </c>
      <c r="CD23" s="91">
        <v>29</v>
      </c>
      <c r="CE23" s="113">
        <v>3124.75</v>
      </c>
      <c r="CF23" s="91">
        <v>27</v>
      </c>
      <c r="CG23" s="114">
        <v>2909.25</v>
      </c>
      <c r="CH23" s="91">
        <v>31</v>
      </c>
      <c r="CI23" s="115">
        <v>3340.25</v>
      </c>
      <c r="CJ23" s="116">
        <v>9374.25</v>
      </c>
      <c r="CK23" s="117">
        <v>107.75</v>
      </c>
      <c r="CL23" s="91"/>
      <c r="CM23" s="91">
        <v>34566</v>
      </c>
      <c r="CN23" s="94">
        <v>1</v>
      </c>
      <c r="CO23" s="104">
        <v>2.44</v>
      </c>
      <c r="CP23" s="91">
        <v>34300</v>
      </c>
      <c r="CQ23" s="94">
        <v>0</v>
      </c>
      <c r="CR23" s="104">
        <v>0</v>
      </c>
      <c r="CS23" s="91">
        <v>10235.6</v>
      </c>
      <c r="CT23" s="94">
        <v>0</v>
      </c>
      <c r="CU23" s="104">
        <v>0</v>
      </c>
      <c r="CV23" s="91">
        <v>832172.5</v>
      </c>
      <c r="CW23" s="94">
        <v>0</v>
      </c>
      <c r="CX23" s="104">
        <v>0</v>
      </c>
      <c r="CY23" s="91">
        <v>6025.2</v>
      </c>
      <c r="CZ23" s="94">
        <v>1.5</v>
      </c>
      <c r="DA23" s="104">
        <v>3.585</v>
      </c>
      <c r="DB23" s="91">
        <v>7420</v>
      </c>
      <c r="DC23" s="94">
        <v>0</v>
      </c>
      <c r="DD23" s="94">
        <v>0</v>
      </c>
      <c r="DE23" s="91">
        <v>3873</v>
      </c>
      <c r="DF23" s="94">
        <v>5</v>
      </c>
      <c r="DG23" s="94">
        <v>1</v>
      </c>
      <c r="DH23" s="91">
        <v>1855.9</v>
      </c>
      <c r="DI23" s="94">
        <v>0</v>
      </c>
      <c r="DJ23" s="94">
        <v>0</v>
      </c>
      <c r="DK23" s="91">
        <v>5081.7</v>
      </c>
      <c r="DL23" s="94">
        <v>0</v>
      </c>
      <c r="DM23" s="94">
        <v>0</v>
      </c>
      <c r="DN23" s="91">
        <v>4454.7</v>
      </c>
      <c r="DO23" s="94">
        <v>0</v>
      </c>
      <c r="DP23" s="94">
        <v>0</v>
      </c>
      <c r="DQ23" s="91">
        <v>5089.6000000000004</v>
      </c>
      <c r="DR23" s="94">
        <v>0</v>
      </c>
      <c r="DS23" s="94">
        <v>0</v>
      </c>
      <c r="DT23" s="91">
        <v>5109.1000000000004</v>
      </c>
      <c r="DU23" s="94">
        <v>0</v>
      </c>
      <c r="DV23" s="104">
        <v>0</v>
      </c>
      <c r="DW23" s="111">
        <v>12871</v>
      </c>
      <c r="DX23" s="104">
        <v>0</v>
      </c>
      <c r="DY23" s="111">
        <v>62789</v>
      </c>
      <c r="DZ23" s="104">
        <v>0</v>
      </c>
      <c r="EA23" s="122">
        <v>15588</v>
      </c>
      <c r="EB23" s="104">
        <v>0</v>
      </c>
      <c r="EC23" s="122">
        <v>24679</v>
      </c>
      <c r="ED23" s="104">
        <v>0</v>
      </c>
      <c r="EE23" s="122">
        <v>2</v>
      </c>
      <c r="EF23" s="123">
        <v>6</v>
      </c>
      <c r="EG23" s="121">
        <v>1.4999999999999999E-2</v>
      </c>
      <c r="EH23" s="82"/>
      <c r="EI23" s="58"/>
      <c r="EJ23" s="58"/>
      <c r="EK23"/>
      <c r="EL23"/>
      <c r="EM23"/>
    </row>
    <row r="24" spans="1:144" s="20" customFormat="1" ht="15">
      <c r="A24" s="84">
        <v>44337</v>
      </c>
      <c r="B24" s="93">
        <v>6988864</v>
      </c>
      <c r="C24" s="86">
        <f t="shared" si="1"/>
        <v>6031</v>
      </c>
      <c r="D24" s="91">
        <v>6215448</v>
      </c>
      <c r="E24" s="86">
        <f t="shared" si="2"/>
        <v>5791</v>
      </c>
      <c r="F24" s="22">
        <f t="shared" si="3"/>
        <v>0.96020560437738356</v>
      </c>
      <c r="G24" s="87">
        <v>400</v>
      </c>
      <c r="H24" s="87">
        <v>432</v>
      </c>
      <c r="I24" s="88">
        <v>288057</v>
      </c>
      <c r="J24" s="89">
        <f t="shared" si="4"/>
        <v>0</v>
      </c>
      <c r="K24" s="90">
        <v>775</v>
      </c>
      <c r="L24" s="86">
        <f t="shared" si="8"/>
        <v>0</v>
      </c>
      <c r="M24" s="91">
        <v>633950</v>
      </c>
      <c r="N24" s="86">
        <f t="shared" si="4"/>
        <v>0</v>
      </c>
      <c r="O24" s="91">
        <v>992</v>
      </c>
      <c r="P24" s="89">
        <f t="shared" si="7"/>
        <v>0</v>
      </c>
      <c r="Q24" s="91">
        <v>2550923</v>
      </c>
      <c r="R24" s="89">
        <f t="shared" si="9"/>
        <v>52</v>
      </c>
      <c r="S24" s="91">
        <v>2192004</v>
      </c>
      <c r="T24" s="89">
        <f t="shared" si="10"/>
        <v>0</v>
      </c>
      <c r="U24" s="91">
        <v>111997</v>
      </c>
      <c r="V24" s="89">
        <f t="shared" si="11"/>
        <v>83</v>
      </c>
      <c r="W24" s="91">
        <v>100</v>
      </c>
      <c r="X24" s="91">
        <v>152370</v>
      </c>
      <c r="Y24" s="89">
        <v>0</v>
      </c>
      <c r="Z24" s="87">
        <v>39848</v>
      </c>
      <c r="AA24" s="94">
        <v>0</v>
      </c>
      <c r="AB24" s="91">
        <v>1125</v>
      </c>
      <c r="AC24" s="95">
        <v>0</v>
      </c>
      <c r="AD24" s="91">
        <v>4605</v>
      </c>
      <c r="AE24" s="96">
        <v>0</v>
      </c>
      <c r="AF24" s="19"/>
      <c r="AG24" s="19"/>
      <c r="AH24" s="91">
        <v>580810</v>
      </c>
      <c r="AI24" s="89">
        <v>60</v>
      </c>
      <c r="AJ24" s="103">
        <v>532</v>
      </c>
      <c r="AK24" s="86">
        <v>5</v>
      </c>
      <c r="AL24" s="91">
        <v>52284</v>
      </c>
      <c r="AM24" s="100">
        <v>1</v>
      </c>
      <c r="AN24" s="91">
        <v>8921</v>
      </c>
      <c r="AO24" s="86">
        <v>0</v>
      </c>
      <c r="AP24" s="91">
        <v>10573</v>
      </c>
      <c r="AQ24" s="89">
        <v>0</v>
      </c>
      <c r="AR24" s="91">
        <v>14570</v>
      </c>
      <c r="AS24" s="86">
        <v>0</v>
      </c>
      <c r="AT24" s="91">
        <v>19368</v>
      </c>
      <c r="AU24" s="89">
        <v>0</v>
      </c>
      <c r="AV24" s="91">
        <v>20677</v>
      </c>
      <c r="AW24" s="94">
        <v>0</v>
      </c>
      <c r="AX24" s="91">
        <v>13871</v>
      </c>
      <c r="AY24" s="104">
        <v>0</v>
      </c>
      <c r="AZ24" s="91">
        <v>6224</v>
      </c>
      <c r="BA24" s="86">
        <v>0</v>
      </c>
      <c r="BB24" s="91">
        <v>26500</v>
      </c>
      <c r="BC24" s="86">
        <v>0</v>
      </c>
      <c r="BD24" s="91">
        <v>1115</v>
      </c>
      <c r="BE24" s="86">
        <v>0</v>
      </c>
      <c r="BF24" s="91">
        <v>4378</v>
      </c>
      <c r="BG24" s="86">
        <v>0</v>
      </c>
      <c r="BH24" s="91">
        <v>3636</v>
      </c>
      <c r="BI24" s="86">
        <v>0</v>
      </c>
      <c r="BJ24" s="94">
        <v>0</v>
      </c>
      <c r="BK24" s="94">
        <v>60</v>
      </c>
      <c r="BL24" s="91">
        <v>601760</v>
      </c>
      <c r="BM24" s="94">
        <v>10</v>
      </c>
      <c r="BN24" s="101">
        <v>740</v>
      </c>
      <c r="BO24" s="86">
        <v>0</v>
      </c>
      <c r="BP24" s="91">
        <v>780130</v>
      </c>
      <c r="BQ24" s="94">
        <v>60</v>
      </c>
      <c r="BR24" s="105">
        <v>7365</v>
      </c>
      <c r="BS24" s="94">
        <v>4</v>
      </c>
      <c r="BT24" s="104">
        <v>0</v>
      </c>
      <c r="BU24" s="94">
        <v>70</v>
      </c>
      <c r="BV24" s="106">
        <v>1</v>
      </c>
      <c r="BW24" s="91">
        <v>124</v>
      </c>
      <c r="BX24" s="107">
        <v>15439.411265508745</v>
      </c>
      <c r="BY24" s="112"/>
      <c r="BZ24" s="109">
        <v>0</v>
      </c>
      <c r="CA24" s="91">
        <v>206619</v>
      </c>
      <c r="CB24" s="94">
        <v>2.1000000000058208</v>
      </c>
      <c r="CC24" s="104">
        <v>11.991000000033237</v>
      </c>
      <c r="CD24" s="91">
        <v>29</v>
      </c>
      <c r="CE24" s="113">
        <v>3124.75</v>
      </c>
      <c r="CF24" s="91">
        <v>27</v>
      </c>
      <c r="CG24" s="114">
        <v>2909.25</v>
      </c>
      <c r="CH24" s="91">
        <v>31</v>
      </c>
      <c r="CI24" s="115">
        <v>3340.25</v>
      </c>
      <c r="CJ24" s="116">
        <v>9374.25</v>
      </c>
      <c r="CK24" s="117">
        <v>0</v>
      </c>
      <c r="CL24" s="91"/>
      <c r="CM24" s="91">
        <v>34567</v>
      </c>
      <c r="CN24" s="94">
        <v>1</v>
      </c>
      <c r="CO24" s="104">
        <v>2.44</v>
      </c>
      <c r="CP24" s="91">
        <v>34300</v>
      </c>
      <c r="CQ24" s="94">
        <v>0</v>
      </c>
      <c r="CR24" s="104">
        <v>0</v>
      </c>
      <c r="CS24" s="91">
        <v>10235.6</v>
      </c>
      <c r="CT24" s="94">
        <v>0</v>
      </c>
      <c r="CU24" s="104">
        <v>0</v>
      </c>
      <c r="CV24" s="91">
        <v>832172.5</v>
      </c>
      <c r="CW24" s="94">
        <v>0</v>
      </c>
      <c r="CX24" s="104">
        <v>0</v>
      </c>
      <c r="CY24" s="91">
        <v>6026.6</v>
      </c>
      <c r="CZ24" s="94">
        <v>1.4000000000005457</v>
      </c>
      <c r="DA24" s="104">
        <v>3.3460000000013044</v>
      </c>
      <c r="DB24" s="91">
        <v>7420</v>
      </c>
      <c r="DC24" s="94">
        <v>0</v>
      </c>
      <c r="DD24" s="94">
        <v>0</v>
      </c>
      <c r="DE24" s="91">
        <v>3877</v>
      </c>
      <c r="DF24" s="94">
        <v>4</v>
      </c>
      <c r="DG24" s="94" t="s">
        <v>127</v>
      </c>
      <c r="DH24" s="91">
        <v>1855.9</v>
      </c>
      <c r="DI24" s="94">
        <v>0</v>
      </c>
      <c r="DJ24" s="94">
        <v>0</v>
      </c>
      <c r="DK24" s="91">
        <v>5081.7</v>
      </c>
      <c r="DL24" s="94">
        <v>0</v>
      </c>
      <c r="DM24" s="94">
        <v>0</v>
      </c>
      <c r="DN24" s="91">
        <v>4454.7</v>
      </c>
      <c r="DO24" s="94">
        <v>0</v>
      </c>
      <c r="DP24" s="94">
        <v>0</v>
      </c>
      <c r="DQ24" s="91">
        <v>5089.6000000000004</v>
      </c>
      <c r="DR24" s="94">
        <v>0</v>
      </c>
      <c r="DS24" s="94">
        <v>0</v>
      </c>
      <c r="DT24" s="91">
        <v>5109.1000000000004</v>
      </c>
      <c r="DU24" s="94">
        <v>0</v>
      </c>
      <c r="DV24" s="104">
        <v>0</v>
      </c>
      <c r="DW24" s="111">
        <v>12871</v>
      </c>
      <c r="DX24" s="104">
        <v>0</v>
      </c>
      <c r="DY24" s="111">
        <v>62789</v>
      </c>
      <c r="DZ24" s="104">
        <v>0</v>
      </c>
      <c r="EA24" s="122">
        <v>15588</v>
      </c>
      <c r="EB24" s="104">
        <v>0</v>
      </c>
      <c r="EC24" s="122">
        <v>24679</v>
      </c>
      <c r="ED24" s="104">
        <v>0</v>
      </c>
      <c r="EE24" s="122">
        <v>2</v>
      </c>
      <c r="EF24" s="123">
        <v>6</v>
      </c>
      <c r="EG24" s="121">
        <v>1.4999999999999999E-2</v>
      </c>
      <c r="EH24" s="82"/>
      <c r="EI24" s="58"/>
      <c r="EJ24" s="58"/>
      <c r="EK24"/>
      <c r="EL24"/>
      <c r="EM24"/>
    </row>
    <row r="25" spans="1:144" s="20" customFormat="1" ht="15">
      <c r="A25" s="84">
        <v>44338</v>
      </c>
      <c r="B25" s="91">
        <v>6994383</v>
      </c>
      <c r="C25" s="86">
        <f t="shared" si="1"/>
        <v>5519</v>
      </c>
      <c r="D25" s="91">
        <v>6220732</v>
      </c>
      <c r="E25" s="86">
        <f t="shared" si="2"/>
        <v>5284</v>
      </c>
      <c r="F25" s="22">
        <f t="shared" si="3"/>
        <v>0.95741982243159995</v>
      </c>
      <c r="G25" s="87">
        <v>400</v>
      </c>
      <c r="H25" s="87">
        <v>432</v>
      </c>
      <c r="I25" s="88">
        <v>288057</v>
      </c>
      <c r="J25" s="89">
        <f t="shared" si="4"/>
        <v>0</v>
      </c>
      <c r="K25" s="90">
        <v>775</v>
      </c>
      <c r="L25" s="86">
        <f t="shared" si="8"/>
        <v>0</v>
      </c>
      <c r="M25" s="91">
        <v>633950</v>
      </c>
      <c r="N25" s="86">
        <f t="shared" si="4"/>
        <v>0</v>
      </c>
      <c r="O25" s="91">
        <v>992</v>
      </c>
      <c r="P25" s="89">
        <f t="shared" si="7"/>
        <v>0</v>
      </c>
      <c r="Q25" s="91">
        <v>2551039</v>
      </c>
      <c r="R25" s="89">
        <f t="shared" si="9"/>
        <v>116</v>
      </c>
      <c r="S25" s="91">
        <v>2192009</v>
      </c>
      <c r="T25" s="89">
        <f t="shared" si="10"/>
        <v>5</v>
      </c>
      <c r="U25" s="91">
        <v>112075</v>
      </c>
      <c r="V25" s="89">
        <f t="shared" si="11"/>
        <v>78</v>
      </c>
      <c r="W25" s="91">
        <v>100</v>
      </c>
      <c r="X25" s="91">
        <v>152370</v>
      </c>
      <c r="Y25" s="89">
        <v>0</v>
      </c>
      <c r="Z25" s="87">
        <v>39864</v>
      </c>
      <c r="AA25" s="94">
        <v>16</v>
      </c>
      <c r="AB25" s="91">
        <v>1125</v>
      </c>
      <c r="AC25" s="95">
        <v>0</v>
      </c>
      <c r="AD25" s="91">
        <v>4605</v>
      </c>
      <c r="AE25" s="96">
        <v>0</v>
      </c>
      <c r="AF25" s="19"/>
      <c r="AG25" s="19"/>
      <c r="AH25" s="91">
        <v>580850</v>
      </c>
      <c r="AI25" s="89">
        <v>40</v>
      </c>
      <c r="AJ25" s="103">
        <v>539</v>
      </c>
      <c r="AK25" s="86">
        <v>7</v>
      </c>
      <c r="AL25" s="91">
        <v>52285</v>
      </c>
      <c r="AM25" s="100">
        <v>1</v>
      </c>
      <c r="AN25" s="91">
        <v>8921</v>
      </c>
      <c r="AO25" s="86">
        <v>0</v>
      </c>
      <c r="AP25" s="91">
        <v>10573</v>
      </c>
      <c r="AQ25" s="89">
        <v>0</v>
      </c>
      <c r="AR25" s="91">
        <v>14570</v>
      </c>
      <c r="AS25" s="86">
        <v>0</v>
      </c>
      <c r="AT25" s="91">
        <v>19369</v>
      </c>
      <c r="AU25" s="89">
        <v>1</v>
      </c>
      <c r="AV25" s="91">
        <v>20677</v>
      </c>
      <c r="AW25" s="94">
        <v>0</v>
      </c>
      <c r="AX25" s="91">
        <v>13871</v>
      </c>
      <c r="AY25" s="104">
        <v>0</v>
      </c>
      <c r="AZ25" s="91">
        <v>6224</v>
      </c>
      <c r="BA25" s="86">
        <v>0</v>
      </c>
      <c r="BB25" s="91">
        <v>26501</v>
      </c>
      <c r="BC25" s="86">
        <v>1</v>
      </c>
      <c r="BD25" s="91">
        <v>1115</v>
      </c>
      <c r="BE25" s="86">
        <v>0</v>
      </c>
      <c r="BF25" s="91">
        <v>4378</v>
      </c>
      <c r="BG25" s="86">
        <v>0</v>
      </c>
      <c r="BH25" s="91">
        <v>3636</v>
      </c>
      <c r="BI25" s="86">
        <v>0</v>
      </c>
      <c r="BJ25" s="94">
        <v>0</v>
      </c>
      <c r="BK25" s="94">
        <v>40</v>
      </c>
      <c r="BL25" s="91">
        <v>601780</v>
      </c>
      <c r="BM25" s="94">
        <v>20</v>
      </c>
      <c r="BN25" s="101">
        <v>740</v>
      </c>
      <c r="BO25" s="86">
        <v>0</v>
      </c>
      <c r="BP25" s="91">
        <v>780190</v>
      </c>
      <c r="BQ25" s="94">
        <v>60</v>
      </c>
      <c r="BR25" s="105">
        <v>7370</v>
      </c>
      <c r="BS25" s="94">
        <v>5</v>
      </c>
      <c r="BT25" s="104">
        <v>20</v>
      </c>
      <c r="BU25" s="94">
        <v>80</v>
      </c>
      <c r="BV25" s="106">
        <v>2</v>
      </c>
      <c r="BW25" s="91">
        <v>124</v>
      </c>
      <c r="BX25" s="107">
        <v>15439.411265508745</v>
      </c>
      <c r="BY25" s="112"/>
      <c r="BZ25" s="109">
        <v>0</v>
      </c>
      <c r="CA25" s="91">
        <v>206620.1</v>
      </c>
      <c r="CB25" s="94">
        <v>1.1000000000058208</v>
      </c>
      <c r="CC25" s="104">
        <v>6.2810000000332362</v>
      </c>
      <c r="CD25" s="91">
        <v>29</v>
      </c>
      <c r="CE25" s="113">
        <v>3124.75</v>
      </c>
      <c r="CF25" s="91">
        <v>27</v>
      </c>
      <c r="CG25" s="114">
        <v>2909.25</v>
      </c>
      <c r="CH25" s="91">
        <v>31</v>
      </c>
      <c r="CI25" s="115">
        <v>3340.25</v>
      </c>
      <c r="CJ25" s="116">
        <v>9374.25</v>
      </c>
      <c r="CK25" s="117">
        <v>0</v>
      </c>
      <c r="CL25" s="91"/>
      <c r="CM25" s="91">
        <v>34568</v>
      </c>
      <c r="CN25" s="94">
        <v>1</v>
      </c>
      <c r="CO25" s="104">
        <v>2.44</v>
      </c>
      <c r="CP25" s="91">
        <v>34300</v>
      </c>
      <c r="CQ25" s="94">
        <v>0</v>
      </c>
      <c r="CR25" s="104">
        <v>0</v>
      </c>
      <c r="CS25" s="91">
        <v>10235.6</v>
      </c>
      <c r="CT25" s="94">
        <v>0</v>
      </c>
      <c r="CU25" s="104">
        <v>0</v>
      </c>
      <c r="CV25" s="91">
        <v>832172.5</v>
      </c>
      <c r="CW25" s="94">
        <v>0</v>
      </c>
      <c r="CX25" s="104">
        <v>0</v>
      </c>
      <c r="CY25" s="91">
        <v>6028</v>
      </c>
      <c r="CZ25" s="94">
        <v>1.3999999999996362</v>
      </c>
      <c r="DA25" s="104">
        <v>3.3459999999991306</v>
      </c>
      <c r="DB25" s="91">
        <v>7420</v>
      </c>
      <c r="DC25" s="94">
        <v>0</v>
      </c>
      <c r="DD25" s="94">
        <v>0</v>
      </c>
      <c r="DE25" s="91">
        <v>3881</v>
      </c>
      <c r="DF25" s="94">
        <v>4</v>
      </c>
      <c r="DG25" s="94">
        <v>0</v>
      </c>
      <c r="DH25" s="91">
        <v>1855.9</v>
      </c>
      <c r="DI25" s="94">
        <v>0</v>
      </c>
      <c r="DJ25" s="94">
        <v>0</v>
      </c>
      <c r="DK25" s="91">
        <v>5081.7</v>
      </c>
      <c r="DL25" s="94"/>
      <c r="DM25" s="94">
        <v>0</v>
      </c>
      <c r="DN25" s="91">
        <v>4454.7</v>
      </c>
      <c r="DO25" s="94">
        <v>0</v>
      </c>
      <c r="DP25" s="94">
        <v>0</v>
      </c>
      <c r="DQ25" s="91">
        <v>5089.6000000000004</v>
      </c>
      <c r="DR25" s="94">
        <v>0</v>
      </c>
      <c r="DS25" s="94">
        <v>0</v>
      </c>
      <c r="DT25" s="91">
        <v>5109.1000000000004</v>
      </c>
      <c r="DU25" s="94">
        <v>0</v>
      </c>
      <c r="DV25" s="104">
        <v>0</v>
      </c>
      <c r="DW25" s="111">
        <v>12871</v>
      </c>
      <c r="DX25" s="104">
        <v>0</v>
      </c>
      <c r="DY25" s="111">
        <v>62789</v>
      </c>
      <c r="DZ25" s="104">
        <v>0</v>
      </c>
      <c r="EA25" s="122">
        <v>15588</v>
      </c>
      <c r="EB25" s="104">
        <v>0</v>
      </c>
      <c r="EC25" s="122">
        <v>24679</v>
      </c>
      <c r="ED25" s="104">
        <v>0</v>
      </c>
      <c r="EE25" s="122">
        <v>2</v>
      </c>
      <c r="EF25" s="123">
        <v>6</v>
      </c>
      <c r="EG25" s="121">
        <v>1.4999999999999999E-2</v>
      </c>
      <c r="EH25" s="82"/>
      <c r="EI25" s="58"/>
      <c r="EJ25" s="58"/>
      <c r="EK25"/>
      <c r="EL25"/>
      <c r="EM25"/>
    </row>
    <row r="26" spans="1:144" s="20" customFormat="1" ht="15">
      <c r="A26" s="84">
        <v>44339</v>
      </c>
      <c r="B26" s="91">
        <v>6999664</v>
      </c>
      <c r="C26" s="86">
        <f t="shared" si="1"/>
        <v>5281</v>
      </c>
      <c r="D26" s="91">
        <v>6225787</v>
      </c>
      <c r="E26" s="86">
        <f t="shared" si="2"/>
        <v>5055</v>
      </c>
      <c r="F26" s="22">
        <f t="shared" si="3"/>
        <v>0.95720507479644001</v>
      </c>
      <c r="G26" s="87">
        <v>400</v>
      </c>
      <c r="H26" s="87">
        <v>432</v>
      </c>
      <c r="I26" s="88">
        <v>288057</v>
      </c>
      <c r="J26" s="89">
        <f t="shared" si="4"/>
        <v>0</v>
      </c>
      <c r="K26" s="90">
        <v>775</v>
      </c>
      <c r="L26" s="86">
        <f t="shared" si="8"/>
        <v>0</v>
      </c>
      <c r="M26" s="91">
        <v>633950</v>
      </c>
      <c r="N26" s="86">
        <f t="shared" si="4"/>
        <v>0</v>
      </c>
      <c r="O26" s="91">
        <v>992</v>
      </c>
      <c r="P26" s="89">
        <f t="shared" si="7"/>
        <v>0</v>
      </c>
      <c r="Q26" s="91">
        <v>2551118</v>
      </c>
      <c r="R26" s="89">
        <f t="shared" si="9"/>
        <v>79</v>
      </c>
      <c r="S26" s="91">
        <v>2192012</v>
      </c>
      <c r="T26" s="89">
        <f t="shared" si="10"/>
        <v>3</v>
      </c>
      <c r="U26" s="91">
        <v>112141</v>
      </c>
      <c r="V26" s="89">
        <f t="shared" si="11"/>
        <v>66</v>
      </c>
      <c r="W26" s="91">
        <v>100</v>
      </c>
      <c r="X26" s="91">
        <v>152370</v>
      </c>
      <c r="Y26" s="89">
        <v>0</v>
      </c>
      <c r="Z26" s="87">
        <v>39872</v>
      </c>
      <c r="AA26" s="94">
        <v>8</v>
      </c>
      <c r="AB26" s="91">
        <v>1125</v>
      </c>
      <c r="AC26" s="95">
        <v>0</v>
      </c>
      <c r="AD26" s="91">
        <v>4605</v>
      </c>
      <c r="AE26" s="96">
        <v>0</v>
      </c>
      <c r="AF26" s="19"/>
      <c r="AG26" s="19"/>
      <c r="AH26" s="91">
        <v>580880</v>
      </c>
      <c r="AI26" s="89">
        <v>30</v>
      </c>
      <c r="AJ26" s="103">
        <v>544</v>
      </c>
      <c r="AK26" s="86">
        <v>5</v>
      </c>
      <c r="AL26" s="91">
        <v>52286</v>
      </c>
      <c r="AM26" s="100">
        <v>1</v>
      </c>
      <c r="AN26" s="91">
        <v>8921</v>
      </c>
      <c r="AO26" s="86">
        <v>0</v>
      </c>
      <c r="AP26" s="91">
        <v>10573</v>
      </c>
      <c r="AQ26" s="89">
        <v>0</v>
      </c>
      <c r="AR26" s="91">
        <v>14571</v>
      </c>
      <c r="AS26" s="86">
        <v>1</v>
      </c>
      <c r="AT26" s="91">
        <v>19369</v>
      </c>
      <c r="AU26" s="89">
        <v>0</v>
      </c>
      <c r="AV26" s="91">
        <v>20677</v>
      </c>
      <c r="AW26" s="94">
        <v>0</v>
      </c>
      <c r="AX26" s="91">
        <v>13871</v>
      </c>
      <c r="AY26" s="104">
        <v>0</v>
      </c>
      <c r="AZ26" s="91">
        <v>6224</v>
      </c>
      <c r="BA26" s="86">
        <v>0</v>
      </c>
      <c r="BB26" s="91">
        <v>26501</v>
      </c>
      <c r="BC26" s="86">
        <v>0</v>
      </c>
      <c r="BD26" s="91">
        <v>1115</v>
      </c>
      <c r="BE26" s="86">
        <v>0</v>
      </c>
      <c r="BF26" s="91">
        <v>4378</v>
      </c>
      <c r="BG26" s="86">
        <v>0</v>
      </c>
      <c r="BH26" s="91">
        <v>3636</v>
      </c>
      <c r="BI26" s="86">
        <v>0</v>
      </c>
      <c r="BJ26" s="94">
        <v>1</v>
      </c>
      <c r="BK26" s="94">
        <v>29</v>
      </c>
      <c r="BL26" s="91">
        <v>601800</v>
      </c>
      <c r="BM26" s="94">
        <v>20</v>
      </c>
      <c r="BN26" s="101">
        <v>741</v>
      </c>
      <c r="BO26" s="86">
        <v>1</v>
      </c>
      <c r="BP26" s="91">
        <v>780230</v>
      </c>
      <c r="BQ26" s="94">
        <v>40</v>
      </c>
      <c r="BR26" s="105">
        <v>7375</v>
      </c>
      <c r="BS26" s="94">
        <v>5</v>
      </c>
      <c r="BT26" s="104">
        <v>10</v>
      </c>
      <c r="BU26" s="94">
        <v>60</v>
      </c>
      <c r="BV26" s="106">
        <v>2</v>
      </c>
      <c r="BW26" s="91">
        <v>124</v>
      </c>
      <c r="BX26" s="107">
        <v>15439.411265508745</v>
      </c>
      <c r="BY26" s="112"/>
      <c r="BZ26" s="109">
        <v>0</v>
      </c>
      <c r="CA26" s="91">
        <v>206623.1</v>
      </c>
      <c r="CB26" s="94">
        <v>3</v>
      </c>
      <c r="CC26" s="104">
        <v>17.13</v>
      </c>
      <c r="CD26" s="91">
        <v>29</v>
      </c>
      <c r="CE26" s="113">
        <v>3124.75</v>
      </c>
      <c r="CF26" s="91">
        <v>27</v>
      </c>
      <c r="CG26" s="114">
        <v>2909.25</v>
      </c>
      <c r="CH26" s="91">
        <v>31</v>
      </c>
      <c r="CI26" s="115">
        <v>3340.25</v>
      </c>
      <c r="CJ26" s="116">
        <v>9374.25</v>
      </c>
      <c r="CK26" s="117">
        <v>0</v>
      </c>
      <c r="CL26" s="91"/>
      <c r="CM26" s="91">
        <v>34568</v>
      </c>
      <c r="CN26" s="94">
        <v>0</v>
      </c>
      <c r="CO26" s="104">
        <v>0</v>
      </c>
      <c r="CP26" s="91">
        <v>34300</v>
      </c>
      <c r="CQ26" s="94">
        <v>0</v>
      </c>
      <c r="CR26" s="104">
        <v>0</v>
      </c>
      <c r="CS26" s="91">
        <v>10235.6</v>
      </c>
      <c r="CT26" s="94">
        <v>0</v>
      </c>
      <c r="CU26" s="104">
        <v>0</v>
      </c>
      <c r="CV26" s="91">
        <v>832172.5</v>
      </c>
      <c r="CW26" s="94">
        <v>0</v>
      </c>
      <c r="CX26" s="104">
        <v>0</v>
      </c>
      <c r="CY26" s="91">
        <v>6029</v>
      </c>
      <c r="CZ26" s="94">
        <v>1</v>
      </c>
      <c r="DA26" s="104">
        <v>2.39</v>
      </c>
      <c r="DB26" s="91">
        <v>7420</v>
      </c>
      <c r="DC26" s="94">
        <v>0</v>
      </c>
      <c r="DD26" s="94">
        <v>0</v>
      </c>
      <c r="DE26" s="91">
        <v>3886</v>
      </c>
      <c r="DF26" s="94">
        <v>5</v>
      </c>
      <c r="DG26" s="94">
        <v>1</v>
      </c>
      <c r="DH26" s="91">
        <v>1855.9</v>
      </c>
      <c r="DI26" s="94">
        <v>0</v>
      </c>
      <c r="DJ26" s="94">
        <v>0</v>
      </c>
      <c r="DK26" s="91">
        <v>5081.7</v>
      </c>
      <c r="DL26" s="94">
        <v>0</v>
      </c>
      <c r="DM26" s="94">
        <v>0</v>
      </c>
      <c r="DN26" s="91">
        <v>4454.7</v>
      </c>
      <c r="DO26" s="94">
        <v>0</v>
      </c>
      <c r="DP26" s="94">
        <v>0</v>
      </c>
      <c r="DQ26" s="91">
        <v>5089.6000000000004</v>
      </c>
      <c r="DR26" s="94">
        <v>0</v>
      </c>
      <c r="DS26" s="94">
        <v>0</v>
      </c>
      <c r="DT26" s="91">
        <v>5109.1000000000004</v>
      </c>
      <c r="DU26" s="94">
        <v>0</v>
      </c>
      <c r="DV26" s="104">
        <v>0</v>
      </c>
      <c r="DW26" s="111">
        <v>12871</v>
      </c>
      <c r="DX26" s="104">
        <v>0</v>
      </c>
      <c r="DY26" s="111">
        <v>62789</v>
      </c>
      <c r="DZ26" s="104">
        <v>0</v>
      </c>
      <c r="EA26" s="122">
        <v>15588</v>
      </c>
      <c r="EB26" s="104">
        <v>0</v>
      </c>
      <c r="EC26" s="122">
        <v>24679</v>
      </c>
      <c r="ED26" s="104">
        <v>0</v>
      </c>
      <c r="EE26" s="122">
        <v>2</v>
      </c>
      <c r="EF26" s="123">
        <v>6</v>
      </c>
      <c r="EG26" s="121">
        <v>1.4999999999999999E-2</v>
      </c>
      <c r="EH26" s="82"/>
      <c r="EI26" s="58"/>
      <c r="EJ26" s="58"/>
      <c r="EK26"/>
      <c r="EL26"/>
      <c r="EM26"/>
    </row>
    <row r="27" spans="1:144" s="20" customFormat="1" ht="15">
      <c r="A27" s="84">
        <v>44340</v>
      </c>
      <c r="B27" s="91">
        <v>7005496</v>
      </c>
      <c r="C27" s="86">
        <f t="shared" si="1"/>
        <v>5832</v>
      </c>
      <c r="D27" s="91">
        <v>6231318</v>
      </c>
      <c r="E27" s="86">
        <f t="shared" si="2"/>
        <v>5531</v>
      </c>
      <c r="F27" s="22">
        <f t="shared" si="3"/>
        <v>0.94838820301783266</v>
      </c>
      <c r="G27" s="87">
        <v>400</v>
      </c>
      <c r="H27" s="87">
        <v>432</v>
      </c>
      <c r="I27" s="88">
        <v>288057</v>
      </c>
      <c r="J27" s="89">
        <f t="shared" si="4"/>
        <v>0</v>
      </c>
      <c r="K27" s="90">
        <v>775</v>
      </c>
      <c r="L27" s="86">
        <v>0</v>
      </c>
      <c r="M27" s="91">
        <v>633950</v>
      </c>
      <c r="N27" s="86">
        <f t="shared" si="4"/>
        <v>0</v>
      </c>
      <c r="O27" s="91">
        <v>992</v>
      </c>
      <c r="P27" s="89">
        <f t="shared" si="7"/>
        <v>0</v>
      </c>
      <c r="Q27" s="91">
        <v>2551283</v>
      </c>
      <c r="R27" s="89">
        <f t="shared" si="9"/>
        <v>165</v>
      </c>
      <c r="S27" s="91">
        <v>2192014</v>
      </c>
      <c r="T27" s="89">
        <f t="shared" si="10"/>
        <v>2</v>
      </c>
      <c r="U27" s="91">
        <v>112234</v>
      </c>
      <c r="V27" s="89">
        <f t="shared" si="11"/>
        <v>93</v>
      </c>
      <c r="W27" s="91">
        <v>100</v>
      </c>
      <c r="X27" s="91">
        <v>152370</v>
      </c>
      <c r="Y27" s="89">
        <v>0</v>
      </c>
      <c r="Z27" s="87">
        <v>39882</v>
      </c>
      <c r="AA27" s="94">
        <v>10</v>
      </c>
      <c r="AB27" s="91">
        <v>1125</v>
      </c>
      <c r="AC27" s="95">
        <v>0</v>
      </c>
      <c r="AD27" s="91">
        <v>4605</v>
      </c>
      <c r="AE27" s="96">
        <v>0</v>
      </c>
      <c r="AF27" s="19"/>
      <c r="AG27" s="19"/>
      <c r="AH27" s="91">
        <v>580940</v>
      </c>
      <c r="AI27" s="89">
        <v>60</v>
      </c>
      <c r="AJ27" s="103">
        <v>550</v>
      </c>
      <c r="AK27" s="86">
        <v>6</v>
      </c>
      <c r="AL27" s="91">
        <v>52287</v>
      </c>
      <c r="AM27" s="100">
        <v>1</v>
      </c>
      <c r="AN27" s="91">
        <v>8921</v>
      </c>
      <c r="AO27" s="86">
        <v>0</v>
      </c>
      <c r="AP27" s="91">
        <v>10573</v>
      </c>
      <c r="AQ27" s="89">
        <v>0</v>
      </c>
      <c r="AR27" s="91">
        <v>14571</v>
      </c>
      <c r="AS27" s="86">
        <v>0</v>
      </c>
      <c r="AT27" s="91">
        <v>19369</v>
      </c>
      <c r="AU27" s="89">
        <v>0</v>
      </c>
      <c r="AV27" s="91">
        <v>20677</v>
      </c>
      <c r="AW27" s="94">
        <v>0</v>
      </c>
      <c r="AX27" s="91">
        <v>13871</v>
      </c>
      <c r="AY27" s="104">
        <v>0</v>
      </c>
      <c r="AZ27" s="91">
        <v>6224</v>
      </c>
      <c r="BA27" s="86">
        <v>0</v>
      </c>
      <c r="BB27" s="91">
        <v>26502</v>
      </c>
      <c r="BC27" s="86">
        <v>1</v>
      </c>
      <c r="BD27" s="91">
        <v>1115</v>
      </c>
      <c r="BE27" s="86">
        <v>0</v>
      </c>
      <c r="BF27" s="91">
        <v>4378</v>
      </c>
      <c r="BG27" s="86">
        <v>0</v>
      </c>
      <c r="BH27" s="91">
        <v>3636</v>
      </c>
      <c r="BI27" s="86">
        <v>0</v>
      </c>
      <c r="BJ27" s="94">
        <v>0</v>
      </c>
      <c r="BK27" s="94">
        <v>60</v>
      </c>
      <c r="BL27" s="91">
        <v>601830</v>
      </c>
      <c r="BM27" s="94">
        <v>30</v>
      </c>
      <c r="BN27" s="105">
        <v>741</v>
      </c>
      <c r="BO27" s="86">
        <v>0</v>
      </c>
      <c r="BP27" s="91">
        <v>780300</v>
      </c>
      <c r="BQ27" s="94">
        <v>70</v>
      </c>
      <c r="BR27" s="105">
        <v>7381</v>
      </c>
      <c r="BS27" s="94">
        <v>6</v>
      </c>
      <c r="BT27" s="104">
        <v>10</v>
      </c>
      <c r="BU27" s="94">
        <v>100</v>
      </c>
      <c r="BV27" s="106">
        <v>1</v>
      </c>
      <c r="BW27" s="91">
        <v>124</v>
      </c>
      <c r="BX27" s="107">
        <v>15439.411265508745</v>
      </c>
      <c r="BY27" s="112"/>
      <c r="BZ27" s="109">
        <v>0</v>
      </c>
      <c r="CA27" s="91">
        <v>206625.7</v>
      </c>
      <c r="CB27" s="94">
        <v>2.6000000000058208</v>
      </c>
      <c r="CC27" s="104">
        <v>14.846000000033236</v>
      </c>
      <c r="CD27" s="91">
        <v>29</v>
      </c>
      <c r="CE27" s="113">
        <v>3124.75</v>
      </c>
      <c r="CF27" s="91">
        <v>27</v>
      </c>
      <c r="CG27" s="114">
        <v>2909.25</v>
      </c>
      <c r="CH27" s="91">
        <v>31</v>
      </c>
      <c r="CI27" s="115">
        <v>3340.25</v>
      </c>
      <c r="CJ27" s="116">
        <v>9374.25</v>
      </c>
      <c r="CK27" s="117">
        <v>0</v>
      </c>
      <c r="CL27" s="91"/>
      <c r="CM27" s="91">
        <v>34569</v>
      </c>
      <c r="CN27" s="94">
        <v>1</v>
      </c>
      <c r="CO27" s="104">
        <v>2.44</v>
      </c>
      <c r="CP27" s="91">
        <v>34300</v>
      </c>
      <c r="CQ27" s="94">
        <v>0</v>
      </c>
      <c r="CR27" s="104">
        <v>0</v>
      </c>
      <c r="CS27" s="91">
        <v>10235.6</v>
      </c>
      <c r="CT27" s="94">
        <v>0</v>
      </c>
      <c r="CU27" s="104">
        <v>0</v>
      </c>
      <c r="CV27" s="91">
        <v>832172.5</v>
      </c>
      <c r="CW27" s="94">
        <v>0</v>
      </c>
      <c r="CX27" s="104">
        <v>0</v>
      </c>
      <c r="CY27" s="91">
        <v>6030.6</v>
      </c>
      <c r="CZ27" s="94">
        <v>1.6000000000003638</v>
      </c>
      <c r="DA27" s="104">
        <v>3.8240000000008698</v>
      </c>
      <c r="DB27" s="91">
        <v>7420</v>
      </c>
      <c r="DC27" s="94">
        <v>0</v>
      </c>
      <c r="DD27" s="94">
        <v>0</v>
      </c>
      <c r="DE27" s="91">
        <v>3890</v>
      </c>
      <c r="DF27" s="94">
        <v>4</v>
      </c>
      <c r="DG27" s="94">
        <v>40</v>
      </c>
      <c r="DH27" s="91">
        <v>1855.9</v>
      </c>
      <c r="DI27" s="94">
        <v>0</v>
      </c>
      <c r="DJ27" s="94">
        <v>0</v>
      </c>
      <c r="DK27" s="91">
        <v>5081.7</v>
      </c>
      <c r="DL27" s="94">
        <v>0</v>
      </c>
      <c r="DM27" s="94">
        <v>0</v>
      </c>
      <c r="DN27" s="91">
        <v>4454.7</v>
      </c>
      <c r="DO27" s="94">
        <v>0</v>
      </c>
      <c r="DP27" s="94">
        <v>0</v>
      </c>
      <c r="DQ27" s="91">
        <v>5089.6000000000004</v>
      </c>
      <c r="DR27" s="94">
        <v>0</v>
      </c>
      <c r="DS27" s="94">
        <v>0</v>
      </c>
      <c r="DT27" s="91">
        <v>5109.1000000000004</v>
      </c>
      <c r="DU27" s="94">
        <v>0</v>
      </c>
      <c r="DV27" s="104">
        <v>0</v>
      </c>
      <c r="DW27" s="111">
        <v>12871</v>
      </c>
      <c r="DX27" s="104">
        <v>0</v>
      </c>
      <c r="DY27" s="111">
        <v>62789</v>
      </c>
      <c r="DZ27" s="104">
        <v>0</v>
      </c>
      <c r="EA27" s="122">
        <v>15588</v>
      </c>
      <c r="EB27" s="104">
        <v>0</v>
      </c>
      <c r="EC27" s="122">
        <v>24679</v>
      </c>
      <c r="ED27" s="104">
        <v>0</v>
      </c>
      <c r="EE27" s="122">
        <v>2</v>
      </c>
      <c r="EF27" s="123">
        <v>6</v>
      </c>
      <c r="EG27" s="121">
        <v>1.4999999999999999E-2</v>
      </c>
      <c r="EH27" s="82"/>
      <c r="EI27" s="58"/>
      <c r="EJ27" s="58"/>
      <c r="EK27"/>
      <c r="EL27"/>
      <c r="EM27"/>
    </row>
    <row r="28" spans="1:144" s="20" customFormat="1" ht="15">
      <c r="A28" s="84">
        <v>44341</v>
      </c>
      <c r="B28" s="91">
        <v>7010736</v>
      </c>
      <c r="C28" s="86">
        <f t="shared" si="1"/>
        <v>5240</v>
      </c>
      <c r="D28" s="91">
        <v>6236379</v>
      </c>
      <c r="E28" s="86">
        <f t="shared" si="2"/>
        <v>5061</v>
      </c>
      <c r="F28" s="22">
        <f t="shared" si="3"/>
        <v>0.96583969465648856</v>
      </c>
      <c r="G28" s="87">
        <v>400</v>
      </c>
      <c r="H28" s="87">
        <v>432</v>
      </c>
      <c r="I28" s="88">
        <v>288057</v>
      </c>
      <c r="J28" s="89">
        <f t="shared" si="4"/>
        <v>0</v>
      </c>
      <c r="K28" s="90">
        <v>775</v>
      </c>
      <c r="L28" s="86">
        <v>0</v>
      </c>
      <c r="M28" s="91">
        <v>633950</v>
      </c>
      <c r="N28" s="86">
        <f t="shared" si="4"/>
        <v>0</v>
      </c>
      <c r="O28" s="91">
        <v>992</v>
      </c>
      <c r="P28" s="89">
        <f t="shared" si="7"/>
        <v>0</v>
      </c>
      <c r="Q28" s="91">
        <v>2551420</v>
      </c>
      <c r="R28" s="89">
        <f t="shared" si="9"/>
        <v>137</v>
      </c>
      <c r="S28" s="91">
        <v>2192015</v>
      </c>
      <c r="T28" s="89">
        <f t="shared" si="10"/>
        <v>1</v>
      </c>
      <c r="U28" s="91">
        <v>112355</v>
      </c>
      <c r="V28" s="89">
        <f t="shared" si="11"/>
        <v>121</v>
      </c>
      <c r="W28" s="91">
        <v>100</v>
      </c>
      <c r="X28" s="91">
        <v>152370</v>
      </c>
      <c r="Y28" s="89">
        <v>0</v>
      </c>
      <c r="Z28" s="87">
        <v>39896</v>
      </c>
      <c r="AA28" s="94">
        <v>14</v>
      </c>
      <c r="AB28" s="91">
        <v>1125</v>
      </c>
      <c r="AC28" s="95">
        <v>0</v>
      </c>
      <c r="AD28" s="91">
        <v>4605</v>
      </c>
      <c r="AE28" s="96">
        <v>0</v>
      </c>
      <c r="AF28" s="19"/>
      <c r="AG28" s="19"/>
      <c r="AH28" s="91">
        <v>581000</v>
      </c>
      <c r="AI28" s="89">
        <v>60</v>
      </c>
      <c r="AJ28" s="103">
        <v>561</v>
      </c>
      <c r="AK28" s="86">
        <v>11</v>
      </c>
      <c r="AL28" s="91">
        <v>52289</v>
      </c>
      <c r="AM28" s="100">
        <v>2</v>
      </c>
      <c r="AN28" s="91">
        <v>8921</v>
      </c>
      <c r="AO28" s="86">
        <v>0</v>
      </c>
      <c r="AP28" s="91">
        <v>10574</v>
      </c>
      <c r="AQ28" s="89">
        <v>0</v>
      </c>
      <c r="AR28" s="91">
        <v>14573</v>
      </c>
      <c r="AS28" s="86">
        <v>2</v>
      </c>
      <c r="AT28" s="91">
        <v>19369</v>
      </c>
      <c r="AU28" s="89">
        <v>0</v>
      </c>
      <c r="AV28" s="91">
        <v>20677</v>
      </c>
      <c r="AW28" s="94">
        <v>0</v>
      </c>
      <c r="AX28" s="91">
        <v>13871</v>
      </c>
      <c r="AY28" s="104">
        <v>0</v>
      </c>
      <c r="AZ28" s="91">
        <v>6224</v>
      </c>
      <c r="BA28" s="86">
        <v>0</v>
      </c>
      <c r="BB28" s="91">
        <v>26504</v>
      </c>
      <c r="BC28" s="86">
        <v>2</v>
      </c>
      <c r="BD28" s="91">
        <v>1115</v>
      </c>
      <c r="BE28" s="86">
        <v>0</v>
      </c>
      <c r="BF28" s="91">
        <v>4378</v>
      </c>
      <c r="BG28" s="86">
        <v>0</v>
      </c>
      <c r="BH28" s="91">
        <v>3636</v>
      </c>
      <c r="BI28" s="86">
        <v>0</v>
      </c>
      <c r="BJ28" s="94">
        <v>2</v>
      </c>
      <c r="BK28" s="94">
        <v>58</v>
      </c>
      <c r="BL28" s="91">
        <v>601880</v>
      </c>
      <c r="BM28" s="94">
        <v>50</v>
      </c>
      <c r="BN28" s="105">
        <v>742</v>
      </c>
      <c r="BO28" s="86">
        <v>1</v>
      </c>
      <c r="BP28" s="91">
        <v>780380</v>
      </c>
      <c r="BQ28" s="94">
        <v>80</v>
      </c>
      <c r="BR28" s="105">
        <v>7387</v>
      </c>
      <c r="BS28" s="94">
        <v>6</v>
      </c>
      <c r="BT28" s="104">
        <v>20</v>
      </c>
      <c r="BU28" s="94">
        <v>130</v>
      </c>
      <c r="BV28" s="106">
        <v>4</v>
      </c>
      <c r="BW28" s="91">
        <v>124</v>
      </c>
      <c r="BX28" s="107">
        <v>15439.411265508745</v>
      </c>
      <c r="BY28" s="112"/>
      <c r="BZ28" s="109">
        <v>0</v>
      </c>
      <c r="CA28" s="91">
        <v>206630.6</v>
      </c>
      <c r="CB28" s="94">
        <v>4.8999999999941792</v>
      </c>
      <c r="CC28" s="104">
        <v>27.978999999966764</v>
      </c>
      <c r="CD28" s="91">
        <v>29</v>
      </c>
      <c r="CE28" s="113">
        <v>3124.75</v>
      </c>
      <c r="CF28" s="91">
        <v>27</v>
      </c>
      <c r="CG28" s="114">
        <v>2909.25</v>
      </c>
      <c r="CH28" s="91">
        <v>31</v>
      </c>
      <c r="CI28" s="115">
        <v>3340.25</v>
      </c>
      <c r="CJ28" s="116">
        <v>9374.25</v>
      </c>
      <c r="CK28" s="117">
        <v>0</v>
      </c>
      <c r="CL28" s="91"/>
      <c r="CM28" s="91">
        <v>34572</v>
      </c>
      <c r="CN28" s="94">
        <v>3</v>
      </c>
      <c r="CO28" s="104">
        <v>7.32</v>
      </c>
      <c r="CP28" s="91">
        <v>34300</v>
      </c>
      <c r="CQ28" s="94">
        <v>0</v>
      </c>
      <c r="CR28" s="104">
        <v>0</v>
      </c>
      <c r="CS28" s="91">
        <v>10235.6</v>
      </c>
      <c r="CT28" s="94">
        <v>0</v>
      </c>
      <c r="CU28" s="104">
        <v>0</v>
      </c>
      <c r="CV28" s="91">
        <v>832172.5</v>
      </c>
      <c r="CW28" s="94">
        <v>0</v>
      </c>
      <c r="CX28" s="104">
        <v>0</v>
      </c>
      <c r="CY28" s="91">
        <v>6032.6</v>
      </c>
      <c r="CZ28" s="94">
        <v>2</v>
      </c>
      <c r="DA28" s="104">
        <v>4.78</v>
      </c>
      <c r="DB28" s="91">
        <v>7420</v>
      </c>
      <c r="DC28" s="94">
        <v>0</v>
      </c>
      <c r="DD28" s="94">
        <v>0</v>
      </c>
      <c r="DE28" s="91">
        <v>3896</v>
      </c>
      <c r="DF28" s="94">
        <v>6</v>
      </c>
      <c r="DG28" s="94">
        <v>2</v>
      </c>
      <c r="DH28" s="91">
        <v>1855.9</v>
      </c>
      <c r="DI28" s="94">
        <v>0</v>
      </c>
      <c r="DJ28" s="94">
        <v>0</v>
      </c>
      <c r="DK28" s="91">
        <v>5081.7</v>
      </c>
      <c r="DL28" s="94">
        <v>0</v>
      </c>
      <c r="DM28" s="94">
        <v>0</v>
      </c>
      <c r="DN28" s="91">
        <v>4454.7</v>
      </c>
      <c r="DO28" s="94">
        <v>0</v>
      </c>
      <c r="DP28" s="94">
        <v>0</v>
      </c>
      <c r="DQ28" s="91">
        <v>5089.6000000000004</v>
      </c>
      <c r="DR28" s="94">
        <v>0</v>
      </c>
      <c r="DS28" s="94">
        <v>0</v>
      </c>
      <c r="DT28" s="91">
        <v>5109.1000000000004</v>
      </c>
      <c r="DU28" s="94">
        <v>0</v>
      </c>
      <c r="DV28" s="104">
        <v>0</v>
      </c>
      <c r="DW28" s="111">
        <v>12871</v>
      </c>
      <c r="DX28" s="104">
        <v>0</v>
      </c>
      <c r="DY28" s="111">
        <v>62789</v>
      </c>
      <c r="DZ28" s="104">
        <v>0</v>
      </c>
      <c r="EA28" s="122">
        <v>15588</v>
      </c>
      <c r="EB28" s="104">
        <v>0</v>
      </c>
      <c r="EC28" s="122">
        <v>24679</v>
      </c>
      <c r="ED28" s="104">
        <v>0</v>
      </c>
      <c r="EE28" s="122">
        <v>2</v>
      </c>
      <c r="EF28" s="123">
        <v>6</v>
      </c>
      <c r="EG28" s="121">
        <v>1.4999999999999999E-2</v>
      </c>
      <c r="EH28" s="82"/>
      <c r="EI28" s="58"/>
      <c r="EJ28" s="58"/>
      <c r="EK28"/>
      <c r="EL28"/>
      <c r="EM28"/>
    </row>
    <row r="29" spans="1:144" s="20" customFormat="1" ht="15">
      <c r="A29" s="84">
        <v>44342</v>
      </c>
      <c r="B29" s="91">
        <v>7016489</v>
      </c>
      <c r="C29" s="86">
        <v>5753</v>
      </c>
      <c r="D29" s="91">
        <v>6241902</v>
      </c>
      <c r="E29" s="86">
        <v>5523</v>
      </c>
      <c r="F29" s="22">
        <v>0.96002085868242659</v>
      </c>
      <c r="G29" s="87">
        <v>400</v>
      </c>
      <c r="H29" s="87">
        <v>432</v>
      </c>
      <c r="I29" s="88">
        <v>288057</v>
      </c>
      <c r="J29" s="89">
        <v>0</v>
      </c>
      <c r="K29" s="90">
        <v>775</v>
      </c>
      <c r="L29" s="86">
        <v>0</v>
      </c>
      <c r="M29" s="91">
        <v>633950</v>
      </c>
      <c r="N29" s="86">
        <v>0</v>
      </c>
      <c r="O29" s="91">
        <v>992</v>
      </c>
      <c r="P29" s="89">
        <v>0</v>
      </c>
      <c r="Q29" s="91">
        <v>2551604</v>
      </c>
      <c r="R29" s="89">
        <v>184</v>
      </c>
      <c r="S29" s="91">
        <v>2192016</v>
      </c>
      <c r="T29" s="89">
        <v>1</v>
      </c>
      <c r="U29" s="91">
        <v>112468</v>
      </c>
      <c r="V29" s="89">
        <v>113</v>
      </c>
      <c r="W29" s="74">
        <v>100</v>
      </c>
      <c r="X29" s="91">
        <v>152370</v>
      </c>
      <c r="Y29" s="89">
        <v>0</v>
      </c>
      <c r="Z29" s="87">
        <v>39910</v>
      </c>
      <c r="AA29" s="94">
        <v>14</v>
      </c>
      <c r="AB29" s="91">
        <v>1125</v>
      </c>
      <c r="AC29" s="95">
        <v>0</v>
      </c>
      <c r="AD29" s="91">
        <v>4605</v>
      </c>
      <c r="AE29" s="96">
        <v>0</v>
      </c>
      <c r="AF29" s="19"/>
      <c r="AG29" s="19"/>
      <c r="AH29" s="91">
        <v>581060</v>
      </c>
      <c r="AI29" s="89">
        <v>60</v>
      </c>
      <c r="AJ29" s="103">
        <v>566</v>
      </c>
      <c r="AK29" s="86">
        <v>5</v>
      </c>
      <c r="AL29" s="91">
        <v>52290</v>
      </c>
      <c r="AM29" s="100">
        <v>1</v>
      </c>
      <c r="AN29" s="91">
        <v>8921</v>
      </c>
      <c r="AO29" s="86">
        <v>0</v>
      </c>
      <c r="AP29" s="91">
        <v>10574</v>
      </c>
      <c r="AQ29" s="89">
        <v>0</v>
      </c>
      <c r="AR29" s="91">
        <v>14574</v>
      </c>
      <c r="AS29" s="86">
        <v>1</v>
      </c>
      <c r="AT29" s="91">
        <v>19369</v>
      </c>
      <c r="AU29" s="89">
        <v>0</v>
      </c>
      <c r="AV29" s="91">
        <v>20677</v>
      </c>
      <c r="AW29" s="94">
        <v>0</v>
      </c>
      <c r="AX29" s="91">
        <v>13871</v>
      </c>
      <c r="AY29" s="104">
        <v>0</v>
      </c>
      <c r="AZ29" s="91">
        <v>6224</v>
      </c>
      <c r="BA29" s="86">
        <v>0</v>
      </c>
      <c r="BB29" s="91">
        <v>26505</v>
      </c>
      <c r="BC29" s="86">
        <v>1</v>
      </c>
      <c r="BD29" s="91">
        <v>1115</v>
      </c>
      <c r="BE29" s="86">
        <v>0</v>
      </c>
      <c r="BF29" s="91">
        <v>4378</v>
      </c>
      <c r="BG29" s="86">
        <v>0</v>
      </c>
      <c r="BH29" s="91">
        <v>3636</v>
      </c>
      <c r="BI29" s="86">
        <v>0</v>
      </c>
      <c r="BJ29" s="94">
        <v>1</v>
      </c>
      <c r="BK29" s="94">
        <v>59</v>
      </c>
      <c r="BL29" s="91">
        <v>601930</v>
      </c>
      <c r="BM29" s="94">
        <v>50</v>
      </c>
      <c r="BN29" s="105">
        <v>742</v>
      </c>
      <c r="BO29" s="86">
        <v>0</v>
      </c>
      <c r="BP29" s="91">
        <v>780440</v>
      </c>
      <c r="BQ29" s="94">
        <v>60</v>
      </c>
      <c r="BR29" s="105">
        <v>7391</v>
      </c>
      <c r="BS29" s="94">
        <v>4</v>
      </c>
      <c r="BT29" s="104">
        <v>0</v>
      </c>
      <c r="BU29" s="94">
        <v>110</v>
      </c>
      <c r="BV29" s="106">
        <v>2</v>
      </c>
      <c r="BW29" s="91">
        <v>124</v>
      </c>
      <c r="BX29" s="107">
        <v>15439.411265508745</v>
      </c>
      <c r="BY29" s="112"/>
      <c r="BZ29" s="109">
        <v>0</v>
      </c>
      <c r="CA29" s="91">
        <v>206635.4</v>
      </c>
      <c r="CB29" s="94">
        <v>4.7999999999883585</v>
      </c>
      <c r="CC29" s="104">
        <v>27.407999999933526</v>
      </c>
      <c r="CD29" s="91">
        <v>29</v>
      </c>
      <c r="CE29" s="113">
        <v>3124.75</v>
      </c>
      <c r="CF29" s="91">
        <v>27</v>
      </c>
      <c r="CG29" s="114">
        <v>2909.25</v>
      </c>
      <c r="CH29" s="91">
        <v>30</v>
      </c>
      <c r="CI29" s="115">
        <v>3232.5</v>
      </c>
      <c r="CJ29" s="116">
        <v>9266.5</v>
      </c>
      <c r="CK29" s="117">
        <v>107.75</v>
      </c>
      <c r="CL29" s="91"/>
      <c r="CM29" s="91">
        <v>34574</v>
      </c>
      <c r="CN29" s="94">
        <v>2</v>
      </c>
      <c r="CO29" s="104">
        <v>4.88</v>
      </c>
      <c r="CP29" s="91">
        <v>34300</v>
      </c>
      <c r="CQ29" s="94">
        <v>0</v>
      </c>
      <c r="CR29" s="104">
        <v>0</v>
      </c>
      <c r="CS29" s="91">
        <v>10235.6</v>
      </c>
      <c r="CT29" s="94">
        <v>0</v>
      </c>
      <c r="CU29" s="104">
        <v>0</v>
      </c>
      <c r="CV29" s="91">
        <v>832172.5</v>
      </c>
      <c r="CW29" s="94">
        <v>0</v>
      </c>
      <c r="CX29" s="104">
        <v>0</v>
      </c>
      <c r="CY29" s="91">
        <v>6035.3</v>
      </c>
      <c r="CZ29" s="94">
        <v>2.6999999999998181</v>
      </c>
      <c r="DA29" s="104">
        <v>6.452999999999566</v>
      </c>
      <c r="DB29" s="91">
        <v>7420</v>
      </c>
      <c r="DC29" s="94">
        <v>0</v>
      </c>
      <c r="DD29" s="94">
        <v>0</v>
      </c>
      <c r="DE29" s="91">
        <v>3902</v>
      </c>
      <c r="DF29" s="94">
        <v>6</v>
      </c>
      <c r="DG29" s="94">
        <v>0</v>
      </c>
      <c r="DH29" s="91">
        <v>1855.9</v>
      </c>
      <c r="DI29" s="94">
        <v>0</v>
      </c>
      <c r="DJ29" s="94">
        <v>0</v>
      </c>
      <c r="DK29" s="91">
        <v>5081.7</v>
      </c>
      <c r="DL29" s="94">
        <v>0</v>
      </c>
      <c r="DM29" s="94">
        <v>0</v>
      </c>
      <c r="DN29" s="91">
        <v>4454.7</v>
      </c>
      <c r="DO29" s="94">
        <v>0</v>
      </c>
      <c r="DP29" s="94">
        <v>0</v>
      </c>
      <c r="DQ29" s="91">
        <v>5089.6000000000004</v>
      </c>
      <c r="DR29" s="94">
        <v>0</v>
      </c>
      <c r="DS29" s="94">
        <v>0</v>
      </c>
      <c r="DT29" s="91">
        <v>5109.1000000000004</v>
      </c>
      <c r="DU29" s="94">
        <v>0</v>
      </c>
      <c r="DV29" s="104">
        <v>0</v>
      </c>
      <c r="DW29" s="111">
        <v>12871</v>
      </c>
      <c r="DX29" s="104">
        <v>0</v>
      </c>
      <c r="DY29" s="111">
        <v>62789</v>
      </c>
      <c r="DZ29" s="104">
        <v>0</v>
      </c>
      <c r="EA29" s="122">
        <v>15588</v>
      </c>
      <c r="EB29" s="104">
        <v>0</v>
      </c>
      <c r="EC29" s="122">
        <v>24679</v>
      </c>
      <c r="ED29" s="104">
        <v>0</v>
      </c>
      <c r="EE29" s="122">
        <v>2</v>
      </c>
      <c r="EF29" s="123">
        <v>6</v>
      </c>
      <c r="EG29" s="121">
        <v>1.4999999999999999E-2</v>
      </c>
      <c r="EH29" s="82"/>
      <c r="EI29" s="58"/>
      <c r="EJ29" s="58"/>
      <c r="EK29"/>
      <c r="EL29"/>
      <c r="EM29"/>
    </row>
    <row r="30" spans="1:144" s="20" customFormat="1" ht="15">
      <c r="A30" s="84">
        <v>44343</v>
      </c>
      <c r="B30" s="91"/>
      <c r="C30" s="86" t="str">
        <f t="shared" ref="C4:C33" si="12">IF((B30-B29)&lt;0,"0",(B30-B29))</f>
        <v>0</v>
      </c>
      <c r="D30" s="91"/>
      <c r="E30" s="86" t="str">
        <f t="shared" ref="E4:E33" si="13">IF((D30-D29)&lt;0,"0",(D30-D29))</f>
        <v>0</v>
      </c>
      <c r="F30" s="22" t="e">
        <f t="shared" ref="F4:F33" si="14">E30/C30</f>
        <v>#DIV/0!</v>
      </c>
      <c r="G30" s="87"/>
      <c r="H30" s="87"/>
      <c r="I30" s="88"/>
      <c r="J30" s="89" t="str">
        <f t="shared" ref="J4:N33" si="15">IF((I30-I29)&lt;0,"0",(I30-I29))</f>
        <v>0</v>
      </c>
      <c r="K30" s="90"/>
      <c r="L30" s="86">
        <v>0</v>
      </c>
      <c r="M30" s="91"/>
      <c r="N30" s="86">
        <v>0</v>
      </c>
      <c r="O30" s="91"/>
      <c r="P30" s="89" t="str">
        <f t="shared" ref="P4:P33" si="16">IF((O30-O29)&lt;0,"0",(O30-O29))</f>
        <v>0</v>
      </c>
      <c r="Q30" s="91"/>
      <c r="R30" s="89">
        <f t="shared" ref="R20:R33" si="17">(Q30-Q29)</f>
        <v>-2551604</v>
      </c>
      <c r="S30" s="91"/>
      <c r="T30" s="89">
        <f t="shared" ref="T20:T33" si="18">(S30-S29)</f>
        <v>-2192016</v>
      </c>
      <c r="U30" s="91"/>
      <c r="V30" s="89" t="str">
        <f t="shared" ref="T11:V33" si="19">IF((U30-U29)&lt;0,"0",(U30-U29))</f>
        <v>0</v>
      </c>
      <c r="W30" s="74"/>
      <c r="X30" s="91"/>
      <c r="Y30" s="89">
        <v>0</v>
      </c>
      <c r="Z30" s="91"/>
      <c r="AA30" s="94"/>
      <c r="AB30" s="91"/>
      <c r="AC30" s="95" t="str">
        <f t="shared" ref="AC19:AC33" si="20">IF((AB30-AB29)&lt;0,"0",(AB30-AB29))</f>
        <v>0</v>
      </c>
      <c r="AD30" s="91"/>
      <c r="AE30" s="96"/>
      <c r="AF30" s="19"/>
      <c r="AG30" s="19"/>
      <c r="AH30" s="91"/>
      <c r="AI30" s="89"/>
      <c r="AJ30" s="103"/>
      <c r="AK30" s="86"/>
      <c r="AL30" s="91"/>
      <c r="AM30" s="100"/>
      <c r="AN30" s="91"/>
      <c r="AO30" s="86"/>
      <c r="AP30" s="91"/>
      <c r="AQ30" s="89"/>
      <c r="AR30" s="91"/>
      <c r="AS30" s="86"/>
      <c r="AT30" s="91"/>
      <c r="AU30" s="89"/>
      <c r="AV30" s="91"/>
      <c r="AW30" s="94"/>
      <c r="AX30" s="91"/>
      <c r="AY30" s="104"/>
      <c r="AZ30" s="91"/>
      <c r="BA30" s="86"/>
      <c r="BB30" s="91"/>
      <c r="BC30" s="86"/>
      <c r="BD30" s="91"/>
      <c r="BE30" s="86"/>
      <c r="BF30" s="91"/>
      <c r="BG30" s="86"/>
      <c r="BH30" s="91"/>
      <c r="BI30" s="86"/>
      <c r="BJ30" s="94"/>
      <c r="BK30" s="94"/>
      <c r="BL30" s="91"/>
      <c r="BM30" s="94"/>
      <c r="BN30" s="105"/>
      <c r="BO30" s="86"/>
      <c r="BP30" s="91"/>
      <c r="BQ30" s="94"/>
      <c r="BR30" s="105"/>
      <c r="BS30" s="94"/>
      <c r="BT30" s="104"/>
      <c r="BU30" s="94"/>
      <c r="BV30" s="106"/>
      <c r="BW30" s="91"/>
      <c r="BX30" s="107"/>
      <c r="BY30" s="112"/>
      <c r="BZ30" s="109"/>
      <c r="CA30" s="93"/>
      <c r="CB30" s="94"/>
      <c r="CC30" s="104"/>
      <c r="CD30" s="87"/>
      <c r="CE30" s="113"/>
      <c r="CF30" s="87"/>
      <c r="CG30" s="114"/>
      <c r="CH30" s="87"/>
      <c r="CI30" s="115"/>
      <c r="CJ30" s="116"/>
      <c r="CK30" s="117"/>
      <c r="CL30" s="91"/>
      <c r="CM30" s="91"/>
      <c r="CN30" s="94"/>
      <c r="CO30" s="104"/>
      <c r="CP30" s="91"/>
      <c r="CQ30" s="94"/>
      <c r="CR30" s="104"/>
      <c r="CS30" s="91"/>
      <c r="CT30" s="94"/>
      <c r="CU30" s="104"/>
      <c r="CV30" s="91"/>
      <c r="CW30" s="94"/>
      <c r="CX30" s="104"/>
      <c r="CY30" s="91"/>
      <c r="CZ30" s="94"/>
      <c r="DA30" s="104"/>
      <c r="DB30" s="91"/>
      <c r="DC30" s="94"/>
      <c r="DD30" s="94"/>
      <c r="DE30" s="91"/>
      <c r="DF30" s="94"/>
      <c r="DG30" s="94"/>
      <c r="DH30" s="91"/>
      <c r="DI30" s="94"/>
      <c r="DJ30" s="94"/>
      <c r="DK30" s="91"/>
      <c r="DL30" s="94"/>
      <c r="DM30" s="94"/>
      <c r="DN30" s="91"/>
      <c r="DO30" s="94"/>
      <c r="DP30" s="94"/>
      <c r="DQ30" s="91"/>
      <c r="DR30" s="94"/>
      <c r="DS30" s="94"/>
      <c r="DT30" s="91"/>
      <c r="DU30" s="94"/>
      <c r="DV30" s="104"/>
      <c r="DW30" s="111"/>
      <c r="DX30" s="104"/>
      <c r="DY30" s="111"/>
      <c r="DZ30" s="104"/>
      <c r="EA30" s="122"/>
      <c r="EB30" s="104"/>
      <c r="EC30" s="122"/>
      <c r="ED30" s="104"/>
      <c r="EE30" s="122"/>
      <c r="EF30" s="123"/>
      <c r="EG30" s="121"/>
      <c r="EH30" s="58"/>
      <c r="EI30" s="58"/>
      <c r="EJ30" s="58"/>
      <c r="EK30"/>
      <c r="EL30"/>
      <c r="EM30"/>
    </row>
    <row r="31" spans="1:144" s="20" customFormat="1" ht="15">
      <c r="A31" s="84">
        <v>44344</v>
      </c>
      <c r="B31" s="91"/>
      <c r="C31" s="86">
        <f t="shared" si="12"/>
        <v>0</v>
      </c>
      <c r="D31" s="91"/>
      <c r="E31" s="86">
        <f t="shared" si="13"/>
        <v>0</v>
      </c>
      <c r="F31" s="22" t="e">
        <f t="shared" si="14"/>
        <v>#DIV/0!</v>
      </c>
      <c r="G31" s="87"/>
      <c r="H31" s="87"/>
      <c r="I31" s="88"/>
      <c r="J31" s="89">
        <f t="shared" si="15"/>
        <v>0</v>
      </c>
      <c r="K31" s="90"/>
      <c r="L31" s="86">
        <v>0</v>
      </c>
      <c r="M31" s="91"/>
      <c r="N31" s="86">
        <v>0</v>
      </c>
      <c r="O31" s="91"/>
      <c r="P31" s="89">
        <f t="shared" si="16"/>
        <v>0</v>
      </c>
      <c r="Q31" s="91"/>
      <c r="R31" s="89">
        <f t="shared" si="17"/>
        <v>0</v>
      </c>
      <c r="S31" s="91"/>
      <c r="T31" s="89">
        <f t="shared" si="18"/>
        <v>0</v>
      </c>
      <c r="U31" s="91"/>
      <c r="V31" s="89">
        <f t="shared" si="19"/>
        <v>0</v>
      </c>
      <c r="W31" s="74"/>
      <c r="X31" s="91"/>
      <c r="Y31" s="89">
        <v>0</v>
      </c>
      <c r="Z31" s="91"/>
      <c r="AA31" s="94"/>
      <c r="AB31" s="91"/>
      <c r="AC31" s="95">
        <f t="shared" si="20"/>
        <v>0</v>
      </c>
      <c r="AD31" s="91"/>
      <c r="AE31" s="96"/>
      <c r="AF31" s="19"/>
      <c r="AG31" s="19"/>
      <c r="AH31" s="91"/>
      <c r="AI31" s="89"/>
      <c r="AJ31" s="103"/>
      <c r="AK31" s="86"/>
      <c r="AL31" s="91"/>
      <c r="AM31" s="100"/>
      <c r="AN31" s="91"/>
      <c r="AO31" s="86"/>
      <c r="AP31" s="91"/>
      <c r="AQ31" s="89"/>
      <c r="AR31" s="91"/>
      <c r="AS31" s="89"/>
      <c r="AT31" s="91"/>
      <c r="AU31" s="89"/>
      <c r="AV31" s="91"/>
      <c r="AW31" s="94"/>
      <c r="AX31" s="91"/>
      <c r="AY31" s="104"/>
      <c r="AZ31" s="91"/>
      <c r="BA31" s="86"/>
      <c r="BB31" s="91"/>
      <c r="BC31" s="86"/>
      <c r="BD31" s="91"/>
      <c r="BE31" s="86"/>
      <c r="BF31" s="91"/>
      <c r="BG31" s="86"/>
      <c r="BH31" s="91"/>
      <c r="BI31" s="86"/>
      <c r="BJ31" s="94"/>
      <c r="BK31" s="94"/>
      <c r="BL31" s="91"/>
      <c r="BM31" s="94"/>
      <c r="BN31" s="105"/>
      <c r="BO31" s="86"/>
      <c r="BP31" s="91"/>
      <c r="BQ31" s="94"/>
      <c r="BR31" s="105"/>
      <c r="BS31" s="94"/>
      <c r="BT31" s="104"/>
      <c r="BU31" s="94"/>
      <c r="BV31" s="106"/>
      <c r="BW31" s="91"/>
      <c r="BX31" s="107"/>
      <c r="BY31" s="112"/>
      <c r="BZ31" s="109"/>
      <c r="CA31" s="91"/>
      <c r="CB31" s="94"/>
      <c r="CC31" s="104"/>
      <c r="CD31" s="87"/>
      <c r="CE31" s="113"/>
      <c r="CF31" s="87"/>
      <c r="CG31" s="114"/>
      <c r="CH31" s="87"/>
      <c r="CI31" s="115"/>
      <c r="CJ31" s="116"/>
      <c r="CK31" s="117"/>
      <c r="CL31" s="91"/>
      <c r="CM31" s="91"/>
      <c r="CN31" s="94"/>
      <c r="CO31" s="104"/>
      <c r="CP31" s="91"/>
      <c r="CQ31" s="94"/>
      <c r="CR31" s="104"/>
      <c r="CS31" s="91"/>
      <c r="CT31" s="94"/>
      <c r="CU31" s="104"/>
      <c r="CV31" s="91"/>
      <c r="CW31" s="94"/>
      <c r="CX31" s="104"/>
      <c r="CY31" s="91"/>
      <c r="CZ31" s="94"/>
      <c r="DA31" s="104"/>
      <c r="DB31" s="91"/>
      <c r="DC31" s="94"/>
      <c r="DD31" s="94"/>
      <c r="DE31" s="91"/>
      <c r="DF31" s="94"/>
      <c r="DG31" s="94"/>
      <c r="DH31" s="91"/>
      <c r="DI31" s="94"/>
      <c r="DJ31" s="94"/>
      <c r="DK31" s="91"/>
      <c r="DL31" s="94"/>
      <c r="DM31" s="94"/>
      <c r="DN31" s="91"/>
      <c r="DO31" s="94"/>
      <c r="DP31" s="94"/>
      <c r="DQ31" s="91"/>
      <c r="DR31" s="94"/>
      <c r="DS31" s="94"/>
      <c r="DT31" s="91"/>
      <c r="DU31" s="94"/>
      <c r="DV31" s="104"/>
      <c r="DW31" s="111"/>
      <c r="DX31" s="104"/>
      <c r="DY31" s="111"/>
      <c r="DZ31" s="104"/>
      <c r="EA31" s="122"/>
      <c r="EB31" s="104"/>
      <c r="EC31" s="122"/>
      <c r="ED31" s="104"/>
      <c r="EE31" s="122"/>
      <c r="EF31" s="123"/>
      <c r="EG31" s="121"/>
      <c r="EH31" s="58"/>
      <c r="EI31" s="58"/>
      <c r="EJ31" s="58"/>
      <c r="EK31"/>
      <c r="EL31"/>
      <c r="EM31"/>
    </row>
    <row r="32" spans="1:144" s="20" customFormat="1" ht="15">
      <c r="A32" s="84">
        <v>44345</v>
      </c>
      <c r="B32" s="91"/>
      <c r="C32" s="86">
        <f t="shared" si="12"/>
        <v>0</v>
      </c>
      <c r="D32" s="91"/>
      <c r="E32" s="86">
        <f t="shared" si="13"/>
        <v>0</v>
      </c>
      <c r="F32" s="22" t="e">
        <f t="shared" si="14"/>
        <v>#DIV/0!</v>
      </c>
      <c r="G32" s="87"/>
      <c r="H32" s="87"/>
      <c r="I32" s="88"/>
      <c r="J32" s="89">
        <f t="shared" si="15"/>
        <v>0</v>
      </c>
      <c r="K32" s="90"/>
      <c r="L32" s="86">
        <v>0</v>
      </c>
      <c r="M32" s="91"/>
      <c r="N32" s="86">
        <v>0</v>
      </c>
      <c r="O32" s="91"/>
      <c r="P32" s="89">
        <f t="shared" si="16"/>
        <v>0</v>
      </c>
      <c r="Q32" s="91"/>
      <c r="R32" s="89">
        <f>IF((Q32-Q31)&lt;0,"0",(Q32-Q31))</f>
        <v>0</v>
      </c>
      <c r="S32" s="91"/>
      <c r="T32" s="89">
        <f t="shared" si="19"/>
        <v>0</v>
      </c>
      <c r="U32" s="91"/>
      <c r="V32" s="89">
        <f t="shared" si="19"/>
        <v>0</v>
      </c>
      <c r="W32" s="74"/>
      <c r="X32" s="91"/>
      <c r="Y32" s="89">
        <v>0</v>
      </c>
      <c r="Z32" s="91"/>
      <c r="AA32" s="94"/>
      <c r="AB32" s="91"/>
      <c r="AC32" s="95">
        <f t="shared" si="20"/>
        <v>0</v>
      </c>
      <c r="AD32" s="91"/>
      <c r="AE32" s="89"/>
      <c r="AF32" s="19"/>
      <c r="AG32" s="19"/>
      <c r="AH32" s="91"/>
      <c r="AI32" s="89"/>
      <c r="AJ32" s="103"/>
      <c r="AK32" s="89"/>
      <c r="AL32" s="91"/>
      <c r="AM32" s="89"/>
      <c r="AN32" s="91"/>
      <c r="AO32" s="89"/>
      <c r="AP32" s="91"/>
      <c r="AQ32" s="89"/>
      <c r="AR32" s="91"/>
      <c r="AS32" s="89"/>
      <c r="AT32" s="91"/>
      <c r="AU32" s="89"/>
      <c r="AV32" s="91"/>
      <c r="AW32" s="94"/>
      <c r="AX32" s="91"/>
      <c r="AY32" s="104"/>
      <c r="AZ32" s="91"/>
      <c r="BA32" s="89"/>
      <c r="BB32" s="91"/>
      <c r="BC32" s="89"/>
      <c r="BD32" s="91"/>
      <c r="BE32" s="89"/>
      <c r="BF32" s="91"/>
      <c r="BG32" s="89"/>
      <c r="BH32" s="91"/>
      <c r="BI32" s="89"/>
      <c r="BJ32" s="94"/>
      <c r="BK32" s="94"/>
      <c r="BL32" s="91"/>
      <c r="BM32" s="94"/>
      <c r="BN32" s="105"/>
      <c r="BO32" s="104"/>
      <c r="BP32" s="91"/>
      <c r="BQ32" s="94"/>
      <c r="BR32" s="105"/>
      <c r="BS32" s="94"/>
      <c r="BT32" s="104"/>
      <c r="BU32" s="94"/>
      <c r="BV32" s="106"/>
      <c r="BW32" s="91"/>
      <c r="BX32" s="107"/>
      <c r="BY32" s="112"/>
      <c r="BZ32" s="109"/>
      <c r="CA32" s="87"/>
      <c r="CB32" s="94"/>
      <c r="CC32" s="104"/>
      <c r="CD32" s="87"/>
      <c r="CE32" s="113"/>
      <c r="CF32" s="87"/>
      <c r="CG32" s="114"/>
      <c r="CH32" s="87"/>
      <c r="CI32" s="115"/>
      <c r="CJ32" s="116"/>
      <c r="CK32" s="117"/>
      <c r="CL32" s="91"/>
      <c r="CM32" s="91"/>
      <c r="CN32" s="94"/>
      <c r="CO32" s="104"/>
      <c r="CP32" s="91"/>
      <c r="CQ32" s="94"/>
      <c r="CR32" s="104"/>
      <c r="CS32" s="91"/>
      <c r="CT32" s="94"/>
      <c r="CU32" s="104"/>
      <c r="CV32" s="91"/>
      <c r="CW32" s="94"/>
      <c r="CX32" s="104"/>
      <c r="CY32" s="91"/>
      <c r="CZ32" s="94"/>
      <c r="DA32" s="104"/>
      <c r="DB32" s="91"/>
      <c r="DC32" s="94"/>
      <c r="DD32" s="94"/>
      <c r="DE32" s="91"/>
      <c r="DF32" s="94"/>
      <c r="DG32" s="94"/>
      <c r="DH32" s="91"/>
      <c r="DI32" s="94"/>
      <c r="DJ32" s="94"/>
      <c r="DK32" s="91"/>
      <c r="DL32" s="94"/>
      <c r="DM32" s="94"/>
      <c r="DN32" s="91"/>
      <c r="DO32" s="94"/>
      <c r="DP32" s="94"/>
      <c r="DQ32" s="91"/>
      <c r="DR32" s="94"/>
      <c r="DS32" s="94"/>
      <c r="DT32" s="91"/>
      <c r="DU32" s="94"/>
      <c r="DV32" s="104"/>
      <c r="DW32" s="111"/>
      <c r="DX32" s="104"/>
      <c r="DY32" s="111"/>
      <c r="DZ32" s="104"/>
      <c r="EA32" s="122"/>
      <c r="EB32" s="104"/>
      <c r="EC32" s="122"/>
      <c r="ED32" s="104"/>
      <c r="EE32" s="122"/>
      <c r="EF32" s="123"/>
      <c r="EG32" s="121"/>
      <c r="EH32" s="58"/>
      <c r="EI32" s="58"/>
      <c r="EJ32" s="58"/>
      <c r="EK32"/>
      <c r="EL32"/>
      <c r="EM32"/>
    </row>
    <row r="33" spans="1:143" s="20" customFormat="1" ht="15">
      <c r="A33" s="84">
        <v>44346</v>
      </c>
      <c r="B33" s="91"/>
      <c r="C33" s="86">
        <f t="shared" si="12"/>
        <v>0</v>
      </c>
      <c r="D33" s="91"/>
      <c r="E33" s="86">
        <f t="shared" si="13"/>
        <v>0</v>
      </c>
      <c r="F33" s="22" t="e">
        <f t="shared" si="14"/>
        <v>#DIV/0!</v>
      </c>
      <c r="G33" s="87"/>
      <c r="H33" s="87"/>
      <c r="I33" s="88"/>
      <c r="J33" s="89">
        <f t="shared" si="15"/>
        <v>0</v>
      </c>
      <c r="K33" s="90"/>
      <c r="L33" s="86">
        <v>0</v>
      </c>
      <c r="M33" s="91"/>
      <c r="N33" s="86">
        <v>0</v>
      </c>
      <c r="O33" s="91"/>
      <c r="P33" s="89">
        <f t="shared" si="16"/>
        <v>0</v>
      </c>
      <c r="Q33" s="91"/>
      <c r="R33" s="89">
        <f t="shared" si="17"/>
        <v>0</v>
      </c>
      <c r="S33" s="91"/>
      <c r="T33" s="89">
        <f t="shared" si="18"/>
        <v>0</v>
      </c>
      <c r="U33" s="91"/>
      <c r="V33" s="89">
        <f t="shared" si="19"/>
        <v>0</v>
      </c>
      <c r="W33" s="74"/>
      <c r="X33" s="91"/>
      <c r="Y33" s="89">
        <v>0</v>
      </c>
      <c r="Z33" s="91"/>
      <c r="AA33" s="94"/>
      <c r="AB33" s="91"/>
      <c r="AC33" s="95">
        <f t="shared" si="20"/>
        <v>0</v>
      </c>
      <c r="AD33" s="91"/>
      <c r="AE33" s="96"/>
      <c r="AF33" s="19"/>
      <c r="AG33" s="19"/>
      <c r="AH33" s="91"/>
      <c r="AI33" s="89"/>
      <c r="AJ33" s="103"/>
      <c r="AK33" s="86"/>
      <c r="AL33" s="91"/>
      <c r="AM33" s="100"/>
      <c r="AN33" s="91"/>
      <c r="AO33" s="86"/>
      <c r="AP33" s="91"/>
      <c r="AQ33" s="89"/>
      <c r="AR33" s="91"/>
      <c r="AS33" s="89"/>
      <c r="AT33" s="91"/>
      <c r="AU33" s="89"/>
      <c r="AV33" s="91"/>
      <c r="AW33" s="94"/>
      <c r="AX33" s="91"/>
      <c r="AY33" s="94"/>
      <c r="AZ33" s="91"/>
      <c r="BA33" s="86"/>
      <c r="BB33" s="91"/>
      <c r="BC33" s="86"/>
      <c r="BD33" s="91"/>
      <c r="BE33" s="86"/>
      <c r="BF33" s="91"/>
      <c r="BG33" s="86"/>
      <c r="BH33" s="91"/>
      <c r="BI33" s="86"/>
      <c r="BJ33" s="94"/>
      <c r="BK33" s="94"/>
      <c r="BL33" s="91"/>
      <c r="BM33" s="94"/>
      <c r="BN33" s="105"/>
      <c r="BO33" s="104"/>
      <c r="BP33" s="91"/>
      <c r="BQ33" s="94"/>
      <c r="BR33" s="105"/>
      <c r="BS33" s="94"/>
      <c r="BT33" s="104"/>
      <c r="BU33" s="94"/>
      <c r="BV33" s="106"/>
      <c r="BW33" s="91"/>
      <c r="BX33" s="107"/>
      <c r="BY33" s="112"/>
      <c r="BZ33" s="109"/>
      <c r="CA33" s="87"/>
      <c r="CB33" s="94"/>
      <c r="CC33" s="104"/>
      <c r="CD33" s="87"/>
      <c r="CE33" s="113"/>
      <c r="CF33" s="87"/>
      <c r="CG33" s="114"/>
      <c r="CH33" s="87"/>
      <c r="CI33" s="115"/>
      <c r="CJ33" s="116"/>
      <c r="CK33" s="117"/>
      <c r="CL33" s="91"/>
      <c r="CM33" s="91"/>
      <c r="CN33" s="94"/>
      <c r="CO33" s="104"/>
      <c r="CP33" s="91"/>
      <c r="CQ33" s="94"/>
      <c r="CR33" s="104"/>
      <c r="CS33" s="91"/>
      <c r="CT33" s="94"/>
      <c r="CU33" s="104"/>
      <c r="CV33" s="91"/>
      <c r="CW33" s="94"/>
      <c r="CX33" s="104"/>
      <c r="CY33" s="91"/>
      <c r="CZ33" s="94"/>
      <c r="DA33" s="104"/>
      <c r="DB33" s="91"/>
      <c r="DC33" s="94"/>
      <c r="DD33" s="94"/>
      <c r="DE33" s="91"/>
      <c r="DF33" s="94"/>
      <c r="DG33" s="94"/>
      <c r="DH33" s="91"/>
      <c r="DI33" s="94"/>
      <c r="DJ33" s="94"/>
      <c r="DK33" s="91"/>
      <c r="DL33" s="94"/>
      <c r="DM33" s="94"/>
      <c r="DN33" s="91"/>
      <c r="DO33" s="94"/>
      <c r="DP33" s="94"/>
      <c r="DQ33" s="91"/>
      <c r="DR33" s="94"/>
      <c r="DS33" s="94"/>
      <c r="DT33" s="91"/>
      <c r="DU33" s="94"/>
      <c r="DV33" s="104"/>
      <c r="DW33" s="111"/>
      <c r="DX33" s="104"/>
      <c r="DY33" s="111"/>
      <c r="DZ33" s="104"/>
      <c r="EA33" s="122"/>
      <c r="EB33" s="104"/>
      <c r="EC33" s="122"/>
      <c r="ED33" s="104"/>
      <c r="EE33" s="122"/>
      <c r="EF33" s="123"/>
      <c r="EG33" s="121"/>
      <c r="EH33" s="58"/>
      <c r="EI33" s="58"/>
      <c r="EJ33" s="58"/>
      <c r="EK33"/>
      <c r="EL33"/>
      <c r="EM33"/>
    </row>
    <row r="34" spans="1:143" s="20" customFormat="1" ht="15">
      <c r="A34" s="84">
        <v>44347</v>
      </c>
      <c r="B34" s="59"/>
      <c r="C34" s="60"/>
      <c r="D34" s="59"/>
      <c r="E34" s="60"/>
      <c r="F34" s="61"/>
      <c r="G34" s="72"/>
      <c r="H34" s="78"/>
      <c r="I34" s="72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74"/>
      <c r="X34" s="63"/>
      <c r="Y34" s="62"/>
      <c r="Z34" s="63"/>
      <c r="AA34" s="66"/>
      <c r="AB34" s="63"/>
      <c r="AC34" s="79"/>
      <c r="AD34" s="63"/>
      <c r="AE34" s="67"/>
      <c r="AF34" s="59"/>
      <c r="AG34" s="62"/>
      <c r="AH34" s="59"/>
      <c r="AI34" s="62"/>
      <c r="AJ34" s="68"/>
      <c r="AK34" s="60"/>
      <c r="AL34" s="59"/>
      <c r="AM34" s="65"/>
      <c r="AN34" s="59"/>
      <c r="AO34" s="60"/>
      <c r="AP34" s="59"/>
      <c r="AQ34" s="62"/>
      <c r="AR34" s="59"/>
      <c r="AS34" s="62"/>
      <c r="AT34" s="59"/>
      <c r="AU34" s="65"/>
      <c r="AV34" s="59"/>
      <c r="AW34" s="66"/>
      <c r="AX34" s="59"/>
      <c r="AY34" s="66"/>
      <c r="AZ34" s="59"/>
      <c r="BA34" s="67"/>
      <c r="BB34" s="59"/>
      <c r="BC34" s="60"/>
      <c r="BD34" s="59"/>
      <c r="BE34" s="67"/>
      <c r="BF34" s="59"/>
      <c r="BG34" s="67"/>
      <c r="BH34" s="59"/>
      <c r="BI34" s="60"/>
      <c r="BJ34" s="66"/>
      <c r="BK34" s="66"/>
      <c r="BL34" s="63"/>
      <c r="BM34" s="66"/>
      <c r="BN34" s="73"/>
      <c r="BO34" s="69"/>
      <c r="BP34" s="63"/>
      <c r="BQ34" s="66"/>
      <c r="BR34" s="73"/>
      <c r="BS34" s="66"/>
      <c r="BT34" s="69"/>
      <c r="BU34" s="66"/>
      <c r="BV34" s="70"/>
      <c r="BW34" s="59"/>
      <c r="BX34" s="71"/>
      <c r="BY34" s="59"/>
      <c r="BZ34" s="80"/>
      <c r="CA34" s="72"/>
      <c r="CB34" s="66"/>
      <c r="CC34" s="104">
        <f t="shared" ref="CC4:CC34" si="21">CB34*5.71</f>
        <v>0</v>
      </c>
      <c r="CD34" s="110"/>
      <c r="CE34" s="113">
        <f t="shared" ref="CE4:CE34" si="22">(CD34*10775)/100</f>
        <v>0</v>
      </c>
      <c r="CF34" s="110"/>
      <c r="CG34" s="114">
        <f t="shared" ref="CG4:CG34" si="23">(CF34*10775)/100</f>
        <v>0</v>
      </c>
      <c r="CH34" s="110"/>
      <c r="CI34" s="115">
        <f t="shared" ref="CI5:CI34" si="24">(CH34*10775)/100</f>
        <v>0</v>
      </c>
      <c r="CJ34" s="116">
        <f t="shared" ref="CJ4:CJ34" si="25">CE34+CG34+CI34</f>
        <v>0</v>
      </c>
      <c r="CK34" s="117" t="str">
        <f t="shared" ref="CK4:CK34" si="26">IF((CJ33-CJ34+CL33)=CJ33,"0",(CJ33-CJ34+CL33))</f>
        <v>0</v>
      </c>
      <c r="CL34" s="118"/>
      <c r="CM34" s="85"/>
      <c r="CN34" s="94">
        <f t="shared" ref="CN4:CN34" si="27">IF((CM34-CM33)&lt;0,"0",(CM34-CM33))</f>
        <v>0</v>
      </c>
      <c r="CO34" s="104">
        <f t="shared" ref="CO4:CO34" si="28">CN34*2.44</f>
        <v>0</v>
      </c>
      <c r="CP34" s="85"/>
      <c r="CQ34" s="94">
        <v>0</v>
      </c>
      <c r="CR34" s="104">
        <v>0</v>
      </c>
      <c r="CS34" s="91"/>
      <c r="CT34" s="94">
        <f t="shared" ref="CT9:CT34" si="29">IF((CS34-CS33)&lt;0,"0",(CS34-CS33))</f>
        <v>0</v>
      </c>
      <c r="CU34" s="104">
        <f t="shared" ref="CU4:CU34" si="30">CT34*2.44</f>
        <v>0</v>
      </c>
      <c r="CV34" s="91"/>
      <c r="CW34" s="94">
        <f t="shared" ref="CW4:CW34" si="31">IF((CV34-CV33)&lt;0,"0",(CV34-CV33))</f>
        <v>0</v>
      </c>
      <c r="CX34" s="104">
        <f t="shared" ref="CX4:CX34" si="32">CW34*2.44</f>
        <v>0</v>
      </c>
      <c r="CY34" s="85"/>
      <c r="CZ34" s="94">
        <f t="shared" ref="CZ4:CZ34" si="33">IF((CY34-CY33)&lt;0,"0",(CY34-CY33))</f>
        <v>0</v>
      </c>
      <c r="DA34" s="104">
        <f t="shared" ref="DA4:DA34" si="34">CZ34*2.39</f>
        <v>0</v>
      </c>
      <c r="DB34" s="85"/>
      <c r="DC34" s="94">
        <v>0</v>
      </c>
      <c r="DD34" s="94">
        <v>0</v>
      </c>
      <c r="DE34" s="91"/>
      <c r="DF34" s="94">
        <v>0</v>
      </c>
      <c r="DG34" s="94">
        <v>0</v>
      </c>
      <c r="DH34" s="85"/>
      <c r="DI34" s="94">
        <v>0</v>
      </c>
      <c r="DJ34" s="94">
        <v>0</v>
      </c>
      <c r="DK34" s="85"/>
      <c r="DL34" s="94">
        <v>0</v>
      </c>
      <c r="DM34" s="94">
        <v>0</v>
      </c>
      <c r="DN34" s="85"/>
      <c r="DO34" s="94">
        <v>0</v>
      </c>
      <c r="DP34" s="94">
        <v>0</v>
      </c>
      <c r="DQ34" s="85"/>
      <c r="DR34" s="94">
        <v>0</v>
      </c>
      <c r="DS34" s="94">
        <v>0</v>
      </c>
      <c r="DT34" s="85"/>
      <c r="DU34" s="94">
        <f t="shared" ref="DU4:DU34" si="35">IF((DT34-DT33)&lt;0,"0",(DT34-DT33))</f>
        <v>0</v>
      </c>
      <c r="DV34" s="104">
        <f t="shared" ref="DV4:DV34" si="36">DU34*2.39</f>
        <v>0</v>
      </c>
      <c r="DW34" s="108"/>
      <c r="DX34" s="104">
        <f t="shared" ref="DX5:DX34" si="37">(DW34-DW33)</f>
        <v>0</v>
      </c>
      <c r="DY34" s="108"/>
      <c r="DZ34" s="120">
        <v>0</v>
      </c>
      <c r="EA34" s="85"/>
      <c r="EB34" s="120">
        <v>0</v>
      </c>
      <c r="EC34" s="85"/>
      <c r="ED34" s="120">
        <v>0</v>
      </c>
      <c r="EE34" s="85"/>
      <c r="EF34" s="85"/>
      <c r="EG34" s="121"/>
      <c r="EH34" s="58"/>
      <c r="EI34" s="58"/>
      <c r="EJ34" s="58"/>
      <c r="EK34"/>
      <c r="EL34"/>
      <c r="EM34"/>
    </row>
    <row r="35" spans="1:143" ht="15">
      <c r="A35" s="64"/>
      <c r="B35" s="64"/>
      <c r="C35" s="75">
        <f>SUM(C4:C34)</f>
        <v>160513</v>
      </c>
      <c r="D35" s="64"/>
      <c r="E35" s="75">
        <f>SUM(E4:E34)</f>
        <v>153998</v>
      </c>
      <c r="F35" s="64"/>
      <c r="G35" s="64"/>
      <c r="H35" s="75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75">
        <f>SUM(R4:R34)</f>
        <v>-2548630</v>
      </c>
      <c r="S35" s="64"/>
      <c r="T35" s="75">
        <f>SUM(T4:T34)</f>
        <v>-2191835</v>
      </c>
      <c r="U35" s="64"/>
      <c r="V35" s="75">
        <f>SUM(V4:V34)</f>
        <v>1835</v>
      </c>
      <c r="W35" s="64"/>
      <c r="X35" s="64"/>
      <c r="Y35" s="75">
        <f>SUM(Y4:Y34)</f>
        <v>0</v>
      </c>
      <c r="AA35" s="64"/>
      <c r="AB35" s="64"/>
      <c r="AC35" s="75">
        <f>SUM(AC4:AC34)</f>
        <v>8</v>
      </c>
      <c r="AE35" s="64"/>
      <c r="AF35" s="64"/>
      <c r="AG35" s="64"/>
      <c r="AH35" s="64"/>
      <c r="AI35" s="75">
        <f>SUM(AI4:AI34)</f>
        <v>920</v>
      </c>
      <c r="AK35" s="75">
        <f t="shared" ref="AK35" si="38">SUM(AK4:AK34)</f>
        <v>99</v>
      </c>
      <c r="AM35" s="75">
        <f t="shared" ref="AM35" si="39">SUM(AM4:AM34)</f>
        <v>35</v>
      </c>
      <c r="AO35" s="75">
        <f t="shared" ref="AO35" si="40">SUM(AO4:AO34)</f>
        <v>5</v>
      </c>
      <c r="AQ35" s="75">
        <f t="shared" ref="AQ35" si="41">SUM(AQ4:AQ34)</f>
        <v>2</v>
      </c>
      <c r="AS35" s="75">
        <f t="shared" ref="AS35" si="42">SUM(AS4:AS34)</f>
        <v>19</v>
      </c>
      <c r="AU35" s="75">
        <f t="shared" ref="AU35" si="43">SUM(AU4:AU34)</f>
        <v>1</v>
      </c>
      <c r="AW35" s="75">
        <f t="shared" ref="AW35" si="44">SUM(AW4:AW34)</f>
        <v>0</v>
      </c>
      <c r="AY35" s="75">
        <f t="shared" ref="AY35" si="45">SUM(AY4:AY34)</f>
        <v>0</v>
      </c>
      <c r="BA35" s="75">
        <f t="shared" ref="BA35" si="46">SUM(BA4:BA34)</f>
        <v>2</v>
      </c>
      <c r="BC35" s="75">
        <f t="shared" ref="BC35" si="47">SUM(BC4:BC34)</f>
        <v>20</v>
      </c>
      <c r="BE35" s="75">
        <f t="shared" ref="BE35" si="48">SUM(BE4:BE34)</f>
        <v>0</v>
      </c>
      <c r="BG35" s="75">
        <f t="shared" ref="BG35" si="49">SUM(BG4:BG34)</f>
        <v>1</v>
      </c>
      <c r="BI35" s="75">
        <f t="shared" ref="BI35" si="50">SUM(BI4:BI34)</f>
        <v>0</v>
      </c>
      <c r="BJ35" s="75">
        <v>934</v>
      </c>
      <c r="BK35" s="64"/>
      <c r="BL35" s="64"/>
      <c r="BM35" s="75">
        <f t="shared" ref="BM35" si="51">SUM(BM4:BM34)</f>
        <v>530</v>
      </c>
      <c r="BN35" s="64"/>
      <c r="BO35" s="75">
        <f t="shared" ref="BO35" si="52">SUM(BO4:BO34)</f>
        <v>26</v>
      </c>
      <c r="BP35" s="64"/>
      <c r="BQ35" s="75">
        <f t="shared" ref="BQ35" si="53">SUM(BQ4:BQ34)</f>
        <v>1310</v>
      </c>
      <c r="BS35" s="75">
        <f t="shared" ref="BS35" si="54">SUM(BS4:BS34)</f>
        <v>267</v>
      </c>
      <c r="BT35" s="75">
        <f t="shared" ref="BT35" si="55">SUM(BT4:BT34)</f>
        <v>390</v>
      </c>
      <c r="BU35" s="75">
        <f t="shared" ref="BU35" si="56">SUM(BU4:BU34)</f>
        <v>1840</v>
      </c>
      <c r="BV35" s="75">
        <f t="shared" ref="BV35" si="57">SUM(BV4:BV34)</f>
        <v>64</v>
      </c>
      <c r="BW35" s="14"/>
      <c r="BX35" s="64"/>
      <c r="BY35" s="64"/>
      <c r="BZ35" s="75">
        <f t="shared" ref="BZ35" si="58">SUM(BZ4:BZ34)</f>
        <v>0</v>
      </c>
      <c r="CB35" s="75">
        <f t="shared" ref="CB35:CC35" si="59">SUM(CB4:CB34)</f>
        <v>102.79999999998836</v>
      </c>
      <c r="CC35" s="75">
        <f t="shared" si="59"/>
        <v>586.98799999993332</v>
      </c>
      <c r="CK35" s="75">
        <f t="shared" ref="CK35" si="60">SUM(CK4:CK34)</f>
        <v>1724</v>
      </c>
      <c r="CL35" s="64"/>
      <c r="CN35" s="75">
        <f t="shared" ref="CN35:CO35" si="61">SUM(CN4:CN34)</f>
        <v>32.099999999998545</v>
      </c>
      <c r="CO35" s="75">
        <f t="shared" si="61"/>
        <v>78.323999999996431</v>
      </c>
      <c r="CQ35" s="75">
        <f t="shared" ref="CQ35" si="62">SUM(CQ4:CQ34)</f>
        <v>0</v>
      </c>
      <c r="CR35" s="75">
        <f t="shared" ref="CR35" si="63">SUM(CR4:CR34)</f>
        <v>0</v>
      </c>
      <c r="CT35" s="75">
        <f t="shared" ref="CT35" si="64">SUM(CT4:CT34)</f>
        <v>0</v>
      </c>
      <c r="CU35" s="75">
        <f t="shared" ref="CU35" si="65">SUM(CU4:CU34)</f>
        <v>0</v>
      </c>
      <c r="CW35" s="75">
        <f t="shared" ref="CW35" si="66">SUM(CW4:CW34)</f>
        <v>14.699999999953434</v>
      </c>
      <c r="CX35" s="75">
        <f t="shared" ref="CX35" si="67">SUM(CX4:CX34)</f>
        <v>35.867999999886379</v>
      </c>
      <c r="CZ35" s="75">
        <f t="shared" ref="CZ35" si="68">SUM(CZ4:CZ34)</f>
        <v>38.600000000000364</v>
      </c>
      <c r="DA35" s="75">
        <f t="shared" ref="DA35" si="69">SUM(DA4:DA34)</f>
        <v>92.254000000000872</v>
      </c>
      <c r="DC35" s="75">
        <f t="shared" ref="DC35" si="70">SUM(DC4:DC34)</f>
        <v>0</v>
      </c>
      <c r="DD35" s="75">
        <f t="shared" ref="DD35" si="71">SUM(DD4:DD34)</f>
        <v>0</v>
      </c>
      <c r="DF35" s="75">
        <f t="shared" ref="DF35" si="72">SUM(DF4:DF34)</f>
        <v>62</v>
      </c>
      <c r="DG35" s="75">
        <f t="shared" ref="DG35" si="73">SUM(DG4:DG34)</f>
        <v>51.199999999999818</v>
      </c>
      <c r="DI35" s="75">
        <f t="shared" ref="DI35" si="74">SUM(DI4:DI34)</f>
        <v>0</v>
      </c>
      <c r="DJ35" s="75">
        <f t="shared" ref="DJ35" si="75">SUM(DJ4:DJ34)</f>
        <v>0</v>
      </c>
      <c r="DL35" s="75">
        <f t="shared" ref="DL35" si="76">SUM(DL4:DL34)</f>
        <v>0</v>
      </c>
      <c r="DM35" s="75">
        <f t="shared" ref="DM35" si="77">SUM(DM4:DM34)</f>
        <v>0</v>
      </c>
      <c r="DO35" s="75">
        <f t="shared" ref="DO35" si="78">SUM(DO4:DO34)</f>
        <v>0</v>
      </c>
      <c r="DP35" s="75">
        <f t="shared" ref="DP35" si="79">SUM(DP4:DP34)</f>
        <v>0</v>
      </c>
      <c r="DR35" s="75">
        <f t="shared" ref="DR35" si="80">SUM(DR4:DR34)</f>
        <v>0</v>
      </c>
      <c r="DS35" s="75">
        <f t="shared" ref="DS35" si="81">SUM(DS4:DS34)</f>
        <v>0</v>
      </c>
      <c r="DU35" s="75">
        <f t="shared" ref="DU35" si="82">SUM(DU4:DU34)</f>
        <v>46.700000000000728</v>
      </c>
      <c r="DV35" s="75">
        <f t="shared" ref="DV35:DX35" si="83">SUM(DV4:DV34)</f>
        <v>111.61300000000175</v>
      </c>
      <c r="DW35" s="14"/>
      <c r="DX35" s="75">
        <f t="shared" si="83"/>
        <v>0</v>
      </c>
      <c r="DY35" s="14"/>
      <c r="DZ35" s="75">
        <f t="shared" ref="DZ35" si="84">SUM(DZ4:DZ34)</f>
        <v>0</v>
      </c>
      <c r="EA35" s="14"/>
      <c r="EB35" s="75">
        <f t="shared" ref="EB35" si="85">SUM(EB4:EB34)</f>
        <v>0</v>
      </c>
      <c r="EC35" s="14"/>
      <c r="ED35" s="75">
        <f t="shared" ref="ED35" si="86">SUM(ED4:ED34)</f>
        <v>0</v>
      </c>
      <c r="EE35" s="75">
        <f t="shared" ref="EE35" si="87">SUM(EE4:EE34)</f>
        <v>52</v>
      </c>
      <c r="EF35" s="75">
        <f t="shared" ref="EF35" si="88">SUM(EF4:EF34)</f>
        <v>156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K36"/>
      <c r="EL36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EH37:JK45 A37:EC44 ED36:EG44 EN35:JK36 AD35 BW35 CA35 BW36:EC36 CD35:CJ35 CM35 CP35 CS35 CV35 CY35 DB35 DE35 DH35 DK35 DN35 DQ35 DT35 DW35 DY35 EA35 EC35">
    <cfRule type="cellIs" dxfId="545" priority="7445" operator="lessThan">
      <formula>0</formula>
    </cfRule>
  </conditionalFormatting>
  <conditionalFormatting sqref="I36:J36">
    <cfRule type="cellIs" dxfId="544" priority="3678" operator="lessThan">
      <formula>0</formula>
    </cfRule>
  </conditionalFormatting>
  <conditionalFormatting sqref="M36:N36">
    <cfRule type="cellIs" dxfId="543" priority="3671" operator="lessThan">
      <formula>0</formula>
    </cfRule>
  </conditionalFormatting>
  <conditionalFormatting sqref="AJ36:AK36 AJ35 AL35 AN35 AP35 AR35 AT35 AV35 AX35 AZ35 BB35 BD35 BF35 BH35">
    <cfRule type="cellIs" dxfId="542" priority="3664" operator="lessThan">
      <formula>0</formula>
    </cfRule>
  </conditionalFormatting>
  <conditionalFormatting sqref="BN36:BO36">
    <cfRule type="cellIs" dxfId="541" priority="3654" operator="lessThan">
      <formula>0</formula>
    </cfRule>
  </conditionalFormatting>
  <conditionalFormatting sqref="BR36:BS36 BR35">
    <cfRule type="cellIs" dxfId="540" priority="3645" operator="lessThan">
      <formula>0</formula>
    </cfRule>
  </conditionalFormatting>
  <conditionalFormatting sqref="BU36:BV36">
    <cfRule type="cellIs" dxfId="539" priority="3634" operator="lessThan">
      <formula>0</formula>
    </cfRule>
  </conditionalFormatting>
  <conditionalFormatting sqref="EH36:EJ36">
    <cfRule type="cellIs" dxfId="538" priority="3623" operator="lessThan">
      <formula>0</formula>
    </cfRule>
  </conditionalFormatting>
  <conditionalFormatting sqref="A1:H1 L1 AL1:BN1 BP1:BQ1 AB1:AJ1 BT1:XFD1">
    <cfRule type="cellIs" dxfId="537" priority="3563" operator="lessThan">
      <formula>0</formula>
    </cfRule>
  </conditionalFormatting>
  <conditionalFormatting sqref="BR1">
    <cfRule type="cellIs" dxfId="536" priority="3562" operator="lessThan">
      <formula>0</formula>
    </cfRule>
  </conditionalFormatting>
  <conditionalFormatting sqref="Z1:AA1">
    <cfRule type="cellIs" dxfId="535" priority="3561" operator="lessThan">
      <formula>0</formula>
    </cfRule>
  </conditionalFormatting>
  <conditionalFormatting sqref="AB2:XFD2 EK4:EM17 EK18:EN18 EK19:EM19 EK35:EM36">
    <cfRule type="cellIs" dxfId="534" priority="3557" operator="lessThan">
      <formula>0</formula>
    </cfRule>
  </conditionalFormatting>
  <conditionalFormatting sqref="Z2:AA2">
    <cfRule type="cellIs" dxfId="533" priority="3500" operator="lessThan">
      <formula>0</formula>
    </cfRule>
  </conditionalFormatting>
  <conditionalFormatting sqref="EN4:XFD17 EN19:XFD19 EO18:XFD18">
    <cfRule type="cellIs" dxfId="532" priority="2504" operator="lessThan">
      <formula>0</formula>
    </cfRule>
  </conditionalFormatting>
  <conditionalFormatting sqref="EK20:EM32">
    <cfRule type="cellIs" dxfId="531" priority="1161" operator="lessThan">
      <formula>0</formula>
    </cfRule>
  </conditionalFormatting>
  <conditionalFormatting sqref="EN20:XFD32">
    <cfRule type="cellIs" dxfId="530" priority="1160" operator="lessThan">
      <formula>0</formula>
    </cfRule>
  </conditionalFormatting>
  <conditionalFormatting sqref="EK33:EM34">
    <cfRule type="cellIs" dxfId="529" priority="1081" operator="lessThan">
      <formula>0</formula>
    </cfRule>
  </conditionalFormatting>
  <conditionalFormatting sqref="EN33:XFD34">
    <cfRule type="cellIs" dxfId="528" priority="1080" operator="lessThan">
      <formula>0</formula>
    </cfRule>
  </conditionalFormatting>
  <conditionalFormatting sqref="S29:S30 G29:H29 U29:U33 S32 B29:B33 D29:D33 R29:R31 R33">
    <cfRule type="cellIs" dxfId="527" priority="947" operator="lessThan">
      <formula>0</formula>
    </cfRule>
  </conditionalFormatting>
  <conditionalFormatting sqref="Q29">
    <cfRule type="cellIs" dxfId="526" priority="933" operator="lessThan">
      <formula>0</formula>
    </cfRule>
  </conditionalFormatting>
  <conditionalFormatting sqref="G30:H30">
    <cfRule type="cellIs" dxfId="525" priority="932" operator="lessThan">
      <formula>0</formula>
    </cfRule>
  </conditionalFormatting>
  <conditionalFormatting sqref="G31:H32">
    <cfRule type="cellIs" dxfId="524" priority="931" operator="lessThan">
      <formula>0</formula>
    </cfRule>
  </conditionalFormatting>
  <conditionalFormatting sqref="Q31:Q32">
    <cfRule type="cellIs" dxfId="523" priority="930" operator="lessThan">
      <formula>0</formula>
    </cfRule>
  </conditionalFormatting>
  <conditionalFormatting sqref="G33:H33">
    <cfRule type="cellIs" dxfId="522" priority="929" operator="lessThan">
      <formula>0</formula>
    </cfRule>
  </conditionalFormatting>
  <conditionalFormatting sqref="S33">
    <cfRule type="cellIs" dxfId="521" priority="923" operator="lessThan">
      <formula>0</formula>
    </cfRule>
  </conditionalFormatting>
  <conditionalFormatting sqref="Q30">
    <cfRule type="cellIs" dxfId="520" priority="921" operator="lessThan">
      <formula>0</formula>
    </cfRule>
  </conditionalFormatting>
  <conditionalFormatting sqref="L29:L33">
    <cfRule type="cellIs" dxfId="519" priority="915" operator="lessThan">
      <formula>0</formula>
    </cfRule>
  </conditionalFormatting>
  <conditionalFormatting sqref="N29:N33">
    <cfRule type="cellIs" dxfId="518" priority="914" operator="lessThan">
      <formula>0</formula>
    </cfRule>
  </conditionalFormatting>
  <conditionalFormatting sqref="R29:R31 R33">
    <cfRule type="cellIs" dxfId="517" priority="913" operator="lessThan">
      <formula>0</formula>
    </cfRule>
  </conditionalFormatting>
  <conditionalFormatting sqref="S31">
    <cfRule type="cellIs" dxfId="516" priority="911" operator="lessThan">
      <formula>0</formula>
    </cfRule>
  </conditionalFormatting>
  <conditionalFormatting sqref="Q33">
    <cfRule type="cellIs" dxfId="515" priority="893" operator="lessThan">
      <formula>0</formula>
    </cfRule>
  </conditionalFormatting>
  <conditionalFormatting sqref="V29:V33">
    <cfRule type="cellIs" dxfId="514" priority="878" operator="lessThan">
      <formula>0</formula>
    </cfRule>
  </conditionalFormatting>
  <conditionalFormatting sqref="I32">
    <cfRule type="cellIs" dxfId="513" priority="892" operator="lessThan">
      <formula>0</formula>
    </cfRule>
  </conditionalFormatting>
  <conditionalFormatting sqref="K32">
    <cfRule type="cellIs" dxfId="512" priority="891" operator="lessThan">
      <formula>0</formula>
    </cfRule>
  </conditionalFormatting>
  <conditionalFormatting sqref="M32">
    <cfRule type="cellIs" dxfId="511" priority="890" operator="lessThan">
      <formula>0</formula>
    </cfRule>
  </conditionalFormatting>
  <conditionalFormatting sqref="O32">
    <cfRule type="cellIs" dxfId="510" priority="889" operator="lessThan">
      <formula>0</formula>
    </cfRule>
  </conditionalFormatting>
  <conditionalFormatting sqref="I33">
    <cfRule type="cellIs" dxfId="509" priority="888" operator="lessThan">
      <formula>0</formula>
    </cfRule>
  </conditionalFormatting>
  <conditionalFormatting sqref="K33">
    <cfRule type="cellIs" dxfId="508" priority="887" operator="lessThan">
      <formula>0</formula>
    </cfRule>
  </conditionalFormatting>
  <conditionalFormatting sqref="M33">
    <cfRule type="cellIs" dxfId="507" priority="886" operator="lessThan">
      <formula>0</formula>
    </cfRule>
  </conditionalFormatting>
  <conditionalFormatting sqref="O33">
    <cfRule type="cellIs" dxfId="506" priority="885" operator="lessThan">
      <formula>0</formula>
    </cfRule>
  </conditionalFormatting>
  <conditionalFormatting sqref="E29:E33 C29:C33">
    <cfRule type="cellIs" dxfId="505" priority="884" operator="lessThan">
      <formula>0</formula>
    </cfRule>
  </conditionalFormatting>
  <conditionalFormatting sqref="F29:F33">
    <cfRule type="cellIs" dxfId="504" priority="883" operator="lessThan">
      <formula>0</formula>
    </cfRule>
  </conditionalFormatting>
  <conditionalFormatting sqref="J29:J33">
    <cfRule type="cellIs" dxfId="503" priority="882" operator="lessThan">
      <formula>0</formula>
    </cfRule>
  </conditionalFormatting>
  <conditionalFormatting sqref="P29:P33">
    <cfRule type="cellIs" dxfId="502" priority="879" operator="lessThan">
      <formula>0</formula>
    </cfRule>
  </conditionalFormatting>
  <conditionalFormatting sqref="T29:T31 T33">
    <cfRule type="cellIs" dxfId="501" priority="877" operator="lessThan">
      <formula>0</formula>
    </cfRule>
  </conditionalFormatting>
  <conditionalFormatting sqref="T29:T31 T33">
    <cfRule type="cellIs" dxfId="500" priority="876" operator="lessThan">
      <formula>0</formula>
    </cfRule>
  </conditionalFormatting>
  <conditionalFormatting sqref="I29">
    <cfRule type="cellIs" dxfId="499" priority="861" operator="lessThan">
      <formula>0</formula>
    </cfRule>
  </conditionalFormatting>
  <conditionalFormatting sqref="M29">
    <cfRule type="cellIs" dxfId="498" priority="860" operator="lessThan">
      <formula>0</formula>
    </cfRule>
  </conditionalFormatting>
  <conditionalFormatting sqref="O29">
    <cfRule type="cellIs" dxfId="497" priority="859" operator="lessThan">
      <formula>0</formula>
    </cfRule>
  </conditionalFormatting>
  <conditionalFormatting sqref="K29:K30">
    <cfRule type="cellIs" dxfId="496" priority="858" operator="lessThan">
      <formula>0</formula>
    </cfRule>
  </conditionalFormatting>
  <conditionalFormatting sqref="M30">
    <cfRule type="cellIs" dxfId="495" priority="857" operator="lessThan">
      <formula>0</formula>
    </cfRule>
  </conditionalFormatting>
  <conditionalFormatting sqref="O30">
    <cfRule type="cellIs" dxfId="494" priority="856" operator="lessThan">
      <formula>0</formula>
    </cfRule>
  </conditionalFormatting>
  <conditionalFormatting sqref="I31">
    <cfRule type="cellIs" dxfId="493" priority="855" operator="lessThan">
      <formula>0</formula>
    </cfRule>
  </conditionalFormatting>
  <conditionalFormatting sqref="K31">
    <cfRule type="cellIs" dxfId="492" priority="854" operator="lessThan">
      <formula>0</formula>
    </cfRule>
  </conditionalFormatting>
  <conditionalFormatting sqref="M31">
    <cfRule type="cellIs" dxfId="491" priority="853" operator="lessThan">
      <formula>0</formula>
    </cfRule>
  </conditionalFormatting>
  <conditionalFormatting sqref="O31">
    <cfRule type="cellIs" dxfId="490" priority="852" operator="lessThan">
      <formula>0</formula>
    </cfRule>
  </conditionalFormatting>
  <conditionalFormatting sqref="I30">
    <cfRule type="cellIs" dxfId="489" priority="808" operator="lessThan">
      <formula>0</formula>
    </cfRule>
  </conditionalFormatting>
  <conditionalFormatting sqref="T32">
    <cfRule type="cellIs" dxfId="488" priority="807" operator="lessThan">
      <formula>0</formula>
    </cfRule>
  </conditionalFormatting>
  <conditionalFormatting sqref="R32">
    <cfRule type="cellIs" dxfId="487" priority="806" operator="lessThan">
      <formula>0</formula>
    </cfRule>
  </conditionalFormatting>
  <conditionalFormatting sqref="Z19:Z21 Y4:Y21 Y22:Z23 AA4:AA23 AF28:AI33 AF5:AG23 Y28:AD33">
    <cfRule type="cellIs" dxfId="486" priority="770" operator="lessThan">
      <formula>0</formula>
    </cfRule>
  </conditionalFormatting>
  <conditionalFormatting sqref="Z5:Z17">
    <cfRule type="cellIs" dxfId="485" priority="768" operator="lessThan">
      <formula>0</formula>
    </cfRule>
  </conditionalFormatting>
  <conditionalFormatting sqref="Z18">
    <cfRule type="cellIs" dxfId="484" priority="767" operator="lessThan">
      <formula>0</formula>
    </cfRule>
  </conditionalFormatting>
  <conditionalFormatting sqref="X20">
    <cfRule type="cellIs" dxfId="483" priority="765" operator="lessThan">
      <formula>0</formula>
    </cfRule>
  </conditionalFormatting>
  <conditionalFormatting sqref="X21">
    <cfRule type="cellIs" dxfId="482" priority="763" operator="lessThan">
      <formula>0</formula>
    </cfRule>
  </conditionalFormatting>
  <conditionalFormatting sqref="X28:X33">
    <cfRule type="cellIs" dxfId="481" priority="759" operator="lessThan">
      <formula>0</formula>
    </cfRule>
  </conditionalFormatting>
  <conditionalFormatting sqref="X5:X19">
    <cfRule type="cellIs" dxfId="480" priority="758" operator="lessThan">
      <formula>0</formula>
    </cfRule>
  </conditionalFormatting>
  <conditionalFormatting sqref="X22:X23">
    <cfRule type="cellIs" dxfId="479" priority="757" operator="lessThan">
      <formula>0</formula>
    </cfRule>
  </conditionalFormatting>
  <conditionalFormatting sqref="Z4">
    <cfRule type="cellIs" dxfId="478" priority="755" operator="lessThan">
      <formula>0</formula>
    </cfRule>
  </conditionalFormatting>
  <conditionalFormatting sqref="X4">
    <cfRule type="cellIs" dxfId="477" priority="754" operator="lessThan">
      <formula>0</formula>
    </cfRule>
  </conditionalFormatting>
  <conditionalFormatting sqref="AF4:AG4">
    <cfRule type="cellIs" dxfId="476" priority="756" operator="lessThan">
      <formula>0</formula>
    </cfRule>
  </conditionalFormatting>
  <conditionalFormatting sqref="AE4:AE23 AE33 AE28:AE31">
    <cfRule type="cellIs" dxfId="475" priority="753" operator="lessThan">
      <formula>0</formula>
    </cfRule>
  </conditionalFormatting>
  <conditionalFormatting sqref="AE32">
    <cfRule type="cellIs" dxfId="474" priority="749" operator="lessThan">
      <formula>0</formula>
    </cfRule>
  </conditionalFormatting>
  <conditionalFormatting sqref="AJ28:AJ33 AL28:AL33 AN28:BA33">
    <cfRule type="cellIs" dxfId="473" priority="748" operator="lessThan">
      <formula>0</formula>
    </cfRule>
  </conditionalFormatting>
  <conditionalFormatting sqref="AK28:AK31 AK33">
    <cfRule type="cellIs" dxfId="472" priority="733" operator="lessThan">
      <formula>0</formula>
    </cfRule>
  </conditionalFormatting>
  <conditionalFormatting sqref="AM28:AM31 AM33">
    <cfRule type="cellIs" dxfId="471" priority="727" operator="lessThan">
      <formula>0</formula>
    </cfRule>
  </conditionalFormatting>
  <conditionalFormatting sqref="AK32">
    <cfRule type="cellIs" dxfId="470" priority="723" operator="lessThan">
      <formula>0</formula>
    </cfRule>
  </conditionalFormatting>
  <conditionalFormatting sqref="AM32">
    <cfRule type="cellIs" dxfId="469" priority="722" operator="lessThan">
      <formula>0</formula>
    </cfRule>
  </conditionalFormatting>
  <conditionalFormatting sqref="CA19:CA23 CA5:CA17 BL28:BL31 BW28:BW33 BY5:BY23 BP28:BP33 BR28:BR33 BN28:BN33 BB29:BK33 BY28:BY33 CA28:CA33 BB28:BJ28">
    <cfRule type="cellIs" dxfId="468" priority="721" operator="lessThan">
      <formula>0</formula>
    </cfRule>
  </conditionalFormatting>
  <conditionalFormatting sqref="CA18">
    <cfRule type="cellIs" dxfId="467" priority="720" operator="lessThan">
      <formula>0</formula>
    </cfRule>
  </conditionalFormatting>
  <conditionalFormatting sqref="BO32:BO33">
    <cfRule type="cellIs" dxfId="466" priority="719" operator="lessThan">
      <formula>0</formula>
    </cfRule>
  </conditionalFormatting>
  <conditionalFormatting sqref="CA4">
    <cfRule type="cellIs" dxfId="465" priority="700" operator="lessThan">
      <formula>0</formula>
    </cfRule>
  </conditionalFormatting>
  <conditionalFormatting sqref="BY4">
    <cfRule type="cellIs" dxfId="464" priority="701" operator="lessThan">
      <formula>0</formula>
    </cfRule>
  </conditionalFormatting>
  <conditionalFormatting sqref="BL32:BL33">
    <cfRule type="cellIs" dxfId="463" priority="699" operator="lessThan">
      <formula>0</formula>
    </cfRule>
  </conditionalFormatting>
  <conditionalFormatting sqref="BX4:BX8 CB4:CB8 BM28:BM33 BT28:BT33">
    <cfRule type="cellIs" dxfId="462" priority="698" operator="lessThan">
      <formula>0</formula>
    </cfRule>
  </conditionalFormatting>
  <conditionalFormatting sqref="BZ4:BZ8">
    <cfRule type="cellIs" dxfId="461" priority="695" operator="lessThan">
      <formula>0</formula>
    </cfRule>
  </conditionalFormatting>
  <conditionalFormatting sqref="BO28:BO31">
    <cfRule type="cellIs" dxfId="460" priority="694" operator="lessThan">
      <formula>0</formula>
    </cfRule>
  </conditionalFormatting>
  <conditionalFormatting sqref="BQ28:BQ33">
    <cfRule type="cellIs" dxfId="459" priority="693" operator="lessThan">
      <formula>0</formula>
    </cfRule>
  </conditionalFormatting>
  <conditionalFormatting sqref="BU28:BV33">
    <cfRule type="cellIs" dxfId="458" priority="692" operator="lessThan">
      <formula>0</formula>
    </cfRule>
  </conditionalFormatting>
  <conditionalFormatting sqref="BS28:BS33">
    <cfRule type="cellIs" dxfId="457" priority="691" operator="lessThan">
      <formula>0</formula>
    </cfRule>
  </conditionalFormatting>
  <conditionalFormatting sqref="BX9:BX23 BX28:BX33">
    <cfRule type="cellIs" dxfId="456" priority="690" operator="lessThan">
      <formula>0</formula>
    </cfRule>
  </conditionalFormatting>
  <conditionalFormatting sqref="BZ9:BZ23 BZ28:BZ33">
    <cfRule type="cellIs" dxfId="455" priority="689" operator="lessThan">
      <formula>0</formula>
    </cfRule>
  </conditionalFormatting>
  <conditionalFormatting sqref="CB9:CB23 CB28:CB33">
    <cfRule type="cellIs" dxfId="454" priority="688" operator="lessThan">
      <formula>0</formula>
    </cfRule>
  </conditionalFormatting>
  <conditionalFormatting sqref="DB19:DB23 DQ16:DQ19 DT16:DT19 DN8:DN19 DK10:DK23 CY19:CY23 CP5:CP23 DB5:DB16 DE5:DE16 DH8:DH23 DN21:DN23 DQ21:DQ23 DT21:DT23 CD5:CD16 CL5:CM23 CY7:CY17 CF6:CF17 CD19:CD23 CH5:CH16 CH19:CH23 CF19:CF23 CS9:CS23 CV14:CV23 DE19:DE23 DE28:DE34 CV28:CV34 CS28:CS34 CF28:CF34 CH28:CH34 CD28:CD34 CL28:CM34 DT28:DT34 DQ28:DQ34 DN28:DN34 DH28:DH34 CP28:CP34 CY28:CY34 DK28:DK34 DB28:DB34">
    <cfRule type="cellIs" dxfId="453" priority="677" operator="lessThan">
      <formula>0</formula>
    </cfRule>
  </conditionalFormatting>
  <conditionalFormatting sqref="CD17:CD18">
    <cfRule type="cellIs" dxfId="452" priority="676" operator="lessThan">
      <formula>0</formula>
    </cfRule>
  </conditionalFormatting>
  <conditionalFormatting sqref="CF18">
    <cfRule type="cellIs" dxfId="451" priority="675" operator="lessThan">
      <formula>0</formula>
    </cfRule>
  </conditionalFormatting>
  <conditionalFormatting sqref="CH17:CH18">
    <cfRule type="cellIs" dxfId="450" priority="674" operator="lessThan">
      <formula>0</formula>
    </cfRule>
  </conditionalFormatting>
  <conditionalFormatting sqref="CY18">
    <cfRule type="cellIs" dxfId="449" priority="673" operator="lessThan">
      <formula>0</formula>
    </cfRule>
  </conditionalFormatting>
  <conditionalFormatting sqref="DB17:DB18">
    <cfRule type="cellIs" dxfId="448" priority="672" operator="lessThan">
      <formula>0</formula>
    </cfRule>
  </conditionalFormatting>
  <conditionalFormatting sqref="DE17:DE18">
    <cfRule type="cellIs" dxfId="447" priority="671" operator="lessThan">
      <formula>0</formula>
    </cfRule>
  </conditionalFormatting>
  <conditionalFormatting sqref="DN20 DQ20 DT20">
    <cfRule type="cellIs" dxfId="446" priority="670" operator="lessThan">
      <formula>0</formula>
    </cfRule>
  </conditionalFormatting>
  <conditionalFormatting sqref="CY5:CY6 DQ8:DQ15 DT8:DT15 CV12:CV13">
    <cfRule type="cellIs" dxfId="445" priority="669" operator="lessThan">
      <formula>0</formula>
    </cfRule>
  </conditionalFormatting>
  <conditionalFormatting sqref="DN5:DN7">
    <cfRule type="cellIs" dxfId="444" priority="668" operator="lessThan">
      <formula>0</formula>
    </cfRule>
  </conditionalFormatting>
  <conditionalFormatting sqref="DK5:DK9">
    <cfRule type="cellIs" dxfId="443" priority="667" operator="lessThan">
      <formula>0</formula>
    </cfRule>
  </conditionalFormatting>
  <conditionalFormatting sqref="DH5:DH7">
    <cfRule type="cellIs" dxfId="442" priority="666" operator="lessThan">
      <formula>0</formula>
    </cfRule>
  </conditionalFormatting>
  <conditionalFormatting sqref="DQ5:DQ7">
    <cfRule type="cellIs" dxfId="441" priority="665" operator="lessThan">
      <formula>0</formula>
    </cfRule>
  </conditionalFormatting>
  <conditionalFormatting sqref="DT5:DT7">
    <cfRule type="cellIs" dxfId="440" priority="664" operator="lessThan">
      <formula>0</formula>
    </cfRule>
  </conditionalFormatting>
  <conditionalFormatting sqref="CM4">
    <cfRule type="cellIs" dxfId="439" priority="662" operator="lessThan">
      <formula>0</formula>
    </cfRule>
  </conditionalFormatting>
  <conditionalFormatting sqref="DB4 DE4 DH4 DK4 DN4 DQ4 DT4 CY4">
    <cfRule type="cellIs" dxfId="438" priority="661" operator="lessThan">
      <formula>0</formula>
    </cfRule>
  </conditionalFormatting>
  <conditionalFormatting sqref="CD4 CL4 CH4 CF4:CF5">
    <cfRule type="cellIs" dxfId="437" priority="663" operator="lessThan">
      <formula>0</formula>
    </cfRule>
  </conditionalFormatting>
  <conditionalFormatting sqref="CN4:CP4 CI5:CK8 CQ4:CR23 DL4:DL23 DI4:DI23 DC4:DD23 CJ9:CK23 CN5:CO23 CT9:CU23 CZ4:CZ23 DF4:DF23 CW4:CX23 DU4:DU23 CU4:CU8 CJ4:CK4 CE4:CE23 DO4:DO23 DR4:DR23 DR28:DR34 DO28:DO34 CE28:CE34 DU28:DU34 CW28:CX34 DF28:DF34 CZ28:CZ34 CT28:CU34 CN28:CO34 CJ28:CK34 DC28:DD34 DI28:DI34 DL28:DL34 CQ28:CR34">
    <cfRule type="cellIs" dxfId="436" priority="660" operator="lessThan">
      <formula>0</formula>
    </cfRule>
  </conditionalFormatting>
  <conditionalFormatting sqref="DA4:DA23 DA28:DA34">
    <cfRule type="cellIs" dxfId="435" priority="659" operator="lessThan">
      <formula>0</formula>
    </cfRule>
  </conditionalFormatting>
  <conditionalFormatting sqref="DV4:DV23 DV28:DV34">
    <cfRule type="cellIs" dxfId="434" priority="658" operator="lessThan">
      <formula>0</formula>
    </cfRule>
  </conditionalFormatting>
  <conditionalFormatting sqref="CC4:CC8">
    <cfRule type="cellIs" dxfId="433" priority="657" operator="lessThan">
      <formula>0</formula>
    </cfRule>
  </conditionalFormatting>
  <conditionalFormatting sqref="DG4:DG23 DG28:DG34">
    <cfRule type="cellIs" dxfId="432" priority="656" operator="lessThan">
      <formula>0</formula>
    </cfRule>
  </conditionalFormatting>
  <conditionalFormatting sqref="DJ4:DJ23 DJ28:DJ34">
    <cfRule type="cellIs" dxfId="431" priority="655" operator="lessThan">
      <formula>0</formula>
    </cfRule>
  </conditionalFormatting>
  <conditionalFormatting sqref="DM4:DM23 DM28:DM34">
    <cfRule type="cellIs" dxfId="430" priority="654" operator="lessThan">
      <formula>0</formula>
    </cfRule>
  </conditionalFormatting>
  <conditionalFormatting sqref="DP4:DP23 DP28:DP34">
    <cfRule type="cellIs" dxfId="429" priority="653" operator="lessThan">
      <formula>0</formula>
    </cfRule>
  </conditionalFormatting>
  <conditionalFormatting sqref="DS4:DS23 DS28:DS34">
    <cfRule type="cellIs" dxfId="428" priority="652" operator="lessThan">
      <formula>0</formula>
    </cfRule>
  </conditionalFormatting>
  <conditionalFormatting sqref="CC9:CC23 CC28:CC34">
    <cfRule type="cellIs" dxfId="427" priority="651" operator="lessThan">
      <formula>0</formula>
    </cfRule>
  </conditionalFormatting>
  <conditionalFormatting sqref="CG4:CG8">
    <cfRule type="cellIs" dxfId="426" priority="650" operator="lessThan">
      <formula>0</formula>
    </cfRule>
  </conditionalFormatting>
  <conditionalFormatting sqref="CG9:CG23 CG28:CG34">
    <cfRule type="cellIs" dxfId="425" priority="649" operator="lessThan">
      <formula>0</formula>
    </cfRule>
  </conditionalFormatting>
  <conditionalFormatting sqref="CI9:CI23 CI28:CI34">
    <cfRule type="cellIs" dxfId="424" priority="648" operator="lessThan">
      <formula>0</formula>
    </cfRule>
  </conditionalFormatting>
  <conditionalFormatting sqref="CV4:CV11">
    <cfRule type="cellIs" dxfId="423" priority="647" operator="lessThan">
      <formula>0</formula>
    </cfRule>
  </conditionalFormatting>
  <conditionalFormatting sqref="CT4:CT8">
    <cfRule type="cellIs" dxfId="422" priority="646" operator="lessThan">
      <formula>0</formula>
    </cfRule>
  </conditionalFormatting>
  <conditionalFormatting sqref="CI4">
    <cfRule type="cellIs" dxfId="421" priority="636" operator="lessThan">
      <formula>0</formula>
    </cfRule>
  </conditionalFormatting>
  <conditionalFormatting sqref="CS4:CS8">
    <cfRule type="cellIs" dxfId="420" priority="635" operator="lessThan">
      <formula>0</formula>
    </cfRule>
  </conditionalFormatting>
  <conditionalFormatting sqref="EC13:EC16 DW28:DW30 DY28:DY30 EA28:EA30 DX4:DX23 DX28:DX34">
    <cfRule type="cellIs" dxfId="419" priority="464" operator="lessThan">
      <formula>0</formula>
    </cfRule>
  </conditionalFormatting>
  <conditionalFormatting sqref="EA28:EA30">
    <cfRule type="cellIs" dxfId="418" priority="463" operator="lessThan">
      <formula>0</formula>
    </cfRule>
  </conditionalFormatting>
  <conditionalFormatting sqref="EC28">
    <cfRule type="cellIs" dxfId="417" priority="462" operator="lessThan">
      <formula>0</formula>
    </cfRule>
  </conditionalFormatting>
  <conditionalFormatting sqref="EC28">
    <cfRule type="cellIs" dxfId="416" priority="461" operator="lessThan">
      <formula>0</formula>
    </cfRule>
  </conditionalFormatting>
  <conditionalFormatting sqref="EC13:EC16">
    <cfRule type="cellIs" dxfId="415" priority="460" operator="lessThan">
      <formula>0</formula>
    </cfRule>
  </conditionalFormatting>
  <conditionalFormatting sqref="EC15:EC16">
    <cfRule type="cellIs" dxfId="414" priority="459" operator="lessThan">
      <formula>0</formula>
    </cfRule>
  </conditionalFormatting>
  <conditionalFormatting sqref="EE5:EE6 EE9:EE14 EG12:EG23 EE15:EF23 EE28:EG34">
    <cfRule type="cellIs" dxfId="413" priority="458" operator="lessThan">
      <formula>0</formula>
    </cfRule>
  </conditionalFormatting>
  <conditionalFormatting sqref="EC10:EC12">
    <cfRule type="cellIs" dxfId="412" priority="457" operator="lessThan">
      <formula>0</formula>
    </cfRule>
  </conditionalFormatting>
  <conditionalFormatting sqref="DW5:DW20 DY5:DY20 EA5:EA20">
    <cfRule type="cellIs" dxfId="411" priority="456" operator="lessThan">
      <formula>0</formula>
    </cfRule>
  </conditionalFormatting>
  <conditionalFormatting sqref="EA5:EA20">
    <cfRule type="cellIs" dxfId="410" priority="455" operator="lessThan">
      <formula>0</formula>
    </cfRule>
  </conditionalFormatting>
  <conditionalFormatting sqref="EF5:EF6 EF9:EF14">
    <cfRule type="cellIs" dxfId="409" priority="454" operator="lessThan">
      <formula>0</formula>
    </cfRule>
  </conditionalFormatting>
  <conditionalFormatting sqref="EC17">
    <cfRule type="cellIs" dxfId="408" priority="453" operator="lessThan">
      <formula>0</formula>
    </cfRule>
  </conditionalFormatting>
  <conditionalFormatting sqref="EC17">
    <cfRule type="cellIs" dxfId="407" priority="452" operator="lessThan">
      <formula>0</formula>
    </cfRule>
  </conditionalFormatting>
  <conditionalFormatting sqref="EC17">
    <cfRule type="cellIs" dxfId="406" priority="451" operator="lessThan">
      <formula>0</formula>
    </cfRule>
  </conditionalFormatting>
  <conditionalFormatting sqref="EC18">
    <cfRule type="cellIs" dxfId="405" priority="450" operator="lessThan">
      <formula>0</formula>
    </cfRule>
  </conditionalFormatting>
  <conditionalFormatting sqref="EC18">
    <cfRule type="cellIs" dxfId="404" priority="449" operator="lessThan">
      <formula>0</formula>
    </cfRule>
  </conditionalFormatting>
  <conditionalFormatting sqref="EC18">
    <cfRule type="cellIs" dxfId="403" priority="448" operator="lessThan">
      <formula>0</formula>
    </cfRule>
  </conditionalFormatting>
  <conditionalFormatting sqref="EC19:EC20">
    <cfRule type="cellIs" dxfId="402" priority="447" operator="lessThan">
      <formula>0</formula>
    </cfRule>
  </conditionalFormatting>
  <conditionalFormatting sqref="EC19:EC20">
    <cfRule type="cellIs" dxfId="401" priority="446" operator="lessThan">
      <formula>0</formula>
    </cfRule>
  </conditionalFormatting>
  <conditionalFormatting sqref="EC19:EC20">
    <cfRule type="cellIs" dxfId="400" priority="445" operator="lessThan">
      <formula>0</formula>
    </cfRule>
  </conditionalFormatting>
  <conditionalFormatting sqref="DW21">
    <cfRule type="cellIs" dxfId="399" priority="444" operator="lessThan">
      <formula>0</formula>
    </cfRule>
  </conditionalFormatting>
  <conditionalFormatting sqref="DY21">
    <cfRule type="cellIs" dxfId="398" priority="443" operator="lessThan">
      <formula>0</formula>
    </cfRule>
  </conditionalFormatting>
  <conditionalFormatting sqref="EA21">
    <cfRule type="cellIs" dxfId="397" priority="442" operator="lessThan">
      <formula>0</formula>
    </cfRule>
  </conditionalFormatting>
  <conditionalFormatting sqref="EA21">
    <cfRule type="cellIs" dxfId="396" priority="441" operator="lessThan">
      <formula>0</formula>
    </cfRule>
  </conditionalFormatting>
  <conditionalFormatting sqref="EC21">
    <cfRule type="cellIs" dxfId="395" priority="440" operator="lessThan">
      <formula>0</formula>
    </cfRule>
  </conditionalFormatting>
  <conditionalFormatting sqref="EC21">
    <cfRule type="cellIs" dxfId="394" priority="439" operator="lessThan">
      <formula>0</formula>
    </cfRule>
  </conditionalFormatting>
  <conditionalFormatting sqref="EC21">
    <cfRule type="cellIs" dxfId="393" priority="438" operator="lessThan">
      <formula>0</formula>
    </cfRule>
  </conditionalFormatting>
  <conditionalFormatting sqref="EC9">
    <cfRule type="cellIs" dxfId="392" priority="437" operator="lessThan">
      <formula>0</formula>
    </cfRule>
  </conditionalFormatting>
  <conditionalFormatting sqref="DW22:DW23">
    <cfRule type="cellIs" dxfId="391" priority="436" operator="lessThan">
      <formula>0</formula>
    </cfRule>
  </conditionalFormatting>
  <conditionalFormatting sqref="DY22:DY23">
    <cfRule type="cellIs" dxfId="390" priority="435" operator="lessThan">
      <formula>0</formula>
    </cfRule>
  </conditionalFormatting>
  <conditionalFormatting sqref="EA22:EA23">
    <cfRule type="cellIs" dxfId="389" priority="434" operator="lessThan">
      <formula>0</formula>
    </cfRule>
  </conditionalFormatting>
  <conditionalFormatting sqref="EA22:EA23">
    <cfRule type="cellIs" dxfId="388" priority="433" operator="lessThan">
      <formula>0</formula>
    </cfRule>
  </conditionalFormatting>
  <conditionalFormatting sqref="EC22:EC23">
    <cfRule type="cellIs" dxfId="387" priority="432" operator="lessThan">
      <formula>0</formula>
    </cfRule>
  </conditionalFormatting>
  <conditionalFormatting sqref="EC22:EC23">
    <cfRule type="cellIs" dxfId="386" priority="431" operator="lessThan">
      <formula>0</formula>
    </cfRule>
  </conditionalFormatting>
  <conditionalFormatting sqref="EC22:EC23">
    <cfRule type="cellIs" dxfId="385" priority="430" operator="lessThan">
      <formula>0</formula>
    </cfRule>
  </conditionalFormatting>
  <conditionalFormatting sqref="DW32">
    <cfRule type="cellIs" dxfId="384" priority="429" operator="lessThan">
      <formula>0</formula>
    </cfRule>
  </conditionalFormatting>
  <conditionalFormatting sqref="DY32">
    <cfRule type="cellIs" dxfId="383" priority="428" operator="lessThan">
      <formula>0</formula>
    </cfRule>
  </conditionalFormatting>
  <conditionalFormatting sqref="EA32">
    <cfRule type="cellIs" dxfId="382" priority="427" operator="lessThan">
      <formula>0</formula>
    </cfRule>
  </conditionalFormatting>
  <conditionalFormatting sqref="EA32">
    <cfRule type="cellIs" dxfId="381" priority="426" operator="lessThan">
      <formula>0</formula>
    </cfRule>
  </conditionalFormatting>
  <conditionalFormatting sqref="EC32">
    <cfRule type="cellIs" dxfId="380" priority="424" operator="lessThan">
      <formula>0</formula>
    </cfRule>
  </conditionalFormatting>
  <conditionalFormatting sqref="EC32">
    <cfRule type="cellIs" dxfId="379" priority="425" operator="lessThan">
      <formula>0</formula>
    </cfRule>
  </conditionalFormatting>
  <conditionalFormatting sqref="DZ34">
    <cfRule type="cellIs" dxfId="378" priority="423" operator="lessThan">
      <formula>0</formula>
    </cfRule>
  </conditionalFormatting>
  <conditionalFormatting sqref="EC6">
    <cfRule type="cellIs" dxfId="377" priority="421" operator="lessThan">
      <formula>0</formula>
    </cfRule>
  </conditionalFormatting>
  <conditionalFormatting sqref="EC7">
    <cfRule type="cellIs" dxfId="376" priority="420" operator="lessThan">
      <formula>0</formula>
    </cfRule>
  </conditionalFormatting>
  <conditionalFormatting sqref="EE7">
    <cfRule type="cellIs" dxfId="375" priority="419" operator="lessThan">
      <formula>0</formula>
    </cfRule>
  </conditionalFormatting>
  <conditionalFormatting sqref="EC8">
    <cfRule type="cellIs" dxfId="374" priority="417" operator="lessThan">
      <formula>0</formula>
    </cfRule>
  </conditionalFormatting>
  <conditionalFormatting sqref="EE8">
    <cfRule type="cellIs" dxfId="373" priority="416" operator="lessThan">
      <formula>0</formula>
    </cfRule>
  </conditionalFormatting>
  <conditionalFormatting sqref="EF8">
    <cfRule type="cellIs" dxfId="372" priority="415" operator="lessThan">
      <formula>0</formula>
    </cfRule>
  </conditionalFormatting>
  <conditionalFormatting sqref="EC29">
    <cfRule type="cellIs" dxfId="371" priority="414" operator="lessThan">
      <formula>0</formula>
    </cfRule>
  </conditionalFormatting>
  <conditionalFormatting sqref="EC29">
    <cfRule type="cellIs" dxfId="370" priority="413" operator="lessThan">
      <formula>0</formula>
    </cfRule>
  </conditionalFormatting>
  <conditionalFormatting sqref="EC30">
    <cfRule type="cellIs" dxfId="369" priority="412" operator="lessThan">
      <formula>0</formula>
    </cfRule>
  </conditionalFormatting>
  <conditionalFormatting sqref="EB34">
    <cfRule type="cellIs" dxfId="368" priority="422" operator="lessThan">
      <formula>0</formula>
    </cfRule>
  </conditionalFormatting>
  <conditionalFormatting sqref="EF7">
    <cfRule type="cellIs" dxfId="367" priority="418" operator="lessThan">
      <formula>0</formula>
    </cfRule>
  </conditionalFormatting>
  <conditionalFormatting sqref="EC30">
    <cfRule type="cellIs" dxfId="366" priority="411" operator="lessThan">
      <formula>0</formula>
    </cfRule>
  </conditionalFormatting>
  <conditionalFormatting sqref="DW33:DW34">
    <cfRule type="cellIs" dxfId="365" priority="410" operator="lessThan">
      <formula>0</formula>
    </cfRule>
  </conditionalFormatting>
  <conditionalFormatting sqref="DY33:DY34">
    <cfRule type="cellIs" dxfId="364" priority="409" operator="lessThan">
      <formula>0</formula>
    </cfRule>
  </conditionalFormatting>
  <conditionalFormatting sqref="EA33:EA34">
    <cfRule type="cellIs" dxfId="363" priority="408" operator="lessThan">
      <formula>0</formula>
    </cfRule>
  </conditionalFormatting>
  <conditionalFormatting sqref="EA33:EA34">
    <cfRule type="cellIs" dxfId="362" priority="407" operator="lessThan">
      <formula>0</formula>
    </cfRule>
  </conditionalFormatting>
  <conditionalFormatting sqref="EC33:EC34">
    <cfRule type="cellIs" dxfId="361" priority="405" operator="lessThan">
      <formula>0</formula>
    </cfRule>
  </conditionalFormatting>
  <conditionalFormatting sqref="EC33:EC34">
    <cfRule type="cellIs" dxfId="360" priority="406" operator="lessThan">
      <formula>0</formula>
    </cfRule>
  </conditionalFormatting>
  <conditionalFormatting sqref="DW31">
    <cfRule type="cellIs" dxfId="359" priority="404" operator="lessThan">
      <formula>0</formula>
    </cfRule>
  </conditionalFormatting>
  <conditionalFormatting sqref="DY31">
    <cfRule type="cellIs" dxfId="358" priority="403" operator="lessThan">
      <formula>0</formula>
    </cfRule>
  </conditionalFormatting>
  <conditionalFormatting sqref="EA31">
    <cfRule type="cellIs" dxfId="357" priority="402" operator="lessThan">
      <formula>0</formula>
    </cfRule>
  </conditionalFormatting>
  <conditionalFormatting sqref="EA31">
    <cfRule type="cellIs" dxfId="356" priority="401" operator="lessThan">
      <formula>0</formula>
    </cfRule>
  </conditionalFormatting>
  <conditionalFormatting sqref="EC31">
    <cfRule type="cellIs" dxfId="355" priority="400" operator="lessThan">
      <formula>0</formula>
    </cfRule>
  </conditionalFormatting>
  <conditionalFormatting sqref="EC31">
    <cfRule type="cellIs" dxfId="354" priority="399" operator="lessThan">
      <formula>0</formula>
    </cfRule>
  </conditionalFormatting>
  <conditionalFormatting sqref="DW4 DY4 EA4">
    <cfRule type="cellIs" dxfId="353" priority="398" operator="lessThan">
      <formula>0</formula>
    </cfRule>
  </conditionalFormatting>
  <conditionalFormatting sqref="EE4:EF4">
    <cfRule type="cellIs" dxfId="352" priority="397" operator="lessThan">
      <formula>0</formula>
    </cfRule>
  </conditionalFormatting>
  <conditionalFormatting sqref="EG6:EG11">
    <cfRule type="cellIs" dxfId="351" priority="396" operator="lessThan">
      <formula>0</formula>
    </cfRule>
  </conditionalFormatting>
  <conditionalFormatting sqref="DZ4:DZ23 DZ28:DZ33">
    <cfRule type="cellIs" dxfId="350" priority="395" operator="lessThan">
      <formula>0</formula>
    </cfRule>
  </conditionalFormatting>
  <conditionalFormatting sqref="EB4:EB23 EB28:EB33">
    <cfRule type="cellIs" dxfId="349" priority="394" operator="lessThan">
      <formula>0</formula>
    </cfRule>
  </conditionalFormatting>
  <conditionalFormatting sqref="ED4:ED23 ED28:ED34">
    <cfRule type="cellIs" dxfId="348" priority="393" operator="lessThan">
      <formula>0</formula>
    </cfRule>
  </conditionalFormatting>
  <conditionalFormatting sqref="EG4:EG5">
    <cfRule type="cellIs" dxfId="347" priority="391" operator="lessThan">
      <formula>0</formula>
    </cfRule>
  </conditionalFormatting>
  <conditionalFormatting sqref="EC4:EC5">
    <cfRule type="cellIs" dxfId="346" priority="383" operator="lessThan">
      <formula>0</formula>
    </cfRule>
  </conditionalFormatting>
  <conditionalFormatting sqref="EC4:EC5">
    <cfRule type="cellIs" dxfId="345" priority="384" operator="lessThan">
      <formula>0</formula>
    </cfRule>
  </conditionalFormatting>
  <conditionalFormatting sqref="EK3:EM3">
    <cfRule type="cellIs" dxfId="344" priority="381" operator="lessThan">
      <formula>0</formula>
    </cfRule>
  </conditionalFormatting>
  <conditionalFormatting sqref="EN3:XFD3">
    <cfRule type="cellIs" dxfId="343" priority="380" operator="lessThan">
      <formula>0</formula>
    </cfRule>
  </conditionalFormatting>
  <conditionalFormatting sqref="Y3:AD3 AF3:AI3">
    <cfRule type="cellIs" dxfId="342" priority="360" operator="lessThan">
      <formula>0</formula>
    </cfRule>
  </conditionalFormatting>
  <conditionalFormatting sqref="X3">
    <cfRule type="cellIs" dxfId="341" priority="359" operator="lessThan">
      <formula>0</formula>
    </cfRule>
  </conditionalFormatting>
  <conditionalFormatting sqref="AE3">
    <cfRule type="cellIs" dxfId="340" priority="358" operator="lessThan">
      <formula>0</formula>
    </cfRule>
  </conditionalFormatting>
  <conditionalFormatting sqref="AJ3 AL3 AN3:BA3">
    <cfRule type="cellIs" dxfId="339" priority="357" operator="lessThan">
      <formula>0</formula>
    </cfRule>
  </conditionalFormatting>
  <conditionalFormatting sqref="AK3">
    <cfRule type="cellIs" dxfId="338" priority="356" operator="lessThan">
      <formula>0</formula>
    </cfRule>
  </conditionalFormatting>
  <conditionalFormatting sqref="AM3">
    <cfRule type="cellIs" dxfId="337" priority="355" operator="lessThan">
      <formula>0</formula>
    </cfRule>
  </conditionalFormatting>
  <conditionalFormatting sqref="CA3 BW3 BY3 BP3 BR3 BN3 BB3:BJ3">
    <cfRule type="cellIs" dxfId="336" priority="354" operator="lessThan">
      <formula>0</formula>
    </cfRule>
  </conditionalFormatting>
  <conditionalFormatting sqref="BO3">
    <cfRule type="cellIs" dxfId="335" priority="353" operator="lessThan">
      <formula>0</formula>
    </cfRule>
  </conditionalFormatting>
  <conditionalFormatting sqref="BL3">
    <cfRule type="cellIs" dxfId="334" priority="352" operator="lessThan">
      <formula>0</formula>
    </cfRule>
  </conditionalFormatting>
  <conditionalFormatting sqref="BM3 BT3">
    <cfRule type="cellIs" dxfId="333" priority="351" operator="lessThan">
      <formula>0</formula>
    </cfRule>
  </conditionalFormatting>
  <conditionalFormatting sqref="BQ3">
    <cfRule type="cellIs" dxfId="332" priority="350" operator="lessThan">
      <formula>0</formula>
    </cfRule>
  </conditionalFormatting>
  <conditionalFormatting sqref="BU3:BV3">
    <cfRule type="cellIs" dxfId="331" priority="349" operator="lessThan">
      <formula>0</formula>
    </cfRule>
  </conditionalFormatting>
  <conditionalFormatting sqref="BS3">
    <cfRule type="cellIs" dxfId="330" priority="348" operator="lessThan">
      <formula>0</formula>
    </cfRule>
  </conditionalFormatting>
  <conditionalFormatting sqref="BX3">
    <cfRule type="cellIs" dxfId="329" priority="347" operator="lessThan">
      <formula>0</formula>
    </cfRule>
  </conditionalFormatting>
  <conditionalFormatting sqref="BZ3">
    <cfRule type="cellIs" dxfId="328" priority="346" operator="lessThan">
      <formula>0</formula>
    </cfRule>
  </conditionalFormatting>
  <conditionalFormatting sqref="CB3">
    <cfRule type="cellIs" dxfId="327" priority="345" operator="lessThan">
      <formula>0</formula>
    </cfRule>
  </conditionalFormatting>
  <conditionalFormatting sqref="DB3 DK3 CY3 CP3 DH3 DN3 DQ3 DT3 CL3:CM3 CD3 CH3 CF3 CS3 CV3 DE3">
    <cfRule type="cellIs" dxfId="326" priority="344" operator="lessThan">
      <formula>0</formula>
    </cfRule>
  </conditionalFormatting>
  <conditionalFormatting sqref="CQ3:CR3 DL3 DI3 DC3:DD3 CJ3:CK3 CN3:CO3 CT3:CU3 CZ3 DF3 CW3:CX3 DU3 CE3 DO3 DR3">
    <cfRule type="cellIs" dxfId="325" priority="343" operator="lessThan">
      <formula>0</formula>
    </cfRule>
  </conditionalFormatting>
  <conditionalFormatting sqref="DA3">
    <cfRule type="cellIs" dxfId="324" priority="342" operator="lessThan">
      <formula>0</formula>
    </cfRule>
  </conditionalFormatting>
  <conditionalFormatting sqref="DV3">
    <cfRule type="cellIs" dxfId="323" priority="341" operator="lessThan">
      <formula>0</formula>
    </cfRule>
  </conditionalFormatting>
  <conditionalFormatting sqref="DG3">
    <cfRule type="cellIs" dxfId="322" priority="340" operator="lessThan">
      <formula>0</formula>
    </cfRule>
  </conditionalFormatting>
  <conditionalFormatting sqref="DJ3">
    <cfRule type="cellIs" dxfId="321" priority="339" operator="lessThan">
      <formula>0</formula>
    </cfRule>
  </conditionalFormatting>
  <conditionalFormatting sqref="DM3">
    <cfRule type="cellIs" dxfId="320" priority="338" operator="lessThan">
      <formula>0</formula>
    </cfRule>
  </conditionalFormatting>
  <conditionalFormatting sqref="DP3">
    <cfRule type="cellIs" dxfId="319" priority="337" operator="lessThan">
      <formula>0</formula>
    </cfRule>
  </conditionalFormatting>
  <conditionalFormatting sqref="DS3">
    <cfRule type="cellIs" dxfId="318" priority="336" operator="lessThan">
      <formula>0</formula>
    </cfRule>
  </conditionalFormatting>
  <conditionalFormatting sqref="CC3">
    <cfRule type="cellIs" dxfId="317" priority="335" operator="lessThan">
      <formula>0</formula>
    </cfRule>
  </conditionalFormatting>
  <conditionalFormatting sqref="CG3">
    <cfRule type="cellIs" dxfId="316" priority="334" operator="lessThan">
      <formula>0</formula>
    </cfRule>
  </conditionalFormatting>
  <conditionalFormatting sqref="CI3">
    <cfRule type="cellIs" dxfId="315" priority="333" operator="lessThan">
      <formula>0</formula>
    </cfRule>
  </conditionalFormatting>
  <conditionalFormatting sqref="DX3">
    <cfRule type="cellIs" dxfId="314" priority="332" operator="lessThan">
      <formula>0</formula>
    </cfRule>
  </conditionalFormatting>
  <conditionalFormatting sqref="EE3:EG3">
    <cfRule type="cellIs" dxfId="313" priority="331" operator="lessThan">
      <formula>0</formula>
    </cfRule>
  </conditionalFormatting>
  <conditionalFormatting sqref="DW3">
    <cfRule type="cellIs" dxfId="312" priority="330" operator="lessThan">
      <formula>0</formula>
    </cfRule>
  </conditionalFormatting>
  <conditionalFormatting sqref="DY3">
    <cfRule type="cellIs" dxfId="311" priority="329" operator="lessThan">
      <formula>0</formula>
    </cfRule>
  </conditionalFormatting>
  <conditionalFormatting sqref="EA3">
    <cfRule type="cellIs" dxfId="310" priority="328" operator="lessThan">
      <formula>0</formula>
    </cfRule>
  </conditionalFormatting>
  <conditionalFormatting sqref="EA3">
    <cfRule type="cellIs" dxfId="309" priority="327" operator="lessThan">
      <formula>0</formula>
    </cfRule>
  </conditionalFormatting>
  <conditionalFormatting sqref="EC3">
    <cfRule type="cellIs" dxfId="308" priority="325" operator="lessThan">
      <formula>0</formula>
    </cfRule>
  </conditionalFormatting>
  <conditionalFormatting sqref="EC3">
    <cfRule type="cellIs" dxfId="307" priority="326" operator="lessThan">
      <formula>0</formula>
    </cfRule>
  </conditionalFormatting>
  <conditionalFormatting sqref="DZ3">
    <cfRule type="cellIs" dxfId="306" priority="324" operator="lessThan">
      <formula>0</formula>
    </cfRule>
  </conditionalFormatting>
  <conditionalFormatting sqref="EB3">
    <cfRule type="cellIs" dxfId="305" priority="323" operator="lessThan">
      <formula>0</formula>
    </cfRule>
  </conditionalFormatting>
  <conditionalFormatting sqref="ED3">
    <cfRule type="cellIs" dxfId="304" priority="322" operator="lessThan">
      <formula>0</formula>
    </cfRule>
  </conditionalFormatting>
  <conditionalFormatting sqref="A29:A34">
    <cfRule type="cellIs" dxfId="303" priority="272" operator="lessThan">
      <formula>0</formula>
    </cfRule>
  </conditionalFormatting>
  <conditionalFormatting sqref="AD21:AD23 AB5:AB23 AD5:AD18 AC4:AC23">
    <cfRule type="cellIs" dxfId="302" priority="234" operator="lessThan">
      <formula>0</formula>
    </cfRule>
  </conditionalFormatting>
  <conditionalFormatting sqref="AD19">
    <cfRule type="cellIs" dxfId="301" priority="233" operator="lessThan">
      <formula>0</formula>
    </cfRule>
  </conditionalFormatting>
  <conditionalFormatting sqref="AD20">
    <cfRule type="cellIs" dxfId="300" priority="232" operator="lessThan">
      <formula>0</formula>
    </cfRule>
  </conditionalFormatting>
  <conditionalFormatting sqref="AD4">
    <cfRule type="cellIs" dxfId="299" priority="230" operator="lessThan">
      <formula>0</formula>
    </cfRule>
  </conditionalFormatting>
  <conditionalFormatting sqref="AB4">
    <cfRule type="cellIs" dxfId="298" priority="231" operator="lessThan">
      <formula>0</formula>
    </cfRule>
  </conditionalFormatting>
  <conditionalFormatting sqref="AH8:AJ11 AH20:AH23 AW4:AX4 AH5:AH7 AJ5:AJ7 AN5:AN7 AP5:AP7 AO4:AO7 AR5:AR7 AQ4:AQ7 AN8:AR8 AP9:AR19 AH12:AH18 AN19:AN21 AN9:AN16 AU4:AU22 AP20:AP21 AQ20:AQ22 AZ23 AY4:AY23 AU23:AV23 AW5:AW23 BA4:BA23 AL5:AL23 AI4:AI7 AI12:AJ23 AN23:AQ23 AO9:AO22 AS4:AS24">
    <cfRule type="cellIs" dxfId="297" priority="229" operator="lessThan">
      <formula>0</formula>
    </cfRule>
  </conditionalFormatting>
  <conditionalFormatting sqref="AN17:AN18">
    <cfRule type="cellIs" dxfId="296" priority="228" operator="lessThan">
      <formula>0</formula>
    </cfRule>
  </conditionalFormatting>
  <conditionalFormatting sqref="AH19">
    <cfRule type="cellIs" dxfId="295" priority="227" operator="lessThan">
      <formula>0</formula>
    </cfRule>
  </conditionalFormatting>
  <conditionalFormatting sqref="AV20">
    <cfRule type="cellIs" dxfId="294" priority="226" operator="lessThan">
      <formula>0</formula>
    </cfRule>
  </conditionalFormatting>
  <conditionalFormatting sqref="AX20">
    <cfRule type="cellIs" dxfId="293" priority="225" operator="lessThan">
      <formula>0</formula>
    </cfRule>
  </conditionalFormatting>
  <conditionalFormatting sqref="AZ20">
    <cfRule type="cellIs" dxfId="292" priority="224" operator="lessThan">
      <formula>0</formula>
    </cfRule>
  </conditionalFormatting>
  <conditionalFormatting sqref="AV21">
    <cfRule type="cellIs" dxfId="291" priority="222" operator="lessThan">
      <formula>0</formula>
    </cfRule>
  </conditionalFormatting>
  <conditionalFormatting sqref="AX21">
    <cfRule type="cellIs" dxfId="290" priority="221" operator="lessThan">
      <formula>0</formula>
    </cfRule>
  </conditionalFormatting>
  <conditionalFormatting sqref="AZ21">
    <cfRule type="cellIs" dxfId="289" priority="220" operator="lessThan">
      <formula>0</formula>
    </cfRule>
  </conditionalFormatting>
  <conditionalFormatting sqref="AN22 AP22">
    <cfRule type="cellIs" dxfId="288" priority="219" operator="lessThan">
      <formula>0</formula>
    </cfRule>
  </conditionalFormatting>
  <conditionalFormatting sqref="AV22">
    <cfRule type="cellIs" dxfId="287" priority="217" operator="lessThan">
      <formula>0</formula>
    </cfRule>
  </conditionalFormatting>
  <conditionalFormatting sqref="AX22:AX23">
    <cfRule type="cellIs" dxfId="286" priority="216" operator="lessThan">
      <formula>0</formula>
    </cfRule>
  </conditionalFormatting>
  <conditionalFormatting sqref="AZ22">
    <cfRule type="cellIs" dxfId="285" priority="215" operator="lessThan">
      <formula>0</formula>
    </cfRule>
  </conditionalFormatting>
  <conditionalFormatting sqref="AV8:AV19 AX11:AX19 AZ5:AZ19 AT10:AT23">
    <cfRule type="cellIs" dxfId="284" priority="214" operator="lessThan">
      <formula>0</formula>
    </cfRule>
  </conditionalFormatting>
  <conditionalFormatting sqref="AK4:AK23">
    <cfRule type="cellIs" dxfId="283" priority="213" operator="lessThan">
      <formula>0</formula>
    </cfRule>
  </conditionalFormatting>
  <conditionalFormatting sqref="AH4 AL4 AN4 AP4 AR4 AZ4">
    <cfRule type="cellIs" dxfId="282" priority="211" operator="lessThan">
      <formula>0</formula>
    </cfRule>
  </conditionalFormatting>
  <conditionalFormatting sqref="AJ4">
    <cfRule type="cellIs" dxfId="281" priority="212" operator="lessThan">
      <formula>0</formula>
    </cfRule>
  </conditionalFormatting>
  <conditionalFormatting sqref="AX4:AX10">
    <cfRule type="cellIs" dxfId="280" priority="210" operator="lessThan">
      <formula>0</formula>
    </cfRule>
  </conditionalFormatting>
  <conditionalFormatting sqref="AV4:AV7">
    <cfRule type="cellIs" dxfId="279" priority="209" operator="lessThan">
      <formula>0</formula>
    </cfRule>
  </conditionalFormatting>
  <conditionalFormatting sqref="AT4:AT9">
    <cfRule type="cellIs" dxfId="278" priority="208" operator="lessThan">
      <formula>0</formula>
    </cfRule>
  </conditionalFormatting>
  <conditionalFormatting sqref="AM4:AM23">
    <cfRule type="cellIs" dxfId="277" priority="207" operator="lessThan">
      <formula>0</formula>
    </cfRule>
  </conditionalFormatting>
  <conditionalFormatting sqref="BB20 BH5:BJ9 BB5:BB16 BD5:BD18 BI10:BJ15 BF5:BF18 BH10:BH21 BE4:BE22 BD23:BE23 BB23 BG4:BG23 BP10:BP23 BR5:BR23 BN5:BN23 BI16:BI23 BJ4 BC4:BC23 BJ16:BJ24 BL5:BL22">
    <cfRule type="cellIs" dxfId="276" priority="206" operator="lessThan">
      <formula>0</formula>
    </cfRule>
  </conditionalFormatting>
  <conditionalFormatting sqref="BB17:BB18">
    <cfRule type="cellIs" dxfId="275" priority="205" operator="lessThan">
      <formula>0</formula>
    </cfRule>
  </conditionalFormatting>
  <conditionalFormatting sqref="BB19">
    <cfRule type="cellIs" dxfId="274" priority="204" operator="lessThan">
      <formula>0</formula>
    </cfRule>
  </conditionalFormatting>
  <conditionalFormatting sqref="BD19">
    <cfRule type="cellIs" dxfId="273" priority="203" operator="lessThan">
      <formula>0</formula>
    </cfRule>
  </conditionalFormatting>
  <conditionalFormatting sqref="BF19">
    <cfRule type="cellIs" dxfId="272" priority="202" operator="lessThan">
      <formula>0</formula>
    </cfRule>
  </conditionalFormatting>
  <conditionalFormatting sqref="BD20">
    <cfRule type="cellIs" dxfId="271" priority="201" operator="lessThan">
      <formula>0</formula>
    </cfRule>
  </conditionalFormatting>
  <conditionalFormatting sqref="BF20">
    <cfRule type="cellIs" dxfId="270" priority="200" operator="lessThan">
      <formula>0</formula>
    </cfRule>
  </conditionalFormatting>
  <conditionalFormatting sqref="BB21">
    <cfRule type="cellIs" dxfId="269" priority="199" operator="lessThan">
      <formula>0</formula>
    </cfRule>
  </conditionalFormatting>
  <conditionalFormatting sqref="BD21">
    <cfRule type="cellIs" dxfId="268" priority="198" operator="lessThan">
      <formula>0</formula>
    </cfRule>
  </conditionalFormatting>
  <conditionalFormatting sqref="BF21">
    <cfRule type="cellIs" dxfId="267" priority="197" operator="lessThan">
      <formula>0</formula>
    </cfRule>
  </conditionalFormatting>
  <conditionalFormatting sqref="BB22">
    <cfRule type="cellIs" dxfId="266" priority="196" operator="lessThan">
      <formula>0</formula>
    </cfRule>
  </conditionalFormatting>
  <conditionalFormatting sqref="BH22">
    <cfRule type="cellIs" dxfId="265" priority="195" operator="lessThan">
      <formula>0</formula>
    </cfRule>
  </conditionalFormatting>
  <conditionalFormatting sqref="BD22">
    <cfRule type="cellIs" dxfId="264" priority="194" operator="lessThan">
      <formula>0</formula>
    </cfRule>
  </conditionalFormatting>
  <conditionalFormatting sqref="BF22">
    <cfRule type="cellIs" dxfId="263" priority="193" operator="lessThan">
      <formula>0</formula>
    </cfRule>
  </conditionalFormatting>
  <conditionalFormatting sqref="BL23">
    <cfRule type="cellIs" dxfId="262" priority="192" operator="lessThan">
      <formula>0</formula>
    </cfRule>
  </conditionalFormatting>
  <conditionalFormatting sqref="BH23">
    <cfRule type="cellIs" dxfId="261" priority="191" operator="lessThan">
      <formula>0</formula>
    </cfRule>
  </conditionalFormatting>
  <conditionalFormatting sqref="BF23">
    <cfRule type="cellIs" dxfId="260" priority="190" operator="lessThan">
      <formula>0</formula>
    </cfRule>
  </conditionalFormatting>
  <conditionalFormatting sqref="BP5:BP9">
    <cfRule type="cellIs" dxfId="259" priority="189" operator="lessThan">
      <formula>0</formula>
    </cfRule>
  </conditionalFormatting>
  <conditionalFormatting sqref="BB4 BD4 BF4 BH4 BL4 BN4 BP4 BR4">
    <cfRule type="cellIs" dxfId="258" priority="188" operator="lessThan">
      <formula>0</formula>
    </cfRule>
  </conditionalFormatting>
  <conditionalFormatting sqref="BQ4:BQ8 BM4:BM23">
    <cfRule type="cellIs" dxfId="257" priority="187" operator="lessThan">
      <formula>0</formula>
    </cfRule>
  </conditionalFormatting>
  <conditionalFormatting sqref="BS4:BS8">
    <cfRule type="cellIs" dxfId="256" priority="186" operator="lessThan">
      <formula>0</formula>
    </cfRule>
  </conditionalFormatting>
  <conditionalFormatting sqref="BO4:BO8">
    <cfRule type="cellIs" dxfId="255" priority="185" operator="lessThan">
      <formula>0</formula>
    </cfRule>
  </conditionalFormatting>
  <conditionalFormatting sqref="BO9:BO23">
    <cfRule type="cellIs" dxfId="254" priority="184" operator="lessThan">
      <formula>0</formula>
    </cfRule>
  </conditionalFormatting>
  <conditionalFormatting sqref="BQ9:BQ23">
    <cfRule type="cellIs" dxfId="253" priority="183" operator="lessThan">
      <formula>0</formula>
    </cfRule>
  </conditionalFormatting>
  <conditionalFormatting sqref="BS9:BS23">
    <cfRule type="cellIs" dxfId="252" priority="182" operator="lessThan">
      <formula>0</formula>
    </cfRule>
  </conditionalFormatting>
  <conditionalFormatting sqref="BI4">
    <cfRule type="cellIs" dxfId="251" priority="181" operator="lessThan">
      <formula>0</formula>
    </cfRule>
  </conditionalFormatting>
  <conditionalFormatting sqref="BW20:BW23">
    <cfRule type="cellIs" dxfId="250" priority="180" operator="lessThan">
      <formula>0</formula>
    </cfRule>
  </conditionalFormatting>
  <conditionalFormatting sqref="BW18:BW19">
    <cfRule type="cellIs" dxfId="249" priority="179" operator="lessThan">
      <formula>0</formula>
    </cfRule>
  </conditionalFormatting>
  <conditionalFormatting sqref="BT4:BV8">
    <cfRule type="cellIs" dxfId="248" priority="178" operator="lessThan">
      <formula>0</formula>
    </cfRule>
  </conditionalFormatting>
  <conditionalFormatting sqref="BT9:BV23">
    <cfRule type="cellIs" dxfId="247" priority="177" operator="lessThan">
      <formula>0</formula>
    </cfRule>
  </conditionalFormatting>
  <conditionalFormatting sqref="BW4:BW17">
    <cfRule type="cellIs" dxfId="246" priority="176" operator="lessThan">
      <formula>0</formula>
    </cfRule>
  </conditionalFormatting>
  <conditionalFormatting sqref="DB24:DB27 DK24:DK27 EA24:EA27 CY24:CY27 CP24:CP27 DH24:DH27 DN24:DN27 DQ24:DQ27 DT24:DT27 CL24:CM27 CA24:CA27 CH24:CH27 CF24:CF27 BW24:BW27 AL24:AL27 BY24:BY27 BP24:BP27 BR24:BR27 BN24:BN27 Y24:AD27 CS24:CS27 CV24:CV27 DE24:DE27 DW24:DY27 BI25:BJ27 AF24:AJ27 BA24:BH26 AT27:BH27 AN25:AS27 CD24:CD27 AU24:AY25 AT26:AY26 AN24:AR24 BI24 BL24:BL27">
    <cfRule type="cellIs" dxfId="245" priority="174" operator="lessThan">
      <formula>0</formula>
    </cfRule>
  </conditionalFormatting>
  <conditionalFormatting sqref="EA24:EA27">
    <cfRule type="cellIs" dxfId="244" priority="173" operator="lessThan">
      <formula>0</formula>
    </cfRule>
  </conditionalFormatting>
  <conditionalFormatting sqref="EC24:EC27">
    <cfRule type="cellIs" dxfId="243" priority="172" operator="lessThan">
      <formula>0</formula>
    </cfRule>
  </conditionalFormatting>
  <conditionalFormatting sqref="EC24:EC27">
    <cfRule type="cellIs" dxfId="242" priority="171" operator="lessThan">
      <formula>0</formula>
    </cfRule>
  </conditionalFormatting>
  <conditionalFormatting sqref="EE24:EG27">
    <cfRule type="cellIs" dxfId="241" priority="170" operator="lessThan">
      <formula>0</formula>
    </cfRule>
  </conditionalFormatting>
  <conditionalFormatting sqref="X24">
    <cfRule type="cellIs" dxfId="240" priority="169" operator="lessThan">
      <formula>0</formula>
    </cfRule>
  </conditionalFormatting>
  <conditionalFormatting sqref="X25">
    <cfRule type="cellIs" dxfId="239" priority="168" operator="lessThan">
      <formula>0</formula>
    </cfRule>
  </conditionalFormatting>
  <conditionalFormatting sqref="X26">
    <cfRule type="cellIs" dxfId="238" priority="167" operator="lessThan">
      <formula>0</formula>
    </cfRule>
  </conditionalFormatting>
  <conditionalFormatting sqref="X27">
    <cfRule type="cellIs" dxfId="237" priority="166" operator="lessThan">
      <formula>0</formula>
    </cfRule>
  </conditionalFormatting>
  <conditionalFormatting sqref="AT24:AT25">
    <cfRule type="cellIs" dxfId="236" priority="165" operator="lessThan">
      <formula>0</formula>
    </cfRule>
  </conditionalFormatting>
  <conditionalFormatting sqref="AK24:AK27">
    <cfRule type="cellIs" dxfId="235" priority="164" operator="lessThan">
      <formula>0</formula>
    </cfRule>
  </conditionalFormatting>
  <conditionalFormatting sqref="CQ24:CR27 DL24:DL27 DI24:DI27 DC24:DD27 AE24:AE27 AM24:AM27 BM24:BM27 CJ24:CK27 CN24:CO27 CT24:CU27 CZ24:CZ27 CW24:CX27 CE24:CE27 DO24:DO27 DR24:DR27 DU24:DU27 DF24:DF27">
    <cfRule type="cellIs" dxfId="234" priority="163" operator="lessThan">
      <formula>0</formula>
    </cfRule>
  </conditionalFormatting>
  <conditionalFormatting sqref="DA24:DA27">
    <cfRule type="cellIs" dxfId="233" priority="162" operator="lessThan">
      <formula>0</formula>
    </cfRule>
  </conditionalFormatting>
  <conditionalFormatting sqref="DV24:DV27">
    <cfRule type="cellIs" dxfId="232" priority="161" operator="lessThan">
      <formula>0</formula>
    </cfRule>
  </conditionalFormatting>
  <conditionalFormatting sqref="DG24:DG27">
    <cfRule type="cellIs" dxfId="231" priority="160" operator="lessThan">
      <formula>0</formula>
    </cfRule>
  </conditionalFormatting>
  <conditionalFormatting sqref="DJ24:DJ27">
    <cfRule type="cellIs" dxfId="230" priority="159" operator="lessThan">
      <formula>0</formula>
    </cfRule>
  </conditionalFormatting>
  <conditionalFormatting sqref="DM24:DM27">
    <cfRule type="cellIs" dxfId="229" priority="158" operator="lessThan">
      <formula>0</formula>
    </cfRule>
  </conditionalFormatting>
  <conditionalFormatting sqref="DP24:DP27">
    <cfRule type="cellIs" dxfId="228" priority="157" operator="lessThan">
      <formula>0</formula>
    </cfRule>
  </conditionalFormatting>
  <conditionalFormatting sqref="DS24:DS27">
    <cfRule type="cellIs" dxfId="227" priority="156" operator="lessThan">
      <formula>0</formula>
    </cfRule>
  </conditionalFormatting>
  <conditionalFormatting sqref="DZ24:DZ27">
    <cfRule type="cellIs" dxfId="226" priority="155" operator="lessThan">
      <formula>0</formula>
    </cfRule>
  </conditionalFormatting>
  <conditionalFormatting sqref="EB24:EB27">
    <cfRule type="cellIs" dxfId="225" priority="154" operator="lessThan">
      <formula>0</formula>
    </cfRule>
  </conditionalFormatting>
  <conditionalFormatting sqref="ED24:ED27">
    <cfRule type="cellIs" dxfId="224" priority="153" operator="lessThan">
      <formula>0</formula>
    </cfRule>
  </conditionalFormatting>
  <conditionalFormatting sqref="BO24:BO27">
    <cfRule type="cellIs" dxfId="223" priority="152" operator="lessThan">
      <formula>0</formula>
    </cfRule>
  </conditionalFormatting>
  <conditionalFormatting sqref="BQ24:BQ27">
    <cfRule type="cellIs" dxfId="222" priority="151" operator="lessThan">
      <formula>0</formula>
    </cfRule>
  </conditionalFormatting>
  <conditionalFormatting sqref="BT24:BV27">
    <cfRule type="cellIs" dxfId="221" priority="150" operator="lessThan">
      <formula>0</formula>
    </cfRule>
  </conditionalFormatting>
  <conditionalFormatting sqref="BS24:BS27">
    <cfRule type="cellIs" dxfId="220" priority="149" operator="lessThan">
      <formula>0</formula>
    </cfRule>
  </conditionalFormatting>
  <conditionalFormatting sqref="BX24:BX27">
    <cfRule type="cellIs" dxfId="219" priority="148" operator="lessThan">
      <formula>0</formula>
    </cfRule>
  </conditionalFormatting>
  <conditionalFormatting sqref="BZ24:BZ27">
    <cfRule type="cellIs" dxfId="218" priority="147" operator="lessThan">
      <formula>0</formula>
    </cfRule>
  </conditionalFormatting>
  <conditionalFormatting sqref="CB24:CB27">
    <cfRule type="cellIs" dxfId="217" priority="146" operator="lessThan">
      <formula>0</formula>
    </cfRule>
  </conditionalFormatting>
  <conditionalFormatting sqref="CC24:CC27">
    <cfRule type="cellIs" dxfId="216" priority="145" operator="lessThan">
      <formula>0</formula>
    </cfRule>
  </conditionalFormatting>
  <conditionalFormatting sqref="CG24:CG27">
    <cfRule type="cellIs" dxfId="215" priority="144" operator="lessThan">
      <formula>0</formula>
    </cfRule>
  </conditionalFormatting>
  <conditionalFormatting sqref="CI24:CI27">
    <cfRule type="cellIs" dxfId="214" priority="143" operator="lessThan">
      <formula>0</formula>
    </cfRule>
  </conditionalFormatting>
  <conditionalFormatting sqref="AZ24">
    <cfRule type="cellIs" dxfId="213" priority="142" operator="lessThan">
      <formula>0</formula>
    </cfRule>
  </conditionalFormatting>
  <conditionalFormatting sqref="AZ25">
    <cfRule type="cellIs" dxfId="212" priority="141" operator="lessThan">
      <formula>0</formula>
    </cfRule>
  </conditionalFormatting>
  <conditionalFormatting sqref="AZ26">
    <cfRule type="cellIs" dxfId="211" priority="140" operator="lessThan">
      <formula>0</formula>
    </cfRule>
  </conditionalFormatting>
  <conditionalFormatting sqref="AR20:AR23">
    <cfRule type="cellIs" dxfId="210" priority="139" operator="lessThan">
      <formula>0</formula>
    </cfRule>
  </conditionalFormatting>
  <conditionalFormatting sqref="BK4:BK28">
    <cfRule type="cellIs" dxfId="209" priority="138" operator="lessThan">
      <formula>0</formula>
    </cfRule>
  </conditionalFormatting>
  <conditionalFormatting sqref="BK3">
    <cfRule type="cellIs" dxfId="208" priority="137" operator="lessThan">
      <formula>0</formula>
    </cfRule>
  </conditionalFormatting>
  <conditionalFormatting sqref="G27:H27 U5:U17 Q22 S20:S23 U19:U28 G7:H22 G6 B5:B16 D5:D16 B19:B28 D19:D28 R4:R28 O8:O11">
    <cfRule type="cellIs" dxfId="207" priority="136" operator="lessThan">
      <formula>0</formula>
    </cfRule>
  </conditionalFormatting>
  <conditionalFormatting sqref="B17:B18">
    <cfRule type="cellIs" dxfId="206" priority="135" operator="lessThan">
      <formula>0</formula>
    </cfRule>
  </conditionalFormatting>
  <conditionalFormatting sqref="D17:D18">
    <cfRule type="cellIs" dxfId="205" priority="134" operator="lessThan">
      <formula>0</formula>
    </cfRule>
  </conditionalFormatting>
  <conditionalFormatting sqref="U18">
    <cfRule type="cellIs" dxfId="204" priority="133" operator="lessThan">
      <formula>0</formula>
    </cfRule>
  </conditionalFormatting>
  <conditionalFormatting sqref="I15:I19">
    <cfRule type="cellIs" dxfId="203" priority="132" operator="lessThan">
      <formula>0</formula>
    </cfRule>
  </conditionalFormatting>
  <conditionalFormatting sqref="S15:S19">
    <cfRule type="cellIs" dxfId="202" priority="131" operator="lessThan">
      <formula>0</formula>
    </cfRule>
  </conditionalFormatting>
  <conditionalFormatting sqref="G23:H23 Q23">
    <cfRule type="cellIs" dxfId="201" priority="130" operator="lessThan">
      <formula>0</formula>
    </cfRule>
  </conditionalFormatting>
  <conditionalFormatting sqref="S24">
    <cfRule type="cellIs" dxfId="200" priority="129" operator="lessThan">
      <formula>0</formula>
    </cfRule>
  </conditionalFormatting>
  <conditionalFormatting sqref="G24:H24 Q24">
    <cfRule type="cellIs" dxfId="199" priority="128" operator="lessThan">
      <formula>0</formula>
    </cfRule>
  </conditionalFormatting>
  <conditionalFormatting sqref="S25">
    <cfRule type="cellIs" dxfId="198" priority="127" operator="lessThan">
      <formula>0</formula>
    </cfRule>
  </conditionalFormatting>
  <conditionalFormatting sqref="G25:H25 Q25">
    <cfRule type="cellIs" dxfId="197" priority="126" operator="lessThan">
      <formula>0</formula>
    </cfRule>
  </conditionalFormatting>
  <conditionalFormatting sqref="S26:S27">
    <cfRule type="cellIs" dxfId="196" priority="125" operator="lessThan">
      <formula>0</formula>
    </cfRule>
  </conditionalFormatting>
  <conditionalFormatting sqref="G26:H26 Q26:Q28">
    <cfRule type="cellIs" dxfId="195" priority="124" operator="lessThan">
      <formula>0</formula>
    </cfRule>
  </conditionalFormatting>
  <conditionalFormatting sqref="G28:H28">
    <cfRule type="cellIs" dxfId="194" priority="123" operator="lessThan">
      <formula>0</formula>
    </cfRule>
  </conditionalFormatting>
  <conditionalFormatting sqref="S4:S14">
    <cfRule type="cellIs" dxfId="193" priority="122" operator="lessThan">
      <formula>0</formula>
    </cfRule>
  </conditionalFormatting>
  <conditionalFormatting sqref="K15:K19">
    <cfRule type="cellIs" dxfId="192" priority="121" operator="lessThan">
      <formula>0</formula>
    </cfRule>
  </conditionalFormatting>
  <conditionalFormatting sqref="O15:O19">
    <cfRule type="cellIs" dxfId="191" priority="120" operator="lessThan">
      <formula>0</formula>
    </cfRule>
  </conditionalFormatting>
  <conditionalFormatting sqref="Q5:Q19">
    <cfRule type="cellIs" dxfId="190" priority="119" operator="lessThan">
      <formula>0</formula>
    </cfRule>
  </conditionalFormatting>
  <conditionalFormatting sqref="S28">
    <cfRule type="cellIs" dxfId="189" priority="118" operator="lessThan">
      <formula>0</formula>
    </cfRule>
  </conditionalFormatting>
  <conditionalFormatting sqref="Q20">
    <cfRule type="cellIs" dxfId="188" priority="117" operator="lessThan">
      <formula>0</formula>
    </cfRule>
  </conditionalFormatting>
  <conditionalFormatting sqref="I26:I27">
    <cfRule type="cellIs" dxfId="187" priority="116" operator="lessThan">
      <formula>0</formula>
    </cfRule>
  </conditionalFormatting>
  <conditionalFormatting sqref="K26">
    <cfRule type="cellIs" dxfId="186" priority="115" operator="lessThan">
      <formula>0</formula>
    </cfRule>
  </conditionalFormatting>
  <conditionalFormatting sqref="O26">
    <cfRule type="cellIs" dxfId="185" priority="114" operator="lessThan">
      <formula>0</formula>
    </cfRule>
  </conditionalFormatting>
  <conditionalFormatting sqref="M26:M27">
    <cfRule type="cellIs" dxfId="184" priority="113" operator="lessThan">
      <formula>0</formula>
    </cfRule>
  </conditionalFormatting>
  <conditionalFormatting sqref="O28">
    <cfRule type="cellIs" dxfId="183" priority="112" operator="lessThan">
      <formula>0</formula>
    </cfRule>
  </conditionalFormatting>
  <conditionalFormatting sqref="L7:L28">
    <cfRule type="cellIs" dxfId="182" priority="111" operator="lessThan">
      <formula>0</formula>
    </cfRule>
  </conditionalFormatting>
  <conditionalFormatting sqref="N24:N28">
    <cfRule type="cellIs" dxfId="181" priority="110" operator="lessThan">
      <formula>0</formula>
    </cfRule>
  </conditionalFormatting>
  <conditionalFormatting sqref="R4:R28">
    <cfRule type="cellIs" dxfId="180" priority="109" operator="lessThan">
      <formula>0</formula>
    </cfRule>
  </conditionalFormatting>
  <conditionalFormatting sqref="O12">
    <cfRule type="cellIs" dxfId="179" priority="108" operator="lessThan">
      <formula>0</formula>
    </cfRule>
  </conditionalFormatting>
  <conditionalFormatting sqref="I8:I10">
    <cfRule type="cellIs" dxfId="178" priority="107" operator="lessThan">
      <formula>0</formula>
    </cfRule>
  </conditionalFormatting>
  <conditionalFormatting sqref="M8:M10">
    <cfRule type="cellIs" dxfId="177" priority="106" operator="lessThan">
      <formula>0</formula>
    </cfRule>
  </conditionalFormatting>
  <conditionalFormatting sqref="D4">
    <cfRule type="cellIs" dxfId="176" priority="104" operator="lessThan">
      <formula>0</formula>
    </cfRule>
  </conditionalFormatting>
  <conditionalFormatting sqref="Q4">
    <cfRule type="cellIs" dxfId="175" priority="103" operator="lessThan">
      <formula>0</formula>
    </cfRule>
  </conditionalFormatting>
  <conditionalFormatting sqref="B4 U4">
    <cfRule type="cellIs" dxfId="174" priority="105" operator="lessThan">
      <formula>0</formula>
    </cfRule>
  </conditionalFormatting>
  <conditionalFormatting sqref="K5">
    <cfRule type="cellIs" dxfId="173" priority="102" operator="lessThan">
      <formula>0</formula>
    </cfRule>
  </conditionalFormatting>
  <conditionalFormatting sqref="M5">
    <cfRule type="cellIs" dxfId="172" priority="101" operator="lessThan">
      <formula>0</formula>
    </cfRule>
  </conditionalFormatting>
  <conditionalFormatting sqref="O5">
    <cfRule type="cellIs" dxfId="171" priority="100" operator="lessThan">
      <formula>0</formula>
    </cfRule>
  </conditionalFormatting>
  <conditionalFormatting sqref="H6:I6">
    <cfRule type="cellIs" dxfId="170" priority="99" operator="lessThan">
      <formula>0</formula>
    </cfRule>
  </conditionalFormatting>
  <conditionalFormatting sqref="K6">
    <cfRule type="cellIs" dxfId="169" priority="98" operator="lessThan">
      <formula>0</formula>
    </cfRule>
  </conditionalFormatting>
  <conditionalFormatting sqref="M6">
    <cfRule type="cellIs" dxfId="168" priority="97" operator="lessThan">
      <formula>0</formula>
    </cfRule>
  </conditionalFormatting>
  <conditionalFormatting sqref="O6">
    <cfRule type="cellIs" dxfId="167" priority="96" operator="lessThan">
      <formula>0</formula>
    </cfRule>
  </conditionalFormatting>
  <conditionalFormatting sqref="I7">
    <cfRule type="cellIs" dxfId="166" priority="95" operator="lessThan">
      <formula>0</formula>
    </cfRule>
  </conditionalFormatting>
  <conditionalFormatting sqref="K7:K10">
    <cfRule type="cellIs" dxfId="165" priority="94" operator="lessThan">
      <formula>0</formula>
    </cfRule>
  </conditionalFormatting>
  <conditionalFormatting sqref="M7">
    <cfRule type="cellIs" dxfId="164" priority="93" operator="lessThan">
      <formula>0</formula>
    </cfRule>
  </conditionalFormatting>
  <conditionalFormatting sqref="O7">
    <cfRule type="cellIs" dxfId="163" priority="92" operator="lessThan">
      <formula>0</formula>
    </cfRule>
  </conditionalFormatting>
  <conditionalFormatting sqref="M15">
    <cfRule type="cellIs" dxfId="162" priority="91" operator="lessThan">
      <formula>0</formula>
    </cfRule>
  </conditionalFormatting>
  <conditionalFormatting sqref="E4:E28 C4:C28">
    <cfRule type="cellIs" dxfId="161" priority="90" operator="lessThan">
      <formula>0</formula>
    </cfRule>
  </conditionalFormatting>
  <conditionalFormatting sqref="F4:F28">
    <cfRule type="cellIs" dxfId="160" priority="89" operator="lessThan">
      <formula>0</formula>
    </cfRule>
  </conditionalFormatting>
  <conditionalFormatting sqref="J4:J28">
    <cfRule type="cellIs" dxfId="159" priority="88" operator="lessThan">
      <formula>0</formula>
    </cfRule>
  </conditionalFormatting>
  <conditionalFormatting sqref="L5:L6">
    <cfRule type="cellIs" dxfId="158" priority="87" operator="lessThan">
      <formula>0</formula>
    </cfRule>
  </conditionalFormatting>
  <conditionalFormatting sqref="N4:N23">
    <cfRule type="cellIs" dxfId="157" priority="86" operator="lessThan">
      <formula>0</formula>
    </cfRule>
  </conditionalFormatting>
  <conditionalFormatting sqref="P4:P28">
    <cfRule type="cellIs" dxfId="156" priority="85" operator="lessThan">
      <formula>0</formula>
    </cfRule>
  </conditionalFormatting>
  <conditionalFormatting sqref="T4:T28">
    <cfRule type="cellIs" dxfId="155" priority="84" operator="lessThan">
      <formula>0</formula>
    </cfRule>
  </conditionalFormatting>
  <conditionalFormatting sqref="T4:T28">
    <cfRule type="cellIs" dxfId="154" priority="83" operator="lessThan">
      <formula>0</formula>
    </cfRule>
  </conditionalFormatting>
  <conditionalFormatting sqref="K11">
    <cfRule type="cellIs" dxfId="153" priority="82" operator="lessThan">
      <formula>0</formula>
    </cfRule>
  </conditionalFormatting>
  <conditionalFormatting sqref="M11">
    <cfRule type="cellIs" dxfId="152" priority="81" operator="lessThan">
      <formula>0</formula>
    </cfRule>
  </conditionalFormatting>
  <conditionalFormatting sqref="I12">
    <cfRule type="cellIs" dxfId="151" priority="80" operator="lessThan">
      <formula>0</formula>
    </cfRule>
  </conditionalFormatting>
  <conditionalFormatting sqref="K12">
    <cfRule type="cellIs" dxfId="150" priority="79" operator="lessThan">
      <formula>0</formula>
    </cfRule>
  </conditionalFormatting>
  <conditionalFormatting sqref="M12">
    <cfRule type="cellIs" dxfId="149" priority="78" operator="lessThan">
      <formula>0</formula>
    </cfRule>
  </conditionalFormatting>
  <conditionalFormatting sqref="I13">
    <cfRule type="cellIs" dxfId="148" priority="77" operator="lessThan">
      <formula>0</formula>
    </cfRule>
  </conditionalFormatting>
  <conditionalFormatting sqref="K13">
    <cfRule type="cellIs" dxfId="147" priority="76" operator="lessThan">
      <formula>0</formula>
    </cfRule>
  </conditionalFormatting>
  <conditionalFormatting sqref="M13">
    <cfRule type="cellIs" dxfId="146" priority="75" operator="lessThan">
      <formula>0</formula>
    </cfRule>
  </conditionalFormatting>
  <conditionalFormatting sqref="O13">
    <cfRule type="cellIs" dxfId="145" priority="74" operator="lessThan">
      <formula>0</formula>
    </cfRule>
  </conditionalFormatting>
  <conditionalFormatting sqref="K27">
    <cfRule type="cellIs" dxfId="144" priority="73" operator="lessThan">
      <formula>0</formula>
    </cfRule>
  </conditionalFormatting>
  <conditionalFormatting sqref="O27">
    <cfRule type="cellIs" dxfId="143" priority="72" operator="lessThan">
      <formula>0</formula>
    </cfRule>
  </conditionalFormatting>
  <conditionalFormatting sqref="I28">
    <cfRule type="cellIs" dxfId="142" priority="71" operator="lessThan">
      <formula>0</formula>
    </cfRule>
  </conditionalFormatting>
  <conditionalFormatting sqref="K28">
    <cfRule type="cellIs" dxfId="141" priority="70" operator="lessThan">
      <formula>0</formula>
    </cfRule>
  </conditionalFormatting>
  <conditionalFormatting sqref="M28">
    <cfRule type="cellIs" dxfId="140" priority="69" operator="lessThan">
      <formula>0</formula>
    </cfRule>
  </conditionalFormatting>
  <conditionalFormatting sqref="U3 B3 D3 R3">
    <cfRule type="cellIs" dxfId="139" priority="68" operator="lessThan">
      <formula>0</formula>
    </cfRule>
  </conditionalFormatting>
  <conditionalFormatting sqref="S3">
    <cfRule type="cellIs" dxfId="138" priority="67" operator="lessThan">
      <formula>0</formula>
    </cfRule>
  </conditionalFormatting>
  <conditionalFormatting sqref="N3">
    <cfRule type="cellIs" dxfId="137" priority="66" operator="lessThan">
      <formula>0</formula>
    </cfRule>
  </conditionalFormatting>
  <conditionalFormatting sqref="R3">
    <cfRule type="cellIs" dxfId="136" priority="65" operator="lessThan">
      <formula>0</formula>
    </cfRule>
  </conditionalFormatting>
  <conditionalFormatting sqref="A3:A28">
    <cfRule type="cellIs" dxfId="135" priority="64" operator="lessThan">
      <formula>0</formula>
    </cfRule>
  </conditionalFormatting>
  <conditionalFormatting sqref="Q3">
    <cfRule type="cellIs" dxfId="134" priority="63" operator="lessThan">
      <formula>0</formula>
    </cfRule>
  </conditionalFormatting>
  <conditionalFormatting sqref="O3">
    <cfRule type="cellIs" dxfId="133" priority="62" operator="lessThan">
      <formula>0</formula>
    </cfRule>
  </conditionalFormatting>
  <conditionalFormatting sqref="C3 E3">
    <cfRule type="cellIs" dxfId="132" priority="61" operator="lessThan">
      <formula>0</formula>
    </cfRule>
  </conditionalFormatting>
  <conditionalFormatting sqref="F3">
    <cfRule type="cellIs" dxfId="131" priority="60" operator="lessThan">
      <formula>0</formula>
    </cfRule>
  </conditionalFormatting>
  <conditionalFormatting sqref="J3">
    <cfRule type="cellIs" dxfId="130" priority="59" operator="lessThan">
      <formula>0</formula>
    </cfRule>
  </conditionalFormatting>
  <conditionalFormatting sqref="P3">
    <cfRule type="cellIs" dxfId="129" priority="58" operator="lessThan">
      <formula>0</formula>
    </cfRule>
  </conditionalFormatting>
  <conditionalFormatting sqref="T3">
    <cfRule type="cellIs" dxfId="128" priority="57" operator="lessThan">
      <formula>0</formula>
    </cfRule>
  </conditionalFormatting>
  <conditionalFormatting sqref="T3">
    <cfRule type="cellIs" dxfId="127" priority="56" operator="lessThan">
      <formula>0</formula>
    </cfRule>
  </conditionalFormatting>
  <conditionalFormatting sqref="G3:H5">
    <cfRule type="cellIs" dxfId="126" priority="55" operator="lessThan">
      <formula>0</formula>
    </cfRule>
  </conditionalFormatting>
  <conditionalFormatting sqref="I3:I5">
    <cfRule type="cellIs" dxfId="125" priority="54" operator="lessThan">
      <formula>0</formula>
    </cfRule>
  </conditionalFormatting>
  <conditionalFormatting sqref="K3">
    <cfRule type="cellIs" dxfId="124" priority="53" operator="lessThan">
      <formula>0</formula>
    </cfRule>
  </conditionalFormatting>
  <conditionalFormatting sqref="M3">
    <cfRule type="cellIs" dxfId="123" priority="52" operator="lessThan">
      <formula>0</formula>
    </cfRule>
  </conditionalFormatting>
  <conditionalFormatting sqref="L3:L4">
    <cfRule type="cellIs" dxfId="122" priority="51" operator="lessThan">
      <formula>0</formula>
    </cfRule>
  </conditionalFormatting>
  <conditionalFormatting sqref="I11">
    <cfRule type="cellIs" dxfId="121" priority="50" operator="lessThan">
      <formula>0</formula>
    </cfRule>
  </conditionalFormatting>
  <conditionalFormatting sqref="M17">
    <cfRule type="cellIs" dxfId="120" priority="49" operator="lessThan">
      <formula>0</formula>
    </cfRule>
  </conditionalFormatting>
  <conditionalFormatting sqref="M18">
    <cfRule type="cellIs" dxfId="119" priority="48" operator="lessThan">
      <formula>0</formula>
    </cfRule>
  </conditionalFormatting>
  <conditionalFormatting sqref="M19">
    <cfRule type="cellIs" dxfId="118" priority="47" operator="lessThan">
      <formula>0</formula>
    </cfRule>
  </conditionalFormatting>
  <conditionalFormatting sqref="I20">
    <cfRule type="cellIs" dxfId="117" priority="46" operator="lessThan">
      <formula>0</formula>
    </cfRule>
  </conditionalFormatting>
  <conditionalFormatting sqref="K20">
    <cfRule type="cellIs" dxfId="116" priority="45" operator="lessThan">
      <formula>0</formula>
    </cfRule>
  </conditionalFormatting>
  <conditionalFormatting sqref="M20">
    <cfRule type="cellIs" dxfId="115" priority="44" operator="lessThan">
      <formula>0</formula>
    </cfRule>
  </conditionalFormatting>
  <conditionalFormatting sqref="O20">
    <cfRule type="cellIs" dxfId="114" priority="43" operator="lessThan">
      <formula>0</formula>
    </cfRule>
  </conditionalFormatting>
  <conditionalFormatting sqref="I21">
    <cfRule type="cellIs" dxfId="113" priority="42" operator="lessThan">
      <formula>0</formula>
    </cfRule>
  </conditionalFormatting>
  <conditionalFormatting sqref="K21">
    <cfRule type="cellIs" dxfId="112" priority="41" operator="lessThan">
      <formula>0</formula>
    </cfRule>
  </conditionalFormatting>
  <conditionalFormatting sqref="M21">
    <cfRule type="cellIs" dxfId="111" priority="40" operator="lessThan">
      <formula>0</formula>
    </cfRule>
  </conditionalFormatting>
  <conditionalFormatting sqref="O21">
    <cfRule type="cellIs" dxfId="110" priority="39" operator="lessThan">
      <formula>0</formula>
    </cfRule>
  </conditionalFormatting>
  <conditionalFormatting sqref="Q21">
    <cfRule type="cellIs" dxfId="109" priority="38" operator="lessThan">
      <formula>0</formula>
    </cfRule>
  </conditionalFormatting>
  <conditionalFormatting sqref="I24">
    <cfRule type="cellIs" dxfId="108" priority="37" operator="lessThan">
      <formula>0</formula>
    </cfRule>
  </conditionalFormatting>
  <conditionalFormatting sqref="K24">
    <cfRule type="cellIs" dxfId="107" priority="36" operator="lessThan">
      <formula>0</formula>
    </cfRule>
  </conditionalFormatting>
  <conditionalFormatting sqref="M24">
    <cfRule type="cellIs" dxfId="106" priority="35" operator="lessThan">
      <formula>0</formula>
    </cfRule>
  </conditionalFormatting>
  <conditionalFormatting sqref="O24">
    <cfRule type="cellIs" dxfId="105" priority="34" operator="lessThan">
      <formula>0</formula>
    </cfRule>
  </conditionalFormatting>
  <conditionalFormatting sqref="I25">
    <cfRule type="cellIs" dxfId="104" priority="33" operator="lessThan">
      <formula>0</formula>
    </cfRule>
  </conditionalFormatting>
  <conditionalFormatting sqref="K25">
    <cfRule type="cellIs" dxfId="103" priority="32" operator="lessThan">
      <formula>0</formula>
    </cfRule>
  </conditionalFormatting>
  <conditionalFormatting sqref="M25">
    <cfRule type="cellIs" dxfId="102" priority="31" operator="lessThan">
      <formula>0</formula>
    </cfRule>
  </conditionalFormatting>
  <conditionalFormatting sqref="O25">
    <cfRule type="cellIs" dxfId="101" priority="30" operator="lessThan">
      <formula>0</formula>
    </cfRule>
  </conditionalFormatting>
  <conditionalFormatting sqref="I14">
    <cfRule type="cellIs" dxfId="100" priority="29" operator="lessThan">
      <formula>0</formula>
    </cfRule>
  </conditionalFormatting>
  <conditionalFormatting sqref="K14">
    <cfRule type="cellIs" dxfId="99" priority="28" operator="lessThan">
      <formula>0</formula>
    </cfRule>
  </conditionalFormatting>
  <conditionalFormatting sqref="M14">
    <cfRule type="cellIs" dxfId="98" priority="27" operator="lessThan">
      <formula>0</formula>
    </cfRule>
  </conditionalFormatting>
  <conditionalFormatting sqref="O14">
    <cfRule type="cellIs" dxfId="97" priority="26" operator="lessThan">
      <formula>0</formula>
    </cfRule>
  </conditionalFormatting>
  <conditionalFormatting sqref="M16">
    <cfRule type="cellIs" dxfId="96" priority="25" operator="lessThan">
      <formula>0</formula>
    </cfRule>
  </conditionalFormatting>
  <conditionalFormatting sqref="I22">
    <cfRule type="cellIs" dxfId="95" priority="24" operator="lessThan">
      <formula>0</formula>
    </cfRule>
  </conditionalFormatting>
  <conditionalFormatting sqref="K22">
    <cfRule type="cellIs" dxfId="94" priority="23" operator="lessThan">
      <formula>0</formula>
    </cfRule>
  </conditionalFormatting>
  <conditionalFormatting sqref="M22">
    <cfRule type="cellIs" dxfId="93" priority="22" operator="lessThan">
      <formula>0</formula>
    </cfRule>
  </conditionalFormatting>
  <conditionalFormatting sqref="O22">
    <cfRule type="cellIs" dxfId="92" priority="21" operator="lessThan">
      <formula>0</formula>
    </cfRule>
  </conditionalFormatting>
  <conditionalFormatting sqref="I23">
    <cfRule type="cellIs" dxfId="91" priority="20" operator="lessThan">
      <formula>0</formula>
    </cfRule>
  </conditionalFormatting>
  <conditionalFormatting sqref="K23">
    <cfRule type="cellIs" dxfId="90" priority="19" operator="lessThan">
      <formula>0</formula>
    </cfRule>
  </conditionalFormatting>
  <conditionalFormatting sqref="M23">
    <cfRule type="cellIs" dxfId="89" priority="18" operator="lessThan">
      <formula>0</formula>
    </cfRule>
  </conditionalFormatting>
  <conditionalFormatting sqref="O23">
    <cfRule type="cellIs" dxfId="88" priority="17" operator="lessThan">
      <formula>0</formula>
    </cfRule>
  </conditionalFormatting>
  <conditionalFormatting sqref="K4">
    <cfRule type="cellIs" dxfId="87" priority="16" operator="lessThan">
      <formula>0</formula>
    </cfRule>
  </conditionalFormatting>
  <conditionalFormatting sqref="M4">
    <cfRule type="cellIs" dxfId="86" priority="15" operator="lessThan">
      <formula>0</formula>
    </cfRule>
  </conditionalFormatting>
  <conditionalFormatting sqref="O4">
    <cfRule type="cellIs" dxfId="85" priority="14" operator="lessThan">
      <formula>0</formula>
    </cfRule>
  </conditionalFormatting>
  <conditionalFormatting sqref="V3:V28">
    <cfRule type="cellIs" dxfId="84" priority="13" operator="lessThan">
      <formula>0</formula>
    </cfRule>
  </conditionalFormatting>
  <conditionalFormatting sqref="V3:V28">
    <cfRule type="cellIs" dxfId="83" priority="12" operator="lessThan">
      <formula>0</formula>
    </cfRule>
  </conditionalFormatting>
  <conditionalFormatting sqref="W20">
    <cfRule type="cellIs" dxfId="82" priority="11" operator="lessThan">
      <formula>0</formula>
    </cfRule>
  </conditionalFormatting>
  <conditionalFormatting sqref="W21">
    <cfRule type="cellIs" dxfId="81" priority="10" operator="lessThan">
      <formula>0</formula>
    </cfRule>
  </conditionalFormatting>
  <conditionalFormatting sqref="W28">
    <cfRule type="cellIs" dxfId="80" priority="9" operator="lessThan">
      <formula>0</formula>
    </cfRule>
  </conditionalFormatting>
  <conditionalFormatting sqref="W5:W19">
    <cfRule type="cellIs" dxfId="79" priority="8" operator="lessThan">
      <formula>0</formula>
    </cfRule>
  </conditionalFormatting>
  <conditionalFormatting sqref="W22:W23">
    <cfRule type="cellIs" dxfId="78" priority="7" operator="lessThan">
      <formula>0</formula>
    </cfRule>
  </conditionalFormatting>
  <conditionalFormatting sqref="W4">
    <cfRule type="cellIs" dxfId="77" priority="6" operator="lessThan">
      <formula>0</formula>
    </cfRule>
  </conditionalFormatting>
  <conditionalFormatting sqref="W3">
    <cfRule type="cellIs" dxfId="76" priority="5" operator="lessThan">
      <formula>0</formula>
    </cfRule>
  </conditionalFormatting>
  <conditionalFormatting sqref="W24">
    <cfRule type="cellIs" dxfId="75" priority="4" operator="lessThan">
      <formula>0</formula>
    </cfRule>
  </conditionalFormatting>
  <conditionalFormatting sqref="W25">
    <cfRule type="cellIs" dxfId="74" priority="3" operator="lessThan">
      <formula>0</formula>
    </cfRule>
  </conditionalFormatting>
  <conditionalFormatting sqref="W26">
    <cfRule type="cellIs" dxfId="73" priority="2" operator="lessThan">
      <formula>0</formula>
    </cfRule>
  </conditionalFormatting>
  <conditionalFormatting sqref="W27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Michael Gerard Desire FURLONG</cp:lastModifiedBy>
  <cp:revision/>
  <dcterms:created xsi:type="dcterms:W3CDTF">2016-09-19T10:41:46Z</dcterms:created>
  <dcterms:modified xsi:type="dcterms:W3CDTF">2021-05-27T05:33:19Z</dcterms:modified>
  <cp:category/>
  <cp:contentStatus/>
</cp:coreProperties>
</file>