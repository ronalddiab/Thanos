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6" i="3" l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F17" i="3"/>
  <c r="E16" i="3"/>
  <c r="F16" i="3" l="1"/>
  <c r="E15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BK15" i="3" s="1"/>
  <c r="EZ23" i="4"/>
  <c r="EX23" i="4"/>
  <c r="EV23" i="4"/>
  <c r="ET23" i="4"/>
  <c r="EQ23" i="4"/>
  <c r="EO23" i="4"/>
  <c r="BF15" i="3" s="1"/>
  <c r="EM23" i="4"/>
  <c r="EK23" i="4"/>
  <c r="EI23" i="4"/>
  <c r="EG23" i="4"/>
  <c r="ED23" i="4"/>
  <c r="EB23" i="4"/>
  <c r="AY15" i="3" s="1"/>
  <c r="DZ23" i="4"/>
  <c r="DX23" i="4"/>
  <c r="DV23" i="4"/>
  <c r="DT23" i="4"/>
  <c r="DQ23" i="4"/>
  <c r="DO23" i="4"/>
  <c r="AR15" i="3" s="1"/>
  <c r="DM23" i="4"/>
  <c r="DK23" i="4"/>
  <c r="DI23" i="4"/>
  <c r="DG23" i="4"/>
  <c r="DE23" i="4"/>
  <c r="DC23" i="4"/>
  <c r="AL15" i="3" s="1"/>
  <c r="DA23" i="4"/>
  <c r="CY23" i="4"/>
  <c r="CW23" i="4"/>
  <c r="CT23" i="4"/>
  <c r="CQ23" i="4"/>
  <c r="CN23" i="4"/>
  <c r="CK23" i="4"/>
  <c r="CI23" i="4"/>
  <c r="CG23" i="4"/>
  <c r="CE23" i="4"/>
  <c r="CC23" i="4"/>
  <c r="CA23" i="4"/>
  <c r="AE15" i="3" s="1"/>
  <c r="BY23" i="4"/>
  <c r="BV23" i="4"/>
  <c r="BS23" i="4"/>
  <c r="BF23" i="4"/>
  <c r="BC23" i="4"/>
  <c r="AZ23" i="4"/>
  <c r="W15" i="3" s="1"/>
  <c r="AV23" i="4"/>
  <c r="AS23" i="4"/>
  <c r="AP23" i="4"/>
  <c r="AM23" i="4"/>
  <c r="AJ23" i="4"/>
  <c r="AG23" i="4"/>
  <c r="Q15" i="3" s="1"/>
  <c r="AD23" i="4"/>
  <c r="AA23" i="4"/>
  <c r="X23" i="4"/>
  <c r="U23" i="4"/>
  <c r="R23" i="4"/>
  <c r="Q23" i="4"/>
  <c r="O23" i="4"/>
  <c r="M23" i="4"/>
  <c r="K23" i="4"/>
  <c r="I23" i="4"/>
  <c r="H23" i="4"/>
  <c r="F23" i="4"/>
  <c r="H15" i="3" s="1"/>
  <c r="E23" i="4"/>
  <c r="C23" i="4"/>
  <c r="B23" i="4"/>
  <c r="FC22" i="4"/>
  <c r="FB22" i="4"/>
  <c r="FA22" i="4"/>
  <c r="EZ22" i="4"/>
  <c r="EX22" i="4"/>
  <c r="EW22" i="4"/>
  <c r="EV22" i="4"/>
  <c r="EU22" i="4"/>
  <c r="ET22" i="4"/>
  <c r="BG14" i="3" s="1"/>
  <c r="ER22" i="4"/>
  <c r="EQ22" i="4"/>
  <c r="EP22" i="4"/>
  <c r="EO22" i="4"/>
  <c r="EN22" i="4"/>
  <c r="EM22" i="4"/>
  <c r="BE14" i="3" s="1"/>
  <c r="EL22" i="4"/>
  <c r="EK22" i="4"/>
  <c r="EJ22" i="4"/>
  <c r="EI22" i="4"/>
  <c r="EH22" i="4"/>
  <c r="EG22" i="4"/>
  <c r="BA14" i="3" s="1"/>
  <c r="EE22" i="4"/>
  <c r="ED22" i="4"/>
  <c r="EC22" i="4"/>
  <c r="EB22" i="4"/>
  <c r="EA22" i="4"/>
  <c r="DZ22" i="4"/>
  <c r="AX14" i="3" s="1"/>
  <c r="DY22" i="4"/>
  <c r="DX22" i="4"/>
  <c r="DW22" i="4"/>
  <c r="DV22" i="4"/>
  <c r="DU22" i="4"/>
  <c r="DT22" i="4"/>
  <c r="AU14" i="3" s="1"/>
  <c r="DR22" i="4"/>
  <c r="DQ22" i="4"/>
  <c r="DP22" i="4"/>
  <c r="DO22" i="4"/>
  <c r="DN22" i="4"/>
  <c r="DM22" i="4"/>
  <c r="AS14" i="3" s="1"/>
  <c r="DL22" i="4"/>
  <c r="DK22" i="4"/>
  <c r="DJ22" i="4"/>
  <c r="DI22" i="4"/>
  <c r="DH22" i="4"/>
  <c r="DG22" i="4"/>
  <c r="AN14" i="3" s="1"/>
  <c r="DF22" i="4"/>
  <c r="DE22" i="4"/>
  <c r="DD22" i="4"/>
  <c r="DC22" i="4"/>
  <c r="DB22" i="4"/>
  <c r="DA22" i="4"/>
  <c r="AM14" i="3" s="1"/>
  <c r="CZ22" i="4"/>
  <c r="CY22" i="4"/>
  <c r="CX22" i="4"/>
  <c r="CW22" i="4"/>
  <c r="CU22" i="4"/>
  <c r="CT22" i="4"/>
  <c r="AC14" i="3" s="1"/>
  <c r="CS22" i="4"/>
  <c r="CR22" i="4"/>
  <c r="CQ22" i="4"/>
  <c r="CP22" i="4"/>
  <c r="CO22" i="4"/>
  <c r="CN22" i="4"/>
  <c r="AA14" i="3" s="1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BH13" i="3" s="1"/>
  <c r="EU21" i="4"/>
  <c r="ET21" i="4"/>
  <c r="ER21" i="4"/>
  <c r="EQ21" i="4"/>
  <c r="EP21" i="4"/>
  <c r="EO21" i="4"/>
  <c r="BF13" i="3" s="1"/>
  <c r="EN21" i="4"/>
  <c r="EM21" i="4"/>
  <c r="EL21" i="4"/>
  <c r="EK21" i="4"/>
  <c r="EJ21" i="4"/>
  <c r="EI21" i="4"/>
  <c r="BB13" i="3" s="1"/>
  <c r="EH21" i="4"/>
  <c r="EG21" i="4"/>
  <c r="EE21" i="4"/>
  <c r="ED21" i="4"/>
  <c r="EC21" i="4"/>
  <c r="EB21" i="4"/>
  <c r="AY13" i="3" s="1"/>
  <c r="EA21" i="4"/>
  <c r="DZ21" i="4"/>
  <c r="DY21" i="4"/>
  <c r="DX21" i="4"/>
  <c r="DW21" i="4"/>
  <c r="DV21" i="4"/>
  <c r="DU21" i="4"/>
  <c r="DT21" i="4"/>
  <c r="DR21" i="4"/>
  <c r="DQ21" i="4"/>
  <c r="DP21" i="4"/>
  <c r="DO21" i="4"/>
  <c r="AR13" i="3" s="1"/>
  <c r="DN21" i="4"/>
  <c r="DM21" i="4"/>
  <c r="DL21" i="4"/>
  <c r="DK21" i="4"/>
  <c r="DJ21" i="4"/>
  <c r="DI21" i="4"/>
  <c r="AQ13" i="3" s="1"/>
  <c r="DH21" i="4"/>
  <c r="DG21" i="4"/>
  <c r="DF21" i="4"/>
  <c r="DE21" i="4"/>
  <c r="DD21" i="4"/>
  <c r="DC21" i="4"/>
  <c r="AL13" i="3" s="1"/>
  <c r="DB21" i="4"/>
  <c r="DA21" i="4"/>
  <c r="CZ21" i="4"/>
  <c r="CY21" i="4"/>
  <c r="CX21" i="4"/>
  <c r="CW21" i="4"/>
  <c r="AK13" i="3" s="1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K13" i="3" s="1"/>
  <c r="N21" i="4"/>
  <c r="M21" i="4"/>
  <c r="L21" i="4"/>
  <c r="K21" i="4"/>
  <c r="J21" i="4"/>
  <c r="I21" i="4"/>
  <c r="H21" i="4"/>
  <c r="G21" i="4"/>
  <c r="F21" i="4"/>
  <c r="E21" i="4"/>
  <c r="D21" i="4"/>
  <c r="C21" i="4"/>
  <c r="G13" i="3" s="1"/>
  <c r="I13" i="1" s="1"/>
  <c r="B21" i="4"/>
  <c r="FC20" i="4"/>
  <c r="FB20" i="4"/>
  <c r="FA20" i="4"/>
  <c r="EZ20" i="4"/>
  <c r="EX20" i="4"/>
  <c r="BJ12" i="3" s="1"/>
  <c r="EW20" i="4"/>
  <c r="EV20" i="4"/>
  <c r="EU20" i="4"/>
  <c r="ET20" i="4"/>
  <c r="ER20" i="4"/>
  <c r="EQ20" i="4"/>
  <c r="BC12" i="3" s="1"/>
  <c r="EP20" i="4"/>
  <c r="EO20" i="4"/>
  <c r="EN20" i="4"/>
  <c r="EM20" i="4"/>
  <c r="EL20" i="4"/>
  <c r="EK20" i="4"/>
  <c r="BD12" i="3" s="1"/>
  <c r="EJ20" i="4"/>
  <c r="EI20" i="4"/>
  <c r="EH20" i="4"/>
  <c r="EG20" i="4"/>
  <c r="EE20" i="4"/>
  <c r="ED20" i="4"/>
  <c r="AZ12" i="3" s="1"/>
  <c r="EC20" i="4"/>
  <c r="EB20" i="4"/>
  <c r="EA20" i="4"/>
  <c r="DZ20" i="4"/>
  <c r="DY20" i="4"/>
  <c r="DX20" i="4"/>
  <c r="AW12" i="3" s="1"/>
  <c r="DW20" i="4"/>
  <c r="DV20" i="4"/>
  <c r="DU20" i="4"/>
  <c r="DT20" i="4"/>
  <c r="DR20" i="4"/>
  <c r="DQ20" i="4"/>
  <c r="AT12" i="3" s="1"/>
  <c r="DP20" i="4"/>
  <c r="DO20" i="4"/>
  <c r="DN20" i="4"/>
  <c r="DM20" i="4"/>
  <c r="DL20" i="4"/>
  <c r="DK20" i="4"/>
  <c r="AP12" i="3" s="1"/>
  <c r="DJ20" i="4"/>
  <c r="DI20" i="4"/>
  <c r="DH20" i="4"/>
  <c r="DG20" i="4"/>
  <c r="DF20" i="4"/>
  <c r="DE20" i="4"/>
  <c r="AO12" i="3" s="1"/>
  <c r="DD20" i="4"/>
  <c r="DC20" i="4"/>
  <c r="DB20" i="4"/>
  <c r="DA20" i="4"/>
  <c r="CZ20" i="4"/>
  <c r="CY20" i="4"/>
  <c r="AJ12" i="3" s="1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X12" i="3" s="1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T12" i="3" s="1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P12" i="3" s="1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R11" i="3" s="1"/>
  <c r="AI19" i="4"/>
  <c r="AH19" i="4"/>
  <c r="AG19" i="4"/>
  <c r="AF19" i="4"/>
  <c r="AE19" i="4"/>
  <c r="AD19" i="4"/>
  <c r="P11" i="3" s="1"/>
  <c r="AC19" i="4"/>
  <c r="AB19" i="4"/>
  <c r="AA19" i="4"/>
  <c r="Z19" i="4"/>
  <c r="Y19" i="4"/>
  <c r="X19" i="4"/>
  <c r="N11" i="3" s="1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BG10" i="3" s="1"/>
  <c r="ER18" i="4"/>
  <c r="EQ18" i="4"/>
  <c r="EP18" i="4"/>
  <c r="EO18" i="4"/>
  <c r="EN18" i="4"/>
  <c r="EM18" i="4"/>
  <c r="BE10" i="3" s="1"/>
  <c r="EL18" i="4"/>
  <c r="EK18" i="4"/>
  <c r="EJ18" i="4"/>
  <c r="EI18" i="4"/>
  <c r="EH18" i="4"/>
  <c r="EG18" i="4"/>
  <c r="BA10" i="3" s="1"/>
  <c r="EE18" i="4"/>
  <c r="ED18" i="4"/>
  <c r="EC18" i="4"/>
  <c r="EB18" i="4"/>
  <c r="EA18" i="4"/>
  <c r="DZ18" i="4"/>
  <c r="AX10" i="3" s="1"/>
  <c r="DY18" i="4"/>
  <c r="DX18" i="4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AS10" i="3" s="1"/>
  <c r="DL18" i="4"/>
  <c r="DK18" i="4"/>
  <c r="DJ18" i="4"/>
  <c r="DI18" i="4"/>
  <c r="DH18" i="4"/>
  <c r="DG18" i="4"/>
  <c r="AN10" i="3" s="1"/>
  <c r="DF18" i="4"/>
  <c r="DE18" i="4"/>
  <c r="DD18" i="4"/>
  <c r="DC18" i="4"/>
  <c r="DB18" i="4"/>
  <c r="DA18" i="4"/>
  <c r="AM10" i="3" s="1"/>
  <c r="CZ18" i="4"/>
  <c r="CY18" i="4"/>
  <c r="CX18" i="4"/>
  <c r="CW18" i="4"/>
  <c r="CU18" i="4"/>
  <c r="CT18" i="4"/>
  <c r="AC10" i="3" s="1"/>
  <c r="CS18" i="4"/>
  <c r="CR18" i="4"/>
  <c r="CQ18" i="4"/>
  <c r="CP18" i="4"/>
  <c r="CO18" i="4"/>
  <c r="CN18" i="4"/>
  <c r="AA10" i="3" s="1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V9" i="3" s="1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BG5" i="3" s="1"/>
  <c r="EQ13" i="4"/>
  <c r="EO13" i="4"/>
  <c r="EM13" i="4"/>
  <c r="EK13" i="4"/>
  <c r="EI13" i="4"/>
  <c r="EG13" i="4"/>
  <c r="BA5" i="3" s="1"/>
  <c r="ED13" i="4"/>
  <c r="EB13" i="4"/>
  <c r="DZ13" i="4"/>
  <c r="DX13" i="4"/>
  <c r="DV13" i="4"/>
  <c r="DT13" i="4"/>
  <c r="AU5" i="3" s="1"/>
  <c r="DQ13" i="4"/>
  <c r="DO13" i="4"/>
  <c r="DM13" i="4"/>
  <c r="DK13" i="4"/>
  <c r="DI13" i="4"/>
  <c r="DG13" i="4"/>
  <c r="AN5" i="3" s="1"/>
  <c r="DE13" i="4"/>
  <c r="DC13" i="4"/>
  <c r="DA13" i="4"/>
  <c r="CY13" i="4"/>
  <c r="CW13" i="4"/>
  <c r="CT13" i="4"/>
  <c r="AC5" i="3" s="1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6" i="3" l="1"/>
  <c r="I6" i="1" s="1"/>
  <c r="O6" i="3"/>
  <c r="U6" i="3"/>
  <c r="AI6" i="3"/>
  <c r="AJ6" i="3"/>
  <c r="I12" i="3"/>
  <c r="K12" i="1" s="1"/>
  <c r="J12" i="3"/>
  <c r="AA15" i="3"/>
  <c r="H12" i="3"/>
  <c r="L12" i="3"/>
  <c r="AE12" i="3"/>
  <c r="AH12" i="3"/>
  <c r="BI12" i="3"/>
  <c r="AD13" i="3"/>
  <c r="AG13" i="3"/>
  <c r="Z13" i="3"/>
  <c r="AB13" i="3"/>
  <c r="M14" i="3"/>
  <c r="O14" i="3"/>
  <c r="Q14" i="3"/>
  <c r="S14" i="3"/>
  <c r="U14" i="3"/>
  <c r="W14" i="3"/>
  <c r="Y14" i="3"/>
  <c r="AF14" i="3"/>
  <c r="AI14" i="3"/>
  <c r="BK14" i="3"/>
  <c r="L15" i="3"/>
  <c r="R15" i="3"/>
  <c r="X15" i="3"/>
  <c r="AF15" i="3"/>
  <c r="AB15" i="3"/>
  <c r="AO15" i="3"/>
  <c r="AT15" i="3"/>
  <c r="AZ15" i="3"/>
  <c r="BC15" i="3"/>
  <c r="AA12" i="3"/>
  <c r="AC12" i="3"/>
  <c r="AM12" i="3"/>
  <c r="AN12" i="3"/>
  <c r="AS12" i="3"/>
  <c r="AU12" i="3"/>
  <c r="AX12" i="3"/>
  <c r="BA12" i="3"/>
  <c r="BE12" i="3"/>
  <c r="BG12" i="3"/>
  <c r="J13" i="3"/>
  <c r="I13" i="3"/>
  <c r="K13" i="1" s="1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4" i="3"/>
  <c r="I14" i="1" s="1"/>
  <c r="K14" i="3"/>
  <c r="AK14" i="3"/>
  <c r="AL14" i="3"/>
  <c r="AQ14" i="3"/>
  <c r="AR14" i="3"/>
  <c r="AY14" i="3"/>
  <c r="BB14" i="3"/>
  <c r="BF14" i="3"/>
  <c r="BH14" i="3"/>
  <c r="M15" i="3"/>
  <c r="S15" i="3"/>
  <c r="Y15" i="3"/>
  <c r="AG15" i="3"/>
  <c r="AC15" i="3"/>
  <c r="AN15" i="3"/>
  <c r="AU15" i="3"/>
  <c r="BA15" i="3"/>
  <c r="BG15" i="3"/>
  <c r="M12" i="3"/>
  <c r="O12" i="3"/>
  <c r="Q12" i="3"/>
  <c r="S12" i="3"/>
  <c r="U12" i="3"/>
  <c r="W12" i="3"/>
  <c r="Y12" i="3"/>
  <c r="AF12" i="3"/>
  <c r="AI12" i="3"/>
  <c r="BK12" i="3"/>
  <c r="H13" i="3"/>
  <c r="L13" i="3"/>
  <c r="AE13" i="3"/>
  <c r="AH13" i="3"/>
  <c r="BI13" i="3"/>
  <c r="AD14" i="3"/>
  <c r="AG14" i="3"/>
  <c r="Z14" i="3"/>
  <c r="AB14" i="3"/>
  <c r="I15" i="3"/>
  <c r="K15" i="1" s="1"/>
  <c r="J15" i="3"/>
  <c r="N15" i="3"/>
  <c r="T15" i="3"/>
  <c r="AH15" i="3"/>
  <c r="AK15" i="3"/>
  <c r="AQ15" i="3"/>
  <c r="BB15" i="3"/>
  <c r="BH15" i="3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I9" i="1" s="1"/>
  <c r="K9" i="3"/>
  <c r="AK9" i="3"/>
  <c r="AQ9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2" i="3"/>
  <c r="I12" i="1" s="1"/>
  <c r="K12" i="3"/>
  <c r="AK12" i="3"/>
  <c r="AL12" i="3"/>
  <c r="AQ12" i="3"/>
  <c r="AR12" i="3"/>
  <c r="AY12" i="3"/>
  <c r="BB12" i="3"/>
  <c r="BF12" i="3"/>
  <c r="BH12" i="3"/>
  <c r="AA13" i="3"/>
  <c r="AC13" i="3"/>
  <c r="AM13" i="3"/>
  <c r="AN13" i="3"/>
  <c r="AS13" i="3"/>
  <c r="AU13" i="3"/>
  <c r="AX13" i="3"/>
  <c r="BA13" i="3"/>
  <c r="BE13" i="3"/>
  <c r="BG13" i="3"/>
  <c r="J14" i="3"/>
  <c r="I14" i="3"/>
  <c r="K14" i="1" s="1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G15" i="3"/>
  <c r="I15" i="1" s="1"/>
  <c r="O15" i="3"/>
  <c r="U15" i="3"/>
  <c r="AI15" i="3"/>
  <c r="AJ15" i="3"/>
  <c r="AP15" i="3"/>
  <c r="AW15" i="3"/>
  <c r="BD15" i="3"/>
  <c r="BJ15" i="3"/>
  <c r="K6" i="3"/>
  <c r="P6" i="3"/>
  <c r="V6" i="3"/>
  <c r="AD6" i="3"/>
  <c r="Z6" i="3"/>
  <c r="AM6" i="3"/>
  <c r="AD9" i="3"/>
  <c r="Z9" i="3"/>
  <c r="M10" i="3"/>
  <c r="O10" i="3"/>
  <c r="Q10" i="3"/>
  <c r="S10" i="3"/>
  <c r="U10" i="3"/>
  <c r="W10" i="3"/>
  <c r="Y10" i="3"/>
  <c r="AF10" i="3"/>
  <c r="AI10" i="3"/>
  <c r="BK10" i="3"/>
  <c r="H11" i="3"/>
  <c r="L11" i="3"/>
  <c r="AE11" i="3"/>
  <c r="AH11" i="3"/>
  <c r="BI11" i="3"/>
  <c r="AD12" i="3"/>
  <c r="AG12" i="3"/>
  <c r="Z12" i="3"/>
  <c r="AB12" i="3"/>
  <c r="M13" i="3"/>
  <c r="O13" i="3"/>
  <c r="Q13" i="3"/>
  <c r="S13" i="3"/>
  <c r="U13" i="3"/>
  <c r="W13" i="3"/>
  <c r="Y13" i="3"/>
  <c r="AF13" i="3"/>
  <c r="AI13" i="3"/>
  <c r="BK13" i="3"/>
  <c r="H14" i="3"/>
  <c r="L14" i="3"/>
  <c r="AE14" i="3"/>
  <c r="AH14" i="3"/>
  <c r="BI14" i="3"/>
  <c r="K15" i="3"/>
  <c r="P15" i="3"/>
  <c r="V15" i="3"/>
  <c r="AD15" i="3"/>
  <c r="Z15" i="3"/>
  <c r="G15" i="1" s="1"/>
  <c r="AM15" i="3"/>
  <c r="AS15" i="3"/>
  <c r="AX15" i="3"/>
  <c r="BE15" i="3"/>
  <c r="BI15" i="3"/>
  <c r="I11" i="3"/>
  <c r="K11" i="1" s="1"/>
  <c r="J11" i="3"/>
  <c r="AH5" i="3"/>
  <c r="BF10" i="3"/>
  <c r="AC11" i="3"/>
  <c r="AS11" i="3"/>
  <c r="BE11" i="3"/>
  <c r="AD10" i="3"/>
  <c r="AG10" i="3"/>
  <c r="Z10" i="3"/>
  <c r="AB10" i="3"/>
  <c r="M11" i="3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E10" i="1" s="1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G9" i="1" s="1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14" i="1" l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T48" i="4" s="1"/>
  <c r="CT49" i="4" s="1"/>
  <c r="CJ23" i="4"/>
  <c r="CH23" i="4"/>
  <c r="CG48" i="4" s="1"/>
  <c r="CF23" i="4"/>
  <c r="CE48" i="4" s="1"/>
  <c r="CD23" i="4"/>
  <c r="CC48" i="4" s="1"/>
  <c r="CB23" i="4"/>
  <c r="CA48" i="4" s="1"/>
  <c r="BZ23" i="4"/>
  <c r="BY48" i="4" s="1"/>
  <c r="BT23" i="4"/>
  <c r="BS48" i="4" s="1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CI48" i="4"/>
  <c r="BX24" i="4"/>
  <c r="BW24" i="4"/>
  <c r="BW23" i="4"/>
  <c r="BX23" i="4"/>
  <c r="BH23" i="4"/>
  <c r="BF44" i="4" s="1"/>
  <c r="BG23" i="4"/>
  <c r="BH24" i="4"/>
  <c r="BG24" i="4"/>
  <c r="BE23" i="4"/>
  <c r="BD23" i="4"/>
  <c r="BE24" i="4"/>
  <c r="BD24" i="4"/>
  <c r="BA23" i="4"/>
  <c r="BB23" i="4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R48" i="4"/>
  <c r="R49" i="4" s="1"/>
  <c r="O45" i="4"/>
  <c r="O48" i="4"/>
  <c r="O49" i="4" s="1"/>
  <c r="K48" i="4"/>
  <c r="K49" i="4" s="1"/>
  <c r="I48" i="4"/>
  <c r="I49" i="4" s="1"/>
  <c r="F48" i="4"/>
  <c r="F49" i="4" s="1"/>
  <c r="F45" i="4"/>
  <c r="C45" i="4"/>
  <c r="C48" i="4"/>
  <c r="C49" i="4" s="1"/>
  <c r="AZ44" i="4" l="1"/>
  <c r="CQ44" i="4"/>
  <c r="CQ47" i="4"/>
  <c r="CQ45" i="4"/>
  <c r="CQ48" i="4"/>
  <c r="CN48" i="4"/>
  <c r="CN45" i="4"/>
  <c r="CN44" i="4"/>
  <c r="CN47" i="4"/>
  <c r="CK45" i="4"/>
  <c r="CK48" i="4"/>
  <c r="CK47" i="4"/>
  <c r="CK49" i="4" s="1"/>
  <c r="CK44" i="4"/>
  <c r="BF45" i="4"/>
  <c r="BF46" i="4" s="1"/>
  <c r="BF48" i="4"/>
  <c r="BF49" i="4" s="1"/>
  <c r="BC45" i="4"/>
  <c r="BC48" i="4"/>
  <c r="BC49" i="4" s="1"/>
  <c r="BC44" i="4"/>
  <c r="AZ48" i="4"/>
  <c r="AZ45" i="4"/>
  <c r="AZ46" i="4" s="1"/>
  <c r="AV45" i="4"/>
  <c r="AV48" i="4"/>
  <c r="AV44" i="4"/>
  <c r="AV47" i="4"/>
  <c r="AV49" i="4" s="1"/>
  <c r="AS45" i="4"/>
  <c r="AS48" i="4"/>
  <c r="AS44" i="4"/>
  <c r="AS47" i="4"/>
  <c r="AP47" i="4"/>
  <c r="AP44" i="4"/>
  <c r="AP48" i="4"/>
  <c r="AP45" i="4"/>
  <c r="AM45" i="4"/>
  <c r="AM48" i="4"/>
  <c r="AM47" i="4"/>
  <c r="AM49" i="4" s="1"/>
  <c r="AM44" i="4"/>
  <c r="AJ45" i="4"/>
  <c r="AJ48" i="4"/>
  <c r="AJ47" i="4"/>
  <c r="AJ44" i="4"/>
  <c r="AG44" i="4"/>
  <c r="AG47" i="4"/>
  <c r="AG49" i="4" s="1"/>
  <c r="AG48" i="4"/>
  <c r="AG45" i="4"/>
  <c r="AD45" i="4"/>
  <c r="AD48" i="4"/>
  <c r="AD47" i="4"/>
  <c r="AD49" i="4" s="1"/>
  <c r="AD44" i="4"/>
  <c r="AA48" i="4"/>
  <c r="AA45" i="4"/>
  <c r="AA44" i="4"/>
  <c r="AA47" i="4"/>
  <c r="AA49" i="4" s="1"/>
  <c r="X44" i="4"/>
  <c r="X47" i="4"/>
  <c r="X48" i="4"/>
  <c r="X45" i="4"/>
  <c r="U48" i="4"/>
  <c r="U45" i="4"/>
  <c r="AM51" i="4" s="1"/>
  <c r="U47" i="4"/>
  <c r="U44" i="4"/>
  <c r="AA51" i="4" s="1"/>
  <c r="CN49" i="4" l="1"/>
  <c r="CQ49" i="4"/>
  <c r="BC46" i="4"/>
  <c r="BC51" i="4"/>
  <c r="AZ49" i="4"/>
  <c r="X49" i="4"/>
  <c r="AP49" i="4"/>
  <c r="AS49" i="4"/>
  <c r="AJ49" i="4"/>
  <c r="AA50" i="4"/>
  <c r="AV51" i="4"/>
  <c r="AM50" i="4"/>
  <c r="U49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<sst xmlns="http://schemas.openxmlformats.org/spreadsheetml/2006/main" count="411" uniqueCount="203">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</sst>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B24">
            <v>0.81</v>
          </cell>
          <cell r="E24">
            <v>925562</v>
          </cell>
          <cell r="F24">
            <v>746</v>
          </cell>
          <cell r="G24">
            <v>495</v>
          </cell>
          <cell r="H24">
            <v>92497</v>
          </cell>
          <cell r="I24">
            <v>448</v>
          </cell>
          <cell r="J24">
            <v>405</v>
          </cell>
          <cell r="K24">
            <v>164625</v>
          </cell>
          <cell r="L24">
            <v>0</v>
          </cell>
          <cell r="N24">
            <v>819326</v>
          </cell>
          <cell r="O24">
            <v>204</v>
          </cell>
          <cell r="Q24">
            <v>189084</v>
          </cell>
          <cell r="R24">
            <v>161</v>
          </cell>
          <cell r="S24">
            <v>53527.199999999997</v>
          </cell>
          <cell r="T24">
            <v>86.399999999994179</v>
          </cell>
          <cell r="U24">
            <v>39</v>
          </cell>
          <cell r="V24">
            <v>3982</v>
          </cell>
          <cell r="W24">
            <v>11</v>
          </cell>
          <cell r="AC24">
            <v>7190682.2400000002</v>
          </cell>
          <cell r="AD24">
            <v>2192.4000000003725</v>
          </cell>
          <cell r="AF24">
            <v>13778795.52</v>
          </cell>
          <cell r="AG24">
            <v>4628.4000000003725</v>
          </cell>
          <cell r="AI24">
            <v>13702889.76</v>
          </cell>
          <cell r="AJ24">
            <v>97.440000001341105</v>
          </cell>
          <cell r="AL24">
            <v>16750910.4</v>
          </cell>
          <cell r="AM24">
            <v>0</v>
          </cell>
          <cell r="AO24">
            <v>17076603.599999998</v>
          </cell>
          <cell r="AP24">
            <v>10231.199999999255</v>
          </cell>
          <cell r="AR24">
            <v>15519073.919999998</v>
          </cell>
          <cell r="AS24">
            <v>5602.7999999988824</v>
          </cell>
          <cell r="AU24">
            <v>13202291.76</v>
          </cell>
          <cell r="AV24">
            <v>4579.679999999702</v>
          </cell>
          <cell r="AX24">
            <v>12690439.439999999</v>
          </cell>
          <cell r="AY24">
            <v>4384.7999999988824</v>
          </cell>
          <cell r="BA24">
            <v>10109594.880000001</v>
          </cell>
          <cell r="BB24">
            <v>3507.839999999851</v>
          </cell>
          <cell r="BD24">
            <v>15695196.719999999</v>
          </cell>
          <cell r="BE24">
            <v>5359.1999999992549</v>
          </cell>
          <cell r="BK24">
            <v>68002400</v>
          </cell>
          <cell r="BL24">
            <v>0</v>
          </cell>
          <cell r="BN24">
            <v>70700300</v>
          </cell>
          <cell r="BO24">
            <v>0</v>
          </cell>
          <cell r="BQ24">
            <v>64970000</v>
          </cell>
          <cell r="BR24">
            <v>45700</v>
          </cell>
          <cell r="BT24">
            <v>7718890</v>
          </cell>
          <cell r="BU24">
            <v>5170</v>
          </cell>
          <cell r="BW24">
            <v>0.64</v>
          </cell>
          <cell r="BX24">
            <v>7.999999999999996E-2</v>
          </cell>
          <cell r="BZ24">
            <v>57187</v>
          </cell>
          <cell r="CA24">
            <v>22</v>
          </cell>
          <cell r="CB24">
            <v>48678</v>
          </cell>
          <cell r="CC24">
            <v>20</v>
          </cell>
          <cell r="CD24">
            <v>16734</v>
          </cell>
          <cell r="CE24">
            <v>5</v>
          </cell>
          <cell r="CF24">
            <v>22122</v>
          </cell>
          <cell r="CG24">
            <v>13</v>
          </cell>
          <cell r="CH24">
            <v>24150</v>
          </cell>
          <cell r="CI24">
            <v>16</v>
          </cell>
          <cell r="CJ24">
            <v>53538</v>
          </cell>
          <cell r="CK24">
            <v>22</v>
          </cell>
          <cell r="CL24">
            <v>234913</v>
          </cell>
          <cell r="CM24">
            <v>106</v>
          </cell>
          <cell r="CO24">
            <v>180715</v>
          </cell>
          <cell r="CP24">
            <v>117</v>
          </cell>
          <cell r="CR24">
            <v>319227</v>
          </cell>
          <cell r="CS24">
            <v>220</v>
          </cell>
          <cell r="CU24">
            <v>621809</v>
          </cell>
          <cell r="CV24">
            <v>248</v>
          </cell>
          <cell r="CX24">
            <v>6417</v>
          </cell>
          <cell r="CY24">
            <v>7</v>
          </cell>
          <cell r="CZ24">
            <v>3934</v>
          </cell>
          <cell r="DA24">
            <v>9</v>
          </cell>
          <cell r="DB24">
            <v>26887</v>
          </cell>
          <cell r="DC24">
            <v>16</v>
          </cell>
          <cell r="DD24">
            <v>27630</v>
          </cell>
          <cell r="DE24">
            <v>16</v>
          </cell>
          <cell r="DF24">
            <v>18692</v>
          </cell>
          <cell r="DG24">
            <v>8</v>
          </cell>
          <cell r="DH24">
            <v>21805</v>
          </cell>
          <cell r="DI24">
            <v>8</v>
          </cell>
          <cell r="DJ24">
            <v>3323</v>
          </cell>
          <cell r="DK24">
            <v>8</v>
          </cell>
          <cell r="DL24">
            <v>6798</v>
          </cell>
          <cell r="DM24">
            <v>14</v>
          </cell>
          <cell r="DN24">
            <v>1822</v>
          </cell>
          <cell r="DO24">
            <v>5</v>
          </cell>
          <cell r="DP24">
            <v>3623</v>
          </cell>
          <cell r="DQ24">
            <v>8</v>
          </cell>
          <cell r="DR24">
            <v>26322</v>
          </cell>
          <cell r="DS24">
            <v>7</v>
          </cell>
          <cell r="DU24">
            <v>3167.5</v>
          </cell>
          <cell r="DV24">
            <v>9</v>
          </cell>
          <cell r="DW24">
            <v>8259.1</v>
          </cell>
          <cell r="DX24">
            <v>6.7000000000007276</v>
          </cell>
          <cell r="DY24">
            <v>2384.6999999999998</v>
          </cell>
          <cell r="DZ24">
            <v>6</v>
          </cell>
          <cell r="EA24">
            <v>2524.5</v>
          </cell>
          <cell r="EB24">
            <v>7.5</v>
          </cell>
          <cell r="EC24">
            <v>876410</v>
          </cell>
          <cell r="ED24">
            <v>612</v>
          </cell>
          <cell r="EG24">
            <v>177318.3</v>
          </cell>
          <cell r="EH24">
            <v>150.19999999998254</v>
          </cell>
          <cell r="EJ24">
            <v>10441200</v>
          </cell>
          <cell r="EK24">
            <v>3200</v>
          </cell>
          <cell r="EL24">
            <v>828230</v>
          </cell>
          <cell r="EM24">
            <v>230</v>
          </cell>
          <cell r="EN24">
            <v>6414200</v>
          </cell>
          <cell r="EO24">
            <v>700</v>
          </cell>
          <cell r="EP24">
            <v>2253100</v>
          </cell>
          <cell r="EQ24">
            <v>400</v>
          </cell>
          <cell r="ER24">
            <v>999470</v>
          </cell>
          <cell r="ES24">
            <v>640</v>
          </cell>
          <cell r="ET24">
            <v>14323100</v>
          </cell>
          <cell r="EU24">
            <v>2100</v>
          </cell>
          <cell r="EW24">
            <v>37605</v>
          </cell>
          <cell r="EX24">
            <v>15</v>
          </cell>
          <cell r="EY24">
            <v>32499</v>
          </cell>
          <cell r="EZ24">
            <v>12</v>
          </cell>
          <cell r="FA24">
            <v>3676</v>
          </cell>
          <cell r="FB24">
            <v>8</v>
          </cell>
          <cell r="FC24">
            <v>54251</v>
          </cell>
          <cell r="FD24">
            <v>19</v>
          </cell>
          <cell r="FE24">
            <v>37951</v>
          </cell>
          <cell r="FF24">
            <v>31</v>
          </cell>
        </row>
        <row r="25">
          <cell r="F25">
            <v>-925562</v>
          </cell>
          <cell r="G25">
            <v>483</v>
          </cell>
          <cell r="I25">
            <v>-92497</v>
          </cell>
          <cell r="J25">
            <v>406</v>
          </cell>
          <cell r="L25">
            <v>-164625</v>
          </cell>
          <cell r="O25">
            <v>-819326</v>
          </cell>
          <cell r="R25">
            <v>-189084</v>
          </cell>
          <cell r="T25">
            <v>-53527.199999999997</v>
          </cell>
          <cell r="U25">
            <v>40</v>
          </cell>
          <cell r="W25">
            <v>-3982</v>
          </cell>
          <cell r="AD25">
            <v>-7190682.2400000002</v>
          </cell>
          <cell r="AG25">
            <v>-13778795.52</v>
          </cell>
          <cell r="AJ25">
            <v>-13702889.76</v>
          </cell>
          <cell r="AM25">
            <v>-16750910.4</v>
          </cell>
          <cell r="AP25">
            <v>-17076603.599999998</v>
          </cell>
          <cell r="AS25">
            <v>-15519073.919999998</v>
          </cell>
          <cell r="AV25">
            <v>-13202291.76</v>
          </cell>
          <cell r="AY25">
            <v>-12690439.439999999</v>
          </cell>
          <cell r="BB25">
            <v>-10109594.880000001</v>
          </cell>
          <cell r="BE25">
            <v>-15695196.719999999</v>
          </cell>
          <cell r="BL25">
            <v>-68002400</v>
          </cell>
          <cell r="BO25">
            <v>-70700300</v>
          </cell>
          <cell r="BR25">
            <v>-64970000</v>
          </cell>
          <cell r="BU25">
            <v>-7718890</v>
          </cell>
          <cell r="BX25">
            <v>0.64</v>
          </cell>
          <cell r="CA25">
            <v>-57187</v>
          </cell>
          <cell r="CC25">
            <v>-48678</v>
          </cell>
          <cell r="CE25">
            <v>-16734</v>
          </cell>
          <cell r="CG25">
            <v>-22122</v>
          </cell>
          <cell r="CI25">
            <v>-24150</v>
          </cell>
          <cell r="CK25">
            <v>-53538</v>
          </cell>
          <cell r="CM25">
            <v>-234913</v>
          </cell>
          <cell r="CP25">
            <v>-180715</v>
          </cell>
          <cell r="CS25">
            <v>-319227</v>
          </cell>
          <cell r="CV25">
            <v>-621809</v>
          </cell>
          <cell r="CY25">
            <v>-6417</v>
          </cell>
          <cell r="DA25">
            <v>-3934</v>
          </cell>
          <cell r="DC25">
            <v>-26887</v>
          </cell>
          <cell r="DE25">
            <v>-27630</v>
          </cell>
          <cell r="DG25">
            <v>-18692</v>
          </cell>
          <cell r="DI25">
            <v>-21805</v>
          </cell>
          <cell r="DK25">
            <v>-3323</v>
          </cell>
          <cell r="DM25">
            <v>-6798</v>
          </cell>
          <cell r="DO25">
            <v>-1822</v>
          </cell>
          <cell r="DQ25">
            <v>-3623</v>
          </cell>
          <cell r="DS25">
            <v>-26322</v>
          </cell>
          <cell r="DV25">
            <v>-3167.5</v>
          </cell>
          <cell r="DX25">
            <v>-8259.1</v>
          </cell>
          <cell r="DZ25">
            <v>-2384.6999999999998</v>
          </cell>
          <cell r="EB25">
            <v>-2524.5</v>
          </cell>
          <cell r="ED25">
            <v>-876410</v>
          </cell>
          <cell r="EH25">
            <v>-177318.3</v>
          </cell>
          <cell r="EK25">
            <v>-10441200</v>
          </cell>
          <cell r="EM25">
            <v>-828230</v>
          </cell>
          <cell r="EO25">
            <v>-6414200</v>
          </cell>
          <cell r="EQ25">
            <v>-2253100</v>
          </cell>
          <cell r="ES25">
            <v>-999470</v>
          </cell>
          <cell r="EU25">
            <v>-14323100</v>
          </cell>
          <cell r="EX25">
            <v>-37605</v>
          </cell>
          <cell r="EZ25">
            <v>-32499</v>
          </cell>
          <cell r="FB25">
            <v>-3676</v>
          </cell>
          <cell r="FD25">
            <v>-54251</v>
          </cell>
          <cell r="FF25">
            <v>-37951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0"/>
        <v>4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0"/>
        <v>4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0"/>
        <v>4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0"/>
        <v>4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40583.759999997914</v>
      </c>
      <c r="F16">
        <v>0.44447999999999999</v>
      </c>
      <c r="G16" s="3">
        <f>Submetering!Z16+Submetering!AA16+Submetering!AB16</f>
        <v>837.27</v>
      </c>
      <c r="H16" s="238">
        <f t="shared" si="0"/>
        <v>4</v>
      </c>
      <c r="I16" s="3">
        <f>Submetering!G16</f>
        <v>746</v>
      </c>
      <c r="J16">
        <v>13.83</v>
      </c>
      <c r="K16" s="3">
        <f>Submetering!I16</f>
        <v>204</v>
      </c>
      <c r="L16">
        <v>1.2</v>
      </c>
      <c r="M16" s="238">
        <f>Submetering!E16</f>
        <v>191.97</v>
      </c>
      <c r="N16">
        <f>Submetering!F16</f>
        <v>349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362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237*0.81</f>
        <v>191.97</v>
      </c>
      <c r="F16" s="79">
        <f>307+42</f>
        <v>349</v>
      </c>
      <c r="G16" s="3">
        <f>'DJB Daily Readings'!C24-'DJB Daily Readings'!C23</f>
        <v>746</v>
      </c>
      <c r="H16" s="3">
        <f>'DJB Daily Readings'!F24-'DJB Daily Readings'!F23</f>
        <v>448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86.399999999994179</v>
      </c>
      <c r="L16" s="3">
        <f>'DJB Daily Readings'!R24-'DJB Daily Readings'!R23</f>
        <v>11</v>
      </c>
      <c r="M16" s="3">
        <f>'DJB Daily Readings'!U24-'DJB Daily Readings'!U23</f>
        <v>2192.4000000003725</v>
      </c>
      <c r="N16" s="3">
        <f>'DJB Daily Readings'!X24-'DJB Daily Readings'!X23</f>
        <v>4628.4000000003725</v>
      </c>
      <c r="O16" s="3">
        <f>'DJB Daily Readings'!AA24-'DJB Daily Readings'!AA23</f>
        <v>97.440000001341105</v>
      </c>
      <c r="P16" s="3">
        <f>'DJB Daily Readings'!AD24-'DJB Daily Readings'!AD23</f>
        <v>0</v>
      </c>
      <c r="Q16" s="3">
        <f>'DJB Daily Readings'!AG24-'DJB Daily Readings'!AG23</f>
        <v>10231.199999999255</v>
      </c>
      <c r="R16" s="3">
        <f>'DJB Daily Readings'!AJ24-'DJB Daily Readings'!AJ23</f>
        <v>5602.7999999988824</v>
      </c>
      <c r="S16" s="3">
        <f>'DJB Daily Readings'!AM24-'DJB Daily Readings'!AM23</f>
        <v>4579.679999999702</v>
      </c>
      <c r="T16" s="3">
        <f>'DJB Daily Readings'!AP24-'DJB Daily Readings'!AP23</f>
        <v>4384.7999999988824</v>
      </c>
      <c r="U16" s="3">
        <f>'DJB Daily Readings'!AS24-'DJB Daily Readings'!AS23</f>
        <v>3507.839999999851</v>
      </c>
      <c r="V16" s="3">
        <f>'DJB Daily Readings'!AV24-'DJB Daily Readings'!AV23</f>
        <v>5359.1999999992549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45700</v>
      </c>
      <c r="Z16" s="3">
        <f>('DJB Daily Readings'!CK24-'DJB Daily Readings'!CK23)*1.89</f>
        <v>200.34</v>
      </c>
      <c r="AA16" s="3">
        <f>('DJB Daily Readings'!CN24-'DJB Daily Readings'!CN23)*1.89</f>
        <v>221.13</v>
      </c>
      <c r="AB16" s="3">
        <f>('DJB Daily Readings'!CQ24-'DJB Daily Readings'!CQ23)*1.89</f>
        <v>415.79999999999995</v>
      </c>
      <c r="AC16" s="3">
        <f>'DJB Daily Readings'!CT24-'DJB Daily Readings'!CT23</f>
        <v>248</v>
      </c>
      <c r="AD16" s="84">
        <f>('DJB Daily Readings'!BY24-'DJB Daily Readings'!BY23)*1.89</f>
        <v>41.58</v>
      </c>
      <c r="AE16" s="84">
        <f>('DJB Daily Readings'!CA24-'DJB Daily Readings'!CA23)*1.89</f>
        <v>37.799999999999997</v>
      </c>
      <c r="AF16" s="84">
        <f>('DJB Daily Readings'!CC24-'DJB Daily Readings'!CC23)*1.89</f>
        <v>9.4499999999999993</v>
      </c>
      <c r="AG16" s="84">
        <f>('DJB Daily Readings'!CE24-'DJB Daily Readings'!CE23)*1.89</f>
        <v>24.57</v>
      </c>
      <c r="AH16" s="84">
        <f>('DJB Daily Readings'!CG24-'DJB Daily Readings'!CG23)*1.89</f>
        <v>30.24</v>
      </c>
      <c r="AI16" s="84">
        <f>('DJB Daily Readings'!CI24-'DJB Daily Readings'!CI23)*1.89</f>
        <v>41.58</v>
      </c>
      <c r="AJ16" s="81">
        <f>'DJB Daily Readings'!CY24-'DJB Daily Readings'!CY23</f>
        <v>9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</v>
      </c>
      <c r="AX16" s="82">
        <f>'DJB Daily Readings'!DZ24-'DJB Daily Readings'!DZ23</f>
        <v>7.5</v>
      </c>
      <c r="AY16" s="82">
        <f>'DJB Daily Readings'!EB24-'DJB Daily Readings'!EB23</f>
        <v>612</v>
      </c>
      <c r="AZ16" s="82">
        <f>'DJB Daily Readings'!ED24-'DJB Daily Readings'!ED23</f>
        <v>150.19999999998254</v>
      </c>
      <c r="BA16" s="82">
        <f>'DJB Daily Readings'!EG24-'DJB Daily Readings'!EG23</f>
        <v>3200</v>
      </c>
      <c r="BB16" s="82">
        <f>'DJB Daily Readings'!EI24-'DJB Daily Readings'!EI23</f>
        <v>230</v>
      </c>
      <c r="BC16" s="82">
        <f>'DJB Daily Readings'!EQ24-'DJB Daily Readings'!EQ23</f>
        <v>2100</v>
      </c>
      <c r="BD16" s="82">
        <f>'DJB Daily Readings'!EK24-'DJB Daily Readings'!EK23</f>
        <v>700</v>
      </c>
      <c r="BE16" s="82">
        <f>'DJB Daily Readings'!EM24-'DJB Daily Readings'!EM23</f>
        <v>400</v>
      </c>
      <c r="BF16" s="82">
        <f>'DJB Daily Readings'!EO24-'DJB Daily Readings'!EO23</f>
        <v>640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</row>
    <row r="17" spans="1:37" x14ac:dyDescent="0.25">
      <c r="A17" t="s">
        <v>59</v>
      </c>
      <c r="B17">
        <f t="shared" si="0"/>
        <v>16</v>
      </c>
      <c r="C17">
        <v>12</v>
      </c>
      <c r="D17">
        <v>2021</v>
      </c>
      <c r="E17" s="78"/>
      <c r="F17" s="79">
        <f>312+50</f>
        <v>362</v>
      </c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474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91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587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515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531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578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55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474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91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587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515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531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578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55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474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91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587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515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531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578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55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474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91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587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515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531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578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55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474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91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587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515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531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578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55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474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91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587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515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531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578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55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 x14ac:dyDescent="0.25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474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91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587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515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531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578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55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 x14ac:dyDescent="0.25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474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91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587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515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531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578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55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 x14ac:dyDescent="0.25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474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91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587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515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531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578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55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 x14ac:dyDescent="0.25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474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91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587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515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531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578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55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 x14ac:dyDescent="0.25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474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91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587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515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531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578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55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 x14ac:dyDescent="0.25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474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91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587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515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531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578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55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 x14ac:dyDescent="0.25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474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91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587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515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531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578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55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 x14ac:dyDescent="0.25">
      <c r="A24" s="207">
        <v>43845</v>
      </c>
      <c r="B24" s="209">
        <f>'[1]December - 2021'!B24</f>
        <v>0.81</v>
      </c>
      <c r="C24" s="250">
        <f>'[1]December - 2021'!E24</f>
        <v>925562</v>
      </c>
      <c r="D24" s="170">
        <f>'[1]December - 2021'!F24</f>
        <v>746</v>
      </c>
      <c r="E24" s="168">
        <f>'[1]December - 2021'!G24</f>
        <v>495</v>
      </c>
      <c r="F24" s="168">
        <f>'[1]December - 2021'!H24</f>
        <v>92497</v>
      </c>
      <c r="G24" s="170">
        <f>'[1]December - 2021'!I24</f>
        <v>448</v>
      </c>
      <c r="H24" s="168">
        <f>'[1]December - 2021'!J24</f>
        <v>405</v>
      </c>
      <c r="I24" s="168">
        <f>'[1]December - 2021'!K24</f>
        <v>164625</v>
      </c>
      <c r="J24" s="170">
        <f>'[1]December - 2021'!L24</f>
        <v>0</v>
      </c>
      <c r="K24" s="168">
        <f>'[1]December - 2021'!N24</f>
        <v>819326</v>
      </c>
      <c r="L24" s="170">
        <f>'[1]December - 2021'!O24</f>
        <v>204</v>
      </c>
      <c r="M24" s="168">
        <f>'[1]December - 2021'!Q24</f>
        <v>189084</v>
      </c>
      <c r="N24" s="170">
        <f>'[1]December - 2021'!R24</f>
        <v>161</v>
      </c>
      <c r="O24" s="168">
        <f>'[1]December - 2021'!S24</f>
        <v>53527.199999999997</v>
      </c>
      <c r="P24" s="170">
        <f>'[1]December - 2021'!T24</f>
        <v>86.399999999994179</v>
      </c>
      <c r="Q24" s="168">
        <f>'[1]December - 2021'!U24</f>
        <v>39</v>
      </c>
      <c r="R24" s="168">
        <f>'[1]December - 2021'!V24</f>
        <v>3982</v>
      </c>
      <c r="S24" s="208">
        <f>'[1]December - 2021'!W24</f>
        <v>11</v>
      </c>
      <c r="T24" s="474"/>
      <c r="U24" s="169">
        <f>'[1]December - 2021'!AC24</f>
        <v>7190682.2400000002</v>
      </c>
      <c r="V24" s="288">
        <f>'[1]December - 2021'!AD24</f>
        <v>2192.4000000003725</v>
      </c>
      <c r="W24" s="92">
        <f>'[1]December - 2021'!AD24</f>
        <v>2192.4000000003725</v>
      </c>
      <c r="X24" s="287">
        <f>'[1]December - 2021'!AF24</f>
        <v>13778795.52</v>
      </c>
      <c r="Y24" s="288">
        <f>'[1]December - 2021'!AG24</f>
        <v>4628.4000000003725</v>
      </c>
      <c r="Z24" s="92">
        <f>'[1]December - 2021'!AG24</f>
        <v>4628.4000000003725</v>
      </c>
      <c r="AA24" s="287">
        <f>'[1]December - 2021'!AI24</f>
        <v>13702889.76</v>
      </c>
      <c r="AB24" s="288">
        <f>'[1]December - 2021'!AJ24</f>
        <v>97.440000001341105</v>
      </c>
      <c r="AC24" s="92">
        <f>'[1]December - 2021'!AJ24</f>
        <v>97.440000001341105</v>
      </c>
      <c r="AD24" s="287">
        <f>'[1]December - 2021'!AL24</f>
        <v>16750910.4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17076603.599999998</v>
      </c>
      <c r="AH24" s="288">
        <f>'[1]December - 2021'!AP24</f>
        <v>10231.199999999255</v>
      </c>
      <c r="AI24" s="92">
        <f>'[1]December - 2021'!AP24</f>
        <v>10231.199999999255</v>
      </c>
      <c r="AJ24" s="287">
        <f>'[1]December - 2021'!AR24</f>
        <v>15519073.919999998</v>
      </c>
      <c r="AK24" s="288">
        <f>'[1]December - 2021'!AS24</f>
        <v>5602.7999999988824</v>
      </c>
      <c r="AL24" s="92">
        <f>'[1]December - 2021'!AS24</f>
        <v>5602.7999999988824</v>
      </c>
      <c r="AM24" s="287">
        <f>'[1]December - 2021'!AU24</f>
        <v>13202291.76</v>
      </c>
      <c r="AN24" s="288">
        <f>'[1]December - 2021'!AV24</f>
        <v>4579.679999999702</v>
      </c>
      <c r="AO24" s="92">
        <f>'[1]December - 2021'!AV24</f>
        <v>4579.679999999702</v>
      </c>
      <c r="AP24" s="287">
        <f>'[1]December - 2021'!AX24</f>
        <v>12690439.439999999</v>
      </c>
      <c r="AQ24" s="288">
        <f>'[1]December - 2021'!AY24</f>
        <v>4384.7999999988824</v>
      </c>
      <c r="AR24" s="92">
        <f>'[1]December - 2021'!AY24</f>
        <v>4384.7999999988824</v>
      </c>
      <c r="AS24" s="287">
        <f>'[1]December - 2021'!BA24</f>
        <v>10109594.880000001</v>
      </c>
      <c r="AT24" s="288">
        <f>'[1]December - 2021'!BB24</f>
        <v>3507.839999999851</v>
      </c>
      <c r="AU24" s="92">
        <f>'[1]December - 2021'!BB24</f>
        <v>3507.839999999851</v>
      </c>
      <c r="AV24" s="287">
        <f>'[1]December - 2021'!BD24</f>
        <v>15695196.719999999</v>
      </c>
      <c r="AW24" s="252">
        <f>'[1]December - 2021'!BE24</f>
        <v>5359.1999999992549</v>
      </c>
      <c r="AX24" s="253">
        <f>'[1]December - 2021'!BE24</f>
        <v>5359.1999999992549</v>
      </c>
      <c r="AY24" s="491"/>
      <c r="AZ24" s="272">
        <f>'[1]December - 2021'!BK24</f>
        <v>68002400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70700300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64970000</v>
      </c>
      <c r="BG24" s="245">
        <f>'[1]December - 2021'!BR24</f>
        <v>45700</v>
      </c>
      <c r="BH24" s="93">
        <f>'[1]December - 2021'!BR24</f>
        <v>45700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7718890</v>
      </c>
      <c r="BT24" s="185">
        <f>'[1]December - 2021'!BU24</f>
        <v>5170</v>
      </c>
      <c r="BU24" s="587"/>
      <c r="BV24" s="88">
        <f>'[1]December - 2021'!BW24</f>
        <v>0.64</v>
      </c>
      <c r="BW24" s="241">
        <f>'[1]December - 2021'!BX24</f>
        <v>7.999999999999996E-2</v>
      </c>
      <c r="BX24" s="88">
        <f>'[1]December - 2021'!BX24</f>
        <v>7.999999999999996E-2</v>
      </c>
      <c r="BY24" s="89">
        <f>'[1]December - 2021'!BZ24</f>
        <v>57187</v>
      </c>
      <c r="BZ24" s="191">
        <f>'[1]December - 2021'!CA24</f>
        <v>22</v>
      </c>
      <c r="CA24" s="89">
        <f>'[1]December - 2021'!CB24</f>
        <v>48678</v>
      </c>
      <c r="CB24" s="191">
        <f>'[1]December - 2021'!CC24</f>
        <v>20</v>
      </c>
      <c r="CC24" s="89">
        <f>'[1]December - 2021'!CD24</f>
        <v>16734</v>
      </c>
      <c r="CD24" s="191">
        <f>'[1]December - 2021'!CE24</f>
        <v>5</v>
      </c>
      <c r="CE24" s="89">
        <f>'[1]December - 2021'!CF24</f>
        <v>22122</v>
      </c>
      <c r="CF24" s="191">
        <f>'[1]December - 2021'!CG24</f>
        <v>13</v>
      </c>
      <c r="CG24" s="89">
        <f>'[1]December - 2021'!CH24</f>
        <v>24150</v>
      </c>
      <c r="CH24" s="191">
        <f>'[1]December - 2021'!CI24</f>
        <v>16</v>
      </c>
      <c r="CI24" s="89">
        <f>'[1]December - 2021'!CJ24</f>
        <v>53538</v>
      </c>
      <c r="CJ24" s="191">
        <f>'[1]December - 2021'!CK24</f>
        <v>22</v>
      </c>
      <c r="CK24" s="89">
        <f>'[1]December - 2021'!CL24</f>
        <v>234913</v>
      </c>
      <c r="CL24" s="246">
        <f>'[1]December - 2021'!CM24</f>
        <v>106</v>
      </c>
      <c r="CM24" s="89">
        <f>'[1]December - 2021'!CM24</f>
        <v>106</v>
      </c>
      <c r="CN24" s="89">
        <f>'[1]December - 2021'!CO24</f>
        <v>180715</v>
      </c>
      <c r="CO24" s="246">
        <f>'[1]December - 2021'!CP24</f>
        <v>117</v>
      </c>
      <c r="CP24" s="89">
        <f>'[1]December - 2021'!CP24</f>
        <v>117</v>
      </c>
      <c r="CQ24" s="89">
        <f>'[1]December - 2021'!CR24</f>
        <v>319227</v>
      </c>
      <c r="CR24" s="246">
        <f>'[1]December - 2021'!CS24</f>
        <v>220</v>
      </c>
      <c r="CS24" s="89">
        <f>'[1]December - 2021'!CS24</f>
        <v>220</v>
      </c>
      <c r="CT24" s="89">
        <f>'[1]December - 2021'!CU24</f>
        <v>621809</v>
      </c>
      <c r="CU24" s="191">
        <f>'[1]December - 2021'!CV24</f>
        <v>248</v>
      </c>
      <c r="CV24" s="515"/>
      <c r="CW24" s="256">
        <f>'[1]December - 2021'!CX24</f>
        <v>6417</v>
      </c>
      <c r="CX24" s="198">
        <f>'[1]December - 2021'!CY24</f>
        <v>7</v>
      </c>
      <c r="CY24" s="257">
        <f>'[1]December - 2021'!CZ24</f>
        <v>3934</v>
      </c>
      <c r="CZ24" s="198">
        <f>'[1]December - 2021'!DA24</f>
        <v>9</v>
      </c>
      <c r="DA24" s="257">
        <f>'[1]December - 2021'!DB24</f>
        <v>26887</v>
      </c>
      <c r="DB24" s="198">
        <f>'[1]December - 2021'!DC24</f>
        <v>16</v>
      </c>
      <c r="DC24" s="257">
        <f>'[1]December - 2021'!DD24</f>
        <v>27630</v>
      </c>
      <c r="DD24" s="198">
        <f>'[1]December - 2021'!DE24</f>
        <v>16</v>
      </c>
      <c r="DE24" s="257">
        <f>'[1]December - 2021'!DF24</f>
        <v>18692</v>
      </c>
      <c r="DF24" s="198">
        <f>'[1]December - 2021'!DG24</f>
        <v>8</v>
      </c>
      <c r="DG24" s="257">
        <f>'[1]December - 2021'!DH24</f>
        <v>21805</v>
      </c>
      <c r="DH24" s="198">
        <f>'[1]December - 2021'!DI24</f>
        <v>8</v>
      </c>
      <c r="DI24" s="257">
        <f>'[1]December - 2021'!DJ24</f>
        <v>3323</v>
      </c>
      <c r="DJ24" s="198">
        <f>'[1]December - 2021'!DK24</f>
        <v>8</v>
      </c>
      <c r="DK24" s="257">
        <f>'[1]December - 2021'!DL24</f>
        <v>6798</v>
      </c>
      <c r="DL24" s="198">
        <f>'[1]December - 2021'!DM24</f>
        <v>14</v>
      </c>
      <c r="DM24" s="257">
        <f>'[1]December - 2021'!DN24</f>
        <v>1822</v>
      </c>
      <c r="DN24" s="198">
        <f>'[1]December - 2021'!DO24</f>
        <v>5</v>
      </c>
      <c r="DO24" s="257">
        <f>'[1]December - 2021'!DP24</f>
        <v>3623</v>
      </c>
      <c r="DP24" s="198">
        <f>'[1]December - 2021'!DQ24</f>
        <v>8</v>
      </c>
      <c r="DQ24" s="257">
        <f>'[1]December - 2021'!DR24</f>
        <v>26322</v>
      </c>
      <c r="DR24" s="206">
        <f>'[1]December - 2021'!DS24</f>
        <v>7</v>
      </c>
      <c r="DS24" s="531"/>
      <c r="DT24" s="210">
        <f>'[1]December - 2021'!DU24</f>
        <v>3167.5</v>
      </c>
      <c r="DU24" s="221">
        <f>'[1]December - 2021'!DV24</f>
        <v>9</v>
      </c>
      <c r="DV24" s="91">
        <f>'[1]December - 2021'!DW24</f>
        <v>8259.1</v>
      </c>
      <c r="DW24" s="215">
        <f>'[1]December - 2021'!DX24</f>
        <v>6.7000000000007276</v>
      </c>
      <c r="DX24" s="91">
        <f>'[1]December - 2021'!DY24</f>
        <v>2384.6999999999998</v>
      </c>
      <c r="DY24" s="215">
        <f>'[1]December - 2021'!DZ24</f>
        <v>6</v>
      </c>
      <c r="DZ24" s="91">
        <f>'[1]December - 2021'!EA24</f>
        <v>2524.5</v>
      </c>
      <c r="EA24" s="215">
        <f>'[1]December - 2021'!EB24</f>
        <v>7.5</v>
      </c>
      <c r="EB24" s="91">
        <f>'[1]December - 2021'!EC24</f>
        <v>876410</v>
      </c>
      <c r="EC24" s="215">
        <f>'[1]December - 2021'!ED24</f>
        <v>612</v>
      </c>
      <c r="ED24" s="91">
        <f>'[1]December - 2021'!EG24</f>
        <v>177318.3</v>
      </c>
      <c r="EE24" s="229">
        <f>'[1]December - 2021'!EH24</f>
        <v>150.19999999998254</v>
      </c>
      <c r="EF24" s="578"/>
      <c r="EG24" s="235">
        <f>'[1]December - 2021'!EJ24</f>
        <v>10441200</v>
      </c>
      <c r="EH24" s="230">
        <f>'[1]December - 2021'!EK24</f>
        <v>3200</v>
      </c>
      <c r="EI24" s="90">
        <f>'[1]December - 2021'!EL24</f>
        <v>828230</v>
      </c>
      <c r="EJ24" s="230">
        <f>'[1]December - 2021'!EM24</f>
        <v>230</v>
      </c>
      <c r="EK24" s="90">
        <f>'[1]December - 2021'!EN24</f>
        <v>6414200</v>
      </c>
      <c r="EL24" s="230">
        <f>'[1]December - 2021'!EO24</f>
        <v>700</v>
      </c>
      <c r="EM24" s="90">
        <f>'[1]December - 2021'!EP24</f>
        <v>2253100</v>
      </c>
      <c r="EN24" s="230">
        <f>'[1]December - 2021'!EQ24</f>
        <v>400</v>
      </c>
      <c r="EO24" s="90">
        <f>'[1]December - 2021'!ER24</f>
        <v>999470</v>
      </c>
      <c r="EP24" s="230">
        <f>'[1]December - 2021'!ES24</f>
        <v>640</v>
      </c>
      <c r="EQ24" s="90">
        <f>'[1]December - 2021'!ET24</f>
        <v>14323100</v>
      </c>
      <c r="ER24" s="230">
        <f>'[1]December - 2021'!EU24</f>
        <v>2100</v>
      </c>
      <c r="ES24" s="553"/>
      <c r="ET24" s="281">
        <f>'[1]December - 2021'!EW24</f>
        <v>37605</v>
      </c>
      <c r="EU24" s="275">
        <f>'[1]December - 2021'!EX24</f>
        <v>15</v>
      </c>
      <c r="EV24" s="282">
        <f>'[1]December - 2021'!EY24</f>
        <v>32499</v>
      </c>
      <c r="EW24" s="275">
        <f>'[1]December - 2021'!EZ24</f>
        <v>12</v>
      </c>
      <c r="EX24" s="282">
        <f>'[1]December - 2021'!FA24</f>
        <v>3676</v>
      </c>
      <c r="EY24" s="275">
        <f>'[1]December - 2021'!FB24</f>
        <v>8</v>
      </c>
      <c r="EZ24" s="282">
        <f>'[1]December - 2021'!FC24</f>
        <v>54251</v>
      </c>
      <c r="FA24" s="275">
        <f>'[1]December - 2021'!FD24</f>
        <v>19</v>
      </c>
      <c r="FB24" s="282">
        <f>'[1]December - 2021'!FE24</f>
        <v>37951</v>
      </c>
      <c r="FC24" s="276">
        <f>'[1]December - 2021'!FF24</f>
        <v>31</v>
      </c>
    </row>
    <row r="25" spans="1:159" ht="30" customHeight="1" x14ac:dyDescent="0.25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-925562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-92497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-164625</v>
      </c>
      <c r="K25" s="168">
        <f>'[1]December - 2021'!N25</f>
        <v>0</v>
      </c>
      <c r="L25" s="170">
        <f>'[1]December - 2021'!O25</f>
        <v>-819326</v>
      </c>
      <c r="M25" s="168">
        <f>'[1]December - 2021'!Q25</f>
        <v>0</v>
      </c>
      <c r="N25" s="170">
        <f>'[1]December - 2021'!R25</f>
        <v>-189084</v>
      </c>
      <c r="O25" s="168">
        <f>'[1]December - 2021'!S25</f>
        <v>0</v>
      </c>
      <c r="P25" s="170">
        <f>'[1]December - 2021'!T25</f>
        <v>-53527.199999999997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-3982</v>
      </c>
      <c r="T25" s="474"/>
      <c r="U25" s="169">
        <f>'[1]December - 2021'!AC25</f>
        <v>0</v>
      </c>
      <c r="V25" s="288">
        <f>'[1]December - 2021'!AD25</f>
        <v>-7190682.2400000002</v>
      </c>
      <c r="W25" s="92">
        <f>'[1]December - 2021'!AD25</f>
        <v>-7190682.2400000002</v>
      </c>
      <c r="X25" s="287">
        <f>'[1]December - 2021'!AF25</f>
        <v>0</v>
      </c>
      <c r="Y25" s="288">
        <f>'[1]December - 2021'!AG25</f>
        <v>-13778795.52</v>
      </c>
      <c r="Z25" s="92">
        <f>'[1]December - 2021'!AG25</f>
        <v>-13778795.52</v>
      </c>
      <c r="AA25" s="287">
        <f>'[1]December - 2021'!AI25</f>
        <v>0</v>
      </c>
      <c r="AB25" s="288">
        <f>'[1]December - 2021'!AJ25</f>
        <v>-13702889.76</v>
      </c>
      <c r="AC25" s="92">
        <f>'[1]December - 2021'!AJ25</f>
        <v>-13702889.76</v>
      </c>
      <c r="AD25" s="287">
        <f>'[1]December - 2021'!AL25</f>
        <v>0</v>
      </c>
      <c r="AE25" s="288">
        <f>'[1]December - 2021'!AM25</f>
        <v>-16750910.4</v>
      </c>
      <c r="AF25" s="92">
        <f>'[1]December - 2021'!AM25</f>
        <v>-16750910.4</v>
      </c>
      <c r="AG25" s="287">
        <f>'[1]December - 2021'!AO25</f>
        <v>0</v>
      </c>
      <c r="AH25" s="288">
        <f>'[1]December - 2021'!AP25</f>
        <v>-17076603.599999998</v>
      </c>
      <c r="AI25" s="92">
        <f>'[1]December - 2021'!AP25</f>
        <v>-17076603.599999998</v>
      </c>
      <c r="AJ25" s="287">
        <f>'[1]December - 2021'!AR25</f>
        <v>0</v>
      </c>
      <c r="AK25" s="288">
        <f>'[1]December - 2021'!AS25</f>
        <v>-15519073.919999998</v>
      </c>
      <c r="AL25" s="92">
        <f>'[1]December - 2021'!AS25</f>
        <v>-15519073.919999998</v>
      </c>
      <c r="AM25" s="287">
        <f>'[1]December - 2021'!AU25</f>
        <v>0</v>
      </c>
      <c r="AN25" s="288">
        <f>'[1]December - 2021'!AV25</f>
        <v>-13202291.76</v>
      </c>
      <c r="AO25" s="92">
        <f>'[1]December - 2021'!AV25</f>
        <v>-13202291.76</v>
      </c>
      <c r="AP25" s="287">
        <f>'[1]December - 2021'!AX25</f>
        <v>0</v>
      </c>
      <c r="AQ25" s="288">
        <f>'[1]December - 2021'!AY25</f>
        <v>-12690439.439999999</v>
      </c>
      <c r="AR25" s="92">
        <f>'[1]December - 2021'!AY25</f>
        <v>-12690439.439999999</v>
      </c>
      <c r="AS25" s="287">
        <f>'[1]December - 2021'!BA25</f>
        <v>0</v>
      </c>
      <c r="AT25" s="288">
        <f>'[1]December - 2021'!BB25</f>
        <v>-10109594.880000001</v>
      </c>
      <c r="AU25" s="92">
        <f>'[1]December - 2021'!BB25</f>
        <v>-10109594.880000001</v>
      </c>
      <c r="AV25" s="287">
        <f>'[1]December - 2021'!BD25</f>
        <v>0</v>
      </c>
      <c r="AW25" s="252">
        <f>'[1]December - 2021'!BE25</f>
        <v>-15695196.719999999</v>
      </c>
      <c r="AX25" s="253">
        <f>'[1]December - 2021'!BE25</f>
        <v>-15695196.719999999</v>
      </c>
      <c r="AY25" s="491"/>
      <c r="AZ25" s="272">
        <f>'[1]December - 2021'!BK25</f>
        <v>0</v>
      </c>
      <c r="BA25" s="179">
        <f>'[1]December - 2021'!BL25</f>
        <v>-68002400</v>
      </c>
      <c r="BB25" s="93">
        <f>'[1]December - 2021'!BL25</f>
        <v>-68002400</v>
      </c>
      <c r="BC25" s="272">
        <f>'[1]December - 2021'!BN25</f>
        <v>0</v>
      </c>
      <c r="BD25" s="245">
        <f>'[1]December - 2021'!BO25</f>
        <v>-70700300</v>
      </c>
      <c r="BE25" s="93">
        <f>'[1]December - 2021'!BO25</f>
        <v>-70700300</v>
      </c>
      <c r="BF25" s="272">
        <f>'[1]December - 2021'!BQ25</f>
        <v>0</v>
      </c>
      <c r="BG25" s="245">
        <f>'[1]December - 2021'!BR25</f>
        <v>-64970000</v>
      </c>
      <c r="BH25" s="93">
        <f>'[1]December - 2021'!BR25</f>
        <v>-64970000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-7718890</v>
      </c>
      <c r="BU25" s="587"/>
      <c r="BV25" s="88">
        <f>'[1]December - 2021'!BW25</f>
        <v>0</v>
      </c>
      <c r="BW25" s="241">
        <f>'[1]December - 2021'!BX25</f>
        <v>0.64</v>
      </c>
      <c r="BX25" s="88">
        <f>'[1]December - 2021'!BX25</f>
        <v>0.64</v>
      </c>
      <c r="BY25" s="89">
        <f>'[1]December - 2021'!BZ25</f>
        <v>0</v>
      </c>
      <c r="BZ25" s="191">
        <f>'[1]December - 2021'!CA25</f>
        <v>-57187</v>
      </c>
      <c r="CA25" s="89">
        <f>'[1]December - 2021'!CB25</f>
        <v>0</v>
      </c>
      <c r="CB25" s="191">
        <f>'[1]December - 2021'!CC25</f>
        <v>-48678</v>
      </c>
      <c r="CC25" s="89">
        <f>'[1]December - 2021'!CD25</f>
        <v>0</v>
      </c>
      <c r="CD25" s="191">
        <f>'[1]December - 2021'!CE25</f>
        <v>-16734</v>
      </c>
      <c r="CE25" s="89">
        <f>'[1]December - 2021'!CF25</f>
        <v>0</v>
      </c>
      <c r="CF25" s="191">
        <f>'[1]December - 2021'!CG25</f>
        <v>-22122</v>
      </c>
      <c r="CG25" s="89">
        <f>'[1]December - 2021'!CH25</f>
        <v>0</v>
      </c>
      <c r="CH25" s="191">
        <f>'[1]December - 2021'!CI25</f>
        <v>-24150</v>
      </c>
      <c r="CI25" s="89">
        <f>'[1]December - 2021'!CJ25</f>
        <v>0</v>
      </c>
      <c r="CJ25" s="191">
        <f>'[1]December - 2021'!CK25</f>
        <v>-53538</v>
      </c>
      <c r="CK25" s="89">
        <f>'[1]December - 2021'!CL25</f>
        <v>0</v>
      </c>
      <c r="CL25" s="246">
        <f>'[1]December - 2021'!CM25</f>
        <v>-234913</v>
      </c>
      <c r="CM25" s="89">
        <f>'[1]December - 2021'!CM25</f>
        <v>-234913</v>
      </c>
      <c r="CN25" s="89">
        <f>'[1]December - 2021'!CO25</f>
        <v>0</v>
      </c>
      <c r="CO25" s="246">
        <f>'[1]December - 2021'!CP25</f>
        <v>-180715</v>
      </c>
      <c r="CP25" s="89">
        <f>'[1]December - 2021'!CP25</f>
        <v>-180715</v>
      </c>
      <c r="CQ25" s="89">
        <f>'[1]December - 2021'!CR25</f>
        <v>0</v>
      </c>
      <c r="CR25" s="246">
        <f>'[1]December - 2021'!CS25</f>
        <v>-319227</v>
      </c>
      <c r="CS25" s="89">
        <f>'[1]December - 2021'!CS25</f>
        <v>-319227</v>
      </c>
      <c r="CT25" s="89">
        <f>'[1]December - 2021'!CU25</f>
        <v>0</v>
      </c>
      <c r="CU25" s="191">
        <f>'[1]December - 2021'!CV25</f>
        <v>-621809</v>
      </c>
      <c r="CV25" s="515"/>
      <c r="CW25" s="256">
        <f>'[1]December - 2021'!CX25</f>
        <v>0</v>
      </c>
      <c r="CX25" s="198">
        <f>'[1]December - 2021'!CY25</f>
        <v>-6417</v>
      </c>
      <c r="CY25" s="257">
        <f>'[1]December - 2021'!CZ25</f>
        <v>0</v>
      </c>
      <c r="CZ25" s="198">
        <f>'[1]December - 2021'!DA25</f>
        <v>-3934</v>
      </c>
      <c r="DA25" s="257">
        <f>'[1]December - 2021'!DB25</f>
        <v>0</v>
      </c>
      <c r="DB25" s="198">
        <f>'[1]December - 2021'!DC25</f>
        <v>-26887</v>
      </c>
      <c r="DC25" s="257">
        <f>'[1]December - 2021'!DD25</f>
        <v>0</v>
      </c>
      <c r="DD25" s="198">
        <f>'[1]December - 2021'!DE25</f>
        <v>-27630</v>
      </c>
      <c r="DE25" s="257">
        <f>'[1]December - 2021'!DF25</f>
        <v>0</v>
      </c>
      <c r="DF25" s="198">
        <f>'[1]December - 2021'!DG25</f>
        <v>-18692</v>
      </c>
      <c r="DG25" s="257">
        <f>'[1]December - 2021'!DH25</f>
        <v>0</v>
      </c>
      <c r="DH25" s="198">
        <f>'[1]December - 2021'!DI25</f>
        <v>-21805</v>
      </c>
      <c r="DI25" s="257">
        <f>'[1]December - 2021'!DJ25</f>
        <v>0</v>
      </c>
      <c r="DJ25" s="198">
        <f>'[1]December - 2021'!DK25</f>
        <v>-3323</v>
      </c>
      <c r="DK25" s="257">
        <f>'[1]December - 2021'!DL25</f>
        <v>0</v>
      </c>
      <c r="DL25" s="198">
        <f>'[1]December - 2021'!DM25</f>
        <v>-6798</v>
      </c>
      <c r="DM25" s="257">
        <f>'[1]December - 2021'!DN25</f>
        <v>0</v>
      </c>
      <c r="DN25" s="198">
        <f>'[1]December - 2021'!DO25</f>
        <v>-1822</v>
      </c>
      <c r="DO25" s="257">
        <f>'[1]December - 2021'!DP25</f>
        <v>0</v>
      </c>
      <c r="DP25" s="198">
        <f>'[1]December - 2021'!DQ25</f>
        <v>-3623</v>
      </c>
      <c r="DQ25" s="257">
        <f>'[1]December - 2021'!DR25</f>
        <v>0</v>
      </c>
      <c r="DR25" s="206">
        <f>'[1]December - 2021'!DS25</f>
        <v>-26322</v>
      </c>
      <c r="DS25" s="531"/>
      <c r="DT25" s="210">
        <f>'[1]December - 2021'!DU25</f>
        <v>0</v>
      </c>
      <c r="DU25" s="221">
        <f>'[1]December - 2021'!DV25</f>
        <v>-3167.5</v>
      </c>
      <c r="DV25" s="91">
        <f>'[1]December - 2021'!DW25</f>
        <v>0</v>
      </c>
      <c r="DW25" s="215">
        <f>'[1]December - 2021'!DX25</f>
        <v>-8259.1</v>
      </c>
      <c r="DX25" s="91">
        <f>'[1]December - 2021'!DY25</f>
        <v>0</v>
      </c>
      <c r="DY25" s="215">
        <f>'[1]December - 2021'!DZ25</f>
        <v>-2384.6999999999998</v>
      </c>
      <c r="DZ25" s="91">
        <f>'[1]December - 2021'!EA25</f>
        <v>0</v>
      </c>
      <c r="EA25" s="215">
        <f>'[1]December - 2021'!EB25</f>
        <v>-2524.5</v>
      </c>
      <c r="EB25" s="91">
        <f>'[1]December - 2021'!EC25</f>
        <v>0</v>
      </c>
      <c r="EC25" s="215">
        <f>'[1]December - 2021'!ED25</f>
        <v>-876410</v>
      </c>
      <c r="ED25" s="91">
        <f>'[1]December - 2021'!EG25</f>
        <v>0</v>
      </c>
      <c r="EE25" s="229">
        <f>'[1]December - 2021'!EH25</f>
        <v>-177318.3</v>
      </c>
      <c r="EF25" s="578"/>
      <c r="EG25" s="235">
        <f>'[1]December - 2021'!EJ25</f>
        <v>0</v>
      </c>
      <c r="EH25" s="230">
        <f>'[1]December - 2021'!EK25</f>
        <v>-10441200</v>
      </c>
      <c r="EI25" s="90">
        <f>'[1]December - 2021'!EL25</f>
        <v>0</v>
      </c>
      <c r="EJ25" s="230">
        <f>'[1]December - 2021'!EM25</f>
        <v>-828230</v>
      </c>
      <c r="EK25" s="90">
        <f>'[1]December - 2021'!EN25</f>
        <v>0</v>
      </c>
      <c r="EL25" s="230">
        <f>'[1]December - 2021'!EO25</f>
        <v>-6414200</v>
      </c>
      <c r="EM25" s="90">
        <f>'[1]December - 2021'!EP25</f>
        <v>0</v>
      </c>
      <c r="EN25" s="230">
        <f>'[1]December - 2021'!EQ25</f>
        <v>-2253100</v>
      </c>
      <c r="EO25" s="90">
        <f>'[1]December - 2021'!ER25</f>
        <v>0</v>
      </c>
      <c r="EP25" s="230">
        <f>'[1]December - 2021'!ES25</f>
        <v>-999470</v>
      </c>
      <c r="EQ25" s="90">
        <f>'[1]December - 2021'!ET25</f>
        <v>0</v>
      </c>
      <c r="ER25" s="230">
        <f>'[1]December - 2021'!EU25</f>
        <v>-14323100</v>
      </c>
      <c r="ES25" s="553"/>
      <c r="ET25" s="281">
        <f>'[1]December - 2021'!EW25</f>
        <v>0</v>
      </c>
      <c r="EU25" s="275">
        <f>'[1]December - 2021'!EX25</f>
        <v>-37605</v>
      </c>
      <c r="EV25" s="282">
        <f>'[1]December - 2021'!EY25</f>
        <v>0</v>
      </c>
      <c r="EW25" s="275">
        <f>'[1]December - 2021'!EZ25</f>
        <v>-32499</v>
      </c>
      <c r="EX25" s="282">
        <f>'[1]December - 2021'!FA25</f>
        <v>0</v>
      </c>
      <c r="EY25" s="275">
        <f>'[1]December - 2021'!FB25</f>
        <v>-3676</v>
      </c>
      <c r="EZ25" s="282">
        <f>'[1]December - 2021'!FC25</f>
        <v>0</v>
      </c>
      <c r="FA25" s="275">
        <f>'[1]December - 2021'!FD25</f>
        <v>-54251</v>
      </c>
      <c r="FB25" s="282">
        <f>'[1]December - 2021'!FE25</f>
        <v>0</v>
      </c>
      <c r="FC25" s="276">
        <f>'[1]December - 2021'!FF25</f>
        <v>-37951</v>
      </c>
    </row>
    <row r="26" spans="1:159" ht="30" customHeight="1" x14ac:dyDescent="0.25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474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91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587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515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531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578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55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 x14ac:dyDescent="0.25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474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91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587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515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531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578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55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 x14ac:dyDescent="0.25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474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91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587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515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531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578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55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 x14ac:dyDescent="0.25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474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91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587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515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531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578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55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 x14ac:dyDescent="0.25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474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91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587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515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531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578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55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 x14ac:dyDescent="0.25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474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91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587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515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531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578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55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 x14ac:dyDescent="0.25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474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91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587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515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531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578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55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 x14ac:dyDescent="0.25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474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91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587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515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531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578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55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 x14ac:dyDescent="0.25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474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91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587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515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531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578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55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 x14ac:dyDescent="0.25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474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91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587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515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531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578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55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 x14ac:dyDescent="0.25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474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91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587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515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531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578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55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474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91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587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515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531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578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55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32496.240000000224</v>
      </c>
      <c r="V44" s="379"/>
      <c r="W44" s="380"/>
      <c r="X44" s="378">
        <f>SUM(Z9:Z24)</f>
        <v>70741.439999999478</v>
      </c>
      <c r="Y44" s="379"/>
      <c r="Z44" s="380"/>
      <c r="AA44" s="378">
        <f>SUM(AC9:AC24)</f>
        <v>32447.519999999553</v>
      </c>
      <c r="AB44" s="379"/>
      <c r="AC44" s="380"/>
      <c r="AD44" s="378">
        <f>SUM(AF9:AF24)</f>
        <v>76392.960000002757</v>
      </c>
      <c r="AE44" s="379"/>
      <c r="AF44" s="380"/>
      <c r="AG44" s="378">
        <f>SUM(AI9:AI24)</f>
        <v>47063.519999995828</v>
      </c>
      <c r="AH44" s="379"/>
      <c r="AI44" s="380"/>
      <c r="AJ44" s="378">
        <f>SUM(AL9:AL24)</f>
        <v>87647.279999997467</v>
      </c>
      <c r="AK44" s="379"/>
      <c r="AL44" s="380"/>
      <c r="AM44" s="378">
        <f>SUM(AO9:AO24)</f>
        <v>68305.440000001341</v>
      </c>
      <c r="AN44" s="379"/>
      <c r="AO44" s="380"/>
      <c r="AP44" s="378">
        <f>SUM(AR9:AR24)</f>
        <v>63823.199999999255</v>
      </c>
      <c r="AQ44" s="379"/>
      <c r="AR44" s="380"/>
      <c r="AS44" s="378">
        <f>SUM(AU9:AU24)</f>
        <v>49207.200000001118</v>
      </c>
      <c r="AT44" s="379"/>
      <c r="AU44" s="380"/>
      <c r="AV44" s="378">
        <f>SUM(AX9:AX24)</f>
        <v>83359.919999999925</v>
      </c>
      <c r="AW44" s="379"/>
      <c r="AX44" s="379"/>
      <c r="AY44" s="384"/>
      <c r="AZ44" s="379">
        <f>SUM(BB9:BB24)</f>
        <v>170000</v>
      </c>
      <c r="BA44" s="379"/>
      <c r="BB44" s="379"/>
      <c r="BC44" s="378">
        <f>SUM(BE9:BE24)</f>
        <v>368800</v>
      </c>
      <c r="BD44" s="379"/>
      <c r="BE44" s="379"/>
      <c r="BF44" s="374">
        <f>SUM(BH9:BH24)</f>
        <v>181600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1575</v>
      </c>
      <c r="CL44" s="374"/>
      <c r="CM44" s="374"/>
      <c r="CN44" s="374">
        <f>SUM(CP9:CP24)</f>
        <v>1731</v>
      </c>
      <c r="CO44" s="374"/>
      <c r="CP44" s="374"/>
      <c r="CQ44" s="374">
        <f>SUM(CS9:CS24)</f>
        <v>3375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10438</v>
      </c>
      <c r="D45" s="592"/>
      <c r="E45" s="593"/>
      <c r="F45" s="592">
        <f>SUM(G9:G24)</f>
        <v>6583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1333.0399999999936</v>
      </c>
      <c r="P45" s="592"/>
      <c r="Q45" s="593"/>
      <c r="R45" s="595"/>
      <c r="S45" s="596"/>
      <c r="T45" s="410"/>
      <c r="U45" s="363">
        <f>SUM(V9:V24)</f>
        <v>32496.240000000224</v>
      </c>
      <c r="V45" s="363"/>
      <c r="W45" s="364"/>
      <c r="X45" s="363">
        <f>SUM(Y9:Y24)</f>
        <v>70741.439999999478</v>
      </c>
      <c r="Y45" s="363"/>
      <c r="Z45" s="364"/>
      <c r="AA45" s="363">
        <f>SUM(AB9:AB24)</f>
        <v>32447.519999999553</v>
      </c>
      <c r="AB45" s="363"/>
      <c r="AC45" s="364"/>
      <c r="AD45" s="363">
        <f>SUM(AE9:AE24)</f>
        <v>76392.960000002757</v>
      </c>
      <c r="AE45" s="363"/>
      <c r="AF45" s="364"/>
      <c r="AG45" s="363">
        <f>SUM(AH9:AH24)</f>
        <v>47063.519999995828</v>
      </c>
      <c r="AH45" s="363"/>
      <c r="AI45" s="364"/>
      <c r="AJ45" s="363">
        <f>SUM(AK9:AK24)</f>
        <v>87647.279999997467</v>
      </c>
      <c r="AK45" s="363"/>
      <c r="AL45" s="364"/>
      <c r="AM45" s="363">
        <f>SUM(AN9:AN24)</f>
        <v>68305.440000001341</v>
      </c>
      <c r="AN45" s="363"/>
      <c r="AO45" s="364"/>
      <c r="AP45" s="363">
        <f>SUM(AQ9:AQ24)</f>
        <v>63823.199999999255</v>
      </c>
      <c r="AQ45" s="363"/>
      <c r="AR45" s="364"/>
      <c r="AS45" s="363">
        <f>SUM(AT9:AT24)</f>
        <v>49207.200000001118</v>
      </c>
      <c r="AT45" s="363"/>
      <c r="AU45" s="364"/>
      <c r="AV45" s="363">
        <f>SUM(AW9:AW24)</f>
        <v>83359.919999999925</v>
      </c>
      <c r="AW45" s="363"/>
      <c r="AX45" s="363"/>
      <c r="AY45" s="384"/>
      <c r="AZ45" s="364">
        <f>SUM(BA9:BA24)</f>
        <v>170000</v>
      </c>
      <c r="BA45" s="374"/>
      <c r="BB45" s="374"/>
      <c r="BC45" s="374">
        <f>SUM(BD9:BD24)</f>
        <v>368800</v>
      </c>
      <c r="BD45" s="374"/>
      <c r="BE45" s="374"/>
      <c r="BF45" s="374">
        <f>SUM(BG9:BG24)</f>
        <v>181600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1575</v>
      </c>
      <c r="CL45" s="374"/>
      <c r="CM45" s="374"/>
      <c r="CN45" s="374">
        <f>SUM(CO9:CO24)</f>
        <v>1731</v>
      </c>
      <c r="CO45" s="374"/>
      <c r="CP45" s="374"/>
      <c r="CQ45" s="374">
        <f>SUM(CR9:CR24)</f>
        <v>3375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611484.71999999695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611484.71999999695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2021-12-16T06:11:13Z</dcterms:modified>
</cp:coreProperties>
</file>