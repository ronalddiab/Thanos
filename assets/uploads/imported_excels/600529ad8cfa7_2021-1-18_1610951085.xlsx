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6D9480F5-7D17-4E77-9E75-AD13DF773B11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L20" i="31" l="1"/>
  <c r="I20" i="31"/>
  <c r="G20" i="31"/>
  <c r="L19" i="31" l="1"/>
  <c r="L18" i="31"/>
  <c r="I18" i="31"/>
  <c r="I19" i="31"/>
  <c r="G18" i="31"/>
  <c r="G19" i="31"/>
  <c r="L17" i="31" l="1"/>
  <c r="I17" i="31"/>
  <c r="G17" i="31"/>
  <c r="G16" i="31"/>
  <c r="L16" i="31"/>
  <c r="I16" i="31"/>
  <c r="L15" i="31" l="1"/>
  <c r="I15" i="31"/>
  <c r="G15" i="31"/>
  <c r="L14" i="31" l="1"/>
  <c r="I14" i="31"/>
  <c r="G14" i="31"/>
  <c r="L13" i="31" l="1"/>
  <c r="G13" i="31"/>
  <c r="I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<sst xmlns="http://schemas.openxmlformats.org/spreadsheetml/2006/main" count="65" uniqueCount="32">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</sst>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4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4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4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4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4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4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4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4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4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4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4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4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4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4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4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4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4">
        <f>'Jan 2021'!E13</f>
        <v>30121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23000</v>
      </c>
      <c r="J10" s="10">
        <v>3.61E-2</v>
      </c>
      <c r="K10" s="1">
        <f>'Jan 2021'!I13</f>
        <v>217</v>
      </c>
      <c r="L10" s="10">
        <v>0.75</v>
      </c>
      <c r="M10" s="10">
        <f>'Jan 2021'!L13</f>
        <v>52</v>
      </c>
      <c r="N10" s="10">
        <v>0.56299999999999994</v>
      </c>
      <c r="O10" s="14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4">
        <f>'Jan 2021'!E14</f>
        <v>29255</v>
      </c>
      <c r="F11" s="10">
        <v>2.9000000000000001E-2</v>
      </c>
      <c r="G11" s="1">
        <f>'Jan 2021'!J14</f>
        <v>2970</v>
      </c>
      <c r="H11" s="10">
        <v>0.112</v>
      </c>
      <c r="I11" s="1">
        <f>'Jan 2021'!G14*1000</f>
        <v>22000</v>
      </c>
      <c r="J11" s="10">
        <v>3.61E-2</v>
      </c>
      <c r="K11" s="1">
        <f>'Jan 2021'!I14</f>
        <v>243</v>
      </c>
      <c r="L11" s="10">
        <v>0.75</v>
      </c>
      <c r="M11" s="10">
        <f>'Jan 2021'!L14</f>
        <v>74</v>
      </c>
      <c r="N11" s="10">
        <v>0.56299999999999994</v>
      </c>
      <c r="O11" s="14">
        <f>'Jan 2021'!D14</f>
        <v>22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4">
        <f>'Jan 2021'!E15</f>
        <v>28656</v>
      </c>
      <c r="F12" s="10">
        <v>2.9000000000000001E-2</v>
      </c>
      <c r="G12" s="1">
        <f>'Jan 2021'!J15</f>
        <v>2970</v>
      </c>
      <c r="H12" s="10">
        <v>0.112</v>
      </c>
      <c r="I12" s="1">
        <f>'Jan 2021'!G15*1000</f>
        <v>19000</v>
      </c>
      <c r="J12" s="10">
        <v>3.61E-2</v>
      </c>
      <c r="K12" s="1">
        <f>'Jan 2021'!I15</f>
        <v>223</v>
      </c>
      <c r="L12" s="10">
        <v>0.75</v>
      </c>
      <c r="M12" s="10">
        <f>'Jan 2021'!L15</f>
        <v>73</v>
      </c>
      <c r="N12" s="10">
        <v>0.56299999999999994</v>
      </c>
      <c r="O12" s="14">
        <f>'Jan 2021'!D15</f>
        <v>29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4">
        <f>'Jan 2021'!E16</f>
        <v>26424</v>
      </c>
      <c r="F13" s="10">
        <v>2.9000000000000001E-2</v>
      </c>
      <c r="G13" s="1">
        <f>'Jan 2021'!J16</f>
        <v>2970</v>
      </c>
      <c r="H13" s="10">
        <v>0.112</v>
      </c>
      <c r="I13" s="1">
        <f>'Jan 2021'!G16*1000</f>
        <v>19000</v>
      </c>
      <c r="J13" s="10">
        <v>3.61E-2</v>
      </c>
      <c r="K13" s="1">
        <f>'Jan 2021'!I16</f>
        <v>303</v>
      </c>
      <c r="L13" s="10">
        <v>0.75</v>
      </c>
      <c r="M13" s="10">
        <f>'Jan 2021'!L16</f>
        <v>79</v>
      </c>
      <c r="N13" s="10">
        <v>0.56299999999999994</v>
      </c>
      <c r="O13" s="14">
        <f>'Jan 2021'!D16</f>
        <v>28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4">
        <f>'Jan 2021'!E17</f>
        <v>27793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13000</v>
      </c>
      <c r="J14" s="10">
        <v>3.61E-2</v>
      </c>
      <c r="K14" s="1">
        <f>'Jan 2021'!I17</f>
        <v>238</v>
      </c>
      <c r="L14" s="10">
        <v>0.75</v>
      </c>
      <c r="M14" s="10">
        <f>'Jan 2021'!L17</f>
        <v>42</v>
      </c>
      <c r="N14" s="10">
        <v>0.56299999999999994</v>
      </c>
      <c r="O14" s="14">
        <f>'Jan 2021'!D17</f>
        <v>27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4">
        <f>'Jan 2021'!E18</f>
        <v>28196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5000</v>
      </c>
      <c r="J15" s="10">
        <v>3.61E-2</v>
      </c>
      <c r="K15" s="1">
        <f>'Jan 2021'!I18</f>
        <v>256</v>
      </c>
      <c r="L15" s="10">
        <v>0.75</v>
      </c>
      <c r="M15" s="10">
        <f>'Jan 2021'!L18</f>
        <v>34</v>
      </c>
      <c r="N15" s="10">
        <v>0.56299999999999994</v>
      </c>
      <c r="O15" s="14">
        <f>'Jan 2021'!D18</f>
        <v>30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4">
        <f>'Jan 2021'!E19</f>
        <v>27777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22000</v>
      </c>
      <c r="J16" s="10">
        <v>3.61E-2</v>
      </c>
      <c r="K16" s="1">
        <f>'Jan 2021'!I19</f>
        <v>293</v>
      </c>
      <c r="L16" s="10">
        <v>0.75</v>
      </c>
      <c r="M16" s="10">
        <f>'Jan 2021'!L19</f>
        <v>105</v>
      </c>
      <c r="N16" s="10">
        <v>0.56299999999999994</v>
      </c>
      <c r="O16" s="14">
        <f>'Jan 2021'!D19</f>
        <v>40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4">
        <f>'Jan 2021'!E20</f>
        <v>27198</v>
      </c>
      <c r="F17" s="10">
        <v>2.9000000000000001E-2</v>
      </c>
      <c r="G17" s="1">
        <f>'Jan 2021'!J20</f>
        <v>0</v>
      </c>
      <c r="H17" s="10">
        <v>0.112</v>
      </c>
      <c r="I17" s="1">
        <f>'Jan 2021'!G20*1000</f>
        <v>41000</v>
      </c>
      <c r="J17" s="10">
        <v>3.61E-2</v>
      </c>
      <c r="K17" s="1">
        <f>'Jan 2021'!I20</f>
        <v>270</v>
      </c>
      <c r="L17" s="10">
        <v>0.75</v>
      </c>
      <c r="M17" s="10">
        <f>'Jan 2021'!L20</f>
        <v>0</v>
      </c>
      <c r="N17" s="10">
        <v>0.56299999999999994</v>
      </c>
      <c r="O17" s="14">
        <f>'Jan 2021'!D20</f>
        <v>21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4">
        <f>'Jan 2021'!E21</f>
        <v>25665</v>
      </c>
      <c r="F18" s="10">
        <v>2.9000000000000001E-2</v>
      </c>
      <c r="G18" s="1">
        <f>'Jan 2021'!J21</f>
        <v>2970</v>
      </c>
      <c r="H18" s="10">
        <v>0.112</v>
      </c>
      <c r="I18" s="1">
        <f>'Jan 2021'!G21*1000</f>
        <v>0</v>
      </c>
      <c r="J18" s="10">
        <v>3.61E-2</v>
      </c>
      <c r="K18" s="1">
        <f>'Jan 2021'!I21</f>
        <v>0</v>
      </c>
      <c r="L18" s="10">
        <v>0.75</v>
      </c>
      <c r="M18" s="10">
        <f>'Jan 2021'!L21</f>
        <v>0</v>
      </c>
      <c r="N18" s="10">
        <v>0.56299999999999994</v>
      </c>
      <c r="O18" s="14">
        <f>'Jan 2021'!D21</f>
        <v>20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4">
        <f>'Jan 2021'!E22</f>
        <v>0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4">
        <f>'Jan 2021'!D22</f>
        <v>0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4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4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4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4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4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4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4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4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4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4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4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4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4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4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4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4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4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4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4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4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4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4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4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4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4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4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L19" sqref="L19:L20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0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6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20" si="0">F11-F10</f>
        <v>23</v>
      </c>
      <c r="H10" s="7">
        <v>439377</v>
      </c>
      <c r="I10" s="3">
        <f t="shared" ref="I10:I20" si="1">H11-H10</f>
        <v>283</v>
      </c>
      <c r="J10" s="3">
        <v>2970</v>
      </c>
      <c r="K10" s="4">
        <v>269694</v>
      </c>
      <c r="L10" s="9">
        <f t="shared" ref="L10:L20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30121</v>
      </c>
      <c r="F13" s="30">
        <v>184023</v>
      </c>
      <c r="G13" s="8">
        <f t="shared" si="0"/>
        <v>23</v>
      </c>
      <c r="H13" s="16">
        <v>440193</v>
      </c>
      <c r="I13" s="3">
        <f t="shared" si="1"/>
        <v>217</v>
      </c>
      <c r="J13" s="3">
        <v>0</v>
      </c>
      <c r="K13" s="30">
        <v>269921</v>
      </c>
      <c r="L13" s="9">
        <f t="shared" si="2"/>
        <v>52</v>
      </c>
      <c r="N13" s="1"/>
    </row>
    <row r="14" spans="1:14" x14ac:dyDescent="0.2">
      <c r="B14" s="2">
        <v>10</v>
      </c>
      <c r="C14" s="11">
        <v>44206</v>
      </c>
      <c r="D14" s="7">
        <v>22</v>
      </c>
      <c r="E14" s="12">
        <v>29255</v>
      </c>
      <c r="F14" s="30">
        <v>184046</v>
      </c>
      <c r="G14" s="8">
        <f t="shared" si="0"/>
        <v>22</v>
      </c>
      <c r="H14" s="16">
        <v>440410</v>
      </c>
      <c r="I14" s="3">
        <f t="shared" si="1"/>
        <v>243</v>
      </c>
      <c r="J14" s="3">
        <v>2970</v>
      </c>
      <c r="K14" s="30">
        <v>269973</v>
      </c>
      <c r="L14" s="9">
        <f t="shared" si="2"/>
        <v>74</v>
      </c>
      <c r="N14" s="1"/>
    </row>
    <row r="15" spans="1:14" x14ac:dyDescent="0.2">
      <c r="B15" s="2">
        <v>11</v>
      </c>
      <c r="C15" s="11">
        <v>44207</v>
      </c>
      <c r="D15" s="7">
        <v>29</v>
      </c>
      <c r="E15" s="12">
        <v>28656</v>
      </c>
      <c r="F15" s="4">
        <v>184068</v>
      </c>
      <c r="G15" s="8">
        <f t="shared" si="0"/>
        <v>19</v>
      </c>
      <c r="H15" s="7">
        <v>440653</v>
      </c>
      <c r="I15" s="3">
        <f t="shared" si="1"/>
        <v>223</v>
      </c>
      <c r="J15" s="3">
        <v>2970</v>
      </c>
      <c r="K15" s="4">
        <v>270047</v>
      </c>
      <c r="L15" s="9">
        <f t="shared" si="2"/>
        <v>73</v>
      </c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>
        <v>28</v>
      </c>
      <c r="E16" s="12">
        <v>26424</v>
      </c>
      <c r="F16" s="4">
        <v>184087</v>
      </c>
      <c r="G16" s="8">
        <f t="shared" si="0"/>
        <v>19</v>
      </c>
      <c r="H16" s="7">
        <v>440876</v>
      </c>
      <c r="I16" s="3">
        <f t="shared" si="1"/>
        <v>303</v>
      </c>
      <c r="J16" s="3">
        <v>2970</v>
      </c>
      <c r="K16" s="4">
        <v>270120</v>
      </c>
      <c r="L16" s="9">
        <f t="shared" si="2"/>
        <v>79</v>
      </c>
      <c r="N16" s="1"/>
    </row>
    <row r="17" spans="1:14" x14ac:dyDescent="0.2">
      <c r="B17" s="2">
        <v>13</v>
      </c>
      <c r="C17" s="11">
        <v>44209</v>
      </c>
      <c r="D17" s="7">
        <v>27</v>
      </c>
      <c r="E17" s="12">
        <v>27793</v>
      </c>
      <c r="F17" s="4">
        <v>184106</v>
      </c>
      <c r="G17" s="8">
        <f t="shared" si="0"/>
        <v>13</v>
      </c>
      <c r="H17" s="7">
        <v>441179</v>
      </c>
      <c r="I17" s="3">
        <f t="shared" si="1"/>
        <v>238</v>
      </c>
      <c r="J17" s="3">
        <v>0</v>
      </c>
      <c r="K17" s="4">
        <v>270199</v>
      </c>
      <c r="L17" s="9">
        <f t="shared" si="2"/>
        <v>42</v>
      </c>
      <c r="N17" s="1"/>
    </row>
    <row r="18" spans="1:14" ht="13.5" customHeight="1" x14ac:dyDescent="0.2">
      <c r="B18" s="2">
        <v>14</v>
      </c>
      <c r="C18" s="11">
        <v>44210</v>
      </c>
      <c r="D18" s="7">
        <v>30</v>
      </c>
      <c r="E18" s="33">
        <v>28196</v>
      </c>
      <c r="F18" s="4">
        <v>184119</v>
      </c>
      <c r="G18" s="8">
        <f t="shared" si="0"/>
        <v>5</v>
      </c>
      <c r="H18" s="16">
        <v>441417</v>
      </c>
      <c r="I18" s="3">
        <f t="shared" si="1"/>
        <v>256</v>
      </c>
      <c r="J18" s="3">
        <v>0</v>
      </c>
      <c r="K18" s="4">
        <v>270241</v>
      </c>
      <c r="L18" s="9">
        <f t="shared" si="2"/>
        <v>34</v>
      </c>
      <c r="N18" s="1"/>
    </row>
    <row r="19" spans="1:14" x14ac:dyDescent="0.2">
      <c r="B19" s="2">
        <v>15</v>
      </c>
      <c r="C19" s="11">
        <v>44211</v>
      </c>
      <c r="D19" s="7">
        <v>40</v>
      </c>
      <c r="E19" s="33">
        <v>27777</v>
      </c>
      <c r="F19" s="4">
        <v>184124</v>
      </c>
      <c r="G19" s="8">
        <f t="shared" si="0"/>
        <v>22</v>
      </c>
      <c r="H19" s="4">
        <v>441673</v>
      </c>
      <c r="I19" s="3">
        <f t="shared" si="1"/>
        <v>293</v>
      </c>
      <c r="J19" s="3">
        <v>0</v>
      </c>
      <c r="K19" s="4">
        <v>270275</v>
      </c>
      <c r="L19" s="9">
        <f t="shared" si="2"/>
        <v>105</v>
      </c>
      <c r="N19" s="1"/>
    </row>
    <row r="20" spans="1:14" x14ac:dyDescent="0.2">
      <c r="A20" t="s">
        <v>28</v>
      </c>
      <c r="B20" s="2">
        <v>16</v>
      </c>
      <c r="C20" s="11">
        <v>44212</v>
      </c>
      <c r="D20" s="7">
        <v>21</v>
      </c>
      <c r="E20" s="33">
        <v>27198</v>
      </c>
      <c r="F20" s="4">
        <v>184146</v>
      </c>
      <c r="G20" s="8">
        <f t="shared" si="0"/>
        <v>41</v>
      </c>
      <c r="H20" s="4">
        <v>441966</v>
      </c>
      <c r="I20" s="3">
        <f t="shared" si="1"/>
        <v>270</v>
      </c>
      <c r="J20" s="3">
        <v>0</v>
      </c>
      <c r="K20" s="4">
        <v>270380</v>
      </c>
      <c r="L20" s="9">
        <f t="shared" si="2"/>
        <v>0</v>
      </c>
      <c r="N20" s="1"/>
    </row>
    <row r="21" spans="1:14" x14ac:dyDescent="0.2">
      <c r="B21" s="2">
        <v>17</v>
      </c>
      <c r="C21" s="11">
        <v>44213</v>
      </c>
      <c r="D21" s="7">
        <v>20</v>
      </c>
      <c r="E21" s="7">
        <v>25665</v>
      </c>
      <c r="F21" s="4">
        <v>184187</v>
      </c>
      <c r="G21" s="8"/>
      <c r="H21" s="4">
        <v>442236</v>
      </c>
      <c r="I21" s="3"/>
      <c r="J21" s="3">
        <v>2970</v>
      </c>
      <c r="K21" s="30">
        <v>270380</v>
      </c>
      <c r="L21" s="9"/>
      <c r="N21" s="1"/>
    </row>
    <row r="22" spans="1:14" x14ac:dyDescent="0.2">
      <c r="B22" s="2">
        <v>18</v>
      </c>
      <c r="C22" s="11">
        <v>44214</v>
      </c>
      <c r="D22" s="7"/>
      <c r="E22" s="7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44215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44217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44218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>
        <v>29</v>
      </c>
      <c r="C33" s="11">
        <v>44225</v>
      </c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ht="13.5" thickBot="1" x14ac:dyDescent="0.25">
      <c r="B34" s="22">
        <v>30</v>
      </c>
      <c r="C34" s="11">
        <v>44226</v>
      </c>
      <c r="D34" s="21"/>
      <c r="E34" s="3"/>
      <c r="F34" s="21"/>
      <c r="G34" s="8"/>
      <c r="H34" s="21"/>
      <c r="I34" s="3"/>
      <c r="J34" s="28"/>
      <c r="K34" s="31"/>
      <c r="L34" s="9"/>
      <c r="M34" s="15"/>
      <c r="N34" s="1"/>
    </row>
    <row r="35" spans="2:14" ht="13.5" thickBot="1" x14ac:dyDescent="0.25">
      <c r="B35" s="21">
        <v>31</v>
      </c>
      <c r="C35" s="11">
        <v>44227</v>
      </c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2021-01-18T06:08:19Z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