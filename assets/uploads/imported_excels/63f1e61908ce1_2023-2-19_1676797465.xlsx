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2\001-January 2022\"/>
    </mc:Choice>
  </mc:AlternateContent>
  <xr:revisionPtr revIDLastSave="0" documentId="13_ncr:1_{AAD171BE-4AE6-477E-BFD9-E5C3338AC61F}" xr6:coauthVersionLast="47" xr6:coauthVersionMax="47" xr10:uidLastSave="{00000000-0000-0000-0000-000000000000}"/>
  <bookViews>
    <workbookView xWindow="-120" yWindow="-120" windowWidth="29040" windowHeight="15840" tabRatio="433" xr2:uid="{00000000-000D-0000-FFFF-FFFF00000000}"/>
  </bookViews>
  <sheets>
    <sheet name="Sheet1" sheetId="1" r:id="rId1"/>
    <sheet name="Jan 2022" sheetId="3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E2" i="1" l="1"/>
  <c r="E3" i="1"/>
  <c r="E4" i="1"/>
  <c r="E5" i="1"/>
  <c r="E6" i="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I32" i="1"/>
  <c r="G6" i="31"/>
  <c r="L36" i="31" l="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L20" i="31"/>
  <c r="L21" i="31"/>
  <c r="L22" i="31"/>
  <c r="L23" i="31"/>
  <c r="L24" i="31"/>
  <c r="L25" i="31"/>
  <c r="L26" i="31"/>
  <c r="L27" i="31"/>
  <c r="L28" i="31"/>
  <c r="L29" i="31"/>
  <c r="L30" i="31"/>
  <c r="L31" i="31"/>
  <c r="L32" i="31"/>
  <c r="L33" i="31"/>
  <c r="L34" i="31"/>
  <c r="L35" i="31"/>
  <c r="L6" i="31"/>
  <c r="K32" i="1" l="1"/>
  <c r="I35" i="31"/>
  <c r="M17" i="1"/>
  <c r="M23" i="1"/>
  <c r="M29" i="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M11" i="1"/>
  <c r="M14" i="1"/>
  <c r="M10" i="1"/>
  <c r="I18" i="31"/>
  <c r="I19" i="31"/>
  <c r="I20" i="31"/>
  <c r="I14" i="31"/>
  <c r="I15" i="31"/>
  <c r="I16" i="31"/>
  <c r="I17" i="31"/>
  <c r="M6" i="1"/>
  <c r="M9" i="1"/>
  <c r="I10" i="31"/>
  <c r="I11" i="31"/>
  <c r="I12" i="31"/>
  <c r="I13" i="31"/>
  <c r="I7" i="31"/>
  <c r="I8" i="31"/>
  <c r="I9" i="31"/>
  <c r="I6" i="31"/>
  <c r="M3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M2" i="1"/>
  <c r="O2" i="1"/>
  <c r="O3" i="1"/>
  <c r="M4" i="1"/>
  <c r="O4" i="1"/>
  <c r="M5" i="1"/>
  <c r="O5" i="1"/>
  <c r="O6" i="1"/>
  <c r="M7" i="1"/>
  <c r="O7" i="1"/>
  <c r="M8" i="1"/>
  <c r="O8" i="1"/>
  <c r="O9" i="1"/>
  <c r="O10" i="1"/>
  <c r="O11" i="1"/>
  <c r="M12" i="1"/>
  <c r="O12" i="1"/>
  <c r="M13" i="1"/>
  <c r="O13" i="1"/>
  <c r="O14" i="1"/>
  <c r="M15" i="1"/>
  <c r="O15" i="1"/>
  <c r="M16" i="1"/>
  <c r="O16" i="1"/>
  <c r="O17" i="1"/>
  <c r="M18" i="1"/>
  <c r="O18" i="1"/>
  <c r="M19" i="1"/>
  <c r="O19" i="1"/>
  <c r="M20" i="1"/>
  <c r="O20" i="1"/>
  <c r="M21" i="1"/>
  <c r="O21" i="1"/>
  <c r="M22" i="1"/>
  <c r="O22" i="1"/>
  <c r="O23" i="1"/>
  <c r="M24" i="1"/>
  <c r="O24" i="1"/>
  <c r="M25" i="1"/>
  <c r="O25" i="1"/>
  <c r="M26" i="1"/>
  <c r="O26" i="1"/>
  <c r="M27" i="1"/>
  <c r="O27" i="1"/>
  <c r="M28" i="1"/>
  <c r="O28" i="1"/>
  <c r="O29" i="1"/>
  <c r="M30" i="1"/>
  <c r="O30" i="1"/>
  <c r="M31" i="1"/>
  <c r="O31" i="1"/>
  <c r="E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<sst xmlns="http://schemas.openxmlformats.org/spreadsheetml/2006/main" count="66" uniqueCount="32">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</sst>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[$-409]dd\-mmm\-yy;@"/>
    <numFmt numFmtId="166" formatCode="0.0000"/>
  </numFmts>
  <fonts count="7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7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3" fontId="0" fillId="0" borderId="0" xfId="1" applyFont="1"/>
    <xf numFmtId="43" fontId="0" fillId="0" borderId="7" xfId="1" applyFont="1" applyFill="1" applyBorder="1" applyAlignment="1">
      <alignment horizontal="center"/>
    </xf>
    <xf numFmtId="43" fontId="0" fillId="2" borderId="7" xfId="1" applyFont="1" applyFill="1" applyBorder="1" applyAlignment="1">
      <alignment horizontal="center"/>
    </xf>
    <xf numFmtId="43" fontId="0" fillId="0" borderId="15" xfId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43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zoomScale="111" zoomScaleNormal="85" workbookViewId="0">
      <selection activeCell="J36" sqref="J36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2022</v>
      </c>
      <c r="E2" s="14">
        <f>'Jan 2022'!E6</f>
        <v>37500.554321109965</v>
      </c>
      <c r="F2" s="10">
        <v>2.8942277999999998E-2</v>
      </c>
      <c r="G2" s="1">
        <f>'Jan 2022'!J6</f>
        <v>2970</v>
      </c>
      <c r="H2" s="10">
        <v>0.11225789999999999</v>
      </c>
      <c r="I2" s="1">
        <f>'Jan 2022'!G6*1000</f>
        <v>37974.200000000004</v>
      </c>
      <c r="J2" s="10">
        <v>4.0116600000000002E-2</v>
      </c>
      <c r="K2" s="1">
        <f>'Jan 2022'!I6</f>
        <v>562</v>
      </c>
      <c r="L2" s="10">
        <v>0.86778739999999999</v>
      </c>
      <c r="M2" s="10">
        <f>'Jan 2022'!L6</f>
        <v>0</v>
      </c>
      <c r="N2" s="10">
        <v>0.56299999999999994</v>
      </c>
      <c r="O2" s="14">
        <f>'Jan 2022'!D6</f>
        <v>99</v>
      </c>
    </row>
    <row r="3" spans="1:17" x14ac:dyDescent="0.2">
      <c r="A3" t="s">
        <v>19</v>
      </c>
      <c r="B3">
        <f>B2+1</f>
        <v>2</v>
      </c>
      <c r="C3" s="5">
        <v>1</v>
      </c>
      <c r="D3">
        <v>2022</v>
      </c>
      <c r="E3" s="14">
        <f>'Jan 2022'!E7</f>
        <v>37507.064645635488</v>
      </c>
      <c r="F3" s="10">
        <v>2.8942277999999998E-2</v>
      </c>
      <c r="G3" s="1">
        <f>'Jan 2022'!J7</f>
        <v>2970</v>
      </c>
      <c r="H3" s="10">
        <v>0.11225789999999999</v>
      </c>
      <c r="I3" s="1">
        <f>'Jan 2022'!G7*1000</f>
        <v>36974.200000000004</v>
      </c>
      <c r="J3" s="10">
        <v>4.0116600000000002E-2</v>
      </c>
      <c r="K3" s="1">
        <f>'Jan 2022'!I7</f>
        <v>450</v>
      </c>
      <c r="L3" s="10">
        <v>0.86778739999999999</v>
      </c>
      <c r="M3" s="10">
        <f>'Jan 2022'!L7</f>
        <v>0</v>
      </c>
      <c r="N3" s="10">
        <v>0.56299999999999994</v>
      </c>
      <c r="O3" s="14">
        <f>'Jan 2022'!D7</f>
        <v>106</v>
      </c>
    </row>
    <row r="4" spans="1:17" x14ac:dyDescent="0.2">
      <c r="A4" t="s">
        <v>19</v>
      </c>
      <c r="B4">
        <f t="shared" ref="B4:B29" si="0">B3+1</f>
        <v>3</v>
      </c>
      <c r="C4" s="5">
        <v>1</v>
      </c>
      <c r="D4">
        <v>2022</v>
      </c>
      <c r="E4" s="14">
        <f>'Jan 2022'!E8</f>
        <v>38706.049412419627</v>
      </c>
      <c r="F4" s="10">
        <v>2.8942277999999998E-2</v>
      </c>
      <c r="G4" s="1">
        <f>'Jan 2022'!J8</f>
        <v>2970</v>
      </c>
      <c r="H4" s="10">
        <v>0.11225789999999999</v>
      </c>
      <c r="I4" s="1">
        <f>'Jan 2022'!G8*1000</f>
        <v>27974.2</v>
      </c>
      <c r="J4" s="10">
        <v>4.0116600000000002E-2</v>
      </c>
      <c r="K4" s="1">
        <f>'Jan 2022'!I8</f>
        <v>415</v>
      </c>
      <c r="L4" s="10">
        <v>0.86778739999999999</v>
      </c>
      <c r="M4" s="10">
        <f>'Jan 2022'!L8</f>
        <v>0</v>
      </c>
      <c r="N4" s="10">
        <v>0.56299999999999994</v>
      </c>
      <c r="O4" s="14">
        <f>'Jan 2022'!D8</f>
        <v>102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2022</v>
      </c>
      <c r="E5" s="14">
        <f>'Jan 2022'!E9</f>
        <v>38218.860127092856</v>
      </c>
      <c r="F5" s="10">
        <v>2.8942277999999998E-2</v>
      </c>
      <c r="G5" s="1">
        <f>'Jan 2022'!J9</f>
        <v>2970</v>
      </c>
      <c r="H5" s="10">
        <v>0.11225789999999999</v>
      </c>
      <c r="I5" s="1">
        <f>'Jan 2022'!G9*1000</f>
        <v>23974.2</v>
      </c>
      <c r="J5" s="10">
        <v>4.0116600000000002E-2</v>
      </c>
      <c r="K5" s="1">
        <f>'Jan 2022'!I9</f>
        <v>470</v>
      </c>
      <c r="L5" s="10">
        <v>0.86778739999999999</v>
      </c>
      <c r="M5" s="10">
        <f>'Jan 2022'!L9</f>
        <v>0</v>
      </c>
      <c r="N5" s="10">
        <v>0.56299999999999994</v>
      </c>
      <c r="O5" s="14">
        <f>'Jan 2022'!D9</f>
        <v>95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2022</v>
      </c>
      <c r="E6" s="14">
        <f>'Jan 2022'!E10</f>
        <v>38240.561208844607</v>
      </c>
      <c r="F6" s="10">
        <v>2.8942277999999998E-2</v>
      </c>
      <c r="G6" s="1">
        <f>'Jan 2022'!J10</f>
        <v>2970</v>
      </c>
      <c r="H6" s="10">
        <v>0.11225789999999999</v>
      </c>
      <c r="I6" s="1">
        <f>'Jan 2022'!G10*1000</f>
        <v>23974.2</v>
      </c>
      <c r="J6" s="10">
        <v>4.0116600000000002E-2</v>
      </c>
      <c r="K6" s="1">
        <f>'Jan 2022'!I10</f>
        <v>414</v>
      </c>
      <c r="L6" s="10">
        <v>0.86778739999999999</v>
      </c>
      <c r="M6" s="10">
        <f>'Jan 2022'!L10</f>
        <v>0</v>
      </c>
      <c r="N6" s="10">
        <v>0.56299999999999994</v>
      </c>
      <c r="O6" s="14">
        <f>'Jan 2022'!D10</f>
        <v>96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2022</v>
      </c>
      <c r="E7" s="14">
        <f>'Jan 2022'!E11</f>
        <v>36417.670341697682</v>
      </c>
      <c r="F7" s="10">
        <v>2.8942277999999998E-2</v>
      </c>
      <c r="G7" s="1">
        <f>'Jan 2022'!J11</f>
        <v>2970</v>
      </c>
      <c r="H7" s="10">
        <v>0.11225789999999999</v>
      </c>
      <c r="I7" s="1">
        <f>'Jan 2022'!G11*1000</f>
        <v>22974.2</v>
      </c>
      <c r="J7" s="10">
        <v>4.0116600000000002E-2</v>
      </c>
      <c r="K7" s="1">
        <f>'Jan 2022'!I11</f>
        <v>411</v>
      </c>
      <c r="L7" s="10">
        <v>0.86778739999999999</v>
      </c>
      <c r="M7" s="10">
        <f>'Jan 2022'!L11</f>
        <v>0</v>
      </c>
      <c r="N7" s="10">
        <v>0.56299999999999994</v>
      </c>
      <c r="O7" s="14">
        <f>'Jan 2022'!D11</f>
        <v>114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2022</v>
      </c>
      <c r="E8" s="14">
        <f>'Jan 2022'!E12</f>
        <v>38825.40536205424</v>
      </c>
      <c r="F8" s="10">
        <v>2.8942277999999998E-2</v>
      </c>
      <c r="G8" s="1">
        <f>'Jan 2022'!J12</f>
        <v>0</v>
      </c>
      <c r="H8" s="10">
        <v>0.11225789999999999</v>
      </c>
      <c r="I8" s="1">
        <f>'Jan 2022'!G12*1000</f>
        <v>26974.2</v>
      </c>
      <c r="J8" s="10">
        <v>4.0116600000000002E-2</v>
      </c>
      <c r="K8" s="1">
        <f>'Jan 2022'!I12</f>
        <v>464</v>
      </c>
      <c r="L8" s="10">
        <v>0.86778739999999999</v>
      </c>
      <c r="M8" s="10">
        <f>'Jan 2022'!L12</f>
        <v>0</v>
      </c>
      <c r="N8" s="10">
        <v>0.56299999999999994</v>
      </c>
      <c r="O8" s="14">
        <f>'Jan 2022'!D12</f>
        <v>155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2022</v>
      </c>
      <c r="E9" s="14">
        <f>'Jan 2022'!E13</f>
        <v>37500.554321109965</v>
      </c>
      <c r="F9" s="10">
        <v>2.8942277999999998E-2</v>
      </c>
      <c r="G9" s="1">
        <f>'Jan 2022'!J13</f>
        <v>2970</v>
      </c>
      <c r="H9" s="10">
        <v>0.11225789999999999</v>
      </c>
      <c r="I9" s="1">
        <f>'Jan 2022'!G13*1000</f>
        <v>25974.2</v>
      </c>
      <c r="J9" s="10">
        <v>4.0116600000000002E-2</v>
      </c>
      <c r="K9" s="1">
        <f>'Jan 2022'!I13</f>
        <v>464</v>
      </c>
      <c r="L9" s="10">
        <v>0.86778739999999999</v>
      </c>
      <c r="M9" s="10">
        <f>'Jan 2022'!L13</f>
        <v>0</v>
      </c>
      <c r="N9" s="10">
        <v>0.56299999999999994</v>
      </c>
      <c r="O9" s="14">
        <f>'Jan 2022'!D13</f>
        <v>109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2022</v>
      </c>
      <c r="E10" s="14">
        <f>'Jan 2022'!E14</f>
        <v>37676.333083299134</v>
      </c>
      <c r="F10" s="10">
        <v>2.8942277999999998E-2</v>
      </c>
      <c r="G10" s="1">
        <f>'Jan 2022'!J14</f>
        <v>0</v>
      </c>
      <c r="H10" s="10">
        <v>0.11225789999999999</v>
      </c>
      <c r="I10" s="1">
        <f>'Jan 2022'!G14*1000</f>
        <v>26974.2</v>
      </c>
      <c r="J10" s="10">
        <v>4.0116600000000002E-2</v>
      </c>
      <c r="K10" s="1">
        <f>'Jan 2022'!I14</f>
        <v>463</v>
      </c>
      <c r="L10" s="10">
        <v>0.86778739999999999</v>
      </c>
      <c r="M10" s="10">
        <f>'Jan 2022'!L14</f>
        <v>65</v>
      </c>
      <c r="N10" s="10">
        <v>0.56299999999999994</v>
      </c>
      <c r="O10" s="14">
        <f>'Jan 2022'!D14</f>
        <v>113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2022</v>
      </c>
      <c r="E11" s="14">
        <f>'Jan 2022'!E15</f>
        <v>38444.551377311051</v>
      </c>
      <c r="F11" s="10">
        <v>2.8942277999999998E-2</v>
      </c>
      <c r="G11" s="1">
        <f>'Jan 2022'!J15</f>
        <v>2970</v>
      </c>
      <c r="H11" s="10">
        <v>0.11225789999999999</v>
      </c>
      <c r="I11" s="1">
        <f>'Jan 2022'!G15*1000</f>
        <v>24974.2</v>
      </c>
      <c r="J11" s="10">
        <v>4.0116600000000002E-2</v>
      </c>
      <c r="K11" s="1">
        <f>'Jan 2022'!I15</f>
        <v>464</v>
      </c>
      <c r="L11" s="10">
        <v>0.86778739999999999</v>
      </c>
      <c r="M11" s="10">
        <f>'Jan 2022'!L15</f>
        <v>34</v>
      </c>
      <c r="N11" s="10">
        <v>0.56299999999999994</v>
      </c>
      <c r="O11" s="14">
        <f>'Jan 2022'!D15</f>
        <v>111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2022</v>
      </c>
      <c r="E12" s="14">
        <f>'Jan 2022'!E16</f>
        <v>39059.777044973132</v>
      </c>
      <c r="F12" s="10">
        <v>2.8942277999999998E-2</v>
      </c>
      <c r="G12" s="1">
        <f>'Jan 2022'!J16</f>
        <v>0</v>
      </c>
      <c r="H12" s="10">
        <v>0.11225789999999999</v>
      </c>
      <c r="I12" s="1">
        <f>'Jan 2022'!G16*1000</f>
        <v>26974.2</v>
      </c>
      <c r="J12" s="10">
        <v>4.0116600000000002E-2</v>
      </c>
      <c r="K12" s="1">
        <f>'Jan 2022'!I16</f>
        <v>411</v>
      </c>
      <c r="L12" s="10">
        <v>0.86778739999999999</v>
      </c>
      <c r="M12" s="10">
        <f>'Jan 2022'!L16</f>
        <v>29</v>
      </c>
      <c r="N12" s="10">
        <v>0.56299999999999994</v>
      </c>
      <c r="O12" s="14">
        <f>'Jan 2022'!D16</f>
        <v>116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2022</v>
      </c>
      <c r="E13" s="14">
        <f>'Jan 2022'!E17</f>
        <v>39880.077935189249</v>
      </c>
      <c r="F13" s="10">
        <v>2.8942277999999998E-2</v>
      </c>
      <c r="G13" s="1">
        <f>'Jan 2022'!J17</f>
        <v>2970</v>
      </c>
      <c r="H13" s="10">
        <v>0.11225789999999999</v>
      </c>
      <c r="I13" s="1">
        <f>'Jan 2022'!G17*1000</f>
        <v>28974.2</v>
      </c>
      <c r="J13" s="10">
        <v>4.0116600000000002E-2</v>
      </c>
      <c r="K13" s="1">
        <f>'Jan 2022'!I17</f>
        <v>414</v>
      </c>
      <c r="L13" s="10">
        <v>0.86778739999999999</v>
      </c>
      <c r="M13" s="10">
        <f>'Jan 2022'!L17</f>
        <v>58</v>
      </c>
      <c r="N13" s="10">
        <v>0.56299999999999994</v>
      </c>
      <c r="O13" s="14">
        <f>'Jan 2022'!D17</f>
        <v>137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2022</v>
      </c>
      <c r="E14" s="14">
        <f>'Jan 2022'!E18</f>
        <v>38433.700836435171</v>
      </c>
      <c r="F14" s="10">
        <v>2.8942277999999998E-2</v>
      </c>
      <c r="G14" s="1">
        <f>'Jan 2022'!J18</f>
        <v>2970</v>
      </c>
      <c r="H14" s="10">
        <v>0.11225789999999999</v>
      </c>
      <c r="I14" s="1">
        <f>'Jan 2022'!G18*1000</f>
        <v>29974.2</v>
      </c>
      <c r="J14" s="10">
        <v>4.0116600000000002E-2</v>
      </c>
      <c r="K14" s="1">
        <f>'Jan 2022'!I18</f>
        <v>398</v>
      </c>
      <c r="L14" s="10">
        <v>0.86778739999999999</v>
      </c>
      <c r="M14" s="10">
        <f>'Jan 2022'!L18</f>
        <v>55</v>
      </c>
      <c r="N14" s="10">
        <v>0.56299999999999994</v>
      </c>
      <c r="O14" s="14">
        <f>'Jan 2022'!D18</f>
        <v>136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2022</v>
      </c>
      <c r="E15" s="14">
        <f>'Jan 2022'!E19</f>
        <v>39641.366035920008</v>
      </c>
      <c r="F15" s="10">
        <v>2.8942277999999998E-2</v>
      </c>
      <c r="G15" s="1">
        <f>'Jan 2022'!J19</f>
        <v>0</v>
      </c>
      <c r="H15" s="10">
        <v>0.11225789999999999</v>
      </c>
      <c r="I15" s="1">
        <f>'Jan 2022'!G19*1000</f>
        <v>32974.200000000004</v>
      </c>
      <c r="J15" s="10">
        <v>4.0116600000000002E-2</v>
      </c>
      <c r="K15" s="1">
        <f>'Jan 2022'!I19</f>
        <v>420</v>
      </c>
      <c r="L15" s="10">
        <v>0.86778739999999999</v>
      </c>
      <c r="M15" s="10">
        <f>'Jan 2022'!L19</f>
        <v>77</v>
      </c>
      <c r="N15" s="10">
        <v>0.56299999999999994</v>
      </c>
      <c r="O15" s="14">
        <f>'Jan 2022'!D18</f>
        <v>136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2022</v>
      </c>
      <c r="E16" s="14">
        <f>'Jan 2022'!E20</f>
        <v>39863.802123875437</v>
      </c>
      <c r="F16" s="10">
        <v>2.8942277999999998E-2</v>
      </c>
      <c r="G16" s="1">
        <f>'Jan 2022'!J20</f>
        <v>2970</v>
      </c>
      <c r="H16" s="10">
        <v>0.11225789999999999</v>
      </c>
      <c r="I16" s="1">
        <f>'Jan 2022'!G20*1000</f>
        <v>31974.2</v>
      </c>
      <c r="J16" s="10">
        <v>4.0116600000000002E-2</v>
      </c>
      <c r="K16" s="1">
        <f>'Jan 2022'!I20</f>
        <v>457</v>
      </c>
      <c r="L16" s="10">
        <v>0.86778739999999999</v>
      </c>
      <c r="M16" s="10">
        <f>'Jan 2022'!L20</f>
        <v>0</v>
      </c>
      <c r="N16" s="10">
        <v>0.56299999999999994</v>
      </c>
      <c r="O16" s="14">
        <f>'Jan 2022'!D19</f>
        <v>157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2022</v>
      </c>
      <c r="E17" s="14">
        <f>'Jan 2022'!E21</f>
        <v>36301.569554325826</v>
      </c>
      <c r="F17" s="10">
        <v>2.8942277999999998E-2</v>
      </c>
      <c r="G17" s="1">
        <f>'Jan 2022'!J21</f>
        <v>2970</v>
      </c>
      <c r="H17" s="10">
        <v>0.11225789999999999</v>
      </c>
      <c r="I17" s="1">
        <f>'Jan 2022'!G21*1000</f>
        <v>30974.2</v>
      </c>
      <c r="J17" s="10">
        <v>4.0116600000000002E-2</v>
      </c>
      <c r="K17" s="1">
        <f>'Jan 2022'!I21</f>
        <v>456</v>
      </c>
      <c r="L17" s="10">
        <v>0.86778739999999999</v>
      </c>
      <c r="M17" s="10">
        <f>'Jan 2022'!L21</f>
        <v>0</v>
      </c>
      <c r="N17" s="10">
        <v>0.56299999999999994</v>
      </c>
      <c r="O17" s="14">
        <f>'Jan 2022'!D21</f>
        <v>97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2022</v>
      </c>
      <c r="E18" s="14">
        <f>'Jan 2022'!E22</f>
        <v>35216.515466738376</v>
      </c>
      <c r="F18" s="10">
        <v>2.8942277999999998E-2</v>
      </c>
      <c r="G18" s="1">
        <f>'Jan 2022'!J22</f>
        <v>2970</v>
      </c>
      <c r="H18" s="10">
        <v>0.11225789999999999</v>
      </c>
      <c r="I18" s="1">
        <f>'Jan 2022'!G22*1000</f>
        <v>33974.200000000004</v>
      </c>
      <c r="J18" s="10">
        <v>4.0116600000000002E-2</v>
      </c>
      <c r="K18" s="1">
        <f>'Jan 2022'!I22</f>
        <v>387</v>
      </c>
      <c r="L18" s="10">
        <v>0.86778739999999999</v>
      </c>
      <c r="M18" s="10">
        <f>'Jan 2022'!L22</f>
        <v>0</v>
      </c>
      <c r="N18" s="10">
        <v>0.56299999999999994</v>
      </c>
      <c r="O18" s="14">
        <f>'Jan 2022'!D22</f>
        <v>75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2022</v>
      </c>
      <c r="E19" s="14">
        <f>'Jan 2022'!E23</f>
        <v>36422.010558048038</v>
      </c>
      <c r="F19" s="10">
        <v>2.8942277999999998E-2</v>
      </c>
      <c r="G19" s="1">
        <f>'Jan 2022'!J23</f>
        <v>0</v>
      </c>
      <c r="H19" s="10">
        <v>0.11225789999999999</v>
      </c>
      <c r="I19" s="1">
        <f>'Jan 2022'!G23*1000</f>
        <v>25974.2</v>
      </c>
      <c r="J19" s="10">
        <v>4.0116600000000002E-2</v>
      </c>
      <c r="K19" s="1">
        <f>'Jan 2022'!I23</f>
        <v>338</v>
      </c>
      <c r="L19" s="10">
        <v>0.86778739999999999</v>
      </c>
      <c r="M19" s="10">
        <f>'Jan 2022'!L23</f>
        <v>0</v>
      </c>
      <c r="N19" s="10">
        <v>0.56299999999999994</v>
      </c>
      <c r="O19" s="14">
        <f>'Jan 2022'!D23</f>
        <v>74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2022</v>
      </c>
      <c r="E20" s="14">
        <f>'Jan 2022'!E24</f>
        <v>37522.255402861716</v>
      </c>
      <c r="F20" s="10">
        <v>2.8942277999999998E-2</v>
      </c>
      <c r="G20" s="1">
        <f>'Jan 2022'!J24</f>
        <v>2970</v>
      </c>
      <c r="H20" s="10">
        <v>0.11225789999999999</v>
      </c>
      <c r="I20" s="1">
        <f>'Jan 2022'!G24*1000</f>
        <v>23974.2</v>
      </c>
      <c r="J20" s="10">
        <v>4.0116600000000002E-2</v>
      </c>
      <c r="K20" s="1">
        <f>'Jan 2022'!I24</f>
        <v>404</v>
      </c>
      <c r="L20" s="10">
        <v>0.86778739999999999</v>
      </c>
      <c r="M20" s="10">
        <f>'Jan 2022'!L24</f>
        <v>0</v>
      </c>
      <c r="N20" s="10">
        <v>0.56299999999999994</v>
      </c>
      <c r="O20" s="14">
        <f>'Jan 2022'!D24</f>
        <v>90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2022</v>
      </c>
      <c r="E21" s="14">
        <f>'Jan 2022'!E25</f>
        <v>36085.643790895927</v>
      </c>
      <c r="F21" s="10">
        <v>2.8942277999999998E-2</v>
      </c>
      <c r="G21" s="1">
        <f>'Jan 2022'!J25</f>
        <v>2970</v>
      </c>
      <c r="H21" s="10">
        <v>0.11225789999999999</v>
      </c>
      <c r="I21" s="1">
        <f>'Jan 2022'!G25*1000</f>
        <v>24974.2</v>
      </c>
      <c r="J21" s="10">
        <v>4.0116600000000002E-2</v>
      </c>
      <c r="K21" s="1">
        <f>'Jan 2022'!I25</f>
        <v>370</v>
      </c>
      <c r="L21" s="10">
        <v>0.86778739999999999</v>
      </c>
      <c r="M21" s="10">
        <f>'Jan 2022'!L25</f>
        <v>0</v>
      </c>
      <c r="N21" s="10">
        <v>0.56299999999999994</v>
      </c>
      <c r="O21" s="14">
        <f>'Jan 2022'!D25</f>
        <v>109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2022</v>
      </c>
      <c r="E22" s="14">
        <f>'Jan 2022'!E26</f>
        <v>35786.168862721788</v>
      </c>
      <c r="F22" s="10">
        <v>2.8942277999999998E-2</v>
      </c>
      <c r="G22" s="1">
        <f>'Jan 2022'!J26</f>
        <v>2970</v>
      </c>
      <c r="H22" s="10">
        <v>0.11225789999999999</v>
      </c>
      <c r="I22" s="1">
        <f>'Jan 2022'!G26*1000</f>
        <v>20974.2</v>
      </c>
      <c r="J22" s="10">
        <v>4.0116600000000002E-2</v>
      </c>
      <c r="K22" s="1">
        <f>'Jan 2022'!I26</f>
        <v>455</v>
      </c>
      <c r="L22" s="10">
        <v>0.86778739999999999</v>
      </c>
      <c r="M22" s="10">
        <f>'Jan 2022'!L26</f>
        <v>0</v>
      </c>
      <c r="N22" s="10">
        <v>0.56299999999999994</v>
      </c>
      <c r="O22" s="14">
        <f>'Jan 2022'!D26</f>
        <v>118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2022</v>
      </c>
      <c r="E23" s="14">
        <f>'Jan 2022'!E27</f>
        <v>36296.144283887887</v>
      </c>
      <c r="F23" s="10">
        <v>2.8942277999999998E-2</v>
      </c>
      <c r="G23" s="1">
        <f>'Jan 2022'!J27</f>
        <v>2970</v>
      </c>
      <c r="H23" s="10">
        <v>0.11225789999999999</v>
      </c>
      <c r="I23" s="1">
        <f>'Jan 2022'!G27*1000</f>
        <v>18974.2</v>
      </c>
      <c r="J23" s="10">
        <v>4.0116600000000002E-2</v>
      </c>
      <c r="K23" s="1">
        <f>'Jan 2022'!I27</f>
        <v>390</v>
      </c>
      <c r="L23" s="10">
        <v>0.86778739999999999</v>
      </c>
      <c r="M23" s="10">
        <f>'Jan 2022'!L27</f>
        <v>0</v>
      </c>
      <c r="N23" s="10">
        <v>0.56299999999999994</v>
      </c>
      <c r="O23" s="14">
        <f>'Jan 2022'!D27</f>
        <v>73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2022</v>
      </c>
      <c r="E24" s="14">
        <f>'Jan 2022'!E28</f>
        <v>34842.171806520702</v>
      </c>
      <c r="F24" s="10">
        <v>2.8942277999999998E-2</v>
      </c>
      <c r="G24" s="1">
        <f>'Jan 2022'!J28</f>
        <v>2970</v>
      </c>
      <c r="H24" s="10">
        <v>0.11225789999999999</v>
      </c>
      <c r="I24" s="1">
        <f>'Jan 2022'!G28*1000</f>
        <v>18974.2</v>
      </c>
      <c r="J24" s="10">
        <v>4.0116600000000002E-2</v>
      </c>
      <c r="K24" s="1">
        <f>'Jan 2022'!I28</f>
        <v>419</v>
      </c>
      <c r="L24" s="10">
        <v>0.86778739999999999</v>
      </c>
      <c r="M24" s="10">
        <f>'Jan 2022'!L28</f>
        <v>31</v>
      </c>
      <c r="N24" s="10">
        <v>0.56299999999999994</v>
      </c>
      <c r="O24" s="14">
        <f>'Jan 2022'!D28</f>
        <v>70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2022</v>
      </c>
      <c r="E25" s="14">
        <f>'Jan 2022'!E29</f>
        <v>36231.04103863264</v>
      </c>
      <c r="F25" s="10">
        <v>2.8942277999999998E-2</v>
      </c>
      <c r="G25" s="1">
        <f>'Jan 2022'!J29</f>
        <v>2970</v>
      </c>
      <c r="H25" s="10">
        <v>0.11225789999999999</v>
      </c>
      <c r="I25" s="1">
        <f>'Jan 2022'!G29*1000</f>
        <v>22974.2</v>
      </c>
      <c r="J25" s="10">
        <v>4.0116600000000002E-2</v>
      </c>
      <c r="K25" s="1">
        <f>'Jan 2022'!I29</f>
        <v>258</v>
      </c>
      <c r="L25" s="10">
        <v>0.86778739999999999</v>
      </c>
      <c r="M25" s="10">
        <f>'Jan 2022'!L29</f>
        <v>65</v>
      </c>
      <c r="N25" s="10">
        <v>0.56299999999999994</v>
      </c>
      <c r="O25" s="14">
        <f>'Jan 2022'!D29</f>
        <v>84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2022</v>
      </c>
      <c r="E26" s="14">
        <f>'Jan 2022'!E30</f>
        <v>35551.797179802896</v>
      </c>
      <c r="F26" s="10">
        <v>2.8942277999999998E-2</v>
      </c>
      <c r="G26" s="1">
        <f>'Jan 2022'!J30</f>
        <v>2970</v>
      </c>
      <c r="H26" s="10">
        <v>0.11225789999999999</v>
      </c>
      <c r="I26" s="1">
        <f>'Jan 2022'!G30*1000</f>
        <v>22974.2</v>
      </c>
      <c r="J26" s="10">
        <v>4.0116600000000002E-2</v>
      </c>
      <c r="K26" s="1">
        <f>'Jan 2022'!I30</f>
        <v>301</v>
      </c>
      <c r="L26" s="10">
        <v>0.86778739999999999</v>
      </c>
      <c r="M26" s="10">
        <f>'Jan 2022'!L30</f>
        <v>103</v>
      </c>
      <c r="N26" s="10">
        <v>0.56299999999999994</v>
      </c>
      <c r="O26" s="14">
        <f>'Jan 2022'!D30</f>
        <v>69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2022</v>
      </c>
      <c r="E27" s="14">
        <f>'Jan 2022'!E31</f>
        <v>34360.407791631871</v>
      </c>
      <c r="F27" s="10">
        <v>2.8942277999999998E-2</v>
      </c>
      <c r="G27" s="1">
        <f>'Jan 2022'!J31</f>
        <v>2970</v>
      </c>
      <c r="H27" s="10">
        <v>0.11225789999999999</v>
      </c>
      <c r="I27" s="1">
        <f>'Jan 2022'!G31*1000</f>
        <v>28974.2</v>
      </c>
      <c r="J27" s="10">
        <v>4.0116600000000002E-2</v>
      </c>
      <c r="K27" s="1">
        <f>'Jan 2022'!I31</f>
        <v>359</v>
      </c>
      <c r="L27" s="10">
        <v>0.86778739999999999</v>
      </c>
      <c r="M27" s="10">
        <f>'Jan 2022'!L31</f>
        <v>85</v>
      </c>
      <c r="N27" s="10">
        <v>0.56299999999999994</v>
      </c>
      <c r="O27" s="14">
        <f>'Jan 2022'!D31</f>
        <v>107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2022</v>
      </c>
      <c r="E28" s="14">
        <f>'Jan 2022'!E32</f>
        <v>36416.585287610098</v>
      </c>
      <c r="F28" s="10">
        <v>2.8942277999999998E-2</v>
      </c>
      <c r="G28" s="1">
        <f>'Jan 2022'!J32</f>
        <v>0</v>
      </c>
      <c r="H28" s="10">
        <v>0.11225789999999999</v>
      </c>
      <c r="I28" s="1">
        <f>'Jan 2022'!G32*1000</f>
        <v>27974.2</v>
      </c>
      <c r="J28" s="10">
        <v>4.0116600000000002E-2</v>
      </c>
      <c r="K28" s="1">
        <f>'Jan 2022'!I32</f>
        <v>377</v>
      </c>
      <c r="L28" s="10">
        <v>0.86778739999999999</v>
      </c>
      <c r="M28" s="10">
        <f>'Jan 2022'!L32</f>
        <v>30</v>
      </c>
      <c r="N28" s="10">
        <v>0.56299999999999994</v>
      </c>
      <c r="O28" s="14">
        <f>'Jan 2022'!D32</f>
        <v>141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2022</v>
      </c>
      <c r="E29" s="14">
        <f>'Jan 2022'!E33</f>
        <v>35443.291771044154</v>
      </c>
      <c r="F29" s="10">
        <v>2.8942277999999998E-2</v>
      </c>
      <c r="G29" s="1">
        <f>'Jan 2022'!J33</f>
        <v>2970</v>
      </c>
      <c r="H29" s="10">
        <v>0.11225789999999999</v>
      </c>
      <c r="I29" s="1">
        <f>'Jan 2022'!G33*1000</f>
        <v>25974.2</v>
      </c>
      <c r="J29" s="10">
        <v>4.0116600000000002E-2</v>
      </c>
      <c r="K29" s="1">
        <f>'Jan 2022'!I33</f>
        <v>397</v>
      </c>
      <c r="L29" s="10">
        <v>0.86778739999999999</v>
      </c>
      <c r="M29" s="10">
        <f>'Jan 2022'!L33</f>
        <v>57</v>
      </c>
      <c r="N29" s="10">
        <v>0.56299999999999994</v>
      </c>
      <c r="O29" s="14">
        <f>'Jan 2022'!D33</f>
        <v>174</v>
      </c>
    </row>
    <row r="30" spans="1:15" x14ac:dyDescent="0.2">
      <c r="A30" t="s">
        <v>19</v>
      </c>
      <c r="B30">
        <v>29</v>
      </c>
      <c r="C30" s="5">
        <v>1</v>
      </c>
      <c r="D30">
        <v>2022</v>
      </c>
      <c r="E30" s="14">
        <f>'Jan 2022'!E34</f>
        <v>34961.527756155323</v>
      </c>
      <c r="F30" s="10">
        <v>2.8942277999999998E-2</v>
      </c>
      <c r="G30" s="1">
        <f>'Jan 2022'!J34</f>
        <v>2970</v>
      </c>
      <c r="H30" s="10">
        <v>0.11225789999999999</v>
      </c>
      <c r="I30" s="1">
        <f>'Jan 2022'!G34*1000</f>
        <v>24974.2</v>
      </c>
      <c r="J30" s="10">
        <v>4.0116600000000002E-2</v>
      </c>
      <c r="K30" s="1">
        <f>'Jan 2022'!I34</f>
        <v>453</v>
      </c>
      <c r="L30" s="10">
        <v>0.86778739999999999</v>
      </c>
      <c r="M30" s="10">
        <f>'Jan 2022'!L34</f>
        <v>0</v>
      </c>
      <c r="N30" s="10">
        <v>0.56299999999999994</v>
      </c>
      <c r="O30" s="14">
        <f>'Jan 2022'!D34</f>
        <v>86</v>
      </c>
    </row>
    <row r="31" spans="1:15" x14ac:dyDescent="0.2">
      <c r="A31" t="s">
        <v>19</v>
      </c>
      <c r="B31">
        <v>30</v>
      </c>
      <c r="C31" s="5">
        <v>1</v>
      </c>
      <c r="D31">
        <v>2022</v>
      </c>
      <c r="E31" s="14">
        <f>'Jan 2022'!E35</f>
        <v>35412.910256591706</v>
      </c>
      <c r="F31" s="10">
        <v>2.8942277999999998E-2</v>
      </c>
      <c r="G31" s="1">
        <f>'Jan 2022'!J35</f>
        <v>2970</v>
      </c>
      <c r="H31" s="10">
        <v>0.11225789999999999</v>
      </c>
      <c r="I31" s="1">
        <f>'Jan 2022'!G35*1000</f>
        <v>23974.2</v>
      </c>
      <c r="J31" s="10">
        <v>4.0116600000000002E-2</v>
      </c>
      <c r="K31" s="1">
        <f>'Jan 2022'!I35</f>
        <v>426</v>
      </c>
      <c r="L31" s="10">
        <v>0.86778739999999999</v>
      </c>
      <c r="M31" s="10">
        <f>'Jan 2022'!L35</f>
        <v>84</v>
      </c>
      <c r="N31" s="10">
        <v>0.56299999999999994</v>
      </c>
      <c r="O31" s="14">
        <f>'Jan 2022'!D35</f>
        <v>114</v>
      </c>
    </row>
    <row r="32" spans="1:15" x14ac:dyDescent="0.2">
      <c r="A32" t="s">
        <v>19</v>
      </c>
      <c r="B32">
        <v>31</v>
      </c>
      <c r="C32" s="5">
        <v>1</v>
      </c>
      <c r="D32">
        <v>2022</v>
      </c>
      <c r="E32" s="14">
        <f>'Jan 2022'!E36</f>
        <v>37233.631015563449</v>
      </c>
      <c r="F32" s="10">
        <v>2.8942277999999998E-2</v>
      </c>
      <c r="G32" s="1">
        <f>'Jan 2022'!J36</f>
        <v>2970</v>
      </c>
      <c r="H32" s="10">
        <v>0.11225789999999999</v>
      </c>
      <c r="I32" s="1">
        <f>'Jan 2022'!G36*1000</f>
        <v>26000</v>
      </c>
      <c r="J32" s="10">
        <v>4.0116600000000002E-2</v>
      </c>
      <c r="K32" s="1">
        <f>'Jan 2022'!I36</f>
        <v>372</v>
      </c>
      <c r="L32" s="10">
        <v>0.86778739999999999</v>
      </c>
      <c r="M32" s="10">
        <f>'Jan 2022'!L36</f>
        <v>0</v>
      </c>
      <c r="N32" s="10">
        <v>0.56299999999999994</v>
      </c>
      <c r="O32" s="14">
        <f>'Jan 2022'!D36</f>
        <v>134</v>
      </c>
    </row>
    <row r="33" spans="3:15" x14ac:dyDescent="0.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3:15" x14ac:dyDescent="0.2">
      <c r="M34" s="1"/>
    </row>
    <row r="35" spans="3:15" x14ac:dyDescent="0.2">
      <c r="L35" s="1"/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73"/>
  <sheetViews>
    <sheetView workbookViewId="0">
      <selection activeCell="G41" sqref="G4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52" t="s">
        <v>18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4" ht="15" x14ac:dyDescent="0.2">
      <c r="B3" s="53" t="s">
        <v>16</v>
      </c>
      <c r="C3" s="55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54"/>
      <c r="C4" s="56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ht="15" x14ac:dyDescent="0.2">
      <c r="B5" s="42"/>
      <c r="C5" s="43"/>
      <c r="D5" s="43"/>
      <c r="E5" s="38"/>
      <c r="F5" s="48"/>
      <c r="G5" s="38"/>
      <c r="H5" s="38"/>
      <c r="I5" s="38"/>
      <c r="J5" s="35"/>
      <c r="K5" s="38">
        <v>321798</v>
      </c>
      <c r="L5" s="39"/>
      <c r="N5" s="1"/>
    </row>
    <row r="6" spans="1:14" x14ac:dyDescent="0.2">
      <c r="B6" s="2">
        <v>1</v>
      </c>
      <c r="C6" s="11">
        <v>44562</v>
      </c>
      <c r="D6" s="7">
        <v>99</v>
      </c>
      <c r="E6" s="7">
        <v>37500.554321109965</v>
      </c>
      <c r="F6" s="12">
        <v>205921</v>
      </c>
      <c r="G6" s="8">
        <f>(F7-F6)-0.0258</f>
        <v>37.974200000000003</v>
      </c>
      <c r="H6" s="4">
        <v>569332</v>
      </c>
      <c r="I6" s="3">
        <f>H7-H6</f>
        <v>562</v>
      </c>
      <c r="J6" s="3">
        <v>2970</v>
      </c>
      <c r="K6" s="4">
        <v>321798</v>
      </c>
      <c r="L6" s="9">
        <f>K6-K5</f>
        <v>0</v>
      </c>
      <c r="N6" s="1"/>
    </row>
    <row r="7" spans="1:14" x14ac:dyDescent="0.2">
      <c r="B7" s="2">
        <v>2</v>
      </c>
      <c r="C7" s="11">
        <v>44563</v>
      </c>
      <c r="D7" s="7">
        <v>106</v>
      </c>
      <c r="E7" s="7">
        <v>37507.064645635488</v>
      </c>
      <c r="F7" s="12">
        <v>205959</v>
      </c>
      <c r="G7" s="8">
        <f t="shared" ref="G7:G35" si="0">(F8-F7)-0.0258</f>
        <v>36.974200000000003</v>
      </c>
      <c r="H7" s="4">
        <v>569894</v>
      </c>
      <c r="I7" s="3">
        <f t="shared" ref="I7:I35" si="1">H8-H7</f>
        <v>450</v>
      </c>
      <c r="J7" s="3">
        <v>2970</v>
      </c>
      <c r="K7" s="4">
        <v>321798</v>
      </c>
      <c r="L7" s="9">
        <f t="shared" ref="L7:L36" si="2">K7-K6</f>
        <v>0</v>
      </c>
      <c r="N7" s="1"/>
    </row>
    <row r="8" spans="1:14" x14ac:dyDescent="0.2">
      <c r="B8" s="2">
        <v>3</v>
      </c>
      <c r="C8" s="11">
        <v>44564</v>
      </c>
      <c r="D8" s="7">
        <v>102</v>
      </c>
      <c r="E8" s="7">
        <v>38706.049412419627</v>
      </c>
      <c r="F8" s="12">
        <v>205996</v>
      </c>
      <c r="G8" s="8">
        <f t="shared" si="0"/>
        <v>27.9742</v>
      </c>
      <c r="H8" s="7">
        <v>570344</v>
      </c>
      <c r="I8" s="3">
        <f t="shared" si="1"/>
        <v>415</v>
      </c>
      <c r="J8" s="3">
        <v>2970</v>
      </c>
      <c r="K8" s="4">
        <v>321798</v>
      </c>
      <c r="L8" s="9">
        <f t="shared" si="2"/>
        <v>0</v>
      </c>
      <c r="N8" s="1"/>
    </row>
    <row r="9" spans="1:14" x14ac:dyDescent="0.2">
      <c r="B9" s="2">
        <v>4</v>
      </c>
      <c r="C9" s="11">
        <v>44565</v>
      </c>
      <c r="D9" s="7">
        <v>95</v>
      </c>
      <c r="E9" s="7">
        <v>38218.860127092856</v>
      </c>
      <c r="F9" s="12">
        <v>206024</v>
      </c>
      <c r="G9" s="8">
        <f t="shared" si="0"/>
        <v>23.9742</v>
      </c>
      <c r="H9" s="7">
        <v>570759</v>
      </c>
      <c r="I9" s="3">
        <f t="shared" si="1"/>
        <v>470</v>
      </c>
      <c r="J9" s="3">
        <v>2970</v>
      </c>
      <c r="K9" s="4">
        <v>321798</v>
      </c>
      <c r="L9" s="9">
        <f t="shared" si="2"/>
        <v>0</v>
      </c>
      <c r="N9" s="1"/>
    </row>
    <row r="10" spans="1:14" ht="12" customHeight="1" x14ac:dyDescent="0.2">
      <c r="B10" s="2">
        <v>5</v>
      </c>
      <c r="C10" s="11">
        <v>44566</v>
      </c>
      <c r="D10" s="7">
        <v>96</v>
      </c>
      <c r="E10" s="7">
        <v>38240.561208844607</v>
      </c>
      <c r="F10" s="12">
        <v>206048</v>
      </c>
      <c r="G10" s="8">
        <f t="shared" si="0"/>
        <v>23.9742</v>
      </c>
      <c r="H10" s="27">
        <v>571229</v>
      </c>
      <c r="I10" s="3">
        <f t="shared" si="1"/>
        <v>414</v>
      </c>
      <c r="J10" s="3">
        <v>2970</v>
      </c>
      <c r="K10" s="4">
        <v>321798</v>
      </c>
      <c r="L10" s="9">
        <f t="shared" si="2"/>
        <v>0</v>
      </c>
      <c r="N10" s="1"/>
    </row>
    <row r="11" spans="1:14" x14ac:dyDescent="0.2">
      <c r="B11" s="2">
        <v>6</v>
      </c>
      <c r="C11" s="11">
        <v>44567</v>
      </c>
      <c r="D11" s="7">
        <v>114</v>
      </c>
      <c r="E11" s="7">
        <v>36417.670341697682</v>
      </c>
      <c r="F11" s="40">
        <v>206072</v>
      </c>
      <c r="G11" s="8">
        <f t="shared" si="0"/>
        <v>22.9742</v>
      </c>
      <c r="H11" s="7">
        <v>571643</v>
      </c>
      <c r="I11" s="3">
        <f t="shared" si="1"/>
        <v>411</v>
      </c>
      <c r="J11" s="3">
        <v>2970</v>
      </c>
      <c r="K11" s="4">
        <v>321798</v>
      </c>
      <c r="L11" s="9">
        <f t="shared" si="2"/>
        <v>0</v>
      </c>
      <c r="N11" s="1"/>
    </row>
    <row r="12" spans="1:14" x14ac:dyDescent="0.2">
      <c r="B12" s="2">
        <v>7</v>
      </c>
      <c r="C12" s="11">
        <v>44568</v>
      </c>
      <c r="D12" s="7">
        <v>155</v>
      </c>
      <c r="E12" s="7">
        <v>38825.40536205424</v>
      </c>
      <c r="F12" s="40">
        <v>206095</v>
      </c>
      <c r="G12" s="8">
        <f t="shared" si="0"/>
        <v>26.9742</v>
      </c>
      <c r="H12" s="7">
        <v>572054</v>
      </c>
      <c r="I12" s="3">
        <f t="shared" si="1"/>
        <v>464</v>
      </c>
      <c r="J12" s="3">
        <v>0</v>
      </c>
      <c r="K12" s="4">
        <v>321798</v>
      </c>
      <c r="L12" s="9">
        <f t="shared" si="2"/>
        <v>0</v>
      </c>
      <c r="N12" s="1"/>
    </row>
    <row r="13" spans="1:14" x14ac:dyDescent="0.2">
      <c r="B13" s="2">
        <v>8</v>
      </c>
      <c r="C13" s="11">
        <v>44569</v>
      </c>
      <c r="D13" s="7">
        <v>109</v>
      </c>
      <c r="E13" s="7">
        <v>37500.554321109965</v>
      </c>
      <c r="F13" s="40">
        <v>206122</v>
      </c>
      <c r="G13" s="8">
        <f t="shared" si="0"/>
        <v>25.9742</v>
      </c>
      <c r="H13" s="7">
        <v>572518</v>
      </c>
      <c r="I13" s="3">
        <f t="shared" si="1"/>
        <v>464</v>
      </c>
      <c r="J13" s="3">
        <v>2970</v>
      </c>
      <c r="K13" s="4">
        <v>321798</v>
      </c>
      <c r="L13" s="9">
        <f t="shared" si="2"/>
        <v>0</v>
      </c>
      <c r="N13" s="1"/>
    </row>
    <row r="14" spans="1:14" x14ac:dyDescent="0.2">
      <c r="A14" t="s">
        <v>20</v>
      </c>
      <c r="B14" s="2">
        <v>9</v>
      </c>
      <c r="C14" s="11">
        <v>44570</v>
      </c>
      <c r="D14" s="7">
        <v>113</v>
      </c>
      <c r="E14" s="7">
        <v>37676.333083299134</v>
      </c>
      <c r="F14" s="41">
        <v>206148</v>
      </c>
      <c r="G14" s="8">
        <f t="shared" si="0"/>
        <v>26.9742</v>
      </c>
      <c r="H14" s="27">
        <v>572982</v>
      </c>
      <c r="I14" s="3">
        <f t="shared" si="1"/>
        <v>463</v>
      </c>
      <c r="J14" s="3">
        <v>0</v>
      </c>
      <c r="K14" s="25">
        <v>321863</v>
      </c>
      <c r="L14" s="9">
        <f t="shared" si="2"/>
        <v>65</v>
      </c>
      <c r="N14" s="1"/>
    </row>
    <row r="15" spans="1:14" x14ac:dyDescent="0.2">
      <c r="B15" s="2">
        <v>10</v>
      </c>
      <c r="C15" s="11">
        <v>44571</v>
      </c>
      <c r="D15" s="7">
        <v>111</v>
      </c>
      <c r="E15" s="7">
        <v>38444.551377311051</v>
      </c>
      <c r="F15" s="40">
        <v>206175</v>
      </c>
      <c r="G15" s="8">
        <f t="shared" si="0"/>
        <v>24.9742</v>
      </c>
      <c r="H15" s="16">
        <v>573445</v>
      </c>
      <c r="I15" s="3">
        <f t="shared" si="1"/>
        <v>464</v>
      </c>
      <c r="J15" s="3">
        <v>2970</v>
      </c>
      <c r="K15" s="24">
        <v>321897</v>
      </c>
      <c r="L15" s="9">
        <f t="shared" si="2"/>
        <v>34</v>
      </c>
      <c r="N15" s="1"/>
    </row>
    <row r="16" spans="1:14" x14ac:dyDescent="0.2">
      <c r="B16" s="2">
        <v>11</v>
      </c>
      <c r="C16" s="11">
        <v>44572</v>
      </c>
      <c r="D16" s="7">
        <v>116</v>
      </c>
      <c r="E16" s="12">
        <v>39059.777044973132</v>
      </c>
      <c r="F16" s="25">
        <v>206200</v>
      </c>
      <c r="G16" s="8">
        <f t="shared" si="0"/>
        <v>26.9742</v>
      </c>
      <c r="H16" s="27">
        <v>573909</v>
      </c>
      <c r="I16" s="3">
        <f t="shared" si="1"/>
        <v>411</v>
      </c>
      <c r="J16" s="3">
        <v>0</v>
      </c>
      <c r="K16" s="25">
        <v>321926</v>
      </c>
      <c r="L16" s="9">
        <f t="shared" si="2"/>
        <v>29</v>
      </c>
      <c r="N16" s="1"/>
    </row>
    <row r="17" spans="1:14" ht="13.5" customHeight="1" x14ac:dyDescent="0.2">
      <c r="B17" s="2">
        <v>12</v>
      </c>
      <c r="C17" s="11">
        <v>44573</v>
      </c>
      <c r="D17" s="7">
        <v>137</v>
      </c>
      <c r="E17" s="12">
        <v>39880.077935189249</v>
      </c>
      <c r="F17" s="25">
        <v>206227</v>
      </c>
      <c r="G17" s="8">
        <f t="shared" si="0"/>
        <v>28.9742</v>
      </c>
      <c r="H17" s="27">
        <v>574320</v>
      </c>
      <c r="I17" s="3">
        <f t="shared" si="1"/>
        <v>414</v>
      </c>
      <c r="J17" s="3">
        <v>2970</v>
      </c>
      <c r="K17" s="25">
        <v>321984</v>
      </c>
      <c r="L17" s="9">
        <f t="shared" si="2"/>
        <v>58</v>
      </c>
      <c r="N17" s="1"/>
    </row>
    <row r="18" spans="1:14" x14ac:dyDescent="0.2">
      <c r="B18" s="2">
        <v>13</v>
      </c>
      <c r="C18" s="11">
        <v>44574</v>
      </c>
      <c r="D18" s="7">
        <v>136</v>
      </c>
      <c r="E18" s="12">
        <v>38433.700836435171</v>
      </c>
      <c r="F18" s="24">
        <v>206256</v>
      </c>
      <c r="G18" s="8">
        <f t="shared" si="0"/>
        <v>29.9742</v>
      </c>
      <c r="H18" s="7">
        <v>574734</v>
      </c>
      <c r="I18" s="3">
        <f t="shared" si="1"/>
        <v>398</v>
      </c>
      <c r="J18" s="3">
        <v>2970</v>
      </c>
      <c r="K18" s="4">
        <v>322039</v>
      </c>
      <c r="L18" s="9">
        <f t="shared" si="2"/>
        <v>55</v>
      </c>
      <c r="N18" s="1"/>
    </row>
    <row r="19" spans="1:14" ht="13.5" customHeight="1" x14ac:dyDescent="0.2">
      <c r="B19" s="2">
        <v>14</v>
      </c>
      <c r="C19" s="11">
        <v>44575</v>
      </c>
      <c r="D19" s="7">
        <v>157</v>
      </c>
      <c r="E19" s="27">
        <v>39641.366035920008</v>
      </c>
      <c r="F19" s="25">
        <v>206286</v>
      </c>
      <c r="G19" s="8">
        <f t="shared" si="0"/>
        <v>32.974200000000003</v>
      </c>
      <c r="H19" s="7">
        <v>575132</v>
      </c>
      <c r="I19" s="3">
        <f t="shared" si="1"/>
        <v>420</v>
      </c>
      <c r="J19" s="3">
        <v>0</v>
      </c>
      <c r="K19" s="4">
        <v>322116</v>
      </c>
      <c r="L19" s="9">
        <f t="shared" si="2"/>
        <v>77</v>
      </c>
      <c r="N19" s="1"/>
    </row>
    <row r="20" spans="1:14" x14ac:dyDescent="0.2">
      <c r="B20" s="2">
        <v>15</v>
      </c>
      <c r="C20" s="11">
        <v>44576</v>
      </c>
      <c r="D20" s="16">
        <v>153</v>
      </c>
      <c r="E20" s="27">
        <v>39863.802123875437</v>
      </c>
      <c r="F20" s="4">
        <v>206319</v>
      </c>
      <c r="G20" s="8">
        <f t="shared" si="0"/>
        <v>31.9742</v>
      </c>
      <c r="H20" s="7">
        <v>575552</v>
      </c>
      <c r="I20" s="3">
        <f t="shared" si="1"/>
        <v>457</v>
      </c>
      <c r="J20" s="3">
        <v>2970</v>
      </c>
      <c r="K20" s="4">
        <v>322116</v>
      </c>
      <c r="L20" s="9">
        <f t="shared" si="2"/>
        <v>0</v>
      </c>
      <c r="N20" s="1"/>
    </row>
    <row r="21" spans="1:14" x14ac:dyDescent="0.2">
      <c r="A21" t="s">
        <v>20</v>
      </c>
      <c r="B21" s="2">
        <v>16</v>
      </c>
      <c r="C21" s="11">
        <v>44577</v>
      </c>
      <c r="D21" s="7">
        <v>97</v>
      </c>
      <c r="E21" s="27">
        <v>36301.569554325826</v>
      </c>
      <c r="F21" s="4">
        <v>206351</v>
      </c>
      <c r="G21" s="8">
        <f t="shared" si="0"/>
        <v>30.9742</v>
      </c>
      <c r="H21" s="27">
        <v>576009</v>
      </c>
      <c r="I21" s="3">
        <f t="shared" si="1"/>
        <v>456</v>
      </c>
      <c r="J21" s="31">
        <v>2970</v>
      </c>
      <c r="K21" s="4">
        <v>322116</v>
      </c>
      <c r="L21" s="9">
        <f t="shared" si="2"/>
        <v>0</v>
      </c>
      <c r="N21" s="1"/>
    </row>
    <row r="22" spans="1:14" x14ac:dyDescent="0.2">
      <c r="B22" s="2">
        <v>17</v>
      </c>
      <c r="C22" s="11">
        <v>44578</v>
      </c>
      <c r="D22" s="7">
        <v>75</v>
      </c>
      <c r="E22" s="7">
        <v>35216.515466738376</v>
      </c>
      <c r="F22" s="25">
        <v>206382</v>
      </c>
      <c r="G22" s="8">
        <f t="shared" si="0"/>
        <v>33.974200000000003</v>
      </c>
      <c r="H22" s="28">
        <v>576465</v>
      </c>
      <c r="I22" s="3">
        <f t="shared" si="1"/>
        <v>387</v>
      </c>
      <c r="J22" s="21">
        <v>2970</v>
      </c>
      <c r="K22" s="20">
        <v>322116</v>
      </c>
      <c r="L22" s="9">
        <f t="shared" si="2"/>
        <v>0</v>
      </c>
      <c r="N22" s="1"/>
    </row>
    <row r="23" spans="1:14" x14ac:dyDescent="0.2">
      <c r="B23" s="2">
        <v>18</v>
      </c>
      <c r="C23" s="11">
        <v>44579</v>
      </c>
      <c r="D23" s="7">
        <v>74</v>
      </c>
      <c r="E23" s="7">
        <v>36422.010558048038</v>
      </c>
      <c r="F23" s="4">
        <v>206416</v>
      </c>
      <c r="G23" s="8">
        <f t="shared" si="0"/>
        <v>25.9742</v>
      </c>
      <c r="H23" s="29">
        <v>576852</v>
      </c>
      <c r="I23" s="3">
        <f t="shared" si="1"/>
        <v>338</v>
      </c>
      <c r="J23" s="21">
        <v>0</v>
      </c>
      <c r="K23" s="25">
        <v>322116</v>
      </c>
      <c r="L23" s="9">
        <f t="shared" si="2"/>
        <v>0</v>
      </c>
      <c r="N23" s="1"/>
    </row>
    <row r="24" spans="1:14" x14ac:dyDescent="0.2">
      <c r="B24" s="2">
        <v>19</v>
      </c>
      <c r="C24" s="11">
        <v>44580</v>
      </c>
      <c r="D24" s="7">
        <v>90</v>
      </c>
      <c r="E24" s="27">
        <v>37522.255402861716</v>
      </c>
      <c r="F24" s="4">
        <v>206442</v>
      </c>
      <c r="G24" s="8">
        <f t="shared" si="0"/>
        <v>23.9742</v>
      </c>
      <c r="H24" s="4">
        <v>577190</v>
      </c>
      <c r="I24" s="3">
        <f t="shared" si="1"/>
        <v>404</v>
      </c>
      <c r="J24" s="21">
        <v>2970</v>
      </c>
      <c r="K24" s="25">
        <v>322116</v>
      </c>
      <c r="L24" s="9">
        <f t="shared" si="2"/>
        <v>0</v>
      </c>
      <c r="N24" s="1"/>
    </row>
    <row r="25" spans="1:14" ht="12" customHeight="1" x14ac:dyDescent="0.2">
      <c r="B25" s="2">
        <v>20</v>
      </c>
      <c r="C25" s="11">
        <v>44581</v>
      </c>
      <c r="D25" s="7">
        <v>109</v>
      </c>
      <c r="E25" s="27">
        <v>36085.643790895927</v>
      </c>
      <c r="F25" s="4">
        <v>206466</v>
      </c>
      <c r="G25" s="8">
        <f t="shared" si="0"/>
        <v>24.9742</v>
      </c>
      <c r="H25" s="25">
        <v>577594</v>
      </c>
      <c r="I25" s="3">
        <f t="shared" si="1"/>
        <v>370</v>
      </c>
      <c r="J25" s="3">
        <v>2970</v>
      </c>
      <c r="K25" s="4">
        <v>322116</v>
      </c>
      <c r="L25" s="9">
        <f t="shared" si="2"/>
        <v>0</v>
      </c>
      <c r="N25" s="1"/>
    </row>
    <row r="26" spans="1:14" x14ac:dyDescent="0.2">
      <c r="B26" s="2">
        <v>21</v>
      </c>
      <c r="C26" s="11">
        <v>44582</v>
      </c>
      <c r="D26" s="7">
        <v>118</v>
      </c>
      <c r="E26" s="7">
        <v>35786.168862721788</v>
      </c>
      <c r="F26" s="25">
        <v>206491</v>
      </c>
      <c r="G26" s="8">
        <f t="shared" si="0"/>
        <v>20.9742</v>
      </c>
      <c r="H26" s="24">
        <v>577964</v>
      </c>
      <c r="I26" s="3">
        <f t="shared" si="1"/>
        <v>455</v>
      </c>
      <c r="J26" s="3">
        <v>2970</v>
      </c>
      <c r="K26" s="4">
        <v>322116</v>
      </c>
      <c r="L26" s="9">
        <f t="shared" si="2"/>
        <v>0</v>
      </c>
      <c r="N26" s="1"/>
    </row>
    <row r="27" spans="1:14" x14ac:dyDescent="0.2">
      <c r="B27" s="2">
        <v>22</v>
      </c>
      <c r="C27" s="11">
        <v>44583</v>
      </c>
      <c r="D27" s="7">
        <v>73</v>
      </c>
      <c r="E27" s="7">
        <v>36296.144283887887</v>
      </c>
      <c r="F27" s="4">
        <v>206512</v>
      </c>
      <c r="G27" s="8">
        <f t="shared" si="0"/>
        <v>18.9742</v>
      </c>
      <c r="H27" s="4">
        <v>578419</v>
      </c>
      <c r="I27" s="3">
        <f t="shared" si="1"/>
        <v>390</v>
      </c>
      <c r="J27" s="21">
        <v>2970</v>
      </c>
      <c r="K27" s="24">
        <v>322116</v>
      </c>
      <c r="L27" s="9">
        <f t="shared" si="2"/>
        <v>0</v>
      </c>
      <c r="N27" s="1"/>
    </row>
    <row r="28" spans="1:14" x14ac:dyDescent="0.2">
      <c r="B28" s="2">
        <v>23</v>
      </c>
      <c r="C28" s="11">
        <v>44584</v>
      </c>
      <c r="D28" s="7">
        <v>70</v>
      </c>
      <c r="E28" s="7">
        <v>34842.171806520702</v>
      </c>
      <c r="F28" s="4">
        <v>206531</v>
      </c>
      <c r="G28" s="8">
        <f t="shared" si="0"/>
        <v>18.9742</v>
      </c>
      <c r="H28" s="7">
        <v>578809</v>
      </c>
      <c r="I28" s="3">
        <f t="shared" si="1"/>
        <v>419</v>
      </c>
      <c r="J28" s="3">
        <v>2970</v>
      </c>
      <c r="K28" s="4">
        <v>322147</v>
      </c>
      <c r="L28" s="9">
        <f t="shared" si="2"/>
        <v>31</v>
      </c>
      <c r="N28" s="1"/>
    </row>
    <row r="29" spans="1:14" ht="12.75" customHeight="1" x14ac:dyDescent="0.2">
      <c r="A29" t="s">
        <v>20</v>
      </c>
      <c r="B29" s="2">
        <v>24</v>
      </c>
      <c r="C29" s="11">
        <v>44585</v>
      </c>
      <c r="D29" s="7">
        <v>84</v>
      </c>
      <c r="E29" s="7">
        <v>36231.04103863264</v>
      </c>
      <c r="F29" s="4">
        <v>206550</v>
      </c>
      <c r="G29" s="8">
        <f t="shared" si="0"/>
        <v>22.9742</v>
      </c>
      <c r="H29" s="7">
        <v>579228</v>
      </c>
      <c r="I29" s="3">
        <f t="shared" si="1"/>
        <v>258</v>
      </c>
      <c r="J29" s="3">
        <v>2970</v>
      </c>
      <c r="K29" s="4">
        <v>322212</v>
      </c>
      <c r="L29" s="9">
        <f t="shared" si="2"/>
        <v>65</v>
      </c>
      <c r="N29" s="1"/>
    </row>
    <row r="30" spans="1:14" x14ac:dyDescent="0.2">
      <c r="A30" t="s">
        <v>22</v>
      </c>
      <c r="B30" s="2">
        <v>25</v>
      </c>
      <c r="C30" s="11">
        <v>44586</v>
      </c>
      <c r="D30" s="7">
        <v>69</v>
      </c>
      <c r="E30" s="7">
        <v>35551.797179802896</v>
      </c>
      <c r="F30" s="4">
        <v>206573</v>
      </c>
      <c r="G30" s="8">
        <f t="shared" si="0"/>
        <v>22.9742</v>
      </c>
      <c r="H30" s="24">
        <v>579486</v>
      </c>
      <c r="I30" s="3">
        <f t="shared" si="1"/>
        <v>301</v>
      </c>
      <c r="J30" s="3">
        <v>2970</v>
      </c>
      <c r="K30" s="4">
        <v>322315</v>
      </c>
      <c r="L30" s="9">
        <f t="shared" si="2"/>
        <v>103</v>
      </c>
      <c r="N30" s="1"/>
    </row>
    <row r="31" spans="1:14" x14ac:dyDescent="0.2">
      <c r="B31" s="2">
        <v>26</v>
      </c>
      <c r="C31" s="11">
        <v>44587</v>
      </c>
      <c r="D31" s="7">
        <v>107</v>
      </c>
      <c r="E31" s="7">
        <v>34360.407791631871</v>
      </c>
      <c r="F31" s="4">
        <v>206596</v>
      </c>
      <c r="G31" s="8">
        <f t="shared" si="0"/>
        <v>28.9742</v>
      </c>
      <c r="H31" s="7">
        <v>579787</v>
      </c>
      <c r="I31" s="3">
        <f t="shared" si="1"/>
        <v>359</v>
      </c>
      <c r="J31" s="3">
        <v>2970</v>
      </c>
      <c r="K31" s="4">
        <v>322400</v>
      </c>
      <c r="L31" s="9">
        <f t="shared" si="2"/>
        <v>85</v>
      </c>
      <c r="N31" s="1"/>
    </row>
    <row r="32" spans="1:14" x14ac:dyDescent="0.2">
      <c r="A32" t="s">
        <v>21</v>
      </c>
      <c r="B32" s="2">
        <v>27</v>
      </c>
      <c r="C32" s="11">
        <v>44588</v>
      </c>
      <c r="D32" s="7">
        <v>141</v>
      </c>
      <c r="E32" s="7">
        <v>36416.585287610098</v>
      </c>
      <c r="F32" s="24">
        <v>206625</v>
      </c>
      <c r="G32" s="8">
        <f t="shared" si="0"/>
        <v>27.9742</v>
      </c>
      <c r="H32" s="7">
        <v>580146</v>
      </c>
      <c r="I32" s="3">
        <f t="shared" si="1"/>
        <v>377</v>
      </c>
      <c r="J32" s="3">
        <v>0</v>
      </c>
      <c r="K32" s="4">
        <v>322430</v>
      </c>
      <c r="L32" s="9">
        <f t="shared" si="2"/>
        <v>30</v>
      </c>
      <c r="N32" s="1"/>
    </row>
    <row r="33" spans="2:14" x14ac:dyDescent="0.2">
      <c r="B33" s="2">
        <v>28</v>
      </c>
      <c r="C33" s="11">
        <v>44589</v>
      </c>
      <c r="D33" s="7">
        <v>174</v>
      </c>
      <c r="E33" s="12">
        <v>35443.291771044154</v>
      </c>
      <c r="F33" s="4">
        <v>206653</v>
      </c>
      <c r="G33" s="8">
        <f t="shared" si="0"/>
        <v>25.9742</v>
      </c>
      <c r="H33" s="16">
        <v>580523</v>
      </c>
      <c r="I33" s="3">
        <f t="shared" si="1"/>
        <v>397</v>
      </c>
      <c r="J33" s="3">
        <v>2970</v>
      </c>
      <c r="K33" s="26">
        <v>322487</v>
      </c>
      <c r="L33" s="9">
        <f t="shared" si="2"/>
        <v>57</v>
      </c>
      <c r="N33" s="1"/>
    </row>
    <row r="34" spans="2:14" x14ac:dyDescent="0.2">
      <c r="B34" s="2">
        <v>29</v>
      </c>
      <c r="C34" s="11">
        <v>44590</v>
      </c>
      <c r="D34" s="18">
        <v>86</v>
      </c>
      <c r="E34" s="19">
        <v>34961.527756155323</v>
      </c>
      <c r="F34" s="4">
        <v>206679</v>
      </c>
      <c r="G34" s="8">
        <f t="shared" si="0"/>
        <v>24.9742</v>
      </c>
      <c r="H34" s="7">
        <v>580920</v>
      </c>
      <c r="I34" s="3">
        <f t="shared" si="1"/>
        <v>453</v>
      </c>
      <c r="J34" s="3">
        <v>2970</v>
      </c>
      <c r="K34" s="30">
        <v>322487</v>
      </c>
      <c r="L34" s="9">
        <f t="shared" si="2"/>
        <v>0</v>
      </c>
      <c r="N34" s="1"/>
    </row>
    <row r="35" spans="2:14" x14ac:dyDescent="0.2">
      <c r="B35" s="2">
        <v>30</v>
      </c>
      <c r="C35" s="11">
        <v>44591</v>
      </c>
      <c r="D35" s="17">
        <v>114</v>
      </c>
      <c r="E35" s="3">
        <v>35412.910256591706</v>
      </c>
      <c r="F35" s="25">
        <v>206704</v>
      </c>
      <c r="G35" s="8">
        <f t="shared" si="0"/>
        <v>23.9742</v>
      </c>
      <c r="H35" s="7">
        <v>581373</v>
      </c>
      <c r="I35" s="3">
        <f t="shared" si="1"/>
        <v>426</v>
      </c>
      <c r="J35" s="3">
        <v>2970</v>
      </c>
      <c r="K35" s="4">
        <v>322571</v>
      </c>
      <c r="L35" s="9">
        <f t="shared" si="2"/>
        <v>84</v>
      </c>
      <c r="M35" s="15"/>
      <c r="N35" s="1"/>
    </row>
    <row r="36" spans="2:14" ht="13.5" thickBot="1" x14ac:dyDescent="0.25">
      <c r="B36" s="2">
        <v>31</v>
      </c>
      <c r="C36" s="11">
        <v>44592</v>
      </c>
      <c r="D36" s="22">
        <v>134</v>
      </c>
      <c r="E36" s="23">
        <v>37233.631015563449</v>
      </c>
      <c r="F36" s="17">
        <v>206728</v>
      </c>
      <c r="G36" s="8">
        <v>26</v>
      </c>
      <c r="H36" s="17">
        <v>581799</v>
      </c>
      <c r="I36" s="3">
        <v>372</v>
      </c>
      <c r="J36" s="31">
        <v>2970</v>
      </c>
      <c r="K36" s="25">
        <v>322571</v>
      </c>
      <c r="L36" s="9">
        <f t="shared" si="2"/>
        <v>0</v>
      </c>
      <c r="M36" s="15"/>
      <c r="N36" s="1"/>
    </row>
    <row r="37" spans="2:14" x14ac:dyDescent="0.2">
      <c r="E37" s="44"/>
      <c r="F37" s="45"/>
      <c r="G37" s="44"/>
      <c r="H37" s="45"/>
      <c r="I37" s="44"/>
      <c r="J37" s="46"/>
      <c r="K37" s="45"/>
      <c r="L37" s="44"/>
      <c r="N37" s="1"/>
    </row>
    <row r="38" spans="2:14" x14ac:dyDescent="0.2">
      <c r="E38" s="47"/>
      <c r="F38" s="44"/>
      <c r="G38" s="44"/>
      <c r="H38" s="44"/>
      <c r="I38" s="44"/>
      <c r="J38" s="44"/>
      <c r="K38" s="44"/>
      <c r="L38" s="44"/>
    </row>
    <row r="40" spans="2:14" x14ac:dyDescent="0.2">
      <c r="E40" s="49"/>
      <c r="F40" s="49"/>
      <c r="I40" t="s">
        <v>20</v>
      </c>
    </row>
    <row r="42" spans="2:14" x14ac:dyDescent="0.2">
      <c r="D42" s="51"/>
      <c r="F42" s="50"/>
    </row>
    <row r="43" spans="2:14" x14ac:dyDescent="0.2">
      <c r="D43" s="51"/>
      <c r="F43" s="50"/>
    </row>
    <row r="44" spans="2:14" x14ac:dyDescent="0.2">
      <c r="D44" s="51"/>
      <c r="F44" s="50"/>
    </row>
    <row r="45" spans="2:14" x14ac:dyDescent="0.2">
      <c r="D45" s="51"/>
      <c r="F45" s="50"/>
    </row>
    <row r="46" spans="2:14" x14ac:dyDescent="0.2">
      <c r="D46" s="51"/>
      <c r="F46" s="50"/>
    </row>
    <row r="47" spans="2:14" x14ac:dyDescent="0.2">
      <c r="D47" s="51"/>
      <c r="F47" s="50"/>
    </row>
    <row r="48" spans="2:14" x14ac:dyDescent="0.2">
      <c r="D48" s="51"/>
      <c r="F48" s="50"/>
    </row>
    <row r="49" spans="4:9" x14ac:dyDescent="0.2">
      <c r="D49" s="51"/>
      <c r="F49" s="50"/>
    </row>
    <row r="50" spans="4:9" x14ac:dyDescent="0.2">
      <c r="D50" s="51"/>
      <c r="F50" s="50"/>
    </row>
    <row r="51" spans="4:9" x14ac:dyDescent="0.2">
      <c r="D51" s="51"/>
      <c r="F51" s="50"/>
    </row>
    <row r="52" spans="4:9" x14ac:dyDescent="0.2">
      <c r="D52" s="51"/>
      <c r="F52" s="50"/>
      <c r="I52" t="s">
        <v>23</v>
      </c>
    </row>
    <row r="53" spans="4:9" x14ac:dyDescent="0.2">
      <c r="D53" s="51"/>
      <c r="F53" s="50"/>
    </row>
    <row r="54" spans="4:9" x14ac:dyDescent="0.2">
      <c r="D54" s="51"/>
      <c r="F54" s="50"/>
    </row>
    <row r="55" spans="4:9" x14ac:dyDescent="0.2">
      <c r="D55" s="51"/>
      <c r="F55" s="50"/>
    </row>
    <row r="56" spans="4:9" x14ac:dyDescent="0.2">
      <c r="D56" s="51"/>
      <c r="F56" s="50"/>
    </row>
    <row r="57" spans="4:9" x14ac:dyDescent="0.2">
      <c r="D57" s="51"/>
      <c r="F57" s="50"/>
    </row>
    <row r="58" spans="4:9" x14ac:dyDescent="0.2">
      <c r="D58" s="51"/>
      <c r="F58" s="50"/>
    </row>
    <row r="59" spans="4:9" x14ac:dyDescent="0.2">
      <c r="D59" s="51"/>
      <c r="F59" s="50"/>
    </row>
    <row r="60" spans="4:9" x14ac:dyDescent="0.2">
      <c r="D60" s="51"/>
      <c r="F60" s="50"/>
    </row>
    <row r="61" spans="4:9" x14ac:dyDescent="0.2">
      <c r="D61" s="51"/>
      <c r="F61" s="50"/>
    </row>
    <row r="62" spans="4:9" x14ac:dyDescent="0.2">
      <c r="D62" s="51"/>
      <c r="F62" s="50"/>
    </row>
    <row r="63" spans="4:9" x14ac:dyDescent="0.2">
      <c r="D63" s="51"/>
      <c r="F63" s="50"/>
    </row>
    <row r="64" spans="4:9" x14ac:dyDescent="0.2">
      <c r="D64" s="51"/>
      <c r="F64" s="50"/>
    </row>
    <row r="65" spans="4:6" x14ac:dyDescent="0.2">
      <c r="D65" s="51"/>
      <c r="F65" s="50"/>
    </row>
    <row r="66" spans="4:6" x14ac:dyDescent="0.2">
      <c r="D66" s="51"/>
      <c r="F66" s="50"/>
    </row>
    <row r="67" spans="4:6" x14ac:dyDescent="0.2">
      <c r="D67" s="51"/>
      <c r="F67" s="50"/>
    </row>
    <row r="68" spans="4:6" x14ac:dyDescent="0.2">
      <c r="D68" s="51"/>
      <c r="F68" s="50"/>
    </row>
    <row r="69" spans="4:6" x14ac:dyDescent="0.2">
      <c r="D69" s="51"/>
      <c r="F69" s="50"/>
    </row>
    <row r="70" spans="4:6" x14ac:dyDescent="0.2">
      <c r="D70" s="51"/>
      <c r="F70" s="50"/>
    </row>
    <row r="71" spans="4:6" x14ac:dyDescent="0.2">
      <c r="D71" s="51"/>
      <c r="F71" s="50"/>
    </row>
    <row r="72" spans="4:6" x14ac:dyDescent="0.2">
      <c r="D72" s="51"/>
      <c r="F72" s="50"/>
    </row>
    <row r="73" spans="4:6" x14ac:dyDescent="0.2">
      <c r="F73" s="1"/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Mukesh Kumar</cp:lastModifiedBy>
  <dcterms:created xsi:type="dcterms:W3CDTF">2016-09-19T10:41:46Z</dcterms:created>
  <dcterms:modified xsi:type="dcterms:W3CDTF">2023-02-19T08:48:11Z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