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47B64AFB-0949-4ADD-A14B-334D763DF3D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<sst xmlns="http://schemas.openxmlformats.org/spreadsheetml/2006/main" count="201" uniqueCount="128">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</sst>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M2" sqref="M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0.14000000000000001</v>
      </c>
      <c r="G2" s="107">
        <v>5872</v>
      </c>
      <c r="H2" s="48">
        <v>0.45</v>
      </c>
      <c r="I2" s="65">
        <v>320</v>
      </c>
      <c r="J2" s="76">
        <v>0.4</v>
      </c>
      <c r="K2" s="108"/>
      <c r="L2" s="76"/>
      <c r="M2" s="72"/>
      <c r="N2" s="72"/>
      <c r="O2" s="72"/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/>
      <c r="F3" s="48">
        <v>0.14000000000000001</v>
      </c>
      <c r="G3" s="107"/>
      <c r="H3" s="48">
        <v>0.45</v>
      </c>
      <c r="I3" s="65"/>
      <c r="J3" s="76">
        <v>0.4</v>
      </c>
      <c r="K3" s="108"/>
      <c r="L3" s="76"/>
      <c r="M3" s="72"/>
      <c r="N3" s="72"/>
      <c r="O3" s="72"/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/>
      <c r="F4" s="48">
        <v>0.14000000000000001</v>
      </c>
      <c r="G4" s="107"/>
      <c r="H4" s="48">
        <v>0.45</v>
      </c>
      <c r="I4" s="65"/>
      <c r="J4" s="76">
        <v>0.4</v>
      </c>
      <c r="K4" s="108"/>
      <c r="L4" s="76"/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/>
      <c r="F5" s="48">
        <v>0.14000000000000001</v>
      </c>
      <c r="G5" s="107"/>
      <c r="H5" s="48">
        <v>0.45</v>
      </c>
      <c r="I5" s="65"/>
      <c r="J5" s="76">
        <v>0.4</v>
      </c>
      <c r="K5" s="108"/>
      <c r="L5" s="76"/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/>
      <c r="F6" s="48">
        <v>0.14000000000000001</v>
      </c>
      <c r="G6" s="107"/>
      <c r="H6" s="48">
        <v>0.45</v>
      </c>
      <c r="I6" s="65"/>
      <c r="J6" s="76">
        <v>0.4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/>
      <c r="F7" s="48">
        <v>0.14000000000000001</v>
      </c>
      <c r="G7" s="107"/>
      <c r="H7" s="48">
        <v>0.45</v>
      </c>
      <c r="I7" s="65"/>
      <c r="J7" s="76">
        <v>0.4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/>
      <c r="F8" s="48">
        <v>0.14000000000000001</v>
      </c>
      <c r="G8" s="107"/>
      <c r="H8" s="48">
        <v>0.45</v>
      </c>
      <c r="I8" s="65"/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21469.999999999345</v>
      </c>
      <c r="F33" s="104">
        <v>0</v>
      </c>
      <c r="G33" s="101">
        <f>SUM(G2:G32)</f>
        <v>5872</v>
      </c>
      <c r="H33" s="102">
        <v>0</v>
      </c>
      <c r="I33" s="103">
        <f>SUM(I2:I32)</f>
        <v>320</v>
      </c>
      <c r="J33" s="104">
        <v>0</v>
      </c>
      <c r="K33" s="105">
        <v>0</v>
      </c>
      <c r="L33" s="102">
        <v>0</v>
      </c>
      <c r="M33" s="106">
        <f t="shared" ref="M33:O33" si="1">SUM(M2:M32)</f>
        <v>0</v>
      </c>
      <c r="N33" s="106">
        <f t="shared" si="1"/>
        <v>0</v>
      </c>
      <c r="O33" s="106">
        <f t="shared" si="1"/>
        <v>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5" sqref="T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/>
      <c r="W4" s="71"/>
      <c r="X4" s="71"/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/>
      <c r="W5" s="71"/>
      <c r="X5" s="71"/>
      <c r="Y5" s="17"/>
    </row>
    <row r="6" spans="1:25" ht="21" customHeight="1" x14ac:dyDescent="0.25">
      <c r="A6" s="8">
        <v>44411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71"/>
      <c r="W6" s="71"/>
      <c r="X6" s="71"/>
      <c r="Y6" s="17"/>
    </row>
    <row r="7" spans="1:25" ht="21" customHeight="1" x14ac:dyDescent="0.25">
      <c r="A7" s="8">
        <v>44412</v>
      </c>
      <c r="B7" s="1"/>
      <c r="C7" s="1"/>
      <c r="D7" s="10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44413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44414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0</v>
      </c>
      <c r="W35" s="78">
        <f>SUM(W4:W34)</f>
        <v>0</v>
      </c>
      <c r="X35" s="78">
        <f>SUM(X4:X34)</f>
        <v>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0</v>
      </c>
      <c r="C5" s="4">
        <f>('Kwh Reading'!T6-'Kwh Reading'!T5)*1000</f>
        <v>-435390</v>
      </c>
      <c r="D5" s="2">
        <f>('Kwh Reading'!F6-'Kwh Reading'!F5)*1000000</f>
        <v>-2458500</v>
      </c>
      <c r="E5" s="2">
        <f>('Kwh Reading'!C6-'Kwh Reading'!C5)*1000</f>
        <v>-237250</v>
      </c>
      <c r="F5" s="2">
        <f>('Kwh Reading'!J6-'Kwh Reading'!J5)*1000</f>
        <v>-324500</v>
      </c>
      <c r="G5" s="2">
        <f>('Kwh Reading'!K6-'Kwh Reading'!K5)*1000</f>
        <v>-349900</v>
      </c>
      <c r="H5" s="2">
        <f>('Kwh Reading'!L6-'Kwh Reading'!L5)*1000</f>
        <v>-240330</v>
      </c>
      <c r="I5" s="2">
        <f>('Kwh Reading'!R6-'Kwh Reading'!R5)*1000</f>
        <v>-166940</v>
      </c>
      <c r="J5" s="2">
        <f>('Kwh Reading'!S6-'Kwh Reading'!S5)*1000</f>
        <v>-119140</v>
      </c>
      <c r="K5" s="2">
        <f>('Kwh Reading'!I6-'Kwh Reading'!I5)*1000</f>
        <v>-246530</v>
      </c>
      <c r="L5" s="2">
        <f>('Kwh Reading'!B6-'Kwh Reading'!B5)*1000</f>
        <v>-1024500</v>
      </c>
      <c r="M5" s="2">
        <f>('Kwh Reading'!M6-'Kwh Reading'!M5)*1000</f>
        <v>-543100</v>
      </c>
      <c r="N5" s="2">
        <f>('Kwh Reading'!H6-'Kwh Reading'!H5)*1000</f>
        <v>-636230</v>
      </c>
      <c r="O5" s="2">
        <f>('Kwh Reading'!P6-'Kwh Reading'!P5)*1000</f>
        <v>-652040</v>
      </c>
      <c r="P5" s="2">
        <f>('Kwh Reading'!G6-'Kwh Reading'!G5)*1000</f>
        <v>-772790</v>
      </c>
      <c r="Q5" s="2">
        <f>('Kwh Reading'!Q6-'Kwh Reading'!Q5)*1000</f>
        <v>-483920</v>
      </c>
      <c r="R5" s="2">
        <f>('Kwh Reading'!N6-'Kwh Reading'!N5)*1000</f>
        <v>-495480</v>
      </c>
      <c r="S5" s="2">
        <f>'Kwh Reading'!E6-'Kwh Reading'!E5</f>
        <v>-8287643.3399999999</v>
      </c>
      <c r="T5" s="2">
        <f>'Kwh Reading'!D6-'Kwh Reading'!D5</f>
        <v>-7557399.5899999999</v>
      </c>
      <c r="U5" s="27">
        <f>('Kwh Reading'!O6-'Kwh Reading'!O5)*1000</f>
        <v>-158700</v>
      </c>
      <c r="V5" s="16">
        <f t="shared" ref="V5:V9" si="0">B5-(SUM(C5:U5))</f>
        <v>25190282.93</v>
      </c>
    </row>
    <row r="6" spans="1:22" x14ac:dyDescent="0.25">
      <c r="A6" s="3">
        <f>'Kwh Reading'!A6</f>
        <v>44411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si="0"/>
        <v>0</v>
      </c>
    </row>
    <row r="7" spans="1:22" x14ac:dyDescent="0.25">
      <c r="A7" s="3">
        <f>'Kwh Reading'!A7</f>
        <v>44412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44413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44414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44415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44416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44417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44418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44419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44420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25520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</v>
      </c>
      <c r="K35" s="75">
        <f t="shared" si="6"/>
        <v>-246180</v>
      </c>
      <c r="L35" s="75">
        <f t="shared" si="6"/>
        <v>-1023100</v>
      </c>
      <c r="M35" s="75">
        <f t="shared" si="6"/>
        <v>-542350</v>
      </c>
      <c r="N35" s="75">
        <f t="shared" si="6"/>
        <v>-635870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-158490.00000000003</v>
      </c>
      <c r="V35" s="75">
        <f>SUM(V4:V34)</f>
        <v>25199869.100000001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0</v>
      </c>
      <c r="C4" s="1">
        <f>'Kwh Consumption'!C5</f>
        <v>-435390</v>
      </c>
      <c r="D4" s="1">
        <f>'Kwh Consumption'!D5</f>
        <v>-2458500</v>
      </c>
      <c r="E4" s="1">
        <f>'Kwh Consumption'!E5</f>
        <v>-237250</v>
      </c>
      <c r="F4" s="1">
        <f>('Kwh Consumption'!F5+'Kwh Consumption'!G5+'Kwh Consumption'!H5)</f>
        <v>-914730</v>
      </c>
      <c r="G4" s="16">
        <f>('Kwh Consumption'!I5+'Kwh Consumption'!J5)</f>
        <v>-286080</v>
      </c>
      <c r="H4" s="1">
        <f>('Kwh Consumption'!K5+'Kwh Consumption'!L5)</f>
        <v>-1271030</v>
      </c>
      <c r="I4" s="1">
        <f>('Kwh Consumption'!M5+'Kwh Consumption'!N5+'Kwh Consumption'!O5+'Kwh Consumption'!P5+'Kwh Consumption'!Q5+'Kwh Consumption'!R5)</f>
        <v>-3583560</v>
      </c>
      <c r="J4" s="1">
        <f>('Kwh Consumption'!S5+'Kwh Consumption'!T5)</f>
        <v>-15845042.93</v>
      </c>
      <c r="K4" s="1">
        <f>'Kwh Consumption'!U5</f>
        <v>-158700</v>
      </c>
      <c r="L4" s="32">
        <f t="shared" si="0"/>
        <v>25190282.93</v>
      </c>
    </row>
    <row r="5" spans="1:12" x14ac:dyDescent="0.25">
      <c r="A5" s="14">
        <f>'Kwh Reading'!A6</f>
        <v>44411</v>
      </c>
      <c r="B5" s="83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2">
        <f t="shared" si="0"/>
        <v>0</v>
      </c>
    </row>
    <row r="6" spans="1:12" x14ac:dyDescent="0.25">
      <c r="A6" s="14">
        <f>'Kwh Reading'!A7</f>
        <v>44412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44413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44414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44415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44416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44417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44418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44419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44420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21469.999999999345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-158490.00000000003</v>
      </c>
      <c r="L34" s="75">
        <f t="shared" si="1"/>
        <v>25195819.099999998</v>
      </c>
      <c r="M34" s="84">
        <f>C34+D34+E34+F34+G34+H34+I34+J34+K34+L34</f>
        <v>21469.999999996275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-60891.600000000006</v>
      </c>
      <c r="D36" s="75">
        <f>D34*B36</f>
        <v>-343840.00000000006</v>
      </c>
      <c r="E36" s="75">
        <f>E34*B36</f>
        <v>-33181.4</v>
      </c>
      <c r="F36" s="75">
        <f>F34*B36</f>
        <v>-127943.20000000001</v>
      </c>
      <c r="G36" s="75">
        <f>G34*B36</f>
        <v>-40003.600000000006</v>
      </c>
      <c r="H36" s="75">
        <f>H34*B36</f>
        <v>-177699.20000000001</v>
      </c>
      <c r="I36" s="75">
        <f>I34*B36</f>
        <v>-501111.80000000005</v>
      </c>
      <c r="J36" s="75">
        <f>J34*B36</f>
        <v>-2217549.4739999999</v>
      </c>
      <c r="K36" s="75">
        <f>K34*B36</f>
        <v>-22188.600000000006</v>
      </c>
      <c r="L36" s="75">
        <f>L34*B36</f>
        <v>3527414.6740000001</v>
      </c>
      <c r="M36" s="84">
        <f>C36+D36+E36+F36+G36+H36+I36+J36+K36+L36</f>
        <v>3005.7999999998137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62.999999999998415</v>
      </c>
      <c r="E3" s="1">
        <f>'Kwh Consumption'!D4*' Kwh area wise $ '!B3</f>
        <v>349.99999999999261</v>
      </c>
      <c r="F3" s="1">
        <f>'Kwh Consumption'!E4*' Kwh area wise $ '!B3</f>
        <v>33.600000000001273</v>
      </c>
      <c r="G3" s="1">
        <f>('Kwh Consumption'!F4+'Kwh Consumption'!G4+'Kwh Consumption'!H4)*' Kwh area wise $ '!B3</f>
        <v>118.99999999999922</v>
      </c>
      <c r="H3" s="16">
        <f>('Kwh Consumption'!I4+'Kwh Consumption'!J4)*' Kwh area wise $ '!B3</f>
        <v>47.600000000000485</v>
      </c>
      <c r="I3" s="1">
        <f>('Kwh Consumption'!K4+'Kwh Consumption'!L4)*' Kwh area wise $ '!B3</f>
        <v>244.99999999999605</v>
      </c>
      <c r="J3" s="1">
        <f>('Kwh Consumption'!M4+'Kwh Consumption'!N4+'Kwh Consumption'!O4+'Kwh Consumption'!P4+'Kwh Consumption'!Q4+'Kwh Consumption'!R4)*' Kwh area wise $ '!B3</f>
        <v>586.59999999999172</v>
      </c>
      <c r="K3" s="1">
        <f>('Kwh Consumption'!S4+'Kwh Consumption'!T4)*' Kwh area wise $ '!B3</f>
        <v>756.53620000001047</v>
      </c>
      <c r="L3" s="1">
        <f>'Kwh Consumption'!U4*' Kwh area wise $ '!B3</f>
        <v>29.399999999997139</v>
      </c>
      <c r="M3" s="1">
        <f>'Kwh Consumption'!V4*' Kwh area wise $ '!B3</f>
        <v>1342.0638000000129</v>
      </c>
    </row>
    <row r="4" spans="1:13" x14ac:dyDescent="0.25">
      <c r="A4" s="14">
        <f>'Kwh Reading'!A5</f>
        <v>44410</v>
      </c>
      <c r="B4" s="11">
        <f>TOTAL!F3</f>
        <v>0.14000000000000001</v>
      </c>
      <c r="C4" s="11">
        <f>'Kwh Consumption'!B5*' Kwh area wise $ '!B4</f>
        <v>0</v>
      </c>
      <c r="D4" s="1">
        <f>'Kwh Consumption'!C5*' Kwh area wise $ '!B4</f>
        <v>-60954.600000000006</v>
      </c>
      <c r="E4" s="1">
        <f>'Kwh Consumption'!D5*' Kwh area wise $ '!B4</f>
        <v>-344190.00000000006</v>
      </c>
      <c r="F4" s="1">
        <f>'Kwh Consumption'!E5*' Kwh area wise $ '!B4</f>
        <v>-33215</v>
      </c>
      <c r="G4" s="1">
        <f>('Kwh Consumption'!F5+'Kwh Consumption'!G5+'Kwh Consumption'!H5)*' Kwh area wise $ '!B4</f>
        <v>-128062.20000000001</v>
      </c>
      <c r="H4" s="16">
        <f>('Kwh Consumption'!I5+'Kwh Consumption'!J5)*' Kwh area wise $ '!B4</f>
        <v>-40051.200000000004</v>
      </c>
      <c r="I4" s="1">
        <f>('Kwh Consumption'!K5+'Kwh Consumption'!L5)*' Kwh area wise $ '!B4</f>
        <v>-177944.2</v>
      </c>
      <c r="J4" s="1">
        <f>('Kwh Consumption'!M5+'Kwh Consumption'!N5+'Kwh Consumption'!O5+'Kwh Consumption'!P5+'Kwh Consumption'!Q5+'Kwh Consumption'!R5)*' Kwh area wise $ '!B4</f>
        <v>-501698.4</v>
      </c>
      <c r="K4" s="1">
        <f>('Kwh Consumption'!S5+'Kwh Consumption'!T5)*' Kwh area wise $ '!B4</f>
        <v>-2218306.0102000004</v>
      </c>
      <c r="L4" s="1">
        <f>'Kwh Consumption'!U5*' Kwh area wise $ '!B4</f>
        <v>-22218.000000000004</v>
      </c>
      <c r="M4" s="1">
        <f>'Kwh Consumption'!V5*' Kwh area wise $ '!B4</f>
        <v>3526639.6102000005</v>
      </c>
    </row>
    <row r="5" spans="1:13" x14ac:dyDescent="0.25">
      <c r="A5" s="14">
        <f>'Kwh Reading'!A6</f>
        <v>44411</v>
      </c>
      <c r="B5" s="11">
        <f>TOTAL!F4</f>
        <v>0.14000000000000001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44412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44413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44414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44415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44416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44417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44418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44419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44420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44421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44422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3572.8</v>
      </c>
      <c r="D34" s="75">
        <f t="shared" si="0"/>
        <v>-60891.600000000006</v>
      </c>
      <c r="E34" s="75">
        <f t="shared" si="0"/>
        <v>-343840.00000000006</v>
      </c>
      <c r="F34" s="75">
        <f t="shared" si="0"/>
        <v>-33181.4</v>
      </c>
      <c r="G34" s="75">
        <f t="shared" si="0"/>
        <v>-127943.20000000001</v>
      </c>
      <c r="H34" s="75">
        <f t="shared" si="0"/>
        <v>-40003.600000000006</v>
      </c>
      <c r="I34" s="75">
        <f t="shared" si="0"/>
        <v>-177699.20000000001</v>
      </c>
      <c r="J34" s="75">
        <f t="shared" si="0"/>
        <v>-501111.80000000005</v>
      </c>
      <c r="K34" s="75">
        <f t="shared" si="0"/>
        <v>-2217549.4740000004</v>
      </c>
      <c r="L34" s="75">
        <f t="shared" si="0"/>
        <v>-22188.600000000006</v>
      </c>
      <c r="M34" s="75">
        <f>SUM(M3:M33)</f>
        <v>3527981.6740000006</v>
      </c>
      <c r="N34" s="84">
        <f>D34+E34+F34+G34+H34+I34+J34+K34+L34+M34</f>
        <v>3572.7999999998137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4" sqref="R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135492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/>
      <c r="C5" s="33"/>
      <c r="D5" s="55"/>
      <c r="E5" s="55"/>
      <c r="F5" s="55"/>
      <c r="G5" s="55"/>
      <c r="H5" s="33"/>
      <c r="I5" s="55"/>
      <c r="J5" s="55"/>
      <c r="K5" s="55"/>
      <c r="L5" s="55"/>
      <c r="M5" s="55"/>
      <c r="N5" s="55"/>
      <c r="O5" s="55"/>
      <c r="P5" s="55"/>
      <c r="Q5" s="33"/>
      <c r="R5" s="55"/>
    </row>
    <row r="6" spans="1:21" x14ac:dyDescent="0.25">
      <c r="A6" s="54">
        <v>44412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21" x14ac:dyDescent="0.25">
      <c r="A7" s="54">
        <v>44413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21" x14ac:dyDescent="0.25">
      <c r="A8" s="54">
        <v>44414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44415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44416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44417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44418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44419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44420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44421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344</v>
      </c>
      <c r="D4" s="67">
        <f>C4/B4</f>
        <v>0.73347547974413652</v>
      </c>
      <c r="E4" s="88">
        <f>'Water Reading'!H4-'Water Reading'!H3</f>
        <v>28</v>
      </c>
      <c r="F4" s="89">
        <f>E4/C4</f>
        <v>8.1395348837209308E-2</v>
      </c>
      <c r="G4" s="93">
        <f>('Water Reading'!D4-'Water Reading'!D3)-('Water Reading'!R4-'Water Reading'!R3)-('Water Reading'!Q4-'Water Reading'!Q3)</f>
        <v>189</v>
      </c>
      <c r="H4" s="89">
        <f>G4/C4</f>
        <v>0.54941860465116277</v>
      </c>
      <c r="I4" s="90">
        <f>'Water Reading'!P4-'Water Reading'!P3</f>
        <v>10</v>
      </c>
      <c r="J4" s="68">
        <f>I4/C4</f>
        <v>2.9069767441860465E-2</v>
      </c>
      <c r="K4" s="91">
        <f>('Water Reading'!I4-'Water Reading'!I3)-('Water Reading'!P4-'Water Reading'!P3)</f>
        <v>16</v>
      </c>
      <c r="L4" s="68">
        <f>K4/C4</f>
        <v>4.6511627906976744E-2</v>
      </c>
      <c r="M4" s="90">
        <f>'Water Reading'!R4-'Water Reading'!R3</f>
        <v>7</v>
      </c>
      <c r="N4" s="92">
        <f>M4/C4</f>
        <v>2.0348837209302327E-2</v>
      </c>
      <c r="O4" s="90">
        <f>'Water Reading'!Q4-'Water Reading'!Q3</f>
        <v>6</v>
      </c>
      <c r="P4" s="99">
        <f>O4/C4</f>
        <v>1.7441860465116279E-2</v>
      </c>
      <c r="Q4" s="91">
        <f>'Water Reading'!F4-'Water Reading'!F3</f>
        <v>1</v>
      </c>
      <c r="R4" s="100">
        <f>Q4/C4</f>
        <v>2.9069767441860465E-3</v>
      </c>
      <c r="S4" s="90">
        <f>'Water Reading'!E4-'Water Reading'!E3</f>
        <v>60</v>
      </c>
      <c r="T4" s="100">
        <f>S4/C4</f>
        <v>0.1744186046511628</v>
      </c>
      <c r="U4" s="90">
        <f>'Water Reading'!G4-'Water Reading'!G3</f>
        <v>21</v>
      </c>
      <c r="V4" s="100">
        <f>U4/C4</f>
        <v>6.1046511627906974E-2</v>
      </c>
      <c r="W4" s="90">
        <f>'Water Reading'!J4-'Water Reading'!J3</f>
        <v>11</v>
      </c>
      <c r="X4" s="100">
        <f>W4/C4</f>
        <v>3.1976744186046513E-2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0</v>
      </c>
      <c r="C5" s="66">
        <f>('Water Reading'!B5-'Water Reading'!B4)+('Water Reading'!C5-'Water Reading'!C4)</f>
        <v>-309418</v>
      </c>
      <c r="D5" s="67" t="e">
        <f t="shared" ref="D5:D34" si="2">C5/B5</f>
        <v>#DIV/0!</v>
      </c>
      <c r="E5" s="88">
        <f>'Water Reading'!H5-'Water Reading'!H4</f>
        <v>-54356</v>
      </c>
      <c r="F5" s="89">
        <f t="shared" ref="F5:F34" si="3">E5/C5</f>
        <v>0.17567174501806618</v>
      </c>
      <c r="G5" s="93">
        <f>('Water Reading'!D5-'Water Reading'!D4)-('Water Reading'!R5-'Water Reading'!R4)-('Water Reading'!Q5-'Water Reading'!Q4)</f>
        <v>-206853</v>
      </c>
      <c r="H5" s="89">
        <f t="shared" ref="H5:H34" si="4">G5/C5</f>
        <v>0.66852283965380166</v>
      </c>
      <c r="I5" s="90">
        <f>'Water Reading'!P5-'Water Reading'!P4</f>
        <v>-27298</v>
      </c>
      <c r="J5" s="68">
        <f t="shared" ref="J5:J34" si="5">I5/C5</f>
        <v>8.8223697393170403E-2</v>
      </c>
      <c r="K5" s="91">
        <f>('Water Reading'!I5-'Water Reading'!I4)-('Water Reading'!P5-'Water Reading'!P4)</f>
        <v>-37168</v>
      </c>
      <c r="L5" s="68">
        <f t="shared" ref="L5:L34" si="6">K5/C5</f>
        <v>0.12012229411346463</v>
      </c>
      <c r="M5" s="90">
        <f>'Water Reading'!R5-'Water Reading'!R4</f>
        <v>-6401</v>
      </c>
      <c r="N5" s="92">
        <f t="shared" ref="N5:N34" si="7">M5/C5</f>
        <v>2.0687225694691325E-2</v>
      </c>
      <c r="O5" s="90">
        <f>'Water Reading'!Q5-'Water Reading'!Q4</f>
        <v>-781</v>
      </c>
      <c r="P5" s="99">
        <f t="shared" ref="P5:P34" si="8">O5/C5</f>
        <v>2.5240936209270305E-3</v>
      </c>
      <c r="Q5" s="91">
        <f>'Water Reading'!F5-'Water Reading'!F4</f>
        <v>-66957</v>
      </c>
      <c r="R5" s="100">
        <f t="shared" ref="R5:R34" si="9">Q5/C5</f>
        <v>0.21639658972651882</v>
      </c>
      <c r="S5" s="90">
        <f>'Water Reading'!E5-'Water Reading'!E4</f>
        <v>-249756</v>
      </c>
      <c r="T5" s="100">
        <f t="shared" ref="T5:T34" si="10">S5/C5</f>
        <v>0.80717993135499555</v>
      </c>
      <c r="U5" s="90">
        <f>'Water Reading'!G5-'Water Reading'!G4</f>
        <v>-112211</v>
      </c>
      <c r="V5" s="100">
        <f t="shared" ref="V5:V34" si="11">U5/C5</f>
        <v>0.36265181728276957</v>
      </c>
      <c r="W5" s="90">
        <f>'Water Reading'!J5-'Water Reading'!J4</f>
        <v>-20676</v>
      </c>
      <c r="X5" s="100">
        <f t="shared" ref="X5:X34" si="12">W5/C5</f>
        <v>6.6822227536859527E-2</v>
      </c>
      <c r="Y5" s="66">
        <f t="shared" si="0"/>
        <v>-782457</v>
      </c>
      <c r="Z5" s="67" t="e">
        <f t="shared" si="1"/>
        <v>#DIV/0!</v>
      </c>
    </row>
    <row r="6" spans="1:26" x14ac:dyDescent="0.25">
      <c r="A6" s="8">
        <f>'Water Reading'!A5</f>
        <v>44411</v>
      </c>
      <c r="B6" s="65">
        <f>TOTAL!I4</f>
        <v>0</v>
      </c>
      <c r="C6" s="66">
        <f>('Water Reading'!B6-'Water Reading'!B5)+('Water Reading'!C6-'Water Reading'!C5)</f>
        <v>0</v>
      </c>
      <c r="D6" s="67" t="e">
        <f t="shared" si="2"/>
        <v>#DIV/0!</v>
      </c>
      <c r="E6" s="88">
        <f>'Water Reading'!H6-'Water Reading'!H5</f>
        <v>0</v>
      </c>
      <c r="F6" s="89" t="e">
        <f t="shared" si="3"/>
        <v>#DIV/0!</v>
      </c>
      <c r="G6" s="93">
        <f>('Water Reading'!D6-'Water Reading'!D5)-('Water Reading'!R6-'Water Reading'!R5)-('Water Reading'!Q6-'Water Reading'!Q5)</f>
        <v>0</v>
      </c>
      <c r="H6" s="89" t="e">
        <f t="shared" si="4"/>
        <v>#DIV/0!</v>
      </c>
      <c r="I6" s="90">
        <f>'Water Reading'!P6-'Water Reading'!P5</f>
        <v>0</v>
      </c>
      <c r="J6" s="68" t="e">
        <f t="shared" si="5"/>
        <v>#DIV/0!</v>
      </c>
      <c r="K6" s="91">
        <f>('Water Reading'!I6-'Water Reading'!I5)-('Water Reading'!P6-'Water Reading'!P5)</f>
        <v>0</v>
      </c>
      <c r="L6" s="68" t="e">
        <f t="shared" si="6"/>
        <v>#DIV/0!</v>
      </c>
      <c r="M6" s="90">
        <f>'Water Reading'!R6-'Water Reading'!R5</f>
        <v>0</v>
      </c>
      <c r="N6" s="92" t="e">
        <f t="shared" si="7"/>
        <v>#DIV/0!</v>
      </c>
      <c r="O6" s="90">
        <f>'Water Reading'!Q6-'Water Reading'!Q5</f>
        <v>0</v>
      </c>
      <c r="P6" s="99" t="e">
        <f t="shared" si="8"/>
        <v>#DIV/0!</v>
      </c>
      <c r="Q6" s="91">
        <f>'Water Reading'!F6-'Water Reading'!F5</f>
        <v>0</v>
      </c>
      <c r="R6" s="100" t="e">
        <f t="shared" si="9"/>
        <v>#DIV/0!</v>
      </c>
      <c r="S6" s="90">
        <f>'Water Reading'!E6-'Water Reading'!E5</f>
        <v>0</v>
      </c>
      <c r="T6" s="100" t="e">
        <f t="shared" si="10"/>
        <v>#DIV/0!</v>
      </c>
      <c r="U6" s="90">
        <f>'Water Reading'!G6-'Water Reading'!G5</f>
        <v>0</v>
      </c>
      <c r="V6" s="100" t="e">
        <f t="shared" si="11"/>
        <v>#DIV/0!</v>
      </c>
      <c r="W6" s="90">
        <f>'Water Reading'!J6-'Water Reading'!J5</f>
        <v>0</v>
      </c>
      <c r="X6" s="100" t="e">
        <f t="shared" si="12"/>
        <v>#DIV/0!</v>
      </c>
      <c r="Y6" s="66">
        <f t="shared" si="0"/>
        <v>0</v>
      </c>
      <c r="Z6" s="67" t="e">
        <f t="shared" si="1"/>
        <v>#DIV/0!</v>
      </c>
    </row>
    <row r="7" spans="1:26" x14ac:dyDescent="0.25">
      <c r="A7" s="8">
        <f>'Water Reading'!A6</f>
        <v>44412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Reading'!I6)-('Water Reading'!P7-'Water Reading'!P6)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44413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Reading'!I7)-('Water Reading'!P8-'Water Reading'!P7)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44414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44415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44416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44417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44418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44419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44420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469</v>
      </c>
      <c r="C35" s="75">
        <f>SUM(C4:C34)</f>
        <v>-309074</v>
      </c>
      <c r="D35" s="96">
        <f>C35/B35</f>
        <v>-659.00639658848615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-1667.6076759061834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2021-08-02T06:12:28Z</dcterms:modified>
  <cp:category/>
  <cp:contentStatus/>
</cp:coreProperties>
</file>