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34" i="4" l="1"/>
  <c r="M146" i="4"/>
  <c r="M152" i="4"/>
  <c r="M170" i="4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30" i="4"/>
  <c r="K142" i="4"/>
  <c r="K143" i="4"/>
  <c r="K148" i="4"/>
  <c r="K149" i="4"/>
  <c r="K154" i="4"/>
  <c r="K155" i="4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J143" i="4"/>
  <c r="J144" i="4"/>
  <c r="K144" i="4" s="1"/>
  <c r="J145" i="4"/>
  <c r="K145" i="4" s="1"/>
  <c r="J146" i="4"/>
  <c r="K146" i="4" s="1"/>
  <c r="J147" i="4"/>
  <c r="K147" i="4" s="1"/>
  <c r="J148" i="4"/>
  <c r="J149" i="4"/>
  <c r="J150" i="4"/>
  <c r="K150" i="4" s="1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20" i="4" l="1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F172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F163" i="1" s="1"/>
  <c r="E301" i="1"/>
  <c r="F301" i="1" s="1"/>
  <c r="F314" i="1"/>
  <c r="E122" i="1"/>
  <c r="F122" i="1" s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F157" i="1" s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F168" i="1" s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F158" i="1" s="1"/>
  <c r="E167" i="1"/>
  <c r="F167" i="1" s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F140" i="1" s="1"/>
  <c r="E149" i="1"/>
  <c r="F149" i="1" s="1"/>
  <c r="E154" i="1"/>
  <c r="F154" i="1" s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F161" i="1" s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F145" i="1" s="1"/>
  <c r="E155" i="1"/>
  <c r="F155" i="1" s="1"/>
  <c r="E160" i="1"/>
  <c r="F160" i="1" s="1"/>
  <c r="E165" i="1"/>
  <c r="F165" i="1" s="1"/>
  <c r="E170" i="1"/>
  <c r="F170" i="1" s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F128" i="1" s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F144" i="1" s="1"/>
  <c r="E209" i="1"/>
  <c r="F209" i="1" s="1"/>
  <c r="E19" i="1"/>
  <c r="E69" i="1"/>
  <c r="F69" i="1" s="1"/>
  <c r="E136" i="1"/>
  <c r="F136" i="1" s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F123" i="1" s="1"/>
  <c r="E127" i="1"/>
  <c r="F127" i="1" s="1"/>
  <c r="E131" i="1"/>
  <c r="F131" i="1" s="1"/>
  <c r="E135" i="1"/>
  <c r="F135" i="1" s="1"/>
  <c r="E139" i="1"/>
  <c r="F139" i="1" s="1"/>
  <c r="E151" i="1"/>
  <c r="F151" i="1" s="1"/>
  <c r="E64" i="1"/>
  <c r="F64" i="1" s="1"/>
  <c r="M81" i="4"/>
  <c r="E80" i="1"/>
  <c r="E124" i="1"/>
  <c r="F124" i="1" s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146" i="1" s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F126" i="1" s="1"/>
  <c r="E130" i="1"/>
  <c r="F130" i="1" s="1"/>
  <c r="E134" i="1"/>
  <c r="F134" i="1" s="1"/>
  <c r="E138" i="1"/>
  <c r="F138" i="1" s="1"/>
  <c r="P146" i="4"/>
  <c r="E150" i="1"/>
  <c r="F150" i="1" s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F142" i="1" s="1"/>
  <c r="M363" i="4"/>
  <c r="E362" i="1"/>
  <c r="F362" i="1" s="1"/>
  <c r="F143" i="1"/>
  <c r="F152" i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F125" i="1" s="1"/>
  <c r="E129" i="1"/>
  <c r="F129" i="1" s="1"/>
  <c r="E133" i="1"/>
  <c r="F133" i="1" s="1"/>
  <c r="E137" i="1"/>
  <c r="F137" i="1" s="1"/>
  <c r="E147" i="1"/>
  <c r="F147" i="1" s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F141" i="1" s="1"/>
  <c r="E153" i="1"/>
  <c r="F153" i="1" s="1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<sst xmlns="http://schemas.openxmlformats.org/spreadsheetml/2006/main" count="606" uniqueCount="76">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</sst>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85" workbookViewId="0">
      <selection activeCell="O114" sqref="O11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4">
        <v>0.67</v>
      </c>
      <c r="G120" s="4" t="str">
        <f>'Gas Water'!M122</f>
        <v/>
      </c>
      <c r="H120" s="154">
        <v>1.77</v>
      </c>
      <c r="I120" s="2" t="str">
        <f>'Gas Water'!L122</f>
        <v/>
      </c>
      <c r="J120" s="154">
        <v>12.93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4">
        <v>0.67</v>
      </c>
      <c r="G121" s="4" t="str">
        <f>'Gas Water'!M123</f>
        <v/>
      </c>
      <c r="H121" s="154">
        <v>1.77</v>
      </c>
      <c r="I121" s="2" t="str">
        <f>'Gas Water'!L123</f>
        <v/>
      </c>
      <c r="J121" s="154">
        <v>12.93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4" t="e">
        <f>('Electricity '!I123*0.55+'Gas Water'!H124*1.88)/(Total!E122)</f>
        <v>#VALUE!</v>
      </c>
      <c r="G122" s="4" t="str">
        <f>'Gas Water'!M124</f>
        <v/>
      </c>
      <c r="H122" s="154">
        <v>1.88</v>
      </c>
      <c r="I122" s="2" t="str">
        <f>'Gas Water'!L124</f>
        <v/>
      </c>
      <c r="J122" s="154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4" t="e">
        <f>('Electricity '!I124*0.55+'Gas Water'!H125*1.88)/(Total!E123)</f>
        <v>#VALUE!</v>
      </c>
      <c r="G123" s="4" t="str">
        <f>'Gas Water'!M125</f>
        <v/>
      </c>
      <c r="H123" s="154">
        <v>1.88</v>
      </c>
      <c r="I123" s="2" t="str">
        <f>'Gas Water'!L125</f>
        <v/>
      </c>
      <c r="J123" s="154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4" t="e">
        <f>('Electricity '!I125*0.55+'Gas Water'!H126*1.88)/(Total!E124)</f>
        <v>#VALUE!</v>
      </c>
      <c r="G124" s="4" t="str">
        <f>'Gas Water'!M126</f>
        <v/>
      </c>
      <c r="H124" s="154">
        <v>1.88</v>
      </c>
      <c r="I124" s="2" t="str">
        <f>'Gas Water'!L126</f>
        <v/>
      </c>
      <c r="J124" s="154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4" t="e">
        <f>('Electricity '!I126*0.55+'Gas Water'!H127*1.88)/(Total!E125)</f>
        <v>#VALUE!</v>
      </c>
      <c r="G125" s="4" t="str">
        <f>'Gas Water'!M127</f>
        <v/>
      </c>
      <c r="H125" s="154">
        <v>1.88</v>
      </c>
      <c r="I125" s="2" t="str">
        <f>'Gas Water'!L127</f>
        <v/>
      </c>
      <c r="J125" s="154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4" t="e">
        <f>('Electricity '!I127*0.55+'Gas Water'!H128*1.88)/(Total!E126)</f>
        <v>#VALUE!</v>
      </c>
      <c r="G126" s="4" t="str">
        <f>'Gas Water'!M128</f>
        <v/>
      </c>
      <c r="H126" s="154">
        <v>1.88</v>
      </c>
      <c r="I126" s="2" t="str">
        <f>'Gas Water'!L128</f>
        <v/>
      </c>
      <c r="J126" s="154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4" t="e">
        <f>('Electricity '!I128*0.55+'Gas Water'!H129*1.88)/(Total!E127)</f>
        <v>#VALUE!</v>
      </c>
      <c r="G127" s="4" t="str">
        <f>'Gas Water'!M129</f>
        <v/>
      </c>
      <c r="H127" s="154">
        <v>1.88</v>
      </c>
      <c r="I127" s="2" t="str">
        <f>'Gas Water'!L129</f>
        <v/>
      </c>
      <c r="J127" s="154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4" t="e">
        <f>('Electricity '!I129*0.55+'Gas Water'!H130*1.88)/(Total!E128)</f>
        <v>#VALUE!</v>
      </c>
      <c r="G128" s="4" t="str">
        <f>'Gas Water'!M130</f>
        <v/>
      </c>
      <c r="H128" s="154">
        <v>1.88</v>
      </c>
      <c r="I128" s="2" t="str">
        <f>'Gas Water'!L130</f>
        <v/>
      </c>
      <c r="J128" s="154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4" t="e">
        <f>('Electricity '!I130*0.55+'Gas Water'!H131*1.88)/(Total!E129)</f>
        <v>#VALUE!</v>
      </c>
      <c r="G129" s="4" t="str">
        <f>'Gas Water'!M131</f>
        <v/>
      </c>
      <c r="H129" s="154">
        <v>1.88</v>
      </c>
      <c r="I129" s="2" t="str">
        <f>'Gas Water'!L131</f>
        <v/>
      </c>
      <c r="J129" s="154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4" t="e">
        <f>('Electricity '!I131*0.55+'Gas Water'!H132*1.88)/(Total!E130)</f>
        <v>#VALUE!</v>
      </c>
      <c r="G130" s="4" t="str">
        <f>'Gas Water'!M132</f>
        <v/>
      </c>
      <c r="H130" s="154">
        <v>1.88</v>
      </c>
      <c r="I130" s="2" t="str">
        <f>'Gas Water'!L132</f>
        <v/>
      </c>
      <c r="J130" s="154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4" t="e">
        <f>('Electricity '!I132*0.55+'Gas Water'!H133*1.88)/(Total!E131)</f>
        <v>#VALUE!</v>
      </c>
      <c r="G131" s="4" t="str">
        <f>'Gas Water'!M133</f>
        <v/>
      </c>
      <c r="H131" s="154">
        <v>1.88</v>
      </c>
      <c r="I131" s="2" t="str">
        <f>'Gas Water'!L133</f>
        <v/>
      </c>
      <c r="J131" s="154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4" t="e">
        <f>('Electricity '!I133*0.55+'Gas Water'!H134*1.88)/(Total!E132)</f>
        <v>#VALUE!</v>
      </c>
      <c r="G132" s="4" t="str">
        <f>'Gas Water'!M134</f>
        <v/>
      </c>
      <c r="H132" s="154">
        <v>1.88</v>
      </c>
      <c r="I132" s="2" t="str">
        <f>'Gas Water'!L134</f>
        <v/>
      </c>
      <c r="J132" s="154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4" t="e">
        <f>('Electricity '!I134*0.55+'Gas Water'!H135*1.88)/(Total!E133)</f>
        <v>#VALUE!</v>
      </c>
      <c r="G133" s="4" t="str">
        <f>'Gas Water'!M135</f>
        <v/>
      </c>
      <c r="H133" s="154">
        <v>1.88</v>
      </c>
      <c r="I133" s="2" t="str">
        <f>'Gas Water'!L135</f>
        <v/>
      </c>
      <c r="J133" s="154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4" t="e">
        <f>('Electricity '!I135*0.55+'Gas Water'!H136*1.88)/(Total!E134)</f>
        <v>#VALUE!</v>
      </c>
      <c r="G134" s="4" t="str">
        <f>'Gas Water'!M136</f>
        <v/>
      </c>
      <c r="H134" s="154">
        <v>1.88</v>
      </c>
      <c r="I134" s="2" t="str">
        <f>'Gas Water'!L136</f>
        <v/>
      </c>
      <c r="J134" s="154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4" t="e">
        <f>('Electricity '!I136*0.55+'Gas Water'!H137*1.88)/(Total!E135)</f>
        <v>#VALUE!</v>
      </c>
      <c r="G135" s="4" t="str">
        <f>'Gas Water'!M137</f>
        <v/>
      </c>
      <c r="H135" s="154">
        <v>1.88</v>
      </c>
      <c r="I135" s="2" t="str">
        <f>'Gas Water'!L137</f>
        <v/>
      </c>
      <c r="J135" s="154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4" t="e">
        <f>('Electricity '!I137*0.55+'Gas Water'!H138*1.88)/(Total!E136)</f>
        <v>#VALUE!</v>
      </c>
      <c r="G136" s="4" t="str">
        <f>'Gas Water'!M138</f>
        <v/>
      </c>
      <c r="H136" s="154">
        <v>1.88</v>
      </c>
      <c r="I136" s="2" t="str">
        <f>'Gas Water'!L138</f>
        <v/>
      </c>
      <c r="J136" s="154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4" t="e">
        <f>('Electricity '!I138*0.55+'Gas Water'!H139*1.88)/(Total!E137)</f>
        <v>#VALUE!</v>
      </c>
      <c r="G137" s="4" t="str">
        <f>'Gas Water'!M139</f>
        <v/>
      </c>
      <c r="H137" s="154">
        <v>1.88</v>
      </c>
      <c r="I137" s="2" t="str">
        <f>'Gas Water'!L139</f>
        <v/>
      </c>
      <c r="J137" s="154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4" t="e">
        <f>('Electricity '!I139*0.55+'Gas Water'!H140*1.88)/(Total!E138)</f>
        <v>#VALUE!</v>
      </c>
      <c r="G138" s="4" t="str">
        <f>'Gas Water'!M140</f>
        <v/>
      </c>
      <c r="H138" s="154">
        <v>1.88</v>
      </c>
      <c r="I138" s="2" t="str">
        <f>'Gas Water'!L140</f>
        <v/>
      </c>
      <c r="J138" s="154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4" t="e">
        <f>('Electricity '!I140*0.55+'Gas Water'!H141*1.88)/(Total!E139)</f>
        <v>#VALUE!</v>
      </c>
      <c r="G139" s="4" t="str">
        <f>'Gas Water'!M141</f>
        <v/>
      </c>
      <c r="H139" s="154">
        <v>1.88</v>
      </c>
      <c r="I139" s="2" t="str">
        <f>'Gas Water'!L141</f>
        <v/>
      </c>
      <c r="J139" s="154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4" t="e">
        <f>('Electricity '!I141*0.55+'Gas Water'!H142*1.88)/(Total!E140)</f>
        <v>#VALUE!</v>
      </c>
      <c r="G140" s="4" t="str">
        <f>'Gas Water'!M142</f>
        <v/>
      </c>
      <c r="H140" s="154">
        <v>1.88</v>
      </c>
      <c r="I140" s="2" t="str">
        <f>'Gas Water'!L142</f>
        <v/>
      </c>
      <c r="J140" s="154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 t="e">
        <f>('Electricity '!I142*0.55+'Gas Water'!H143*1.88)/(Total!E141)</f>
        <v>#VALUE!</v>
      </c>
      <c r="G141" s="4" t="str">
        <f>'Gas Water'!M143</f>
        <v/>
      </c>
      <c r="H141" s="154">
        <v>1.88</v>
      </c>
      <c r="I141" s="2" t="str">
        <f>'Gas Water'!L143</f>
        <v/>
      </c>
      <c r="J141" s="154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 t="e">
        <f>('Electricity '!I143*0.55+'Gas Water'!H144*1.88)/(Total!E142)</f>
        <v>#VALUE!</v>
      </c>
      <c r="G142" s="4" t="str">
        <f>'Gas Water'!M144</f>
        <v/>
      </c>
      <c r="H142" s="154">
        <v>1.88</v>
      </c>
      <c r="I142" s="2" t="str">
        <f>'Gas Water'!L144</f>
        <v/>
      </c>
      <c r="J142" s="154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 t="e">
        <f>('Electricity '!I144*0.55+'Gas Water'!H145*1.88)/(Total!E143)</f>
        <v>#VALUE!</v>
      </c>
      <c r="G143" s="4" t="str">
        <f>'Gas Water'!M145</f>
        <v/>
      </c>
      <c r="H143" s="154">
        <v>1.88</v>
      </c>
      <c r="I143" s="2" t="str">
        <f>'Gas Water'!L145</f>
        <v/>
      </c>
      <c r="J143" s="154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 t="e">
        <f>('Electricity '!I145*0.55+'Gas Water'!H146*1.88)/(Total!E144)</f>
        <v>#VALUE!</v>
      </c>
      <c r="G144" s="4" t="str">
        <f>'Gas Water'!M146</f>
        <v/>
      </c>
      <c r="H144" s="154">
        <v>1.88</v>
      </c>
      <c r="I144" s="2" t="str">
        <f>'Gas Water'!L146</f>
        <v/>
      </c>
      <c r="J144" s="154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 t="e">
        <f>('Electricity '!I146*0.55+'Gas Water'!H147*1.88)/(Total!E145)</f>
        <v>#VALUE!</v>
      </c>
      <c r="G145" s="4" t="str">
        <f>'Gas Water'!M147</f>
        <v/>
      </c>
      <c r="H145" s="154">
        <v>1.88</v>
      </c>
      <c r="I145" s="2" t="str">
        <f>'Gas Water'!L147</f>
        <v/>
      </c>
      <c r="J145" s="154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 t="e">
        <f>('Electricity '!I147*0.55+'Gas Water'!H148*1.88)/(Total!E146)</f>
        <v>#VALUE!</v>
      </c>
      <c r="G146" s="4" t="str">
        <f>'Gas Water'!M148</f>
        <v/>
      </c>
      <c r="H146" s="154">
        <v>1.88</v>
      </c>
      <c r="I146" s="2" t="str">
        <f>'Gas Water'!L148</f>
        <v/>
      </c>
      <c r="J146" s="154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 t="e">
        <f>('Electricity '!I148*0.55+'Gas Water'!H149*1.88)/(Total!E147)</f>
        <v>#VALUE!</v>
      </c>
      <c r="G147" s="4" t="str">
        <f>'Gas Water'!M149</f>
        <v/>
      </c>
      <c r="H147" s="154">
        <v>1.88</v>
      </c>
      <c r="I147" s="2" t="str">
        <f>'Gas Water'!L149</f>
        <v/>
      </c>
      <c r="J147" s="154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 t="e">
        <f>('Electricity '!I149*0.55+'Gas Water'!H150*1.88)/(Total!E148)</f>
        <v>#VALUE!</v>
      </c>
      <c r="G148" s="4" t="str">
        <f>'Gas Water'!M150</f>
        <v/>
      </c>
      <c r="H148" s="154">
        <v>1.88</v>
      </c>
      <c r="I148" s="2" t="str">
        <f>'Gas Water'!L150</f>
        <v/>
      </c>
      <c r="J148" s="154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 t="e">
        <f>('Electricity '!I150*0.55+'Gas Water'!H151*1.88)/(Total!E149)</f>
        <v>#VALUE!</v>
      </c>
      <c r="G149" s="4" t="str">
        <f>'Gas Water'!M151</f>
        <v/>
      </c>
      <c r="H149" s="154">
        <v>1.88</v>
      </c>
      <c r="I149" s="2" t="str">
        <f>'Gas Water'!L151</f>
        <v/>
      </c>
      <c r="J149" s="154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 t="e">
        <f>('Electricity '!I151*0.55+'Gas Water'!H152*1.88)/(Total!E150)</f>
        <v>#VALUE!</v>
      </c>
      <c r="G150" s="4" t="str">
        <f>'Gas Water'!M152</f>
        <v/>
      </c>
      <c r="H150" s="154">
        <v>1.88</v>
      </c>
      <c r="I150" s="2" t="str">
        <f>'Gas Water'!L152</f>
        <v/>
      </c>
      <c r="J150" s="154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 t="e">
        <f>('Electricity '!I152*0.55+'Gas Water'!H153*1.88)/(Total!E151)</f>
        <v>#VALUE!</v>
      </c>
      <c r="G151" s="4" t="str">
        <f>'Gas Water'!M153</f>
        <v/>
      </c>
      <c r="H151" s="154">
        <v>1.88</v>
      </c>
      <c r="I151" s="2" t="str">
        <f>'Gas Water'!L153</f>
        <v/>
      </c>
      <c r="J151" s="154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 t="e">
        <f>('Electricity '!I153*0.55+'Gas Water'!H154*1.88)/(Total!E152)</f>
        <v>#VALUE!</v>
      </c>
      <c r="G152" s="4" t="str">
        <f>'Gas Water'!M154</f>
        <v/>
      </c>
      <c r="H152" s="154">
        <v>1.88</v>
      </c>
      <c r="I152" s="2" t="str">
        <f>'Gas Water'!L154</f>
        <v/>
      </c>
      <c r="J152" s="154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 t="e">
        <f>('Electricity '!I154*0.55+'Gas Water'!H155*1.88)/(Total!E153)</f>
        <v>#VALUE!</v>
      </c>
      <c r="G153" s="4" t="str">
        <f>'Gas Water'!M155</f>
        <v/>
      </c>
      <c r="H153" s="154">
        <v>1.88</v>
      </c>
      <c r="I153" s="2" t="str">
        <f>'Gas Water'!L155</f>
        <v/>
      </c>
      <c r="J153" s="154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 t="e">
        <f>('Electricity '!I155*0.55+'Gas Water'!H156*1.88)/(Total!E154)</f>
        <v>#VALUE!</v>
      </c>
      <c r="G154" s="4" t="str">
        <f>'Gas Water'!M156</f>
        <v/>
      </c>
      <c r="H154" s="154">
        <v>1.88</v>
      </c>
      <c r="I154" s="2" t="str">
        <f>'Gas Water'!L156</f>
        <v/>
      </c>
      <c r="J154" s="154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 t="e">
        <f>('Electricity '!I156*0.55+'Gas Water'!H157*1.88)/(Total!E155)</f>
        <v>#VALUE!</v>
      </c>
      <c r="G155" s="4" t="str">
        <f>'Gas Water'!M157</f>
        <v/>
      </c>
      <c r="H155" s="154">
        <v>1.88</v>
      </c>
      <c r="I155" s="2" t="str">
        <f>'Gas Water'!L157</f>
        <v/>
      </c>
      <c r="J155" s="154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 t="e">
        <f>('Electricity '!I157*0.55+'Gas Water'!H158*1.88)/(Total!E156)</f>
        <v>#VALUE!</v>
      </c>
      <c r="G156" s="4" t="str">
        <f>'Gas Water'!M158</f>
        <v/>
      </c>
      <c r="H156" s="154">
        <v>1.88</v>
      </c>
      <c r="I156" s="2" t="str">
        <f>'Gas Water'!L158</f>
        <v/>
      </c>
      <c r="J156" s="154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 t="e">
        <f>('Electricity '!I158*0.55+'Gas Water'!H159*1.88)/(Total!E157)</f>
        <v>#VALUE!</v>
      </c>
      <c r="G157" s="4" t="str">
        <f>'Gas Water'!M159</f>
        <v/>
      </c>
      <c r="H157" s="154">
        <v>1.88</v>
      </c>
      <c r="I157" s="2" t="str">
        <f>'Gas Water'!L159</f>
        <v/>
      </c>
      <c r="J157" s="154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 t="e">
        <f>('Electricity '!I159*0.55+'Gas Water'!H160*1.88)/(Total!E158)</f>
        <v>#VALUE!</v>
      </c>
      <c r="G158" s="4" t="str">
        <f>'Gas Water'!M160</f>
        <v/>
      </c>
      <c r="H158" s="154">
        <v>1.88</v>
      </c>
      <c r="I158" s="2" t="str">
        <f>'Gas Water'!L160</f>
        <v/>
      </c>
      <c r="J158" s="154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 t="e">
        <f>('Electricity '!I160*0.55+'Gas Water'!H161*1.88)/(Total!E159)</f>
        <v>#VALUE!</v>
      </c>
      <c r="G159" s="4" t="str">
        <f>'Gas Water'!M161</f>
        <v/>
      </c>
      <c r="H159" s="154">
        <v>1.88</v>
      </c>
      <c r="I159" s="2" t="str">
        <f>'Gas Water'!L161</f>
        <v/>
      </c>
      <c r="J159" s="154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 t="e">
        <f>('Electricity '!I161*0.55+'Gas Water'!H162*1.88)/(Total!E160)</f>
        <v>#VALUE!</v>
      </c>
      <c r="G160" s="4" t="str">
        <f>'Gas Water'!M162</f>
        <v/>
      </c>
      <c r="H160" s="154">
        <v>1.88</v>
      </c>
      <c r="I160" s="2" t="str">
        <f>'Gas Water'!L162</f>
        <v/>
      </c>
      <c r="J160" s="154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 t="e">
        <f>('Electricity '!I162*0.55+'Gas Water'!H163*1.88)/(Total!E161)</f>
        <v>#VALUE!</v>
      </c>
      <c r="G161" s="4" t="str">
        <f>'Gas Water'!M163</f>
        <v/>
      </c>
      <c r="H161" s="154">
        <v>1.88</v>
      </c>
      <c r="I161" s="2" t="str">
        <f>'Gas Water'!L163</f>
        <v/>
      </c>
      <c r="J161" s="154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 t="e">
        <f>('Electricity '!I163*0.55+'Gas Water'!H164*1.88)/(Total!E162)</f>
        <v>#VALUE!</v>
      </c>
      <c r="G162" s="4" t="str">
        <f>'Gas Water'!M164</f>
        <v/>
      </c>
      <c r="H162" s="154">
        <v>1.88</v>
      </c>
      <c r="I162" s="2" t="str">
        <f>'Gas Water'!L164</f>
        <v/>
      </c>
      <c r="J162" s="154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 t="e">
        <f>('Electricity '!I164*0.55+'Gas Water'!H165*1.88)/(Total!E163)</f>
        <v>#VALUE!</v>
      </c>
      <c r="G163" s="4" t="str">
        <f>'Gas Water'!M165</f>
        <v/>
      </c>
      <c r="H163" s="154">
        <v>1.88</v>
      </c>
      <c r="I163" s="2" t="str">
        <f>'Gas Water'!L165</f>
        <v/>
      </c>
      <c r="J163" s="154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 t="e">
        <f>('Electricity '!I165*0.55+'Gas Water'!H166*1.88)/(Total!E164)</f>
        <v>#VALUE!</v>
      </c>
      <c r="G164" s="4" t="str">
        <f>'Gas Water'!M166</f>
        <v/>
      </c>
      <c r="H164" s="154">
        <v>1.88</v>
      </c>
      <c r="I164" s="2" t="str">
        <f>'Gas Water'!L166</f>
        <v/>
      </c>
      <c r="J164" s="154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 t="e">
        <f>('Electricity '!I166*0.55+'Gas Water'!H167*1.88)/(Total!E165)</f>
        <v>#VALUE!</v>
      </c>
      <c r="G165" s="4" t="str">
        <f>'Gas Water'!M167</f>
        <v/>
      </c>
      <c r="H165" s="154">
        <v>1.88</v>
      </c>
      <c r="I165" s="2" t="str">
        <f>'Gas Water'!L167</f>
        <v/>
      </c>
      <c r="J165" s="154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 t="e">
        <f>('Electricity '!I167*0.55+'Gas Water'!H168*1.88)/(Total!E166)</f>
        <v>#VALUE!</v>
      </c>
      <c r="G166" s="4" t="str">
        <f>'Gas Water'!M168</f>
        <v/>
      </c>
      <c r="H166" s="154">
        <v>1.88</v>
      </c>
      <c r="I166" s="2" t="str">
        <f>'Gas Water'!L168</f>
        <v/>
      </c>
      <c r="J166" s="154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 t="e">
        <f>('Electricity '!I168*0.55+'Gas Water'!H169*1.88)/(Total!E167)</f>
        <v>#VALUE!</v>
      </c>
      <c r="G167" s="4" t="str">
        <f>'Gas Water'!M169</f>
        <v/>
      </c>
      <c r="H167" s="154">
        <v>1.88</v>
      </c>
      <c r="I167" s="2" t="str">
        <f>'Gas Water'!L169</f>
        <v/>
      </c>
      <c r="J167" s="154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 t="e">
        <f>('Electricity '!I169*0.55+'Gas Water'!H170*1.88)/(Total!E168)</f>
        <v>#VALUE!</v>
      </c>
      <c r="G168" s="4" t="str">
        <f>'Gas Water'!M170</f>
        <v/>
      </c>
      <c r="H168" s="154">
        <v>1.88</v>
      </c>
      <c r="I168" s="2" t="str">
        <f>'Gas Water'!L170</f>
        <v/>
      </c>
      <c r="J168" s="154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 t="e">
        <f>('Electricity '!I170*0.55+'Gas Water'!H171*1.88)/(Total!E169)</f>
        <v>#VALUE!</v>
      </c>
      <c r="G169" s="4" t="str">
        <f>'Gas Water'!M171</f>
        <v/>
      </c>
      <c r="H169" s="154">
        <v>1.88</v>
      </c>
      <c r="I169" s="2" t="str">
        <f>'Gas Water'!L171</f>
        <v/>
      </c>
      <c r="J169" s="154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 t="e">
        <f>('Electricity '!I171*0.55+'Gas Water'!H172*1.88)/(Total!E170)</f>
        <v>#VALUE!</v>
      </c>
      <c r="G170" s="4" t="str">
        <f>'Gas Water'!M172</f>
        <v/>
      </c>
      <c r="H170" s="154">
        <v>1.88</v>
      </c>
      <c r="I170" s="2" t="str">
        <f>'Gas Water'!L172</f>
        <v/>
      </c>
      <c r="J170" s="154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 t="e">
        <f>('Electricity '!I172*0.55+'Gas Water'!H173*1.88)/(Total!E171)</f>
        <v>#VALUE!</v>
      </c>
      <c r="G171" s="4" t="str">
        <f>'Gas Water'!M173</f>
        <v/>
      </c>
      <c r="H171" s="154">
        <v>1.88</v>
      </c>
      <c r="I171" s="2" t="str">
        <f>'Gas Water'!L173</f>
        <v/>
      </c>
      <c r="J171" s="154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 t="e">
        <f>('Electricity '!I173*0.55+'Gas Water'!H174*1.88)/(Total!E172)</f>
        <v>#VALUE!</v>
      </c>
      <c r="G172" s="4" t="str">
        <f>'Gas Water'!M174</f>
        <v/>
      </c>
      <c r="H172" s="154">
        <v>1.88</v>
      </c>
      <c r="I172" s="2" t="str">
        <f>'Gas Water'!L174</f>
        <v/>
      </c>
      <c r="J172" s="154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 t="e">
        <f>('Electricity '!I174*0.55+'Gas Water'!H175*1.88)/(Total!E173)</f>
        <v>#VALUE!</v>
      </c>
      <c r="G173" s="4" t="str">
        <f>'Gas Water'!M175</f>
        <v/>
      </c>
      <c r="H173" s="154">
        <v>1.88</v>
      </c>
      <c r="I173" s="2" t="str">
        <f>'Gas Water'!L175</f>
        <v/>
      </c>
      <c r="J173" s="154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82" workbookViewId="0">
      <selection activeCell="G122" sqref="G12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2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4060</v>
      </c>
      <c r="O117" s="32">
        <f>SUM(M95:M124)</f>
        <v>69421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150.37037037037038</v>
      </c>
      <c r="O120" s="32">
        <f>AVERAGE(M95:M124)</f>
        <v>2571.1481481481483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 t="shared" si="4"/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4"/>
        <v/>
      </c>
      <c r="M123" s="30" t="str">
        <f t="shared" si="3"/>
        <v/>
      </c>
      <c r="O123" s="20">
        <f>IF(L123="",1,0)</f>
        <v>1</v>
      </c>
      <c r="P123" s="40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29" t="str">
        <f t="shared" si="4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1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4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1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4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1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4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1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 t="shared" si="4"/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1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 t="shared" si="4"/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1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4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1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4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1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4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1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4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1"/>
      <c r="D134" s="24"/>
      <c r="E134" s="25"/>
      <c r="F134" s="26"/>
      <c r="G134" s="27"/>
      <c r="H134" s="28" t="str">
        <f t="shared" ref="H134:K185" si="10">IF(C134="","",+(C134-C133))</f>
        <v/>
      </c>
      <c r="I134" s="28" t="str">
        <f t="shared" si="10"/>
        <v/>
      </c>
      <c r="J134" s="28" t="str">
        <f t="shared" si="10"/>
        <v/>
      </c>
      <c r="K134" s="28" t="str">
        <f t="shared" si="10"/>
        <v/>
      </c>
      <c r="L134" s="29" t="str">
        <f t="shared" si="4"/>
        <v/>
      </c>
      <c r="M134" s="30" t="str">
        <f t="shared" ref="M134:M197" si="11">IF(H134="","",+(H134+I134+J134+K134))</f>
        <v/>
      </c>
      <c r="Q134" s="20">
        <f t="shared" ref="Q134:Q197" si="12">IF(L134="",1,0)</f>
        <v>1</v>
      </c>
    </row>
    <row r="135" spans="2:17" ht="12.95" customHeight="1" x14ac:dyDescent="0.2">
      <c r="B135" s="22">
        <v>44328</v>
      </c>
      <c r="C135" s="41"/>
      <c r="D135" s="24"/>
      <c r="E135" s="25"/>
      <c r="F135" s="26"/>
      <c r="G135" s="27"/>
      <c r="H135" s="28" t="str">
        <f t="shared" si="10"/>
        <v/>
      </c>
      <c r="I135" s="28" t="str">
        <f t="shared" si="10"/>
        <v/>
      </c>
      <c r="J135" s="28" t="str">
        <f t="shared" si="10"/>
        <v/>
      </c>
      <c r="K135" s="28" t="str">
        <f t="shared" si="10"/>
        <v/>
      </c>
      <c r="L135" s="29" t="str">
        <f t="shared" si="4"/>
        <v/>
      </c>
      <c r="M135" s="30" t="str">
        <f t="shared" si="11"/>
        <v/>
      </c>
      <c r="Q135" s="20">
        <f t="shared" si="12"/>
        <v>1</v>
      </c>
    </row>
    <row r="136" spans="2:17" ht="12.95" customHeight="1" x14ac:dyDescent="0.2">
      <c r="B136" s="22">
        <v>44329</v>
      </c>
      <c r="C136" s="41"/>
      <c r="D136" s="24"/>
      <c r="E136" s="25"/>
      <c r="F136" s="26"/>
      <c r="G136" s="27"/>
      <c r="H136" s="28" t="str">
        <f t="shared" si="10"/>
        <v/>
      </c>
      <c r="I136" s="28" t="str">
        <f t="shared" si="10"/>
        <v/>
      </c>
      <c r="J136" s="28" t="str">
        <f t="shared" si="10"/>
        <v/>
      </c>
      <c r="K136" s="28" t="str">
        <f t="shared" si="10"/>
        <v/>
      </c>
      <c r="L136" s="29" t="str">
        <f t="shared" si="4"/>
        <v/>
      </c>
      <c r="M136" s="30" t="str">
        <f t="shared" si="11"/>
        <v/>
      </c>
      <c r="Q136" s="20">
        <f t="shared" si="12"/>
        <v>1</v>
      </c>
    </row>
    <row r="137" spans="2:17" ht="12.95" customHeight="1" x14ac:dyDescent="0.2">
      <c r="B137" s="22">
        <v>44330</v>
      </c>
      <c r="C137" s="41"/>
      <c r="D137" s="24"/>
      <c r="E137" s="25"/>
      <c r="F137" s="26"/>
      <c r="G137" s="27"/>
      <c r="H137" s="28" t="str">
        <f t="shared" si="10"/>
        <v/>
      </c>
      <c r="I137" s="28" t="str">
        <f t="shared" si="10"/>
        <v/>
      </c>
      <c r="J137" s="28" t="str">
        <f t="shared" si="10"/>
        <v/>
      </c>
      <c r="K137" s="28" t="str">
        <f t="shared" si="10"/>
        <v/>
      </c>
      <c r="L137" s="29" t="str">
        <f t="shared" si="4"/>
        <v/>
      </c>
      <c r="M137" s="30" t="str">
        <f t="shared" si="11"/>
        <v/>
      </c>
      <c r="Q137" s="20">
        <f t="shared" si="12"/>
        <v>1</v>
      </c>
    </row>
    <row r="138" spans="2:17" ht="12.95" customHeight="1" x14ac:dyDescent="0.2">
      <c r="B138" s="22">
        <v>44331</v>
      </c>
      <c r="C138" s="41"/>
      <c r="D138" s="24"/>
      <c r="E138" s="25"/>
      <c r="F138" s="26"/>
      <c r="G138" s="27"/>
      <c r="H138" s="28" t="str">
        <f t="shared" si="10"/>
        <v/>
      </c>
      <c r="I138" s="28" t="str">
        <f t="shared" si="10"/>
        <v/>
      </c>
      <c r="J138" s="28" t="str">
        <f t="shared" si="10"/>
        <v/>
      </c>
      <c r="K138" s="28" t="str">
        <f t="shared" si="10"/>
        <v/>
      </c>
      <c r="L138" s="29" t="str">
        <f t="shared" si="4"/>
        <v/>
      </c>
      <c r="M138" s="30" t="str">
        <f t="shared" si="11"/>
        <v/>
      </c>
      <c r="Q138" s="20">
        <f t="shared" si="12"/>
        <v>1</v>
      </c>
    </row>
    <row r="139" spans="2:17" ht="12.95" customHeight="1" x14ac:dyDescent="0.2">
      <c r="B139" s="22">
        <v>44332</v>
      </c>
      <c r="C139" s="41"/>
      <c r="D139" s="24"/>
      <c r="E139" s="25"/>
      <c r="F139" s="26"/>
      <c r="G139" s="27"/>
      <c r="H139" s="28" t="str">
        <f t="shared" si="10"/>
        <v/>
      </c>
      <c r="I139" s="28" t="str">
        <f t="shared" si="10"/>
        <v/>
      </c>
      <c r="J139" s="28" t="str">
        <f t="shared" si="10"/>
        <v/>
      </c>
      <c r="K139" s="28" t="str">
        <f t="shared" si="10"/>
        <v/>
      </c>
      <c r="L139" s="29" t="str">
        <f t="shared" si="4"/>
        <v/>
      </c>
      <c r="M139" s="30" t="str">
        <f t="shared" si="11"/>
        <v/>
      </c>
      <c r="Q139" s="20">
        <f t="shared" si="12"/>
        <v>1</v>
      </c>
    </row>
    <row r="140" spans="2:17" ht="12.95" customHeight="1" x14ac:dyDescent="0.2">
      <c r="B140" s="22">
        <v>44333</v>
      </c>
      <c r="C140" s="41"/>
      <c r="D140" s="24"/>
      <c r="E140" s="25"/>
      <c r="F140" s="26"/>
      <c r="G140" s="27"/>
      <c r="H140" s="28" t="str">
        <f t="shared" si="10"/>
        <v/>
      </c>
      <c r="I140" s="28" t="str">
        <f t="shared" si="10"/>
        <v/>
      </c>
      <c r="J140" s="28" t="str">
        <f t="shared" si="10"/>
        <v/>
      </c>
      <c r="K140" s="28" t="str">
        <f t="shared" si="10"/>
        <v/>
      </c>
      <c r="L140" s="29" t="str">
        <f t="shared" si="4"/>
        <v/>
      </c>
      <c r="M140" s="30" t="str">
        <f t="shared" si="11"/>
        <v/>
      </c>
      <c r="Q140" s="20">
        <f t="shared" si="12"/>
        <v>1</v>
      </c>
    </row>
    <row r="141" spans="2:17" ht="12.95" customHeight="1" x14ac:dyDescent="0.2">
      <c r="B141" s="22">
        <v>44334</v>
      </c>
      <c r="C141" s="41"/>
      <c r="D141" s="24"/>
      <c r="E141" s="25"/>
      <c r="F141" s="26"/>
      <c r="G141" s="27"/>
      <c r="H141" s="28" t="str">
        <f t="shared" si="10"/>
        <v/>
      </c>
      <c r="I141" s="28" t="str">
        <f t="shared" si="10"/>
        <v/>
      </c>
      <c r="J141" s="28" t="str">
        <f t="shared" si="10"/>
        <v/>
      </c>
      <c r="K141" s="28" t="str">
        <f t="shared" si="10"/>
        <v/>
      </c>
      <c r="L141" s="29" t="str">
        <f t="shared" si="4"/>
        <v/>
      </c>
      <c r="M141" s="30" t="str">
        <f t="shared" si="11"/>
        <v/>
      </c>
      <c r="Q141" s="20">
        <f t="shared" si="12"/>
        <v>1</v>
      </c>
    </row>
    <row r="142" spans="2:17" ht="12.95" customHeight="1" x14ac:dyDescent="0.2">
      <c r="B142" s="22">
        <v>44335</v>
      </c>
      <c r="C142" s="41"/>
      <c r="D142" s="24"/>
      <c r="E142" s="25"/>
      <c r="F142" s="26"/>
      <c r="G142" s="27"/>
      <c r="H142" s="28" t="str">
        <f t="shared" si="10"/>
        <v/>
      </c>
      <c r="I142" s="28" t="str">
        <f t="shared" si="10"/>
        <v/>
      </c>
      <c r="J142" s="28" t="str">
        <f t="shared" si="10"/>
        <v/>
      </c>
      <c r="K142" s="28" t="str">
        <f t="shared" si="10"/>
        <v/>
      </c>
      <c r="L142" s="29" t="str">
        <f t="shared" si="4"/>
        <v/>
      </c>
      <c r="M142" s="30" t="str">
        <f t="shared" si="11"/>
        <v/>
      </c>
      <c r="Q142" s="20">
        <f t="shared" si="12"/>
        <v>1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0"/>
        <v/>
      </c>
      <c r="I143" s="28" t="str">
        <f t="shared" si="10"/>
        <v/>
      </c>
      <c r="J143" s="28" t="str">
        <f t="shared" si="10"/>
        <v/>
      </c>
      <c r="K143" s="28" t="str">
        <f t="shared" si="10"/>
        <v/>
      </c>
      <c r="L143" s="29" t="str">
        <f t="shared" ref="L143:L144" si="13">IF(G143="","",+(G142-G143))</f>
        <v/>
      </c>
      <c r="M143" s="30" t="str">
        <f t="shared" si="11"/>
        <v/>
      </c>
      <c r="O143" s="9" t="s">
        <v>28</v>
      </c>
      <c r="Q143" s="20">
        <f t="shared" si="12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0"/>
        <v/>
      </c>
      <c r="I144" s="28" t="str">
        <f t="shared" si="10"/>
        <v/>
      </c>
      <c r="J144" s="28" t="str">
        <f t="shared" si="10"/>
        <v/>
      </c>
      <c r="K144" s="28" t="str">
        <f t="shared" si="10"/>
        <v/>
      </c>
      <c r="L144" s="29" t="str">
        <f t="shared" si="13"/>
        <v/>
      </c>
      <c r="M144" s="30" t="str">
        <f t="shared" si="11"/>
        <v/>
      </c>
      <c r="Q144" s="20">
        <f t="shared" si="12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0"/>
        <v/>
      </c>
      <c r="I145" s="28" t="str">
        <f t="shared" si="10"/>
        <v/>
      </c>
      <c r="J145" s="28" t="str">
        <f t="shared" si="10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1"/>
        <v/>
      </c>
      <c r="N145" s="197" t="s">
        <v>21</v>
      </c>
      <c r="O145" s="197" t="s">
        <v>22</v>
      </c>
      <c r="Q145" s="20">
        <f t="shared" si="12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0"/>
        <v/>
      </c>
      <c r="I146" s="28" t="str">
        <f t="shared" si="10"/>
        <v/>
      </c>
      <c r="J146" s="28" t="str">
        <f t="shared" si="10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1"/>
        <v/>
      </c>
      <c r="N146" s="198"/>
      <c r="O146" s="198"/>
      <c r="Q146" s="20">
        <f t="shared" si="12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0"/>
        <v/>
      </c>
      <c r="I147" s="28" t="str">
        <f t="shared" si="10"/>
        <v/>
      </c>
      <c r="J147" s="28" t="str">
        <f t="shared" si="10"/>
        <v/>
      </c>
      <c r="K147" s="28" t="str">
        <f t="shared" si="10"/>
        <v/>
      </c>
      <c r="L147" s="29" t="str">
        <f t="shared" ref="L147:L196" si="14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0"/>
        <v/>
      </c>
      <c r="I148" s="28" t="str">
        <f t="shared" si="10"/>
        <v/>
      </c>
      <c r="J148" s="28" t="str">
        <f t="shared" si="10"/>
        <v/>
      </c>
      <c r="K148" s="28" t="str">
        <f t="shared" si="10"/>
        <v/>
      </c>
      <c r="L148" s="29" t="str">
        <f t="shared" si="14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339660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0"/>
        <v/>
      </c>
      <c r="I149" s="28" t="str">
        <f t="shared" si="10"/>
        <v/>
      </c>
      <c r="J149" s="28" t="str">
        <f t="shared" si="10"/>
        <v/>
      </c>
      <c r="K149" s="28" t="str">
        <f t="shared" si="10"/>
        <v/>
      </c>
      <c r="L149" s="29" t="str">
        <f t="shared" si="14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0"/>
        <v/>
      </c>
      <c r="I150" s="28" t="str">
        <f t="shared" si="10"/>
        <v/>
      </c>
      <c r="J150" s="28" t="str">
        <f t="shared" si="10"/>
        <v/>
      </c>
      <c r="K150" s="28" t="str">
        <f t="shared" si="10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>IF(G152="","",+(G151-G152))</f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4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si="14"/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323949</v>
      </c>
      <c r="J371" s="40">
        <f t="shared" si="29"/>
        <v>16732</v>
      </c>
      <c r="K371" s="40">
        <f t="shared" si="29"/>
        <v>16032</v>
      </c>
      <c r="L371" s="40">
        <f t="shared" si="29"/>
        <v>15795</v>
      </c>
      <c r="M371" s="40">
        <f t="shared" si="29"/>
        <v>356713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88" workbookViewId="0">
      <selection activeCell="W108" sqref="W108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3.9997371476135204E-2</v>
      </c>
      <c r="Q114" s="71">
        <f>IF(L94="",0,+SUM(L94:L123)/SUM(I94:I123))</f>
        <v>3.9997371476135204E-2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/>
      <c r="E121" s="58"/>
      <c r="F121" s="59"/>
      <c r="G121" s="60"/>
      <c r="H121" s="60">
        <v>4140</v>
      </c>
      <c r="I121" s="60" t="str">
        <f t="shared" si="14"/>
        <v/>
      </c>
      <c r="J121" s="60" t="str">
        <f t="shared" si="15"/>
        <v/>
      </c>
      <c r="K121" s="61" t="str">
        <f t="shared" si="10"/>
        <v/>
      </c>
      <c r="L121" s="60" t="str">
        <f t="shared" si="11"/>
        <v/>
      </c>
      <c r="M121" s="61" t="str">
        <f t="shared" si="12"/>
        <v/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/>
      <c r="E122" s="58"/>
      <c r="F122" s="59"/>
      <c r="G122" s="60"/>
      <c r="H122" s="60">
        <v>4140</v>
      </c>
      <c r="I122" s="60" t="str">
        <f t="shared" si="14"/>
        <v/>
      </c>
      <c r="J122" s="60" t="str">
        <f t="shared" si="15"/>
        <v/>
      </c>
      <c r="K122" s="61" t="str">
        <f t="shared" si="10"/>
        <v/>
      </c>
      <c r="L122" s="60" t="str">
        <f t="shared" si="11"/>
        <v/>
      </c>
      <c r="M122" s="61" t="str">
        <f t="shared" si="12"/>
        <v/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90"/>
      <c r="E123" s="90"/>
      <c r="F123" s="90"/>
      <c r="G123" s="91"/>
      <c r="H123" s="60">
        <v>4140</v>
      </c>
      <c r="I123" s="60" t="str">
        <f t="shared" si="14"/>
        <v/>
      </c>
      <c r="J123" s="60" t="str">
        <f t="shared" si="15"/>
        <v/>
      </c>
      <c r="K123" s="61" t="str">
        <f t="shared" si="10"/>
        <v/>
      </c>
      <c r="L123" s="60" t="str">
        <f t="shared" si="11"/>
        <v/>
      </c>
      <c r="M123" s="61" t="str">
        <f t="shared" si="12"/>
        <v/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/>
      <c r="E124" s="58"/>
      <c r="F124" s="59"/>
      <c r="G124" s="60"/>
      <c r="H124" s="60">
        <v>4140</v>
      </c>
      <c r="I124" s="60" t="str">
        <f t="shared" si="14"/>
        <v/>
      </c>
      <c r="J124" s="60" t="str">
        <f t="shared" si="15"/>
        <v/>
      </c>
      <c r="K124" s="61" t="str">
        <f t="shared" si="10"/>
        <v/>
      </c>
      <c r="L124" s="60" t="str">
        <f t="shared" si="11"/>
        <v/>
      </c>
      <c r="M124" s="61" t="str">
        <f t="shared" si="12"/>
        <v/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/>
      <c r="E125" s="58"/>
      <c r="F125" s="59"/>
      <c r="G125" s="60"/>
      <c r="H125" s="60">
        <v>4140</v>
      </c>
      <c r="I125" s="60" t="str">
        <f t="shared" si="14"/>
        <v/>
      </c>
      <c r="J125" s="60" t="str">
        <f t="shared" si="15"/>
        <v/>
      </c>
      <c r="K125" s="61" t="str">
        <f t="shared" si="10"/>
        <v/>
      </c>
      <c r="L125" s="60" t="str">
        <f t="shared" si="11"/>
        <v/>
      </c>
      <c r="M125" s="61" t="str">
        <f t="shared" si="12"/>
        <v/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/>
      <c r="E126" s="58"/>
      <c r="F126" s="59"/>
      <c r="G126" s="60"/>
      <c r="H126" s="60">
        <v>4140</v>
      </c>
      <c r="I126" s="60" t="str">
        <f t="shared" si="14"/>
        <v/>
      </c>
      <c r="J126" s="60" t="str">
        <f t="shared" si="15"/>
        <v/>
      </c>
      <c r="K126" s="61" t="str">
        <f t="shared" si="10"/>
        <v/>
      </c>
      <c r="L126" s="60" t="str">
        <f t="shared" si="11"/>
        <v/>
      </c>
      <c r="M126" s="61" t="str">
        <f t="shared" si="12"/>
        <v/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/>
      <c r="E127" s="58"/>
      <c r="F127" s="59"/>
      <c r="G127" s="60"/>
      <c r="H127" s="60">
        <v>4140</v>
      </c>
      <c r="I127" s="60" t="str">
        <f t="shared" si="14"/>
        <v/>
      </c>
      <c r="J127" s="60" t="str">
        <f t="shared" si="15"/>
        <v/>
      </c>
      <c r="K127" s="61" t="str">
        <f t="shared" si="10"/>
        <v/>
      </c>
      <c r="L127" s="60" t="str">
        <f t="shared" si="11"/>
        <v/>
      </c>
      <c r="M127" s="61" t="str">
        <f t="shared" si="12"/>
        <v/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/>
      <c r="E128" s="58"/>
      <c r="F128" s="59"/>
      <c r="G128" s="60"/>
      <c r="H128" s="60">
        <v>4140</v>
      </c>
      <c r="I128" s="60" t="str">
        <f t="shared" si="14"/>
        <v/>
      </c>
      <c r="J128" s="60" t="str">
        <f t="shared" si="15"/>
        <v/>
      </c>
      <c r="K128" s="61" t="str">
        <f t="shared" si="10"/>
        <v/>
      </c>
      <c r="L128" s="60" t="str">
        <f t="shared" si="11"/>
        <v/>
      </c>
      <c r="M128" s="61" t="str">
        <f t="shared" si="12"/>
        <v/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/>
      <c r="E129" s="58"/>
      <c r="F129" s="59"/>
      <c r="G129" s="60"/>
      <c r="H129" s="60">
        <v>4140</v>
      </c>
      <c r="I129" s="60" t="str">
        <f t="shared" si="14"/>
        <v/>
      </c>
      <c r="J129" s="60" t="str">
        <f t="shared" si="15"/>
        <v/>
      </c>
      <c r="K129" s="61" t="str">
        <f t="shared" si="10"/>
        <v/>
      </c>
      <c r="L129" s="60" t="str">
        <f t="shared" si="11"/>
        <v/>
      </c>
      <c r="M129" s="61" t="str">
        <f t="shared" si="12"/>
        <v/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/>
      <c r="E130" s="58"/>
      <c r="F130" s="59"/>
      <c r="G130" s="60"/>
      <c r="H130" s="60">
        <v>4140</v>
      </c>
      <c r="I130" s="60" t="str">
        <f t="shared" si="14"/>
        <v/>
      </c>
      <c r="J130" s="60" t="str">
        <f t="shared" si="15"/>
        <v/>
      </c>
      <c r="K130" s="61" t="str">
        <f t="shared" si="10"/>
        <v/>
      </c>
      <c r="L130" s="60" t="str">
        <f t="shared" si="11"/>
        <v/>
      </c>
      <c r="M130" s="61" t="str">
        <f t="shared" si="12"/>
        <v/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/>
      <c r="E131" s="58"/>
      <c r="F131" s="59"/>
      <c r="G131" s="60"/>
      <c r="H131" s="60">
        <v>4140</v>
      </c>
      <c r="I131" s="60" t="str">
        <f t="shared" si="14"/>
        <v/>
      </c>
      <c r="J131" s="60" t="str">
        <f t="shared" si="15"/>
        <v/>
      </c>
      <c r="K131" s="61" t="str">
        <f t="shared" si="10"/>
        <v/>
      </c>
      <c r="L131" s="60" t="str">
        <f t="shared" si="11"/>
        <v/>
      </c>
      <c r="M131" s="61" t="str">
        <f t="shared" si="12"/>
        <v/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/>
      <c r="E132" s="58"/>
      <c r="F132" s="59"/>
      <c r="G132" s="60"/>
      <c r="H132" s="60">
        <v>4140</v>
      </c>
      <c r="I132" s="60" t="str">
        <f t="shared" si="14"/>
        <v/>
      </c>
      <c r="J132" s="60" t="str">
        <f t="shared" si="15"/>
        <v/>
      </c>
      <c r="K132" s="61" t="str">
        <f t="shared" si="10"/>
        <v/>
      </c>
      <c r="L132" s="60" t="str">
        <f t="shared" si="11"/>
        <v/>
      </c>
      <c r="M132" s="61" t="str">
        <f t="shared" si="12"/>
        <v/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/>
      <c r="E133" s="58"/>
      <c r="F133" s="59"/>
      <c r="G133" s="60"/>
      <c r="H133" s="60">
        <v>4140</v>
      </c>
      <c r="I133" s="60" t="str">
        <f t="shared" si="14"/>
        <v/>
      </c>
      <c r="J133" s="60" t="str">
        <f t="shared" si="15"/>
        <v/>
      </c>
      <c r="K133" s="61" t="str">
        <f t="shared" si="10"/>
        <v/>
      </c>
      <c r="L133" s="60" t="str">
        <f t="shared" si="11"/>
        <v/>
      </c>
      <c r="M133" s="61" t="str">
        <f t="shared" si="12"/>
        <v/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/>
      <c r="E134" s="58"/>
      <c r="F134" s="59"/>
      <c r="G134" s="60"/>
      <c r="H134" s="60">
        <v>4140</v>
      </c>
      <c r="I134" s="60" t="str">
        <f t="shared" si="14"/>
        <v/>
      </c>
      <c r="J134" s="60" t="str">
        <f t="shared" si="15"/>
        <v/>
      </c>
      <c r="K134" s="61" t="str">
        <f t="shared" si="10"/>
        <v/>
      </c>
      <c r="L134" s="60" t="str">
        <f t="shared" si="11"/>
        <v/>
      </c>
      <c r="M134" s="61" t="str">
        <f t="shared" si="12"/>
        <v/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/>
      <c r="E135" s="58"/>
      <c r="F135" s="59"/>
      <c r="G135" s="60"/>
      <c r="H135" s="60">
        <v>4140</v>
      </c>
      <c r="I135" s="60" t="str">
        <f t="shared" si="14"/>
        <v/>
      </c>
      <c r="J135" s="60" t="str">
        <f t="shared" si="15"/>
        <v/>
      </c>
      <c r="K135" s="61" t="str">
        <f t="shared" si="10"/>
        <v/>
      </c>
      <c r="L135" s="60" t="str">
        <f t="shared" si="11"/>
        <v/>
      </c>
      <c r="M135" s="61" t="str">
        <f t="shared" si="12"/>
        <v/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/>
      <c r="E136" s="58"/>
      <c r="F136" s="59"/>
      <c r="G136" s="60"/>
      <c r="H136" s="60">
        <v>4140</v>
      </c>
      <c r="I136" s="60" t="str">
        <f t="shared" si="14"/>
        <v/>
      </c>
      <c r="J136" s="60" t="str">
        <f t="shared" si="15"/>
        <v/>
      </c>
      <c r="K136" s="61" t="str">
        <f t="shared" si="10"/>
        <v/>
      </c>
      <c r="L136" s="60" t="str">
        <f t="shared" si="11"/>
        <v/>
      </c>
      <c r="M136" s="61" t="str">
        <f t="shared" si="12"/>
        <v/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/>
      <c r="E137" s="58"/>
      <c r="F137" s="59"/>
      <c r="G137" s="60"/>
      <c r="H137" s="60">
        <v>4140</v>
      </c>
      <c r="I137" s="60" t="str">
        <f t="shared" si="14"/>
        <v/>
      </c>
      <c r="J137" s="60" t="str">
        <f t="shared" si="15"/>
        <v/>
      </c>
      <c r="K137" s="61" t="str">
        <f t="shared" si="10"/>
        <v/>
      </c>
      <c r="L137" s="60" t="str">
        <f t="shared" si="11"/>
        <v/>
      </c>
      <c r="M137" s="61" t="str">
        <f t="shared" si="12"/>
        <v/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/>
      <c r="E138" s="58"/>
      <c r="F138" s="59"/>
      <c r="G138" s="60"/>
      <c r="H138" s="60">
        <v>4140</v>
      </c>
      <c r="I138" s="60" t="str">
        <f t="shared" si="14"/>
        <v/>
      </c>
      <c r="J138" s="60" t="str">
        <f t="shared" si="15"/>
        <v/>
      </c>
      <c r="K138" s="61" t="str">
        <f t="shared" si="10"/>
        <v/>
      </c>
      <c r="L138" s="60" t="str">
        <f t="shared" si="11"/>
        <v/>
      </c>
      <c r="M138" s="61" t="str">
        <f t="shared" si="12"/>
        <v/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/>
      <c r="E139" s="58"/>
      <c r="F139" s="59"/>
      <c r="G139" s="60"/>
      <c r="H139" s="60">
        <v>4140</v>
      </c>
      <c r="I139" s="60" t="str">
        <f t="shared" si="14"/>
        <v/>
      </c>
      <c r="J139" s="60" t="str">
        <f t="shared" si="15"/>
        <v/>
      </c>
      <c r="K139" s="61" t="str">
        <f t="shared" si="10"/>
        <v/>
      </c>
      <c r="L139" s="60" t="str">
        <f t="shared" si="11"/>
        <v/>
      </c>
      <c r="M139" s="61" t="str">
        <f t="shared" si="12"/>
        <v/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/>
      <c r="E140" s="58"/>
      <c r="F140" s="59"/>
      <c r="G140" s="60"/>
      <c r="H140" s="60">
        <v>4140</v>
      </c>
      <c r="I140" s="60" t="str">
        <f t="shared" si="14"/>
        <v/>
      </c>
      <c r="J140" s="60" t="str">
        <f t="shared" si="15"/>
        <v/>
      </c>
      <c r="K140" s="61" t="str">
        <f t="shared" si="10"/>
        <v/>
      </c>
      <c r="L140" s="60" t="str">
        <f t="shared" si="11"/>
        <v/>
      </c>
      <c r="M140" s="61" t="str">
        <f t="shared" si="12"/>
        <v/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/>
      <c r="E141" s="58"/>
      <c r="F141" s="59"/>
      <c r="G141" s="60"/>
      <c r="H141" s="60">
        <v>4140</v>
      </c>
      <c r="I141" s="60" t="str">
        <f t="shared" si="14"/>
        <v/>
      </c>
      <c r="J141" s="60" t="str">
        <f t="shared" si="15"/>
        <v/>
      </c>
      <c r="K141" s="61" t="str">
        <f t="shared" ref="K141:K204" si="19">IF(J141="","",+(J141/I141))</f>
        <v/>
      </c>
      <c r="L141" s="60" t="str">
        <f t="shared" ref="L141:L204" si="20">IF(F141="","",+(F141-F140)*4140)</f>
        <v/>
      </c>
      <c r="M141" s="61" t="str">
        <f t="shared" ref="M141:M204" si="21">IF(L141="","",(L141/I141))</f>
        <v/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0</v>
      </c>
      <c r="Q145" s="71">
        <f>IF(L124="",0,+SUM(L124:L154)/SUM(I124:I154))</f>
        <v>0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>
        <f>IF(J124="",0,+(+(LOOKUP(9.99999999999999E+307,E124:E154)-E123))/(+(LOOKUP(9.99999999999999E+307,D124:D154)-D123)))</f>
        <v>0</v>
      </c>
      <c r="Q146" s="72">
        <f>IF(L124="",0,+(+(LOOKUP(9.99999999999999E+307,F124:F154)-F123))/(+(LOOKUP(9.99999999999999E+307,D124:D154)-D123)))</f>
        <v>0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2477843.3399999957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2021-04-29T05:46:38Z</dcterms:modified>
  <cp:category/>
  <cp:contentStatus/>
</cp:coreProperties>
</file>