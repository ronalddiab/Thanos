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828" documentId="13_ncr:1_{A150F12E-A5F3-4ABD-A7D4-FF6BD82385D6}" xr6:coauthVersionLast="47" xr6:coauthVersionMax="47" xr10:uidLastSave="{631BE78F-CF1A-4C87-A83C-7434659A0FD2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 s="1"/>
  <c r="P6" i="1" s="1"/>
  <c r="P7" i="1" s="1"/>
  <c r="P8" i="1" s="1"/>
  <c r="P3" i="1"/>
  <c r="N4" i="1"/>
  <c r="N5" i="1" s="1"/>
  <c r="N6" i="1" s="1"/>
  <c r="N7" i="1" s="1"/>
  <c r="N8" i="1" s="1"/>
  <c r="N3" i="1"/>
  <c r="L5" i="1"/>
  <c r="L6" i="1" s="1"/>
  <c r="L7" i="1" s="1"/>
  <c r="L8" i="1" s="1"/>
  <c r="L4" i="1"/>
  <c r="L3" i="1"/>
  <c r="AD6" i="1" l="1"/>
  <c r="AD7" i="1"/>
  <c r="AB6" i="1"/>
  <c r="AB7" i="1"/>
  <c r="U6" i="1"/>
  <c r="U7" i="1"/>
  <c r="Q6" i="1"/>
  <c r="Q7" i="1"/>
  <c r="O6" i="1"/>
  <c r="O7" i="1"/>
  <c r="M6" i="1"/>
  <c r="M7" i="1"/>
  <c r="K6" i="1"/>
  <c r="K7" i="1"/>
  <c r="G6" i="1"/>
  <c r="G7" i="1"/>
  <c r="E6" i="1"/>
  <c r="E7" i="1"/>
  <c r="C6" i="1"/>
  <c r="C7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7" i="1" l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<sst xmlns="http://schemas.openxmlformats.org/spreadsheetml/2006/main" count="81" uniqueCount="41">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</sst>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7362</v>
      </c>
      <c r="F2" s="50">
        <f>(ALMYRA!C2*0.24)/E2</f>
        <v>0.15093724531377345</v>
      </c>
      <c r="G2" s="54">
        <f>ALMYRA!Z2</f>
        <v>200</v>
      </c>
      <c r="H2" s="55">
        <v>0.65800000000000003</v>
      </c>
      <c r="I2" s="58">
        <f>IF(ALMYRA!AB2&lt;0,"0",ALMYRA!AB2)</f>
        <v>93</v>
      </c>
      <c r="J2" s="59">
        <v>2.4</v>
      </c>
      <c r="K2" s="62">
        <f>ALMYRA!U2</f>
        <v>50</v>
      </c>
      <c r="L2" s="63">
        <v>0.88</v>
      </c>
      <c r="M2" s="66">
        <f>ALMYRA!AJ2</f>
        <v>0</v>
      </c>
      <c r="N2" s="66">
        <f>ALMYRA!AK2</f>
        <v>0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7483</v>
      </c>
      <c r="F3" s="50">
        <f>(ALMYRA!C3*0.24)/E3</f>
        <v>0.15378858746492047</v>
      </c>
      <c r="G3" s="54">
        <f>ALMYRA!Z3</f>
        <v>125</v>
      </c>
      <c r="H3" s="55">
        <v>0.65800000000000003</v>
      </c>
      <c r="I3" s="58">
        <f>IF(ALMYRA!AB3&lt;0,"0",ALMYRA!AB3)</f>
        <v>113</v>
      </c>
      <c r="J3" s="59">
        <v>2.4</v>
      </c>
      <c r="K3" s="62">
        <f>ALMYRA!U3</f>
        <v>50</v>
      </c>
      <c r="L3" s="63">
        <v>0.88</v>
      </c>
      <c r="M3" s="66">
        <f>ALMYRA!AJ3</f>
        <v>0</v>
      </c>
      <c r="N3" s="66">
        <f>ALMYRA!AK3</f>
        <v>0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7590</v>
      </c>
      <c r="F4" s="50">
        <f>(ALMYRA!C4*0.24)/E4</f>
        <v>0.15718577075098814</v>
      </c>
      <c r="G4" s="54">
        <f>ALMYRA!Z4</f>
        <v>100</v>
      </c>
      <c r="H4" s="55">
        <v>0.65800000000000003</v>
      </c>
      <c r="I4" s="58">
        <f>IF(ALMYRA!AB4&lt;0,"0",ALMYRA!AB4)</f>
        <v>101</v>
      </c>
      <c r="J4" s="59">
        <v>2.4</v>
      </c>
      <c r="K4" s="62">
        <f>ALMYRA!U4</f>
        <v>101</v>
      </c>
      <c r="L4" s="63">
        <v>0.88</v>
      </c>
      <c r="M4" s="66">
        <f>ALMYRA!AJ4</f>
        <v>0</v>
      </c>
      <c r="N4" s="66">
        <f>ALMYRA!AK4</f>
        <v>0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7430</v>
      </c>
      <c r="F5" s="50">
        <f>(ALMYRA!C5*0.24)/E5</f>
        <v>0.15259219380888289</v>
      </c>
      <c r="G5" s="54">
        <f>ALMYRA!Z5</f>
        <v>150</v>
      </c>
      <c r="H5" s="55">
        <v>0.65800000000000003</v>
      </c>
      <c r="I5" s="58">
        <f>IF(ALMYRA!AB5&lt;0,"0",ALMYRA!AB5)</f>
        <v>121</v>
      </c>
      <c r="J5" s="59">
        <v>2.4</v>
      </c>
      <c r="K5" s="62">
        <f>ALMYRA!U5</f>
        <v>100</v>
      </c>
      <c r="L5" s="63">
        <v>0.88</v>
      </c>
      <c r="M5" s="66">
        <f>ALMYRA!AJ5</f>
        <v>0</v>
      </c>
      <c r="N5" s="66">
        <f>ALMYRA!AK5</f>
        <v>0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7711</v>
      </c>
      <c r="F6" s="50">
        <f>(ALMYRA!C6*0.24)/E6</f>
        <v>0.15587083387368691</v>
      </c>
      <c r="G6" s="54">
        <f>ALMYRA!Z6</f>
        <v>150</v>
      </c>
      <c r="H6" s="55">
        <v>0.65800000000000003</v>
      </c>
      <c r="I6" s="58">
        <f>IF(ALMYRA!AB6&lt;0,"0",ALMYRA!AB6)</f>
        <v>71</v>
      </c>
      <c r="J6" s="59">
        <v>2.4</v>
      </c>
      <c r="K6" s="62">
        <f>ALMYRA!U6</f>
        <v>50</v>
      </c>
      <c r="L6" s="63">
        <v>0.88</v>
      </c>
      <c r="M6" s="66">
        <f>ALMYRA!AJ6</f>
        <v>0</v>
      </c>
      <c r="N6" s="66">
        <f>ALMYRA!AK6</f>
        <v>0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7650</v>
      </c>
      <c r="F7" s="50">
        <f>(ALMYRA!C7*0.24)/E7</f>
        <v>0.15554509803921568</v>
      </c>
      <c r="G7" s="54">
        <f>ALMYRA!Z7</f>
        <v>200</v>
      </c>
      <c r="H7" s="55">
        <v>0.65800000000000003</v>
      </c>
      <c r="I7" s="58">
        <f>IF(ALMYRA!AB7&lt;0,"0",ALMYRA!AB7)</f>
        <v>72</v>
      </c>
      <c r="J7" s="59">
        <v>2.4</v>
      </c>
      <c r="K7" s="62">
        <f>ALMYRA!U7</f>
        <v>30</v>
      </c>
      <c r="L7" s="63">
        <v>0.88</v>
      </c>
      <c r="M7" s="66">
        <f>ALMYRA!AJ7</f>
        <v>0</v>
      </c>
      <c r="N7" s="66">
        <f>ALMYRA!AK7</f>
        <v>0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0</v>
      </c>
      <c r="F8" s="50" t="e">
        <f>(ALMYRA!C8*0.24)/E8</f>
        <v>#DIV/0!</v>
      </c>
      <c r="G8" s="54">
        <f>ALMYRA!Z8</f>
        <v>0</v>
      </c>
      <c r="H8" s="55">
        <v>0.65800000000000003</v>
      </c>
      <c r="I8" s="58">
        <f>IF(ALMYRA!AB8&lt;0,"0",ALMYRA!AB8)</f>
        <v>0</v>
      </c>
      <c r="J8" s="59">
        <v>2.4</v>
      </c>
      <c r="K8" s="62">
        <f>ALMYRA!U8</f>
        <v>0</v>
      </c>
      <c r="L8" s="63">
        <v>0.88</v>
      </c>
      <c r="M8" s="66">
        <f>ALMYRA!AJ8</f>
        <v>0</v>
      </c>
      <c r="N8" s="66">
        <f>ALMYRA!AK8</f>
        <v>0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0</v>
      </c>
      <c r="F9" s="50" t="e">
        <f>(ALMYRA!C9*0.24)/E9</f>
        <v>#DIV/0!</v>
      </c>
      <c r="G9" s="54">
        <f>ALMYRA!Z9</f>
        <v>0</v>
      </c>
      <c r="H9" s="55">
        <v>0.65800000000000003</v>
      </c>
      <c r="I9" s="58">
        <f>IF(ALMYRA!AB9&lt;0,"0",ALMYRA!AB9)</f>
        <v>0</v>
      </c>
      <c r="J9" s="59">
        <v>2.4</v>
      </c>
      <c r="K9" s="62">
        <f>ALMYRA!U9</f>
        <v>0</v>
      </c>
      <c r="L9" s="63">
        <v>0.88</v>
      </c>
      <c r="M9" s="66">
        <f>ALMYRA!AJ9</f>
        <v>0</v>
      </c>
      <c r="N9" s="66">
        <f>ALMYRA!AK9</f>
        <v>0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0</v>
      </c>
      <c r="F10" s="50" t="e">
        <f>(ALMYRA!C10*0.24)/E10</f>
        <v>#DIV/0!</v>
      </c>
      <c r="G10" s="54">
        <f>ALMYRA!Z10</f>
        <v>0</v>
      </c>
      <c r="H10" s="55">
        <v>0.65800000000000003</v>
      </c>
      <c r="I10" s="58">
        <f>IF(ALMYRA!AB10&lt;0,"0",ALMYRA!AB10)</f>
        <v>0</v>
      </c>
      <c r="J10" s="59">
        <v>2.4</v>
      </c>
      <c r="K10" s="62">
        <f>ALMYRA!U10</f>
        <v>0</v>
      </c>
      <c r="L10" s="63">
        <v>0.88</v>
      </c>
      <c r="M10" s="66">
        <f>ALMYRA!AJ10</f>
        <v>0</v>
      </c>
      <c r="N10" s="66">
        <f>ALMYRA!AK10</f>
        <v>0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0</v>
      </c>
      <c r="F11" s="50" t="e">
        <f>(ALMYRA!C11*0.24)/E11</f>
        <v>#DIV/0!</v>
      </c>
      <c r="G11" s="54">
        <f>ALMYRA!Z11</f>
        <v>0</v>
      </c>
      <c r="H11" s="55">
        <v>0.65800000000000003</v>
      </c>
      <c r="I11" s="58">
        <f>IF(ALMYRA!AB11&lt;0,"0",ALMYRA!AB11)</f>
        <v>0</v>
      </c>
      <c r="J11" s="59">
        <v>2.4</v>
      </c>
      <c r="K11" s="62">
        <f>ALMYRA!U11</f>
        <v>0</v>
      </c>
      <c r="L11" s="63">
        <v>0.88</v>
      </c>
      <c r="M11" s="66">
        <f>ALMYRA!AJ11</f>
        <v>0</v>
      </c>
      <c r="N11" s="66">
        <f>ALMYRA!AK11</f>
        <v>0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0</v>
      </c>
      <c r="F12" s="50" t="e">
        <f>(ALMYRA!C12*0.24)/E12</f>
        <v>#DIV/0!</v>
      </c>
      <c r="G12" s="54">
        <f>ALMYRA!Z12</f>
        <v>0</v>
      </c>
      <c r="H12" s="55">
        <v>0.65800000000000003</v>
      </c>
      <c r="I12" s="58">
        <f>IF(ALMYRA!AB12&lt;0,"0",ALMYRA!AB12)</f>
        <v>0</v>
      </c>
      <c r="J12" s="59">
        <v>2.4</v>
      </c>
      <c r="K12" s="62">
        <f>ALMYRA!U12</f>
        <v>0</v>
      </c>
      <c r="L12" s="63">
        <v>0.88</v>
      </c>
      <c r="M12" s="66">
        <f>ALMYRA!AJ12</f>
        <v>0</v>
      </c>
      <c r="N12" s="66">
        <f>ALMYRA!AK12</f>
        <v>0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0</v>
      </c>
      <c r="F13" s="50" t="e">
        <f>(ALMYRA!C13*0.24)/E13</f>
        <v>#DIV/0!</v>
      </c>
      <c r="G13" s="54">
        <f>ALMYRA!Z13</f>
        <v>0</v>
      </c>
      <c r="H13" s="55">
        <v>0.65800000000000003</v>
      </c>
      <c r="I13" s="58">
        <f>IF(ALMYRA!AB13&lt;0,"0",ALMYRA!AB13)</f>
        <v>0</v>
      </c>
      <c r="J13" s="59">
        <v>2.4</v>
      </c>
      <c r="K13" s="62">
        <f>ALMYRA!U13</f>
        <v>0</v>
      </c>
      <c r="L13" s="63">
        <v>0.88</v>
      </c>
      <c r="M13" s="66">
        <f>ALMYRA!AJ13</f>
        <v>0</v>
      </c>
      <c r="N13" s="66">
        <f>ALMYRA!AK13</f>
        <v>0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0</v>
      </c>
      <c r="F14" s="50" t="e">
        <f>(ALMYRA!C14*0.24)/E14</f>
        <v>#DIV/0!</v>
      </c>
      <c r="G14" s="54">
        <f>ALMYRA!Z14</f>
        <v>0</v>
      </c>
      <c r="H14" s="55">
        <v>0.65800000000000003</v>
      </c>
      <c r="I14" s="58">
        <f>IF(ALMYRA!AB14&lt;0,"0",ALMYRA!AB14)</f>
        <v>0</v>
      </c>
      <c r="J14" s="59">
        <v>2.4</v>
      </c>
      <c r="K14" s="62">
        <f>ALMYRA!U14</f>
        <v>0</v>
      </c>
      <c r="L14" s="63">
        <v>0.88</v>
      </c>
      <c r="M14" s="66">
        <f>ALMYRA!AJ14</f>
        <v>0</v>
      </c>
      <c r="N14" s="66">
        <f>ALMYRA!AK14</f>
        <v>0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0</v>
      </c>
      <c r="F15" s="50" t="e">
        <f>(ALMYRA!C15*0.24)/E15</f>
        <v>#DIV/0!</v>
      </c>
      <c r="G15" s="54">
        <f>ALMYRA!Z15</f>
        <v>0</v>
      </c>
      <c r="H15" s="55">
        <v>0.65800000000000003</v>
      </c>
      <c r="I15" s="58">
        <f>IF(ALMYRA!AB15&lt;0,"0",ALMYRA!AB15)</f>
        <v>0</v>
      </c>
      <c r="J15" s="59">
        <v>2.4</v>
      </c>
      <c r="K15" s="62">
        <f>ALMYRA!U15</f>
        <v>0</v>
      </c>
      <c r="L15" s="63">
        <v>0.88</v>
      </c>
      <c r="M15" s="66">
        <f>ALMYRA!AJ15</f>
        <v>0</v>
      </c>
      <c r="N15" s="66">
        <f>ALMYRA!AK15</f>
        <v>0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0</v>
      </c>
      <c r="F16" s="50" t="e">
        <f>(ALMYRA!C16*0.24)/E16</f>
        <v>#DIV/0!</v>
      </c>
      <c r="G16" s="54">
        <f>ALMYRA!Z16</f>
        <v>0</v>
      </c>
      <c r="H16" s="55">
        <v>0.65800000000000003</v>
      </c>
      <c r="I16" s="58">
        <f>IF(ALMYRA!AB16&lt;0,"0",ALMYRA!AB16)</f>
        <v>0</v>
      </c>
      <c r="J16" s="59">
        <v>2.4</v>
      </c>
      <c r="K16" s="62">
        <f>ALMYRA!U16</f>
        <v>0</v>
      </c>
      <c r="L16" s="63">
        <v>0.88</v>
      </c>
      <c r="M16" s="66">
        <f>ALMYRA!AJ16</f>
        <v>0</v>
      </c>
      <c r="N16" s="66">
        <f>ALMYRA!AK16</f>
        <v>0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G8" sqref="G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45839</v>
      </c>
      <c r="B2" s="8">
        <v>32904485</v>
      </c>
      <c r="C2" s="84">
        <f>B3-B2</f>
        <v>4630</v>
      </c>
      <c r="D2" s="24">
        <v>1378589</v>
      </c>
      <c r="E2" s="84">
        <f>D3-D2</f>
        <v>2732</v>
      </c>
      <c r="F2" s="102">
        <v>193671</v>
      </c>
      <c r="G2" s="86">
        <f>F3-F2</f>
        <v>0</v>
      </c>
      <c r="H2" s="93">
        <f>C2+E2-G2</f>
        <v>7362</v>
      </c>
      <c r="I2" s="95">
        <f>H2-K2-M2-O2-Q2</f>
        <v>6166.2000000001863</v>
      </c>
      <c r="J2" s="103">
        <v>4865326.4000000004</v>
      </c>
      <c r="K2" s="89">
        <f>J3-J2</f>
        <v>974.79999999981374</v>
      </c>
      <c r="L2" s="11">
        <v>472421</v>
      </c>
      <c r="M2" s="89">
        <f>L3-L2</f>
        <v>40</v>
      </c>
      <c r="N2" s="11">
        <v>142746.5</v>
      </c>
      <c r="O2" s="89">
        <f>N3-N2</f>
        <v>72</v>
      </c>
      <c r="P2" s="40">
        <v>15959.6</v>
      </c>
      <c r="Q2" s="90">
        <f>P3-P2</f>
        <v>109</v>
      </c>
      <c r="R2" s="16">
        <f>A2</f>
        <v>45839</v>
      </c>
      <c r="S2" s="104">
        <v>6670</v>
      </c>
      <c r="T2" s="105"/>
      <c r="U2" s="88">
        <f>S2+T2-S3</f>
        <v>50</v>
      </c>
      <c r="V2" s="13">
        <v>0.77</v>
      </c>
      <c r="W2" s="30">
        <v>0.79</v>
      </c>
      <c r="X2" s="29">
        <f t="shared" ref="X2:X33" si="0">(V2*2500)+(W2*2500)</f>
        <v>3900</v>
      </c>
      <c r="Y2" s="101"/>
      <c r="Z2" s="88">
        <f>X2+Y2-X3</f>
        <v>200</v>
      </c>
      <c r="AA2" s="32">
        <v>121515</v>
      </c>
      <c r="AB2" s="88">
        <f>AA3-AA2</f>
        <v>93</v>
      </c>
      <c r="AC2" s="32">
        <v>2636.9</v>
      </c>
      <c r="AD2" s="88">
        <f>AC3-AC2</f>
        <v>21.599999999999909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/>
      <c r="AK2" s="14"/>
    </row>
    <row r="3" spans="1:37" x14ac:dyDescent="0.2">
      <c r="A3" s="17">
        <f t="shared" ref="A3:A33" si="1">A2+1</f>
        <v>45840</v>
      </c>
      <c r="B3" s="8">
        <v>32909115</v>
      </c>
      <c r="C3" s="85">
        <f>B4-B3</f>
        <v>4795</v>
      </c>
      <c r="D3" s="24">
        <v>1381321</v>
      </c>
      <c r="E3" s="85">
        <f>D4-D3</f>
        <v>2688</v>
      </c>
      <c r="F3" s="24">
        <v>193671</v>
      </c>
      <c r="G3" s="106">
        <f>F4-F3</f>
        <v>0</v>
      </c>
      <c r="H3" s="94">
        <f t="shared" ref="H3:H32" si="2">C3+E3-G3</f>
        <v>7483</v>
      </c>
      <c r="I3" s="96">
        <f t="shared" ref="I3:I32" si="3">H3-K3-M3-O3-Q3</f>
        <v>6286.7999999998137</v>
      </c>
      <c r="J3" s="40">
        <v>4866301.2</v>
      </c>
      <c r="K3" s="107">
        <f>J4-J3</f>
        <v>975.20000000018626</v>
      </c>
      <c r="L3" s="11">
        <f>L2+40</f>
        <v>472461</v>
      </c>
      <c r="M3" s="107">
        <f>L4-L3</f>
        <v>40</v>
      </c>
      <c r="N3" s="11">
        <f>N2+72</f>
        <v>142818.5</v>
      </c>
      <c r="O3" s="107">
        <f>N4-N3</f>
        <v>72</v>
      </c>
      <c r="P3" s="40">
        <f>P2+109</f>
        <v>16068.6</v>
      </c>
      <c r="Q3" s="108">
        <f>P4-P3</f>
        <v>109</v>
      </c>
      <c r="R3" s="17">
        <f>A3</f>
        <v>45840</v>
      </c>
      <c r="S3" s="104">
        <v>6620</v>
      </c>
      <c r="T3" s="109"/>
      <c r="U3" s="110">
        <f>S3+T3-S4</f>
        <v>50</v>
      </c>
      <c r="V3" s="13">
        <v>0.73</v>
      </c>
      <c r="W3" s="30">
        <v>0.75</v>
      </c>
      <c r="X3" s="128">
        <f t="shared" si="0"/>
        <v>3700</v>
      </c>
      <c r="Y3" s="101"/>
      <c r="Z3" s="100">
        <f t="shared" ref="Z3:Z7" si="4">X3+Y3-X4</f>
        <v>125</v>
      </c>
      <c r="AA3" s="32">
        <v>121608</v>
      </c>
      <c r="AB3" s="110">
        <f>AA4-AA3</f>
        <v>113</v>
      </c>
      <c r="AC3" s="32">
        <v>2658.5</v>
      </c>
      <c r="AD3" s="110">
        <f>AC4-AC3</f>
        <v>9.5999999999999091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/>
      <c r="AK3" s="15"/>
    </row>
    <row r="4" spans="1:37" x14ac:dyDescent="0.2">
      <c r="A4" s="17">
        <f t="shared" si="1"/>
        <v>45841</v>
      </c>
      <c r="B4" s="8">
        <v>32913910</v>
      </c>
      <c r="C4" s="85">
        <f t="shared" ref="C4:C7" si="6">B5-B4</f>
        <v>4971</v>
      </c>
      <c r="D4" s="24">
        <v>1384009</v>
      </c>
      <c r="E4" s="85">
        <f t="shared" ref="E4" si="7">D5-D4</f>
        <v>2619</v>
      </c>
      <c r="F4" s="24">
        <v>193671</v>
      </c>
      <c r="G4" s="106">
        <f t="shared" ref="G4:G7" si="8">F5-F4</f>
        <v>0</v>
      </c>
      <c r="H4" s="94">
        <f t="shared" si="2"/>
        <v>7590</v>
      </c>
      <c r="I4" s="96">
        <f t="shared" si="3"/>
        <v>6394</v>
      </c>
      <c r="J4" s="40">
        <v>4867276.4000000004</v>
      </c>
      <c r="K4" s="107">
        <f t="shared" ref="K4:K7" si="9">J5-J4</f>
        <v>975</v>
      </c>
      <c r="L4" s="11">
        <f>L3+40</f>
        <v>472501</v>
      </c>
      <c r="M4" s="107">
        <f t="shared" ref="M4:M7" si="10">L5-L4</f>
        <v>40</v>
      </c>
      <c r="N4" s="11">
        <f t="shared" ref="N4:N9" si="11">N3+72</f>
        <v>142890.5</v>
      </c>
      <c r="O4" s="107">
        <f t="shared" ref="O4:O7" si="12">N5-N4</f>
        <v>72</v>
      </c>
      <c r="P4" s="40">
        <f t="shared" ref="P4:P8" si="13">P3+109</f>
        <v>16177.6</v>
      </c>
      <c r="Q4" s="108">
        <f t="shared" ref="Q4:Q7" si="14">P5-P4</f>
        <v>109</v>
      </c>
      <c r="R4" s="17">
        <f t="shared" ref="R4:R32" si="15">A4</f>
        <v>45841</v>
      </c>
      <c r="S4" s="104">
        <v>6570</v>
      </c>
      <c r="T4" s="109"/>
      <c r="U4" s="110">
        <f t="shared" ref="U4:U7" si="16">S4+T4-S5</f>
        <v>101</v>
      </c>
      <c r="V4" s="13">
        <v>0.7</v>
      </c>
      <c r="W4" s="30">
        <v>0.73</v>
      </c>
      <c r="X4" s="128">
        <f t="shared" si="0"/>
        <v>3575</v>
      </c>
      <c r="Y4" s="101"/>
      <c r="Z4" s="100">
        <f t="shared" si="4"/>
        <v>100</v>
      </c>
      <c r="AA4" s="32">
        <v>121721</v>
      </c>
      <c r="AB4" s="110">
        <f t="shared" ref="AB4:AB7" si="17">AA5-AA4</f>
        <v>101</v>
      </c>
      <c r="AC4" s="32">
        <v>2668.1</v>
      </c>
      <c r="AD4" s="110">
        <f t="shared" ref="AD4:AD7" si="18">AC5-AC4</f>
        <v>9.0999999999999091</v>
      </c>
      <c r="AE4" s="34">
        <v>73027</v>
      </c>
      <c r="AF4" s="110">
        <f t="shared" ref="AF4:AF32" si="19">AE5-AE4</f>
        <v>0</v>
      </c>
      <c r="AG4" s="37">
        <v>3100</v>
      </c>
      <c r="AH4" s="80">
        <v>0</v>
      </c>
      <c r="AI4" s="100">
        <f t="shared" si="5"/>
        <v>0</v>
      </c>
      <c r="AJ4" s="10"/>
      <c r="AK4" s="15"/>
    </row>
    <row r="5" spans="1:37" x14ac:dyDescent="0.2">
      <c r="A5" s="17">
        <f t="shared" si="1"/>
        <v>45842</v>
      </c>
      <c r="B5" s="8">
        <v>32918881</v>
      </c>
      <c r="C5" s="85">
        <f t="shared" si="6"/>
        <v>4724</v>
      </c>
      <c r="D5" s="24">
        <v>1386628</v>
      </c>
      <c r="E5" s="85">
        <f>D6-D5</f>
        <v>2706</v>
      </c>
      <c r="F5" s="24">
        <v>193671</v>
      </c>
      <c r="G5" s="106">
        <f t="shared" si="8"/>
        <v>0</v>
      </c>
      <c r="H5" s="94">
        <f>C5+E5-G5</f>
        <v>7430</v>
      </c>
      <c r="I5" s="96">
        <f t="shared" si="3"/>
        <v>6302.1000000005606</v>
      </c>
      <c r="J5" s="40">
        <v>4868251.4000000004</v>
      </c>
      <c r="K5" s="107">
        <f t="shared" si="9"/>
        <v>906.89999999944121</v>
      </c>
      <c r="L5" s="11">
        <f t="shared" ref="L5:L8" si="20">L4+40</f>
        <v>472541</v>
      </c>
      <c r="M5" s="107">
        <f t="shared" si="10"/>
        <v>40</v>
      </c>
      <c r="N5" s="11">
        <f t="shared" si="11"/>
        <v>142962.5</v>
      </c>
      <c r="O5" s="107">
        <f t="shared" si="12"/>
        <v>72</v>
      </c>
      <c r="P5" s="40">
        <f t="shared" si="13"/>
        <v>16286.6</v>
      </c>
      <c r="Q5" s="108">
        <f t="shared" si="14"/>
        <v>108.99999999999818</v>
      </c>
      <c r="R5" s="17">
        <f t="shared" si="15"/>
        <v>45842</v>
      </c>
      <c r="S5" s="104">
        <v>6469</v>
      </c>
      <c r="T5" s="109"/>
      <c r="U5" s="110">
        <f t="shared" si="16"/>
        <v>100</v>
      </c>
      <c r="V5" s="13">
        <v>0.69</v>
      </c>
      <c r="W5" s="30">
        <v>0.7</v>
      </c>
      <c r="X5" s="128">
        <f t="shared" si="0"/>
        <v>3475</v>
      </c>
      <c r="Y5" s="101"/>
      <c r="Z5" s="100">
        <f t="shared" si="4"/>
        <v>150</v>
      </c>
      <c r="AA5" s="32">
        <v>121822</v>
      </c>
      <c r="AB5" s="110">
        <f t="shared" si="17"/>
        <v>121</v>
      </c>
      <c r="AC5" s="32">
        <v>2677.2</v>
      </c>
      <c r="AD5" s="110">
        <f t="shared" si="18"/>
        <v>4.9000000000000909</v>
      </c>
      <c r="AE5" s="34">
        <v>73027</v>
      </c>
      <c r="AF5" s="110">
        <f t="shared" si="19"/>
        <v>0</v>
      </c>
      <c r="AG5" s="37">
        <v>3100</v>
      </c>
      <c r="AH5" s="80">
        <v>0</v>
      </c>
      <c r="AI5" s="100">
        <f t="shared" si="5"/>
        <v>0</v>
      </c>
      <c r="AJ5" s="10"/>
      <c r="AK5" s="15"/>
    </row>
    <row r="6" spans="1:37" x14ac:dyDescent="0.2">
      <c r="A6" s="17">
        <f t="shared" si="1"/>
        <v>45843</v>
      </c>
      <c r="B6" s="8">
        <v>32923605</v>
      </c>
      <c r="C6" s="85">
        <f t="shared" si="6"/>
        <v>5008</v>
      </c>
      <c r="D6" s="24">
        <v>1389334</v>
      </c>
      <c r="E6" s="85">
        <f t="shared" ref="E6:E7" si="21">D7-D6</f>
        <v>2703</v>
      </c>
      <c r="F6" s="24">
        <v>193671</v>
      </c>
      <c r="G6" s="106">
        <f t="shared" si="8"/>
        <v>0</v>
      </c>
      <c r="H6" s="94">
        <f t="shared" si="2"/>
        <v>7711</v>
      </c>
      <c r="I6" s="96">
        <f t="shared" si="3"/>
        <v>6495.8999999994412</v>
      </c>
      <c r="J6" s="40">
        <v>4869158.3</v>
      </c>
      <c r="K6" s="107">
        <f t="shared" si="9"/>
        <v>994.10000000055879</v>
      </c>
      <c r="L6" s="11">
        <f t="shared" si="20"/>
        <v>472581</v>
      </c>
      <c r="M6" s="107">
        <f t="shared" si="10"/>
        <v>40</v>
      </c>
      <c r="N6" s="11">
        <f t="shared" si="11"/>
        <v>143034.5</v>
      </c>
      <c r="O6" s="107">
        <f t="shared" si="12"/>
        <v>72</v>
      </c>
      <c r="P6" s="40">
        <f t="shared" si="13"/>
        <v>16395.599999999999</v>
      </c>
      <c r="Q6" s="108">
        <f t="shared" si="14"/>
        <v>109</v>
      </c>
      <c r="R6" s="17">
        <f t="shared" si="15"/>
        <v>45843</v>
      </c>
      <c r="S6" s="104">
        <v>6369</v>
      </c>
      <c r="T6" s="109"/>
      <c r="U6" s="110">
        <f t="shared" si="16"/>
        <v>50</v>
      </c>
      <c r="V6" s="13">
        <v>0.67</v>
      </c>
      <c r="W6" s="30">
        <v>0.66</v>
      </c>
      <c r="X6" s="128">
        <f t="shared" si="0"/>
        <v>3325</v>
      </c>
      <c r="Y6" s="101"/>
      <c r="Z6" s="100">
        <f t="shared" si="4"/>
        <v>150</v>
      </c>
      <c r="AA6" s="32">
        <v>121943</v>
      </c>
      <c r="AB6" s="110">
        <f t="shared" si="17"/>
        <v>71</v>
      </c>
      <c r="AC6" s="32">
        <v>2682.1</v>
      </c>
      <c r="AD6" s="110">
        <f t="shared" si="18"/>
        <v>7.5999999999999091</v>
      </c>
      <c r="AE6" s="34">
        <v>73027</v>
      </c>
      <c r="AF6" s="110">
        <f t="shared" si="19"/>
        <v>0</v>
      </c>
      <c r="AG6" s="37">
        <v>3100</v>
      </c>
      <c r="AH6" s="80">
        <v>0</v>
      </c>
      <c r="AI6" s="100">
        <f t="shared" si="5"/>
        <v>0</v>
      </c>
      <c r="AJ6" s="10"/>
      <c r="AK6" s="15"/>
    </row>
    <row r="7" spans="1:37" x14ac:dyDescent="0.2">
      <c r="A7" s="17">
        <f t="shared" si="1"/>
        <v>45844</v>
      </c>
      <c r="B7" s="8">
        <v>32928613</v>
      </c>
      <c r="C7" s="85">
        <f t="shared" si="6"/>
        <v>4958</v>
      </c>
      <c r="D7" s="24">
        <v>1392037</v>
      </c>
      <c r="E7" s="85">
        <f t="shared" si="21"/>
        <v>2692</v>
      </c>
      <c r="F7" s="24">
        <v>193671</v>
      </c>
      <c r="G7" s="106">
        <f t="shared" si="8"/>
        <v>0</v>
      </c>
      <c r="H7" s="94">
        <f t="shared" si="2"/>
        <v>7650</v>
      </c>
      <c r="I7" s="96">
        <f t="shared" si="3"/>
        <v>6583</v>
      </c>
      <c r="J7" s="40">
        <v>4870152.4000000004</v>
      </c>
      <c r="K7" s="107">
        <f t="shared" si="9"/>
        <v>846</v>
      </c>
      <c r="L7" s="11">
        <f t="shared" si="20"/>
        <v>472621</v>
      </c>
      <c r="M7" s="107">
        <f t="shared" si="10"/>
        <v>40</v>
      </c>
      <c r="N7" s="11">
        <f t="shared" si="11"/>
        <v>143106.5</v>
      </c>
      <c r="O7" s="107">
        <f t="shared" si="12"/>
        <v>72</v>
      </c>
      <c r="P7" s="40">
        <f t="shared" si="13"/>
        <v>16504.599999999999</v>
      </c>
      <c r="Q7" s="108">
        <f t="shared" si="14"/>
        <v>109</v>
      </c>
      <c r="R7" s="17">
        <f t="shared" si="15"/>
        <v>45844</v>
      </c>
      <c r="S7" s="104">
        <v>6319</v>
      </c>
      <c r="T7" s="109"/>
      <c r="U7" s="110">
        <f t="shared" si="16"/>
        <v>30</v>
      </c>
      <c r="V7" s="13">
        <v>0.64</v>
      </c>
      <c r="W7" s="30">
        <v>0.63</v>
      </c>
      <c r="X7" s="128">
        <f t="shared" si="0"/>
        <v>3175</v>
      </c>
      <c r="Y7" s="101"/>
      <c r="Z7" s="100">
        <f t="shared" si="4"/>
        <v>200</v>
      </c>
      <c r="AA7" s="32">
        <v>122014</v>
      </c>
      <c r="AB7" s="110">
        <f t="shared" si="17"/>
        <v>72</v>
      </c>
      <c r="AC7" s="32">
        <v>2689.7</v>
      </c>
      <c r="AD7" s="110">
        <f t="shared" si="18"/>
        <v>11</v>
      </c>
      <c r="AE7" s="34">
        <v>73027</v>
      </c>
      <c r="AF7" s="110">
        <f t="shared" si="19"/>
        <v>0</v>
      </c>
      <c r="AG7" s="37">
        <v>3100</v>
      </c>
      <c r="AH7" s="80">
        <v>0</v>
      </c>
      <c r="AI7" s="100">
        <f t="shared" si="5"/>
        <v>0</v>
      </c>
      <c r="AJ7" s="10"/>
      <c r="AK7" s="15"/>
    </row>
    <row r="8" spans="1:37" x14ac:dyDescent="0.2">
      <c r="A8" s="17">
        <f t="shared" si="1"/>
        <v>45845</v>
      </c>
      <c r="B8" s="8">
        <v>32933571</v>
      </c>
      <c r="C8" s="85"/>
      <c r="D8" s="24">
        <v>1394729</v>
      </c>
      <c r="E8" s="85"/>
      <c r="F8" s="24">
        <v>193671</v>
      </c>
      <c r="G8" s="106"/>
      <c r="H8" s="94">
        <f t="shared" si="2"/>
        <v>0</v>
      </c>
      <c r="I8" s="96">
        <f t="shared" si="3"/>
        <v>0</v>
      </c>
      <c r="J8" s="40">
        <v>4870998.4000000004</v>
      </c>
      <c r="K8" s="107"/>
      <c r="L8" s="11">
        <f t="shared" si="20"/>
        <v>472661</v>
      </c>
      <c r="M8" s="107"/>
      <c r="N8" s="11">
        <f t="shared" si="11"/>
        <v>143178.5</v>
      </c>
      <c r="O8" s="107"/>
      <c r="P8" s="40">
        <f t="shared" si="13"/>
        <v>16613.599999999999</v>
      </c>
      <c r="Q8" s="108"/>
      <c r="R8" s="17">
        <f t="shared" si="15"/>
        <v>45845</v>
      </c>
      <c r="S8" s="104">
        <v>6289</v>
      </c>
      <c r="T8" s="109"/>
      <c r="U8" s="110"/>
      <c r="V8" s="13">
        <v>0.61</v>
      </c>
      <c r="W8" s="30">
        <v>0.57999999999999996</v>
      </c>
      <c r="X8" s="128">
        <f t="shared" si="0"/>
        <v>2975</v>
      </c>
      <c r="Y8" s="101"/>
      <c r="Z8" s="100"/>
      <c r="AA8" s="32">
        <v>122086</v>
      </c>
      <c r="AB8" s="110"/>
      <c r="AC8" s="32">
        <v>2700.7</v>
      </c>
      <c r="AD8" s="110"/>
      <c r="AE8" s="34">
        <v>73027</v>
      </c>
      <c r="AF8" s="110">
        <f t="shared" si="19"/>
        <v>0</v>
      </c>
      <c r="AG8" s="37">
        <v>3100</v>
      </c>
      <c r="AH8" s="80">
        <v>0</v>
      </c>
      <c r="AI8" s="100">
        <f t="shared" si="5"/>
        <v>0</v>
      </c>
      <c r="AJ8" s="10"/>
      <c r="AK8" s="15"/>
    </row>
    <row r="9" spans="1:37" x14ac:dyDescent="0.2">
      <c r="A9" s="17">
        <f t="shared" si="1"/>
        <v>45846</v>
      </c>
      <c r="B9" s="8"/>
      <c r="C9" s="85"/>
      <c r="D9" s="24"/>
      <c r="E9" s="85"/>
      <c r="F9" s="24"/>
      <c r="G9" s="106"/>
      <c r="H9" s="94">
        <f t="shared" si="2"/>
        <v>0</v>
      </c>
      <c r="I9" s="96">
        <f t="shared" si="3"/>
        <v>0</v>
      </c>
      <c r="J9" s="40"/>
      <c r="K9" s="107"/>
      <c r="L9" s="11"/>
      <c r="M9" s="107"/>
      <c r="N9" s="11"/>
      <c r="O9" s="107"/>
      <c r="P9" s="40"/>
      <c r="Q9" s="108"/>
      <c r="R9" s="17">
        <f t="shared" si="15"/>
        <v>45846</v>
      </c>
      <c r="S9" s="104"/>
      <c r="T9" s="109"/>
      <c r="U9" s="110"/>
      <c r="V9" s="13"/>
      <c r="W9" s="30"/>
      <c r="X9" s="128">
        <f t="shared" si="0"/>
        <v>0</v>
      </c>
      <c r="Y9" s="101"/>
      <c r="Z9" s="100"/>
      <c r="AA9" s="32"/>
      <c r="AB9" s="110"/>
      <c r="AC9" s="32"/>
      <c r="AD9" s="110"/>
      <c r="AE9" s="34">
        <v>73027</v>
      </c>
      <c r="AF9" s="110">
        <f t="shared" si="19"/>
        <v>0</v>
      </c>
      <c r="AG9" s="37">
        <v>3100</v>
      </c>
      <c r="AH9" s="80">
        <v>0</v>
      </c>
      <c r="AI9" s="100">
        <f t="shared" si="5"/>
        <v>0</v>
      </c>
      <c r="AJ9" s="10"/>
      <c r="AK9" s="15"/>
    </row>
    <row r="10" spans="1:37" x14ac:dyDescent="0.2">
      <c r="A10" s="17">
        <f t="shared" si="1"/>
        <v>45847</v>
      </c>
      <c r="B10" s="8"/>
      <c r="C10" s="85"/>
      <c r="D10" s="24"/>
      <c r="E10" s="85"/>
      <c r="F10" s="24"/>
      <c r="G10" s="106"/>
      <c r="H10" s="94">
        <f t="shared" si="2"/>
        <v>0</v>
      </c>
      <c r="I10" s="96">
        <f t="shared" si="3"/>
        <v>0</v>
      </c>
      <c r="J10" s="40"/>
      <c r="K10" s="107"/>
      <c r="L10" s="11"/>
      <c r="M10" s="107"/>
      <c r="N10" s="11"/>
      <c r="O10" s="107"/>
      <c r="P10" s="40"/>
      <c r="Q10" s="108"/>
      <c r="R10" s="17">
        <f t="shared" si="15"/>
        <v>45847</v>
      </c>
      <c r="S10" s="104"/>
      <c r="T10" s="109"/>
      <c r="U10" s="110"/>
      <c r="V10" s="13"/>
      <c r="W10" s="30"/>
      <c r="X10" s="128">
        <f t="shared" si="0"/>
        <v>0</v>
      </c>
      <c r="Y10" s="101"/>
      <c r="Z10" s="100"/>
      <c r="AA10" s="32"/>
      <c r="AB10" s="110"/>
      <c r="AC10" s="32"/>
      <c r="AD10" s="110"/>
      <c r="AE10" s="34">
        <v>73027</v>
      </c>
      <c r="AF10" s="110">
        <f t="shared" si="19"/>
        <v>0</v>
      </c>
      <c r="AG10" s="37">
        <v>3100</v>
      </c>
      <c r="AH10" s="80">
        <v>0</v>
      </c>
      <c r="AI10" s="100">
        <f t="shared" si="5"/>
        <v>0</v>
      </c>
      <c r="AJ10" s="10"/>
      <c r="AK10" s="15"/>
    </row>
    <row r="11" spans="1:37" x14ac:dyDescent="0.2">
      <c r="A11" s="17">
        <f t="shared" si="1"/>
        <v>45848</v>
      </c>
      <c r="B11" s="8"/>
      <c r="C11" s="85"/>
      <c r="D11" s="24"/>
      <c r="E11" s="85"/>
      <c r="F11" s="24"/>
      <c r="G11" s="106"/>
      <c r="H11" s="94">
        <f t="shared" si="2"/>
        <v>0</v>
      </c>
      <c r="I11" s="96">
        <f t="shared" si="3"/>
        <v>0</v>
      </c>
      <c r="J11" s="40"/>
      <c r="K11" s="107"/>
      <c r="L11" s="11"/>
      <c r="M11" s="107"/>
      <c r="N11" s="11"/>
      <c r="O11" s="107"/>
      <c r="P11" s="40"/>
      <c r="Q11" s="108"/>
      <c r="R11" s="17">
        <f t="shared" si="15"/>
        <v>45848</v>
      </c>
      <c r="S11" s="104"/>
      <c r="T11" s="109"/>
      <c r="U11" s="110"/>
      <c r="V11" s="13"/>
      <c r="W11" s="30"/>
      <c r="X11" s="128">
        <f t="shared" si="0"/>
        <v>0</v>
      </c>
      <c r="Y11" s="101"/>
      <c r="Z11" s="100"/>
      <c r="AA11" s="32"/>
      <c r="AB11" s="110"/>
      <c r="AC11" s="32"/>
      <c r="AD11" s="110"/>
      <c r="AE11" s="34">
        <v>73027</v>
      </c>
      <c r="AF11" s="110">
        <f t="shared" si="19"/>
        <v>0</v>
      </c>
      <c r="AG11" s="37">
        <v>3100</v>
      </c>
      <c r="AH11" s="80">
        <v>0</v>
      </c>
      <c r="AI11" s="100">
        <f t="shared" si="5"/>
        <v>0</v>
      </c>
      <c r="AJ11" s="10"/>
      <c r="AK11" s="15"/>
    </row>
    <row r="12" spans="1:37" x14ac:dyDescent="0.2">
      <c r="A12" s="17">
        <f t="shared" si="1"/>
        <v>45849</v>
      </c>
      <c r="B12" s="8"/>
      <c r="C12" s="85"/>
      <c r="D12" s="24"/>
      <c r="E12" s="85"/>
      <c r="F12" s="24"/>
      <c r="G12" s="106"/>
      <c r="H12" s="94">
        <f t="shared" si="2"/>
        <v>0</v>
      </c>
      <c r="I12" s="96">
        <f t="shared" si="3"/>
        <v>0</v>
      </c>
      <c r="J12" s="40"/>
      <c r="K12" s="107"/>
      <c r="L12" s="11"/>
      <c r="M12" s="107"/>
      <c r="N12" s="11"/>
      <c r="O12" s="107"/>
      <c r="P12" s="40"/>
      <c r="Q12" s="108"/>
      <c r="R12" s="17">
        <f t="shared" si="15"/>
        <v>45849</v>
      </c>
      <c r="S12" s="104"/>
      <c r="T12" s="109"/>
      <c r="U12" s="110"/>
      <c r="V12" s="13"/>
      <c r="W12" s="30"/>
      <c r="X12" s="128">
        <f t="shared" si="0"/>
        <v>0</v>
      </c>
      <c r="Y12" s="101"/>
      <c r="Z12" s="100"/>
      <c r="AA12" s="32"/>
      <c r="AB12" s="110"/>
      <c r="AC12" s="32"/>
      <c r="AD12" s="110"/>
      <c r="AE12" s="34">
        <v>73027</v>
      </c>
      <c r="AF12" s="110">
        <f t="shared" si="19"/>
        <v>0</v>
      </c>
      <c r="AG12" s="37">
        <v>3100</v>
      </c>
      <c r="AH12" s="80">
        <v>0</v>
      </c>
      <c r="AI12" s="100">
        <f t="shared" si="5"/>
        <v>0</v>
      </c>
      <c r="AJ12" s="10"/>
      <c r="AK12" s="15"/>
    </row>
    <row r="13" spans="1:37" x14ac:dyDescent="0.2">
      <c r="A13" s="17">
        <f t="shared" si="1"/>
        <v>45850</v>
      </c>
      <c r="B13" s="8"/>
      <c r="C13" s="85"/>
      <c r="D13" s="24"/>
      <c r="E13" s="85"/>
      <c r="F13" s="24"/>
      <c r="G13" s="106"/>
      <c r="H13" s="94">
        <f t="shared" si="2"/>
        <v>0</v>
      </c>
      <c r="I13" s="96">
        <f t="shared" si="3"/>
        <v>0</v>
      </c>
      <c r="J13" s="40"/>
      <c r="K13" s="107"/>
      <c r="L13" s="11"/>
      <c r="M13" s="107"/>
      <c r="N13" s="11"/>
      <c r="O13" s="107"/>
      <c r="P13" s="40"/>
      <c r="Q13" s="108"/>
      <c r="R13" s="17">
        <f t="shared" si="15"/>
        <v>45850</v>
      </c>
      <c r="S13" s="104"/>
      <c r="T13" s="109"/>
      <c r="U13" s="110"/>
      <c r="V13" s="13"/>
      <c r="W13" s="30"/>
      <c r="X13" s="128">
        <f t="shared" si="0"/>
        <v>0</v>
      </c>
      <c r="Y13" s="101"/>
      <c r="Z13" s="100"/>
      <c r="AA13" s="32"/>
      <c r="AB13" s="110"/>
      <c r="AC13" s="32"/>
      <c r="AD13" s="110"/>
      <c r="AE13" s="34">
        <v>73027</v>
      </c>
      <c r="AF13" s="110">
        <f t="shared" si="19"/>
        <v>0</v>
      </c>
      <c r="AG13" s="37">
        <v>3100</v>
      </c>
      <c r="AH13" s="80">
        <v>0</v>
      </c>
      <c r="AI13" s="100">
        <f t="shared" si="5"/>
        <v>0</v>
      </c>
      <c r="AJ13" s="10"/>
      <c r="AK13" s="15"/>
    </row>
    <row r="14" spans="1:37" x14ac:dyDescent="0.2">
      <c r="A14" s="17">
        <f t="shared" si="1"/>
        <v>45851</v>
      </c>
      <c r="B14" s="8"/>
      <c r="C14" s="85"/>
      <c r="D14" s="24"/>
      <c r="E14" s="85"/>
      <c r="F14" s="24"/>
      <c r="G14" s="106"/>
      <c r="H14" s="94">
        <f t="shared" si="2"/>
        <v>0</v>
      </c>
      <c r="I14" s="96">
        <f t="shared" si="3"/>
        <v>0</v>
      </c>
      <c r="J14" s="40"/>
      <c r="K14" s="107"/>
      <c r="L14" s="11"/>
      <c r="M14" s="107"/>
      <c r="N14" s="11"/>
      <c r="O14" s="107"/>
      <c r="P14" s="40"/>
      <c r="Q14" s="108"/>
      <c r="R14" s="17">
        <f t="shared" si="15"/>
        <v>45851</v>
      </c>
      <c r="S14" s="104"/>
      <c r="T14" s="109"/>
      <c r="U14" s="110"/>
      <c r="V14" s="13"/>
      <c r="W14" s="30"/>
      <c r="X14" s="128">
        <f t="shared" si="0"/>
        <v>0</v>
      </c>
      <c r="Y14" s="101"/>
      <c r="Z14" s="100"/>
      <c r="AA14" s="32"/>
      <c r="AB14" s="110"/>
      <c r="AC14" s="32"/>
      <c r="AD14" s="110"/>
      <c r="AE14" s="34">
        <v>73027</v>
      </c>
      <c r="AF14" s="110">
        <f t="shared" si="19"/>
        <v>0</v>
      </c>
      <c r="AG14" s="37">
        <v>3100</v>
      </c>
      <c r="AH14" s="80">
        <v>0</v>
      </c>
      <c r="AI14" s="100">
        <f t="shared" si="5"/>
        <v>0</v>
      </c>
      <c r="AJ14" s="10"/>
      <c r="AK14" s="15"/>
    </row>
    <row r="15" spans="1:37" x14ac:dyDescent="0.2">
      <c r="A15" s="17">
        <f t="shared" si="1"/>
        <v>45852</v>
      </c>
      <c r="B15" s="8"/>
      <c r="C15" s="85"/>
      <c r="D15" s="24"/>
      <c r="E15" s="85"/>
      <c r="F15" s="24"/>
      <c r="G15" s="106"/>
      <c r="H15" s="94">
        <f t="shared" si="2"/>
        <v>0</v>
      </c>
      <c r="I15" s="96">
        <f t="shared" si="3"/>
        <v>0</v>
      </c>
      <c r="J15" s="40"/>
      <c r="K15" s="107"/>
      <c r="L15" s="11"/>
      <c r="M15" s="107"/>
      <c r="N15" s="11"/>
      <c r="O15" s="107"/>
      <c r="P15" s="40"/>
      <c r="Q15" s="108"/>
      <c r="R15" s="17">
        <f t="shared" si="15"/>
        <v>45852</v>
      </c>
      <c r="S15" s="104"/>
      <c r="T15" s="109"/>
      <c r="U15" s="110"/>
      <c r="V15" s="13"/>
      <c r="W15" s="30"/>
      <c r="X15" s="128">
        <f t="shared" si="0"/>
        <v>0</v>
      </c>
      <c r="Y15" s="101"/>
      <c r="Z15" s="100"/>
      <c r="AA15" s="32"/>
      <c r="AB15" s="110"/>
      <c r="AC15" s="32"/>
      <c r="AD15" s="110"/>
      <c r="AE15" s="34">
        <v>73027</v>
      </c>
      <c r="AF15" s="110">
        <f t="shared" si="19"/>
        <v>0</v>
      </c>
      <c r="AG15" s="37">
        <v>3100</v>
      </c>
      <c r="AH15" s="80">
        <v>0</v>
      </c>
      <c r="AI15" s="100">
        <f t="shared" si="5"/>
        <v>0</v>
      </c>
      <c r="AJ15" s="10"/>
      <c r="AK15" s="15"/>
    </row>
    <row r="16" spans="1:37" x14ac:dyDescent="0.2">
      <c r="A16" s="17">
        <f t="shared" si="1"/>
        <v>45853</v>
      </c>
      <c r="B16" s="8"/>
      <c r="C16" s="85"/>
      <c r="D16" s="24"/>
      <c r="E16" s="85"/>
      <c r="F16" s="24"/>
      <c r="G16" s="106"/>
      <c r="H16" s="94">
        <f t="shared" si="2"/>
        <v>0</v>
      </c>
      <c r="I16" s="96">
        <f t="shared" si="3"/>
        <v>0</v>
      </c>
      <c r="J16" s="40"/>
      <c r="K16" s="107"/>
      <c r="L16" s="11"/>
      <c r="M16" s="107"/>
      <c r="N16" s="11"/>
      <c r="O16" s="107"/>
      <c r="P16" s="40"/>
      <c r="Q16" s="108"/>
      <c r="R16" s="17">
        <f t="shared" si="15"/>
        <v>45853</v>
      </c>
      <c r="S16" s="104"/>
      <c r="T16" s="109"/>
      <c r="U16" s="110"/>
      <c r="V16" s="13"/>
      <c r="W16" s="30"/>
      <c r="X16" s="128">
        <f t="shared" si="0"/>
        <v>0</v>
      </c>
      <c r="Y16" s="101"/>
      <c r="Z16" s="100"/>
      <c r="AA16" s="32"/>
      <c r="AB16" s="110"/>
      <c r="AC16" s="32"/>
      <c r="AD16" s="110"/>
      <c r="AE16" s="34">
        <v>73027</v>
      </c>
      <c r="AF16" s="110">
        <f t="shared" si="19"/>
        <v>0</v>
      </c>
      <c r="AG16" s="37">
        <v>3100</v>
      </c>
      <c r="AH16" s="80">
        <v>0</v>
      </c>
      <c r="AI16" s="100">
        <f t="shared" si="5"/>
        <v>0</v>
      </c>
      <c r="AJ16" s="10"/>
      <c r="AK16" s="15"/>
    </row>
    <row r="17" spans="1:37" x14ac:dyDescent="0.2">
      <c r="A17" s="17">
        <f t="shared" si="1"/>
        <v>45854</v>
      </c>
      <c r="B17" s="8"/>
      <c r="C17" s="85"/>
      <c r="D17" s="24"/>
      <c r="E17" s="85"/>
      <c r="F17" s="24"/>
      <c r="G17" s="106"/>
      <c r="H17" s="94">
        <f t="shared" si="2"/>
        <v>0</v>
      </c>
      <c r="I17" s="96">
        <f t="shared" si="3"/>
        <v>0</v>
      </c>
      <c r="J17" s="40"/>
      <c r="K17" s="107"/>
      <c r="L17" s="11"/>
      <c r="M17" s="107"/>
      <c r="N17" s="11"/>
      <c r="O17" s="107"/>
      <c r="P17" s="40"/>
      <c r="Q17" s="108"/>
      <c r="R17" s="17">
        <f t="shared" si="15"/>
        <v>45854</v>
      </c>
      <c r="S17" s="104"/>
      <c r="T17" s="109"/>
      <c r="U17" s="110"/>
      <c r="V17" s="13"/>
      <c r="W17" s="30"/>
      <c r="X17" s="128">
        <f t="shared" si="0"/>
        <v>0</v>
      </c>
      <c r="Y17" s="101"/>
      <c r="Z17" s="100"/>
      <c r="AA17" s="32"/>
      <c r="AB17" s="110"/>
      <c r="AC17" s="32"/>
      <c r="AD17" s="110"/>
      <c r="AE17" s="34">
        <v>73027</v>
      </c>
      <c r="AF17" s="110">
        <f t="shared" si="19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45855</v>
      </c>
      <c r="B18" s="8"/>
      <c r="C18" s="85"/>
      <c r="D18" s="24"/>
      <c r="E18" s="85"/>
      <c r="F18" s="24"/>
      <c r="G18" s="106"/>
      <c r="H18" s="94">
        <f t="shared" si="2"/>
        <v>0</v>
      </c>
      <c r="I18" s="96">
        <f t="shared" si="3"/>
        <v>0</v>
      </c>
      <c r="J18" s="40"/>
      <c r="K18" s="107"/>
      <c r="L18" s="11"/>
      <c r="M18" s="107"/>
      <c r="N18" s="11"/>
      <c r="O18" s="107"/>
      <c r="P18" s="40"/>
      <c r="Q18" s="108"/>
      <c r="R18" s="17">
        <f t="shared" si="15"/>
        <v>45855</v>
      </c>
      <c r="S18" s="104"/>
      <c r="T18" s="109"/>
      <c r="U18" s="110"/>
      <c r="V18" s="13"/>
      <c r="W18" s="30"/>
      <c r="X18" s="128">
        <f t="shared" si="0"/>
        <v>0</v>
      </c>
      <c r="Y18" s="101"/>
      <c r="Z18" s="100"/>
      <c r="AA18" s="32"/>
      <c r="AB18" s="110"/>
      <c r="AC18" s="32"/>
      <c r="AD18" s="110"/>
      <c r="AE18" s="34">
        <v>73027</v>
      </c>
      <c r="AF18" s="110">
        <f t="shared" si="19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45856</v>
      </c>
      <c r="B19" s="8"/>
      <c r="C19" s="85"/>
      <c r="D19" s="24"/>
      <c r="E19" s="85"/>
      <c r="F19" s="24"/>
      <c r="G19" s="106"/>
      <c r="H19" s="94">
        <f t="shared" si="2"/>
        <v>0</v>
      </c>
      <c r="I19" s="96">
        <f t="shared" si="3"/>
        <v>0</v>
      </c>
      <c r="J19" s="40"/>
      <c r="K19" s="107"/>
      <c r="L19" s="11"/>
      <c r="M19" s="107"/>
      <c r="N19" s="11"/>
      <c r="O19" s="107"/>
      <c r="P19" s="40"/>
      <c r="Q19" s="108"/>
      <c r="R19" s="17">
        <f t="shared" si="15"/>
        <v>45856</v>
      </c>
      <c r="S19" s="104"/>
      <c r="T19" s="109"/>
      <c r="U19" s="110"/>
      <c r="V19" s="13"/>
      <c r="W19" s="30"/>
      <c r="X19" s="128">
        <f t="shared" si="0"/>
        <v>0</v>
      </c>
      <c r="Y19" s="101"/>
      <c r="Z19" s="100"/>
      <c r="AA19" s="32"/>
      <c r="AB19" s="110"/>
      <c r="AC19" s="32"/>
      <c r="AD19" s="110"/>
      <c r="AE19" s="34">
        <v>73027</v>
      </c>
      <c r="AF19" s="110">
        <f t="shared" si="19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45857</v>
      </c>
      <c r="B20" s="8"/>
      <c r="C20" s="85"/>
      <c r="D20" s="24"/>
      <c r="E20" s="85"/>
      <c r="F20" s="24"/>
      <c r="G20" s="106"/>
      <c r="H20" s="94">
        <f t="shared" si="2"/>
        <v>0</v>
      </c>
      <c r="I20" s="96">
        <f t="shared" si="3"/>
        <v>0</v>
      </c>
      <c r="J20" s="40"/>
      <c r="K20" s="107"/>
      <c r="L20" s="11"/>
      <c r="M20" s="107"/>
      <c r="N20" s="11"/>
      <c r="O20" s="107"/>
      <c r="P20" s="40"/>
      <c r="Q20" s="108"/>
      <c r="R20" s="17">
        <f t="shared" si="15"/>
        <v>45857</v>
      </c>
      <c r="S20" s="104"/>
      <c r="T20" s="109"/>
      <c r="U20" s="110"/>
      <c r="V20" s="13"/>
      <c r="W20" s="30"/>
      <c r="X20" s="128">
        <f t="shared" si="0"/>
        <v>0</v>
      </c>
      <c r="Y20" s="101"/>
      <c r="Z20" s="100"/>
      <c r="AA20" s="32"/>
      <c r="AB20" s="110"/>
      <c r="AC20" s="32"/>
      <c r="AD20" s="110"/>
      <c r="AE20" s="34">
        <v>73027</v>
      </c>
      <c r="AF20" s="110">
        <f t="shared" si="19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45858</v>
      </c>
      <c r="B21" s="8"/>
      <c r="C21" s="85"/>
      <c r="D21" s="24"/>
      <c r="E21" s="85"/>
      <c r="F21" s="24"/>
      <c r="G21" s="106"/>
      <c r="H21" s="94">
        <f t="shared" si="2"/>
        <v>0</v>
      </c>
      <c r="I21" s="96">
        <f t="shared" si="3"/>
        <v>0</v>
      </c>
      <c r="J21" s="40"/>
      <c r="K21" s="107"/>
      <c r="L21" s="11"/>
      <c r="M21" s="107"/>
      <c r="N21" s="11"/>
      <c r="O21" s="107"/>
      <c r="P21" s="40"/>
      <c r="Q21" s="108"/>
      <c r="R21" s="17">
        <f t="shared" si="15"/>
        <v>45858</v>
      </c>
      <c r="S21" s="104"/>
      <c r="T21" s="109"/>
      <c r="U21" s="110"/>
      <c r="V21" s="13"/>
      <c r="W21" s="30"/>
      <c r="X21" s="128">
        <f t="shared" si="0"/>
        <v>0</v>
      </c>
      <c r="Y21" s="101"/>
      <c r="Z21" s="100"/>
      <c r="AA21" s="32"/>
      <c r="AB21" s="110"/>
      <c r="AC21" s="32"/>
      <c r="AD21" s="110"/>
      <c r="AE21" s="34">
        <v>73027</v>
      </c>
      <c r="AF21" s="110">
        <f t="shared" si="19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45859</v>
      </c>
      <c r="B22" s="8"/>
      <c r="C22" s="85"/>
      <c r="D22" s="24"/>
      <c r="E22" s="85"/>
      <c r="F22" s="24"/>
      <c r="G22" s="106"/>
      <c r="H22" s="94">
        <f t="shared" si="2"/>
        <v>0</v>
      </c>
      <c r="I22" s="96">
        <f t="shared" si="3"/>
        <v>0</v>
      </c>
      <c r="J22" s="40"/>
      <c r="K22" s="107"/>
      <c r="L22" s="11"/>
      <c r="M22" s="107"/>
      <c r="N22" s="11"/>
      <c r="O22" s="107"/>
      <c r="P22" s="40"/>
      <c r="Q22" s="108"/>
      <c r="R22" s="17">
        <f t="shared" si="15"/>
        <v>45859</v>
      </c>
      <c r="S22" s="104"/>
      <c r="T22" s="109"/>
      <c r="U22" s="110"/>
      <c r="V22" s="13"/>
      <c r="W22" s="30"/>
      <c r="X22" s="128">
        <f t="shared" si="0"/>
        <v>0</v>
      </c>
      <c r="Y22" s="101"/>
      <c r="Z22" s="100"/>
      <c r="AA22" s="32"/>
      <c r="AB22" s="110"/>
      <c r="AC22" s="32"/>
      <c r="AD22" s="110"/>
      <c r="AE22" s="34">
        <v>73027</v>
      </c>
      <c r="AF22" s="110">
        <f t="shared" si="19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45860</v>
      </c>
      <c r="B23" s="8"/>
      <c r="C23" s="85"/>
      <c r="D23" s="24"/>
      <c r="E23" s="85"/>
      <c r="F23" s="24"/>
      <c r="G23" s="106"/>
      <c r="H23" s="94">
        <f t="shared" si="2"/>
        <v>0</v>
      </c>
      <c r="I23" s="96">
        <f t="shared" si="3"/>
        <v>0</v>
      </c>
      <c r="J23" s="40"/>
      <c r="K23" s="107"/>
      <c r="L23" s="11"/>
      <c r="M23" s="107"/>
      <c r="N23" s="11"/>
      <c r="O23" s="107"/>
      <c r="P23" s="40"/>
      <c r="Q23" s="108"/>
      <c r="R23" s="17">
        <f t="shared" si="15"/>
        <v>45860</v>
      </c>
      <c r="S23" s="104"/>
      <c r="T23" s="109"/>
      <c r="U23" s="110"/>
      <c r="V23" s="13"/>
      <c r="W23" s="30"/>
      <c r="X23" s="128">
        <f t="shared" si="0"/>
        <v>0</v>
      </c>
      <c r="Y23" s="101"/>
      <c r="Z23" s="100"/>
      <c r="AA23" s="32"/>
      <c r="AB23" s="110"/>
      <c r="AC23" s="32"/>
      <c r="AD23" s="110"/>
      <c r="AE23" s="34">
        <v>73027</v>
      </c>
      <c r="AF23" s="110">
        <f t="shared" si="19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45861</v>
      </c>
      <c r="B24" s="8"/>
      <c r="C24" s="85"/>
      <c r="D24" s="24"/>
      <c r="E24" s="85"/>
      <c r="F24" s="24"/>
      <c r="G24" s="106"/>
      <c r="H24" s="94">
        <f t="shared" si="2"/>
        <v>0</v>
      </c>
      <c r="I24" s="96">
        <f t="shared" si="3"/>
        <v>0</v>
      </c>
      <c r="J24" s="40"/>
      <c r="K24" s="107"/>
      <c r="L24" s="11"/>
      <c r="M24" s="107"/>
      <c r="N24" s="11"/>
      <c r="O24" s="107"/>
      <c r="P24" s="40"/>
      <c r="Q24" s="108"/>
      <c r="R24" s="17">
        <f t="shared" si="15"/>
        <v>45861</v>
      </c>
      <c r="S24" s="104"/>
      <c r="T24" s="109"/>
      <c r="U24" s="110"/>
      <c r="V24" s="13"/>
      <c r="W24" s="30"/>
      <c r="X24" s="128">
        <f t="shared" si="0"/>
        <v>0</v>
      </c>
      <c r="Y24" s="101"/>
      <c r="Z24" s="100"/>
      <c r="AA24" s="32"/>
      <c r="AB24" s="110"/>
      <c r="AC24" s="32"/>
      <c r="AD24" s="110"/>
      <c r="AE24" s="34">
        <v>73027</v>
      </c>
      <c r="AF24" s="110">
        <f t="shared" si="19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45862</v>
      </c>
      <c r="B25" s="8"/>
      <c r="C25" s="85"/>
      <c r="D25" s="24"/>
      <c r="E25" s="85"/>
      <c r="F25" s="24"/>
      <c r="G25" s="106"/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5"/>
        <v>45862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9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45863</v>
      </c>
      <c r="B26" s="8"/>
      <c r="C26" s="85"/>
      <c r="D26" s="24"/>
      <c r="E26" s="85"/>
      <c r="F26" s="24"/>
      <c r="G26" s="106"/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5"/>
        <v>45863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9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45864</v>
      </c>
      <c r="B27" s="8"/>
      <c r="C27" s="85"/>
      <c r="D27" s="24"/>
      <c r="E27" s="85"/>
      <c r="F27" s="24"/>
      <c r="G27" s="106"/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5"/>
        <v>45864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9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45865</v>
      </c>
      <c r="B28" s="8"/>
      <c r="C28" s="85"/>
      <c r="D28" s="24"/>
      <c r="E28" s="85"/>
      <c r="F28" s="24"/>
      <c r="G28" s="106"/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5"/>
        <v>45865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9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45866</v>
      </c>
      <c r="B29" s="8"/>
      <c r="C29" s="85"/>
      <c r="D29" s="24"/>
      <c r="E29" s="85"/>
      <c r="F29" s="24"/>
      <c r="G29" s="106"/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5"/>
        <v>45866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9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45867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5"/>
        <v>45867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9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45868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5"/>
        <v>45868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9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45869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5"/>
        <v>45869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9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45870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45870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29086</v>
      </c>
      <c r="D34" s="77"/>
      <c r="E34" s="112">
        <f>SUM(E2:E33)</f>
        <v>16140</v>
      </c>
      <c r="F34" s="113"/>
      <c r="G34" s="114">
        <f>SUM(G2:G33)</f>
        <v>0</v>
      </c>
      <c r="H34" s="115">
        <f>SUM(H2:H33)</f>
        <v>45226</v>
      </c>
      <c r="I34" s="116">
        <f>SUM(I2:I32)</f>
        <v>38228</v>
      </c>
      <c r="J34" s="113"/>
      <c r="K34" s="117">
        <f>SUM(K2:K33)</f>
        <v>5672</v>
      </c>
      <c r="L34" s="113"/>
      <c r="M34" s="117">
        <f>SUM(M2:M33)</f>
        <v>240</v>
      </c>
      <c r="N34" s="113"/>
      <c r="O34" s="117">
        <f>SUM(O2:O33)</f>
        <v>432</v>
      </c>
      <c r="P34" s="113"/>
      <c r="Q34" s="118">
        <f>SUM(Q2:Q33)</f>
        <v>653.99999999999818</v>
      </c>
      <c r="R34" s="77"/>
      <c r="S34" s="77"/>
      <c r="T34" s="77"/>
      <c r="U34" s="119">
        <f>SUM(U2:U33)</f>
        <v>381</v>
      </c>
      <c r="V34" s="77"/>
      <c r="W34" s="77"/>
      <c r="X34" s="77"/>
      <c r="Y34" s="120">
        <f>SUM(Y2:Y33)</f>
        <v>0</v>
      </c>
      <c r="Z34" s="121">
        <f>SUM(Z2:Z33)</f>
        <v>925</v>
      </c>
      <c r="AA34" s="77"/>
      <c r="AB34" s="122">
        <f>SUM(AB2:AB33)</f>
        <v>571</v>
      </c>
      <c r="AC34" s="113"/>
      <c r="AD34" s="122">
        <f>SUM(AD2:AD33)</f>
        <v>63.799999999999727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0</v>
      </c>
      <c r="AK34" s="127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2025-07-07T07:26:13Z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