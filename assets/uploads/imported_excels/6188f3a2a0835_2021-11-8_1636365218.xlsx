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7804" documentId="8_{5B502D95-7A37-4D5A-8B6B-374537CC2F26}" xr6:coauthVersionLast="47" xr6:coauthVersionMax="47" xr10:uidLastSave="{48DA4613-4E78-4D71-A1DF-8BDCF996C487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" i="2" l="1"/>
  <c r="V15" i="2"/>
  <c r="V16" i="2"/>
  <c r="N15" i="2"/>
  <c r="N16" i="2"/>
  <c r="N17" i="2"/>
  <c r="M15" i="2"/>
  <c r="M16" i="2"/>
  <c r="M17" i="2"/>
  <c r="L15" i="2"/>
  <c r="L16" i="2"/>
  <c r="L17" i="2"/>
  <c r="F15" i="2"/>
  <c r="F16" i="2"/>
  <c r="F17" i="2"/>
  <c r="K15" i="6"/>
  <c r="I15" i="6"/>
  <c r="G15" i="6"/>
  <c r="E15" i="6"/>
  <c r="K14" i="6"/>
  <c r="I14" i="6"/>
  <c r="G14" i="6"/>
  <c r="E14" i="6"/>
  <c r="V13" i="2"/>
  <c r="N14" i="2"/>
  <c r="M14" i="2"/>
  <c r="L14" i="2"/>
  <c r="F14" i="2"/>
  <c r="K13" i="6"/>
  <c r="I13" i="6"/>
  <c r="G13" i="6"/>
  <c r="E13" i="6"/>
  <c r="V11" i="2"/>
  <c r="V12" i="2"/>
  <c r="N12" i="2"/>
  <c r="N13" i="2"/>
  <c r="M12" i="2"/>
  <c r="M13" i="2"/>
  <c r="L12" i="2"/>
  <c r="L13" i="2"/>
  <c r="F12" i="2"/>
  <c r="F13" i="2"/>
  <c r="K12" i="6"/>
  <c r="I12" i="6"/>
  <c r="G12" i="6"/>
  <c r="E12" i="6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C10" i="6"/>
  <c r="E10" i="6"/>
  <c r="N10" i="2"/>
  <c r="M10" i="2"/>
  <c r="L10" i="2"/>
  <c r="F10" i="2"/>
  <c r="G4" i="4"/>
  <c r="E4" i="4"/>
  <c r="C4" i="4"/>
  <c r="G30" i="22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Q39" i="2"/>
  <c r="O39" i="2"/>
  <c r="K38" i="6"/>
  <c r="I38" i="6"/>
  <c r="G38" i="6"/>
  <c r="E38" i="6"/>
  <c r="K37" i="6"/>
  <c r="I37" i="6"/>
  <c r="G37" i="6"/>
  <c r="E37" i="6"/>
  <c r="K36" i="6"/>
  <c r="I36" i="6"/>
  <c r="G36" i="6"/>
  <c r="E36" i="6"/>
  <c r="K35" i="6"/>
  <c r="I35" i="6"/>
  <c r="G35" i="6"/>
  <c r="E35" i="6"/>
  <c r="K34" i="6"/>
  <c r="I34" i="6"/>
  <c r="G34" i="6"/>
  <c r="E34" i="6"/>
  <c r="K31" i="6"/>
  <c r="K32" i="6"/>
  <c r="K33" i="6"/>
  <c r="I31" i="6"/>
  <c r="I32" i="6"/>
  <c r="I33" i="6"/>
  <c r="G31" i="6"/>
  <c r="G32" i="6"/>
  <c r="G33" i="6"/>
  <c r="E31" i="6"/>
  <c r="E32" i="6"/>
  <c r="E33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K24" i="6"/>
  <c r="I24" i="6"/>
  <c r="G24" i="6"/>
  <c r="E24" i="6"/>
  <c r="K23" i="6"/>
  <c r="I23" i="6"/>
  <c r="G23" i="6"/>
  <c r="E23" i="6"/>
  <c r="G17" i="4"/>
  <c r="K22" i="6"/>
  <c r="I22" i="6"/>
  <c r="G22" i="6"/>
  <c r="E22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E16" i="6"/>
  <c r="K16" i="6"/>
  <c r="I16" i="6"/>
  <c r="G16" i="6"/>
  <c r="P40" i="4"/>
  <c r="P41" i="4"/>
  <c r="P42" i="4"/>
  <c r="L31" i="22"/>
  <c r="K31" i="22"/>
  <c r="I31" i="22"/>
  <c r="I31" i="21"/>
  <c r="H31" i="21"/>
  <c r="G31" i="21"/>
  <c r="F31" i="21"/>
  <c r="E31" i="21"/>
  <c r="E31" i="22" s="1"/>
  <c r="K39" i="6"/>
  <c r="I39" i="6"/>
  <c r="G39" i="6"/>
  <c r="E39" i="6"/>
  <c r="C39" i="6"/>
  <c r="H39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1" i="4"/>
  <c r="G12" i="4"/>
  <c r="G13" i="4"/>
  <c r="G14" i="4"/>
  <c r="G15" i="4"/>
  <c r="G16" i="4"/>
  <c r="G18" i="4"/>
  <c r="G20" i="4"/>
  <c r="G22" i="4"/>
  <c r="G24" i="4"/>
  <c r="G26" i="4"/>
  <c r="G27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L5" i="4" l="1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<sst xmlns="http://schemas.openxmlformats.org/spreadsheetml/2006/main" count="476" uniqueCount="186">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</sst>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481.39000000000004</c:v>
                </c:pt>
                <c:pt idx="2">
                  <c:v>333.27000000000004</c:v>
                </c:pt>
                <c:pt idx="3">
                  <c:v>519.4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3" workbookViewId="0">
      <selection activeCell="G29" sqref="G29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14812</v>
      </c>
      <c r="F3" s="134">
        <v>1.05</v>
      </c>
      <c r="G3" s="134">
        <f>'Consommation mensuel énergie'!V11</f>
        <v>481.39000000000004</v>
      </c>
      <c r="H3" s="134">
        <v>9.9649999999999999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1.05</v>
      </c>
      <c r="G4" s="134">
        <f>'Consommation mensuel énergie'!V12</f>
        <v>333.27000000000004</v>
      </c>
      <c r="H4" s="134">
        <v>9.9649999999999999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1.05</v>
      </c>
      <c r="G5" s="134">
        <f>'Consommation mensuel énergie'!V13</f>
        <v>519.4</v>
      </c>
      <c r="H5" s="134">
        <v>9.9649999999999999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1.05</v>
      </c>
      <c r="G6" s="134">
        <f>'Consommation mensuel énergie'!V14</f>
        <v>735.98183000000006</v>
      </c>
      <c r="H6" s="134">
        <v>9.9649999999999999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1.05</v>
      </c>
      <c r="G7" s="134">
        <f>'Consommation mensuel énergie'!V15</f>
        <v>639.98419999999999</v>
      </c>
      <c r="H7" s="134">
        <v>9.9649999999999999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1.05</v>
      </c>
      <c r="G8" s="134">
        <f>'Consommation mensuel énergie'!V16</f>
        <v>671.98341000000005</v>
      </c>
      <c r="H8" s="134">
        <v>9.9649999999999999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95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3900.4294399999999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4" workbookViewId="0">
      <selection activeCell="C31" sqref="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énergie'!N14</f>
        <v>3073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2" activePane="bottomRight" state="frozen"/>
      <selection pane="bottomRight" activeCell="E17" sqref="E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6">
        <f>F10*8.79</f>
        <v>978.32700000002546</v>
      </c>
      <c r="I10" s="167"/>
      <c r="J10" s="167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V10*11.2513</f>
        <v>5832.8989460000012</v>
      </c>
    </row>
    <row r="11" spans="1:24" ht="32.25" customHeight="1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6">
        <f t="shared" ref="H11:H21" si="0">F11*8.79</f>
        <v>1052.1629999999743</v>
      </c>
      <c r="I11" s="167"/>
      <c r="J11" s="167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>L11+M11+N11</f>
        <v>14791</v>
      </c>
      <c r="P11" s="11"/>
      <c r="Q11" s="34">
        <f>L11*0.6985+M11*0.9514+N14*1.3304</f>
        <v>14146.3199</v>
      </c>
      <c r="R11" s="11"/>
      <c r="S11" s="28"/>
      <c r="T11" s="11"/>
      <c r="U11" s="28"/>
      <c r="V11" s="146">
        <f>'Suvi Gaz'!O5</f>
        <v>481.39000000000004</v>
      </c>
      <c r="W11" s="11"/>
      <c r="X11" s="34">
        <f t="shared" ref="X11:X39" si="1">V11*11.2513</f>
        <v>5416.2633070000011</v>
      </c>
    </row>
    <row r="12" spans="1:24" ht="32.25" customHeight="1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6">
        <f t="shared" si="0"/>
        <v>842.96100000007664</v>
      </c>
      <c r="I12" s="167"/>
      <c r="J12" s="167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>L12+M12+N12</f>
        <v>14655</v>
      </c>
      <c r="P12" s="11"/>
      <c r="Q12" s="34">
        <f>L12*0.6985+M12*0.9514+N12*1.3304</f>
        <v>13955.3799</v>
      </c>
      <c r="R12" s="11"/>
      <c r="S12" s="28"/>
      <c r="T12" s="11"/>
      <c r="U12" s="28"/>
      <c r="V12" s="146">
        <f>'Suvi Gaz'!O6</f>
        <v>333.27000000000004</v>
      </c>
      <c r="W12" s="11"/>
      <c r="X12" s="34">
        <f t="shared" si="1"/>
        <v>3749.7207510000007</v>
      </c>
    </row>
    <row r="13" spans="1:24" ht="32.25" customHeight="1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6">
        <f t="shared" si="0"/>
        <v>831.53399999992314</v>
      </c>
      <c r="I13" s="167"/>
      <c r="J13" s="167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ref="O13:O39" si="2">L13+M13+N13</f>
        <v>15052</v>
      </c>
      <c r="P13" s="11"/>
      <c r="Q13" s="34">
        <f t="shared" ref="Q13:Q39" si="3">L13*0.6985+M13*0.9514+N13*1.3304</f>
        <v>14265.845800000001</v>
      </c>
      <c r="R13" s="11"/>
      <c r="S13" s="28"/>
      <c r="T13" s="11"/>
      <c r="U13" s="28"/>
      <c r="V13" s="146">
        <f>'Suvi Gaz'!O7</f>
        <v>519.4</v>
      </c>
      <c r="W13" s="11"/>
      <c r="X13" s="34">
        <f t="shared" si="1"/>
        <v>5843.9252200000001</v>
      </c>
    </row>
    <row r="14" spans="1:24" ht="32.25" customHeight="1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6">
        <f t="shared" si="0"/>
        <v>1053.0420000000254</v>
      </c>
      <c r="I14" s="167"/>
      <c r="J14" s="167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2"/>
        <v>13759</v>
      </c>
      <c r="P14" s="12"/>
      <c r="Q14" s="34">
        <f t="shared" si="3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1"/>
        <v>8280.7523638790008</v>
      </c>
    </row>
    <row r="15" spans="1:24" ht="32.25" customHeight="1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6">
        <f t="shared" si="0"/>
        <v>1048.6470000000254</v>
      </c>
      <c r="I15" s="167"/>
      <c r="J15" s="167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2"/>
        <v>13405</v>
      </c>
      <c r="P15" s="12"/>
      <c r="Q15" s="34">
        <f>L15*0.6985+M15*0.9514+N15*1.3304</f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1"/>
        <v>7200.6542294600004</v>
      </c>
    </row>
    <row r="16" spans="1:24" ht="32.25" customHeight="1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6">
        <f t="shared" si="0"/>
        <v>958.1099999999999</v>
      </c>
      <c r="I16" s="167"/>
      <c r="J16" s="167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2"/>
        <v>11888</v>
      </c>
      <c r="P16" s="11"/>
      <c r="Q16" s="34">
        <f t="shared" si="3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1"/>
        <v>7560.6869409330011</v>
      </c>
    </row>
    <row r="17" spans="1:24" s="5" customFormat="1" ht="32.25" customHeight="1">
      <c r="A17" s="2"/>
      <c r="B17" s="6">
        <v>44508</v>
      </c>
      <c r="C17" s="7"/>
      <c r="D17" s="143"/>
      <c r="E17" s="143"/>
      <c r="F17" s="13">
        <f>'Suivi EAU-ELEC'!E16</f>
        <v>95</v>
      </c>
      <c r="G17" s="11"/>
      <c r="H17" s="166">
        <f t="shared" si="0"/>
        <v>835.05</v>
      </c>
      <c r="I17" s="167"/>
      <c r="J17" s="167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2"/>
        <v>11250</v>
      </c>
      <c r="P17" s="12"/>
      <c r="Q17" s="34">
        <f t="shared" si="3"/>
        <v>10721.102200000001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44509</v>
      </c>
      <c r="C18" s="7"/>
      <c r="D18" s="143"/>
      <c r="E18" s="143"/>
      <c r="F18" s="13"/>
      <c r="G18" s="11"/>
      <c r="H18" s="166">
        <f t="shared" si="0"/>
        <v>0</v>
      </c>
      <c r="I18" s="167"/>
      <c r="J18" s="167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44510</v>
      </c>
      <c r="C19" s="7"/>
      <c r="D19" s="143"/>
      <c r="E19" s="143"/>
      <c r="F19" s="13"/>
      <c r="G19" s="12"/>
      <c r="H19" s="166">
        <f t="shared" si="0"/>
        <v>0</v>
      </c>
      <c r="I19" s="167"/>
      <c r="J19" s="167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44511</v>
      </c>
      <c r="C20" s="7"/>
      <c r="D20" s="143"/>
      <c r="E20" s="143"/>
      <c r="F20" s="13"/>
      <c r="G20" s="12"/>
      <c r="H20" s="166">
        <f t="shared" si="0"/>
        <v>0</v>
      </c>
      <c r="I20" s="167"/>
      <c r="J20" s="167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44512</v>
      </c>
      <c r="C21" s="7"/>
      <c r="D21" s="143"/>
      <c r="E21" s="143"/>
      <c r="F21" s="13"/>
      <c r="G21" s="12"/>
      <c r="H21" s="166">
        <f t="shared" si="0"/>
        <v>0</v>
      </c>
      <c r="I21" s="167"/>
      <c r="J21" s="167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44513</v>
      </c>
      <c r="C22" s="7"/>
      <c r="D22" s="143"/>
      <c r="E22" s="143"/>
      <c r="F22" s="13"/>
      <c r="G22" s="12"/>
      <c r="H22" s="166">
        <f t="shared" ref="H22:H35" si="4">F22*8.79</f>
        <v>0</v>
      </c>
      <c r="I22" s="167"/>
      <c r="J22" s="167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44514</v>
      </c>
      <c r="C23" s="7"/>
      <c r="D23" s="143"/>
      <c r="E23" s="143"/>
      <c r="F23" s="13"/>
      <c r="G23" s="14"/>
      <c r="H23" s="166">
        <f t="shared" si="4"/>
        <v>0</v>
      </c>
      <c r="I23" s="167"/>
      <c r="J23" s="167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44515</v>
      </c>
      <c r="C24" s="7"/>
      <c r="D24" s="143"/>
      <c r="E24" s="143"/>
      <c r="F24" s="13"/>
      <c r="G24" s="14"/>
      <c r="H24" s="166">
        <f t="shared" si="4"/>
        <v>0</v>
      </c>
      <c r="I24" s="167"/>
      <c r="J24" s="167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44516</v>
      </c>
      <c r="C25" s="7"/>
      <c r="D25" s="143"/>
      <c r="E25" s="143"/>
      <c r="F25" s="13"/>
      <c r="G25" s="14"/>
      <c r="H25" s="166">
        <f t="shared" si="4"/>
        <v>0</v>
      </c>
      <c r="I25" s="167"/>
      <c r="J25" s="167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44517</v>
      </c>
      <c r="C26" s="7"/>
      <c r="D26" s="143"/>
      <c r="E26" s="143"/>
      <c r="F26" s="13"/>
      <c r="G26" s="14"/>
      <c r="H26" s="166">
        <f t="shared" si="4"/>
        <v>0</v>
      </c>
      <c r="I26" s="167"/>
      <c r="J26" s="167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44518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44519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44520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44521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44522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44523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44524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44525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44526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44527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44528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44529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44530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646</v>
      </c>
      <c r="E40" s="8">
        <f>SUM(E10:E39)</f>
        <v>975</v>
      </c>
      <c r="F40" s="152">
        <f>SUM(F10:F39)</f>
        <v>864.60000000000582</v>
      </c>
      <c r="G40" s="1"/>
      <c r="H40" s="204">
        <f>SUM(H10:H39)</f>
        <v>7599.8340000000508</v>
      </c>
      <c r="I40" s="205"/>
      <c r="J40" s="206"/>
      <c r="K40" s="1"/>
      <c r="L40" s="53">
        <f>SUM(L10:L39)</f>
        <v>32570</v>
      </c>
      <c r="M40" s="53">
        <f>SUM(M10:M39)</f>
        <v>52874</v>
      </c>
      <c r="N40" s="54">
        <f>SUM(N10:N39)</f>
        <v>22359</v>
      </c>
      <c r="O40" s="55">
        <f>SUM(O10:O39)</f>
        <v>107803</v>
      </c>
      <c r="P40" s="31"/>
      <c r="Q40" s="32">
        <f>SUM(Q10:Q39)</f>
        <v>102828.82060000001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3900.4294399999999</v>
      </c>
      <c r="W40" s="31"/>
      <c r="X40" s="32">
        <f>SUM(X10:X39)</f>
        <v>43884.901758272004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4" t="s">
        <v>33</v>
      </c>
      <c r="B42" s="185"/>
      <c r="C42" s="185"/>
      <c r="D42" s="185"/>
      <c r="E42" s="185"/>
      <c r="F42" s="186"/>
      <c r="G42" s="26"/>
      <c r="H42" s="27" t="s">
        <v>34</v>
      </c>
      <c r="I42" s="196" t="s">
        <v>35</v>
      </c>
      <c r="J42" s="197"/>
      <c r="K42" s="198"/>
      <c r="L42" s="227" t="s">
        <v>36</v>
      </c>
      <c r="M42" s="228"/>
      <c r="N42" s="184" t="s">
        <v>37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6"/>
    </row>
    <row r="43" spans="1:24" s="18" customFormat="1" ht="29.25" customHeight="1" thickBot="1">
      <c r="A43" s="221" t="s">
        <v>38</v>
      </c>
      <c r="B43" s="222"/>
      <c r="C43" s="223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18">
        <f>L40</f>
        <v>32570</v>
      </c>
      <c r="J43" s="219"/>
      <c r="K43" s="220"/>
      <c r="L43" s="202">
        <f>I43*H43</f>
        <v>22750.145</v>
      </c>
      <c r="M43" s="203"/>
      <c r="N43" s="175">
        <f>L43+L44+L45</f>
        <v>102800.88220000001</v>
      </c>
      <c r="O43" s="176"/>
      <c r="P43" s="176"/>
      <c r="Q43" s="176"/>
      <c r="R43" s="176"/>
      <c r="S43" s="176"/>
      <c r="T43" s="176"/>
      <c r="U43" s="176"/>
      <c r="V43" s="176"/>
      <c r="W43" s="176"/>
      <c r="X43" s="177"/>
    </row>
    <row r="44" spans="1:24" s="18" customFormat="1" ht="29.25" customHeight="1" thickBot="1">
      <c r="A44" s="224"/>
      <c r="B44" s="225"/>
      <c r="C44" s="226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18">
        <f>M40</f>
        <v>52874</v>
      </c>
      <c r="J44" s="219"/>
      <c r="K44" s="220"/>
      <c r="L44" s="202">
        <f>I44*H44</f>
        <v>50304.323600000003</v>
      </c>
      <c r="M44" s="203"/>
      <c r="N44" s="178"/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4.75" customHeight="1" thickBot="1">
      <c r="A45" s="224"/>
      <c r="B45" s="225"/>
      <c r="C45" s="226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3">
        <f>N40</f>
        <v>22359</v>
      </c>
      <c r="J45" s="194"/>
      <c r="K45" s="195"/>
      <c r="L45" s="202">
        <f>I45*H45</f>
        <v>29746.4136</v>
      </c>
      <c r="M45" s="203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199">
        <f>N43*1.3</f>
        <v>133641.14686000001</v>
      </c>
      <c r="O46" s="200"/>
      <c r="P46" s="200"/>
      <c r="Q46" s="200"/>
      <c r="R46" s="200"/>
      <c r="S46" s="200"/>
      <c r="T46" s="200"/>
      <c r="U46" s="200"/>
      <c r="V46" s="200"/>
      <c r="W46" s="200"/>
      <c r="X46" s="201"/>
    </row>
    <row r="47" spans="1:24" s="23" customFormat="1" ht="32.25" customHeight="1" thickBot="1">
      <c r="A47" s="213" t="s">
        <v>39</v>
      </c>
      <c r="B47" s="214"/>
      <c r="C47" s="214"/>
      <c r="D47" s="214"/>
      <c r="E47" s="214"/>
      <c r="F47" s="215"/>
      <c r="G47" s="21"/>
      <c r="H47" s="22">
        <v>8.7899999999999991</v>
      </c>
      <c r="I47" s="213">
        <f>F40</f>
        <v>864.60000000000582</v>
      </c>
      <c r="J47" s="214"/>
      <c r="K47" s="215"/>
      <c r="L47" s="216">
        <f>I47*H47</f>
        <v>7599.8340000000508</v>
      </c>
      <c r="M47" s="217"/>
      <c r="N47" s="172">
        <f>L47</f>
        <v>7599.8340000000508</v>
      </c>
      <c r="O47" s="173"/>
      <c r="P47" s="173"/>
      <c r="Q47" s="173"/>
      <c r="R47" s="173"/>
      <c r="S47" s="173"/>
      <c r="T47" s="173"/>
      <c r="U47" s="173"/>
      <c r="V47" s="173"/>
      <c r="W47" s="173"/>
      <c r="X47" s="174"/>
    </row>
    <row r="48" spans="1:24" s="23" customFormat="1" ht="36.75" customHeight="1">
      <c r="A48" s="187" t="s">
        <v>40</v>
      </c>
      <c r="B48" s="188"/>
      <c r="C48" s="188"/>
      <c r="D48" s="188"/>
      <c r="E48" s="188"/>
      <c r="F48" s="189"/>
      <c r="G48" s="24"/>
      <c r="H48" s="25">
        <v>11.251300000000001</v>
      </c>
      <c r="I48" s="190">
        <f>V40</f>
        <v>3900.4294399999999</v>
      </c>
      <c r="J48" s="191"/>
      <c r="K48" s="192"/>
      <c r="L48" s="190">
        <f>I48*H48</f>
        <v>43884.901758272004</v>
      </c>
      <c r="M48" s="192"/>
      <c r="N48" s="169">
        <f>L48</f>
        <v>43884.901758272004</v>
      </c>
      <c r="O48" s="170"/>
      <c r="P48" s="170"/>
      <c r="Q48" s="170"/>
      <c r="R48" s="170"/>
      <c r="S48" s="170"/>
      <c r="T48" s="170"/>
      <c r="U48" s="170"/>
      <c r="V48" s="170"/>
      <c r="W48" s="170"/>
      <c r="X48" s="171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2" activePane="bottomRight" state="frozen"/>
      <selection pane="bottomRight" activeCell="K14" sqref="K14:K1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>D10-D9</f>
        <v>119.69999999999709</v>
      </c>
      <c r="F10" s="51">
        <v>11174788</v>
      </c>
      <c r="G10" s="50">
        <f>F10-F9</f>
        <v>4391</v>
      </c>
      <c r="H10" s="51">
        <v>19045546</v>
      </c>
      <c r="I10" s="50">
        <f>H10-H9</f>
        <v>7348</v>
      </c>
      <c r="J10" s="51">
        <v>8354600</v>
      </c>
      <c r="K10" s="50">
        <f>J10-J9</f>
        <v>3052</v>
      </c>
    </row>
    <row r="11" spans="1:12" ht="19.5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>D11-D10</f>
        <v>95.900000000008731</v>
      </c>
      <c r="F11" s="51">
        <v>11179207</v>
      </c>
      <c r="G11" s="50">
        <f>F11-F10</f>
        <v>4419</v>
      </c>
      <c r="H11" s="51">
        <v>19052800</v>
      </c>
      <c r="I11" s="50">
        <f>H11-H10</f>
        <v>7254</v>
      </c>
      <c r="J11" s="51">
        <v>8357582</v>
      </c>
      <c r="K11" s="50">
        <f>J11-J10</f>
        <v>2982</v>
      </c>
    </row>
    <row r="12" spans="1:12" ht="19.5">
      <c r="A12" s="59">
        <v>44504</v>
      </c>
      <c r="B12" s="116">
        <v>2560</v>
      </c>
      <c r="C12" s="115">
        <v>0</v>
      </c>
      <c r="D12" s="57">
        <v>127985.9</v>
      </c>
      <c r="E12" s="50">
        <f>D12-D11</f>
        <v>94.599999999991269</v>
      </c>
      <c r="F12" s="51">
        <v>11183757</v>
      </c>
      <c r="G12" s="50">
        <f>F12-F11</f>
        <v>4550</v>
      </c>
      <c r="H12" s="51">
        <v>19060410</v>
      </c>
      <c r="I12" s="50">
        <f>H12-H11</f>
        <v>7610</v>
      </c>
      <c r="J12" s="51">
        <v>8360474</v>
      </c>
      <c r="K12" s="50">
        <f>J12-J11</f>
        <v>2892</v>
      </c>
    </row>
    <row r="13" spans="1:12" ht="19.5">
      <c r="A13" s="59">
        <v>44505</v>
      </c>
      <c r="B13" s="116">
        <v>2560</v>
      </c>
      <c r="C13" s="115">
        <v>0</v>
      </c>
      <c r="D13" s="57">
        <v>128105.7</v>
      </c>
      <c r="E13" s="50">
        <f>D13-D12</f>
        <v>119.80000000000291</v>
      </c>
      <c r="F13" s="51">
        <v>11187556</v>
      </c>
      <c r="G13" s="50">
        <f>F13-F12</f>
        <v>3799</v>
      </c>
      <c r="H13" s="51">
        <v>19067297</v>
      </c>
      <c r="I13" s="50">
        <f>H13-H12</f>
        <v>6887</v>
      </c>
      <c r="J13" s="51">
        <v>8363547</v>
      </c>
      <c r="K13" s="50">
        <f>J13-J12</f>
        <v>3073</v>
      </c>
    </row>
    <row r="14" spans="1:12" ht="19.5">
      <c r="A14" s="59">
        <v>44506</v>
      </c>
      <c r="B14" s="116">
        <v>2560</v>
      </c>
      <c r="C14" s="115">
        <v>0</v>
      </c>
      <c r="D14" s="57">
        <v>128225</v>
      </c>
      <c r="E14" s="50">
        <f>D14-D13</f>
        <v>119.30000000000291</v>
      </c>
      <c r="F14" s="51">
        <v>11191794</v>
      </c>
      <c r="G14" s="50">
        <f>F14-F13</f>
        <v>4238</v>
      </c>
      <c r="H14" s="51">
        <v>19073813</v>
      </c>
      <c r="I14" s="50">
        <f>H14-H13</f>
        <v>6516</v>
      </c>
      <c r="J14" s="51">
        <v>8366198</v>
      </c>
      <c r="K14" s="50">
        <f>J14-J13</f>
        <v>2651</v>
      </c>
    </row>
    <row r="15" spans="1:12" ht="19.5">
      <c r="A15" s="59">
        <v>44507</v>
      </c>
      <c r="B15" s="116">
        <v>2560</v>
      </c>
      <c r="C15" s="115">
        <v>0</v>
      </c>
      <c r="D15" s="57">
        <v>128334</v>
      </c>
      <c r="E15" s="50">
        <f>D15-D14</f>
        <v>109</v>
      </c>
      <c r="F15" s="51">
        <v>11195611</v>
      </c>
      <c r="G15" s="50">
        <f>F15-F14</f>
        <v>3817</v>
      </c>
      <c r="H15" s="51">
        <v>19079473</v>
      </c>
      <c r="I15" s="50">
        <f>H15-H14</f>
        <v>5660</v>
      </c>
      <c r="J15" s="51">
        <v>8368609</v>
      </c>
      <c r="K15" s="50">
        <f>J15-J14</f>
        <v>2411</v>
      </c>
    </row>
    <row r="16" spans="1:12" ht="19.5">
      <c r="A16" s="59">
        <v>44508</v>
      </c>
      <c r="B16" s="116">
        <v>2560</v>
      </c>
      <c r="C16" s="115">
        <v>0</v>
      </c>
      <c r="D16" s="57">
        <v>128429</v>
      </c>
      <c r="E16" s="50">
        <f>D16-D15</f>
        <v>95</v>
      </c>
      <c r="F16" s="51">
        <v>11199233</v>
      </c>
      <c r="G16" s="50">
        <f t="shared" ref="G11:G38" si="0">F16-F15</f>
        <v>3622</v>
      </c>
      <c r="H16" s="51">
        <v>19084637</v>
      </c>
      <c r="I16" s="50">
        <f t="shared" ref="I11:I38" si="1">H16-H15</f>
        <v>5164</v>
      </c>
      <c r="J16" s="51">
        <v>8371073</v>
      </c>
      <c r="K16" s="50">
        <f t="shared" ref="K11:K38" si="2">J16-J15</f>
        <v>2464</v>
      </c>
    </row>
    <row r="17" spans="1:29" ht="19.5">
      <c r="A17" s="59">
        <v>44509</v>
      </c>
      <c r="B17" s="116"/>
      <c r="C17" s="115">
        <v>0</v>
      </c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44510</v>
      </c>
      <c r="B18" s="116"/>
      <c r="C18" s="115">
        <v>0</v>
      </c>
      <c r="D18" s="57"/>
      <c r="E18" s="50">
        <f>D18-D17</f>
        <v>0</v>
      </c>
      <c r="F18" s="51"/>
      <c r="G18" s="50">
        <f t="shared" si="0"/>
        <v>0</v>
      </c>
      <c r="H18" s="51"/>
      <c r="I18" s="50">
        <f t="shared" si="1"/>
        <v>0</v>
      </c>
      <c r="J18" s="51"/>
      <c r="K18" s="50">
        <f t="shared" si="2"/>
        <v>0</v>
      </c>
    </row>
    <row r="19" spans="1:29" ht="19.5">
      <c r="A19" s="59">
        <v>44511</v>
      </c>
      <c r="B19" s="116"/>
      <c r="C19" s="115">
        <v>0</v>
      </c>
      <c r="D19" s="57"/>
      <c r="E19" s="50">
        <f>D19-D18</f>
        <v>0</v>
      </c>
      <c r="F19" s="51"/>
      <c r="G19" s="50">
        <f t="shared" si="0"/>
        <v>0</v>
      </c>
      <c r="H19" s="51"/>
      <c r="I19" s="50">
        <f t="shared" si="1"/>
        <v>0</v>
      </c>
      <c r="J19" s="51"/>
      <c r="K19" s="50">
        <f t="shared" si="2"/>
        <v>0</v>
      </c>
    </row>
    <row r="20" spans="1:29" ht="25.5">
      <c r="A20" s="59">
        <v>44512</v>
      </c>
      <c r="B20" s="116"/>
      <c r="C20" s="115">
        <v>0</v>
      </c>
      <c r="D20" s="57"/>
      <c r="E20" s="50">
        <f>D20-D19</f>
        <v>0</v>
      </c>
      <c r="F20" s="51"/>
      <c r="G20" s="50">
        <f t="shared" si="0"/>
        <v>0</v>
      </c>
      <c r="H20" s="51"/>
      <c r="I20" s="50">
        <f t="shared" si="1"/>
        <v>0</v>
      </c>
      <c r="J20" s="51"/>
      <c r="K20" s="50">
        <f t="shared" si="2"/>
        <v>0</v>
      </c>
      <c r="L20" s="117" t="s">
        <v>18</v>
      </c>
      <c r="AC20" t="s">
        <v>56</v>
      </c>
    </row>
    <row r="21" spans="1:29" ht="19.5">
      <c r="A21" s="59">
        <v>44513</v>
      </c>
      <c r="B21" s="116"/>
      <c r="C21" s="115">
        <v>0</v>
      </c>
      <c r="D21" s="57"/>
      <c r="E21" s="50">
        <f>D21-D20</f>
        <v>0</v>
      </c>
      <c r="F21" s="51"/>
      <c r="G21" s="50">
        <f t="shared" si="0"/>
        <v>0</v>
      </c>
      <c r="H21" s="51"/>
      <c r="I21" s="50">
        <f t="shared" si="1"/>
        <v>0</v>
      </c>
      <c r="J21" s="51"/>
      <c r="K21" s="50">
        <f t="shared" si="2"/>
        <v>0</v>
      </c>
    </row>
    <row r="22" spans="1:29" ht="19.5">
      <c r="A22" s="59">
        <v>44514</v>
      </c>
      <c r="B22" s="116"/>
      <c r="C22" s="115">
        <v>0</v>
      </c>
      <c r="D22" s="57"/>
      <c r="E22" s="50">
        <f>D22-D21</f>
        <v>0</v>
      </c>
      <c r="F22" s="51"/>
      <c r="G22" s="50">
        <f t="shared" si="0"/>
        <v>0</v>
      </c>
      <c r="H22" s="51"/>
      <c r="I22" s="50">
        <f t="shared" si="1"/>
        <v>0</v>
      </c>
      <c r="J22" s="51"/>
      <c r="K22" s="50">
        <f t="shared" si="2"/>
        <v>0</v>
      </c>
    </row>
    <row r="23" spans="1:29" ht="19.5">
      <c r="A23" s="59">
        <v>44515</v>
      </c>
      <c r="B23" s="116"/>
      <c r="C23" s="115">
        <v>0</v>
      </c>
      <c r="D23" s="57"/>
      <c r="E23" s="50">
        <f>D23-D22</f>
        <v>0</v>
      </c>
      <c r="F23" s="51"/>
      <c r="G23" s="50">
        <f t="shared" si="0"/>
        <v>0</v>
      </c>
      <c r="H23" s="51"/>
      <c r="I23" s="50">
        <f t="shared" si="1"/>
        <v>0</v>
      </c>
      <c r="J23" s="51"/>
      <c r="K23" s="50">
        <f t="shared" si="2"/>
        <v>0</v>
      </c>
    </row>
    <row r="24" spans="1:29" ht="19.5">
      <c r="A24" s="59">
        <v>44516</v>
      </c>
      <c r="B24" s="116"/>
      <c r="C24" s="115">
        <v>0</v>
      </c>
      <c r="D24" s="57"/>
      <c r="E24" s="50">
        <f>D24-D23</f>
        <v>0</v>
      </c>
      <c r="F24" s="51"/>
      <c r="G24" s="50">
        <f t="shared" si="0"/>
        <v>0</v>
      </c>
      <c r="H24" s="51"/>
      <c r="I24" s="50">
        <f t="shared" si="1"/>
        <v>0</v>
      </c>
      <c r="J24" s="51"/>
      <c r="K24" s="50">
        <f t="shared" si="2"/>
        <v>0</v>
      </c>
    </row>
    <row r="25" spans="1:29" ht="19.5">
      <c r="A25" s="59">
        <v>44517</v>
      </c>
      <c r="B25" s="116"/>
      <c r="C25" s="115">
        <v>0</v>
      </c>
      <c r="D25" s="57"/>
      <c r="E25" s="50">
        <f>D25-D24</f>
        <v>0</v>
      </c>
      <c r="F25" s="51"/>
      <c r="G25" s="50">
        <f t="shared" si="0"/>
        <v>0</v>
      </c>
      <c r="H25" s="51"/>
      <c r="I25" s="50">
        <f t="shared" si="1"/>
        <v>0</v>
      </c>
      <c r="J25" s="51"/>
      <c r="K25" s="50">
        <f t="shared" si="2"/>
        <v>0</v>
      </c>
    </row>
    <row r="26" spans="1:29" ht="19.5">
      <c r="A26" s="59">
        <v>44518</v>
      </c>
      <c r="B26" s="116"/>
      <c r="C26" s="115">
        <v>0</v>
      </c>
      <c r="D26" s="57"/>
      <c r="E26" s="50">
        <f>D26-D25</f>
        <v>0</v>
      </c>
      <c r="F26" s="51"/>
      <c r="G26" s="50">
        <f t="shared" si="0"/>
        <v>0</v>
      </c>
      <c r="H26" s="51"/>
      <c r="I26" s="50">
        <f t="shared" si="1"/>
        <v>0</v>
      </c>
      <c r="J26" s="51"/>
      <c r="K26" s="50">
        <f t="shared" si="2"/>
        <v>0</v>
      </c>
    </row>
    <row r="27" spans="1:29" ht="19.5">
      <c r="A27" s="59">
        <v>44519</v>
      </c>
      <c r="B27" s="116"/>
      <c r="C27" s="115">
        <v>0</v>
      </c>
      <c r="D27" s="57"/>
      <c r="E27" s="50">
        <f>D27-D26</f>
        <v>0</v>
      </c>
      <c r="F27" s="51"/>
      <c r="G27" s="50">
        <f t="shared" si="0"/>
        <v>0</v>
      </c>
      <c r="H27" s="51"/>
      <c r="I27" s="50">
        <f t="shared" si="1"/>
        <v>0</v>
      </c>
      <c r="J27" s="51"/>
      <c r="K27" s="50">
        <f t="shared" si="2"/>
        <v>0</v>
      </c>
    </row>
    <row r="28" spans="1:29" ht="19.5">
      <c r="A28" s="59">
        <v>44520</v>
      </c>
      <c r="B28" s="116"/>
      <c r="C28" s="115">
        <v>0</v>
      </c>
      <c r="D28" s="57"/>
      <c r="E28" s="50">
        <f>D28-D27</f>
        <v>0</v>
      </c>
      <c r="F28" s="51"/>
      <c r="G28" s="50">
        <f t="shared" si="0"/>
        <v>0</v>
      </c>
      <c r="H28" s="51"/>
      <c r="I28" s="50">
        <f t="shared" si="1"/>
        <v>0</v>
      </c>
      <c r="J28" s="51"/>
      <c r="K28" s="50">
        <f t="shared" si="2"/>
        <v>0</v>
      </c>
    </row>
    <row r="29" spans="1:29" ht="19.5">
      <c r="A29" s="59">
        <v>44521</v>
      </c>
      <c r="B29" s="116"/>
      <c r="C29" s="115">
        <v>0</v>
      </c>
      <c r="D29" s="57"/>
      <c r="E29" s="50">
        <f>D29-D28</f>
        <v>0</v>
      </c>
      <c r="F29" s="51"/>
      <c r="G29" s="50">
        <f t="shared" si="0"/>
        <v>0</v>
      </c>
      <c r="H29" s="51"/>
      <c r="I29" s="50">
        <f t="shared" si="1"/>
        <v>0</v>
      </c>
      <c r="J29" s="51"/>
      <c r="K29" s="50">
        <f t="shared" si="2"/>
        <v>0</v>
      </c>
    </row>
    <row r="30" spans="1:29" ht="19.5">
      <c r="A30" s="59">
        <v>44522</v>
      </c>
      <c r="B30" s="116"/>
      <c r="C30" s="115">
        <v>0</v>
      </c>
      <c r="D30" s="57"/>
      <c r="E30" s="50">
        <f>D30-D29</f>
        <v>0</v>
      </c>
      <c r="F30" s="51"/>
      <c r="G30" s="50">
        <f t="shared" si="0"/>
        <v>0</v>
      </c>
      <c r="H30" s="51"/>
      <c r="I30" s="50">
        <f t="shared" si="1"/>
        <v>0</v>
      </c>
      <c r="J30" s="51"/>
      <c r="K30" s="50">
        <f t="shared" si="2"/>
        <v>0</v>
      </c>
    </row>
    <row r="31" spans="1:29" ht="19.5">
      <c r="A31" s="59">
        <v>44523</v>
      </c>
      <c r="B31" s="116"/>
      <c r="C31" s="115">
        <v>0</v>
      </c>
      <c r="D31" s="57"/>
      <c r="E31" s="50">
        <f t="shared" ref="E31:E38" si="3">D31-D30</f>
        <v>0</v>
      </c>
      <c r="F31" s="51"/>
      <c r="G31" s="50">
        <f t="shared" si="0"/>
        <v>0</v>
      </c>
      <c r="H31" s="51"/>
      <c r="I31" s="50">
        <f t="shared" si="1"/>
        <v>0</v>
      </c>
      <c r="J31" s="51"/>
      <c r="K31" s="50">
        <f t="shared" si="2"/>
        <v>0</v>
      </c>
    </row>
    <row r="32" spans="1:29" ht="19.5">
      <c r="A32" s="59">
        <v>44524</v>
      </c>
      <c r="B32" s="116"/>
      <c r="C32" s="115">
        <v>0</v>
      </c>
      <c r="D32" s="57"/>
      <c r="E32" s="50">
        <f t="shared" si="3"/>
        <v>0</v>
      </c>
      <c r="F32" s="51"/>
      <c r="G32" s="50">
        <f t="shared" si="0"/>
        <v>0</v>
      </c>
      <c r="H32" s="51"/>
      <c r="I32" s="50">
        <f t="shared" si="1"/>
        <v>0</v>
      </c>
      <c r="J32" s="51"/>
      <c r="K32" s="50">
        <f t="shared" si="2"/>
        <v>0</v>
      </c>
    </row>
    <row r="33" spans="1:11" ht="19.5">
      <c r="A33" s="59">
        <v>44525</v>
      </c>
      <c r="B33" s="116"/>
      <c r="C33" s="115">
        <v>0</v>
      </c>
      <c r="D33" s="57"/>
      <c r="E33" s="50">
        <f t="shared" si="3"/>
        <v>0</v>
      </c>
      <c r="F33" s="51"/>
      <c r="G33" s="50">
        <f t="shared" si="0"/>
        <v>0</v>
      </c>
      <c r="H33" s="51"/>
      <c r="I33" s="50">
        <f t="shared" si="1"/>
        <v>0</v>
      </c>
      <c r="J33" s="51"/>
      <c r="K33" s="50">
        <f t="shared" si="2"/>
        <v>0</v>
      </c>
    </row>
    <row r="34" spans="1:11" ht="19.5">
      <c r="A34" s="59">
        <v>44526</v>
      </c>
      <c r="B34" s="116"/>
      <c r="C34" s="115">
        <v>0</v>
      </c>
      <c r="D34" s="57"/>
      <c r="E34" s="50">
        <f t="shared" si="3"/>
        <v>0</v>
      </c>
      <c r="F34" s="51"/>
      <c r="G34" s="50">
        <f t="shared" si="0"/>
        <v>0</v>
      </c>
      <c r="H34" s="51"/>
      <c r="I34" s="50">
        <f t="shared" si="1"/>
        <v>0</v>
      </c>
      <c r="J34" s="51"/>
      <c r="K34" s="50">
        <f t="shared" si="2"/>
        <v>0</v>
      </c>
    </row>
    <row r="35" spans="1:11" ht="19.5">
      <c r="A35" s="59">
        <v>44527</v>
      </c>
      <c r="B35" s="116"/>
      <c r="C35" s="115">
        <v>0</v>
      </c>
      <c r="D35" s="57"/>
      <c r="E35" s="50">
        <f t="shared" si="3"/>
        <v>0</v>
      </c>
      <c r="F35" s="51"/>
      <c r="G35" s="50">
        <f t="shared" si="0"/>
        <v>0</v>
      </c>
      <c r="H35" s="51"/>
      <c r="I35" s="50">
        <f t="shared" si="1"/>
        <v>0</v>
      </c>
      <c r="J35" s="51"/>
      <c r="K35" s="50">
        <f t="shared" si="2"/>
        <v>0</v>
      </c>
    </row>
    <row r="36" spans="1:11" ht="19.5">
      <c r="A36" s="59">
        <v>44528</v>
      </c>
      <c r="B36" s="116"/>
      <c r="C36" s="115">
        <v>0</v>
      </c>
      <c r="D36" s="57"/>
      <c r="E36" s="50">
        <f t="shared" si="3"/>
        <v>0</v>
      </c>
      <c r="F36" s="51"/>
      <c r="G36" s="50">
        <f t="shared" si="0"/>
        <v>0</v>
      </c>
      <c r="H36" s="51"/>
      <c r="I36" s="50">
        <f t="shared" si="1"/>
        <v>0</v>
      </c>
      <c r="J36" s="51"/>
      <c r="K36" s="50">
        <f t="shared" si="2"/>
        <v>0</v>
      </c>
    </row>
    <row r="37" spans="1:11" ht="19.5">
      <c r="A37" s="59">
        <v>44529</v>
      </c>
      <c r="B37" s="116"/>
      <c r="C37" s="115">
        <v>0</v>
      </c>
      <c r="D37" s="57"/>
      <c r="E37" s="50">
        <f t="shared" si="3"/>
        <v>0</v>
      </c>
      <c r="F37" s="51"/>
      <c r="G37" s="50">
        <f t="shared" si="0"/>
        <v>0</v>
      </c>
      <c r="H37" s="51"/>
      <c r="I37" s="50">
        <f t="shared" si="1"/>
        <v>0</v>
      </c>
      <c r="J37" s="51"/>
      <c r="K37" s="50">
        <f t="shared" si="2"/>
        <v>0</v>
      </c>
    </row>
    <row r="38" spans="1:11" ht="19.5">
      <c r="A38" s="59">
        <v>44530</v>
      </c>
      <c r="B38" s="116"/>
      <c r="C38" s="115">
        <v>0</v>
      </c>
      <c r="D38" s="57"/>
      <c r="E38" s="50">
        <f t="shared" si="3"/>
        <v>0</v>
      </c>
      <c r="F38" s="51"/>
      <c r="G38" s="50">
        <f t="shared" si="0"/>
        <v>0</v>
      </c>
      <c r="H38" s="51"/>
      <c r="I38" s="50">
        <f t="shared" si="1"/>
        <v>0</v>
      </c>
      <c r="J38" s="51"/>
      <c r="K38" s="50">
        <f t="shared" si="2"/>
        <v>0</v>
      </c>
    </row>
    <row r="39" spans="1:11" ht="19.5">
      <c r="A39" s="59">
        <v>44531</v>
      </c>
      <c r="B39" s="116"/>
      <c r="C39" s="115">
        <f t="shared" ref="C39" si="4">B39-B38</f>
        <v>0</v>
      </c>
      <c r="D39" s="57"/>
      <c r="E39" s="50">
        <f t="shared" ref="E39" si="5">D39-D38</f>
        <v>0</v>
      </c>
      <c r="F39" s="51"/>
      <c r="G39" s="50">
        <f t="shared" ref="G39" si="6">F39-F38</f>
        <v>0</v>
      </c>
      <c r="H39" s="51"/>
      <c r="I39" s="50">
        <f t="shared" ref="I39" si="7">H39-H38</f>
        <v>0</v>
      </c>
      <c r="J39" s="51"/>
      <c r="K39" s="50">
        <f t="shared" ref="K39" si="8">J39-J38</f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H11" sqref="H1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O4*11.2513</f>
        <v>5832.8989460000012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44502</v>
      </c>
      <c r="B5" s="41">
        <v>50</v>
      </c>
      <c r="C5" s="39">
        <f t="shared" ref="C4:C35" si="6">IF(AC5&gt;0,((B5-R5)+(S5-B6)),IF(B6=0, ,(B5-B6)))</f>
        <v>5</v>
      </c>
      <c r="D5" s="41">
        <v>50</v>
      </c>
      <c r="E5" s="39">
        <f t="shared" ref="E4:E35" si="7">IF(AC5&gt;0,((D5-U5)+(V5-D6)),IF(D6=0, ,(D5-D6)))</f>
        <v>2</v>
      </c>
      <c r="F5" s="41">
        <v>50</v>
      </c>
      <c r="G5" s="39">
        <f t="shared" ref="G4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9">
        <f t="shared" ref="M5:M42" si="9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10">O5*11.2513</f>
        <v>5416.2633070000011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1">IF(AC6&gt;0,((H6-AA6)+(AB6-H7)),IF(H7=0, ,(H6-H7)))</f>
        <v>0</v>
      </c>
      <c r="J6" s="39">
        <f t="shared" ref="J6:J42" si="12">B6+D6+F6+H6</f>
        <v>300</v>
      </c>
      <c r="K6" s="39">
        <f t="shared" ref="K6:K42" si="13">J6/4</f>
        <v>75</v>
      </c>
      <c r="L6" s="39">
        <f t="shared" ref="L6:L19" si="14">IF(AC6&gt;0,((K6-AD6)+(AE6-K7)),IF(K7=0, ,(K6-K7)))</f>
        <v>2.25</v>
      </c>
      <c r="M6" s="149">
        <f t="shared" si="9"/>
        <v>28000</v>
      </c>
      <c r="N6" s="39">
        <f t="shared" ref="N6:N42" si="15">L6*M6/100</f>
        <v>630</v>
      </c>
      <c r="O6" s="39">
        <f>N6*0.529</f>
        <v>333.27000000000004</v>
      </c>
      <c r="P6" s="42">
        <f t="shared" si="10"/>
        <v>3749.7207510000007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1"/>
        <v>4</v>
      </c>
      <c r="J7" s="39">
        <f t="shared" si="12"/>
        <v>291</v>
      </c>
      <c r="K7" s="39">
        <f t="shared" si="13"/>
        <v>72.75</v>
      </c>
      <c r="L7" s="39">
        <f t="shared" si="14"/>
        <v>3.5</v>
      </c>
      <c r="M7" s="149">
        <f t="shared" si="9"/>
        <v>28000</v>
      </c>
      <c r="N7" s="39">
        <f t="shared" si="15"/>
        <v>980</v>
      </c>
      <c r="O7" s="39">
        <f>N7*0.53</f>
        <v>519.4</v>
      </c>
      <c r="P7" s="42">
        <f t="shared" si="10"/>
        <v>5843.9252200000001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1"/>
        <v>5</v>
      </c>
      <c r="J8" s="39">
        <f t="shared" si="12"/>
        <v>277</v>
      </c>
      <c r="K8" s="39">
        <f t="shared" si="13"/>
        <v>69.25</v>
      </c>
      <c r="L8" s="39">
        <f t="shared" si="14"/>
        <v>5.75</v>
      </c>
      <c r="M8" s="149">
        <f>6049*4</f>
        <v>24196</v>
      </c>
      <c r="N8" s="39">
        <f t="shared" si="15"/>
        <v>1391.27</v>
      </c>
      <c r="O8" s="148">
        <f t="shared" ref="O8:O37" si="16">N8*0.529</f>
        <v>735.98183000000006</v>
      </c>
      <c r="P8" s="42">
        <f t="shared" si="10"/>
        <v>8280.7523638790008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1"/>
        <v>5</v>
      </c>
      <c r="J9" s="39">
        <f t="shared" si="12"/>
        <v>254</v>
      </c>
      <c r="K9" s="39">
        <f t="shared" si="13"/>
        <v>63.5</v>
      </c>
      <c r="L9" s="39">
        <f t="shared" si="14"/>
        <v>5</v>
      </c>
      <c r="M9" s="149">
        <f t="shared" ref="M9:M42" si="17">6049*4</f>
        <v>24196</v>
      </c>
      <c r="N9" s="39">
        <f t="shared" si="15"/>
        <v>1209.8</v>
      </c>
      <c r="O9" s="39">
        <f t="shared" si="16"/>
        <v>639.98419999999999</v>
      </c>
      <c r="P9" s="42">
        <f t="shared" si="10"/>
        <v>7200.6542294600004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1"/>
        <v>5</v>
      </c>
      <c r="J10" s="39">
        <f t="shared" si="12"/>
        <v>234</v>
      </c>
      <c r="K10" s="39">
        <f t="shared" si="13"/>
        <v>58.5</v>
      </c>
      <c r="L10" s="39">
        <f t="shared" si="14"/>
        <v>5.25</v>
      </c>
      <c r="M10" s="149">
        <f t="shared" si="17"/>
        <v>24196</v>
      </c>
      <c r="N10" s="39">
        <f t="shared" si="15"/>
        <v>1270.29</v>
      </c>
      <c r="O10" s="148">
        <f t="shared" si="16"/>
        <v>671.98341000000005</v>
      </c>
      <c r="P10" s="42">
        <f t="shared" si="10"/>
        <v>7560.6869409330011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44508</v>
      </c>
      <c r="B11" s="41">
        <v>52</v>
      </c>
      <c r="C11" s="39">
        <f t="shared" si="6"/>
        <v>0</v>
      </c>
      <c r="D11" s="41">
        <v>51</v>
      </c>
      <c r="E11" s="39">
        <f t="shared" si="7"/>
        <v>0</v>
      </c>
      <c r="F11" s="41">
        <v>54</v>
      </c>
      <c r="G11" s="39">
        <f t="shared" si="8"/>
        <v>0</v>
      </c>
      <c r="H11" s="41">
        <v>56</v>
      </c>
      <c r="I11" s="39">
        <f t="shared" si="11"/>
        <v>0</v>
      </c>
      <c r="J11" s="39">
        <f t="shared" si="12"/>
        <v>213</v>
      </c>
      <c r="K11" s="39">
        <f t="shared" si="13"/>
        <v>53.25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44509</v>
      </c>
      <c r="B12" s="41"/>
      <c r="C12" s="39">
        <f t="shared" si="6"/>
        <v>0</v>
      </c>
      <c r="D12" s="41"/>
      <c r="E12" s="39">
        <f t="shared" si="7"/>
        <v>0</v>
      </c>
      <c r="F12" s="41"/>
      <c r="G12" s="39">
        <f t="shared" si="8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44510</v>
      </c>
      <c r="B13" s="41"/>
      <c r="C13" s="39">
        <f t="shared" si="6"/>
        <v>0</v>
      </c>
      <c r="D13" s="41"/>
      <c r="E13" s="39">
        <f t="shared" si="7"/>
        <v>0</v>
      </c>
      <c r="F13" s="41"/>
      <c r="G13" s="39">
        <f t="shared" si="8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44511</v>
      </c>
      <c r="B14" s="41"/>
      <c r="C14" s="39">
        <f t="shared" si="6"/>
        <v>0</v>
      </c>
      <c r="D14" s="41"/>
      <c r="E14" s="39">
        <f t="shared" si="7"/>
        <v>0</v>
      </c>
      <c r="F14" s="41"/>
      <c r="G14" s="39">
        <f t="shared" si="8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44512</v>
      </c>
      <c r="B15" s="41"/>
      <c r="C15" s="39">
        <f t="shared" si="6"/>
        <v>0</v>
      </c>
      <c r="D15" s="41"/>
      <c r="E15" s="39">
        <f t="shared" si="7"/>
        <v>0</v>
      </c>
      <c r="F15" s="41"/>
      <c r="G15" s="39">
        <f t="shared" si="8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44513</v>
      </c>
      <c r="B16" s="41"/>
      <c r="C16" s="39">
        <f t="shared" si="6"/>
        <v>0</v>
      </c>
      <c r="D16" s="41"/>
      <c r="E16" s="39">
        <f t="shared" si="7"/>
        <v>0</v>
      </c>
      <c r="F16" s="41"/>
      <c r="G16" s="39">
        <f t="shared" si="8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44514</v>
      </c>
      <c r="B17" s="41"/>
      <c r="C17" s="39">
        <f t="shared" si="6"/>
        <v>0</v>
      </c>
      <c r="D17" s="41"/>
      <c r="E17" s="39">
        <f t="shared" si="7"/>
        <v>0</v>
      </c>
      <c r="F17" s="41"/>
      <c r="G17" s="39">
        <f t="shared" si="8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44515</v>
      </c>
      <c r="B18" s="41"/>
      <c r="C18" s="39">
        <f t="shared" si="6"/>
        <v>0</v>
      </c>
      <c r="D18" s="41"/>
      <c r="E18" s="39">
        <f t="shared" si="7"/>
        <v>0</v>
      </c>
      <c r="F18" s="41"/>
      <c r="G18" s="39">
        <f t="shared" si="8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44516</v>
      </c>
      <c r="B19" s="41"/>
      <c r="C19" s="39">
        <f t="shared" si="6"/>
        <v>0</v>
      </c>
      <c r="D19" s="41"/>
      <c r="E19" s="39">
        <f t="shared" si="7"/>
        <v>0</v>
      </c>
      <c r="F19" s="41"/>
      <c r="G19" s="39">
        <f t="shared" si="8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44517</v>
      </c>
      <c r="B20" s="41"/>
      <c r="C20" s="39">
        <f t="shared" si="6"/>
        <v>0</v>
      </c>
      <c r="D20" s="41"/>
      <c r="E20" s="39">
        <f t="shared" si="7"/>
        <v>0</v>
      </c>
      <c r="F20" s="41"/>
      <c r="G20" s="39">
        <f t="shared" si="8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44518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44519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44520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44521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44522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44523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44524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44525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44526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44527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44528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44529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44530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44531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7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7371.3600000000006</v>
      </c>
      <c r="O43" s="39">
        <f>N43*0.529</f>
        <v>3899.4494400000003</v>
      </c>
      <c r="P43" s="42">
        <f>O43*11.2513</f>
        <v>43873.875484272008</v>
      </c>
      <c r="Q43" s="284">
        <f>SUM(Q4:Q42)</f>
        <v>2176</v>
      </c>
      <c r="R43" s="285"/>
      <c r="S43" s="286"/>
      <c r="T43" s="287">
        <f>SUM(T4:T42)</f>
        <v>1990</v>
      </c>
      <c r="U43" s="285"/>
      <c r="V43" s="286"/>
      <c r="W43" s="287">
        <f>SUM(W4:W42)</f>
        <v>1900</v>
      </c>
      <c r="X43" s="285"/>
      <c r="Y43" s="286"/>
      <c r="Z43" s="287">
        <f>SUM(Z4:Z42)</f>
        <v>1940</v>
      </c>
      <c r="AA43" s="285"/>
      <c r="AB43" s="286"/>
      <c r="AC43" s="39">
        <f t="shared" si="20"/>
        <v>8006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8006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8006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7371.3600000000006</v>
      </c>
      <c r="L47" s="46">
        <f>O43</f>
        <v>3899.4494400000003</v>
      </c>
      <c r="M47" s="46">
        <f>P43</f>
        <v>43873.875484272008</v>
      </c>
    </row>
    <row r="48" spans="1:31" ht="54.75" customHeight="1" thickBot="1">
      <c r="H48" s="280" t="s">
        <v>86</v>
      </c>
      <c r="I48" s="281"/>
      <c r="J48" s="282"/>
      <c r="K48" s="43">
        <f>AC44</f>
        <v>8006</v>
      </c>
      <c r="L48" s="44">
        <f>K48*0.529</f>
        <v>4235.174</v>
      </c>
      <c r="M48" s="44">
        <f>L48*11.2513</f>
        <v>47651.213226200001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I19" sqref="I19:J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44467</v>
      </c>
      <c r="D8" s="350"/>
      <c r="E8" s="113">
        <v>44497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971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36"/>
      <c r="H17" s="337"/>
      <c r="I17" s="336">
        <f>+E17</f>
        <v>223158</v>
      </c>
      <c r="J17" s="337"/>
    </row>
    <row r="18" spans="1:10">
      <c r="A18" s="334" t="s">
        <v>111</v>
      </c>
      <c r="B18" s="335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36"/>
      <c r="H18" s="337"/>
      <c r="I18" s="336">
        <f>+E18</f>
        <v>125172</v>
      </c>
      <c r="J18" s="337"/>
    </row>
    <row r="19" spans="1:10">
      <c r="A19" s="334" t="s">
        <v>112</v>
      </c>
      <c r="B19" s="335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36"/>
      <c r="H19" s="337"/>
      <c r="I19" s="336">
        <f>+E19</f>
        <v>95869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444199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223158</v>
      </c>
      <c r="E25" s="72">
        <v>0.95140000000000002</v>
      </c>
      <c r="F25" s="73">
        <f>PRODUCT(D25*E25)</f>
        <v>212312.52120000002</v>
      </c>
      <c r="G25" s="151">
        <v>14</v>
      </c>
      <c r="H25" s="65">
        <f>PRODUCT(0.14,F25)</f>
        <v>29723.752968000004</v>
      </c>
      <c r="I25" s="302">
        <f>SUM(H25,F25)</f>
        <v>242036.27416800003</v>
      </c>
      <c r="J25" s="303"/>
    </row>
    <row r="26" spans="1:10" ht="15">
      <c r="A26" s="299" t="s">
        <v>124</v>
      </c>
      <c r="B26" s="300"/>
      <c r="C26" s="301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02">
        <f t="shared" ref="I26:I31" si="0">SUM(H26,F26)</f>
        <v>99673.211880000017</v>
      </c>
      <c r="J26" s="303"/>
    </row>
    <row r="27" spans="1:10" ht="15">
      <c r="A27" s="299" t="s">
        <v>125</v>
      </c>
      <c r="B27" s="300"/>
      <c r="C27" s="301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02">
        <f>SUM(H27,F27)</f>
        <v>145400.29406399999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473503.95079999999</v>
      </c>
      <c r="G32" s="85"/>
      <c r="H32" s="86"/>
      <c r="I32" s="311">
        <f>SUM(I25:J31)</f>
        <v>539740.523912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44297</v>
      </c>
      <c r="D8" s="350"/>
      <c r="E8" s="113">
        <v>44327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3330.5</v>
      </c>
      <c r="C13" s="394"/>
      <c r="D13" s="394">
        <v>8.7899999999999991</v>
      </c>
      <c r="E13" s="394"/>
      <c r="F13" s="398">
        <f>PRODUCT(D13,B13)</f>
        <v>29275.094999999998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3330.5</v>
      </c>
      <c r="C19" s="394"/>
      <c r="D19" s="394">
        <v>2.61</v>
      </c>
      <c r="E19" s="394"/>
      <c r="F19" s="394">
        <f>PRODUCT(D19,B19)</f>
        <v>8692.6049999999996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37990.699999999997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2659.3490000000002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2867.6090000000004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40858.308999999994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398">
        <f>PRODUCT(D13,B13)</f>
        <v>1018.3000000000247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7" zoomScaleNormal="100" workbookViewId="0">
      <selection activeCell="L24" sqref="L24: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2021-11-08T08:29:13Z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